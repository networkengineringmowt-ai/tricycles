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8.xml" ContentType="application/vnd.openxmlformats-officedocument.drawing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9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EDMP Data Analysis\C-5 Analysis Complete-Ivan\Done\STN118 KUMI-SOROTI\MCC\"/>
    </mc:Choice>
  </mc:AlternateContent>
  <xr:revisionPtr revIDLastSave="0" documentId="13_ncr:1_{5C6E42DF-1310-4C53-92D6-F7E3A2BF7BD9}" xr6:coauthVersionLast="45" xr6:coauthVersionMax="45" xr10:uidLastSave="{00000000-0000-0000-0000-000000000000}"/>
  <bookViews>
    <workbookView xWindow="-120" yWindow="-120" windowWidth="20730" windowHeight="11160" tabRatio="878" firstSheet="11" activeTab="16" xr2:uid="{00000000-000D-0000-FFFF-FFFF00000000}"/>
  </bookViews>
  <sheets>
    <sheet name="08.08 Kumi-Soroti" sheetId="93" r:id="rId1"/>
    <sheet name="08.08 Soroti-Kumi" sheetId="94" r:id="rId2"/>
    <sheet name="09.08 Kumi-Soroti-24h" sheetId="101" r:id="rId3"/>
    <sheet name="09.08 Soroti-Kumi-24h" sheetId="109" r:id="rId4"/>
    <sheet name="10.08 Kumi-Soroti-24h" sheetId="105" r:id="rId5"/>
    <sheet name="10.08 Soroti-Kumi-24h" sheetId="110" r:id="rId6"/>
    <sheet name="11.08 Kumi-Soroti" sheetId="95" r:id="rId7"/>
    <sheet name="11.08 Soroti-Kumi" sheetId="96" r:id="rId8"/>
    <sheet name="12.08 Kumi-Soroti" sheetId="97" r:id="rId9"/>
    <sheet name="12.08 Soroti-Kumi" sheetId="98" r:id="rId10"/>
    <sheet name="13.08 Kumi-Soroti" sheetId="99" r:id="rId11"/>
    <sheet name="13.08 Soroti-Kumi" sheetId="100" r:id="rId12"/>
    <sheet name="14.08 Kumi-Soroti" sheetId="103" r:id="rId13"/>
    <sheet name="14.08 Soroti-Kumi" sheetId="104" r:id="rId14"/>
    <sheet name="Avg Week Kumi-Soroti" sheetId="107" r:id="rId15"/>
    <sheet name="Avg Week Soroti-Kumi" sheetId="108" r:id="rId16"/>
    <sheet name="Avg Week Kumi-Soroti-2Dir" sheetId="111" r:id="rId17"/>
  </sheets>
  <definedNames>
    <definedName name="_xlnm.Print_Area" localSheetId="0">'08.08 Kumi-Soroti'!$A$1:$AF$60</definedName>
    <definedName name="_xlnm.Print_Area" localSheetId="1">'08.08 Soroti-Kumi'!$A$1:$AF$60</definedName>
    <definedName name="_xlnm.Print_Area" localSheetId="2">'09.08 Kumi-Soroti-24h'!$A$1:$AF$108</definedName>
    <definedName name="_xlnm.Print_Area" localSheetId="3">'09.08 Soroti-Kumi-24h'!$A$1:$AF$108</definedName>
    <definedName name="_xlnm.Print_Area" localSheetId="4">'10.08 Kumi-Soroti-24h'!$A$1:$AF$108</definedName>
    <definedName name="_xlnm.Print_Area" localSheetId="5">'10.08 Soroti-Kumi-24h'!$A$1:$AF$108</definedName>
    <definedName name="_xlnm.Print_Area" localSheetId="6">'11.08 Kumi-Soroti'!$A$1:$AF$60</definedName>
    <definedName name="_xlnm.Print_Area" localSheetId="7">'11.08 Soroti-Kumi'!$A$1:$AF$60</definedName>
    <definedName name="_xlnm.Print_Area" localSheetId="8">'12.08 Kumi-Soroti'!$A$1:$AF$60</definedName>
    <definedName name="_xlnm.Print_Area" localSheetId="9">'12.08 Soroti-Kumi'!$A$1:$AF$60</definedName>
    <definedName name="_xlnm.Print_Area" localSheetId="10">'13.08 Kumi-Soroti'!$A$1:$AF$60</definedName>
    <definedName name="_xlnm.Print_Area" localSheetId="11">'13.08 Soroti-Kumi'!$A$1:$AF$60</definedName>
    <definedName name="_xlnm.Print_Area" localSheetId="12">'14.08 Kumi-Soroti'!$A$1:$AF$60</definedName>
    <definedName name="_xlnm.Print_Area" localSheetId="13">'14.08 Soroti-Kumi'!$A$1:$AF$60</definedName>
    <definedName name="_xlnm.Print_Area" localSheetId="14">'Avg Week Kumi-Soroti'!$A$1:$AF$108</definedName>
    <definedName name="_xlnm.Print_Area" localSheetId="16">'Avg Week Kumi-Soroti-2Dir'!$A$1:$AF$108</definedName>
    <definedName name="_xlnm.Print_Area" localSheetId="15">'Avg Week Soroti-Kumi'!$A$1:$AF$108</definedName>
    <definedName name="_xlnm.Print_Titles" localSheetId="0">'08.08 Kumi-Soroti'!$1:$8</definedName>
    <definedName name="_xlnm.Print_Titles" localSheetId="1">'08.08 Soroti-Kumi'!$1:$8</definedName>
    <definedName name="_xlnm.Print_Titles" localSheetId="2">'09.08 Kumi-Soroti-24h'!$1:$8</definedName>
    <definedName name="_xlnm.Print_Titles" localSheetId="3">'09.08 Soroti-Kumi-24h'!$1:$8</definedName>
    <definedName name="_xlnm.Print_Titles" localSheetId="4">'10.08 Kumi-Soroti-24h'!$1:$8</definedName>
    <definedName name="_xlnm.Print_Titles" localSheetId="5">'10.08 Soroti-Kumi-24h'!$1:$8</definedName>
    <definedName name="_xlnm.Print_Titles" localSheetId="6">'11.08 Kumi-Soroti'!$1:$8</definedName>
    <definedName name="_xlnm.Print_Titles" localSheetId="7">'11.08 Soroti-Kumi'!$1:$8</definedName>
    <definedName name="_xlnm.Print_Titles" localSheetId="8">'12.08 Kumi-Soroti'!$1:$8</definedName>
    <definedName name="_xlnm.Print_Titles" localSheetId="9">'12.08 Soroti-Kumi'!$1:$8</definedName>
    <definedName name="_xlnm.Print_Titles" localSheetId="10">'13.08 Kumi-Soroti'!$1:$8</definedName>
    <definedName name="_xlnm.Print_Titles" localSheetId="11">'13.08 Soroti-Kumi'!$1:$8</definedName>
    <definedName name="_xlnm.Print_Titles" localSheetId="12">'14.08 Kumi-Soroti'!$1:$8</definedName>
    <definedName name="_xlnm.Print_Titles" localSheetId="13">'14.08 Soroti-Kumi'!$1:$8</definedName>
    <definedName name="_xlnm.Print_Titles" localSheetId="14">'Avg Week Kumi-Soroti'!$1:$8</definedName>
    <definedName name="_xlnm.Print_Titles" localSheetId="16">'Avg Week Kumi-Soroti-2Dir'!$1:$8</definedName>
    <definedName name="_xlnm.Print_Titles" localSheetId="15">'Avg Week Soroti-Kumi'!$1:$8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60" i="111" l="1"/>
  <c r="J61" i="111"/>
  <c r="N62" i="111"/>
  <c r="F64" i="111"/>
  <c r="J65" i="111"/>
  <c r="N66" i="111"/>
  <c r="F68" i="111"/>
  <c r="J69" i="111"/>
  <c r="N70" i="111"/>
  <c r="F72" i="111"/>
  <c r="J73" i="111"/>
  <c r="N74" i="111"/>
  <c r="F76" i="111"/>
  <c r="C59" i="108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P60" i="108" s="1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P61" i="108" s="1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P64" i="108" s="1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P65" i="108" s="1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P68" i="108" s="1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P69" i="108" s="1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P72" i="108" s="1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P73" i="108" s="1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P76" i="108" s="1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P77" i="108" s="1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P80" i="108" s="1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P81" i="108" s="1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P84" i="108" s="1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P85" i="108" s="1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P88" i="108" s="1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P89" i="108" s="1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P92" i="108" s="1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P93" i="108" s="1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P96" i="108" s="1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P97" i="108" s="1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P100" i="108" s="1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P101" i="108" s="1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P104" i="108" s="1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P105" i="108" s="1"/>
  <c r="F105" i="108"/>
  <c r="G105" i="108"/>
  <c r="H105" i="108"/>
  <c r="I105" i="108"/>
  <c r="J105" i="108"/>
  <c r="K105" i="108"/>
  <c r="L105" i="108"/>
  <c r="M105" i="108"/>
  <c r="N105" i="108"/>
  <c r="D58" i="108"/>
  <c r="T22" i="108" s="1"/>
  <c r="E58" i="108"/>
  <c r="F58" i="108"/>
  <c r="V22" i="108" s="1"/>
  <c r="G58" i="108"/>
  <c r="W22" i="108" s="1"/>
  <c r="H58" i="108"/>
  <c r="X22" i="108" s="1"/>
  <c r="I58" i="108"/>
  <c r="J58" i="108"/>
  <c r="Z22" i="108" s="1"/>
  <c r="K58" i="108"/>
  <c r="AA22" i="108" s="1"/>
  <c r="L58" i="108"/>
  <c r="AB22" i="108" s="1"/>
  <c r="M58" i="108"/>
  <c r="N58" i="108"/>
  <c r="AD22" i="108" s="1"/>
  <c r="C58" i="108"/>
  <c r="C59" i="107"/>
  <c r="C59" i="111" s="1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N59" i="111" s="1"/>
  <c r="C60" i="107"/>
  <c r="C60" i="111" s="1"/>
  <c r="D60" i="107"/>
  <c r="D60" i="111" s="1"/>
  <c r="E60" i="107"/>
  <c r="E60" i="111" s="1"/>
  <c r="F60" i="107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C61" i="107"/>
  <c r="C61" i="111" s="1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K61" i="107"/>
  <c r="K61" i="111" s="1"/>
  <c r="L61" i="107"/>
  <c r="L61" i="111" s="1"/>
  <c r="M61" i="107"/>
  <c r="M61" i="111" s="1"/>
  <c r="N61" i="107"/>
  <c r="N61" i="111" s="1"/>
  <c r="C62" i="107"/>
  <c r="D62" i="107"/>
  <c r="E62" i="107"/>
  <c r="F62" i="107"/>
  <c r="F62" i="111" s="1"/>
  <c r="G62" i="107"/>
  <c r="H62" i="107"/>
  <c r="I62" i="107"/>
  <c r="J62" i="107"/>
  <c r="J62" i="111" s="1"/>
  <c r="K62" i="107"/>
  <c r="L62" i="107"/>
  <c r="M62" i="107"/>
  <c r="N62" i="107"/>
  <c r="C63" i="107"/>
  <c r="C63" i="111" s="1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C64" i="107"/>
  <c r="C64" i="111" s="1"/>
  <c r="D64" i="107"/>
  <c r="D64" i="111" s="1"/>
  <c r="E64" i="107"/>
  <c r="E64" i="111" s="1"/>
  <c r="F64" i="107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C65" i="107"/>
  <c r="C65" i="111" s="1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K65" i="107"/>
  <c r="K65" i="111" s="1"/>
  <c r="L65" i="107"/>
  <c r="L65" i="111" s="1"/>
  <c r="M65" i="107"/>
  <c r="M65" i="111" s="1"/>
  <c r="N65" i="107"/>
  <c r="N65" i="111" s="1"/>
  <c r="C66" i="107"/>
  <c r="D66" i="107"/>
  <c r="E66" i="107"/>
  <c r="F66" i="107"/>
  <c r="F66" i="111" s="1"/>
  <c r="G66" i="107"/>
  <c r="H66" i="107"/>
  <c r="I66" i="107"/>
  <c r="J66" i="107"/>
  <c r="J66" i="111" s="1"/>
  <c r="K66" i="107"/>
  <c r="L66" i="107"/>
  <c r="M66" i="107"/>
  <c r="N66" i="107"/>
  <c r="C67" i="107"/>
  <c r="C67" i="111" s="1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C68" i="107"/>
  <c r="C68" i="111" s="1"/>
  <c r="D68" i="107"/>
  <c r="D68" i="111" s="1"/>
  <c r="E68" i="107"/>
  <c r="E68" i="111" s="1"/>
  <c r="F68" i="107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C69" i="107"/>
  <c r="C69" i="111" s="1"/>
  <c r="D69" i="107"/>
  <c r="D69" i="111" s="1"/>
  <c r="P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K69" i="107"/>
  <c r="K69" i="111" s="1"/>
  <c r="L69" i="107"/>
  <c r="L69" i="111" s="1"/>
  <c r="M69" i="107"/>
  <c r="M69" i="111" s="1"/>
  <c r="N69" i="107"/>
  <c r="N69" i="111" s="1"/>
  <c r="C70" i="107"/>
  <c r="D70" i="107"/>
  <c r="E70" i="107"/>
  <c r="F70" i="107"/>
  <c r="F70" i="111" s="1"/>
  <c r="G70" i="107"/>
  <c r="H70" i="107"/>
  <c r="I70" i="107"/>
  <c r="J70" i="107"/>
  <c r="J70" i="111" s="1"/>
  <c r="K70" i="107"/>
  <c r="L70" i="107"/>
  <c r="M70" i="107"/>
  <c r="N70" i="107"/>
  <c r="C71" i="107"/>
  <c r="C71" i="111" s="1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C72" i="107"/>
  <c r="C72" i="111" s="1"/>
  <c r="D72" i="107"/>
  <c r="D72" i="111" s="1"/>
  <c r="E72" i="107"/>
  <c r="E72" i="111" s="1"/>
  <c r="F72" i="107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C73" i="107"/>
  <c r="C73" i="111" s="1"/>
  <c r="D73" i="107"/>
  <c r="D73" i="111" s="1"/>
  <c r="E73" i="107"/>
  <c r="E73" i="111" s="1"/>
  <c r="P73" i="111" s="1"/>
  <c r="F73" i="107"/>
  <c r="F73" i="111" s="1"/>
  <c r="G73" i="107"/>
  <c r="G73" i="111" s="1"/>
  <c r="H73" i="107"/>
  <c r="H73" i="111" s="1"/>
  <c r="I73" i="107"/>
  <c r="I73" i="111" s="1"/>
  <c r="J73" i="107"/>
  <c r="K73" i="107"/>
  <c r="K73" i="111" s="1"/>
  <c r="L73" i="107"/>
  <c r="L73" i="111" s="1"/>
  <c r="M73" i="107"/>
  <c r="M73" i="111" s="1"/>
  <c r="N73" i="107"/>
  <c r="N73" i="111" s="1"/>
  <c r="C74" i="107"/>
  <c r="D74" i="107"/>
  <c r="E74" i="107"/>
  <c r="F74" i="107"/>
  <c r="F74" i="111" s="1"/>
  <c r="G74" i="107"/>
  <c r="H74" i="107"/>
  <c r="I74" i="107"/>
  <c r="J74" i="107"/>
  <c r="J74" i="111" s="1"/>
  <c r="K74" i="107"/>
  <c r="L74" i="107"/>
  <c r="M74" i="107"/>
  <c r="N74" i="107"/>
  <c r="C75" i="107"/>
  <c r="C75" i="111" s="1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C76" i="107"/>
  <c r="C76" i="111" s="1"/>
  <c r="D76" i="107"/>
  <c r="D76" i="111" s="1"/>
  <c r="E76" i="107"/>
  <c r="E76" i="111" s="1"/>
  <c r="F76" i="107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C77" i="107"/>
  <c r="C77" i="111" s="1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C78" i="107"/>
  <c r="D78" i="107"/>
  <c r="E78" i="107"/>
  <c r="E78" i="111" s="1"/>
  <c r="F78" i="107"/>
  <c r="G78" i="107"/>
  <c r="H78" i="107"/>
  <c r="I78" i="107"/>
  <c r="J78" i="107"/>
  <c r="J78" i="111" s="1"/>
  <c r="K78" i="107"/>
  <c r="L78" i="107"/>
  <c r="M78" i="107"/>
  <c r="M78" i="111" s="1"/>
  <c r="N78" i="107"/>
  <c r="C79" i="107"/>
  <c r="C79" i="111" s="1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C80" i="107"/>
  <c r="C80" i="111" s="1"/>
  <c r="D80" i="107"/>
  <c r="D80" i="111" s="1"/>
  <c r="E80" i="107"/>
  <c r="P80" i="107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C81" i="107"/>
  <c r="C81" i="111" s="1"/>
  <c r="D81" i="107"/>
  <c r="D81" i="111" s="1"/>
  <c r="E81" i="107"/>
  <c r="P81" i="107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C82" i="107"/>
  <c r="D82" i="107"/>
  <c r="D82" i="111" s="1"/>
  <c r="E82" i="107"/>
  <c r="E82" i="111" s="1"/>
  <c r="F82" i="107"/>
  <c r="G82" i="107"/>
  <c r="H82" i="107"/>
  <c r="H82" i="111" s="1"/>
  <c r="I82" i="107"/>
  <c r="J82" i="107"/>
  <c r="J82" i="111" s="1"/>
  <c r="K82" i="107"/>
  <c r="L82" i="107"/>
  <c r="M82" i="107"/>
  <c r="M82" i="111" s="1"/>
  <c r="N82" i="107"/>
  <c r="C83" i="107"/>
  <c r="C83" i="111" s="1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C84" i="107"/>
  <c r="C84" i="111" s="1"/>
  <c r="D84" i="107"/>
  <c r="D84" i="111" s="1"/>
  <c r="E84" i="107"/>
  <c r="P84" i="107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C85" i="107"/>
  <c r="C85" i="111" s="1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C86" i="107"/>
  <c r="D86" i="107"/>
  <c r="D86" i="111" s="1"/>
  <c r="E86" i="107"/>
  <c r="F86" i="107"/>
  <c r="G86" i="107"/>
  <c r="H86" i="107"/>
  <c r="H86" i="111" s="1"/>
  <c r="I86" i="107"/>
  <c r="I86" i="111" s="1"/>
  <c r="J86" i="107"/>
  <c r="J86" i="111" s="1"/>
  <c r="K86" i="107"/>
  <c r="L86" i="107"/>
  <c r="M86" i="107"/>
  <c r="N86" i="107"/>
  <c r="C87" i="107"/>
  <c r="C87" i="111" s="1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C88" i="107"/>
  <c r="C88" i="111" s="1"/>
  <c r="D88" i="107"/>
  <c r="D88" i="111" s="1"/>
  <c r="E88" i="107"/>
  <c r="P88" i="107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C89" i="107"/>
  <c r="C89" i="111" s="1"/>
  <c r="D89" i="107"/>
  <c r="D89" i="111" s="1"/>
  <c r="E89" i="107"/>
  <c r="P89" i="107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C90" i="107"/>
  <c r="D90" i="107"/>
  <c r="D90" i="111" s="1"/>
  <c r="E90" i="107"/>
  <c r="F90" i="107"/>
  <c r="G90" i="107"/>
  <c r="H90" i="107"/>
  <c r="H90" i="111" s="1"/>
  <c r="I90" i="107"/>
  <c r="I90" i="111" s="1"/>
  <c r="J90" i="107"/>
  <c r="J90" i="111" s="1"/>
  <c r="K90" i="107"/>
  <c r="L90" i="107"/>
  <c r="M90" i="107"/>
  <c r="N90" i="107"/>
  <c r="C91" i="107"/>
  <c r="C91" i="111" s="1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C92" i="107"/>
  <c r="C92" i="111" s="1"/>
  <c r="D92" i="107"/>
  <c r="D92" i="111" s="1"/>
  <c r="E92" i="107"/>
  <c r="P92" i="107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C93" i="107"/>
  <c r="C93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C94" i="107"/>
  <c r="D94" i="107"/>
  <c r="D94" i="111" s="1"/>
  <c r="E94" i="107"/>
  <c r="F94" i="107"/>
  <c r="G94" i="107"/>
  <c r="H94" i="107"/>
  <c r="H94" i="111" s="1"/>
  <c r="I94" i="107"/>
  <c r="I94" i="111" s="1"/>
  <c r="J94" i="107"/>
  <c r="J94" i="111" s="1"/>
  <c r="K94" i="107"/>
  <c r="L94" i="107"/>
  <c r="M94" i="107"/>
  <c r="N94" i="107"/>
  <c r="C95" i="107"/>
  <c r="C95" i="111" s="1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C96" i="107"/>
  <c r="C96" i="111" s="1"/>
  <c r="D96" i="107"/>
  <c r="D96" i="111" s="1"/>
  <c r="E96" i="107"/>
  <c r="P96" i="107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C97" i="107"/>
  <c r="C97" i="111" s="1"/>
  <c r="D97" i="107"/>
  <c r="D97" i="111" s="1"/>
  <c r="E97" i="107"/>
  <c r="P97" i="107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D98" i="107"/>
  <c r="E98" i="107"/>
  <c r="F98" i="107"/>
  <c r="G98" i="107"/>
  <c r="H98" i="107"/>
  <c r="H98" i="111" s="1"/>
  <c r="I98" i="107"/>
  <c r="I98" i="111" s="1"/>
  <c r="J98" i="107"/>
  <c r="J98" i="111" s="1"/>
  <c r="K98" i="107"/>
  <c r="L98" i="107"/>
  <c r="L98" i="111" s="1"/>
  <c r="M98" i="107"/>
  <c r="N98" i="107"/>
  <c r="C99" i="107"/>
  <c r="C99" i="111" s="1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C100" i="107"/>
  <c r="C100" i="111" s="1"/>
  <c r="D100" i="107"/>
  <c r="D100" i="111" s="1"/>
  <c r="E100" i="107"/>
  <c r="P100" i="107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C101" i="107"/>
  <c r="C101" i="111" s="1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D102" i="107"/>
  <c r="D102" i="111" s="1"/>
  <c r="E102" i="107"/>
  <c r="F102" i="107"/>
  <c r="G102" i="107"/>
  <c r="H102" i="107"/>
  <c r="I102" i="107"/>
  <c r="I102" i="111" s="1"/>
  <c r="J102" i="107"/>
  <c r="J102" i="111" s="1"/>
  <c r="K102" i="107"/>
  <c r="L102" i="107"/>
  <c r="L102" i="111" s="1"/>
  <c r="M102" i="107"/>
  <c r="N102" i="107"/>
  <c r="C103" i="107"/>
  <c r="C103" i="111" s="1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C104" i="107"/>
  <c r="C104" i="111" s="1"/>
  <c r="D104" i="107"/>
  <c r="D104" i="111" s="1"/>
  <c r="E104" i="107"/>
  <c r="O104" i="107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C105" i="107"/>
  <c r="C105" i="111" s="1"/>
  <c r="D105" i="107"/>
  <c r="D105" i="111" s="1"/>
  <c r="E105" i="107"/>
  <c r="P105" i="107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D58" i="107"/>
  <c r="T22" i="107" s="1"/>
  <c r="E58" i="107"/>
  <c r="E58" i="111" s="1"/>
  <c r="F58" i="107"/>
  <c r="V22" i="107" s="1"/>
  <c r="G58" i="107"/>
  <c r="W22" i="107" s="1"/>
  <c r="H58" i="107"/>
  <c r="X22" i="107" s="1"/>
  <c r="I58" i="107"/>
  <c r="J58" i="107"/>
  <c r="Z22" i="107" s="1"/>
  <c r="K58" i="107"/>
  <c r="AA22" i="107" s="1"/>
  <c r="L58" i="107"/>
  <c r="AB22" i="107" s="1"/>
  <c r="M58" i="107"/>
  <c r="M58" i="111" s="1"/>
  <c r="N58" i="107"/>
  <c r="AD22" i="107" s="1"/>
  <c r="C58" i="107"/>
  <c r="P97" i="111" l="1"/>
  <c r="P93" i="111"/>
  <c r="P77" i="111"/>
  <c r="P65" i="111"/>
  <c r="P61" i="111"/>
  <c r="Y33" i="111"/>
  <c r="Y32" i="111"/>
  <c r="Y31" i="111"/>
  <c r="Y30" i="111"/>
  <c r="Y29" i="111"/>
  <c r="AC28" i="111"/>
  <c r="U28" i="111"/>
  <c r="AC27" i="111"/>
  <c r="P101" i="111"/>
  <c r="P85" i="111"/>
  <c r="Z33" i="111"/>
  <c r="Z32" i="111"/>
  <c r="Z31" i="111"/>
  <c r="Z30" i="111"/>
  <c r="Z29" i="111"/>
  <c r="Z28" i="111"/>
  <c r="Z27" i="111"/>
  <c r="Z26" i="111"/>
  <c r="V26" i="111"/>
  <c r="Z25" i="111"/>
  <c r="V25" i="111"/>
  <c r="Z24" i="111"/>
  <c r="V24" i="111"/>
  <c r="Z23" i="111"/>
  <c r="V23" i="111"/>
  <c r="AC33" i="107"/>
  <c r="U33" i="107"/>
  <c r="AC32" i="107"/>
  <c r="U32" i="107"/>
  <c r="AC31" i="107"/>
  <c r="U31" i="107"/>
  <c r="AC30" i="107"/>
  <c r="U30" i="107"/>
  <c r="AC29" i="107"/>
  <c r="U29" i="107"/>
  <c r="Y28" i="107"/>
  <c r="Y27" i="107"/>
  <c r="Y26" i="107"/>
  <c r="I74" i="111"/>
  <c r="Y26" i="111" s="1"/>
  <c r="Y25" i="107"/>
  <c r="I70" i="111"/>
  <c r="Y25" i="111" s="1"/>
  <c r="U25" i="107"/>
  <c r="E70" i="111"/>
  <c r="U25" i="111" s="1"/>
  <c r="AC24" i="107"/>
  <c r="M66" i="111"/>
  <c r="AC24" i="111" s="1"/>
  <c r="U24" i="107"/>
  <c r="E66" i="111"/>
  <c r="U24" i="111" s="1"/>
  <c r="Y23" i="107"/>
  <c r="I62" i="111"/>
  <c r="Y23" i="111" s="1"/>
  <c r="O88" i="107"/>
  <c r="O72" i="107"/>
  <c r="P104" i="107"/>
  <c r="P72" i="107"/>
  <c r="AC33" i="108"/>
  <c r="U33" i="108"/>
  <c r="AC32" i="108"/>
  <c r="U32" i="108"/>
  <c r="AC31" i="108"/>
  <c r="U31" i="108"/>
  <c r="AC30" i="108"/>
  <c r="U30" i="108"/>
  <c r="AC29" i="108"/>
  <c r="U29" i="108"/>
  <c r="AC28" i="108"/>
  <c r="U28" i="108"/>
  <c r="Y27" i="108"/>
  <c r="AC26" i="108"/>
  <c r="U26" i="108"/>
  <c r="AC25" i="108"/>
  <c r="Y25" i="108"/>
  <c r="U25" i="108"/>
  <c r="AC24" i="108"/>
  <c r="Y24" i="108"/>
  <c r="U24" i="108"/>
  <c r="AC23" i="108"/>
  <c r="Y23" i="108"/>
  <c r="U23" i="108"/>
  <c r="O104" i="108"/>
  <c r="O96" i="108"/>
  <c r="O88" i="108"/>
  <c r="O80" i="108"/>
  <c r="O72" i="108"/>
  <c r="O64" i="108"/>
  <c r="N58" i="111"/>
  <c r="AD22" i="111" s="1"/>
  <c r="F58" i="111"/>
  <c r="V22" i="111" s="1"/>
  <c r="E104" i="111"/>
  <c r="P104" i="111" s="1"/>
  <c r="M102" i="111"/>
  <c r="AC33" i="111" s="1"/>
  <c r="E102" i="111"/>
  <c r="E100" i="111"/>
  <c r="M98" i="111"/>
  <c r="AC32" i="111" s="1"/>
  <c r="E98" i="111"/>
  <c r="U32" i="111" s="1"/>
  <c r="E96" i="111"/>
  <c r="O96" i="111" s="1"/>
  <c r="M94" i="111"/>
  <c r="AC31" i="111" s="1"/>
  <c r="E94" i="111"/>
  <c r="E92" i="111"/>
  <c r="O92" i="111" s="1"/>
  <c r="M90" i="111"/>
  <c r="AC30" i="111" s="1"/>
  <c r="E90" i="111"/>
  <c r="E88" i="111"/>
  <c r="P88" i="111" s="1"/>
  <c r="M86" i="111"/>
  <c r="AC29" i="111" s="1"/>
  <c r="E86" i="111"/>
  <c r="U29" i="111" s="1"/>
  <c r="E84" i="111"/>
  <c r="E80" i="111"/>
  <c r="P80" i="111" s="1"/>
  <c r="AD26" i="111"/>
  <c r="AD25" i="111"/>
  <c r="AD24" i="111"/>
  <c r="AD23" i="111"/>
  <c r="O73" i="111"/>
  <c r="AC22" i="111"/>
  <c r="U22" i="111"/>
  <c r="AB33" i="111"/>
  <c r="T33" i="111"/>
  <c r="AB32" i="111"/>
  <c r="X32" i="111"/>
  <c r="X31" i="111"/>
  <c r="T31" i="111"/>
  <c r="X30" i="111"/>
  <c r="T30" i="111"/>
  <c r="X29" i="111"/>
  <c r="T29" i="111"/>
  <c r="X28" i="111"/>
  <c r="T28" i="111"/>
  <c r="O101" i="107"/>
  <c r="O93" i="107"/>
  <c r="O85" i="107"/>
  <c r="O77" i="107"/>
  <c r="O69" i="107"/>
  <c r="O61" i="107"/>
  <c r="P101" i="107"/>
  <c r="P93" i="107"/>
  <c r="P85" i="107"/>
  <c r="P77" i="107"/>
  <c r="P69" i="107"/>
  <c r="P61" i="107"/>
  <c r="P59" i="108"/>
  <c r="O101" i="108"/>
  <c r="O93" i="108"/>
  <c r="O85" i="108"/>
  <c r="O77" i="108"/>
  <c r="O69" i="108"/>
  <c r="O61" i="108"/>
  <c r="K58" i="111"/>
  <c r="AA22" i="111" s="1"/>
  <c r="O101" i="111"/>
  <c r="O85" i="111"/>
  <c r="O69" i="111"/>
  <c r="O104" i="111"/>
  <c r="P103" i="111"/>
  <c r="O103" i="111"/>
  <c r="P100" i="111"/>
  <c r="O100" i="111"/>
  <c r="P99" i="111"/>
  <c r="O99" i="111"/>
  <c r="P95" i="111"/>
  <c r="O95" i="111"/>
  <c r="P91" i="111"/>
  <c r="O91" i="111"/>
  <c r="O88" i="111"/>
  <c r="P87" i="111"/>
  <c r="O87" i="111"/>
  <c r="P84" i="111"/>
  <c r="O84" i="111"/>
  <c r="P83" i="111"/>
  <c r="O83" i="111"/>
  <c r="O80" i="111"/>
  <c r="P79" i="111"/>
  <c r="O79" i="111"/>
  <c r="P76" i="111"/>
  <c r="O76" i="111"/>
  <c r="P75" i="111"/>
  <c r="O75" i="111"/>
  <c r="P72" i="111"/>
  <c r="O72" i="111"/>
  <c r="P71" i="111"/>
  <c r="O71" i="111"/>
  <c r="P68" i="111"/>
  <c r="O68" i="111"/>
  <c r="P67" i="111"/>
  <c r="O67" i="111"/>
  <c r="O64" i="111"/>
  <c r="P64" i="111"/>
  <c r="P63" i="111"/>
  <c r="O63" i="111"/>
  <c r="P60" i="111"/>
  <c r="O60" i="111"/>
  <c r="P59" i="111"/>
  <c r="O59" i="111"/>
  <c r="O100" i="107"/>
  <c r="O92" i="107"/>
  <c r="O84" i="107"/>
  <c r="O76" i="107"/>
  <c r="O68" i="107"/>
  <c r="O60" i="107"/>
  <c r="P76" i="107"/>
  <c r="P68" i="107"/>
  <c r="P60" i="107"/>
  <c r="P103" i="108"/>
  <c r="P99" i="108"/>
  <c r="P95" i="108"/>
  <c r="P91" i="108"/>
  <c r="P87" i="108"/>
  <c r="P83" i="108"/>
  <c r="P79" i="108"/>
  <c r="P75" i="108"/>
  <c r="P71" i="108"/>
  <c r="P67" i="108"/>
  <c r="P63" i="108"/>
  <c r="O100" i="108"/>
  <c r="O92" i="108"/>
  <c r="O84" i="108"/>
  <c r="O76" i="108"/>
  <c r="O68" i="108"/>
  <c r="O60" i="108"/>
  <c r="J58" i="111"/>
  <c r="Z22" i="111" s="1"/>
  <c r="E105" i="111"/>
  <c r="E97" i="111"/>
  <c r="E89" i="111"/>
  <c r="I82" i="111"/>
  <c r="Y28" i="111" s="1"/>
  <c r="E81" i="111"/>
  <c r="P81" i="111" s="1"/>
  <c r="I78" i="111"/>
  <c r="Y27" i="111" s="1"/>
  <c r="O97" i="111"/>
  <c r="O65" i="111"/>
  <c r="Y33" i="107"/>
  <c r="Y32" i="107"/>
  <c r="Y31" i="107"/>
  <c r="Y30" i="107"/>
  <c r="Y29" i="107"/>
  <c r="AC28" i="107"/>
  <c r="U28" i="107"/>
  <c r="AC27" i="107"/>
  <c r="U27" i="107"/>
  <c r="AC26" i="107"/>
  <c r="M74" i="111"/>
  <c r="AC26" i="111" s="1"/>
  <c r="U26" i="107"/>
  <c r="E74" i="111"/>
  <c r="U26" i="111" s="1"/>
  <c r="AC25" i="107"/>
  <c r="M70" i="111"/>
  <c r="AC25" i="111" s="1"/>
  <c r="Y24" i="107"/>
  <c r="I66" i="111"/>
  <c r="Y24" i="111" s="1"/>
  <c r="AC23" i="107"/>
  <c r="M62" i="111"/>
  <c r="AC23" i="111" s="1"/>
  <c r="U23" i="107"/>
  <c r="E62" i="111"/>
  <c r="U23" i="111" s="1"/>
  <c r="O96" i="107"/>
  <c r="O80" i="107"/>
  <c r="O64" i="107"/>
  <c r="P64" i="107"/>
  <c r="Y33" i="108"/>
  <c r="Y32" i="108"/>
  <c r="Y31" i="108"/>
  <c r="Y30" i="108"/>
  <c r="Y29" i="108"/>
  <c r="Y28" i="108"/>
  <c r="AC27" i="108"/>
  <c r="U27" i="108"/>
  <c r="Y26" i="108"/>
  <c r="S22" i="107"/>
  <c r="P58" i="107"/>
  <c r="AF22" i="107" s="1"/>
  <c r="O58" i="107"/>
  <c r="AD33" i="107"/>
  <c r="Z33" i="107"/>
  <c r="V33" i="107"/>
  <c r="AD32" i="107"/>
  <c r="Z32" i="107"/>
  <c r="V32" i="107"/>
  <c r="AD31" i="107"/>
  <c r="Z31" i="107"/>
  <c r="V31" i="107"/>
  <c r="AD30" i="107"/>
  <c r="Z30" i="107"/>
  <c r="V30" i="107"/>
  <c r="AD29" i="107"/>
  <c r="Z29" i="107"/>
  <c r="V29" i="107"/>
  <c r="AD28" i="107"/>
  <c r="Z28" i="107"/>
  <c r="V28" i="107"/>
  <c r="AD27" i="107"/>
  <c r="Z27" i="107"/>
  <c r="V27" i="107"/>
  <c r="AD26" i="107"/>
  <c r="Z26" i="107"/>
  <c r="V26" i="107"/>
  <c r="AD25" i="107"/>
  <c r="Z25" i="107"/>
  <c r="V25" i="107"/>
  <c r="AD24" i="107"/>
  <c r="Z24" i="107"/>
  <c r="V24" i="107"/>
  <c r="AD23" i="107"/>
  <c r="Z23" i="107"/>
  <c r="V23" i="107"/>
  <c r="O105" i="107"/>
  <c r="O97" i="107"/>
  <c r="O89" i="107"/>
  <c r="O81" i="107"/>
  <c r="O73" i="107"/>
  <c r="O65" i="107"/>
  <c r="P73" i="107"/>
  <c r="P65" i="107"/>
  <c r="S22" i="108"/>
  <c r="P58" i="108"/>
  <c r="AF22" i="108" s="1"/>
  <c r="O58" i="108"/>
  <c r="AD33" i="108"/>
  <c r="Z33" i="108"/>
  <c r="V33" i="108"/>
  <c r="AD32" i="108"/>
  <c r="Z32" i="108"/>
  <c r="V32" i="108"/>
  <c r="AD31" i="108"/>
  <c r="Z31" i="108"/>
  <c r="V31" i="108"/>
  <c r="AD30" i="108"/>
  <c r="Z30" i="108"/>
  <c r="V30" i="108"/>
  <c r="AD29" i="108"/>
  <c r="Z29" i="108"/>
  <c r="V29" i="108"/>
  <c r="AD28" i="108"/>
  <c r="Z28" i="108"/>
  <c r="V28" i="108"/>
  <c r="AD27" i="108"/>
  <c r="Z27" i="108"/>
  <c r="V27" i="108"/>
  <c r="AD26" i="108"/>
  <c r="Z26" i="108"/>
  <c r="V26" i="108"/>
  <c r="AD25" i="108"/>
  <c r="Z25" i="108"/>
  <c r="V25" i="108"/>
  <c r="AD24" i="108"/>
  <c r="Z24" i="108"/>
  <c r="V24" i="108"/>
  <c r="AD23" i="108"/>
  <c r="Z23" i="108"/>
  <c r="V23" i="108"/>
  <c r="O105" i="108"/>
  <c r="O97" i="108"/>
  <c r="O89" i="108"/>
  <c r="O81" i="108"/>
  <c r="O73" i="108"/>
  <c r="O65" i="108"/>
  <c r="C58" i="111"/>
  <c r="G58" i="111"/>
  <c r="W22" i="111" s="1"/>
  <c r="N102" i="111"/>
  <c r="AD33" i="111" s="1"/>
  <c r="F102" i="111"/>
  <c r="V33" i="111" s="1"/>
  <c r="N98" i="111"/>
  <c r="AD32" i="111" s="1"/>
  <c r="F98" i="111"/>
  <c r="V32" i="111" s="1"/>
  <c r="N94" i="111"/>
  <c r="AD31" i="111" s="1"/>
  <c r="F94" i="111"/>
  <c r="V31" i="111" s="1"/>
  <c r="N90" i="111"/>
  <c r="AD30" i="111" s="1"/>
  <c r="F90" i="111"/>
  <c r="V30" i="111" s="1"/>
  <c r="N86" i="111"/>
  <c r="AD29" i="111" s="1"/>
  <c r="F86" i="111"/>
  <c r="V29" i="111" s="1"/>
  <c r="N82" i="111"/>
  <c r="AD28" i="111" s="1"/>
  <c r="F82" i="111"/>
  <c r="V28" i="111" s="1"/>
  <c r="N78" i="111"/>
  <c r="AD27" i="111" s="1"/>
  <c r="F78" i="111"/>
  <c r="V27" i="111" s="1"/>
  <c r="O93" i="111"/>
  <c r="O77" i="111"/>
  <c r="O61" i="111"/>
  <c r="Y22" i="107"/>
  <c r="X33" i="107"/>
  <c r="T32" i="107"/>
  <c r="AB31" i="107"/>
  <c r="AB30" i="107"/>
  <c r="AB29" i="107"/>
  <c r="AB28" i="107"/>
  <c r="AB27" i="107"/>
  <c r="X27" i="107"/>
  <c r="T27" i="107"/>
  <c r="AB26" i="107"/>
  <c r="X26" i="107"/>
  <c r="T26" i="107"/>
  <c r="AB25" i="107"/>
  <c r="X25" i="107"/>
  <c r="T25" i="107"/>
  <c r="AB24" i="107"/>
  <c r="X24" i="107"/>
  <c r="T24" i="107"/>
  <c r="AB23" i="107"/>
  <c r="X23" i="107"/>
  <c r="T23" i="107"/>
  <c r="O103" i="107"/>
  <c r="O99" i="107"/>
  <c r="O95" i="107"/>
  <c r="O91" i="107"/>
  <c r="O87" i="107"/>
  <c r="O83" i="107"/>
  <c r="O79" i="107"/>
  <c r="O75" i="107"/>
  <c r="O71" i="107"/>
  <c r="O67" i="107"/>
  <c r="O63" i="107"/>
  <c r="O59" i="107"/>
  <c r="P103" i="107"/>
  <c r="P99" i="107"/>
  <c r="P95" i="107"/>
  <c r="P91" i="107"/>
  <c r="P87" i="107"/>
  <c r="P83" i="107"/>
  <c r="P79" i="107"/>
  <c r="P75" i="107"/>
  <c r="P71" i="107"/>
  <c r="P67" i="107"/>
  <c r="P63" i="107"/>
  <c r="P59" i="107"/>
  <c r="AC22" i="108"/>
  <c r="Y22" i="108"/>
  <c r="U22" i="108"/>
  <c r="AB33" i="108"/>
  <c r="X33" i="108"/>
  <c r="T33" i="108"/>
  <c r="AB32" i="108"/>
  <c r="X32" i="108"/>
  <c r="T32" i="108"/>
  <c r="AB31" i="108"/>
  <c r="X31" i="108"/>
  <c r="T31" i="108"/>
  <c r="AB30" i="108"/>
  <c r="X30" i="108"/>
  <c r="T30" i="108"/>
  <c r="AB29" i="108"/>
  <c r="X29" i="108"/>
  <c r="T29" i="108"/>
  <c r="AB28" i="108"/>
  <c r="X28" i="108"/>
  <c r="T28" i="108"/>
  <c r="AB27" i="108"/>
  <c r="X27" i="108"/>
  <c r="T27" i="108"/>
  <c r="AB26" i="108"/>
  <c r="X26" i="108"/>
  <c r="T26" i="108"/>
  <c r="AB25" i="108"/>
  <c r="X25" i="108"/>
  <c r="T25" i="108"/>
  <c r="AB24" i="108"/>
  <c r="X24" i="108"/>
  <c r="T24" i="108"/>
  <c r="AB23" i="108"/>
  <c r="X23" i="108"/>
  <c r="T23" i="108"/>
  <c r="O103" i="108"/>
  <c r="O99" i="108"/>
  <c r="O95" i="108"/>
  <c r="O91" i="108"/>
  <c r="O87" i="108"/>
  <c r="O83" i="108"/>
  <c r="O79" i="108"/>
  <c r="O75" i="108"/>
  <c r="O71" i="108"/>
  <c r="O67" i="108"/>
  <c r="O63" i="108"/>
  <c r="O59" i="108"/>
  <c r="I58" i="111"/>
  <c r="Y22" i="111" s="1"/>
  <c r="H102" i="111"/>
  <c r="X33" i="111" s="1"/>
  <c r="D98" i="111"/>
  <c r="T32" i="111" s="1"/>
  <c r="L94" i="111"/>
  <c r="AB31" i="111" s="1"/>
  <c r="L90" i="111"/>
  <c r="AB30" i="111" s="1"/>
  <c r="L86" i="111"/>
  <c r="AB29" i="111" s="1"/>
  <c r="L82" i="111"/>
  <c r="AB28" i="111" s="1"/>
  <c r="L78" i="111"/>
  <c r="AB27" i="111" s="1"/>
  <c r="H78" i="111"/>
  <c r="X27" i="111" s="1"/>
  <c r="D78" i="111"/>
  <c r="T27" i="111" s="1"/>
  <c r="L74" i="111"/>
  <c r="AB26" i="111" s="1"/>
  <c r="H74" i="111"/>
  <c r="X26" i="111" s="1"/>
  <c r="D74" i="111"/>
  <c r="T26" i="111" s="1"/>
  <c r="L70" i="111"/>
  <c r="AB25" i="111" s="1"/>
  <c r="H70" i="111"/>
  <c r="X25" i="111" s="1"/>
  <c r="D70" i="111"/>
  <c r="T25" i="111" s="1"/>
  <c r="L66" i="111"/>
  <c r="AB24" i="111" s="1"/>
  <c r="H66" i="111"/>
  <c r="X24" i="111" s="1"/>
  <c r="D66" i="111"/>
  <c r="T24" i="111" s="1"/>
  <c r="L62" i="111"/>
  <c r="AB23" i="111" s="1"/>
  <c r="H62" i="111"/>
  <c r="X23" i="111" s="1"/>
  <c r="D62" i="111"/>
  <c r="T23" i="111" s="1"/>
  <c r="AC22" i="107"/>
  <c r="U22" i="107"/>
  <c r="AB33" i="107"/>
  <c r="T33" i="107"/>
  <c r="AB32" i="107"/>
  <c r="X32" i="107"/>
  <c r="X31" i="107"/>
  <c r="T31" i="107"/>
  <c r="X30" i="107"/>
  <c r="T30" i="107"/>
  <c r="X29" i="107"/>
  <c r="T29" i="107"/>
  <c r="X28" i="107"/>
  <c r="T28" i="107"/>
  <c r="AA33" i="107"/>
  <c r="W33" i="107"/>
  <c r="S33" i="107"/>
  <c r="AA32" i="107"/>
  <c r="W32" i="107"/>
  <c r="S32" i="107"/>
  <c r="AA31" i="107"/>
  <c r="W31" i="107"/>
  <c r="S31" i="107"/>
  <c r="AA30" i="107"/>
  <c r="W30" i="107"/>
  <c r="S30" i="107"/>
  <c r="AA29" i="107"/>
  <c r="W29" i="107"/>
  <c r="S29" i="107"/>
  <c r="AA28" i="107"/>
  <c r="W28" i="107"/>
  <c r="S28" i="107"/>
  <c r="AA27" i="107"/>
  <c r="W27" i="107"/>
  <c r="S27" i="107"/>
  <c r="AA26" i="107"/>
  <c r="W26" i="107"/>
  <c r="S26" i="107"/>
  <c r="AA25" i="107"/>
  <c r="W25" i="107"/>
  <c r="S25" i="107"/>
  <c r="AA24" i="107"/>
  <c r="W24" i="107"/>
  <c r="S24" i="107"/>
  <c r="AA23" i="107"/>
  <c r="W23" i="107"/>
  <c r="S23" i="107"/>
  <c r="O102" i="107"/>
  <c r="AE33" i="107" s="1"/>
  <c r="O98" i="107"/>
  <c r="AE32" i="107" s="1"/>
  <c r="O94" i="107"/>
  <c r="O90" i="107"/>
  <c r="O86" i="107"/>
  <c r="AE29" i="107" s="1"/>
  <c r="O82" i="107"/>
  <c r="AE28" i="107" s="1"/>
  <c r="O78" i="107"/>
  <c r="O74" i="107"/>
  <c r="O70" i="107"/>
  <c r="AE25" i="107" s="1"/>
  <c r="O66" i="107"/>
  <c r="AE24" i="107" s="1"/>
  <c r="O62" i="107"/>
  <c r="P102" i="107"/>
  <c r="P98" i="107"/>
  <c r="P94" i="107"/>
  <c r="AF31" i="107" s="1"/>
  <c r="P90" i="107"/>
  <c r="AF30" i="107" s="1"/>
  <c r="P86" i="107"/>
  <c r="AF29" i="107" s="1"/>
  <c r="P82" i="107"/>
  <c r="AF28" i="107" s="1"/>
  <c r="P78" i="107"/>
  <c r="AF27" i="107" s="1"/>
  <c r="P74" i="107"/>
  <c r="P70" i="107"/>
  <c r="AF25" i="107" s="1"/>
  <c r="P66" i="107"/>
  <c r="P62" i="107"/>
  <c r="AF23" i="107" s="1"/>
  <c r="AA33" i="108"/>
  <c r="W33" i="108"/>
  <c r="S33" i="108"/>
  <c r="AA32" i="108"/>
  <c r="W32" i="108"/>
  <c r="S32" i="108"/>
  <c r="AA31" i="108"/>
  <c r="W31" i="108"/>
  <c r="S31" i="108"/>
  <c r="AA30" i="108"/>
  <c r="W30" i="108"/>
  <c r="S30" i="108"/>
  <c r="AA29" i="108"/>
  <c r="W29" i="108"/>
  <c r="S29" i="108"/>
  <c r="AA28" i="108"/>
  <c r="W28" i="108"/>
  <c r="S28" i="108"/>
  <c r="AA27" i="108"/>
  <c r="W27" i="108"/>
  <c r="S27" i="108"/>
  <c r="AA26" i="108"/>
  <c r="W26" i="108"/>
  <c r="S26" i="108"/>
  <c r="AA25" i="108"/>
  <c r="W25" i="108"/>
  <c r="S25" i="108"/>
  <c r="AA24" i="108"/>
  <c r="W24" i="108"/>
  <c r="S24" i="108"/>
  <c r="AA23" i="108"/>
  <c r="W23" i="108"/>
  <c r="S23" i="108"/>
  <c r="O102" i="108"/>
  <c r="O98" i="108"/>
  <c r="AE32" i="108" s="1"/>
  <c r="O94" i="108"/>
  <c r="AE31" i="108" s="1"/>
  <c r="O90" i="108"/>
  <c r="O86" i="108"/>
  <c r="O82" i="108"/>
  <c r="AE28" i="108" s="1"/>
  <c r="O78" i="108"/>
  <c r="AE27" i="108" s="1"/>
  <c r="O74" i="108"/>
  <c r="O70" i="108"/>
  <c r="O66" i="108"/>
  <c r="AE24" i="108" s="1"/>
  <c r="O62" i="108"/>
  <c r="AE23" i="108" s="1"/>
  <c r="P102" i="108"/>
  <c r="AF33" i="108" s="1"/>
  <c r="P98" i="108"/>
  <c r="P94" i="108"/>
  <c r="P90" i="108"/>
  <c r="AF30" i="108" s="1"/>
  <c r="P86" i="108"/>
  <c r="AF29" i="108" s="1"/>
  <c r="P82" i="108"/>
  <c r="P78" i="108"/>
  <c r="P74" i="108"/>
  <c r="AF26" i="108" s="1"/>
  <c r="P70" i="108"/>
  <c r="AF25" i="108" s="1"/>
  <c r="P66" i="108"/>
  <c r="P62" i="108"/>
  <c r="L58" i="111"/>
  <c r="AB22" i="111" s="1"/>
  <c r="H58" i="111"/>
  <c r="X22" i="111" s="1"/>
  <c r="D58" i="111"/>
  <c r="T22" i="111" s="1"/>
  <c r="K102" i="111"/>
  <c r="AA33" i="111" s="1"/>
  <c r="G102" i="111"/>
  <c r="W33" i="111" s="1"/>
  <c r="C102" i="111"/>
  <c r="K98" i="111"/>
  <c r="AA32" i="111" s="1"/>
  <c r="G98" i="111"/>
  <c r="W32" i="111" s="1"/>
  <c r="C98" i="111"/>
  <c r="K94" i="111"/>
  <c r="AA31" i="111" s="1"/>
  <c r="G94" i="111"/>
  <c r="W31" i="111" s="1"/>
  <c r="C94" i="111"/>
  <c r="K90" i="111"/>
  <c r="AA30" i="111" s="1"/>
  <c r="G90" i="111"/>
  <c r="W30" i="111" s="1"/>
  <c r="C90" i="111"/>
  <c r="K86" i="111"/>
  <c r="AA29" i="111" s="1"/>
  <c r="G86" i="111"/>
  <c r="W29" i="111" s="1"/>
  <c r="C86" i="111"/>
  <c r="K82" i="111"/>
  <c r="AA28" i="111" s="1"/>
  <c r="G82" i="111"/>
  <c r="W28" i="111" s="1"/>
  <c r="C82" i="111"/>
  <c r="K78" i="111"/>
  <c r="AA27" i="111" s="1"/>
  <c r="G78" i="111"/>
  <c r="W27" i="111" s="1"/>
  <c r="C78" i="111"/>
  <c r="K74" i="111"/>
  <c r="AA26" i="111" s="1"/>
  <c r="G74" i="111"/>
  <c r="W26" i="111" s="1"/>
  <c r="C74" i="111"/>
  <c r="K70" i="111"/>
  <c r="AA25" i="111" s="1"/>
  <c r="G70" i="111"/>
  <c r="W25" i="111" s="1"/>
  <c r="C70" i="111"/>
  <c r="K66" i="111"/>
  <c r="AA24" i="111" s="1"/>
  <c r="G66" i="111"/>
  <c r="W24" i="111" s="1"/>
  <c r="C66" i="111"/>
  <c r="K62" i="111"/>
  <c r="AA23" i="111" s="1"/>
  <c r="G62" i="111"/>
  <c r="W23" i="111" s="1"/>
  <c r="C62" i="111"/>
  <c r="C3" i="94"/>
  <c r="S24" i="111" l="1"/>
  <c r="P66" i="111"/>
  <c r="AF24" i="111" s="1"/>
  <c r="O66" i="111"/>
  <c r="AE24" i="111" s="1"/>
  <c r="S32" i="111"/>
  <c r="P98" i="111"/>
  <c r="AF32" i="111" s="1"/>
  <c r="O98" i="111"/>
  <c r="AE32" i="111" s="1"/>
  <c r="U33" i="111"/>
  <c r="O81" i="111"/>
  <c r="S26" i="111"/>
  <c r="P74" i="111"/>
  <c r="AF26" i="111" s="1"/>
  <c r="O74" i="111"/>
  <c r="AE26" i="111" s="1"/>
  <c r="AF28" i="108"/>
  <c r="AE25" i="108"/>
  <c r="AE33" i="108"/>
  <c r="AE26" i="107"/>
  <c r="S25" i="111"/>
  <c r="P70" i="111"/>
  <c r="AF25" i="111" s="1"/>
  <c r="O70" i="111"/>
  <c r="AE25" i="111" s="1"/>
  <c r="S29" i="111"/>
  <c r="P86" i="111"/>
  <c r="AF29" i="111" s="1"/>
  <c r="O86" i="111"/>
  <c r="S33" i="111"/>
  <c r="P102" i="111"/>
  <c r="AF33" i="111" s="1"/>
  <c r="O102" i="111"/>
  <c r="AE33" i="111" s="1"/>
  <c r="AE26" i="108"/>
  <c r="AE30" i="108"/>
  <c r="AF26" i="107"/>
  <c r="AE23" i="107"/>
  <c r="AE27" i="107"/>
  <c r="AE31" i="107"/>
  <c r="S22" i="111"/>
  <c r="P58" i="111"/>
  <c r="AF22" i="111" s="1"/>
  <c r="O58" i="111"/>
  <c r="AE22" i="111" s="1"/>
  <c r="AE22" i="108"/>
  <c r="AE22" i="107"/>
  <c r="P92" i="111"/>
  <c r="P96" i="111"/>
  <c r="U30" i="111"/>
  <c r="S28" i="111"/>
  <c r="P82" i="111"/>
  <c r="AF28" i="111" s="1"/>
  <c r="O82" i="111"/>
  <c r="AE28" i="111" s="1"/>
  <c r="P105" i="111"/>
  <c r="O105" i="111"/>
  <c r="U27" i="111"/>
  <c r="S23" i="111"/>
  <c r="P62" i="111"/>
  <c r="AF23" i="111" s="1"/>
  <c r="O62" i="111"/>
  <c r="AE23" i="111" s="1"/>
  <c r="S27" i="111"/>
  <c r="P78" i="111"/>
  <c r="AF27" i="111" s="1"/>
  <c r="O78" i="111"/>
  <c r="S31" i="111"/>
  <c r="P94" i="111"/>
  <c r="AF31" i="111" s="1"/>
  <c r="O94" i="111"/>
  <c r="AE31" i="111" s="1"/>
  <c r="AF23" i="108"/>
  <c r="AF27" i="108"/>
  <c r="AF31" i="108"/>
  <c r="AF24" i="107"/>
  <c r="AF32" i="107"/>
  <c r="S30" i="111"/>
  <c r="P90" i="111"/>
  <c r="AF30" i="111" s="1"/>
  <c r="O90" i="111"/>
  <c r="AE30" i="111" s="1"/>
  <c r="AF24" i="108"/>
  <c r="AF32" i="108"/>
  <c r="AE29" i="108"/>
  <c r="AF33" i="107"/>
  <c r="AE30" i="107"/>
  <c r="P89" i="111"/>
  <c r="O89" i="111"/>
  <c r="U31" i="111"/>
  <c r="K6" i="98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AE27" i="111" l="1"/>
  <c r="AE29" i="111"/>
  <c r="K5" i="104"/>
  <c r="K5" i="108" s="1"/>
  <c r="K5" i="111" s="1"/>
  <c r="K5" i="107"/>
  <c r="K6" i="107"/>
  <c r="K6" i="104"/>
  <c r="K6" i="108" s="1"/>
  <c r="K6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V39" i="105" l="1"/>
  <c r="Z39" i="105"/>
  <c r="AA26" i="95"/>
  <c r="W39" i="105"/>
  <c r="AA39" i="105"/>
  <c r="U39" i="109"/>
  <c r="AC39" i="109"/>
  <c r="AA27" i="99"/>
  <c r="X39" i="105"/>
  <c r="X26" i="98"/>
  <c r="AD38" i="101"/>
  <c r="Y39" i="109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AD13" i="108" s="1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Y14" i="108" s="1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S38" i="110" s="1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Y19" i="108" s="1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6" i="108" s="1"/>
  <c r="AA18" i="94"/>
  <c r="K42" i="108"/>
  <c r="M54" i="108"/>
  <c r="M50" i="108"/>
  <c r="AC20" i="108" s="1"/>
  <c r="M46" i="108"/>
  <c r="AC19" i="108" s="1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U20" i="108" s="1"/>
  <c r="C46" i="108"/>
  <c r="S19" i="108" s="1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V11" i="108" s="1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S13" i="108" s="1"/>
  <c r="E22" i="108"/>
  <c r="U13" i="108" s="1"/>
  <c r="G22" i="108"/>
  <c r="I22" i="108"/>
  <c r="K22" i="108"/>
  <c r="AA13" i="108" s="1"/>
  <c r="M22" i="108"/>
  <c r="AC13" i="108" s="1"/>
  <c r="C23" i="108"/>
  <c r="E23" i="108"/>
  <c r="G23" i="108"/>
  <c r="I23" i="108"/>
  <c r="K23" i="108"/>
  <c r="M23" i="108"/>
  <c r="D106" i="110"/>
  <c r="L106" i="110"/>
  <c r="P27" i="110"/>
  <c r="S14" i="110"/>
  <c r="G54" i="108"/>
  <c r="W21" i="108" s="1"/>
  <c r="C54" i="108"/>
  <c r="S21" i="108" s="1"/>
  <c r="K50" i="108"/>
  <c r="G50" i="108"/>
  <c r="C50" i="108"/>
  <c r="K46" i="108"/>
  <c r="AA19" i="108" s="1"/>
  <c r="G46" i="108"/>
  <c r="G38" i="108"/>
  <c r="G30" i="108"/>
  <c r="W15" i="108" s="1"/>
  <c r="G26" i="108"/>
  <c r="W14" i="108" s="1"/>
  <c r="F22" i="108"/>
  <c r="H12" i="108"/>
  <c r="L12" i="108"/>
  <c r="D13" i="108"/>
  <c r="H13" i="108"/>
  <c r="L13" i="108"/>
  <c r="D14" i="108"/>
  <c r="H14" i="108"/>
  <c r="X11" i="108" s="1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X12" i="108" s="1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X13" i="108" s="1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G106" i="107" l="1"/>
  <c r="W10" i="107"/>
  <c r="V21" i="107"/>
  <c r="AD19" i="107"/>
  <c r="AD16" i="107"/>
  <c r="Z15" i="107"/>
  <c r="AD13" i="107"/>
  <c r="AD12" i="107"/>
  <c r="Z11" i="107"/>
  <c r="X17" i="108"/>
  <c r="Y11" i="108"/>
  <c r="M106" i="108"/>
  <c r="AC10" i="108"/>
  <c r="X19" i="108"/>
  <c r="AD21" i="107"/>
  <c r="Z20" i="107"/>
  <c r="V19" i="107"/>
  <c r="V18" i="107"/>
  <c r="V17" i="107"/>
  <c r="V16" i="107"/>
  <c r="V15" i="107"/>
  <c r="V14" i="107"/>
  <c r="V13" i="107"/>
  <c r="V12" i="107"/>
  <c r="V11" i="107"/>
  <c r="X18" i="108"/>
  <c r="X21" i="108"/>
  <c r="N106" i="107"/>
  <c r="AD10" i="107"/>
  <c r="F106" i="107"/>
  <c r="V10" i="107"/>
  <c r="Y21" i="107"/>
  <c r="AC20" i="107"/>
  <c r="U20" i="107"/>
  <c r="AC19" i="107"/>
  <c r="U19" i="107"/>
  <c r="AC18" i="107"/>
  <c r="U18" i="107"/>
  <c r="AC17" i="107"/>
  <c r="U17" i="107"/>
  <c r="U16" i="107"/>
  <c r="Y15" i="107"/>
  <c r="Y14" i="107"/>
  <c r="U13" i="107"/>
  <c r="AC12" i="107"/>
  <c r="AC11" i="107"/>
  <c r="D106" i="108"/>
  <c r="T10" i="108"/>
  <c r="AD18" i="108"/>
  <c r="V18" i="108"/>
  <c r="AD17" i="108"/>
  <c r="V17" i="108"/>
  <c r="AD16" i="108"/>
  <c r="V16" i="108"/>
  <c r="AD15" i="108"/>
  <c r="V15" i="108"/>
  <c r="AD14" i="108"/>
  <c r="AD35" i="108" s="1"/>
  <c r="V14" i="108"/>
  <c r="T13" i="108"/>
  <c r="T12" i="108"/>
  <c r="T11" i="108"/>
  <c r="S20" i="108"/>
  <c r="V12" i="108"/>
  <c r="S14" i="108"/>
  <c r="S35" i="108" s="1"/>
  <c r="AA14" i="108"/>
  <c r="AA38" i="108" s="1"/>
  <c r="U19" i="108"/>
  <c r="Y18" i="108"/>
  <c r="U17" i="108"/>
  <c r="Y16" i="108"/>
  <c r="U14" i="108"/>
  <c r="W12" i="108"/>
  <c r="W11" i="108"/>
  <c r="K106" i="108"/>
  <c r="AA10" i="108"/>
  <c r="AD21" i="108"/>
  <c r="V21" i="108"/>
  <c r="AD20" i="108"/>
  <c r="V20" i="108"/>
  <c r="V39" i="108" s="1"/>
  <c r="AD19" i="108"/>
  <c r="Z13" i="108"/>
  <c r="C106" i="107"/>
  <c r="S10" i="107"/>
  <c r="Z21" i="107"/>
  <c r="V20" i="107"/>
  <c r="Z19" i="107"/>
  <c r="Z18" i="107"/>
  <c r="Z17" i="107"/>
  <c r="Z16" i="107"/>
  <c r="AD15" i="107"/>
  <c r="Z14" i="107"/>
  <c r="X16" i="108"/>
  <c r="X14" i="108"/>
  <c r="X38" i="108" s="1"/>
  <c r="S39" i="108"/>
  <c r="S36" i="108"/>
  <c r="F106" i="108"/>
  <c r="V10" i="108"/>
  <c r="AC18" i="108"/>
  <c r="Y12" i="108"/>
  <c r="AC16" i="107"/>
  <c r="U15" i="107"/>
  <c r="AC13" i="107"/>
  <c r="U12" i="107"/>
  <c r="Y11" i="107"/>
  <c r="M106" i="107"/>
  <c r="AC10" i="107"/>
  <c r="E106" i="107"/>
  <c r="U10" i="107"/>
  <c r="T21" i="107"/>
  <c r="X20" i="107"/>
  <c r="X19" i="107"/>
  <c r="X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AF32" i="101"/>
  <c r="AF33" i="101"/>
  <c r="H106" i="108"/>
  <c r="X10" i="108"/>
  <c r="T19" i="108"/>
  <c r="AB18" i="108"/>
  <c r="T18" i="108"/>
  <c r="AB17" i="108"/>
  <c r="T17" i="108"/>
  <c r="AB16" i="108"/>
  <c r="T16" i="108"/>
  <c r="AB15" i="108"/>
  <c r="T15" i="108"/>
  <c r="AB14" i="108"/>
  <c r="T14" i="108"/>
  <c r="W17" i="108"/>
  <c r="W20" i="108"/>
  <c r="Y13" i="108"/>
  <c r="Y20" i="108"/>
  <c r="Y36" i="108" s="1"/>
  <c r="S15" i="108"/>
  <c r="U21" i="108"/>
  <c r="N106" i="108"/>
  <c r="AD10" i="108"/>
  <c r="S16" i="108"/>
  <c r="AC21" i="108"/>
  <c r="AC36" i="108" s="1"/>
  <c r="W18" i="108"/>
  <c r="AC17" i="108"/>
  <c r="W16" i="108"/>
  <c r="AC15" i="108"/>
  <c r="AC12" i="108"/>
  <c r="U12" i="108"/>
  <c r="AC11" i="108"/>
  <c r="U11" i="108"/>
  <c r="I106" i="108"/>
  <c r="Y10" i="108"/>
  <c r="AB21" i="108"/>
  <c r="T21" i="108"/>
  <c r="AB20" i="108"/>
  <c r="T20" i="108"/>
  <c r="AB19" i="108"/>
  <c r="AD11" i="108"/>
  <c r="K106" i="107"/>
  <c r="AA10" i="107"/>
  <c r="AD20" i="107"/>
  <c r="AD18" i="107"/>
  <c r="AD17" i="107"/>
  <c r="AD14" i="107"/>
  <c r="Z13" i="107"/>
  <c r="Z12" i="107"/>
  <c r="AD11" i="107"/>
  <c r="C106" i="108"/>
  <c r="S10" i="108"/>
  <c r="X15" i="108"/>
  <c r="X35" i="108" s="1"/>
  <c r="AC39" i="108"/>
  <c r="Y17" i="108"/>
  <c r="AC16" i="108"/>
  <c r="U15" i="108"/>
  <c r="U35" i="108" s="1"/>
  <c r="E106" i="108"/>
  <c r="U10" i="108"/>
  <c r="X20" i="108"/>
  <c r="Z12" i="108"/>
  <c r="J106" i="107"/>
  <c r="Z10" i="107"/>
  <c r="AC21" i="107"/>
  <c r="U21" i="107"/>
  <c r="Y20" i="107"/>
  <c r="Y36" i="107" s="1"/>
  <c r="Y19" i="107"/>
  <c r="Y18" i="107"/>
  <c r="Y17" i="107"/>
  <c r="Y16" i="107"/>
  <c r="AC15" i="107"/>
  <c r="AC14" i="107"/>
  <c r="U14" i="107"/>
  <c r="U38" i="107" s="1"/>
  <c r="Y13" i="107"/>
  <c r="Y12" i="107"/>
  <c r="U11" i="107"/>
  <c r="I106" i="107"/>
  <c r="Y10" i="107"/>
  <c r="AB21" i="107"/>
  <c r="X21" i="107"/>
  <c r="AB20" i="107"/>
  <c r="T20" i="107"/>
  <c r="AB19" i="107"/>
  <c r="T19" i="107"/>
  <c r="AB18" i="107"/>
  <c r="T18" i="107"/>
  <c r="L106" i="107"/>
  <c r="AB10" i="107"/>
  <c r="H106" i="107"/>
  <c r="X10" i="107"/>
  <c r="D106" i="107"/>
  <c r="T10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AA37" i="107" s="1"/>
  <c r="W11" i="107"/>
  <c r="S11" i="107"/>
  <c r="S41" i="107" s="1"/>
  <c r="L106" i="108"/>
  <c r="AB10" i="108"/>
  <c r="Z18" i="108"/>
  <c r="Z17" i="108"/>
  <c r="Z16" i="108"/>
  <c r="Z15" i="108"/>
  <c r="Z14" i="108"/>
  <c r="AB13" i="108"/>
  <c r="AB12" i="108"/>
  <c r="AB11" i="108"/>
  <c r="V13" i="108"/>
  <c r="W19" i="108"/>
  <c r="AA20" i="108"/>
  <c r="AA36" i="108" s="1"/>
  <c r="W13" i="108"/>
  <c r="AA21" i="108"/>
  <c r="S17" i="108"/>
  <c r="J106" i="108"/>
  <c r="Z10" i="108"/>
  <c r="S18" i="108"/>
  <c r="AA18" i="108"/>
  <c r="AA15" i="108"/>
  <c r="AA35" i="108" s="1"/>
  <c r="U18" i="108"/>
  <c r="AA17" i="108"/>
  <c r="U16" i="108"/>
  <c r="Y15" i="108"/>
  <c r="Y38" i="108" s="1"/>
  <c r="AC14" i="108"/>
  <c r="AC38" i="108" s="1"/>
  <c r="AA12" i="108"/>
  <c r="S12" i="108"/>
  <c r="AA11" i="108"/>
  <c r="AA37" i="108" s="1"/>
  <c r="S11" i="108"/>
  <c r="G106" i="108"/>
  <c r="W10" i="108"/>
  <c r="Z21" i="108"/>
  <c r="Z20" i="108"/>
  <c r="Z19" i="108"/>
  <c r="AD12" i="108"/>
  <c r="Z11" i="108"/>
  <c r="Z26" i="95"/>
  <c r="AF25" i="101"/>
  <c r="AF28" i="101"/>
  <c r="S38" i="105"/>
  <c r="S35" i="110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AA17" i="111" s="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W15" i="111" s="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AA13" i="111" s="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AA12" i="111" s="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AA11" i="111" s="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Z13" i="111" s="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V12" i="111" s="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AB11" i="111" s="1"/>
  <c r="J14" i="111"/>
  <c r="D14" i="111"/>
  <c r="T11" i="111" s="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AC21" i="111" s="1"/>
  <c r="E54" i="111"/>
  <c r="U21" i="111" s="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Y20" i="111" s="1"/>
  <c r="G50" i="111"/>
  <c r="W20" i="111" s="1"/>
  <c r="G49" i="111"/>
  <c r="E49" i="111"/>
  <c r="K48" i="111"/>
  <c r="E48" i="111"/>
  <c r="C48" i="111"/>
  <c r="M47" i="111"/>
  <c r="I47" i="111"/>
  <c r="G47" i="111"/>
  <c r="M46" i="111"/>
  <c r="AC19" i="111" s="1"/>
  <c r="K46" i="111"/>
  <c r="I46" i="111"/>
  <c r="Y19" i="111" s="1"/>
  <c r="C46" i="111"/>
  <c r="S19" i="111" s="1"/>
  <c r="M45" i="111"/>
  <c r="I45" i="111"/>
  <c r="E45" i="111"/>
  <c r="M44" i="111"/>
  <c r="I44" i="111"/>
  <c r="E44" i="111"/>
  <c r="M43" i="111"/>
  <c r="I43" i="111"/>
  <c r="E43" i="111"/>
  <c r="M42" i="111"/>
  <c r="G42" i="111"/>
  <c r="W18" i="111" s="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AC16" i="111" s="1"/>
  <c r="G34" i="111"/>
  <c r="W16" i="111" s="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AC15" i="111" s="1"/>
  <c r="E30" i="111"/>
  <c r="C30" i="111"/>
  <c r="S15" i="111" s="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Y13" i="111" s="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Y12" i="111" s="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Y11" i="111" s="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AF21" i="108" s="1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AF11" i="108" s="1"/>
  <c r="O41" i="108"/>
  <c r="O33" i="108"/>
  <c r="O25" i="108"/>
  <c r="O23" i="108"/>
  <c r="O19" i="108"/>
  <c r="O15" i="108"/>
  <c r="P50" i="108"/>
  <c r="P42" i="108"/>
  <c r="AF18" i="108" s="1"/>
  <c r="P34" i="108"/>
  <c r="O54" i="108"/>
  <c r="AE21" i="108" s="1"/>
  <c r="O42" i="108"/>
  <c r="O34" i="108"/>
  <c r="AE16" i="108" s="1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AE21" i="107" s="1"/>
  <c r="P53" i="107"/>
  <c r="O53" i="107"/>
  <c r="O52" i="107"/>
  <c r="P52" i="107"/>
  <c r="O51" i="107"/>
  <c r="P51" i="107"/>
  <c r="O50" i="107"/>
  <c r="P50" i="107"/>
  <c r="AF20" i="107" s="1"/>
  <c r="P49" i="107"/>
  <c r="O49" i="107"/>
  <c r="P48" i="107"/>
  <c r="O48" i="107"/>
  <c r="P47" i="107"/>
  <c r="O47" i="107"/>
  <c r="O46" i="107"/>
  <c r="P46" i="107"/>
  <c r="AF19" i="107" s="1"/>
  <c r="P45" i="107"/>
  <c r="O45" i="107"/>
  <c r="O44" i="107"/>
  <c r="P44" i="107"/>
  <c r="O43" i="107"/>
  <c r="P43" i="107"/>
  <c r="O42" i="107"/>
  <c r="P42" i="107"/>
  <c r="AF18" i="107" s="1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AE12" i="107" s="1"/>
  <c r="O16" i="107"/>
  <c r="O14" i="107"/>
  <c r="AE11" i="107" s="1"/>
  <c r="O12" i="107"/>
  <c r="P26" i="107"/>
  <c r="AF14" i="107" s="1"/>
  <c r="P38" i="107"/>
  <c r="P30" i="107"/>
  <c r="AF15" i="107" s="1"/>
  <c r="P34" i="107"/>
  <c r="O30" i="107"/>
  <c r="AE15" i="107" s="1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F17" i="107" l="1"/>
  <c r="AE14" i="107"/>
  <c r="AE16" i="107"/>
  <c r="AE17" i="107"/>
  <c r="AF13" i="107"/>
  <c r="AF12" i="108"/>
  <c r="AF16" i="108"/>
  <c r="AE19" i="108"/>
  <c r="AE12" i="108"/>
  <c r="AF19" i="108"/>
  <c r="O106" i="108"/>
  <c r="AE10" i="108"/>
  <c r="G106" i="111"/>
  <c r="W10" i="111"/>
  <c r="U11" i="111"/>
  <c r="U12" i="111"/>
  <c r="U13" i="111"/>
  <c r="W14" i="111"/>
  <c r="U15" i="111"/>
  <c r="S21" i="111"/>
  <c r="F106" i="111"/>
  <c r="V10" i="111"/>
  <c r="AB13" i="111"/>
  <c r="AD14" i="111"/>
  <c r="AD15" i="111"/>
  <c r="AD16" i="111"/>
  <c r="AD17" i="111"/>
  <c r="AD18" i="111"/>
  <c r="AD19" i="111"/>
  <c r="AD20" i="111"/>
  <c r="AD21" i="111"/>
  <c r="W11" i="111"/>
  <c r="W12" i="111"/>
  <c r="W13" i="111"/>
  <c r="U14" i="111"/>
  <c r="U16" i="111"/>
  <c r="X11" i="111"/>
  <c r="Z12" i="111"/>
  <c r="AD13" i="111"/>
  <c r="AB14" i="111"/>
  <c r="AB15" i="111"/>
  <c r="AB16" i="111"/>
  <c r="AB17" i="111"/>
  <c r="AB18" i="111"/>
  <c r="AB19" i="111"/>
  <c r="AB20" i="111"/>
  <c r="AB21" i="111"/>
  <c r="M106" i="111"/>
  <c r="AC10" i="111"/>
  <c r="U17" i="111"/>
  <c r="U18" i="111"/>
  <c r="U19" i="111"/>
  <c r="S20" i="111"/>
  <c r="S36" i="111" s="1"/>
  <c r="W21" i="111"/>
  <c r="D106" i="111"/>
  <c r="T10" i="111"/>
  <c r="W38" i="107"/>
  <c r="W35" i="107"/>
  <c r="X40" i="107"/>
  <c r="X41" i="107"/>
  <c r="X37" i="107"/>
  <c r="X34" i="107"/>
  <c r="Y41" i="107"/>
  <c r="Y40" i="107"/>
  <c r="Y34" i="107"/>
  <c r="Y37" i="107"/>
  <c r="Y35" i="107"/>
  <c r="AA40" i="107"/>
  <c r="AA41" i="107"/>
  <c r="AA42" i="107" s="1"/>
  <c r="AA34" i="107"/>
  <c r="Y34" i="108"/>
  <c r="Y37" i="108"/>
  <c r="Y41" i="108"/>
  <c r="Y42" i="108" s="1"/>
  <c r="Y40" i="108"/>
  <c r="AD41" i="108"/>
  <c r="AD37" i="108"/>
  <c r="AD40" i="108"/>
  <c r="AD42" i="108" s="1"/>
  <c r="AD34" i="108"/>
  <c r="U41" i="107"/>
  <c r="U34" i="107"/>
  <c r="U40" i="107"/>
  <c r="U42" i="107" s="1"/>
  <c r="U37" i="107"/>
  <c r="V41" i="108"/>
  <c r="V40" i="108"/>
  <c r="V34" i="108"/>
  <c r="V37" i="108"/>
  <c r="AD39" i="108"/>
  <c r="AD36" i="108"/>
  <c r="S38" i="108"/>
  <c r="Y38" i="107"/>
  <c r="AC39" i="107"/>
  <c r="V41" i="107"/>
  <c r="V40" i="107"/>
  <c r="V42" i="107" s="1"/>
  <c r="V37" i="107"/>
  <c r="V34" i="107"/>
  <c r="AD38" i="108"/>
  <c r="V39" i="107"/>
  <c r="V36" i="107"/>
  <c r="AC41" i="108"/>
  <c r="AC34" i="108"/>
  <c r="AC40" i="108"/>
  <c r="AC42" i="108" s="1"/>
  <c r="AC37" i="108"/>
  <c r="AA39" i="108"/>
  <c r="AD39" i="107"/>
  <c r="AD36" i="107"/>
  <c r="O106" i="107"/>
  <c r="AE10" i="107"/>
  <c r="AF12" i="107"/>
  <c r="AE13" i="108"/>
  <c r="AF17" i="108"/>
  <c r="K106" i="111"/>
  <c r="AA10" i="111"/>
  <c r="Y36" i="111"/>
  <c r="H106" i="111"/>
  <c r="X10" i="111"/>
  <c r="AA14" i="111"/>
  <c r="AA35" i="111" s="1"/>
  <c r="Y15" i="111"/>
  <c r="Y16" i="111"/>
  <c r="Y38" i="111" s="1"/>
  <c r="AD11" i="111"/>
  <c r="C106" i="111"/>
  <c r="S10" i="111"/>
  <c r="Y18" i="111"/>
  <c r="W19" i="111"/>
  <c r="U20" i="111"/>
  <c r="Y21" i="111"/>
  <c r="Y39" i="111" s="1"/>
  <c r="J106" i="111"/>
  <c r="Z10" i="111"/>
  <c r="W40" i="108"/>
  <c r="W37" i="108"/>
  <c r="W34" i="108"/>
  <c r="W36" i="108"/>
  <c r="W39" i="108"/>
  <c r="AB38" i="108"/>
  <c r="AB35" i="108"/>
  <c r="S42" i="107"/>
  <c r="AA38" i="107"/>
  <c r="AA35" i="107"/>
  <c r="S36" i="107"/>
  <c r="S39" i="107"/>
  <c r="Y35" i="108"/>
  <c r="T38" i="107"/>
  <c r="T35" i="107"/>
  <c r="X36" i="107"/>
  <c r="X39" i="107"/>
  <c r="S40" i="107"/>
  <c r="S34" i="107"/>
  <c r="S37" i="107"/>
  <c r="AA40" i="108"/>
  <c r="AA41" i="108"/>
  <c r="AA34" i="108"/>
  <c r="U38" i="108"/>
  <c r="U39" i="108"/>
  <c r="U36" i="108"/>
  <c r="V36" i="108"/>
  <c r="U36" i="107"/>
  <c r="AD35" i="107"/>
  <c r="AD38" i="107"/>
  <c r="P106" i="107"/>
  <c r="AF10" i="107"/>
  <c r="AF16" i="107"/>
  <c r="AE18" i="107"/>
  <c r="AE19" i="107"/>
  <c r="AE20" i="107"/>
  <c r="AF21" i="107"/>
  <c r="AF36" i="107" s="1"/>
  <c r="AF11" i="107"/>
  <c r="AE18" i="108"/>
  <c r="AF20" i="108"/>
  <c r="AF15" i="108"/>
  <c r="AE20" i="108"/>
  <c r="AE14" i="108"/>
  <c r="P106" i="108"/>
  <c r="AF10" i="108"/>
  <c r="AC11" i="111"/>
  <c r="AC12" i="111"/>
  <c r="AC13" i="111"/>
  <c r="Y17" i="111"/>
  <c r="AC18" i="111"/>
  <c r="AA19" i="111"/>
  <c r="N106" i="111"/>
  <c r="AD10" i="111"/>
  <c r="Z11" i="111"/>
  <c r="V13" i="111"/>
  <c r="V14" i="111"/>
  <c r="V15" i="111"/>
  <c r="V16" i="111"/>
  <c r="V17" i="111"/>
  <c r="V18" i="111"/>
  <c r="V19" i="111"/>
  <c r="V20" i="111"/>
  <c r="V21" i="111"/>
  <c r="AC14" i="111"/>
  <c r="AA15" i="111"/>
  <c r="AA16" i="111"/>
  <c r="T14" i="111"/>
  <c r="T38" i="111" s="1"/>
  <c r="T15" i="111"/>
  <c r="T16" i="111"/>
  <c r="T17" i="111"/>
  <c r="T18" i="111"/>
  <c r="T19" i="111"/>
  <c r="T20" i="111"/>
  <c r="T21" i="111"/>
  <c r="E106" i="111"/>
  <c r="U10" i="111"/>
  <c r="AA18" i="111"/>
  <c r="AA20" i="111"/>
  <c r="AA21" i="111"/>
  <c r="L106" i="111"/>
  <c r="AB10" i="111"/>
  <c r="Z39" i="108"/>
  <c r="Z36" i="108"/>
  <c r="V35" i="108"/>
  <c r="V38" i="108"/>
  <c r="W41" i="107"/>
  <c r="W39" i="107"/>
  <c r="W36" i="107"/>
  <c r="T40" i="107"/>
  <c r="T34" i="107"/>
  <c r="T41" i="107"/>
  <c r="T42" i="107" s="1"/>
  <c r="T37" i="107"/>
  <c r="AB40" i="107"/>
  <c r="AB37" i="107"/>
  <c r="AB41" i="107"/>
  <c r="AB42" i="107" s="1"/>
  <c r="AB34" i="107"/>
  <c r="T36" i="107"/>
  <c r="T39" i="107"/>
  <c r="AC38" i="107"/>
  <c r="T36" i="108"/>
  <c r="T39" i="108"/>
  <c r="X38" i="107"/>
  <c r="X35" i="107"/>
  <c r="AC40" i="107"/>
  <c r="AC37" i="107"/>
  <c r="AC34" i="107"/>
  <c r="AC41" i="107"/>
  <c r="AC42" i="107" s="1"/>
  <c r="AC35" i="107"/>
  <c r="Z39" i="107"/>
  <c r="Z36" i="107"/>
  <c r="T38" i="108"/>
  <c r="T35" i="108"/>
  <c r="AC36" i="107"/>
  <c r="AD41" i="107"/>
  <c r="AD37" i="107"/>
  <c r="AD34" i="107"/>
  <c r="AD40" i="107"/>
  <c r="AD42" i="107" s="1"/>
  <c r="V35" i="107"/>
  <c r="V38" i="107"/>
  <c r="W40" i="107"/>
  <c r="W37" i="107"/>
  <c r="W34" i="107"/>
  <c r="AE41" i="107"/>
  <c r="AE13" i="107"/>
  <c r="AF14" i="108"/>
  <c r="AE11" i="108"/>
  <c r="AE15" i="108"/>
  <c r="AE17" i="108"/>
  <c r="AF13" i="108"/>
  <c r="X42" i="109"/>
  <c r="AC17" i="111"/>
  <c r="AB12" i="111"/>
  <c r="Z14" i="111"/>
  <c r="Z38" i="111" s="1"/>
  <c r="Z15" i="111"/>
  <c r="Z16" i="111"/>
  <c r="Z35" i="111" s="1"/>
  <c r="Z17" i="111"/>
  <c r="Z18" i="111"/>
  <c r="Z19" i="111"/>
  <c r="Z20" i="111"/>
  <c r="Z21" i="111"/>
  <c r="S11" i="111"/>
  <c r="S12" i="111"/>
  <c r="S13" i="111"/>
  <c r="S14" i="111"/>
  <c r="V11" i="111"/>
  <c r="X12" i="111"/>
  <c r="X13" i="111"/>
  <c r="X14" i="111"/>
  <c r="X15" i="111"/>
  <c r="X16" i="111"/>
  <c r="X17" i="111"/>
  <c r="X18" i="111"/>
  <c r="X19" i="111"/>
  <c r="X20" i="111"/>
  <c r="X21" i="111"/>
  <c r="I106" i="111"/>
  <c r="Y10" i="111"/>
  <c r="S17" i="111"/>
  <c r="S18" i="111"/>
  <c r="AC20" i="111"/>
  <c r="AC36" i="111" s="1"/>
  <c r="S41" i="108"/>
  <c r="Z41" i="108"/>
  <c r="Z34" i="108"/>
  <c r="Z37" i="108"/>
  <c r="Z40" i="108"/>
  <c r="Z42" i="108" s="1"/>
  <c r="W35" i="108"/>
  <c r="W38" i="108"/>
  <c r="AB40" i="108"/>
  <c r="AB34" i="108"/>
  <c r="AB41" i="108"/>
  <c r="AB37" i="108"/>
  <c r="S38" i="107"/>
  <c r="S35" i="107"/>
  <c r="AA36" i="107"/>
  <c r="AA39" i="107"/>
  <c r="AB36" i="107"/>
  <c r="AB39" i="107"/>
  <c r="Y39" i="107"/>
  <c r="Z41" i="107"/>
  <c r="Z34" i="107"/>
  <c r="Z40" i="107"/>
  <c r="Z37" i="107"/>
  <c r="U40" i="108"/>
  <c r="U41" i="108"/>
  <c r="U34" i="108"/>
  <c r="U37" i="108"/>
  <c r="S40" i="108"/>
  <c r="S34" i="108"/>
  <c r="S37" i="108"/>
  <c r="Z35" i="107"/>
  <c r="Z38" i="107"/>
  <c r="AB36" i="108"/>
  <c r="AB39" i="108"/>
  <c r="X40" i="108"/>
  <c r="X41" i="108"/>
  <c r="X42" i="108" s="1"/>
  <c r="X34" i="108"/>
  <c r="X37" i="108"/>
  <c r="AB38" i="107"/>
  <c r="AB35" i="107"/>
  <c r="Y39" i="108"/>
  <c r="Z35" i="108"/>
  <c r="Z38" i="108"/>
  <c r="W41" i="108"/>
  <c r="W42" i="108" s="1"/>
  <c r="T40" i="108"/>
  <c r="T37" i="108"/>
  <c r="T41" i="108"/>
  <c r="T34" i="108"/>
  <c r="U35" i="107"/>
  <c r="U39" i="107"/>
  <c r="X36" i="108"/>
  <c r="X39" i="108"/>
  <c r="AC35" i="108"/>
  <c r="V22" i="93"/>
  <c r="AE24" i="98"/>
  <c r="S42" i="110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AE11" i="111" s="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AE17" i="111" s="1"/>
  <c r="O41" i="111"/>
  <c r="P42" i="111"/>
  <c r="P45" i="111"/>
  <c r="O46" i="111"/>
  <c r="AE19" i="111" s="1"/>
  <c r="O48" i="111"/>
  <c r="O50" i="111"/>
  <c r="AE20" i="111" s="1"/>
  <c r="O51" i="111"/>
  <c r="O53" i="111"/>
  <c r="P55" i="111"/>
  <c r="O56" i="111"/>
  <c r="P57" i="111"/>
  <c r="P14" i="111"/>
  <c r="AF11" i="111" s="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AF12" i="111" s="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F107" i="105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O106" i="111" l="1"/>
  <c r="AE10" i="111"/>
  <c r="AF21" i="111"/>
  <c r="AE14" i="111"/>
  <c r="AE13" i="111"/>
  <c r="T42" i="108"/>
  <c r="AB42" i="108"/>
  <c r="Z39" i="111"/>
  <c r="Z36" i="111"/>
  <c r="AE41" i="108"/>
  <c r="W42" i="107"/>
  <c r="AA42" i="108"/>
  <c r="S41" i="111"/>
  <c r="S42" i="111" s="1"/>
  <c r="S37" i="111"/>
  <c r="S34" i="111"/>
  <c r="S40" i="111"/>
  <c r="T35" i="111"/>
  <c r="AA41" i="111"/>
  <c r="AA37" i="111"/>
  <c r="AA34" i="111"/>
  <c r="AA40" i="111"/>
  <c r="W35" i="111"/>
  <c r="W38" i="111"/>
  <c r="V41" i="111"/>
  <c r="V37" i="111"/>
  <c r="V40" i="111"/>
  <c r="V34" i="111"/>
  <c r="S39" i="111"/>
  <c r="AE40" i="108"/>
  <c r="AE37" i="108"/>
  <c r="AE34" i="108"/>
  <c r="AE36" i="108"/>
  <c r="AE39" i="108"/>
  <c r="AF16" i="111"/>
  <c r="AE21" i="111"/>
  <c r="AE39" i="111" s="1"/>
  <c r="AE18" i="111"/>
  <c r="P106" i="111"/>
  <c r="AF10" i="111"/>
  <c r="Z42" i="107"/>
  <c r="S42" i="108"/>
  <c r="Y40" i="111"/>
  <c r="Y34" i="111"/>
  <c r="Y41" i="111"/>
  <c r="Y37" i="111"/>
  <c r="X36" i="111"/>
  <c r="X39" i="111"/>
  <c r="AC39" i="111"/>
  <c r="AF38" i="108"/>
  <c r="AF35" i="108"/>
  <c r="AB40" i="111"/>
  <c r="AB34" i="111"/>
  <c r="AB37" i="111"/>
  <c r="AB41" i="111"/>
  <c r="AB42" i="111" s="1"/>
  <c r="V39" i="111"/>
  <c r="V36" i="111"/>
  <c r="AD41" i="111"/>
  <c r="AD42" i="111" s="1"/>
  <c r="AD37" i="111"/>
  <c r="AD40" i="111"/>
  <c r="AD34" i="111"/>
  <c r="AF40" i="108"/>
  <c r="AF37" i="108"/>
  <c r="AF41" i="108"/>
  <c r="AF34" i="108"/>
  <c r="AF39" i="107"/>
  <c r="AC40" i="111"/>
  <c r="AC34" i="111"/>
  <c r="AC37" i="111"/>
  <c r="AC41" i="111"/>
  <c r="AB36" i="111"/>
  <c r="AB39" i="111"/>
  <c r="AD39" i="111"/>
  <c r="AD36" i="111"/>
  <c r="AF20" i="111"/>
  <c r="AF15" i="111"/>
  <c r="AE16" i="111"/>
  <c r="AF19" i="111"/>
  <c r="U42" i="108"/>
  <c r="AE35" i="107"/>
  <c r="AE38" i="107"/>
  <c r="U40" i="111"/>
  <c r="U34" i="111"/>
  <c r="U41" i="111"/>
  <c r="U37" i="111"/>
  <c r="T36" i="111"/>
  <c r="T39" i="111"/>
  <c r="AC38" i="111"/>
  <c r="AC35" i="111"/>
  <c r="AF40" i="107"/>
  <c r="AF37" i="107"/>
  <c r="AF41" i="107"/>
  <c r="AF42" i="107" s="1"/>
  <c r="AF34" i="107"/>
  <c r="Z41" i="111"/>
  <c r="Z37" i="111"/>
  <c r="Z34" i="111"/>
  <c r="Z40" i="111"/>
  <c r="W39" i="111"/>
  <c r="W36" i="111"/>
  <c r="AA38" i="111"/>
  <c r="X40" i="111"/>
  <c r="X34" i="111"/>
  <c r="X41" i="111"/>
  <c r="X42" i="111" s="1"/>
  <c r="X37" i="111"/>
  <c r="Y35" i="111"/>
  <c r="V42" i="108"/>
  <c r="Y42" i="107"/>
  <c r="X42" i="107"/>
  <c r="T40" i="111"/>
  <c r="T34" i="111"/>
  <c r="T41" i="111"/>
  <c r="T42" i="111" s="1"/>
  <c r="T37" i="111"/>
  <c r="U36" i="111"/>
  <c r="U39" i="111"/>
  <c r="W41" i="111"/>
  <c r="W42" i="111" s="1"/>
  <c r="W37" i="111"/>
  <c r="W40" i="111"/>
  <c r="W34" i="111"/>
  <c r="AF36" i="108"/>
  <c r="AF39" i="108"/>
  <c r="AF18" i="111"/>
  <c r="AE15" i="111"/>
  <c r="AF17" i="111"/>
  <c r="AF14" i="111"/>
  <c r="AF38" i="111" s="1"/>
  <c r="X38" i="111"/>
  <c r="X35" i="111"/>
  <c r="S35" i="111"/>
  <c r="S38" i="111"/>
  <c r="V35" i="111"/>
  <c r="V38" i="111"/>
  <c r="AA39" i="111"/>
  <c r="AA36" i="111"/>
  <c r="AE39" i="107"/>
  <c r="AE36" i="107"/>
  <c r="AE38" i="108"/>
  <c r="AE35" i="108"/>
  <c r="AE40" i="107"/>
  <c r="AE42" i="107" s="1"/>
  <c r="AE34" i="107"/>
  <c r="AE37" i="107"/>
  <c r="AD35" i="111"/>
  <c r="AD38" i="111"/>
  <c r="AB38" i="111"/>
  <c r="AB35" i="111"/>
  <c r="U38" i="111"/>
  <c r="U35" i="111"/>
  <c r="AF38" i="107"/>
  <c r="AF35" i="107"/>
  <c r="H108" i="108"/>
  <c r="H107" i="108"/>
  <c r="C107" i="107"/>
  <c r="H108" i="107"/>
  <c r="K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Z42" i="111" l="1"/>
  <c r="U42" i="111"/>
  <c r="AF36" i="111"/>
  <c r="AF39" i="111"/>
  <c r="AF35" i="111"/>
  <c r="AF42" i="108"/>
  <c r="AF40" i="111"/>
  <c r="AF34" i="111"/>
  <c r="AF41" i="111"/>
  <c r="AF37" i="111"/>
  <c r="V42" i="111"/>
  <c r="AC42" i="111"/>
  <c r="Y42" i="111"/>
  <c r="AE36" i="111"/>
  <c r="AA42" i="111"/>
  <c r="AE42" i="108"/>
  <c r="AE41" i="111"/>
  <c r="AE37" i="111"/>
  <c r="AE40" i="111"/>
  <c r="AE34" i="111"/>
  <c r="AE35" i="111"/>
  <c r="AE38" i="111"/>
  <c r="N107" i="111"/>
  <c r="K108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  <c r="AF42" i="111"/>
</calcChain>
</file>

<file path=xl/sharedStrings.xml><?xml version="1.0" encoding="utf-8"?>
<sst xmlns="http://schemas.openxmlformats.org/spreadsheetml/2006/main" count="2324" uniqueCount="176">
  <si>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</si>
  <si>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</si>
  <si>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</si>
  <si>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</si>
  <si>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</si>
  <si>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</si>
  <si>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</si>
  <si>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</si>
  <si>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</si>
  <si>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</si>
  <si>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</si>
  <si>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</si>
  <si>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</si>
  <si>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</si>
  <si>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</si>
  <si>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</si>
  <si>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</si>
  <si>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</si>
  <si>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</si>
  <si>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</si>
  <si>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</si>
  <si>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</si>
  <si>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</si>
  <si>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</si>
  <si>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</si>
  <si>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</si>
  <si>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</si>
  <si>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</si>
  <si>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</si>
  <si>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</si>
  <si>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</si>
  <si>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</si>
  <si>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</si>
  <si>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</si>
  <si>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</si>
  <si>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</si>
  <si>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</si>
  <si>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</si>
  <si>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</si>
  <si>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</si>
  <si>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</si>
  <si>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</si>
  <si>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</si>
  <si>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</si>
  <si>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</si>
  <si>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</si>
  <si>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</si>
  <si>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</si>
  <si>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</si>
  <si>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</si>
  <si>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</si>
  <si>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</si>
  <si>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</si>
  <si>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</si>
  <si>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</si>
  <si>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</si>
  <si>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</si>
  <si>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</si>
  <si>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</si>
  <si>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</si>
  <si>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</si>
  <si>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</si>
  <si>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</si>
  <si>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</si>
  <si>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</si>
  <si>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</si>
  <si>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</si>
  <si>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</si>
  <si>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</si>
  <si>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</si>
  <si>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</si>
  <si>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</si>
  <si>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</si>
  <si>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</si>
  <si>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</si>
  <si>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</si>
  <si>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</si>
  <si>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</si>
  <si>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</si>
  <si>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</si>
  <si>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</si>
  <si>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</si>
  <si>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</si>
  <si>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</si>
  <si>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</si>
  <si>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</si>
  <si>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</si>
  <si>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</si>
  <si>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</si>
  <si>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</si>
  <si>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</si>
  <si>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</si>
  <si>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</si>
  <si>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</si>
  <si>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</si>
  <si>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</si>
  <si>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</si>
  <si>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</si>
  <si>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</si>
  <si>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</si>
  <si>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</si>
  <si>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</si>
  <si>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</si>
  <si>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</si>
  <si>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</si>
  <si>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</si>
  <si>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</si>
  <si>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</si>
  <si>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</si>
  <si>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</si>
  <si>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</si>
  <si>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</si>
  <si>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</si>
  <si>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</si>
  <si>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</si>
  <si>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</si>
  <si>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</si>
  <si>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</si>
  <si>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</si>
  <si>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</si>
  <si>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</si>
  <si>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</si>
  <si>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</si>
  <si>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</si>
  <si>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</si>
  <si>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</si>
  <si>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</si>
  <si>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</si>
  <si>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</si>
  <si>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</si>
  <si>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</si>
  <si>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</si>
  <si>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</si>
  <si>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</si>
  <si>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</si>
  <si>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</si>
  <si>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</si>
  <si>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</si>
  <si>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</si>
  <si>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</si>
  <si>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</si>
  <si>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</si>
  <si>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</si>
  <si>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</si>
  <si>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</si>
  <si>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</si>
  <si>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</si>
  <si>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</si>
  <si>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</si>
  <si>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</si>
  <si>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</si>
  <si>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</si>
  <si>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</si>
  <si>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</si>
  <si>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</si>
  <si>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</si>
  <si>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</si>
  <si>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</si>
  <si>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</si>
  <si>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</si>
  <si>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</si>
  <si>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</si>
  <si>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xxx</t>
  </si>
  <si>
    <t>AVERAGE WEEK</t>
  </si>
  <si>
    <t>08.08.19</t>
  </si>
  <si>
    <t>Kumi</t>
  </si>
  <si>
    <t>Soroti</t>
  </si>
  <si>
    <t>Mukura</t>
  </si>
  <si>
    <t>09.08.19</t>
  </si>
  <si>
    <t>10.08.19</t>
  </si>
  <si>
    <t>11.08.19</t>
  </si>
  <si>
    <t>12.08.19</t>
  </si>
  <si>
    <t>13.08.19</t>
  </si>
  <si>
    <t>14.08.19</t>
  </si>
  <si>
    <t>MCC - C4 - STN118 - KUMI SOROTI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</si>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</sst>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Kumi-Soroti'!$AE$9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Kumi-Soroti'!$AE$10:$AE$21</c:f>
              <c:numCache>
                <c:formatCode>0</c:formatCode>
                <c:ptCount val="12"/>
                <c:pt idx="0">
                  <c:v>37</c:v>
                </c:pt>
                <c:pt idx="1">
                  <c:v>52</c:v>
                </c:pt>
                <c:pt idx="2">
                  <c:v>44</c:v>
                </c:pt>
                <c:pt idx="3">
                  <c:v>41</c:v>
                </c:pt>
                <c:pt idx="4">
                  <c:v>40</c:v>
                </c:pt>
                <c:pt idx="5">
                  <c:v>47</c:v>
                </c:pt>
                <c:pt idx="6">
                  <c:v>49</c:v>
                </c:pt>
                <c:pt idx="7">
                  <c:v>55</c:v>
                </c:pt>
                <c:pt idx="8">
                  <c:v>53</c:v>
                </c:pt>
                <c:pt idx="9">
                  <c:v>45</c:v>
                </c:pt>
                <c:pt idx="10">
                  <c:v>58</c:v>
                </c:pt>
                <c:pt idx="11">
                  <c:v>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'08.08 Kumi-Soroti'!$AF$9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Kumi-Soroti'!$AF$10:$AF$21</c:f>
              <c:numCache>
                <c:formatCode>0</c:formatCode>
                <c:ptCount val="12"/>
                <c:pt idx="0">
                  <c:v>56</c:v>
                </c:pt>
                <c:pt idx="1">
                  <c:v>89</c:v>
                </c:pt>
                <c:pt idx="2">
                  <c:v>91</c:v>
                </c:pt>
                <c:pt idx="3">
                  <c:v>71</c:v>
                </c:pt>
                <c:pt idx="4">
                  <c:v>58</c:v>
                </c:pt>
                <c:pt idx="5">
                  <c:v>74</c:v>
                </c:pt>
                <c:pt idx="6">
                  <c:v>89</c:v>
                </c:pt>
                <c:pt idx="7">
                  <c:v>72</c:v>
                </c:pt>
                <c:pt idx="8">
                  <c:v>74</c:v>
                </c:pt>
                <c:pt idx="9">
                  <c:v>74</c:v>
                </c:pt>
                <c:pt idx="10">
                  <c:v>103</c:v>
                </c:pt>
                <c:pt idx="11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2331912"/>
        <c:axId val="262329952"/>
      </c:lineChart>
      <c:catAx>
        <c:axId val="2623319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2329952"/>
        <c:crosses val="autoZero"/>
        <c:auto val="1"/>
        <c:lblAlgn val="ctr"/>
        <c:lblOffset val="100"/>
        <c:noMultiLvlLbl val="0"/>
      </c:catAx>
      <c:valAx>
        <c:axId val="262329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233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Kumi-Soroti'!$C$59:$N$59</c:f>
              <c:numCache>
                <c:formatCode>0.0%</c:formatCode>
                <c:ptCount val="12"/>
                <c:pt idx="0">
                  <c:v>7.4514038876889843E-2</c:v>
                </c:pt>
                <c:pt idx="1">
                  <c:v>5.0755939524838013E-2</c:v>
                </c:pt>
                <c:pt idx="2">
                  <c:v>0.1263498920086393</c:v>
                </c:pt>
                <c:pt idx="3">
                  <c:v>0.13066954643628509</c:v>
                </c:pt>
                <c:pt idx="4">
                  <c:v>3.2397408207343412E-3</c:v>
                </c:pt>
                <c:pt idx="5">
                  <c:v>1.511879049676026E-2</c:v>
                </c:pt>
                <c:pt idx="6">
                  <c:v>7.235421166306695E-2</c:v>
                </c:pt>
                <c:pt idx="7">
                  <c:v>3.8876889848812095E-2</c:v>
                </c:pt>
                <c:pt idx="8">
                  <c:v>3.2397408207343412E-3</c:v>
                </c:pt>
                <c:pt idx="9">
                  <c:v>0.10583153347732181</c:v>
                </c:pt>
                <c:pt idx="10">
                  <c:v>0.37904967602591794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Kumi-Soroti'!$C$60:$N$60</c:f>
              <c:numCache>
                <c:formatCode>0.00%</c:formatCode>
                <c:ptCount val="12"/>
                <c:pt idx="0">
                  <c:v>0.12</c:v>
                </c:pt>
                <c:pt idx="1">
                  <c:v>8.1739130434782606E-2</c:v>
                </c:pt>
                <c:pt idx="2">
                  <c:v>0.20347826086956522</c:v>
                </c:pt>
                <c:pt idx="3">
                  <c:v>0.21043478260869566</c:v>
                </c:pt>
                <c:pt idx="4">
                  <c:v>5.2173913043478265E-3</c:v>
                </c:pt>
                <c:pt idx="5">
                  <c:v>2.4347826086956521E-2</c:v>
                </c:pt>
                <c:pt idx="6">
                  <c:v>0.11652173913043479</c:v>
                </c:pt>
                <c:pt idx="7">
                  <c:v>6.2608695652173918E-2</c:v>
                </c:pt>
                <c:pt idx="8">
                  <c:v>5.2173913043478265E-3</c:v>
                </c:pt>
                <c:pt idx="9">
                  <c:v>0.17043478260869566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Soroti-Kumi'!$AE$9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Soroti-Kumi'!$AE$10:$AE$21</c:f>
              <c:numCache>
                <c:formatCode>0</c:formatCode>
                <c:ptCount val="12"/>
                <c:pt idx="0">
                  <c:v>18</c:v>
                </c:pt>
                <c:pt idx="1">
                  <c:v>21</c:v>
                </c:pt>
                <c:pt idx="2">
                  <c:v>43</c:v>
                </c:pt>
                <c:pt idx="3">
                  <c:v>53</c:v>
                </c:pt>
                <c:pt idx="4">
                  <c:v>33</c:v>
                </c:pt>
                <c:pt idx="5">
                  <c:v>46</c:v>
                </c:pt>
                <c:pt idx="6">
                  <c:v>36</c:v>
                </c:pt>
                <c:pt idx="7">
                  <c:v>40</c:v>
                </c:pt>
                <c:pt idx="8">
                  <c:v>52</c:v>
                </c:pt>
                <c:pt idx="9">
                  <c:v>70</c:v>
                </c:pt>
                <c:pt idx="10">
                  <c:v>67</c:v>
                </c:pt>
                <c:pt idx="11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'08.08 Soroti-Kumi'!$AF$9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Soroti-Kumi'!$AF$10:$AF$21</c:f>
              <c:numCache>
                <c:formatCode>0</c:formatCode>
                <c:ptCount val="12"/>
                <c:pt idx="0">
                  <c:v>41</c:v>
                </c:pt>
                <c:pt idx="1">
                  <c:v>54</c:v>
                </c:pt>
                <c:pt idx="2">
                  <c:v>53</c:v>
                </c:pt>
                <c:pt idx="3">
                  <c:v>67</c:v>
                </c:pt>
                <c:pt idx="4">
                  <c:v>51</c:v>
                </c:pt>
                <c:pt idx="5">
                  <c:v>59</c:v>
                </c:pt>
                <c:pt idx="6">
                  <c:v>58</c:v>
                </c:pt>
                <c:pt idx="7">
                  <c:v>52</c:v>
                </c:pt>
                <c:pt idx="8">
                  <c:v>76</c:v>
                </c:pt>
                <c:pt idx="9">
                  <c:v>105</c:v>
                </c:pt>
                <c:pt idx="10">
                  <c:v>98</c:v>
                </c:pt>
                <c:pt idx="11">
                  <c:v>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2333872"/>
        <c:axId val="262335048"/>
      </c:lineChart>
      <c:catAx>
        <c:axId val="262333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2335048"/>
        <c:crosses val="autoZero"/>
        <c:auto val="1"/>
        <c:lblAlgn val="ctr"/>
        <c:lblOffset val="100"/>
        <c:noMultiLvlLbl val="0"/>
      </c:catAx>
      <c:valAx>
        <c:axId val="2623350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233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Soroti-Kumi'!$C$59:$N$59</c:f>
              <c:numCache>
                <c:formatCode>0.0%</c:formatCode>
                <c:ptCount val="12"/>
                <c:pt idx="0">
                  <c:v>7.9545454545454544E-2</c:v>
                </c:pt>
                <c:pt idx="1">
                  <c:v>3.787878787878788E-2</c:v>
                </c:pt>
                <c:pt idx="2">
                  <c:v>0.18813131313131312</c:v>
                </c:pt>
                <c:pt idx="3">
                  <c:v>0.1148989898989899</c:v>
                </c:pt>
                <c:pt idx="4">
                  <c:v>2.5252525252525255E-3</c:v>
                </c:pt>
                <c:pt idx="5">
                  <c:v>1.7676767676767676E-2</c:v>
                </c:pt>
                <c:pt idx="6">
                  <c:v>0.11742424242424243</c:v>
                </c:pt>
                <c:pt idx="7">
                  <c:v>1.7676767676767676E-2</c:v>
                </c:pt>
                <c:pt idx="8">
                  <c:v>2.5252525252525255E-3</c:v>
                </c:pt>
                <c:pt idx="9">
                  <c:v>0.10353535353535354</c:v>
                </c:pt>
                <c:pt idx="10">
                  <c:v>0.31818181818181818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Soroti-Kumi'!$S$9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'08.08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Soroti-Kumi'!$S$10:$S$21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8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'08.08 Soroti-Kumi'!$T$9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'08.08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Soroti-Kumi'!$T$10:$T$21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'08.08 Soroti-Kumi'!$U$9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'08.08 Soroti-Kumi'!$U$10:$U$21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14</c:v>
                </c:pt>
                <c:pt idx="3">
                  <c:v>21</c:v>
                </c:pt>
                <c:pt idx="4">
                  <c:v>14</c:v>
                </c:pt>
                <c:pt idx="5">
                  <c:v>16</c:v>
                </c:pt>
                <c:pt idx="6">
                  <c:v>7</c:v>
                </c:pt>
                <c:pt idx="7">
                  <c:v>7</c:v>
                </c:pt>
                <c:pt idx="8">
                  <c:v>15</c:v>
                </c:pt>
                <c:pt idx="9">
                  <c:v>16</c:v>
                </c:pt>
                <c:pt idx="10">
                  <c:v>14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'08.08 Soroti-Kumi'!$V$9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'08.08 Soroti-Kumi'!$V$10:$V$21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2</c:v>
                </c:pt>
                <c:pt idx="5">
                  <c:v>10</c:v>
                </c:pt>
                <c:pt idx="6">
                  <c:v>12</c:v>
                </c:pt>
                <c:pt idx="7">
                  <c:v>7</c:v>
                </c:pt>
                <c:pt idx="8">
                  <c:v>9</c:v>
                </c:pt>
                <c:pt idx="9">
                  <c:v>16</c:v>
                </c:pt>
                <c:pt idx="10">
                  <c:v>14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'08.08 Soroti-Kumi'!$W$9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'08.08 Soroti-Kumi'!$W$10:$W$21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'08.08 Soroti-Kumi'!$X$9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'08.08 Soroti-Kumi'!$X$10:$X$21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'08.08 Soroti-Kumi'!$Y$9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Soroti-Kumi'!$Y$10:$Y$21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8</c:v>
                </c:pt>
                <c:pt idx="3">
                  <c:v>3</c:v>
                </c:pt>
                <c:pt idx="4">
                  <c:v>2</c:v>
                </c:pt>
                <c:pt idx="5">
                  <c:v>8</c:v>
                </c:pt>
                <c:pt idx="6">
                  <c:v>8</c:v>
                </c:pt>
                <c:pt idx="7">
                  <c:v>12</c:v>
                </c:pt>
                <c:pt idx="8">
                  <c:v>8</c:v>
                </c:pt>
                <c:pt idx="9">
                  <c:v>14</c:v>
                </c:pt>
                <c:pt idx="10">
                  <c:v>13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'08.08 Soroti-Kumi'!$Z$9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Soroti-Kumi'!$Z$10:$Z$21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'08.08 Soroti-Kumi'!$AA$9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Soroti-Kumi'!$AA$10:$AA$21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'08.08 Soroti-Kumi'!$AB$9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Soroti-Kumi'!$AB$10:$AB$21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8</c:v>
                </c:pt>
                <c:pt idx="8">
                  <c:v>5</c:v>
                </c:pt>
                <c:pt idx="9">
                  <c:v>9</c:v>
                </c:pt>
                <c:pt idx="10">
                  <c:v>10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'08.08 Soroti-Kumi'!$AC$9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Soroti-Kumi'!$AC$10:$AC$21</c:f>
              <c:numCache>
                <c:formatCode>0</c:formatCode>
                <c:ptCount val="12"/>
                <c:pt idx="0">
                  <c:v>23</c:v>
                </c:pt>
                <c:pt idx="1">
                  <c:v>33</c:v>
                </c:pt>
                <c:pt idx="2">
                  <c:v>10</c:v>
                </c:pt>
                <c:pt idx="3">
                  <c:v>14</c:v>
                </c:pt>
                <c:pt idx="4">
                  <c:v>18</c:v>
                </c:pt>
                <c:pt idx="5">
                  <c:v>13</c:v>
                </c:pt>
                <c:pt idx="6">
                  <c:v>22</c:v>
                </c:pt>
                <c:pt idx="7">
                  <c:v>12</c:v>
                </c:pt>
                <c:pt idx="8">
                  <c:v>24</c:v>
                </c:pt>
                <c:pt idx="9">
                  <c:v>35</c:v>
                </c:pt>
                <c:pt idx="10">
                  <c:v>31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'08.08 Soroti-Kumi'!$AD$9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Soroti-Kumi'!$AD$10:$AD$21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4012352"/>
        <c:axId val="494006472"/>
      </c:lineChart>
      <c:catAx>
        <c:axId val="4940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4006472"/>
        <c:crosses val="autoZero"/>
        <c:auto val="1"/>
        <c:lblAlgn val="ctr"/>
        <c:lblOffset val="100"/>
        <c:noMultiLvlLbl val="0"/>
      </c:catAx>
      <c:valAx>
        <c:axId val="494006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401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Soroti-Kumi'!$C$60:$N$60</c:f>
              <c:numCache>
                <c:formatCode>0.00%</c:formatCode>
                <c:ptCount val="12"/>
                <c:pt idx="0">
                  <c:v>0.11666666666666667</c:v>
                </c:pt>
                <c:pt idx="1">
                  <c:v>5.5555555555555552E-2</c:v>
                </c:pt>
                <c:pt idx="2">
                  <c:v>0.27592592592592591</c:v>
                </c:pt>
                <c:pt idx="3">
                  <c:v>0.16851851851851851</c:v>
                </c:pt>
                <c:pt idx="4">
                  <c:v>3.7037037037037038E-3</c:v>
                </c:pt>
                <c:pt idx="5">
                  <c:v>2.5925925925925925E-2</c:v>
                </c:pt>
                <c:pt idx="6">
                  <c:v>0.17222222222222222</c:v>
                </c:pt>
                <c:pt idx="7">
                  <c:v>2.5925925925925925E-2</c:v>
                </c:pt>
                <c:pt idx="8">
                  <c:v>3.7037037037037038E-3</c:v>
                </c:pt>
                <c:pt idx="9">
                  <c:v>0.15185185185185185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'09.08 Kumi-Soroti-24h'!$AE$9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'09.08 Kumi-Soroti-24h'!$R$10:$R$33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'09.08 Kumi-Soroti-24h'!$AE$10:$AE$33</c:f>
              <c:numCache>
                <c:formatCode>0</c:formatCode>
                <c:ptCount val="24"/>
                <c:pt idx="0">
                  <c:v>28</c:v>
                </c:pt>
                <c:pt idx="1">
                  <c:v>25</c:v>
                </c:pt>
                <c:pt idx="2">
                  <c:v>43</c:v>
                </c:pt>
                <c:pt idx="3">
                  <c:v>49</c:v>
                </c:pt>
                <c:pt idx="4">
                  <c:v>47</c:v>
                </c:pt>
                <c:pt idx="5">
                  <c:v>37</c:v>
                </c:pt>
                <c:pt idx="6">
                  <c:v>61</c:v>
                </c:pt>
                <c:pt idx="7">
                  <c:v>49</c:v>
                </c:pt>
                <c:pt idx="8">
                  <c:v>36</c:v>
                </c:pt>
                <c:pt idx="9">
                  <c:v>66</c:v>
                </c:pt>
                <c:pt idx="10">
                  <c:v>63</c:v>
                </c:pt>
                <c:pt idx="11">
                  <c:v>38</c:v>
                </c:pt>
                <c:pt idx="12">
                  <c:v>44</c:v>
                </c:pt>
                <c:pt idx="13">
                  <c:v>47</c:v>
                </c:pt>
                <c:pt idx="14">
                  <c:v>45</c:v>
                </c:pt>
                <c:pt idx="15">
                  <c:v>24</c:v>
                </c:pt>
                <c:pt idx="16">
                  <c:v>25</c:v>
                </c:pt>
                <c:pt idx="17">
                  <c:v>31</c:v>
                </c:pt>
                <c:pt idx="18">
                  <c:v>11</c:v>
                </c:pt>
                <c:pt idx="19">
                  <c:v>10</c:v>
                </c:pt>
                <c:pt idx="20">
                  <c:v>22</c:v>
                </c:pt>
                <c:pt idx="21">
                  <c:v>6</c:v>
                </c:pt>
                <c:pt idx="22">
                  <c:v>16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'09.08 Kumi-Soroti-24h'!$AF$9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'09.08 Kumi-Soroti-24h'!$R$10:$R$33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'09.08 Kumi-Soroti-24h'!$AF$10:$AF$33</c:f>
              <c:numCache>
                <c:formatCode>0</c:formatCode>
                <c:ptCount val="24"/>
                <c:pt idx="0">
                  <c:v>47</c:v>
                </c:pt>
                <c:pt idx="1">
                  <c:v>52</c:v>
                </c:pt>
                <c:pt idx="2">
                  <c:v>67</c:v>
                </c:pt>
                <c:pt idx="3">
                  <c:v>77</c:v>
                </c:pt>
                <c:pt idx="4">
                  <c:v>72</c:v>
                </c:pt>
                <c:pt idx="5">
                  <c:v>62</c:v>
                </c:pt>
                <c:pt idx="6">
                  <c:v>89</c:v>
                </c:pt>
                <c:pt idx="7">
                  <c:v>81</c:v>
                </c:pt>
                <c:pt idx="8">
                  <c:v>67</c:v>
                </c:pt>
                <c:pt idx="9">
                  <c:v>100</c:v>
                </c:pt>
                <c:pt idx="10">
                  <c:v>97</c:v>
                </c:pt>
                <c:pt idx="11">
                  <c:v>78</c:v>
                </c:pt>
                <c:pt idx="12">
                  <c:v>77</c:v>
                </c:pt>
                <c:pt idx="13">
                  <c:v>68</c:v>
                </c:pt>
                <c:pt idx="14">
                  <c:v>50</c:v>
                </c:pt>
                <c:pt idx="15">
                  <c:v>33</c:v>
                </c:pt>
                <c:pt idx="16">
                  <c:v>30</c:v>
                </c:pt>
                <c:pt idx="17">
                  <c:v>34</c:v>
                </c:pt>
                <c:pt idx="18">
                  <c:v>11</c:v>
                </c:pt>
                <c:pt idx="19">
                  <c:v>10</c:v>
                </c:pt>
                <c:pt idx="20">
                  <c:v>22</c:v>
                </c:pt>
                <c:pt idx="21">
                  <c:v>6</c:v>
                </c:pt>
                <c:pt idx="22">
                  <c:v>16</c:v>
                </c:pt>
                <c:pt idx="2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2335440"/>
        <c:axId val="534282288"/>
      </c:lineChart>
      <c:catAx>
        <c:axId val="2623354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4282288"/>
        <c:crosses val="autoZero"/>
        <c:auto val="1"/>
        <c:lblAlgn val="ctr"/>
        <c:lblOffset val="100"/>
        <c:noMultiLvlLbl val="0"/>
      </c:catAx>
      <c:valAx>
        <c:axId val="534282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233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Kumi-Soroti-24h'!$C$9:$N$9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Kumi-Soroti-24h'!$C$107:$N$107</c:f>
              <c:numCache>
                <c:formatCode>0.0%</c:formatCode>
                <c:ptCount val="12"/>
                <c:pt idx="0">
                  <c:v>7.5235109717868343E-2</c:v>
                </c:pt>
                <c:pt idx="1">
                  <c:v>1.9592476489028215E-2</c:v>
                </c:pt>
                <c:pt idx="2">
                  <c:v>0.13714733542319749</c:v>
                </c:pt>
                <c:pt idx="3">
                  <c:v>0.1238244514106583</c:v>
                </c:pt>
                <c:pt idx="4">
                  <c:v>3.134796238244514E-3</c:v>
                </c:pt>
                <c:pt idx="5">
                  <c:v>1.8808777429467086E-2</c:v>
                </c:pt>
                <c:pt idx="6">
                  <c:v>0.10893416927899686</c:v>
                </c:pt>
                <c:pt idx="7">
                  <c:v>1.5673981191222569E-2</c:v>
                </c:pt>
                <c:pt idx="8">
                  <c:v>5.4858934169278997E-3</c:v>
                </c:pt>
                <c:pt idx="9">
                  <c:v>0.15830721003134796</c:v>
                </c:pt>
                <c:pt idx="10">
                  <c:v>0.33385579937304077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Kumi-Soroti-24h'!$C$9:$N$9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Kumi-Soroti-24h'!$C$108:$N$108</c:f>
              <c:numCache>
                <c:formatCode>0.00%</c:formatCode>
                <c:ptCount val="12"/>
                <c:pt idx="0">
                  <c:v>0.11294117647058824</c:v>
                </c:pt>
                <c:pt idx="1">
                  <c:v>2.9411764705882353E-2</c:v>
                </c:pt>
                <c:pt idx="2">
                  <c:v>0.20588235294117646</c:v>
                </c:pt>
                <c:pt idx="3">
                  <c:v>0.18588235294117647</c:v>
                </c:pt>
                <c:pt idx="4">
                  <c:v>4.7058823529411761E-3</c:v>
                </c:pt>
                <c:pt idx="5">
                  <c:v>2.823529411764706E-2</c:v>
                </c:pt>
                <c:pt idx="6">
                  <c:v>0.1635294117647059</c:v>
                </c:pt>
                <c:pt idx="7">
                  <c:v>2.3529411764705882E-2</c:v>
                </c:pt>
                <c:pt idx="8">
                  <c:v>8.2352941176470594E-3</c:v>
                </c:pt>
                <c:pt idx="9">
                  <c:v>0.23764705882352941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'09.08 Soroti-Kumi-24h'!$AE$9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'09.08 Soroti-Kumi-24h'!$R$10:$R$33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'09.08 Soroti-Kumi-24h'!$AE$10:$AE$33</c:f>
              <c:numCache>
                <c:formatCode>0</c:formatCode>
                <c:ptCount val="24"/>
                <c:pt idx="0">
                  <c:v>31</c:v>
                </c:pt>
                <c:pt idx="1">
                  <c:v>28</c:v>
                </c:pt>
                <c:pt idx="2">
                  <c:v>29</c:v>
                </c:pt>
                <c:pt idx="3">
                  <c:v>43</c:v>
                </c:pt>
                <c:pt idx="4">
                  <c:v>50</c:v>
                </c:pt>
                <c:pt idx="5">
                  <c:v>34</c:v>
                </c:pt>
                <c:pt idx="6">
                  <c:v>42</c:v>
                </c:pt>
                <c:pt idx="7">
                  <c:v>26</c:v>
                </c:pt>
                <c:pt idx="8">
                  <c:v>58</c:v>
                </c:pt>
                <c:pt idx="9">
                  <c:v>58</c:v>
                </c:pt>
                <c:pt idx="10">
                  <c:v>58</c:v>
                </c:pt>
                <c:pt idx="11">
                  <c:v>83</c:v>
                </c:pt>
                <c:pt idx="12">
                  <c:v>39</c:v>
                </c:pt>
                <c:pt idx="13">
                  <c:v>46</c:v>
                </c:pt>
                <c:pt idx="14">
                  <c:v>29</c:v>
                </c:pt>
                <c:pt idx="15">
                  <c:v>39</c:v>
                </c:pt>
                <c:pt idx="16">
                  <c:v>16</c:v>
                </c:pt>
                <c:pt idx="17">
                  <c:v>17</c:v>
                </c:pt>
                <c:pt idx="18">
                  <c:v>20</c:v>
                </c:pt>
                <c:pt idx="19">
                  <c:v>15</c:v>
                </c:pt>
                <c:pt idx="20">
                  <c:v>10</c:v>
                </c:pt>
                <c:pt idx="21">
                  <c:v>7</c:v>
                </c:pt>
                <c:pt idx="22">
                  <c:v>10</c:v>
                </c:pt>
                <c:pt idx="23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'09.08 Soroti-Kumi-24h'!$AF$9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'09.08 Soroti-Kumi-24h'!$R$10:$R$33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'09.08 Soroti-Kumi-24h'!$AF$10:$AF$33</c:f>
              <c:numCache>
                <c:formatCode>0</c:formatCode>
                <c:ptCount val="24"/>
                <c:pt idx="0">
                  <c:v>54</c:v>
                </c:pt>
                <c:pt idx="1">
                  <c:v>38</c:v>
                </c:pt>
                <c:pt idx="2">
                  <c:v>48</c:v>
                </c:pt>
                <c:pt idx="3">
                  <c:v>66</c:v>
                </c:pt>
                <c:pt idx="4">
                  <c:v>63</c:v>
                </c:pt>
                <c:pt idx="5">
                  <c:v>47</c:v>
                </c:pt>
                <c:pt idx="6">
                  <c:v>62</c:v>
                </c:pt>
                <c:pt idx="7">
                  <c:v>43</c:v>
                </c:pt>
                <c:pt idx="8">
                  <c:v>76</c:v>
                </c:pt>
                <c:pt idx="9">
                  <c:v>73</c:v>
                </c:pt>
                <c:pt idx="10">
                  <c:v>70</c:v>
                </c:pt>
                <c:pt idx="11">
                  <c:v>107</c:v>
                </c:pt>
                <c:pt idx="12">
                  <c:v>51</c:v>
                </c:pt>
                <c:pt idx="13">
                  <c:v>65</c:v>
                </c:pt>
                <c:pt idx="14">
                  <c:v>34</c:v>
                </c:pt>
                <c:pt idx="15">
                  <c:v>44</c:v>
                </c:pt>
                <c:pt idx="16">
                  <c:v>18</c:v>
                </c:pt>
                <c:pt idx="17">
                  <c:v>17</c:v>
                </c:pt>
                <c:pt idx="18">
                  <c:v>20</c:v>
                </c:pt>
                <c:pt idx="19">
                  <c:v>15</c:v>
                </c:pt>
                <c:pt idx="20">
                  <c:v>10</c:v>
                </c:pt>
                <c:pt idx="21">
                  <c:v>7</c:v>
                </c:pt>
                <c:pt idx="22">
                  <c:v>10</c:v>
                </c:pt>
                <c:pt idx="23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4278368"/>
        <c:axId val="534281112"/>
      </c:lineChart>
      <c:catAx>
        <c:axId val="534278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4281112"/>
        <c:crosses val="autoZero"/>
        <c:auto val="1"/>
        <c:lblAlgn val="ctr"/>
        <c:lblOffset val="100"/>
        <c:noMultiLvlLbl val="0"/>
      </c:catAx>
      <c:valAx>
        <c:axId val="5342811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427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Soroti-Kumi-24h'!$C$9:$N$9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Soroti-Kumi-24h'!$C$107:$N$107</c:f>
              <c:numCache>
                <c:formatCode>0.0%</c:formatCode>
                <c:ptCount val="12"/>
                <c:pt idx="0">
                  <c:v>8.2713754646840151E-2</c:v>
                </c:pt>
                <c:pt idx="1">
                  <c:v>8.7360594795539037E-2</c:v>
                </c:pt>
                <c:pt idx="2">
                  <c:v>0.12174721189591078</c:v>
                </c:pt>
                <c:pt idx="3">
                  <c:v>0.10594795539033457</c:v>
                </c:pt>
                <c:pt idx="4">
                  <c:v>4.646840148698885E-3</c:v>
                </c:pt>
                <c:pt idx="5">
                  <c:v>2.4163568773234202E-2</c:v>
                </c:pt>
                <c:pt idx="6">
                  <c:v>0.11524163568773234</c:v>
                </c:pt>
                <c:pt idx="7">
                  <c:v>3.5315985130111527E-2</c:v>
                </c:pt>
                <c:pt idx="8">
                  <c:v>1.2081784386617101E-2</c:v>
                </c:pt>
                <c:pt idx="9">
                  <c:v>0.16449814126394052</c:v>
                </c:pt>
                <c:pt idx="10">
                  <c:v>0.24628252788104088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'09.08 Soroti-Kumi-24h'!$C$9:$N$9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'09.08 Soroti-Kumi-24h'!$C$108:$N$108</c:f>
              <c:numCache>
                <c:formatCode>0.00%</c:formatCode>
                <c:ptCount val="12"/>
                <c:pt idx="0">
                  <c:v>0.10974106041923551</c:v>
                </c:pt>
                <c:pt idx="1">
                  <c:v>0.11590628853267571</c:v>
                </c:pt>
                <c:pt idx="2">
                  <c:v>0.16152897657213316</c:v>
                </c:pt>
                <c:pt idx="3">
                  <c:v>0.14056720098643649</c:v>
                </c:pt>
                <c:pt idx="4">
                  <c:v>6.1652281134401974E-3</c:v>
                </c:pt>
                <c:pt idx="5">
                  <c:v>3.2059186189889025E-2</c:v>
                </c:pt>
                <c:pt idx="6">
                  <c:v>0.15289765721331688</c:v>
                </c:pt>
                <c:pt idx="7">
                  <c:v>4.6855733662145502E-2</c:v>
                </c:pt>
                <c:pt idx="8">
                  <c:v>1.6029593094944512E-2</c:v>
                </c:pt>
                <c:pt idx="9">
                  <c:v>0.21824907521578299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Kumi-Soroti-24h'!$AE$9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Kumi-Soroti-24h'!$R$10:$R$33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Kumi-Soroti-24h'!$AE$10:$AE$33</c:f>
              <c:numCache>
                <c:formatCode>0</c:formatCode>
                <c:ptCount val="24"/>
                <c:pt idx="0">
                  <c:v>30</c:v>
                </c:pt>
                <c:pt idx="1">
                  <c:v>39</c:v>
                </c:pt>
                <c:pt idx="2">
                  <c:v>34</c:v>
                </c:pt>
                <c:pt idx="3">
                  <c:v>53</c:v>
                </c:pt>
                <c:pt idx="4">
                  <c:v>46</c:v>
                </c:pt>
                <c:pt idx="5">
                  <c:v>44</c:v>
                </c:pt>
                <c:pt idx="6">
                  <c:v>51</c:v>
                </c:pt>
                <c:pt idx="7">
                  <c:v>44</c:v>
                </c:pt>
                <c:pt idx="8">
                  <c:v>72</c:v>
                </c:pt>
                <c:pt idx="9">
                  <c:v>37</c:v>
                </c:pt>
                <c:pt idx="10">
                  <c:v>50</c:v>
                </c:pt>
                <c:pt idx="11">
                  <c:v>41</c:v>
                </c:pt>
                <c:pt idx="12">
                  <c:v>36</c:v>
                </c:pt>
                <c:pt idx="13">
                  <c:v>34</c:v>
                </c:pt>
                <c:pt idx="14">
                  <c:v>29</c:v>
                </c:pt>
                <c:pt idx="15">
                  <c:v>39</c:v>
                </c:pt>
                <c:pt idx="16">
                  <c:v>25</c:v>
                </c:pt>
                <c:pt idx="17">
                  <c:v>20</c:v>
                </c:pt>
                <c:pt idx="18">
                  <c:v>29</c:v>
                </c:pt>
                <c:pt idx="19">
                  <c:v>14</c:v>
                </c:pt>
                <c:pt idx="20">
                  <c:v>12</c:v>
                </c:pt>
                <c:pt idx="21">
                  <c:v>30</c:v>
                </c:pt>
                <c:pt idx="22">
                  <c:v>15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'10.08 Kumi-Soroti-24h'!$AF$9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Kumi-Soroti-24h'!$R$10:$R$33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Kumi-Soroti-24h'!$AF$10:$AF$33</c:f>
              <c:numCache>
                <c:formatCode>0</c:formatCode>
                <c:ptCount val="24"/>
                <c:pt idx="0">
                  <c:v>50</c:v>
                </c:pt>
                <c:pt idx="1">
                  <c:v>77</c:v>
                </c:pt>
                <c:pt idx="2">
                  <c:v>66</c:v>
                </c:pt>
                <c:pt idx="3">
                  <c:v>98</c:v>
                </c:pt>
                <c:pt idx="4">
                  <c:v>84</c:v>
                </c:pt>
                <c:pt idx="5">
                  <c:v>97</c:v>
                </c:pt>
                <c:pt idx="6">
                  <c:v>85</c:v>
                </c:pt>
                <c:pt idx="7">
                  <c:v>67</c:v>
                </c:pt>
                <c:pt idx="8">
                  <c:v>101</c:v>
                </c:pt>
                <c:pt idx="9">
                  <c:v>72</c:v>
                </c:pt>
                <c:pt idx="10">
                  <c:v>85</c:v>
                </c:pt>
                <c:pt idx="11">
                  <c:v>80</c:v>
                </c:pt>
                <c:pt idx="12">
                  <c:v>69</c:v>
                </c:pt>
                <c:pt idx="13">
                  <c:v>55</c:v>
                </c:pt>
                <c:pt idx="14">
                  <c:v>49</c:v>
                </c:pt>
                <c:pt idx="15">
                  <c:v>54</c:v>
                </c:pt>
                <c:pt idx="16">
                  <c:v>30</c:v>
                </c:pt>
                <c:pt idx="17">
                  <c:v>22</c:v>
                </c:pt>
                <c:pt idx="18">
                  <c:v>31</c:v>
                </c:pt>
                <c:pt idx="19">
                  <c:v>15</c:v>
                </c:pt>
                <c:pt idx="20">
                  <c:v>12</c:v>
                </c:pt>
                <c:pt idx="21">
                  <c:v>30</c:v>
                </c:pt>
                <c:pt idx="22">
                  <c:v>18</c:v>
                </c:pt>
                <c:pt idx="2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4279936"/>
        <c:axId val="534280328"/>
      </c:lineChart>
      <c:catAx>
        <c:axId val="5342799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4280328"/>
        <c:crosses val="autoZero"/>
        <c:auto val="1"/>
        <c:lblAlgn val="ctr"/>
        <c:lblOffset val="100"/>
        <c:noMultiLvlLbl val="0"/>
      </c:catAx>
      <c:valAx>
        <c:axId val="5342803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427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Kumi-Soroti-24h'!$C$9:$N$9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Kumi-Soroti-24h'!$C$107:$N$107</c:f>
              <c:numCache>
                <c:formatCode>0.0%</c:formatCode>
                <c:ptCount val="12"/>
                <c:pt idx="0">
                  <c:v>8.424110384894698E-2</c:v>
                </c:pt>
                <c:pt idx="1">
                  <c:v>3.4132171387073348E-2</c:v>
                </c:pt>
                <c:pt idx="2">
                  <c:v>0.10820624546114742</c:v>
                </c:pt>
                <c:pt idx="3">
                  <c:v>0.1111111111111111</c:v>
                </c:pt>
                <c:pt idx="4">
                  <c:v>4.3572984749455342E-3</c:v>
                </c:pt>
                <c:pt idx="5">
                  <c:v>1.7429193899782137E-2</c:v>
                </c:pt>
                <c:pt idx="6">
                  <c:v>7.4800290486565002E-2</c:v>
                </c:pt>
                <c:pt idx="7">
                  <c:v>8.7145969498910684E-3</c:v>
                </c:pt>
                <c:pt idx="8">
                  <c:v>2.1786492374727671E-3</c:v>
                </c:pt>
                <c:pt idx="9">
                  <c:v>0.17356572258533043</c:v>
                </c:pt>
                <c:pt idx="10">
                  <c:v>0.38126361655773422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Kumi-Soroti-24h'!$C$9:$N$9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Kumi-Soroti-24h'!$C$108:$N$108</c:f>
              <c:numCache>
                <c:formatCode>0.00%</c:formatCode>
                <c:ptCount val="12"/>
                <c:pt idx="0">
                  <c:v>0.13615023474178403</c:v>
                </c:pt>
                <c:pt idx="1">
                  <c:v>5.5164319248826289E-2</c:v>
                </c:pt>
                <c:pt idx="2">
                  <c:v>0.17488262910798122</c:v>
                </c:pt>
                <c:pt idx="3">
                  <c:v>0.1795774647887324</c:v>
                </c:pt>
                <c:pt idx="4">
                  <c:v>7.0422535211267607E-3</c:v>
                </c:pt>
                <c:pt idx="5">
                  <c:v>2.8169014084507043E-2</c:v>
                </c:pt>
                <c:pt idx="6">
                  <c:v>0.12089201877934272</c:v>
                </c:pt>
                <c:pt idx="7">
                  <c:v>1.4084507042253521E-2</c:v>
                </c:pt>
                <c:pt idx="8">
                  <c:v>3.5211267605633804E-3</c:v>
                </c:pt>
                <c:pt idx="9">
                  <c:v>0.28051643192488263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Soroti-Kumi-24h'!$AE$9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Soroti-Kumi-24h'!$R$10:$R$33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Soroti-Kumi-24h'!$AE$10:$AE$33</c:f>
              <c:numCache>
                <c:formatCode>0</c:formatCode>
                <c:ptCount val="24"/>
                <c:pt idx="0">
                  <c:v>36</c:v>
                </c:pt>
                <c:pt idx="1">
                  <c:v>32</c:v>
                </c:pt>
                <c:pt idx="2">
                  <c:v>46</c:v>
                </c:pt>
                <c:pt idx="3">
                  <c:v>48</c:v>
                </c:pt>
                <c:pt idx="4">
                  <c:v>56</c:v>
                </c:pt>
                <c:pt idx="5">
                  <c:v>47</c:v>
                </c:pt>
                <c:pt idx="6">
                  <c:v>37</c:v>
                </c:pt>
                <c:pt idx="7">
                  <c:v>69</c:v>
                </c:pt>
                <c:pt idx="8">
                  <c:v>79</c:v>
                </c:pt>
                <c:pt idx="9">
                  <c:v>60</c:v>
                </c:pt>
                <c:pt idx="10">
                  <c:v>46</c:v>
                </c:pt>
                <c:pt idx="11">
                  <c:v>49</c:v>
                </c:pt>
                <c:pt idx="12">
                  <c:v>52</c:v>
                </c:pt>
                <c:pt idx="13">
                  <c:v>24</c:v>
                </c:pt>
                <c:pt idx="14">
                  <c:v>41</c:v>
                </c:pt>
                <c:pt idx="15">
                  <c:v>30</c:v>
                </c:pt>
                <c:pt idx="16">
                  <c:v>26</c:v>
                </c:pt>
                <c:pt idx="17">
                  <c:v>12</c:v>
                </c:pt>
                <c:pt idx="18">
                  <c:v>10</c:v>
                </c:pt>
                <c:pt idx="19">
                  <c:v>7</c:v>
                </c:pt>
                <c:pt idx="20">
                  <c:v>20</c:v>
                </c:pt>
                <c:pt idx="21">
                  <c:v>6</c:v>
                </c:pt>
                <c:pt idx="22">
                  <c:v>13</c:v>
                </c:pt>
                <c:pt idx="23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'10.08 Soroti-Kumi-24h'!$AF$9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Soroti-Kumi-24h'!$R$10:$R$33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Soroti-Kumi-24h'!$AF$10:$AF$33</c:f>
              <c:numCache>
                <c:formatCode>0</c:formatCode>
                <c:ptCount val="24"/>
                <c:pt idx="0">
                  <c:v>67</c:v>
                </c:pt>
                <c:pt idx="1">
                  <c:v>63</c:v>
                </c:pt>
                <c:pt idx="2">
                  <c:v>60</c:v>
                </c:pt>
                <c:pt idx="3">
                  <c:v>65</c:v>
                </c:pt>
                <c:pt idx="4">
                  <c:v>84</c:v>
                </c:pt>
                <c:pt idx="5">
                  <c:v>70</c:v>
                </c:pt>
                <c:pt idx="6">
                  <c:v>47</c:v>
                </c:pt>
                <c:pt idx="7">
                  <c:v>79</c:v>
                </c:pt>
                <c:pt idx="8">
                  <c:v>105</c:v>
                </c:pt>
                <c:pt idx="9">
                  <c:v>77</c:v>
                </c:pt>
                <c:pt idx="10">
                  <c:v>57</c:v>
                </c:pt>
                <c:pt idx="11">
                  <c:v>61</c:v>
                </c:pt>
                <c:pt idx="12">
                  <c:v>78</c:v>
                </c:pt>
                <c:pt idx="13">
                  <c:v>31</c:v>
                </c:pt>
                <c:pt idx="14">
                  <c:v>47</c:v>
                </c:pt>
                <c:pt idx="15">
                  <c:v>37</c:v>
                </c:pt>
                <c:pt idx="16">
                  <c:v>28</c:v>
                </c:pt>
                <c:pt idx="17">
                  <c:v>12</c:v>
                </c:pt>
                <c:pt idx="18">
                  <c:v>12</c:v>
                </c:pt>
                <c:pt idx="19">
                  <c:v>8</c:v>
                </c:pt>
                <c:pt idx="20">
                  <c:v>21</c:v>
                </c:pt>
                <c:pt idx="21">
                  <c:v>6</c:v>
                </c:pt>
                <c:pt idx="22">
                  <c:v>16</c:v>
                </c:pt>
                <c:pt idx="23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953576"/>
        <c:axId val="532951616"/>
      </c:lineChart>
      <c:catAx>
        <c:axId val="5329535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2951616"/>
        <c:crosses val="autoZero"/>
        <c:auto val="1"/>
        <c:lblAlgn val="ctr"/>
        <c:lblOffset val="100"/>
        <c:noMultiLvlLbl val="0"/>
      </c:catAx>
      <c:valAx>
        <c:axId val="532951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2953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Soroti-Kumi-24h'!$C$9:$N$9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Soroti-Kumi-24h'!$C$107:$N$107</c:f>
              <c:numCache>
                <c:formatCode>0.0%</c:formatCode>
                <c:ptCount val="12"/>
                <c:pt idx="0">
                  <c:v>6.7474048442906581E-2</c:v>
                </c:pt>
                <c:pt idx="1">
                  <c:v>3.8062283737024222E-2</c:v>
                </c:pt>
                <c:pt idx="2">
                  <c:v>0.16262975778546712</c:v>
                </c:pt>
                <c:pt idx="3">
                  <c:v>0.14013840830449828</c:v>
                </c:pt>
                <c:pt idx="4">
                  <c:v>1.7301038062283738E-3</c:v>
                </c:pt>
                <c:pt idx="5">
                  <c:v>3.1141868512110725E-2</c:v>
                </c:pt>
                <c:pt idx="6">
                  <c:v>9.9480968858131485E-2</c:v>
                </c:pt>
                <c:pt idx="7">
                  <c:v>1.4705882352941176E-2</c:v>
                </c:pt>
                <c:pt idx="8">
                  <c:v>1.124567474048443E-2</c:v>
                </c:pt>
                <c:pt idx="9">
                  <c:v>0.18166089965397925</c:v>
                </c:pt>
                <c:pt idx="10">
                  <c:v>0.2508650519031142</c:v>
                </c:pt>
                <c:pt idx="11">
                  <c:v>8.6505190311418688E-4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Soroti-Kumi-24h'!$C$9:$N$9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Soroti-Kumi-24h'!$C$108:$N$108</c:f>
              <c:numCache>
                <c:formatCode>0.00%</c:formatCode>
                <c:ptCount val="12"/>
                <c:pt idx="0">
                  <c:v>9.0069284064665134E-2</c:v>
                </c:pt>
                <c:pt idx="1">
                  <c:v>5.0808314087759814E-2</c:v>
                </c:pt>
                <c:pt idx="2">
                  <c:v>0.21709006928406466</c:v>
                </c:pt>
                <c:pt idx="3">
                  <c:v>0.18706697459584296</c:v>
                </c:pt>
                <c:pt idx="4">
                  <c:v>2.3094688221709007E-3</c:v>
                </c:pt>
                <c:pt idx="5">
                  <c:v>4.1570438799076209E-2</c:v>
                </c:pt>
                <c:pt idx="6">
                  <c:v>0.13279445727482678</c:v>
                </c:pt>
                <c:pt idx="7">
                  <c:v>1.9630484988452657E-2</c:v>
                </c:pt>
                <c:pt idx="8">
                  <c:v>1.5011547344110854E-2</c:v>
                </c:pt>
                <c:pt idx="9">
                  <c:v>0.24249422632794457</c:v>
                </c:pt>
                <c:pt idx="11">
                  <c:v>1.1547344110854503E-3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Kumi-Soroti'!$AE$9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Kumi-Soroti'!$AE$10:$AE$21</c:f>
              <c:numCache>
                <c:formatCode>0</c:formatCode>
                <c:ptCount val="12"/>
                <c:pt idx="0">
                  <c:v>13</c:v>
                </c:pt>
                <c:pt idx="1">
                  <c:v>24</c:v>
                </c:pt>
                <c:pt idx="2">
                  <c:v>29</c:v>
                </c:pt>
                <c:pt idx="3">
                  <c:v>22</c:v>
                </c:pt>
                <c:pt idx="4">
                  <c:v>29</c:v>
                </c:pt>
                <c:pt idx="5">
                  <c:v>38</c:v>
                </c:pt>
                <c:pt idx="6">
                  <c:v>33</c:v>
                </c:pt>
                <c:pt idx="7">
                  <c:v>42</c:v>
                </c:pt>
                <c:pt idx="8">
                  <c:v>33</c:v>
                </c:pt>
                <c:pt idx="9">
                  <c:v>50</c:v>
                </c:pt>
                <c:pt idx="10">
                  <c:v>49</c:v>
                </c:pt>
                <c:pt idx="11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'11.08 Kumi-Soroti'!$AF$9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Kumi-Soroti'!$AF$10:$AF$21</c:f>
              <c:numCache>
                <c:formatCode>0</c:formatCode>
                <c:ptCount val="12"/>
                <c:pt idx="0">
                  <c:v>24</c:v>
                </c:pt>
                <c:pt idx="1">
                  <c:v>44</c:v>
                </c:pt>
                <c:pt idx="2">
                  <c:v>52</c:v>
                </c:pt>
                <c:pt idx="3">
                  <c:v>48</c:v>
                </c:pt>
                <c:pt idx="4">
                  <c:v>67</c:v>
                </c:pt>
                <c:pt idx="5">
                  <c:v>73</c:v>
                </c:pt>
                <c:pt idx="6">
                  <c:v>78</c:v>
                </c:pt>
                <c:pt idx="7">
                  <c:v>64</c:v>
                </c:pt>
                <c:pt idx="8">
                  <c:v>63</c:v>
                </c:pt>
                <c:pt idx="9">
                  <c:v>77</c:v>
                </c:pt>
                <c:pt idx="10">
                  <c:v>81</c:v>
                </c:pt>
                <c:pt idx="11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007256"/>
        <c:axId val="494013528"/>
      </c:lineChart>
      <c:catAx>
        <c:axId val="4940072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4013528"/>
        <c:crosses val="autoZero"/>
        <c:auto val="1"/>
        <c:lblAlgn val="ctr"/>
        <c:lblOffset val="100"/>
        <c:noMultiLvlLbl val="0"/>
      </c:catAx>
      <c:valAx>
        <c:axId val="494013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4007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Kumi-Soroti'!$C$59:$N$59</c:f>
              <c:numCache>
                <c:formatCode>0.0%</c:formatCode>
                <c:ptCount val="12"/>
                <c:pt idx="0">
                  <c:v>8.4450402144772119E-2</c:v>
                </c:pt>
                <c:pt idx="1">
                  <c:v>1.0723860589812333E-2</c:v>
                </c:pt>
                <c:pt idx="2">
                  <c:v>0.11126005361930295</c:v>
                </c:pt>
                <c:pt idx="3">
                  <c:v>0.11394101876675604</c:v>
                </c:pt>
                <c:pt idx="4">
                  <c:v>2.6809651474530832E-3</c:v>
                </c:pt>
                <c:pt idx="5">
                  <c:v>2.1447721179624665E-2</c:v>
                </c:pt>
                <c:pt idx="6">
                  <c:v>7.2386058981233251E-2</c:v>
                </c:pt>
                <c:pt idx="7">
                  <c:v>1.7426273458445041E-2</c:v>
                </c:pt>
                <c:pt idx="8">
                  <c:v>2.6809651474530832E-3</c:v>
                </c:pt>
                <c:pt idx="9">
                  <c:v>0.12198391420911528</c:v>
                </c:pt>
                <c:pt idx="10">
                  <c:v>0.44101876675603219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Kumi-Soroti'!$S$9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Kumi-Soroti'!$S$10:$S$21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9</c:v>
                </c:pt>
                <c:pt idx="8">
                  <c:v>4</c:v>
                </c:pt>
                <c:pt idx="9">
                  <c:v>8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'11.08 Kumi-Soroti'!$T$9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Kumi-Soroti'!$T$10:$T$21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'11.08 Kumi-Soroti'!$U$9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Kumi-Soroti'!$U$10:$U$21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3</c:v>
                </c:pt>
                <c:pt idx="4">
                  <c:v>7</c:v>
                </c:pt>
                <c:pt idx="5">
                  <c:v>9</c:v>
                </c:pt>
                <c:pt idx="6">
                  <c:v>7</c:v>
                </c:pt>
                <c:pt idx="7">
                  <c:v>11</c:v>
                </c:pt>
                <c:pt idx="8">
                  <c:v>8</c:v>
                </c:pt>
                <c:pt idx="9">
                  <c:v>10</c:v>
                </c:pt>
                <c:pt idx="10">
                  <c:v>13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'11.08 Kumi-Soroti'!$V$9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Kumi-Soroti'!$V$10:$V$21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9</c:v>
                </c:pt>
                <c:pt idx="7">
                  <c:v>8</c:v>
                </c:pt>
                <c:pt idx="8">
                  <c:v>4</c:v>
                </c:pt>
                <c:pt idx="9">
                  <c:v>12</c:v>
                </c:pt>
                <c:pt idx="10">
                  <c:v>8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'11.08 Kumi-Soroti'!$W$9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Kumi-Soroti'!$W$10:$W$21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'11.08 Kumi-Soroti'!$X$9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Kumi-Soroti'!$X$10:$X$21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'11.08 Kumi-Soroti'!$Y$9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Kumi-Soroti'!$Y$10:$Y$21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4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'11.08 Kumi-Soroti'!$Z$9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Kumi-Soroti'!$Z$10:$Z$21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'11.08 Kumi-Soroti'!$AA$9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Kumi-Soroti'!$AA$10:$AA$21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'11.08 Kumi-Soroti'!$AB$9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Kumi-Soroti'!$AB$10:$AB$21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3</c:v>
                </c:pt>
                <c:pt idx="3">
                  <c:v>1</c:v>
                </c:pt>
                <c:pt idx="4">
                  <c:v>5</c:v>
                </c:pt>
                <c:pt idx="5">
                  <c:v>9</c:v>
                </c:pt>
                <c:pt idx="6">
                  <c:v>10</c:v>
                </c:pt>
                <c:pt idx="7">
                  <c:v>6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'11.08 Kumi-Soroti'!$AC$9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Kumi-Soroti'!$AC$10:$AC$21</c:f>
              <c:numCache>
                <c:formatCode>0</c:formatCode>
                <c:ptCount val="12"/>
                <c:pt idx="0">
                  <c:v>11</c:v>
                </c:pt>
                <c:pt idx="1">
                  <c:v>20</c:v>
                </c:pt>
                <c:pt idx="2">
                  <c:v>23</c:v>
                </c:pt>
                <c:pt idx="3">
                  <c:v>26</c:v>
                </c:pt>
                <c:pt idx="4">
                  <c:v>38</c:v>
                </c:pt>
                <c:pt idx="5">
                  <c:v>35</c:v>
                </c:pt>
                <c:pt idx="6">
                  <c:v>45</c:v>
                </c:pt>
                <c:pt idx="7">
                  <c:v>22</c:v>
                </c:pt>
                <c:pt idx="8">
                  <c:v>30</c:v>
                </c:pt>
                <c:pt idx="9">
                  <c:v>27</c:v>
                </c:pt>
                <c:pt idx="10">
                  <c:v>32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'11.08 Kumi-Soroti'!$AD$9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Kumi-Soroti'!$AD$10:$AD$21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4010784"/>
        <c:axId val="494013136"/>
      </c:lineChart>
      <c:catAx>
        <c:axId val="494010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4013136"/>
        <c:crosses val="autoZero"/>
        <c:auto val="1"/>
        <c:lblAlgn val="ctr"/>
        <c:lblOffset val="100"/>
        <c:noMultiLvlLbl val="0"/>
      </c:catAx>
      <c:valAx>
        <c:axId val="49401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401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Kumi-Soroti'!$C$60:$N$60</c:f>
              <c:numCache>
                <c:formatCode>0.00%</c:formatCode>
                <c:ptCount val="12"/>
                <c:pt idx="0">
                  <c:v>0.15107913669064749</c:v>
                </c:pt>
                <c:pt idx="1">
                  <c:v>1.9184652278177457E-2</c:v>
                </c:pt>
                <c:pt idx="2">
                  <c:v>0.19904076738609114</c:v>
                </c:pt>
                <c:pt idx="3">
                  <c:v>0.2038369304556355</c:v>
                </c:pt>
                <c:pt idx="4">
                  <c:v>4.7961630695443642E-3</c:v>
                </c:pt>
                <c:pt idx="5">
                  <c:v>3.8369304556354913E-2</c:v>
                </c:pt>
                <c:pt idx="6">
                  <c:v>0.12949640287769784</c:v>
                </c:pt>
                <c:pt idx="7">
                  <c:v>3.117505995203837E-2</c:v>
                </c:pt>
                <c:pt idx="8">
                  <c:v>4.7961630695443642E-3</c:v>
                </c:pt>
                <c:pt idx="9">
                  <c:v>0.21822541966426859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Soroti-Kumi'!$AE$9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Soroti-Kumi'!$AE$10:$AE$21</c:f>
              <c:numCache>
                <c:formatCode>0</c:formatCode>
                <c:ptCount val="12"/>
                <c:pt idx="0">
                  <c:v>10</c:v>
                </c:pt>
                <c:pt idx="1">
                  <c:v>23</c:v>
                </c:pt>
                <c:pt idx="2">
                  <c:v>25</c:v>
                </c:pt>
                <c:pt idx="3">
                  <c:v>38</c:v>
                </c:pt>
                <c:pt idx="4">
                  <c:v>37</c:v>
                </c:pt>
                <c:pt idx="5">
                  <c:v>34</c:v>
                </c:pt>
                <c:pt idx="6">
                  <c:v>35</c:v>
                </c:pt>
                <c:pt idx="7">
                  <c:v>30</c:v>
                </c:pt>
                <c:pt idx="8">
                  <c:v>34</c:v>
                </c:pt>
                <c:pt idx="9">
                  <c:v>41</c:v>
                </c:pt>
                <c:pt idx="10">
                  <c:v>27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'11.08 Soroti-Kumi'!$AF$9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Soroti-Kumi'!$AF$10:$AF$21</c:f>
              <c:numCache>
                <c:formatCode>0</c:formatCode>
                <c:ptCount val="12"/>
                <c:pt idx="0">
                  <c:v>24</c:v>
                </c:pt>
                <c:pt idx="1">
                  <c:v>48</c:v>
                </c:pt>
                <c:pt idx="2">
                  <c:v>49</c:v>
                </c:pt>
                <c:pt idx="3">
                  <c:v>62</c:v>
                </c:pt>
                <c:pt idx="4">
                  <c:v>61</c:v>
                </c:pt>
                <c:pt idx="5">
                  <c:v>52</c:v>
                </c:pt>
                <c:pt idx="6">
                  <c:v>63</c:v>
                </c:pt>
                <c:pt idx="7">
                  <c:v>38</c:v>
                </c:pt>
                <c:pt idx="8">
                  <c:v>42</c:v>
                </c:pt>
                <c:pt idx="9">
                  <c:v>47</c:v>
                </c:pt>
                <c:pt idx="10">
                  <c:v>43</c:v>
                </c:pt>
                <c:pt idx="11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006080"/>
        <c:axId val="494006864"/>
      </c:lineChart>
      <c:catAx>
        <c:axId val="4940060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4006864"/>
        <c:crosses val="autoZero"/>
        <c:auto val="1"/>
        <c:lblAlgn val="ctr"/>
        <c:lblOffset val="100"/>
        <c:noMultiLvlLbl val="0"/>
      </c:catAx>
      <c:valAx>
        <c:axId val="4940068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400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Soroti-Kumi'!$C$59:$N$59</c:f>
              <c:numCache>
                <c:formatCode>0.0%</c:formatCode>
                <c:ptCount val="12"/>
                <c:pt idx="0">
                  <c:v>0.11188811188811189</c:v>
                </c:pt>
                <c:pt idx="1">
                  <c:v>3.4965034965034968E-2</c:v>
                </c:pt>
                <c:pt idx="2">
                  <c:v>0.12762237762237763</c:v>
                </c:pt>
                <c:pt idx="3">
                  <c:v>0.13636363636363635</c:v>
                </c:pt>
                <c:pt idx="4">
                  <c:v>1.7482517482517483E-3</c:v>
                </c:pt>
                <c:pt idx="5">
                  <c:v>3.4965034965034968E-2</c:v>
                </c:pt>
                <c:pt idx="6">
                  <c:v>6.2937062937062943E-2</c:v>
                </c:pt>
                <c:pt idx="7">
                  <c:v>1.2237762237762238E-2</c:v>
                </c:pt>
                <c:pt idx="8">
                  <c:v>6.993006993006993E-3</c:v>
                </c:pt>
                <c:pt idx="9">
                  <c:v>0.10139860139860139</c:v>
                </c:pt>
                <c:pt idx="10">
                  <c:v>0.36888111888111891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Soroti-Kumi'!$S$9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Soroti-Kumi'!$S$10:$S$21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7</c:v>
                </c:pt>
                <c:pt idx="6">
                  <c:v>3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'11.08 Soroti-Kumi'!$T$9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Soroti-Kumi'!$T$10:$T$21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'11.08 Soroti-Kumi'!$U$9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Soroti-Kumi'!$U$10:$U$21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8</c:v>
                </c:pt>
                <c:pt idx="7">
                  <c:v>8</c:v>
                </c:pt>
                <c:pt idx="8">
                  <c:v>6</c:v>
                </c:pt>
                <c:pt idx="9">
                  <c:v>10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'11.08 Soroti-Kumi'!$V$9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Soroti-Kumi'!$V$10:$V$21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11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  <c:pt idx="7">
                  <c:v>3</c:v>
                </c:pt>
                <c:pt idx="8">
                  <c:v>10</c:v>
                </c:pt>
                <c:pt idx="9">
                  <c:v>7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'11.08 Soroti-Kumi'!$W$9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Soroti-Kumi'!$W$10:$W$21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'11.08 Soroti-Kumi'!$X$9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Soroti-Kumi'!$X$10:$X$21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5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'11.08 Soroti-Kumi'!$Y$9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Soroti-Kumi'!$Y$10:$Y$21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5</c:v>
                </c:pt>
                <c:pt idx="5">
                  <c:v>1</c:v>
                </c:pt>
                <c:pt idx="6">
                  <c:v>4</c:v>
                </c:pt>
                <c:pt idx="7">
                  <c:v>5</c:v>
                </c:pt>
                <c:pt idx="8">
                  <c:v>2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'11.08 Soroti-Kumi'!$Z$9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Soroti-Kumi'!$Z$10:$Z$21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'11.08 Soroti-Kumi'!$AA$9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Soroti-Kumi'!$AA$10:$AA$21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'11.08 Soroti-Kumi'!$AB$9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Soroti-Kumi'!$AB$10:$AB$21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2</c:v>
                </c:pt>
                <c:pt idx="3">
                  <c:v>4</c:v>
                </c:pt>
                <c:pt idx="4">
                  <c:v>7</c:v>
                </c:pt>
                <c:pt idx="5">
                  <c:v>3</c:v>
                </c:pt>
                <c:pt idx="6">
                  <c:v>5</c:v>
                </c:pt>
                <c:pt idx="7">
                  <c:v>5</c:v>
                </c:pt>
                <c:pt idx="8">
                  <c:v>7</c:v>
                </c:pt>
                <c:pt idx="9">
                  <c:v>5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'11.08 Soroti-Kumi'!$AC$9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Soroti-Kumi'!$AC$10:$AC$21</c:f>
              <c:numCache>
                <c:formatCode>0</c:formatCode>
                <c:ptCount val="12"/>
                <c:pt idx="0">
                  <c:v>14</c:v>
                </c:pt>
                <c:pt idx="1">
                  <c:v>25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18</c:v>
                </c:pt>
                <c:pt idx="6">
                  <c:v>28</c:v>
                </c:pt>
                <c:pt idx="7">
                  <c:v>8</c:v>
                </c:pt>
                <c:pt idx="8">
                  <c:v>8</c:v>
                </c:pt>
                <c:pt idx="9">
                  <c:v>6</c:v>
                </c:pt>
                <c:pt idx="10">
                  <c:v>16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'11.08 Soroti-Kumi'!$AD$9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Soroti-Kumi'!$AD$10:$AD$21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911768"/>
        <c:axId val="491908632"/>
      </c:lineChart>
      <c:catAx>
        <c:axId val="491911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1908632"/>
        <c:crosses val="autoZero"/>
        <c:auto val="1"/>
        <c:lblAlgn val="ctr"/>
        <c:lblOffset val="100"/>
        <c:noMultiLvlLbl val="0"/>
      </c:catAx>
      <c:valAx>
        <c:axId val="491908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19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Soroti-Kumi'!$C$60:$N$60</c:f>
              <c:numCache>
                <c:formatCode>0.00%</c:formatCode>
                <c:ptCount val="12"/>
                <c:pt idx="0">
                  <c:v>0.17728531855955679</c:v>
                </c:pt>
                <c:pt idx="1">
                  <c:v>5.5401662049861494E-2</c:v>
                </c:pt>
                <c:pt idx="2">
                  <c:v>0.20221606648199447</c:v>
                </c:pt>
                <c:pt idx="3">
                  <c:v>0.21606648199445982</c:v>
                </c:pt>
                <c:pt idx="4">
                  <c:v>2.7700831024930748E-3</c:v>
                </c:pt>
                <c:pt idx="5">
                  <c:v>5.5401662049861494E-2</c:v>
                </c:pt>
                <c:pt idx="6">
                  <c:v>9.9722991689750698E-2</c:v>
                </c:pt>
                <c:pt idx="7">
                  <c:v>1.9390581717451522E-2</c:v>
                </c:pt>
                <c:pt idx="8">
                  <c:v>1.1080332409972299E-2</c:v>
                </c:pt>
                <c:pt idx="9">
                  <c:v>0.16066481994459833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'12.08 Kumi-Soroti'!$AE$9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'12.08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Kumi-Soroti'!$AE$10:$AE$21</c:f>
              <c:numCache>
                <c:formatCode>0</c:formatCode>
                <c:ptCount val="12"/>
                <c:pt idx="0">
                  <c:v>29</c:v>
                </c:pt>
                <c:pt idx="1">
                  <c:v>26</c:v>
                </c:pt>
                <c:pt idx="2">
                  <c:v>37</c:v>
                </c:pt>
                <c:pt idx="3">
                  <c:v>41</c:v>
                </c:pt>
                <c:pt idx="4">
                  <c:v>49</c:v>
                </c:pt>
                <c:pt idx="5">
                  <c:v>48</c:v>
                </c:pt>
                <c:pt idx="6">
                  <c:v>52</c:v>
                </c:pt>
                <c:pt idx="7">
                  <c:v>54</c:v>
                </c:pt>
                <c:pt idx="8">
                  <c:v>57</c:v>
                </c:pt>
                <c:pt idx="9">
                  <c:v>48</c:v>
                </c:pt>
                <c:pt idx="10">
                  <c:v>46</c:v>
                </c:pt>
                <c:pt idx="11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'12.08 Kumi-Soroti'!$AF$9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'12.08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Kumi-Soroti'!$AF$10:$AF$21</c:f>
              <c:numCache>
                <c:formatCode>0</c:formatCode>
                <c:ptCount val="12"/>
                <c:pt idx="0">
                  <c:v>40</c:v>
                </c:pt>
                <c:pt idx="1">
                  <c:v>65</c:v>
                </c:pt>
                <c:pt idx="2">
                  <c:v>67</c:v>
                </c:pt>
                <c:pt idx="3">
                  <c:v>78</c:v>
                </c:pt>
                <c:pt idx="4">
                  <c:v>79</c:v>
                </c:pt>
                <c:pt idx="5">
                  <c:v>91</c:v>
                </c:pt>
                <c:pt idx="6">
                  <c:v>79</c:v>
                </c:pt>
                <c:pt idx="7">
                  <c:v>87</c:v>
                </c:pt>
                <c:pt idx="8">
                  <c:v>89</c:v>
                </c:pt>
                <c:pt idx="9">
                  <c:v>80</c:v>
                </c:pt>
                <c:pt idx="10">
                  <c:v>106</c:v>
                </c:pt>
                <c:pt idx="11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912552"/>
        <c:axId val="491906672"/>
      </c:lineChart>
      <c:catAx>
        <c:axId val="4919125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1906672"/>
        <c:crosses val="autoZero"/>
        <c:auto val="1"/>
        <c:lblAlgn val="ctr"/>
        <c:lblOffset val="100"/>
        <c:noMultiLvlLbl val="0"/>
      </c:catAx>
      <c:valAx>
        <c:axId val="4919066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1912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Kumi-Soroti'!$C$59:$N$59</c:f>
              <c:numCache>
                <c:formatCode>0.0%</c:formatCode>
                <c:ptCount val="12"/>
                <c:pt idx="0">
                  <c:v>6.5450643776824038E-2</c:v>
                </c:pt>
                <c:pt idx="1">
                  <c:v>1.5021459227467811E-2</c:v>
                </c:pt>
                <c:pt idx="2">
                  <c:v>0.13197424892703863</c:v>
                </c:pt>
                <c:pt idx="3">
                  <c:v>0.1609442060085837</c:v>
                </c:pt>
                <c:pt idx="4">
                  <c:v>1.0729613733905579E-3</c:v>
                </c:pt>
                <c:pt idx="5">
                  <c:v>1.7167381974248927E-2</c:v>
                </c:pt>
                <c:pt idx="6">
                  <c:v>8.5836909871244635E-2</c:v>
                </c:pt>
                <c:pt idx="7">
                  <c:v>1.6094420600858368E-2</c:v>
                </c:pt>
                <c:pt idx="8">
                  <c:v>2.1459227467811159E-3</c:v>
                </c:pt>
                <c:pt idx="9">
                  <c:v>6.8669527896995708E-2</c:v>
                </c:pt>
                <c:pt idx="10">
                  <c:v>0.4356223175965665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'12.08 Kumi-Soroti'!$S$9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'12.08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Kumi-Soroti'!$S$10:$S$21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2</c:v>
                </c:pt>
                <c:pt idx="4">
                  <c:v>7</c:v>
                </c:pt>
                <c:pt idx="5">
                  <c:v>8</c:v>
                </c:pt>
                <c:pt idx="6">
                  <c:v>4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'12.08 Kumi-Soroti'!$T$9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'12.08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Kumi-Soroti'!$T$10:$T$21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0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'12.08 Kumi-Soroti'!$U$9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'12.08 Kumi-Soroti'!$U$10:$U$21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7</c:v>
                </c:pt>
                <c:pt idx="3">
                  <c:v>11</c:v>
                </c:pt>
                <c:pt idx="4">
                  <c:v>15</c:v>
                </c:pt>
                <c:pt idx="5">
                  <c:v>9</c:v>
                </c:pt>
                <c:pt idx="6">
                  <c:v>15</c:v>
                </c:pt>
                <c:pt idx="7">
                  <c:v>12</c:v>
                </c:pt>
                <c:pt idx="8">
                  <c:v>14</c:v>
                </c:pt>
                <c:pt idx="9">
                  <c:v>12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'12.08 Kumi-Soroti'!$V$9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'12.08 Kumi-Soroti'!$V$10:$V$21</c:f>
              <c:numCache>
                <c:formatCode>0</c:formatCode>
                <c:ptCount val="12"/>
                <c:pt idx="0">
                  <c:v>8</c:v>
                </c:pt>
                <c:pt idx="1">
                  <c:v>10</c:v>
                </c:pt>
                <c:pt idx="2">
                  <c:v>13</c:v>
                </c:pt>
                <c:pt idx="3">
                  <c:v>14</c:v>
                </c:pt>
                <c:pt idx="4">
                  <c:v>13</c:v>
                </c:pt>
                <c:pt idx="5">
                  <c:v>14</c:v>
                </c:pt>
                <c:pt idx="6">
                  <c:v>12</c:v>
                </c:pt>
                <c:pt idx="7">
                  <c:v>16</c:v>
                </c:pt>
                <c:pt idx="8">
                  <c:v>15</c:v>
                </c:pt>
                <c:pt idx="9">
                  <c:v>17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'12.08 Kumi-Soroti'!$W$9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'12.08 Kumi-Soroti'!$W$10:$W$21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'12.08 Kumi-Soroti'!$X$9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'12.08 Kumi-Soroti'!$X$10:$X$21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'12.08 Kumi-Soroti'!$Y$9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Kumi-Soroti'!$Y$10:$Y$21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5</c:v>
                </c:pt>
                <c:pt idx="3">
                  <c:v>3</c:v>
                </c:pt>
                <c:pt idx="4">
                  <c:v>5</c:v>
                </c:pt>
                <c:pt idx="5">
                  <c:v>10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6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'12.08 Kumi-Soroti'!$Z$9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Kumi-Soroti'!$Z$10:$Z$21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'12.08 Kumi-Soroti'!$AA$9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Kumi-Soroti'!$AA$10:$AA$21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'12.08 Kumi-Soroti'!$AB$9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Kumi-Soroti'!$AB$10:$AB$21</c:f>
              <c:numCache>
                <c:formatCode>0</c:formatCode>
                <c:ptCount val="12"/>
                <c:pt idx="0">
                  <c:v>8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6</c:v>
                </c:pt>
                <c:pt idx="5">
                  <c:v>4</c:v>
                </c:pt>
                <c:pt idx="6">
                  <c:v>6</c:v>
                </c:pt>
                <c:pt idx="7">
                  <c:v>7</c:v>
                </c:pt>
                <c:pt idx="8">
                  <c:v>5</c:v>
                </c:pt>
                <c:pt idx="9">
                  <c:v>7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'12.08 Kumi-Soroti'!$AC$9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Kumi-Soroti'!$AC$10:$AC$21</c:f>
              <c:numCache>
                <c:formatCode>0</c:formatCode>
                <c:ptCount val="12"/>
                <c:pt idx="0">
                  <c:v>11</c:v>
                </c:pt>
                <c:pt idx="1">
                  <c:v>39</c:v>
                </c:pt>
                <c:pt idx="2">
                  <c:v>30</c:v>
                </c:pt>
                <c:pt idx="3">
                  <c:v>37</c:v>
                </c:pt>
                <c:pt idx="4">
                  <c:v>30</c:v>
                </c:pt>
                <c:pt idx="5">
                  <c:v>43</c:v>
                </c:pt>
                <c:pt idx="6">
                  <c:v>27</c:v>
                </c:pt>
                <c:pt idx="7">
                  <c:v>33</c:v>
                </c:pt>
                <c:pt idx="8">
                  <c:v>32</c:v>
                </c:pt>
                <c:pt idx="9">
                  <c:v>32</c:v>
                </c:pt>
                <c:pt idx="10">
                  <c:v>60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'12.08 Kumi-Soroti'!$AD$9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'12.08 Kumi-Soroti'!$AD$10:$AD$21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909024"/>
        <c:axId val="491910200"/>
      </c:lineChart>
      <c:catAx>
        <c:axId val="49190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1910200"/>
        <c:crosses val="autoZero"/>
        <c:auto val="1"/>
        <c:lblAlgn val="ctr"/>
        <c:lblOffset val="100"/>
        <c:noMultiLvlLbl val="0"/>
      </c:catAx>
      <c:valAx>
        <c:axId val="491910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190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Kumi-Soroti'!$C$60:$N$60</c:f>
              <c:numCache>
                <c:formatCode>0.00%</c:formatCode>
                <c:ptCount val="12"/>
                <c:pt idx="0">
                  <c:v>0.11596958174904944</c:v>
                </c:pt>
                <c:pt idx="1">
                  <c:v>2.6615969581749048E-2</c:v>
                </c:pt>
                <c:pt idx="2">
                  <c:v>0.23384030418250951</c:v>
                </c:pt>
                <c:pt idx="3">
                  <c:v>0.28517110266159695</c:v>
                </c:pt>
                <c:pt idx="4">
                  <c:v>1.9011406844106464E-3</c:v>
                </c:pt>
                <c:pt idx="5">
                  <c:v>3.0418250950570342E-2</c:v>
                </c:pt>
                <c:pt idx="6">
                  <c:v>0.15209125475285171</c:v>
                </c:pt>
                <c:pt idx="7">
                  <c:v>2.8517110266159697E-2</c:v>
                </c:pt>
                <c:pt idx="8">
                  <c:v>3.8022813688212928E-3</c:v>
                </c:pt>
                <c:pt idx="9">
                  <c:v>0.12167300380228137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'12.08 Soroti-Kumi'!$AE$9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'12.08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Soroti-Kumi'!$AE$10:$AE$21</c:f>
              <c:numCache>
                <c:formatCode>0</c:formatCode>
                <c:ptCount val="12"/>
                <c:pt idx="0">
                  <c:v>24</c:v>
                </c:pt>
                <c:pt idx="1">
                  <c:v>32</c:v>
                </c:pt>
                <c:pt idx="2">
                  <c:v>30</c:v>
                </c:pt>
                <c:pt idx="3">
                  <c:v>44</c:v>
                </c:pt>
                <c:pt idx="4">
                  <c:v>36</c:v>
                </c:pt>
                <c:pt idx="5">
                  <c:v>31</c:v>
                </c:pt>
                <c:pt idx="6">
                  <c:v>31</c:v>
                </c:pt>
                <c:pt idx="7">
                  <c:v>29</c:v>
                </c:pt>
                <c:pt idx="8">
                  <c:v>36</c:v>
                </c:pt>
                <c:pt idx="9">
                  <c:v>41</c:v>
                </c:pt>
                <c:pt idx="10">
                  <c:v>54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'12.08 Soroti-Kumi'!$AF$9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'12.08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'12.08 Soroti-Kumi'!$AF$10:$AF$21</c:f>
              <c:numCache>
                <c:formatCode>0</c:formatCode>
                <c:ptCount val="12"/>
                <c:pt idx="0">
                  <c:v>33</c:v>
                </c:pt>
                <c:pt idx="1">
                  <c:v>50</c:v>
                </c:pt>
                <c:pt idx="2">
                  <c:v>45</c:v>
                </c:pt>
                <c:pt idx="3">
                  <c:v>65</c:v>
                </c:pt>
                <c:pt idx="4">
                  <c:v>48</c:v>
                </c:pt>
                <c:pt idx="5">
                  <c:v>47</c:v>
                </c:pt>
                <c:pt idx="6">
                  <c:v>47</c:v>
                </c:pt>
                <c:pt idx="7">
                  <c:v>35</c:v>
                </c:pt>
                <c:pt idx="8">
                  <c:v>53</c:v>
                </c:pt>
                <c:pt idx="9">
                  <c:v>60</c:v>
                </c:pt>
                <c:pt idx="10">
                  <c:v>82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908240"/>
        <c:axId val="491911376"/>
      </c:lineChart>
      <c:catAx>
        <c:axId val="491908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1911376"/>
        <c:crosses val="autoZero"/>
        <c:auto val="1"/>
        <c:lblAlgn val="ctr"/>
        <c:lblOffset val="100"/>
        <c:noMultiLvlLbl val="0"/>
      </c:catAx>
      <c:valAx>
        <c:axId val="4919113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190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Soroti-Kumi'!$C$59:$N$59</c:f>
              <c:numCache>
                <c:formatCode>0.0%</c:formatCode>
                <c:ptCount val="12"/>
                <c:pt idx="0">
                  <c:v>6.8515497553017946E-2</c:v>
                </c:pt>
                <c:pt idx="1">
                  <c:v>6.3621533442088096E-2</c:v>
                </c:pt>
                <c:pt idx="2">
                  <c:v>0.10440456769983687</c:v>
                </c:pt>
                <c:pt idx="3">
                  <c:v>0.17618270799347471</c:v>
                </c:pt>
                <c:pt idx="4">
                  <c:v>1.6313213703099511E-3</c:v>
                </c:pt>
                <c:pt idx="5">
                  <c:v>3.0995106035889071E-2</c:v>
                </c:pt>
                <c:pt idx="6">
                  <c:v>9.951060358890701E-2</c:v>
                </c:pt>
                <c:pt idx="7">
                  <c:v>2.4469820554649267E-2</c:v>
                </c:pt>
                <c:pt idx="8">
                  <c:v>4.8939641109298528E-3</c:v>
                </c:pt>
                <c:pt idx="9">
                  <c:v>0.11745513866231648</c:v>
                </c:pt>
                <c:pt idx="10">
                  <c:v>0.30831973898858073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'12.08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'12.08 Soroti-Kumi'!$C$60:$N$60</c:f>
              <c:numCache>
                <c:formatCode>0.00%</c:formatCode>
                <c:ptCount val="12"/>
                <c:pt idx="0">
                  <c:v>9.9056603773584911E-2</c:v>
                </c:pt>
                <c:pt idx="1">
                  <c:v>9.1981132075471692E-2</c:v>
                </c:pt>
                <c:pt idx="2">
                  <c:v>0.15094339622641509</c:v>
                </c:pt>
                <c:pt idx="3">
                  <c:v>0.25471698113207547</c:v>
                </c:pt>
                <c:pt idx="4">
                  <c:v>2.3584905660377358E-3</c:v>
                </c:pt>
                <c:pt idx="5">
                  <c:v>4.4811320754716978E-2</c:v>
                </c:pt>
                <c:pt idx="6">
                  <c:v>0.14386792452830188</c:v>
                </c:pt>
                <c:pt idx="7">
                  <c:v>3.5377358490566037E-2</c:v>
                </c:pt>
                <c:pt idx="8">
                  <c:v>7.0754716981132077E-3</c:v>
                </c:pt>
                <c:pt idx="9">
                  <c:v>0.16981132075471697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'13.08 Kumi-Soroti'!$AE$9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'13.08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Kumi-Soroti'!$AE$10:$AE$21</c:f>
              <c:numCache>
                <c:formatCode>0</c:formatCode>
                <c:ptCount val="12"/>
                <c:pt idx="0">
                  <c:v>34</c:v>
                </c:pt>
                <c:pt idx="1">
                  <c:v>38</c:v>
                </c:pt>
                <c:pt idx="2">
                  <c:v>34</c:v>
                </c:pt>
                <c:pt idx="3">
                  <c:v>55</c:v>
                </c:pt>
                <c:pt idx="4">
                  <c:v>35</c:v>
                </c:pt>
                <c:pt idx="5">
                  <c:v>45</c:v>
                </c:pt>
                <c:pt idx="6">
                  <c:v>51</c:v>
                </c:pt>
                <c:pt idx="7">
                  <c:v>41</c:v>
                </c:pt>
                <c:pt idx="8">
                  <c:v>36</c:v>
                </c:pt>
                <c:pt idx="9">
                  <c:v>45</c:v>
                </c:pt>
                <c:pt idx="10">
                  <c:v>59</c:v>
                </c:pt>
                <c:pt idx="11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'13.08 Kumi-Soroti'!$AF$9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'13.08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Kumi-Soroti'!$AF$10:$AF$21</c:f>
              <c:numCache>
                <c:formatCode>0</c:formatCode>
                <c:ptCount val="12"/>
                <c:pt idx="0">
                  <c:v>66</c:v>
                </c:pt>
                <c:pt idx="1">
                  <c:v>62</c:v>
                </c:pt>
                <c:pt idx="2">
                  <c:v>61</c:v>
                </c:pt>
                <c:pt idx="3">
                  <c:v>81</c:v>
                </c:pt>
                <c:pt idx="4">
                  <c:v>66</c:v>
                </c:pt>
                <c:pt idx="5">
                  <c:v>68</c:v>
                </c:pt>
                <c:pt idx="6">
                  <c:v>84</c:v>
                </c:pt>
                <c:pt idx="7">
                  <c:v>59</c:v>
                </c:pt>
                <c:pt idx="8">
                  <c:v>57</c:v>
                </c:pt>
                <c:pt idx="9">
                  <c:v>77</c:v>
                </c:pt>
                <c:pt idx="10">
                  <c:v>109</c:v>
                </c:pt>
                <c:pt idx="11">
                  <c:v>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907456"/>
        <c:axId val="262330344"/>
      </c:lineChart>
      <c:catAx>
        <c:axId val="491907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62330344"/>
        <c:crosses val="autoZero"/>
        <c:auto val="1"/>
        <c:lblAlgn val="ctr"/>
        <c:lblOffset val="100"/>
        <c:noMultiLvlLbl val="0"/>
      </c:catAx>
      <c:valAx>
        <c:axId val="2623303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190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'13.08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'13.08 Kumi-Soroti'!$C$59:$N$59</c:f>
              <c:numCache>
                <c:formatCode>0.0%</c:formatCode>
                <c:ptCount val="12"/>
                <c:pt idx="0">
                  <c:v>6.8337129840546698E-2</c:v>
                </c:pt>
                <c:pt idx="1">
                  <c:v>4.5558086560364468E-2</c:v>
                </c:pt>
                <c:pt idx="2">
                  <c:v>0.1264236902050114</c:v>
                </c:pt>
                <c:pt idx="3">
                  <c:v>0.13439635535307518</c:v>
                </c:pt>
                <c:pt idx="4">
                  <c:v>3.4168564920273349E-3</c:v>
                </c:pt>
                <c:pt idx="5">
                  <c:v>2.2779043280182234E-2</c:v>
                </c:pt>
                <c:pt idx="6">
                  <c:v>7.6309794988610472E-2</c:v>
                </c:pt>
                <c:pt idx="7">
                  <c:v>2.0501138952164009E-2</c:v>
                </c:pt>
                <c:pt idx="8">
                  <c:v>6.8337129840546698E-3</c:v>
                </c:pt>
                <c:pt idx="9">
                  <c:v>8.9977220956719811E-2</c:v>
                </c:pt>
                <c:pt idx="10">
                  <c:v>0.40432801822323461</c:v>
                </c:pt>
                <c:pt idx="11">
                  <c:v>1.1389521640091116E-3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'13.08 Kumi-Soroti'!$S$9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'13.08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Kumi-Soroti'!$S$10:$S$21</c:f>
              <c:numCache>
                <c:formatCode>0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1</c:v>
                </c:pt>
                <c:pt idx="3">
                  <c:v>11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4</c:v>
                </c:pt>
                <c:pt idx="9">
                  <c:v>7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'13.08 Kumi-Soroti'!$T$9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'13.08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Kumi-Soroti'!$T$10:$T$21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0</c:v>
                </c:pt>
                <c:pt idx="5">
                  <c:v>2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2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'13.08 Kumi-Soroti'!$U$9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'13.08 Kumi-Soroti'!$U$10:$U$21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8</c:v>
                </c:pt>
                <c:pt idx="3">
                  <c:v>9</c:v>
                </c:pt>
                <c:pt idx="4">
                  <c:v>5</c:v>
                </c:pt>
                <c:pt idx="5">
                  <c:v>9</c:v>
                </c:pt>
                <c:pt idx="6">
                  <c:v>12</c:v>
                </c:pt>
                <c:pt idx="7">
                  <c:v>8</c:v>
                </c:pt>
                <c:pt idx="8">
                  <c:v>10</c:v>
                </c:pt>
                <c:pt idx="9">
                  <c:v>8</c:v>
                </c:pt>
                <c:pt idx="10">
                  <c:v>17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'13.08 Kumi-Soroti'!$V$9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'13.08 Kumi-Soroti'!$V$10:$V$21</c:f>
              <c:numCache>
                <c:formatCode>0</c:formatCode>
                <c:ptCount val="12"/>
                <c:pt idx="0">
                  <c:v>6</c:v>
                </c:pt>
                <c:pt idx="1">
                  <c:v>11</c:v>
                </c:pt>
                <c:pt idx="2">
                  <c:v>6</c:v>
                </c:pt>
                <c:pt idx="3">
                  <c:v>11</c:v>
                </c:pt>
                <c:pt idx="4">
                  <c:v>10</c:v>
                </c:pt>
                <c:pt idx="5">
                  <c:v>14</c:v>
                </c:pt>
                <c:pt idx="6">
                  <c:v>10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15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'13.08 Kumi-Soroti'!$W$9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'13.08 Kumi-Soroti'!$W$10:$W$21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'13.08 Kumi-Soroti'!$X$9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'13.08 Kumi-Soroti'!$X$10:$X$21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'13.08 Kumi-Soroti'!$Y$9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Kumi-Soroti'!$Y$10:$Y$21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4</c:v>
                </c:pt>
                <c:pt idx="3">
                  <c:v>7</c:v>
                </c:pt>
                <c:pt idx="4">
                  <c:v>5</c:v>
                </c:pt>
                <c:pt idx="5">
                  <c:v>6</c:v>
                </c:pt>
                <c:pt idx="6">
                  <c:v>9</c:v>
                </c:pt>
                <c:pt idx="7">
                  <c:v>3</c:v>
                </c:pt>
                <c:pt idx="8">
                  <c:v>0</c:v>
                </c:pt>
                <c:pt idx="9">
                  <c:v>5</c:v>
                </c:pt>
                <c:pt idx="10">
                  <c:v>7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'13.08 Kumi-Soroti'!$Z$9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Kumi-Soroti'!$Z$10:$Z$21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'13.08 Kumi-Soroti'!$AA$9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Kumi-Soroti'!$AA$10:$AA$21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'13.08 Kumi-Soroti'!$AB$9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Kumi-Soroti'!$AB$10:$AB$21</c:f>
              <c:numCache>
                <c:formatCode>0</c:formatCode>
                <c:ptCount val="12"/>
                <c:pt idx="0">
                  <c:v>11</c:v>
                </c:pt>
                <c:pt idx="1">
                  <c:v>6</c:v>
                </c:pt>
                <c:pt idx="2">
                  <c:v>11</c:v>
                </c:pt>
                <c:pt idx="3">
                  <c:v>4</c:v>
                </c:pt>
                <c:pt idx="4">
                  <c:v>6</c:v>
                </c:pt>
                <c:pt idx="5">
                  <c:v>4</c:v>
                </c:pt>
                <c:pt idx="6">
                  <c:v>5</c:v>
                </c:pt>
                <c:pt idx="7">
                  <c:v>9</c:v>
                </c:pt>
                <c:pt idx="8">
                  <c:v>5</c:v>
                </c:pt>
                <c:pt idx="9">
                  <c:v>8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'13.08 Kumi-Soroti'!$AC$9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Kumi-Soroti'!$AC$10:$AC$21</c:f>
              <c:numCache>
                <c:formatCode>0</c:formatCode>
                <c:ptCount val="12"/>
                <c:pt idx="0">
                  <c:v>32</c:v>
                </c:pt>
                <c:pt idx="1">
                  <c:v>24</c:v>
                </c:pt>
                <c:pt idx="2">
                  <c:v>27</c:v>
                </c:pt>
                <c:pt idx="3">
                  <c:v>26</c:v>
                </c:pt>
                <c:pt idx="4">
                  <c:v>31</c:v>
                </c:pt>
                <c:pt idx="5">
                  <c:v>23</c:v>
                </c:pt>
                <c:pt idx="6">
                  <c:v>33</c:v>
                </c:pt>
                <c:pt idx="7">
                  <c:v>18</c:v>
                </c:pt>
                <c:pt idx="8">
                  <c:v>21</c:v>
                </c:pt>
                <c:pt idx="9">
                  <c:v>32</c:v>
                </c:pt>
                <c:pt idx="10">
                  <c:v>50</c:v>
                </c:pt>
                <c:pt idx="1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'13.08 Kumi-Soroti'!$AD$9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Kumi-Soroti'!$AD$10:$AD$21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2811344"/>
        <c:axId val="492808208"/>
      </c:lineChart>
      <c:catAx>
        <c:axId val="492811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2808208"/>
        <c:crosses val="autoZero"/>
        <c:auto val="1"/>
        <c:lblAlgn val="ctr"/>
        <c:lblOffset val="100"/>
        <c:noMultiLvlLbl val="0"/>
      </c:catAx>
      <c:valAx>
        <c:axId val="49280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281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'13.08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'13.08 Kumi-Soroti'!$C$60:$N$60</c:f>
              <c:numCache>
                <c:formatCode>0.00%</c:formatCode>
                <c:ptCount val="12"/>
                <c:pt idx="0">
                  <c:v>0.1147227533460803</c:v>
                </c:pt>
                <c:pt idx="1">
                  <c:v>7.6481835564053538E-2</c:v>
                </c:pt>
                <c:pt idx="2">
                  <c:v>0.21223709369024857</c:v>
                </c:pt>
                <c:pt idx="3">
                  <c:v>0.22562141491395793</c:v>
                </c:pt>
                <c:pt idx="4">
                  <c:v>5.7361376673040155E-3</c:v>
                </c:pt>
                <c:pt idx="5">
                  <c:v>3.8240917782026769E-2</c:v>
                </c:pt>
                <c:pt idx="6">
                  <c:v>0.12810707456978968</c:v>
                </c:pt>
                <c:pt idx="7">
                  <c:v>3.4416826003824091E-2</c:v>
                </c:pt>
                <c:pt idx="8">
                  <c:v>1.1472275334608031E-2</c:v>
                </c:pt>
                <c:pt idx="9">
                  <c:v>0.15105162523900573</c:v>
                </c:pt>
                <c:pt idx="11">
                  <c:v>1.9120458891013384E-3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'13.08 Soroti-Kumi'!$AE$9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'13.08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Soroti-Kumi'!$AE$10:$AE$21</c:f>
              <c:numCache>
                <c:formatCode>0</c:formatCode>
                <c:ptCount val="12"/>
                <c:pt idx="0">
                  <c:v>18</c:v>
                </c:pt>
                <c:pt idx="1">
                  <c:v>35</c:v>
                </c:pt>
                <c:pt idx="2">
                  <c:v>32</c:v>
                </c:pt>
                <c:pt idx="3">
                  <c:v>39</c:v>
                </c:pt>
                <c:pt idx="4">
                  <c:v>32</c:v>
                </c:pt>
                <c:pt idx="5">
                  <c:v>50</c:v>
                </c:pt>
                <c:pt idx="6">
                  <c:v>36</c:v>
                </c:pt>
                <c:pt idx="7">
                  <c:v>40</c:v>
                </c:pt>
                <c:pt idx="8">
                  <c:v>37</c:v>
                </c:pt>
                <c:pt idx="9">
                  <c:v>56</c:v>
                </c:pt>
                <c:pt idx="10">
                  <c:v>72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'13.08 Soroti-Kumi'!$AF$9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'13.08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Soroti-Kumi'!$AF$10:$AF$21</c:f>
              <c:numCache>
                <c:formatCode>0</c:formatCode>
                <c:ptCount val="12"/>
                <c:pt idx="0">
                  <c:v>36</c:v>
                </c:pt>
                <c:pt idx="1">
                  <c:v>50</c:v>
                </c:pt>
                <c:pt idx="2">
                  <c:v>61</c:v>
                </c:pt>
                <c:pt idx="3">
                  <c:v>53</c:v>
                </c:pt>
                <c:pt idx="4">
                  <c:v>50</c:v>
                </c:pt>
                <c:pt idx="5">
                  <c:v>70</c:v>
                </c:pt>
                <c:pt idx="6">
                  <c:v>59</c:v>
                </c:pt>
                <c:pt idx="7">
                  <c:v>56</c:v>
                </c:pt>
                <c:pt idx="8">
                  <c:v>49</c:v>
                </c:pt>
                <c:pt idx="9">
                  <c:v>62</c:v>
                </c:pt>
                <c:pt idx="10">
                  <c:v>80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2812912"/>
        <c:axId val="492813304"/>
      </c:lineChart>
      <c:catAx>
        <c:axId val="4928129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2813304"/>
        <c:crosses val="autoZero"/>
        <c:auto val="1"/>
        <c:lblAlgn val="ctr"/>
        <c:lblOffset val="100"/>
        <c:noMultiLvlLbl val="0"/>
      </c:catAx>
      <c:valAx>
        <c:axId val="492813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281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'13.08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'13.08 Soroti-Kumi'!$C$59:$N$59</c:f>
              <c:numCache>
                <c:formatCode>0.0%</c:formatCode>
                <c:ptCount val="12"/>
                <c:pt idx="0">
                  <c:v>6.3400576368876083E-2</c:v>
                </c:pt>
                <c:pt idx="1">
                  <c:v>6.6282420749279536E-2</c:v>
                </c:pt>
                <c:pt idx="2">
                  <c:v>0.1729106628242075</c:v>
                </c:pt>
                <c:pt idx="3">
                  <c:v>0.14265129682997119</c:v>
                </c:pt>
                <c:pt idx="4">
                  <c:v>2.881844380403458E-3</c:v>
                </c:pt>
                <c:pt idx="5">
                  <c:v>2.7377521613832854E-2</c:v>
                </c:pt>
                <c:pt idx="6">
                  <c:v>9.077809798270893E-2</c:v>
                </c:pt>
                <c:pt idx="7">
                  <c:v>3.0259365994236311E-2</c:v>
                </c:pt>
                <c:pt idx="8">
                  <c:v>5.763688760806916E-3</c:v>
                </c:pt>
                <c:pt idx="9">
                  <c:v>0.1138328530259366</c:v>
                </c:pt>
                <c:pt idx="10">
                  <c:v>0.28242074927953892</c:v>
                </c:pt>
                <c:pt idx="11">
                  <c:v>1.440922190201729E-3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'13.08 Soroti-Kumi'!$S$9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'13.08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Soroti-Kumi'!$S$10:$S$21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5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'13.08 Soroti-Kumi'!$T$9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'13.08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'13.08 Soroti-Kumi'!$T$10:$T$21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5</c:v>
                </c:pt>
                <c:pt idx="9">
                  <c:v>5</c:v>
                </c:pt>
                <c:pt idx="10">
                  <c:v>10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'13.08 Soroti-Kumi'!$U$9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'13.08 Soroti-Kumi'!$U$10:$U$21</c:f>
              <c:numCache>
                <c:formatCode>0</c:formatCode>
                <c:ptCount val="12"/>
                <c:pt idx="0">
                  <c:v>7</c:v>
                </c:pt>
                <c:pt idx="1">
                  <c:v>11</c:v>
                </c:pt>
                <c:pt idx="2">
                  <c:v>6</c:v>
                </c:pt>
                <c:pt idx="3">
                  <c:v>9</c:v>
                </c:pt>
                <c:pt idx="4">
                  <c:v>7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14</c:v>
                </c:pt>
                <c:pt idx="9">
                  <c:v>12</c:v>
                </c:pt>
                <c:pt idx="10">
                  <c:v>22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'13.08 Soroti-Kumi'!$V$9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'13.08 Soroti-Kumi'!$V$10:$V$21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7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8</c:v>
                </c:pt>
                <c:pt idx="7">
                  <c:v>10</c:v>
                </c:pt>
                <c:pt idx="8">
                  <c:v>4</c:v>
                </c:pt>
                <c:pt idx="9">
                  <c:v>11</c:v>
                </c:pt>
                <c:pt idx="10">
                  <c:v>13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'13.08 Soroti-Kumi'!$W$9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'13.08 Soroti-Kumi'!$W$10:$W$21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'13.08 Soroti-Kumi'!$X$9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'13.08 Soroti-Kumi'!$X$10:$X$21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'13.08 Soroti-Kumi'!$Y$9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Soroti-Kumi'!$Y$10:$Y$21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7</c:v>
                </c:pt>
                <c:pt idx="6">
                  <c:v>4</c:v>
                </c:pt>
                <c:pt idx="7">
                  <c:v>6</c:v>
                </c:pt>
                <c:pt idx="8">
                  <c:v>4</c:v>
                </c:pt>
                <c:pt idx="9">
                  <c:v>7</c:v>
                </c:pt>
                <c:pt idx="10">
                  <c:v>10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'13.08 Soroti-Kumi'!$Z$9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Soroti-Kumi'!$Z$10:$Z$21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'13.08 Soroti-Kumi'!$AA$9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Soroti-Kumi'!$AA$10:$AA$21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'13.08 Soroti-Kumi'!$AB$9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Soroti-Kumi'!$AB$10:$AB$21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7</c:v>
                </c:pt>
                <c:pt idx="5">
                  <c:v>8</c:v>
                </c:pt>
                <c:pt idx="6">
                  <c:v>5</c:v>
                </c:pt>
                <c:pt idx="7">
                  <c:v>5</c:v>
                </c:pt>
                <c:pt idx="8">
                  <c:v>3</c:v>
                </c:pt>
                <c:pt idx="9">
                  <c:v>8</c:v>
                </c:pt>
                <c:pt idx="10">
                  <c:v>8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'13.08 Soroti-Kumi'!$AC$9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Soroti-Kumi'!$AC$10:$AC$21</c:f>
              <c:numCache>
                <c:formatCode>0</c:formatCode>
                <c:ptCount val="12"/>
                <c:pt idx="0">
                  <c:v>18</c:v>
                </c:pt>
                <c:pt idx="1">
                  <c:v>15</c:v>
                </c:pt>
                <c:pt idx="2">
                  <c:v>29</c:v>
                </c:pt>
                <c:pt idx="3">
                  <c:v>14</c:v>
                </c:pt>
                <c:pt idx="4">
                  <c:v>18</c:v>
                </c:pt>
                <c:pt idx="5">
                  <c:v>20</c:v>
                </c:pt>
                <c:pt idx="6">
                  <c:v>23</c:v>
                </c:pt>
                <c:pt idx="7">
                  <c:v>16</c:v>
                </c:pt>
                <c:pt idx="8">
                  <c:v>12</c:v>
                </c:pt>
                <c:pt idx="9">
                  <c:v>6</c:v>
                </c:pt>
                <c:pt idx="10">
                  <c:v>8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'13.08 Soroti-Kumi'!$AD$9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'13.08 Soroti-Kumi'!$AD$10:$AD$21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2809776"/>
        <c:axId val="492814480"/>
      </c:lineChart>
      <c:catAx>
        <c:axId val="492809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2814480"/>
        <c:crosses val="autoZero"/>
        <c:auto val="1"/>
        <c:lblAlgn val="ctr"/>
        <c:lblOffset val="100"/>
        <c:noMultiLvlLbl val="0"/>
      </c:catAx>
      <c:valAx>
        <c:axId val="4928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9280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'13.08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'13.08 Soroti-Kumi'!$C$60:$N$60</c:f>
              <c:numCache>
                <c:formatCode>0.00%</c:formatCode>
                <c:ptCount val="12"/>
                <c:pt idx="0">
                  <c:v>8.8353413654618476E-2</c:v>
                </c:pt>
                <c:pt idx="1">
                  <c:v>9.2369477911646583E-2</c:v>
                </c:pt>
                <c:pt idx="2">
                  <c:v>0.24096385542168675</c:v>
                </c:pt>
                <c:pt idx="3">
                  <c:v>0.19879518072289157</c:v>
                </c:pt>
                <c:pt idx="4">
                  <c:v>4.0160642570281121E-3</c:v>
                </c:pt>
                <c:pt idx="5">
                  <c:v>3.8152610441767071E-2</c:v>
                </c:pt>
                <c:pt idx="6">
                  <c:v>0.12650602409638553</c:v>
                </c:pt>
                <c:pt idx="7">
                  <c:v>4.2168674698795178E-2</c:v>
                </c:pt>
                <c:pt idx="8">
                  <c:v>8.0321285140562242E-3</c:v>
                </c:pt>
                <c:pt idx="9">
                  <c:v>0.15863453815261044</c:v>
                </c:pt>
                <c:pt idx="11">
                  <c:v>2.008032128514056E-3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'14.08 Kumi-Soroti'!$AE$9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'14.08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Kumi-Soroti'!$AE$10:$AE$21</c:f>
              <c:numCache>
                <c:formatCode>0</c:formatCode>
                <c:ptCount val="12"/>
                <c:pt idx="0">
                  <c:v>34</c:v>
                </c:pt>
                <c:pt idx="1">
                  <c:v>39</c:v>
                </c:pt>
                <c:pt idx="2">
                  <c:v>39</c:v>
                </c:pt>
                <c:pt idx="3">
                  <c:v>51</c:v>
                </c:pt>
                <c:pt idx="4">
                  <c:v>54</c:v>
                </c:pt>
                <c:pt idx="5">
                  <c:v>61</c:v>
                </c:pt>
                <c:pt idx="6">
                  <c:v>72</c:v>
                </c:pt>
                <c:pt idx="7">
                  <c:v>55</c:v>
                </c:pt>
                <c:pt idx="8">
                  <c:v>80</c:v>
                </c:pt>
                <c:pt idx="9">
                  <c:v>44</c:v>
                </c:pt>
                <c:pt idx="10">
                  <c:v>58</c:v>
                </c:pt>
                <c:pt idx="11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'14.08 Kumi-Soroti'!$AF$9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'14.08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Kumi-Soroti'!$AF$10:$AF$21</c:f>
              <c:numCache>
                <c:formatCode>0</c:formatCode>
                <c:ptCount val="12"/>
                <c:pt idx="0">
                  <c:v>68</c:v>
                </c:pt>
                <c:pt idx="1">
                  <c:v>68</c:v>
                </c:pt>
                <c:pt idx="2">
                  <c:v>70</c:v>
                </c:pt>
                <c:pt idx="3">
                  <c:v>82</c:v>
                </c:pt>
                <c:pt idx="4">
                  <c:v>91</c:v>
                </c:pt>
                <c:pt idx="5">
                  <c:v>95</c:v>
                </c:pt>
                <c:pt idx="6">
                  <c:v>102</c:v>
                </c:pt>
                <c:pt idx="7">
                  <c:v>88</c:v>
                </c:pt>
                <c:pt idx="8">
                  <c:v>104</c:v>
                </c:pt>
                <c:pt idx="9">
                  <c:v>56</c:v>
                </c:pt>
                <c:pt idx="10">
                  <c:v>81</c:v>
                </c:pt>
                <c:pt idx="11">
                  <c:v>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957496"/>
        <c:axId val="532958672"/>
      </c:lineChart>
      <c:catAx>
        <c:axId val="5329574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2958672"/>
        <c:crosses val="autoZero"/>
        <c:auto val="1"/>
        <c:lblAlgn val="ctr"/>
        <c:lblOffset val="100"/>
        <c:noMultiLvlLbl val="0"/>
      </c:catAx>
      <c:valAx>
        <c:axId val="5329586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2957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Kumi-Soroti'!$C$59:$N$59</c:f>
              <c:numCache>
                <c:formatCode>0.0%</c:formatCode>
                <c:ptCount val="12"/>
                <c:pt idx="0">
                  <c:v>6.9676153091265944E-2</c:v>
                </c:pt>
                <c:pt idx="1">
                  <c:v>6.5750736015701666E-2</c:v>
                </c:pt>
                <c:pt idx="2">
                  <c:v>0.1521099116781158</c:v>
                </c:pt>
                <c:pt idx="3">
                  <c:v>0.12659470068694798</c:v>
                </c:pt>
                <c:pt idx="4">
                  <c:v>7.8508341511285568E-3</c:v>
                </c:pt>
                <c:pt idx="5">
                  <c:v>1.7664376840039256E-2</c:v>
                </c:pt>
                <c:pt idx="6">
                  <c:v>7.0657507360157024E-2</c:v>
                </c:pt>
                <c:pt idx="7">
                  <c:v>1.3738959764474975E-2</c:v>
                </c:pt>
                <c:pt idx="8">
                  <c:v>8.832188420019628E-3</c:v>
                </c:pt>
                <c:pt idx="9">
                  <c:v>0.10009813542688911</c:v>
                </c:pt>
                <c:pt idx="10">
                  <c:v>0.36702649656526004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'14.08 Kumi-Soroti'!$S$9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'14.08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Kumi-Soroti'!$S$10:$S$21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11</c:v>
                </c:pt>
                <c:pt idx="7">
                  <c:v>6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'14.08 Kumi-Soroti'!$T$9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'14.08 Kumi-Soroti'!$R$10:$R$21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Kumi-Soroti'!$T$10:$T$21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5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6</c:v>
                </c:pt>
                <c:pt idx="8">
                  <c:v>10</c:v>
                </c:pt>
                <c:pt idx="9">
                  <c:v>4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'14.08 Kumi-Soroti'!$U$9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'14.08 Kumi-Soroti'!$U$10:$U$21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12</c:v>
                </c:pt>
                <c:pt idx="4">
                  <c:v>17</c:v>
                </c:pt>
                <c:pt idx="5">
                  <c:v>16</c:v>
                </c:pt>
                <c:pt idx="6">
                  <c:v>20</c:v>
                </c:pt>
                <c:pt idx="7">
                  <c:v>14</c:v>
                </c:pt>
                <c:pt idx="8">
                  <c:v>22</c:v>
                </c:pt>
                <c:pt idx="9">
                  <c:v>8</c:v>
                </c:pt>
                <c:pt idx="10">
                  <c:v>14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'14.08 Kumi-Soroti'!$V$9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'14.08 Kumi-Soroti'!$V$10:$V$21</c:f>
              <c:numCache>
                <c:formatCode>0</c:formatCode>
                <c:ptCount val="12"/>
                <c:pt idx="0">
                  <c:v>7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13</c:v>
                </c:pt>
                <c:pt idx="8">
                  <c:v>15</c:v>
                </c:pt>
                <c:pt idx="9">
                  <c:v>8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'14.08 Kumi-Soroti'!$W$9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'14.08 Kumi-Soroti'!$W$10:$W$21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'14.08 Kumi-Soroti'!$X$9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'14.08 Kumi-Soroti'!$X$10:$X$21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'14.08 Kumi-Soroti'!$Y$9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Kumi-Soroti'!$Y$10:$Y$21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6</c:v>
                </c:pt>
                <c:pt idx="3">
                  <c:v>3</c:v>
                </c:pt>
                <c:pt idx="4">
                  <c:v>8</c:v>
                </c:pt>
                <c:pt idx="5">
                  <c:v>4</c:v>
                </c:pt>
                <c:pt idx="6">
                  <c:v>9</c:v>
                </c:pt>
                <c:pt idx="7">
                  <c:v>9</c:v>
                </c:pt>
                <c:pt idx="8">
                  <c:v>6</c:v>
                </c:pt>
                <c:pt idx="9">
                  <c:v>8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'14.08 Kumi-Soroti'!$Z$9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Kumi-Soroti'!$Z$10:$Z$21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'14.08 Kumi-Soroti'!$AA$9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Kumi-Soroti'!$AA$10:$AA$21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'14.08 Kumi-Soroti'!$AB$9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Kumi-Soroti'!$AB$10:$AB$21</c:f>
              <c:numCache>
                <c:formatCode>0</c:formatCode>
                <c:ptCount val="12"/>
                <c:pt idx="0">
                  <c:v>8</c:v>
                </c:pt>
                <c:pt idx="1">
                  <c:v>12</c:v>
                </c:pt>
                <c:pt idx="2">
                  <c:v>9</c:v>
                </c:pt>
                <c:pt idx="3">
                  <c:v>5</c:v>
                </c:pt>
                <c:pt idx="4">
                  <c:v>5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15</c:v>
                </c:pt>
                <c:pt idx="9">
                  <c:v>9</c:v>
                </c:pt>
                <c:pt idx="10">
                  <c:v>12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'14.08 Kumi-Soroti'!$AC$9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Kumi-Soroti'!$AC$10:$AC$21</c:f>
              <c:numCache>
                <c:formatCode>0</c:formatCode>
                <c:ptCount val="12"/>
                <c:pt idx="0">
                  <c:v>34</c:v>
                </c:pt>
                <c:pt idx="1">
                  <c:v>29</c:v>
                </c:pt>
                <c:pt idx="2">
                  <c:v>31</c:v>
                </c:pt>
                <c:pt idx="3">
                  <c:v>31</c:v>
                </c:pt>
                <c:pt idx="4">
                  <c:v>37</c:v>
                </c:pt>
                <c:pt idx="5">
                  <c:v>34</c:v>
                </c:pt>
                <c:pt idx="6">
                  <c:v>30</c:v>
                </c:pt>
                <c:pt idx="7">
                  <c:v>33</c:v>
                </c:pt>
                <c:pt idx="8">
                  <c:v>24</c:v>
                </c:pt>
                <c:pt idx="9">
                  <c:v>12</c:v>
                </c:pt>
                <c:pt idx="10">
                  <c:v>23</c:v>
                </c:pt>
                <c:pt idx="11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'14.08 Kumi-Soroti'!$AD$9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Kumi-Soroti'!$AD$10:$AD$21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2952400"/>
        <c:axId val="532956320"/>
      </c:lineChart>
      <c:catAx>
        <c:axId val="532952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2956320"/>
        <c:crosses val="autoZero"/>
        <c:auto val="1"/>
        <c:lblAlgn val="ctr"/>
        <c:lblOffset val="100"/>
        <c:noMultiLvlLbl val="0"/>
      </c:catAx>
      <c:valAx>
        <c:axId val="53295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295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Kumi-Soroti'!$C$60:$N$60</c:f>
              <c:numCache>
                <c:formatCode>0.00%</c:formatCode>
                <c:ptCount val="12"/>
                <c:pt idx="0">
                  <c:v>0.11007751937984496</c:v>
                </c:pt>
                <c:pt idx="1">
                  <c:v>0.10387596899224806</c:v>
                </c:pt>
                <c:pt idx="2">
                  <c:v>0.24031007751937986</c:v>
                </c:pt>
                <c:pt idx="3">
                  <c:v>0.2</c:v>
                </c:pt>
                <c:pt idx="4">
                  <c:v>1.2403100775193798E-2</c:v>
                </c:pt>
                <c:pt idx="5">
                  <c:v>2.7906976744186046E-2</c:v>
                </c:pt>
                <c:pt idx="6">
                  <c:v>0.11162790697674418</c:v>
                </c:pt>
                <c:pt idx="7">
                  <c:v>2.1705426356589147E-2</c:v>
                </c:pt>
                <c:pt idx="8">
                  <c:v>1.3953488372093023E-2</c:v>
                </c:pt>
                <c:pt idx="9">
                  <c:v>0.15813953488372093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'14.08 Soroti-Kumi'!$AE$9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'14.08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Soroti-Kumi'!$AE$10:$AE$21</c:f>
              <c:numCache>
                <c:formatCode>0</c:formatCode>
                <c:ptCount val="12"/>
                <c:pt idx="0">
                  <c:v>20</c:v>
                </c:pt>
                <c:pt idx="1">
                  <c:v>33</c:v>
                </c:pt>
                <c:pt idx="2">
                  <c:v>31</c:v>
                </c:pt>
                <c:pt idx="3">
                  <c:v>38</c:v>
                </c:pt>
                <c:pt idx="4">
                  <c:v>38</c:v>
                </c:pt>
                <c:pt idx="5">
                  <c:v>33</c:v>
                </c:pt>
                <c:pt idx="6">
                  <c:v>43</c:v>
                </c:pt>
                <c:pt idx="7">
                  <c:v>39</c:v>
                </c:pt>
                <c:pt idx="8">
                  <c:v>35</c:v>
                </c:pt>
                <c:pt idx="9">
                  <c:v>43</c:v>
                </c:pt>
                <c:pt idx="10">
                  <c:v>57</c:v>
                </c:pt>
                <c:pt idx="11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'14.08 Soroti-Kumi'!$AF$9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'14.08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Soroti-Kumi'!$AF$10:$AF$21</c:f>
              <c:numCache>
                <c:formatCode>0</c:formatCode>
                <c:ptCount val="12"/>
                <c:pt idx="0">
                  <c:v>35</c:v>
                </c:pt>
                <c:pt idx="1">
                  <c:v>80</c:v>
                </c:pt>
                <c:pt idx="2">
                  <c:v>51</c:v>
                </c:pt>
                <c:pt idx="3">
                  <c:v>62</c:v>
                </c:pt>
                <c:pt idx="4">
                  <c:v>58</c:v>
                </c:pt>
                <c:pt idx="5">
                  <c:v>46</c:v>
                </c:pt>
                <c:pt idx="6">
                  <c:v>58</c:v>
                </c:pt>
                <c:pt idx="7">
                  <c:v>52</c:v>
                </c:pt>
                <c:pt idx="8">
                  <c:v>50</c:v>
                </c:pt>
                <c:pt idx="9">
                  <c:v>47</c:v>
                </c:pt>
                <c:pt idx="10">
                  <c:v>81</c:v>
                </c:pt>
                <c:pt idx="11">
                  <c:v>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958280"/>
        <c:axId val="532956712"/>
      </c:lineChart>
      <c:catAx>
        <c:axId val="5329582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2956712"/>
        <c:crosses val="autoZero"/>
        <c:auto val="1"/>
        <c:lblAlgn val="ctr"/>
        <c:lblOffset val="100"/>
        <c:noMultiLvlLbl val="0"/>
      </c:catAx>
      <c:valAx>
        <c:axId val="532956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2958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Soroti-Kumi'!$C$59:$N$59</c:f>
              <c:numCache>
                <c:formatCode>0.0%</c:formatCode>
                <c:ptCount val="12"/>
                <c:pt idx="0">
                  <c:v>8.9761570827489479E-2</c:v>
                </c:pt>
                <c:pt idx="1">
                  <c:v>4.3478260869565216E-2</c:v>
                </c:pt>
                <c:pt idx="2">
                  <c:v>0.12201963534361851</c:v>
                </c:pt>
                <c:pt idx="3">
                  <c:v>0.14446002805049088</c:v>
                </c:pt>
                <c:pt idx="4">
                  <c:v>8.4151472650771386E-3</c:v>
                </c:pt>
                <c:pt idx="5">
                  <c:v>2.244039270687237E-2</c:v>
                </c:pt>
                <c:pt idx="6">
                  <c:v>0.11640953716690042</c:v>
                </c:pt>
                <c:pt idx="7">
                  <c:v>2.6647966339410939E-2</c:v>
                </c:pt>
                <c:pt idx="8">
                  <c:v>8.4151472650771386E-3</c:v>
                </c:pt>
                <c:pt idx="9">
                  <c:v>8.4151472650771386E-2</c:v>
                </c:pt>
                <c:pt idx="10">
                  <c:v>0.332398316970547</c:v>
                </c:pt>
                <c:pt idx="11">
                  <c:v>1.4025245441795231E-3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'14.08 Soroti-Kumi'!$S$9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'14.08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Soroti-Kumi'!$S$10:$S$21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9</c:v>
                </c:pt>
                <c:pt idx="5">
                  <c:v>6</c:v>
                </c:pt>
                <c:pt idx="6">
                  <c:v>8</c:v>
                </c:pt>
                <c:pt idx="7">
                  <c:v>2</c:v>
                </c:pt>
                <c:pt idx="8">
                  <c:v>6</c:v>
                </c:pt>
                <c:pt idx="9">
                  <c:v>5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'14.08 Soroti-Kumi'!$T$9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'14.08 Soroti-Kumi'!$R$10:$R$21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'14.08 Soroti-Kumi'!$T$10:$T$21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'14.08 Soroti-Kumi'!$U$9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'14.08 Soroti-Kumi'!$U$10:$U$21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8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8</c:v>
                </c:pt>
                <c:pt idx="8">
                  <c:v>7</c:v>
                </c:pt>
                <c:pt idx="9">
                  <c:v>10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'14.08 Soroti-Kumi'!$V$9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'14.08 Soroti-Kumi'!$V$10:$V$21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10</c:v>
                </c:pt>
                <c:pt idx="8">
                  <c:v>5</c:v>
                </c:pt>
                <c:pt idx="9">
                  <c:v>11</c:v>
                </c:pt>
                <c:pt idx="10">
                  <c:v>12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'14.08 Soroti-Kumi'!$W$9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'14.08 Soroti-Kumi'!$W$10:$W$21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'14.08 Soroti-Kumi'!$X$9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'14.08 Soroti-Kumi'!$X$10:$X$21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'14.08 Soroti-Kumi'!$Y$9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Soroti-Kumi'!$Y$10:$Y$21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10</c:v>
                </c:pt>
                <c:pt idx="7">
                  <c:v>12</c:v>
                </c:pt>
                <c:pt idx="8">
                  <c:v>5</c:v>
                </c:pt>
                <c:pt idx="9">
                  <c:v>5</c:v>
                </c:pt>
                <c:pt idx="10">
                  <c:v>9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'14.08 Soroti-Kumi'!$Z$9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Soroti-Kumi'!$Z$10:$Z$21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'14.08 Soroti-Kumi'!$AA$9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Soroti-Kumi'!$AA$10:$AA$21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'14.08 Soroti-Kumi'!$AB$9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Soroti-Kumi'!$AB$10:$AB$21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1</c:v>
                </c:pt>
                <c:pt idx="8">
                  <c:v>6</c:v>
                </c:pt>
                <c:pt idx="9">
                  <c:v>6</c:v>
                </c:pt>
                <c:pt idx="10">
                  <c:v>11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'14.08 Soroti-Kumi'!$AC$9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Soroti-Kumi'!$AC$10:$AC$21</c:f>
              <c:numCache>
                <c:formatCode>0</c:formatCode>
                <c:ptCount val="12"/>
                <c:pt idx="0">
                  <c:v>15</c:v>
                </c:pt>
                <c:pt idx="1">
                  <c:v>47</c:v>
                </c:pt>
                <c:pt idx="2">
                  <c:v>20</c:v>
                </c:pt>
                <c:pt idx="3">
                  <c:v>24</c:v>
                </c:pt>
                <c:pt idx="4">
                  <c:v>20</c:v>
                </c:pt>
                <c:pt idx="5">
                  <c:v>13</c:v>
                </c:pt>
                <c:pt idx="6">
                  <c:v>15</c:v>
                </c:pt>
                <c:pt idx="7">
                  <c:v>13</c:v>
                </c:pt>
                <c:pt idx="8">
                  <c:v>15</c:v>
                </c:pt>
                <c:pt idx="9">
                  <c:v>4</c:v>
                </c:pt>
                <c:pt idx="10">
                  <c:v>24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'14.08 Soroti-Kumi'!$AD$9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'14.08 Soroti-Kumi'!$AD$10:$AD$21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817816"/>
        <c:axId val="535819384"/>
      </c:lineChart>
      <c:catAx>
        <c:axId val="535817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5819384"/>
        <c:crosses val="autoZero"/>
        <c:auto val="1"/>
        <c:lblAlgn val="ctr"/>
        <c:lblOffset val="100"/>
        <c:noMultiLvlLbl val="0"/>
      </c:catAx>
      <c:valAx>
        <c:axId val="535819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5817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'14.08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'14.08 Soroti-Kumi'!$C$60:$N$60</c:f>
              <c:numCache>
                <c:formatCode>0.00%</c:formatCode>
                <c:ptCount val="12"/>
                <c:pt idx="0">
                  <c:v>0.13445378151260504</c:v>
                </c:pt>
                <c:pt idx="1">
                  <c:v>6.5126050420168072E-2</c:v>
                </c:pt>
                <c:pt idx="2">
                  <c:v>0.18277310924369747</c:v>
                </c:pt>
                <c:pt idx="3">
                  <c:v>0.21638655462184875</c:v>
                </c:pt>
                <c:pt idx="4">
                  <c:v>1.2605042016806723E-2</c:v>
                </c:pt>
                <c:pt idx="5">
                  <c:v>3.3613445378151259E-2</c:v>
                </c:pt>
                <c:pt idx="6">
                  <c:v>0.17436974789915966</c:v>
                </c:pt>
                <c:pt idx="7">
                  <c:v>3.9915966386554619E-2</c:v>
                </c:pt>
                <c:pt idx="8">
                  <c:v>1.2605042016806723E-2</c:v>
                </c:pt>
                <c:pt idx="9">
                  <c:v>0.12605042016806722</c:v>
                </c:pt>
                <c:pt idx="11">
                  <c:v>2.1008403361344537E-3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Kumi-Soroti'!$AE$9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Kumi-Soroti'!$R$10:$R$33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Kumi-Soroti'!$AE$10:$AE$33</c:f>
              <c:numCache>
                <c:formatCode>0</c:formatCode>
                <c:ptCount val="24"/>
                <c:pt idx="0">
                  <c:v>29.285714285714285</c:v>
                </c:pt>
                <c:pt idx="1">
                  <c:v>34.714285714285708</c:v>
                </c:pt>
                <c:pt idx="2">
                  <c:v>37.142857142857139</c:v>
                </c:pt>
                <c:pt idx="3">
                  <c:v>44.571428571428569</c:v>
                </c:pt>
                <c:pt idx="4">
                  <c:v>42.857142857142854</c:v>
                </c:pt>
                <c:pt idx="5">
                  <c:v>45.714285714285715</c:v>
                </c:pt>
                <c:pt idx="6">
                  <c:v>52.714285714285715</c:v>
                </c:pt>
                <c:pt idx="7">
                  <c:v>48.571428571428569</c:v>
                </c:pt>
                <c:pt idx="8">
                  <c:v>52.428571428571431</c:v>
                </c:pt>
                <c:pt idx="9">
                  <c:v>47.857142857142854</c:v>
                </c:pt>
                <c:pt idx="10">
                  <c:v>54.714285714285715</c:v>
                </c:pt>
                <c:pt idx="11">
                  <c:v>47.857142857142861</c:v>
                </c:pt>
                <c:pt idx="12">
                  <c:v>40</c:v>
                </c:pt>
                <c:pt idx="13">
                  <c:v>40.5</c:v>
                </c:pt>
                <c:pt idx="14">
                  <c:v>37</c:v>
                </c:pt>
                <c:pt idx="15">
                  <c:v>31.5</c:v>
                </c:pt>
                <c:pt idx="16">
                  <c:v>25</c:v>
                </c:pt>
                <c:pt idx="17">
                  <c:v>25.5</c:v>
                </c:pt>
                <c:pt idx="18">
                  <c:v>20</c:v>
                </c:pt>
                <c:pt idx="19">
                  <c:v>12</c:v>
                </c:pt>
                <c:pt idx="20">
                  <c:v>17</c:v>
                </c:pt>
                <c:pt idx="21">
                  <c:v>18</c:v>
                </c:pt>
                <c:pt idx="22">
                  <c:v>15.5</c:v>
                </c:pt>
                <c:pt idx="23">
                  <c:v>27.5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Kumi-Soroti'!$AF$9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Kumi-Soroti'!$R$10:$R$33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Kumi-Soroti'!$AF$10:$AF$33</c:f>
              <c:numCache>
                <c:formatCode>0</c:formatCode>
                <c:ptCount val="24"/>
                <c:pt idx="0">
                  <c:v>50.142857142857146</c:v>
                </c:pt>
                <c:pt idx="1">
                  <c:v>65.285714285714292</c:v>
                </c:pt>
                <c:pt idx="2">
                  <c:v>67.714285714285722</c:v>
                </c:pt>
                <c:pt idx="3">
                  <c:v>76.428571428571431</c:v>
                </c:pt>
                <c:pt idx="4">
                  <c:v>73.857142857142861</c:v>
                </c:pt>
                <c:pt idx="5">
                  <c:v>80</c:v>
                </c:pt>
                <c:pt idx="6">
                  <c:v>86.571428571428584</c:v>
                </c:pt>
                <c:pt idx="7">
                  <c:v>74</c:v>
                </c:pt>
                <c:pt idx="8">
                  <c:v>79.285714285714278</c:v>
                </c:pt>
                <c:pt idx="9">
                  <c:v>76.571428571428569</c:v>
                </c:pt>
                <c:pt idx="10">
                  <c:v>94.571428571428569</c:v>
                </c:pt>
                <c:pt idx="11">
                  <c:v>83</c:v>
                </c:pt>
                <c:pt idx="12">
                  <c:v>73</c:v>
                </c:pt>
                <c:pt idx="13">
                  <c:v>61.5</c:v>
                </c:pt>
                <c:pt idx="14">
                  <c:v>49.5</c:v>
                </c:pt>
                <c:pt idx="15">
                  <c:v>43.5</c:v>
                </c:pt>
                <c:pt idx="16">
                  <c:v>30</c:v>
                </c:pt>
                <c:pt idx="17">
                  <c:v>28</c:v>
                </c:pt>
                <c:pt idx="18">
                  <c:v>21</c:v>
                </c:pt>
                <c:pt idx="19">
                  <c:v>12.5</c:v>
                </c:pt>
                <c:pt idx="20">
                  <c:v>17</c:v>
                </c:pt>
                <c:pt idx="21">
                  <c:v>18</c:v>
                </c:pt>
                <c:pt idx="22">
                  <c:v>17</c:v>
                </c:pt>
                <c:pt idx="2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5814680"/>
        <c:axId val="535814288"/>
      </c:lineChart>
      <c:catAx>
        <c:axId val="5358146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5814288"/>
        <c:crosses val="autoZero"/>
        <c:auto val="1"/>
        <c:lblAlgn val="ctr"/>
        <c:lblOffset val="100"/>
        <c:noMultiLvlLbl val="0"/>
      </c:catAx>
      <c:valAx>
        <c:axId val="535814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5814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Kumi-Soroti'!$C$107:$N$107</c:f>
              <c:numCache>
                <c:formatCode>0.0%</c:formatCode>
                <c:ptCount val="12"/>
                <c:pt idx="0">
                  <c:v>7.7355606507260602E-2</c:v>
                </c:pt>
                <c:pt idx="1">
                  <c:v>3.0079703024347631E-2</c:v>
                </c:pt>
                <c:pt idx="2">
                  <c:v>0.12479528332787421</c:v>
                </c:pt>
                <c:pt idx="3">
                  <c:v>0.11698875423081125</c:v>
                </c:pt>
                <c:pt idx="4">
                  <c:v>3.7667867671143124E-3</c:v>
                </c:pt>
                <c:pt idx="5">
                  <c:v>1.8506387160170321E-2</c:v>
                </c:pt>
                <c:pt idx="6">
                  <c:v>9.3842122502456604E-2</c:v>
                </c:pt>
                <c:pt idx="7">
                  <c:v>1.8069658259635329E-2</c:v>
                </c:pt>
                <c:pt idx="8">
                  <c:v>4.8586090184517946E-3</c:v>
                </c:pt>
                <c:pt idx="9">
                  <c:v>0.15967900425810677</c:v>
                </c:pt>
                <c:pt idx="10">
                  <c:v>0.35194890271863732</c:v>
                </c:pt>
                <c:pt idx="11">
                  <c:v>1.091822251337482E-4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Kumi-Soroti'!$C$9:$N$9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Kumi-Soroti'!$C$108:$N$108</c:f>
              <c:numCache>
                <c:formatCode>0.00%</c:formatCode>
                <c:ptCount val="12"/>
                <c:pt idx="0">
                  <c:v>0.11936652346053404</c:v>
                </c:pt>
                <c:pt idx="1">
                  <c:v>4.6415634740122981E-2</c:v>
                </c:pt>
                <c:pt idx="2">
                  <c:v>0.1925701288855193</c:v>
                </c:pt>
                <c:pt idx="3">
                  <c:v>0.1805239659674838</c:v>
                </c:pt>
                <c:pt idx="4">
                  <c:v>5.8124842052059613E-3</c:v>
                </c:pt>
                <c:pt idx="5">
                  <c:v>2.8556987616881468E-2</c:v>
                </c:pt>
                <c:pt idx="6">
                  <c:v>0.14480667172100076</c:v>
                </c:pt>
                <c:pt idx="7">
                  <c:v>2.7883076404683679E-2</c:v>
                </c:pt>
                <c:pt idx="8">
                  <c:v>7.4972622357004437E-3</c:v>
                </c:pt>
                <c:pt idx="9">
                  <c:v>0.24639878695981804</c:v>
                </c:pt>
                <c:pt idx="11">
                  <c:v>1.6847780304944819E-4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Soroti-Kumi'!$AE$9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Soroti-Kumi'!$R$10:$R$33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Soroti-Kumi'!$AE$10:$AE$33</c:f>
              <c:numCache>
                <c:formatCode>0</c:formatCode>
                <c:ptCount val="24"/>
                <c:pt idx="0">
                  <c:v>22.428571428571427</c:v>
                </c:pt>
                <c:pt idx="1">
                  <c:v>29.142857142857146</c:v>
                </c:pt>
                <c:pt idx="2">
                  <c:v>33.714285714285708</c:v>
                </c:pt>
                <c:pt idx="3">
                  <c:v>43.285714285714285</c:v>
                </c:pt>
                <c:pt idx="4">
                  <c:v>40.285714285714285</c:v>
                </c:pt>
                <c:pt idx="5">
                  <c:v>39.285714285714285</c:v>
                </c:pt>
                <c:pt idx="6">
                  <c:v>37.142857142857139</c:v>
                </c:pt>
                <c:pt idx="7">
                  <c:v>39</c:v>
                </c:pt>
                <c:pt idx="8">
                  <c:v>47.285714285714292</c:v>
                </c:pt>
                <c:pt idx="9">
                  <c:v>52.714285714285715</c:v>
                </c:pt>
                <c:pt idx="10">
                  <c:v>54.428571428571431</c:v>
                </c:pt>
                <c:pt idx="11">
                  <c:v>53.285714285714285</c:v>
                </c:pt>
                <c:pt idx="12">
                  <c:v>45.5</c:v>
                </c:pt>
                <c:pt idx="13">
                  <c:v>35</c:v>
                </c:pt>
                <c:pt idx="14">
                  <c:v>35</c:v>
                </c:pt>
                <c:pt idx="15">
                  <c:v>34.5</c:v>
                </c:pt>
                <c:pt idx="16">
                  <c:v>21</c:v>
                </c:pt>
                <c:pt idx="17">
                  <c:v>14.5</c:v>
                </c:pt>
                <c:pt idx="18">
                  <c:v>15</c:v>
                </c:pt>
                <c:pt idx="19">
                  <c:v>11</c:v>
                </c:pt>
                <c:pt idx="20">
                  <c:v>15</c:v>
                </c:pt>
                <c:pt idx="21">
                  <c:v>6.5</c:v>
                </c:pt>
                <c:pt idx="22">
                  <c:v>11.5</c:v>
                </c:pt>
                <c:pt idx="23">
                  <c:v>21.5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Soroti-Kumi'!$AF$9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Soroti-Kumi'!$R$10:$R$33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Soroti-Kumi'!$AF$10:$AF$33</c:f>
              <c:numCache>
                <c:formatCode>0</c:formatCode>
                <c:ptCount val="24"/>
                <c:pt idx="0">
                  <c:v>41.428571428571423</c:v>
                </c:pt>
                <c:pt idx="1">
                  <c:v>54.714285714285715</c:v>
                </c:pt>
                <c:pt idx="2">
                  <c:v>52.428571428571431</c:v>
                </c:pt>
                <c:pt idx="3">
                  <c:v>62.857142857142847</c:v>
                </c:pt>
                <c:pt idx="4">
                  <c:v>59.285714285714292</c:v>
                </c:pt>
                <c:pt idx="5">
                  <c:v>55.857142857142854</c:v>
                </c:pt>
                <c:pt idx="6">
                  <c:v>56.285714285714292</c:v>
                </c:pt>
                <c:pt idx="7">
                  <c:v>50.714285714285708</c:v>
                </c:pt>
                <c:pt idx="8">
                  <c:v>64.428571428571431</c:v>
                </c:pt>
                <c:pt idx="9">
                  <c:v>67.285714285714292</c:v>
                </c:pt>
                <c:pt idx="10">
                  <c:v>72.999999999999986</c:v>
                </c:pt>
                <c:pt idx="11">
                  <c:v>71.142857142857139</c:v>
                </c:pt>
                <c:pt idx="12">
                  <c:v>64.5</c:v>
                </c:pt>
                <c:pt idx="13">
                  <c:v>48</c:v>
                </c:pt>
                <c:pt idx="14">
                  <c:v>40.5</c:v>
                </c:pt>
                <c:pt idx="15">
                  <c:v>40.5</c:v>
                </c:pt>
                <c:pt idx="16">
                  <c:v>23</c:v>
                </c:pt>
                <c:pt idx="17">
                  <c:v>14.5</c:v>
                </c:pt>
                <c:pt idx="18">
                  <c:v>16</c:v>
                </c:pt>
                <c:pt idx="19">
                  <c:v>11.5</c:v>
                </c:pt>
                <c:pt idx="20">
                  <c:v>15.5</c:v>
                </c:pt>
                <c:pt idx="21">
                  <c:v>6.5</c:v>
                </c:pt>
                <c:pt idx="22">
                  <c:v>13</c:v>
                </c:pt>
                <c:pt idx="23">
                  <c:v>31.5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5818600"/>
        <c:axId val="535816248"/>
      </c:lineChart>
      <c:catAx>
        <c:axId val="5358186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5816248"/>
        <c:crosses val="autoZero"/>
        <c:auto val="1"/>
        <c:lblAlgn val="ctr"/>
        <c:lblOffset val="100"/>
        <c:noMultiLvlLbl val="0"/>
      </c:catAx>
      <c:valAx>
        <c:axId val="5358162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535818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Soroti-Kumi'!$C$107:$N$107</c:f>
              <c:numCache>
                <c:formatCode>0.0%</c:formatCode>
                <c:ptCount val="12"/>
                <c:pt idx="0">
                  <c:v>7.8235050407402279E-2</c:v>
                </c:pt>
                <c:pt idx="1">
                  <c:v>4.9578787460295537E-2</c:v>
                </c:pt>
                <c:pt idx="2">
                  <c:v>0.13596188371771856</c:v>
                </c:pt>
                <c:pt idx="3">
                  <c:v>0.12429222483082447</c:v>
                </c:pt>
                <c:pt idx="4">
                  <c:v>2.9692031487363615E-3</c:v>
                </c:pt>
                <c:pt idx="5">
                  <c:v>3.1763568567877355E-2</c:v>
                </c:pt>
                <c:pt idx="6">
                  <c:v>0.10841044054688578</c:v>
                </c:pt>
                <c:pt idx="7">
                  <c:v>2.8449109239055376E-2</c:v>
                </c:pt>
                <c:pt idx="8">
                  <c:v>1.1738710122911198E-2</c:v>
                </c:pt>
                <c:pt idx="9">
                  <c:v>0.16095843115591768</c:v>
                </c:pt>
                <c:pt idx="10">
                  <c:v>0.26722828338627258</c:v>
                </c:pt>
                <c:pt idx="11">
                  <c:v>4.1430741610274817E-4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Soroti-Kumi'!$C$9:$N$9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Soroti-Kumi'!$C$108:$N$108</c:f>
              <c:numCache>
                <c:formatCode>0.00%</c:formatCode>
                <c:ptCount val="12"/>
                <c:pt idx="0">
                  <c:v>0.10676592536750848</c:v>
                </c:pt>
                <c:pt idx="1">
                  <c:v>6.7659253675084824E-2</c:v>
                </c:pt>
                <c:pt idx="2">
                  <c:v>0.18554466641537884</c:v>
                </c:pt>
                <c:pt idx="3">
                  <c:v>0.16961929890689786</c:v>
                </c:pt>
                <c:pt idx="4">
                  <c:v>4.0520165849981145E-3</c:v>
                </c:pt>
                <c:pt idx="5">
                  <c:v>4.3347154165096116E-2</c:v>
                </c:pt>
                <c:pt idx="6">
                  <c:v>0.14794572182434981</c:v>
                </c:pt>
                <c:pt idx="7">
                  <c:v>3.882397286091218E-2</c:v>
                </c:pt>
                <c:pt idx="8">
                  <c:v>1.6019600452318129E-2</c:v>
                </c:pt>
                <c:pt idx="9">
                  <c:v>0.21965699208443271</c:v>
                </c:pt>
                <c:pt idx="11">
                  <c:v>5.6539766302299277E-4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Kumi-Soroti-2Dir'!$C$9:$N$9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Kumi-Soroti-2Dir'!$C$107:$N$107</c:f>
              <c:numCache>
                <c:formatCode>0.0%</c:formatCode>
                <c:ptCount val="12"/>
                <c:pt idx="0">
                  <c:v>7.7743902439024362E-2</c:v>
                </c:pt>
                <c:pt idx="1">
                  <c:v>3.8689024390243895E-2</c:v>
                </c:pt>
                <c:pt idx="2">
                  <c:v>0.12972560975609757</c:v>
                </c:pt>
                <c:pt idx="3">
                  <c:v>0.12021341463414634</c:v>
                </c:pt>
                <c:pt idx="4">
                  <c:v>3.4146341463414625E-3</c:v>
                </c:pt>
                <c:pt idx="5">
                  <c:v>2.4359756097560976E-2</c:v>
                </c:pt>
                <c:pt idx="6">
                  <c:v>0.10027439024390242</c:v>
                </c:pt>
                <c:pt idx="7">
                  <c:v>2.265243902439024E-2</c:v>
                </c:pt>
                <c:pt idx="8">
                  <c:v>7.8963414634146325E-3</c:v>
                </c:pt>
                <c:pt idx="9">
                  <c:v>0.16024390243902437</c:v>
                </c:pt>
                <c:pt idx="10">
                  <c:v>0.3145426829268293</c:v>
                </c:pt>
                <c:pt idx="11">
                  <c:v>2.4390243902439022E-4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Kumi-Soroti-2Dir'!$C$9:$N$9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Kumi-Soroti-2Dir'!$C$108:$N$108</c:f>
              <c:numCache>
                <c:formatCode>0.00%</c:formatCode>
                <c:ptCount val="12"/>
                <c:pt idx="0">
                  <c:v>0.11341902770982515</c:v>
                </c:pt>
                <c:pt idx="1">
                  <c:v>5.6442645554418885E-2</c:v>
                </c:pt>
                <c:pt idx="2">
                  <c:v>0.18925410310012009</c:v>
                </c:pt>
                <c:pt idx="3">
                  <c:v>0.17537695147444737</c:v>
                </c:pt>
                <c:pt idx="4">
                  <c:v>4.9815416092158513E-3</c:v>
                </c:pt>
                <c:pt idx="5">
                  <c:v>3.5537962015745231E-2</c:v>
                </c:pt>
                <c:pt idx="6">
                  <c:v>0.14628830672063334</c:v>
                </c:pt>
                <c:pt idx="7">
                  <c:v>3.3047191211137299E-2</c:v>
                </c:pt>
                <c:pt idx="8">
                  <c:v>1.1519814971311658E-2</c:v>
                </c:pt>
                <c:pt idx="9">
                  <c:v>0.23377663123248676</c:v>
                </c:pt>
                <c:pt idx="11">
                  <c:v>3.5582440065827508E-4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Kumi-Soroti-2Dir'!$AE$9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Kumi-Soroti-2Dir'!$R$10:$R$33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Kumi-Soroti-2Dir'!$AE$10:$AE$33</c:f>
              <c:numCache>
                <c:formatCode>0</c:formatCode>
                <c:ptCount val="24"/>
                <c:pt idx="0">
                  <c:v>51.714285714285722</c:v>
                </c:pt>
                <c:pt idx="1">
                  <c:v>63.857142857142854</c:v>
                </c:pt>
                <c:pt idx="2">
                  <c:v>70.857142857142847</c:v>
                </c:pt>
                <c:pt idx="3">
                  <c:v>87.857142857142861</c:v>
                </c:pt>
                <c:pt idx="4">
                  <c:v>83.142857142857139</c:v>
                </c:pt>
                <c:pt idx="5">
                  <c:v>84.999999999999986</c:v>
                </c:pt>
                <c:pt idx="6">
                  <c:v>89.857142857142847</c:v>
                </c:pt>
                <c:pt idx="7">
                  <c:v>87.571428571428555</c:v>
                </c:pt>
                <c:pt idx="8">
                  <c:v>99.714285714285722</c:v>
                </c:pt>
                <c:pt idx="9">
                  <c:v>100.57142857142856</c:v>
                </c:pt>
                <c:pt idx="10">
                  <c:v>109.14285714285714</c:v>
                </c:pt>
                <c:pt idx="11">
                  <c:v>101.14285714285714</c:v>
                </c:pt>
                <c:pt idx="12">
                  <c:v>85.5</c:v>
                </c:pt>
                <c:pt idx="13">
                  <c:v>75.5</c:v>
                </c:pt>
                <c:pt idx="14">
                  <c:v>72</c:v>
                </c:pt>
                <c:pt idx="15">
                  <c:v>66</c:v>
                </c:pt>
                <c:pt idx="16">
                  <c:v>46</c:v>
                </c:pt>
                <c:pt idx="17">
                  <c:v>40</c:v>
                </c:pt>
                <c:pt idx="18">
                  <c:v>35</c:v>
                </c:pt>
                <c:pt idx="19">
                  <c:v>23</c:v>
                </c:pt>
                <c:pt idx="20">
                  <c:v>32</c:v>
                </c:pt>
                <c:pt idx="21">
                  <c:v>24.5</c:v>
                </c:pt>
                <c:pt idx="22">
                  <c:v>27</c:v>
                </c:pt>
                <c:pt idx="23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BF-4E91-BD60-E09C6B04779D}"/>
            </c:ext>
          </c:extLst>
        </c:ser>
        <c:ser>
          <c:idx val="1"/>
          <c:order val="1"/>
          <c:tx>
            <c:strRef>
              <c:f>'Avg Week Kumi-Soroti-2Dir'!$AF$9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Kumi-Soroti-2Dir'!$R$10:$R$33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Kumi-Soroti-2Dir'!$AF$10:$AF$33</c:f>
              <c:numCache>
                <c:formatCode>0</c:formatCode>
                <c:ptCount val="24"/>
                <c:pt idx="0">
                  <c:v>91.571428571428569</c:v>
                </c:pt>
                <c:pt idx="1">
                  <c:v>119.99999999999999</c:v>
                </c:pt>
                <c:pt idx="2">
                  <c:v>120.14285714285714</c:v>
                </c:pt>
                <c:pt idx="3">
                  <c:v>139.28571428571428</c:v>
                </c:pt>
                <c:pt idx="4">
                  <c:v>133.14285714285714</c:v>
                </c:pt>
                <c:pt idx="5">
                  <c:v>135.85714285714283</c:v>
                </c:pt>
                <c:pt idx="6">
                  <c:v>142.85714285714286</c:v>
                </c:pt>
                <c:pt idx="7">
                  <c:v>124.71428571428571</c:v>
                </c:pt>
                <c:pt idx="8">
                  <c:v>143.71428571428572</c:v>
                </c:pt>
                <c:pt idx="9">
                  <c:v>143.85714285714286</c:v>
                </c:pt>
                <c:pt idx="10">
                  <c:v>167.57142857142856</c:v>
                </c:pt>
                <c:pt idx="11">
                  <c:v>154.14285714285714</c:v>
                </c:pt>
                <c:pt idx="12">
                  <c:v>137.5</c:v>
                </c:pt>
                <c:pt idx="13">
                  <c:v>109.5</c:v>
                </c:pt>
                <c:pt idx="14">
                  <c:v>90</c:v>
                </c:pt>
                <c:pt idx="15">
                  <c:v>84</c:v>
                </c:pt>
                <c:pt idx="16">
                  <c:v>53</c:v>
                </c:pt>
                <c:pt idx="17">
                  <c:v>42.5</c:v>
                </c:pt>
                <c:pt idx="18">
                  <c:v>37</c:v>
                </c:pt>
                <c:pt idx="19">
                  <c:v>24</c:v>
                </c:pt>
                <c:pt idx="20">
                  <c:v>32.5</c:v>
                </c:pt>
                <c:pt idx="21">
                  <c:v>24.5</c:v>
                </c:pt>
                <c:pt idx="22">
                  <c:v>30</c:v>
                </c:pt>
                <c:pt idx="23">
                  <c:v>61.5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5BF-4E91-BD60-E09C6B04779D}"/>
            </c:ext>
          </c:extLst>
        </c:ser>
        <c:ser>
          <c:idx val="5"/>
          <c:order val="2"/>
          <c:tx>
            <c:strRef>
              <c:f>'Avg Week Kumi-Soroti-2Dir'!$AC$9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Kumi-Soroti-2Dir'!$R$10:$R$33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Kumi-Soroti-2Dir'!$AC$10:$AC$33</c:f>
              <c:numCache>
                <c:formatCode>0</c:formatCode>
                <c:ptCount val="24"/>
                <c:pt idx="0">
                  <c:v>39.857142857142861</c:v>
                </c:pt>
                <c:pt idx="1">
                  <c:v>56.142857142857139</c:v>
                </c:pt>
                <c:pt idx="2">
                  <c:v>49.285714285714292</c:v>
                </c:pt>
                <c:pt idx="3">
                  <c:v>51.428571428571431</c:v>
                </c:pt>
                <c:pt idx="4">
                  <c:v>50</c:v>
                </c:pt>
                <c:pt idx="5">
                  <c:v>50.857142857142847</c:v>
                </c:pt>
                <c:pt idx="6">
                  <c:v>53</c:v>
                </c:pt>
                <c:pt idx="7">
                  <c:v>37.142857142857146</c:v>
                </c:pt>
                <c:pt idx="8">
                  <c:v>44</c:v>
                </c:pt>
                <c:pt idx="9">
                  <c:v>43.285714285714292</c:v>
                </c:pt>
                <c:pt idx="10">
                  <c:v>58.428571428571431</c:v>
                </c:pt>
                <c:pt idx="11">
                  <c:v>53</c:v>
                </c:pt>
                <c:pt idx="12">
                  <c:v>52</c:v>
                </c:pt>
                <c:pt idx="13">
                  <c:v>34</c:v>
                </c:pt>
                <c:pt idx="14">
                  <c:v>18</c:v>
                </c:pt>
                <c:pt idx="15">
                  <c:v>18</c:v>
                </c:pt>
                <c:pt idx="16">
                  <c:v>7</c:v>
                </c:pt>
                <c:pt idx="17">
                  <c:v>2.5</c:v>
                </c:pt>
                <c:pt idx="18">
                  <c:v>2</c:v>
                </c:pt>
                <c:pt idx="19">
                  <c:v>1</c:v>
                </c:pt>
                <c:pt idx="20">
                  <c:v>0.5</c:v>
                </c:pt>
                <c:pt idx="21">
                  <c:v>0</c:v>
                </c:pt>
                <c:pt idx="22">
                  <c:v>3</c:v>
                </c:pt>
                <c:pt idx="23">
                  <c:v>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BF-4E91-BD60-E09C6B0477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Kumi-Soroti-2Dir'!$S$9:$AF$9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Kumi-Soroti-2Dir'!$S$41:$AF$41</c:f>
              <c:numCache>
                <c:formatCode>_(* #,##0_);_(* \(#,##0\);_(* "-"_);_(@_)</c:formatCode>
                <c:ptCount val="14"/>
                <c:pt idx="0">
                  <c:v>182.14285714285711</c:v>
                </c:pt>
                <c:pt idx="1">
                  <c:v>90.642857142857153</c:v>
                </c:pt>
                <c:pt idx="2">
                  <c:v>303.92857142857144</c:v>
                </c:pt>
                <c:pt idx="3">
                  <c:v>281.64285714285717</c:v>
                </c:pt>
                <c:pt idx="4">
                  <c:v>8</c:v>
                </c:pt>
                <c:pt idx="5">
                  <c:v>57.071428571428569</c:v>
                </c:pt>
                <c:pt idx="6">
                  <c:v>234.92857142857142</c:v>
                </c:pt>
                <c:pt idx="7">
                  <c:v>53.071428571428577</c:v>
                </c:pt>
                <c:pt idx="8">
                  <c:v>18.5</c:v>
                </c:pt>
                <c:pt idx="9">
                  <c:v>375.42857142857144</c:v>
                </c:pt>
                <c:pt idx="10">
                  <c:v>736.92857142857144</c:v>
                </c:pt>
                <c:pt idx="11">
                  <c:v>0.5714285714285714</c:v>
                </c:pt>
                <c:pt idx="12">
                  <c:v>1605.9285714285716</c:v>
                </c:pt>
                <c:pt idx="13">
                  <c:v>2342.8571428571431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77-460C-83F7-4590DFB142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Kumi-Soroti-2Dir'!$S$9:$AF$9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Kumi-Soroti-2Dir'!$S$42:$AF$42</c:f>
              <c:numCache>
                <c:formatCode>0.000</c:formatCode>
                <c:ptCount val="14"/>
                <c:pt idx="0">
                  <c:v>1.4791183294663572</c:v>
                </c:pt>
                <c:pt idx="1">
                  <c:v>1.222543352601156</c:v>
                </c:pt>
                <c:pt idx="2">
                  <c:v>1.3602941176470589</c:v>
                </c:pt>
                <c:pt idx="3">
                  <c:v>1.273578811369509</c:v>
                </c:pt>
                <c:pt idx="4">
                  <c:v>1.3333333333333333</c:v>
                </c:pt>
                <c:pt idx="5">
                  <c:v>1.7</c:v>
                </c:pt>
                <c:pt idx="6">
                  <c:v>1.7094594594594594</c:v>
                </c:pt>
                <c:pt idx="7">
                  <c:v>1.7359813084112148</c:v>
                </c:pt>
                <c:pt idx="8">
                  <c:v>2.3125</c:v>
                </c:pt>
                <c:pt idx="9">
                  <c:v>2.1772990886495447</c:v>
                </c:pt>
                <c:pt idx="10">
                  <c:v>1.2566382460414129</c:v>
                </c:pt>
                <c:pt idx="11">
                  <c:v>1</c:v>
                </c:pt>
                <c:pt idx="12">
                  <c:v>1.5585054762234853</c:v>
                </c:pt>
                <c:pt idx="13">
                  <c:v>1.4490192613535962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0-4B80-9154-E10F4928694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" Type="http://schemas.openxmlformats.org/officeDocument/2006/relationships/chart" Target="../charts/chart1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" Type="http://schemas.openxmlformats.org/officeDocument/2006/relationships/chart" Target="../charts/chart14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" Type="http://schemas.openxmlformats.org/officeDocument/2006/relationships/chart" Target="../charts/chart1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1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3.xml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6" Type="http://schemas.openxmlformats.org/officeDocument/2006/relationships/chart" Target="../charts/chart27.xml"/><Relationship Id="rId1" Type="http://schemas.openxmlformats.org/officeDocument/2006/relationships/chart" Target="../charts/chart2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5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6" Type="http://schemas.openxmlformats.org/officeDocument/2006/relationships/chart" Target="../charts/chart31.xml"/><Relationship Id="rId1" Type="http://schemas.openxmlformats.org/officeDocument/2006/relationships/chart" Target="../charts/chart2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5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9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148676</xdr:colOff>
      <xdr:row>42</xdr:row>
      <xdr:rowOff>253913</xdr:rowOff>
    </xdr:from>
    <xdr:to>
      <xdr:col>28</xdr:col>
      <xdr:colOff>47624</xdr:colOff>
      <xdr:row>58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142875</xdr:colOff>
      <xdr:row>58</xdr:row>
      <xdr:rowOff>269960</xdr:rowOff>
    </xdr:from>
    <xdr:to>
      <xdr:col>24</xdr:col>
      <xdr:colOff>18877</xdr:colOff>
      <xdr:row>73</xdr:row>
      <xdr:rowOff>72510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705918</xdr:colOff>
      <xdr:row>59</xdr:row>
      <xdr:rowOff>18938</xdr:rowOff>
    </xdr:from>
    <xdr:to>
      <xdr:col>31</xdr:col>
      <xdr:colOff>698501</xdr:colOff>
      <xdr:row>73</xdr:row>
      <xdr:rowOff>104664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42</xdr:row>
      <xdr:rowOff>276224</xdr:rowOff>
    </xdr:from>
    <xdr:to>
      <xdr:col>27</xdr:col>
      <xdr:colOff>698500</xdr:colOff>
      <xdr:row>58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59</xdr:row>
      <xdr:rowOff>9525</xdr:rowOff>
    </xdr:from>
    <xdr:to>
      <xdr:col>23</xdr:col>
      <xdr:colOff>682625</xdr:colOff>
      <xdr:row>73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0</xdr:colOff>
      <xdr:row>59</xdr:row>
      <xdr:rowOff>15875</xdr:rowOff>
    </xdr:from>
    <xdr:to>
      <xdr:col>31</xdr:col>
      <xdr:colOff>698501</xdr:colOff>
      <xdr:row>73</xdr:row>
      <xdr:rowOff>101600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127001</xdr:colOff>
      <xdr:row>60</xdr:row>
      <xdr:rowOff>9525</xdr:rowOff>
    </xdr:from>
    <xdr:to>
      <xdr:col>24</xdr:col>
      <xdr:colOff>698500</xdr:colOff>
      <xdr:row>76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127001</xdr:colOff>
      <xdr:row>76</xdr:row>
      <xdr:rowOff>0</xdr:rowOff>
    </xdr:from>
    <xdr:to>
      <xdr:col>24</xdr:col>
      <xdr:colOff>698500</xdr:colOff>
      <xdr:row>92</xdr:row>
      <xdr:rowOff>31750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59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FE699B-A0F7-493A-9919-900E462502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698500</xdr:colOff>
      <xdr:row>60</xdr:row>
      <xdr:rowOff>0</xdr:rowOff>
    </xdr:from>
    <xdr:to>
      <xdr:col>31</xdr:col>
      <xdr:colOff>682625</xdr:colOff>
      <xdr:row>75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F4BB558-E66C-47FA-9D42-63B6BFB594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698499</xdr:colOff>
      <xdr:row>76</xdr:row>
      <xdr:rowOff>0</xdr:rowOff>
    </xdr:from>
    <xdr:to>
      <xdr:col>31</xdr:col>
      <xdr:colOff>698499</xdr:colOff>
      <xdr:row>92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15FB0C4-9D10-45E1-9249-A03531FF1E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N5" sqref="N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174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7" t="s">
        <v>167</v>
      </c>
      <c r="H5" s="58"/>
      <c r="I5" s="14"/>
      <c r="J5" s="2" t="s">
        <v>5</v>
      </c>
      <c r="K5" s="57" t="s">
        <v>162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165</v>
      </c>
      <c r="E6" s="58"/>
      <c r="F6" s="2" t="s">
        <v>2</v>
      </c>
      <c r="G6" s="57" t="s">
        <v>166</v>
      </c>
      <c r="H6" s="58"/>
      <c r="J6" s="2" t="s">
        <v>21</v>
      </c>
      <c r="K6" s="57" t="s">
        <v>162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2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3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1</v>
      </c>
      <c r="T10" s="17">
        <f t="shared" si="2"/>
        <v>4</v>
      </c>
      <c r="U10" s="17">
        <f t="shared" si="2"/>
        <v>10</v>
      </c>
      <c r="V10" s="17">
        <f t="shared" si="2"/>
        <v>5</v>
      </c>
      <c r="W10" s="17">
        <f t="shared" si="2"/>
        <v>0</v>
      </c>
      <c r="X10" s="17">
        <f t="shared" si="2"/>
        <v>1</v>
      </c>
      <c r="Y10" s="17">
        <f t="shared" si="2"/>
        <v>6</v>
      </c>
      <c r="Z10" s="17">
        <f t="shared" si="2"/>
        <v>4</v>
      </c>
      <c r="AA10" s="17">
        <f t="shared" si="2"/>
        <v>0</v>
      </c>
      <c r="AB10" s="17">
        <f t="shared" si="2"/>
        <v>6</v>
      </c>
      <c r="AC10" s="17">
        <f t="shared" si="2"/>
        <v>19</v>
      </c>
      <c r="AD10" s="17">
        <f t="shared" si="2"/>
        <v>0</v>
      </c>
      <c r="AE10" s="31">
        <f t="shared" si="2"/>
        <v>37</v>
      </c>
      <c r="AF10" s="31">
        <f t="shared" si="2"/>
        <v>56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2</v>
      </c>
      <c r="F11" s="50">
        <v>2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1</v>
      </c>
      <c r="M11" s="50">
        <v>2</v>
      </c>
      <c r="N11" s="50">
        <v>0</v>
      </c>
      <c r="O11" s="15">
        <f t="shared" si="0"/>
        <v>7</v>
      </c>
      <c r="P11" s="15">
        <f t="shared" si="1"/>
        <v>9</v>
      </c>
      <c r="R11" s="1" t="s">
        <v>7</v>
      </c>
      <c r="S11" s="17">
        <f t="shared" ref="S11:AF11" si="3">SUM(C14:C17)</f>
        <v>5</v>
      </c>
      <c r="T11" s="17">
        <f t="shared" si="3"/>
        <v>7</v>
      </c>
      <c r="U11" s="17">
        <f t="shared" si="3"/>
        <v>13</v>
      </c>
      <c r="V11" s="17">
        <f t="shared" si="3"/>
        <v>14</v>
      </c>
      <c r="W11" s="17">
        <f t="shared" si="3"/>
        <v>0</v>
      </c>
      <c r="X11" s="17">
        <f t="shared" si="3"/>
        <v>1</v>
      </c>
      <c r="Y11" s="17">
        <f t="shared" si="3"/>
        <v>2</v>
      </c>
      <c r="Z11" s="17">
        <f t="shared" si="3"/>
        <v>1</v>
      </c>
      <c r="AA11" s="17">
        <f t="shared" si="3"/>
        <v>1</v>
      </c>
      <c r="AB11" s="17">
        <f t="shared" si="3"/>
        <v>8</v>
      </c>
      <c r="AC11" s="17">
        <f t="shared" si="3"/>
        <v>37</v>
      </c>
      <c r="AD11" s="17">
        <f t="shared" si="3"/>
        <v>0</v>
      </c>
      <c r="AE11" s="31">
        <f t="shared" si="3"/>
        <v>52</v>
      </c>
      <c r="AF11" s="31">
        <f t="shared" si="3"/>
        <v>89</v>
      </c>
    </row>
    <row r="12" spans="2:32" ht="23.1" customHeight="1" x14ac:dyDescent="0.25">
      <c r="B12" s="23" t="s">
        <v>39</v>
      </c>
      <c r="C12" s="50">
        <v>0</v>
      </c>
      <c r="D12" s="50">
        <v>2</v>
      </c>
      <c r="E12" s="50">
        <v>3</v>
      </c>
      <c r="F12" s="50">
        <v>3</v>
      </c>
      <c r="G12" s="50">
        <v>0</v>
      </c>
      <c r="H12" s="50">
        <v>1</v>
      </c>
      <c r="I12" s="50">
        <v>3</v>
      </c>
      <c r="J12" s="50">
        <v>2</v>
      </c>
      <c r="K12" s="50">
        <v>0</v>
      </c>
      <c r="L12" s="50">
        <v>2</v>
      </c>
      <c r="M12" s="50">
        <v>4</v>
      </c>
      <c r="N12" s="50">
        <v>0</v>
      </c>
      <c r="O12" s="15">
        <f t="shared" si="0"/>
        <v>16</v>
      </c>
      <c r="P12" s="15">
        <f t="shared" si="1"/>
        <v>20</v>
      </c>
      <c r="R12" s="1" t="s">
        <v>8</v>
      </c>
      <c r="S12" s="17">
        <f t="shared" ref="S12:AF12" si="4">SUM(C18:C21)</f>
        <v>3</v>
      </c>
      <c r="T12" s="17">
        <f t="shared" si="4"/>
        <v>5</v>
      </c>
      <c r="U12" s="17">
        <f t="shared" si="4"/>
        <v>9</v>
      </c>
      <c r="V12" s="17">
        <f t="shared" si="4"/>
        <v>11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5</v>
      </c>
      <c r="AA12" s="17">
        <f t="shared" si="4"/>
        <v>0</v>
      </c>
      <c r="AB12" s="17">
        <f t="shared" si="4"/>
        <v>5</v>
      </c>
      <c r="AC12" s="17">
        <f t="shared" si="4"/>
        <v>47</v>
      </c>
      <c r="AD12" s="17">
        <f t="shared" si="4"/>
        <v>0</v>
      </c>
      <c r="AE12" s="31">
        <f t="shared" si="4"/>
        <v>44</v>
      </c>
      <c r="AF12" s="31">
        <f t="shared" si="4"/>
        <v>91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3</v>
      </c>
      <c r="F13" s="50">
        <v>0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2</v>
      </c>
      <c r="M13" s="50">
        <v>10</v>
      </c>
      <c r="N13" s="50">
        <v>0</v>
      </c>
      <c r="O13" s="15">
        <f t="shared" si="0"/>
        <v>10</v>
      </c>
      <c r="P13" s="15">
        <f t="shared" si="1"/>
        <v>20</v>
      </c>
      <c r="R13" s="1" t="s">
        <v>9</v>
      </c>
      <c r="S13" s="17">
        <f t="shared" ref="S13:AF13" si="5">SUM(C22:C25)</f>
        <v>5</v>
      </c>
      <c r="T13" s="17">
        <f t="shared" si="5"/>
        <v>3</v>
      </c>
      <c r="U13" s="17">
        <f t="shared" si="5"/>
        <v>8</v>
      </c>
      <c r="V13" s="17">
        <f t="shared" si="5"/>
        <v>5</v>
      </c>
      <c r="W13" s="17">
        <f t="shared" si="5"/>
        <v>0</v>
      </c>
      <c r="X13" s="17">
        <f t="shared" si="5"/>
        <v>2</v>
      </c>
      <c r="Y13" s="17">
        <f t="shared" si="5"/>
        <v>2</v>
      </c>
      <c r="Z13" s="17">
        <f t="shared" si="5"/>
        <v>5</v>
      </c>
      <c r="AA13" s="17">
        <f t="shared" si="5"/>
        <v>0</v>
      </c>
      <c r="AB13" s="17">
        <f t="shared" si="5"/>
        <v>11</v>
      </c>
      <c r="AC13" s="17">
        <f t="shared" si="5"/>
        <v>30</v>
      </c>
      <c r="AD13" s="17">
        <f t="shared" si="5"/>
        <v>0</v>
      </c>
      <c r="AE13" s="31">
        <f t="shared" si="5"/>
        <v>41</v>
      </c>
      <c r="AF13" s="31">
        <f t="shared" si="5"/>
        <v>71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2</v>
      </c>
      <c r="F14" s="50">
        <v>4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1</v>
      </c>
      <c r="M14" s="50">
        <v>9</v>
      </c>
      <c r="N14" s="50">
        <v>0</v>
      </c>
      <c r="O14" s="15">
        <f t="shared" si="0"/>
        <v>9</v>
      </c>
      <c r="P14" s="15">
        <f t="shared" si="1"/>
        <v>18</v>
      </c>
      <c r="R14" s="1" t="s">
        <v>10</v>
      </c>
      <c r="S14" s="17">
        <f t="shared" ref="S14:AF14" si="6">SUM(C26:C29)</f>
        <v>8</v>
      </c>
      <c r="T14" s="17">
        <f t="shared" si="6"/>
        <v>2</v>
      </c>
      <c r="U14" s="17">
        <f t="shared" si="6"/>
        <v>8</v>
      </c>
      <c r="V14" s="17">
        <f t="shared" si="6"/>
        <v>6</v>
      </c>
      <c r="W14" s="17">
        <f t="shared" si="6"/>
        <v>0</v>
      </c>
      <c r="X14" s="17">
        <f t="shared" si="6"/>
        <v>2</v>
      </c>
      <c r="Y14" s="17">
        <f t="shared" si="6"/>
        <v>2</v>
      </c>
      <c r="Z14" s="17">
        <f t="shared" si="6"/>
        <v>4</v>
      </c>
      <c r="AA14" s="17">
        <f t="shared" si="6"/>
        <v>0</v>
      </c>
      <c r="AB14" s="17">
        <f t="shared" si="6"/>
        <v>8</v>
      </c>
      <c r="AC14" s="17">
        <f t="shared" si="6"/>
        <v>18</v>
      </c>
      <c r="AD14" s="17">
        <f t="shared" si="6"/>
        <v>0</v>
      </c>
      <c r="AE14" s="31">
        <f t="shared" si="6"/>
        <v>40</v>
      </c>
      <c r="AF14" s="31">
        <f t="shared" si="6"/>
        <v>58</v>
      </c>
    </row>
    <row r="15" spans="2:32" ht="23.1" customHeight="1" x14ac:dyDescent="0.25">
      <c r="B15" s="23" t="s">
        <v>42</v>
      </c>
      <c r="C15" s="50">
        <v>2</v>
      </c>
      <c r="D15" s="50">
        <v>2</v>
      </c>
      <c r="E15" s="50">
        <v>3</v>
      </c>
      <c r="F15" s="50">
        <v>3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4</v>
      </c>
      <c r="M15" s="50">
        <v>12</v>
      </c>
      <c r="N15" s="50">
        <v>0</v>
      </c>
      <c r="O15" s="15">
        <f t="shared" si="0"/>
        <v>15</v>
      </c>
      <c r="P15" s="15">
        <f t="shared" si="1"/>
        <v>27</v>
      </c>
      <c r="R15" s="1" t="s">
        <v>11</v>
      </c>
      <c r="S15" s="17">
        <f t="shared" ref="S15:AF15" si="7">SUM(C30:C33)</f>
        <v>8</v>
      </c>
      <c r="T15" s="17">
        <f t="shared" si="7"/>
        <v>2</v>
      </c>
      <c r="U15" s="17">
        <f t="shared" si="7"/>
        <v>7</v>
      </c>
      <c r="V15" s="17">
        <f t="shared" si="7"/>
        <v>15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6</v>
      </c>
      <c r="AA15" s="17">
        <f t="shared" si="7"/>
        <v>0</v>
      </c>
      <c r="AB15" s="17">
        <f t="shared" si="7"/>
        <v>7</v>
      </c>
      <c r="AC15" s="17">
        <f t="shared" si="7"/>
        <v>27</v>
      </c>
      <c r="AD15" s="17">
        <f t="shared" si="7"/>
        <v>0</v>
      </c>
      <c r="AE15" s="31">
        <f t="shared" si="7"/>
        <v>47</v>
      </c>
      <c r="AF15" s="31">
        <f t="shared" si="7"/>
        <v>74</v>
      </c>
    </row>
    <row r="16" spans="2:32" ht="23.1" customHeight="1" x14ac:dyDescent="0.25">
      <c r="B16" s="23" t="s">
        <v>43</v>
      </c>
      <c r="C16" s="50">
        <v>1</v>
      </c>
      <c r="D16" s="50">
        <v>4</v>
      </c>
      <c r="E16" s="50">
        <v>6</v>
      </c>
      <c r="F16" s="50">
        <v>5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3</v>
      </c>
      <c r="M16" s="50">
        <v>9</v>
      </c>
      <c r="N16" s="50">
        <v>0</v>
      </c>
      <c r="O16" s="15">
        <f t="shared" si="0"/>
        <v>20</v>
      </c>
      <c r="P16" s="15">
        <f t="shared" si="1"/>
        <v>29</v>
      </c>
      <c r="R16" s="1" t="s">
        <v>12</v>
      </c>
      <c r="S16" s="17">
        <f t="shared" ref="S16:AF16" si="8">SUM(C34:C37)</f>
        <v>5</v>
      </c>
      <c r="T16" s="17">
        <f t="shared" si="8"/>
        <v>3</v>
      </c>
      <c r="U16" s="17">
        <f t="shared" si="8"/>
        <v>10</v>
      </c>
      <c r="V16" s="17">
        <f t="shared" si="8"/>
        <v>11</v>
      </c>
      <c r="W16" s="17">
        <f t="shared" si="8"/>
        <v>0</v>
      </c>
      <c r="X16" s="17">
        <f t="shared" si="8"/>
        <v>1</v>
      </c>
      <c r="Y16" s="17">
        <f t="shared" si="8"/>
        <v>7</v>
      </c>
      <c r="Z16" s="17">
        <f t="shared" si="8"/>
        <v>2</v>
      </c>
      <c r="AA16" s="17">
        <f t="shared" si="8"/>
        <v>0</v>
      </c>
      <c r="AB16" s="17">
        <f t="shared" si="8"/>
        <v>10</v>
      </c>
      <c r="AC16" s="17">
        <f t="shared" si="8"/>
        <v>40</v>
      </c>
      <c r="AD16" s="17">
        <f t="shared" si="8"/>
        <v>0</v>
      </c>
      <c r="AE16" s="31">
        <f t="shared" si="8"/>
        <v>49</v>
      </c>
      <c r="AF16" s="31">
        <f t="shared" si="8"/>
        <v>89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2</v>
      </c>
      <c r="F17" s="50">
        <v>2</v>
      </c>
      <c r="G17" s="50">
        <v>0</v>
      </c>
      <c r="H17" s="50">
        <v>0</v>
      </c>
      <c r="I17" s="50">
        <v>0</v>
      </c>
      <c r="J17" s="50">
        <v>1</v>
      </c>
      <c r="K17" s="50">
        <v>1</v>
      </c>
      <c r="L17" s="50">
        <v>0</v>
      </c>
      <c r="M17" s="50">
        <v>7</v>
      </c>
      <c r="N17" s="50">
        <v>0</v>
      </c>
      <c r="O17" s="15">
        <f t="shared" si="0"/>
        <v>8</v>
      </c>
      <c r="P17" s="15">
        <f t="shared" si="1"/>
        <v>15</v>
      </c>
      <c r="R17" s="1" t="s">
        <v>13</v>
      </c>
      <c r="S17" s="17">
        <f t="shared" ref="S17:AF17" si="9">SUM(C38:C41)</f>
        <v>6</v>
      </c>
      <c r="T17" s="17">
        <f t="shared" si="9"/>
        <v>6</v>
      </c>
      <c r="U17" s="17">
        <f t="shared" si="9"/>
        <v>12</v>
      </c>
      <c r="V17" s="17">
        <f t="shared" si="9"/>
        <v>12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1</v>
      </c>
      <c r="AA17" s="17">
        <f t="shared" si="9"/>
        <v>0</v>
      </c>
      <c r="AB17" s="17">
        <f t="shared" si="9"/>
        <v>14</v>
      </c>
      <c r="AC17" s="17">
        <f t="shared" si="9"/>
        <v>17</v>
      </c>
      <c r="AD17" s="17">
        <f t="shared" si="9"/>
        <v>0</v>
      </c>
      <c r="AE17" s="31">
        <f t="shared" si="9"/>
        <v>55</v>
      </c>
      <c r="AF17" s="31">
        <f t="shared" si="9"/>
        <v>72</v>
      </c>
    </row>
    <row r="18" spans="2:32" ht="23.1" customHeight="1" x14ac:dyDescent="0.25">
      <c r="B18" s="23" t="s">
        <v>45</v>
      </c>
      <c r="C18" s="50">
        <v>1</v>
      </c>
      <c r="D18" s="50">
        <v>2</v>
      </c>
      <c r="E18" s="50">
        <v>3</v>
      </c>
      <c r="F18" s="50">
        <v>2</v>
      </c>
      <c r="G18" s="50">
        <v>0</v>
      </c>
      <c r="H18" s="50">
        <v>0</v>
      </c>
      <c r="I18" s="50">
        <v>0</v>
      </c>
      <c r="J18" s="50">
        <v>2</v>
      </c>
      <c r="K18" s="50">
        <v>0</v>
      </c>
      <c r="L18" s="50">
        <v>0</v>
      </c>
      <c r="M18" s="50">
        <v>13</v>
      </c>
      <c r="N18" s="50">
        <v>0</v>
      </c>
      <c r="O18" s="15">
        <f t="shared" si="0"/>
        <v>10</v>
      </c>
      <c r="P18" s="15">
        <f t="shared" si="1"/>
        <v>23</v>
      </c>
      <c r="R18" s="1" t="s">
        <v>14</v>
      </c>
      <c r="S18" s="17">
        <f t="shared" ref="S18:AF18" si="10">SUM(C42:C45)</f>
        <v>5</v>
      </c>
      <c r="T18" s="17">
        <f t="shared" si="10"/>
        <v>4</v>
      </c>
      <c r="U18" s="17">
        <f t="shared" si="10"/>
        <v>12</v>
      </c>
      <c r="V18" s="17">
        <f t="shared" si="10"/>
        <v>12</v>
      </c>
      <c r="W18" s="17">
        <f t="shared" si="10"/>
        <v>0</v>
      </c>
      <c r="X18" s="17">
        <f t="shared" si="10"/>
        <v>1</v>
      </c>
      <c r="Y18" s="17">
        <f t="shared" si="10"/>
        <v>6</v>
      </c>
      <c r="Z18" s="17">
        <f t="shared" si="10"/>
        <v>2</v>
      </c>
      <c r="AA18" s="17">
        <f t="shared" si="10"/>
        <v>0</v>
      </c>
      <c r="AB18" s="17">
        <f t="shared" si="10"/>
        <v>11</v>
      </c>
      <c r="AC18" s="17">
        <f t="shared" si="10"/>
        <v>21</v>
      </c>
      <c r="AD18" s="17">
        <f t="shared" si="10"/>
        <v>0</v>
      </c>
      <c r="AE18" s="31">
        <f t="shared" si="10"/>
        <v>53</v>
      </c>
      <c r="AF18" s="31">
        <f t="shared" si="10"/>
        <v>74</v>
      </c>
    </row>
    <row r="19" spans="2:32" ht="23.1" customHeight="1" x14ac:dyDescent="0.25">
      <c r="B19" s="23" t="s">
        <v>46</v>
      </c>
      <c r="C19" s="50">
        <v>1</v>
      </c>
      <c r="D19" s="50">
        <v>2</v>
      </c>
      <c r="E19" s="50">
        <v>3</v>
      </c>
      <c r="F19" s="50">
        <v>3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3</v>
      </c>
      <c r="M19" s="50">
        <v>11</v>
      </c>
      <c r="N19" s="50">
        <v>0</v>
      </c>
      <c r="O19" s="15">
        <f t="shared" si="0"/>
        <v>14</v>
      </c>
      <c r="P19" s="15">
        <f t="shared" si="1"/>
        <v>25</v>
      </c>
      <c r="R19" s="1" t="s">
        <v>15</v>
      </c>
      <c r="S19" s="17">
        <f t="shared" ref="S19:AF19" si="11">SUM(C46:C49)</f>
        <v>5</v>
      </c>
      <c r="T19" s="17">
        <f t="shared" si="11"/>
        <v>3</v>
      </c>
      <c r="U19" s="17">
        <f t="shared" si="11"/>
        <v>10</v>
      </c>
      <c r="V19" s="17">
        <f t="shared" si="11"/>
        <v>8</v>
      </c>
      <c r="W19" s="17">
        <f t="shared" si="11"/>
        <v>0</v>
      </c>
      <c r="X19" s="17">
        <f t="shared" si="11"/>
        <v>1</v>
      </c>
      <c r="Y19" s="17">
        <f t="shared" si="11"/>
        <v>9</v>
      </c>
      <c r="Z19" s="17">
        <f t="shared" si="11"/>
        <v>1</v>
      </c>
      <c r="AA19" s="17">
        <f t="shared" si="11"/>
        <v>2</v>
      </c>
      <c r="AB19" s="17">
        <f t="shared" si="11"/>
        <v>6</v>
      </c>
      <c r="AC19" s="17">
        <f t="shared" si="11"/>
        <v>29</v>
      </c>
      <c r="AD19" s="17">
        <f t="shared" si="11"/>
        <v>0</v>
      </c>
      <c r="AE19" s="31">
        <f t="shared" si="11"/>
        <v>45</v>
      </c>
      <c r="AF19" s="31">
        <f t="shared" si="11"/>
        <v>74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2</v>
      </c>
      <c r="F20" s="50">
        <v>2</v>
      </c>
      <c r="G20" s="50">
        <v>0</v>
      </c>
      <c r="H20" s="50">
        <v>0</v>
      </c>
      <c r="I20" s="50">
        <v>2</v>
      </c>
      <c r="J20" s="50">
        <v>2</v>
      </c>
      <c r="K20" s="50">
        <v>0</v>
      </c>
      <c r="L20" s="50">
        <v>0</v>
      </c>
      <c r="M20" s="50">
        <v>12</v>
      </c>
      <c r="N20" s="50">
        <v>0</v>
      </c>
      <c r="O20" s="15">
        <f t="shared" si="0"/>
        <v>9</v>
      </c>
      <c r="P20" s="15">
        <f t="shared" si="1"/>
        <v>21</v>
      </c>
      <c r="R20" s="1" t="s">
        <v>16</v>
      </c>
      <c r="S20" s="17">
        <f t="shared" ref="S20:AF20" si="12">SUM(C50:C53)</f>
        <v>14</v>
      </c>
      <c r="T20" s="17">
        <f t="shared" si="12"/>
        <v>4</v>
      </c>
      <c r="U20" s="17">
        <f t="shared" si="12"/>
        <v>9</v>
      </c>
      <c r="V20" s="17">
        <f t="shared" si="12"/>
        <v>10</v>
      </c>
      <c r="W20" s="17">
        <f t="shared" si="12"/>
        <v>0</v>
      </c>
      <c r="X20" s="17">
        <f t="shared" si="12"/>
        <v>1</v>
      </c>
      <c r="Y20" s="17">
        <f t="shared" si="12"/>
        <v>10</v>
      </c>
      <c r="Z20" s="17">
        <f t="shared" si="12"/>
        <v>2</v>
      </c>
      <c r="AA20" s="17">
        <f t="shared" si="12"/>
        <v>0</v>
      </c>
      <c r="AB20" s="17">
        <f t="shared" si="12"/>
        <v>8</v>
      </c>
      <c r="AC20" s="17">
        <f t="shared" si="12"/>
        <v>45</v>
      </c>
      <c r="AD20" s="17">
        <f t="shared" si="12"/>
        <v>0</v>
      </c>
      <c r="AE20" s="31">
        <f t="shared" si="12"/>
        <v>58</v>
      </c>
      <c r="AF20" s="31">
        <f t="shared" si="12"/>
        <v>103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1</v>
      </c>
      <c r="F21" s="50">
        <v>4</v>
      </c>
      <c r="G21" s="50">
        <v>0</v>
      </c>
      <c r="H21" s="50">
        <v>1</v>
      </c>
      <c r="I21" s="50">
        <v>1</v>
      </c>
      <c r="J21" s="50">
        <v>1</v>
      </c>
      <c r="K21" s="50">
        <v>0</v>
      </c>
      <c r="L21" s="50">
        <v>2</v>
      </c>
      <c r="M21" s="50">
        <v>11</v>
      </c>
      <c r="N21" s="50">
        <v>0</v>
      </c>
      <c r="O21" s="15">
        <f t="shared" si="0"/>
        <v>11</v>
      </c>
      <c r="P21" s="15">
        <f t="shared" si="1"/>
        <v>22</v>
      </c>
      <c r="R21" s="36" t="s">
        <v>20</v>
      </c>
      <c r="S21" s="34">
        <f t="shared" ref="S21:AF21" si="13">SUM(C54:C57)</f>
        <v>4</v>
      </c>
      <c r="T21" s="17">
        <f t="shared" si="13"/>
        <v>4</v>
      </c>
      <c r="U21" s="17">
        <f t="shared" si="13"/>
        <v>9</v>
      </c>
      <c r="V21" s="17">
        <f t="shared" si="13"/>
        <v>12</v>
      </c>
      <c r="W21" s="17">
        <f t="shared" si="13"/>
        <v>3</v>
      </c>
      <c r="X21" s="17">
        <f t="shared" si="13"/>
        <v>2</v>
      </c>
      <c r="Y21" s="17">
        <f t="shared" si="13"/>
        <v>13</v>
      </c>
      <c r="Z21" s="17">
        <f t="shared" si="13"/>
        <v>3</v>
      </c>
      <c r="AA21" s="17">
        <f t="shared" si="13"/>
        <v>0</v>
      </c>
      <c r="AB21" s="17">
        <f t="shared" si="13"/>
        <v>4</v>
      </c>
      <c r="AC21" s="17">
        <f t="shared" si="13"/>
        <v>21</v>
      </c>
      <c r="AD21" s="17">
        <f t="shared" si="13"/>
        <v>0</v>
      </c>
      <c r="AE21" s="31">
        <f t="shared" si="13"/>
        <v>54</v>
      </c>
      <c r="AF21" s="31">
        <f t="shared" si="13"/>
        <v>75</v>
      </c>
    </row>
    <row r="22" spans="2:32" ht="23.1" customHeight="1" x14ac:dyDescent="0.25">
      <c r="B22" s="23" t="s">
        <v>49</v>
      </c>
      <c r="C22" s="50">
        <v>3</v>
      </c>
      <c r="D22" s="50">
        <v>1</v>
      </c>
      <c r="E22" s="50">
        <v>2</v>
      </c>
      <c r="F22" s="50">
        <v>1</v>
      </c>
      <c r="G22" s="50">
        <v>0</v>
      </c>
      <c r="H22" s="50">
        <v>1</v>
      </c>
      <c r="I22" s="50">
        <v>1</v>
      </c>
      <c r="J22" s="50">
        <v>2</v>
      </c>
      <c r="K22" s="50">
        <v>0</v>
      </c>
      <c r="L22" s="50">
        <v>2</v>
      </c>
      <c r="M22" s="50">
        <v>9</v>
      </c>
      <c r="N22" s="50">
        <v>0</v>
      </c>
      <c r="O22" s="15">
        <f t="shared" si="0"/>
        <v>13</v>
      </c>
      <c r="P22" s="15">
        <f t="shared" si="1"/>
        <v>22</v>
      </c>
      <c r="R22" s="38" t="s">
        <v>90</v>
      </c>
      <c r="S22" s="39">
        <f>MAX(S10:S12)</f>
        <v>5</v>
      </c>
      <c r="T22" s="39">
        <f t="shared" ref="T22:AF22" si="14">MAX(T10:T12)</f>
        <v>7</v>
      </c>
      <c r="U22" s="39">
        <f t="shared" si="14"/>
        <v>13</v>
      </c>
      <c r="V22" s="39">
        <f t="shared" si="14"/>
        <v>14</v>
      </c>
      <c r="W22" s="39">
        <f t="shared" si="14"/>
        <v>0</v>
      </c>
      <c r="X22" s="39">
        <f t="shared" si="14"/>
        <v>1</v>
      </c>
      <c r="Y22" s="39">
        <f t="shared" si="14"/>
        <v>6</v>
      </c>
      <c r="Z22" s="39">
        <f t="shared" si="14"/>
        <v>5</v>
      </c>
      <c r="AA22" s="39">
        <f t="shared" si="14"/>
        <v>1</v>
      </c>
      <c r="AB22" s="39">
        <f t="shared" si="14"/>
        <v>8</v>
      </c>
      <c r="AC22" s="39">
        <f t="shared" si="14"/>
        <v>47</v>
      </c>
      <c r="AD22" s="39">
        <f t="shared" si="14"/>
        <v>0</v>
      </c>
      <c r="AE22" s="40">
        <f t="shared" si="14"/>
        <v>52</v>
      </c>
      <c r="AF22" s="40">
        <f t="shared" si="14"/>
        <v>91</v>
      </c>
    </row>
    <row r="23" spans="2:32" ht="23.1" customHeight="1" x14ac:dyDescent="0.25">
      <c r="B23" s="23" t="s">
        <v>50</v>
      </c>
      <c r="C23" s="50">
        <v>1</v>
      </c>
      <c r="D23" s="50">
        <v>1</v>
      </c>
      <c r="E23" s="50">
        <v>2</v>
      </c>
      <c r="F23" s="50">
        <v>2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3</v>
      </c>
      <c r="M23" s="50">
        <v>10</v>
      </c>
      <c r="N23" s="50">
        <v>0</v>
      </c>
      <c r="O23" s="15">
        <f t="shared" si="0"/>
        <v>10</v>
      </c>
      <c r="P23" s="15">
        <f t="shared" si="1"/>
        <v>20</v>
      </c>
      <c r="R23" s="38" t="s">
        <v>91</v>
      </c>
      <c r="S23" s="39">
        <f>MAX(S13:S18)</f>
        <v>8</v>
      </c>
      <c r="T23" s="39">
        <f t="shared" ref="T23:AF23" si="15">MAX(T13:T18)</f>
        <v>6</v>
      </c>
      <c r="U23" s="39">
        <f t="shared" si="15"/>
        <v>12</v>
      </c>
      <c r="V23" s="39">
        <f t="shared" si="15"/>
        <v>15</v>
      </c>
      <c r="W23" s="39">
        <f t="shared" si="15"/>
        <v>0</v>
      </c>
      <c r="X23" s="39">
        <f t="shared" si="15"/>
        <v>2</v>
      </c>
      <c r="Y23" s="39">
        <f t="shared" si="15"/>
        <v>7</v>
      </c>
      <c r="Z23" s="39">
        <f t="shared" si="15"/>
        <v>6</v>
      </c>
      <c r="AA23" s="39">
        <f t="shared" si="15"/>
        <v>0</v>
      </c>
      <c r="AB23" s="39">
        <f t="shared" si="15"/>
        <v>14</v>
      </c>
      <c r="AC23" s="39">
        <f t="shared" si="15"/>
        <v>40</v>
      </c>
      <c r="AD23" s="39">
        <f t="shared" si="15"/>
        <v>0</v>
      </c>
      <c r="AE23" s="40">
        <f t="shared" si="15"/>
        <v>55</v>
      </c>
      <c r="AF23" s="40">
        <f t="shared" si="15"/>
        <v>89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4</v>
      </c>
      <c r="N24" s="50">
        <v>0</v>
      </c>
      <c r="O24" s="15">
        <f t="shared" si="0"/>
        <v>1</v>
      </c>
      <c r="P24" s="15">
        <f t="shared" si="1"/>
        <v>5</v>
      </c>
      <c r="R24" s="38" t="s">
        <v>92</v>
      </c>
      <c r="S24" s="39">
        <f>MAX(S19:S21)</f>
        <v>14</v>
      </c>
      <c r="T24" s="39">
        <f t="shared" ref="T24:AF24" si="16">MAX(T19:T21)</f>
        <v>4</v>
      </c>
      <c r="U24" s="39">
        <f t="shared" si="16"/>
        <v>10</v>
      </c>
      <c r="V24" s="39">
        <f t="shared" si="16"/>
        <v>12</v>
      </c>
      <c r="W24" s="39">
        <f t="shared" si="16"/>
        <v>3</v>
      </c>
      <c r="X24" s="39">
        <f t="shared" si="16"/>
        <v>2</v>
      </c>
      <c r="Y24" s="39">
        <f t="shared" si="16"/>
        <v>13</v>
      </c>
      <c r="Z24" s="39">
        <f t="shared" si="16"/>
        <v>3</v>
      </c>
      <c r="AA24" s="39">
        <f t="shared" si="16"/>
        <v>2</v>
      </c>
      <c r="AB24" s="39">
        <f t="shared" si="16"/>
        <v>8</v>
      </c>
      <c r="AC24" s="39">
        <f t="shared" si="16"/>
        <v>45</v>
      </c>
      <c r="AD24" s="39">
        <f t="shared" si="16"/>
        <v>0</v>
      </c>
      <c r="AE24" s="40">
        <f t="shared" si="16"/>
        <v>58</v>
      </c>
      <c r="AF24" s="40">
        <f t="shared" si="16"/>
        <v>103</v>
      </c>
    </row>
    <row r="25" spans="2:32" ht="23.1" customHeight="1" x14ac:dyDescent="0.25">
      <c r="B25" s="23" t="s">
        <v>52</v>
      </c>
      <c r="C25" s="50">
        <v>1</v>
      </c>
      <c r="D25" s="50">
        <v>1</v>
      </c>
      <c r="E25" s="50">
        <v>3</v>
      </c>
      <c r="F25" s="50">
        <v>2</v>
      </c>
      <c r="G25" s="50">
        <v>0</v>
      </c>
      <c r="H25" s="50">
        <v>1</v>
      </c>
      <c r="I25" s="50">
        <v>0</v>
      </c>
      <c r="J25" s="50">
        <v>3</v>
      </c>
      <c r="K25" s="50">
        <v>0</v>
      </c>
      <c r="L25" s="50">
        <v>6</v>
      </c>
      <c r="M25" s="50">
        <v>7</v>
      </c>
      <c r="N25" s="50">
        <v>0</v>
      </c>
      <c r="O25" s="15">
        <f t="shared" si="0"/>
        <v>17</v>
      </c>
      <c r="P25" s="15">
        <f t="shared" si="1"/>
        <v>24</v>
      </c>
      <c r="R25" s="37" t="s">
        <v>85</v>
      </c>
      <c r="S25" s="35">
        <f t="shared" ref="S25:AF25" si="17">SUM(S10:S12)</f>
        <v>9</v>
      </c>
      <c r="T25" s="16">
        <f t="shared" si="17"/>
        <v>16</v>
      </c>
      <c r="U25" s="16">
        <f t="shared" si="17"/>
        <v>32</v>
      </c>
      <c r="V25" s="16">
        <f t="shared" si="17"/>
        <v>30</v>
      </c>
      <c r="W25" s="16">
        <f t="shared" si="17"/>
        <v>0</v>
      </c>
      <c r="X25" s="16">
        <f t="shared" si="17"/>
        <v>3</v>
      </c>
      <c r="Y25" s="16">
        <f t="shared" si="17"/>
        <v>13</v>
      </c>
      <c r="Z25" s="16">
        <f t="shared" si="17"/>
        <v>10</v>
      </c>
      <c r="AA25" s="16">
        <f t="shared" si="17"/>
        <v>1</v>
      </c>
      <c r="AB25" s="16">
        <f t="shared" si="17"/>
        <v>19</v>
      </c>
      <c r="AC25" s="16">
        <f t="shared" si="17"/>
        <v>103</v>
      </c>
      <c r="AD25" s="16">
        <f t="shared" si="17"/>
        <v>0</v>
      </c>
      <c r="AE25" s="32">
        <f t="shared" si="17"/>
        <v>133</v>
      </c>
      <c r="AF25" s="32">
        <f t="shared" si="17"/>
        <v>236</v>
      </c>
    </row>
    <row r="26" spans="2:32" ht="23.1" customHeight="1" x14ac:dyDescent="0.25">
      <c r="B26" s="23" t="s">
        <v>53</v>
      </c>
      <c r="C26" s="50">
        <v>3</v>
      </c>
      <c r="D26" s="50">
        <v>1</v>
      </c>
      <c r="E26" s="50">
        <v>2</v>
      </c>
      <c r="F26" s="50">
        <v>3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3</v>
      </c>
      <c r="M26" s="50">
        <v>8</v>
      </c>
      <c r="N26" s="50">
        <v>0</v>
      </c>
      <c r="O26" s="15">
        <f t="shared" si="0"/>
        <v>15</v>
      </c>
      <c r="P26" s="15">
        <f t="shared" si="1"/>
        <v>23</v>
      </c>
      <c r="R26" s="28" t="s">
        <v>86</v>
      </c>
      <c r="S26" s="16">
        <f t="shared" ref="S26:AF26" si="18">SUM(S13:S18)</f>
        <v>37</v>
      </c>
      <c r="T26" s="16">
        <f t="shared" si="18"/>
        <v>20</v>
      </c>
      <c r="U26" s="16">
        <f t="shared" si="18"/>
        <v>57</v>
      </c>
      <c r="V26" s="16">
        <f t="shared" si="18"/>
        <v>61</v>
      </c>
      <c r="W26" s="16">
        <f t="shared" si="18"/>
        <v>0</v>
      </c>
      <c r="X26" s="16">
        <f t="shared" si="18"/>
        <v>7</v>
      </c>
      <c r="Y26" s="16">
        <f t="shared" si="18"/>
        <v>22</v>
      </c>
      <c r="Z26" s="16">
        <f t="shared" si="18"/>
        <v>20</v>
      </c>
      <c r="AA26" s="16">
        <f t="shared" si="18"/>
        <v>0</v>
      </c>
      <c r="AB26" s="16">
        <f t="shared" si="18"/>
        <v>61</v>
      </c>
      <c r="AC26" s="16">
        <f t="shared" si="18"/>
        <v>153</v>
      </c>
      <c r="AD26" s="16">
        <f t="shared" si="18"/>
        <v>0</v>
      </c>
      <c r="AE26" s="32">
        <f t="shared" si="18"/>
        <v>285</v>
      </c>
      <c r="AF26" s="32">
        <f t="shared" si="18"/>
        <v>438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2</v>
      </c>
      <c r="F27" s="50">
        <v>1</v>
      </c>
      <c r="G27" s="50">
        <v>0</v>
      </c>
      <c r="H27" s="50">
        <v>2</v>
      </c>
      <c r="I27" s="50">
        <v>1</v>
      </c>
      <c r="J27" s="50">
        <v>0</v>
      </c>
      <c r="K27" s="50">
        <v>0</v>
      </c>
      <c r="L27" s="50">
        <v>1</v>
      </c>
      <c r="M27" s="50">
        <v>1</v>
      </c>
      <c r="N27" s="50">
        <v>0</v>
      </c>
      <c r="O27" s="15">
        <f t="shared" si="0"/>
        <v>10</v>
      </c>
      <c r="P27" s="15">
        <f t="shared" si="1"/>
        <v>11</v>
      </c>
      <c r="R27" s="29" t="s">
        <v>87</v>
      </c>
      <c r="S27" s="16">
        <f t="shared" ref="S27:AF27" si="19">SUM(S19:S21)</f>
        <v>23</v>
      </c>
      <c r="T27" s="16">
        <f t="shared" si="19"/>
        <v>11</v>
      </c>
      <c r="U27" s="16">
        <f t="shared" si="19"/>
        <v>28</v>
      </c>
      <c r="V27" s="16">
        <f t="shared" si="19"/>
        <v>30</v>
      </c>
      <c r="W27" s="16">
        <f t="shared" si="19"/>
        <v>3</v>
      </c>
      <c r="X27" s="16">
        <f t="shared" si="19"/>
        <v>4</v>
      </c>
      <c r="Y27" s="16">
        <f t="shared" si="19"/>
        <v>32</v>
      </c>
      <c r="Z27" s="16">
        <f t="shared" si="19"/>
        <v>6</v>
      </c>
      <c r="AA27" s="16">
        <f t="shared" si="19"/>
        <v>2</v>
      </c>
      <c r="AB27" s="16">
        <f t="shared" si="19"/>
        <v>18</v>
      </c>
      <c r="AC27" s="16">
        <f t="shared" si="19"/>
        <v>95</v>
      </c>
      <c r="AD27" s="16">
        <f t="shared" si="19"/>
        <v>0</v>
      </c>
      <c r="AE27" s="32">
        <f t="shared" si="19"/>
        <v>157</v>
      </c>
      <c r="AF27" s="32">
        <f t="shared" si="19"/>
        <v>252</v>
      </c>
    </row>
    <row r="28" spans="2:32" ht="23.1" customHeight="1" x14ac:dyDescent="0.25">
      <c r="B28" s="23" t="s">
        <v>55</v>
      </c>
      <c r="C28" s="50">
        <v>2</v>
      </c>
      <c r="D28" s="50">
        <v>1</v>
      </c>
      <c r="E28" s="50">
        <v>2</v>
      </c>
      <c r="F28" s="50">
        <v>2</v>
      </c>
      <c r="G28" s="50">
        <v>0</v>
      </c>
      <c r="H28" s="50">
        <v>0</v>
      </c>
      <c r="I28" s="50">
        <v>0</v>
      </c>
      <c r="J28" s="50">
        <v>2</v>
      </c>
      <c r="K28" s="50">
        <v>0</v>
      </c>
      <c r="L28" s="50">
        <v>3</v>
      </c>
      <c r="M28" s="50">
        <v>5</v>
      </c>
      <c r="N28" s="50">
        <v>0</v>
      </c>
      <c r="O28" s="15">
        <f t="shared" si="0"/>
        <v>12</v>
      </c>
      <c r="P28" s="15">
        <f t="shared" si="1"/>
        <v>17</v>
      </c>
      <c r="R28" s="5" t="s">
        <v>17</v>
      </c>
      <c r="S28" s="16">
        <f t="shared" ref="S28:AF28" si="20">SUM(S10:S21)</f>
        <v>69</v>
      </c>
      <c r="T28" s="16">
        <f t="shared" si="20"/>
        <v>47</v>
      </c>
      <c r="U28" s="16">
        <f t="shared" si="20"/>
        <v>117</v>
      </c>
      <c r="V28" s="16">
        <f t="shared" si="20"/>
        <v>121</v>
      </c>
      <c r="W28" s="16">
        <f t="shared" si="20"/>
        <v>3</v>
      </c>
      <c r="X28" s="16">
        <f t="shared" si="20"/>
        <v>14</v>
      </c>
      <c r="Y28" s="16">
        <f t="shared" si="20"/>
        <v>67</v>
      </c>
      <c r="Z28" s="16">
        <f t="shared" si="20"/>
        <v>36</v>
      </c>
      <c r="AA28" s="16">
        <f t="shared" si="20"/>
        <v>3</v>
      </c>
      <c r="AB28" s="16">
        <f t="shared" si="20"/>
        <v>98</v>
      </c>
      <c r="AC28" s="16">
        <f t="shared" si="20"/>
        <v>351</v>
      </c>
      <c r="AD28" s="16">
        <f t="shared" si="20"/>
        <v>0</v>
      </c>
      <c r="AE28" s="32">
        <f t="shared" si="20"/>
        <v>575</v>
      </c>
      <c r="AF28" s="32">
        <f t="shared" si="20"/>
        <v>926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4</v>
      </c>
      <c r="N29" s="50">
        <v>0</v>
      </c>
      <c r="O29" s="15">
        <f t="shared" si="0"/>
        <v>3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2</v>
      </c>
      <c r="F30" s="50">
        <v>5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11</v>
      </c>
      <c r="P30" s="15">
        <f t="shared" si="1"/>
        <v>20</v>
      </c>
    </row>
    <row r="31" spans="2:32" ht="23.1" customHeight="1" x14ac:dyDescent="0.25">
      <c r="B31" s="24" t="s">
        <v>58</v>
      </c>
      <c r="C31" s="50">
        <v>4</v>
      </c>
      <c r="D31" s="50">
        <v>1</v>
      </c>
      <c r="E31" s="50">
        <v>2</v>
      </c>
      <c r="F31" s="50">
        <v>4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4</v>
      </c>
      <c r="M31" s="50">
        <v>7</v>
      </c>
      <c r="N31" s="50">
        <v>0</v>
      </c>
      <c r="O31" s="15">
        <f t="shared" si="0"/>
        <v>16</v>
      </c>
      <c r="P31" s="15">
        <f t="shared" si="1"/>
        <v>23</v>
      </c>
    </row>
    <row r="32" spans="2:32" ht="23.1" customHeight="1" x14ac:dyDescent="0.25">
      <c r="B32" s="24" t="s">
        <v>59</v>
      </c>
      <c r="C32" s="50">
        <v>3</v>
      </c>
      <c r="D32" s="50">
        <v>1</v>
      </c>
      <c r="E32" s="50">
        <v>3</v>
      </c>
      <c r="F32" s="50">
        <v>4</v>
      </c>
      <c r="G32" s="50">
        <v>0</v>
      </c>
      <c r="H32" s="50">
        <v>0</v>
      </c>
      <c r="I32" s="50">
        <v>0</v>
      </c>
      <c r="J32" s="50">
        <v>4</v>
      </c>
      <c r="K32" s="50">
        <v>0</v>
      </c>
      <c r="L32" s="50">
        <v>2</v>
      </c>
      <c r="M32" s="50">
        <v>6</v>
      </c>
      <c r="N32" s="50">
        <v>0</v>
      </c>
      <c r="O32" s="15">
        <f t="shared" si="0"/>
        <v>17</v>
      </c>
      <c r="P32" s="15">
        <f t="shared" si="1"/>
        <v>23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5</v>
      </c>
      <c r="N33" s="50">
        <v>0</v>
      </c>
      <c r="O33" s="15">
        <f t="shared" si="0"/>
        <v>3</v>
      </c>
      <c r="P33" s="15">
        <f t="shared" si="1"/>
        <v>8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2</v>
      </c>
      <c r="G34" s="50">
        <v>0</v>
      </c>
      <c r="H34" s="50">
        <v>0</v>
      </c>
      <c r="I34" s="50">
        <v>4</v>
      </c>
      <c r="J34" s="50">
        <v>1</v>
      </c>
      <c r="K34" s="50">
        <v>0</v>
      </c>
      <c r="L34" s="50">
        <v>1</v>
      </c>
      <c r="M34" s="50">
        <v>13</v>
      </c>
      <c r="N34" s="50">
        <v>0</v>
      </c>
      <c r="O34" s="15">
        <f t="shared" si="0"/>
        <v>10</v>
      </c>
      <c r="P34" s="15">
        <f t="shared" si="1"/>
        <v>23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2</v>
      </c>
      <c r="F35" s="50">
        <v>4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2</v>
      </c>
      <c r="M35" s="50">
        <v>12</v>
      </c>
      <c r="N35" s="50">
        <v>0</v>
      </c>
      <c r="O35" s="15">
        <f t="shared" si="0"/>
        <v>10</v>
      </c>
      <c r="P35" s="15">
        <f t="shared" si="1"/>
        <v>22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2</v>
      </c>
      <c r="F36" s="50">
        <v>1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2</v>
      </c>
      <c r="M36" s="50">
        <v>7</v>
      </c>
      <c r="N36" s="50">
        <v>0</v>
      </c>
      <c r="O36" s="15">
        <f t="shared" si="0"/>
        <v>9</v>
      </c>
      <c r="P36" s="15">
        <f t="shared" si="1"/>
        <v>16</v>
      </c>
    </row>
    <row r="37" spans="2:20" ht="23.1" customHeight="1" x14ac:dyDescent="0.25">
      <c r="B37" s="23" t="s">
        <v>64</v>
      </c>
      <c r="C37" s="50">
        <v>2</v>
      </c>
      <c r="D37" s="50">
        <v>2</v>
      </c>
      <c r="E37" s="50">
        <v>5</v>
      </c>
      <c r="F37" s="50">
        <v>4</v>
      </c>
      <c r="G37" s="50">
        <v>0</v>
      </c>
      <c r="H37" s="50">
        <v>1</v>
      </c>
      <c r="I37" s="50">
        <v>1</v>
      </c>
      <c r="J37" s="50">
        <v>0</v>
      </c>
      <c r="K37" s="50">
        <v>0</v>
      </c>
      <c r="L37" s="50">
        <v>5</v>
      </c>
      <c r="M37" s="50">
        <v>8</v>
      </c>
      <c r="N37" s="50">
        <v>0</v>
      </c>
      <c r="O37" s="15">
        <f t="shared" si="0"/>
        <v>20</v>
      </c>
      <c r="P37" s="15">
        <f t="shared" si="1"/>
        <v>28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2</v>
      </c>
      <c r="F38" s="50">
        <v>1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v>4</v>
      </c>
      <c r="M38" s="50">
        <v>5</v>
      </c>
      <c r="N38" s="50">
        <v>0</v>
      </c>
      <c r="O38" s="15">
        <f t="shared" si="0"/>
        <v>9</v>
      </c>
      <c r="P38" s="15">
        <f t="shared" si="1"/>
        <v>14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1</v>
      </c>
      <c r="F39" s="50">
        <v>2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5</v>
      </c>
      <c r="M39" s="50">
        <v>3</v>
      </c>
      <c r="N39" s="50">
        <v>0</v>
      </c>
      <c r="O39" s="15">
        <f t="shared" si="0"/>
        <v>12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2</v>
      </c>
      <c r="D40" s="50">
        <v>4</v>
      </c>
      <c r="E40" s="50">
        <v>6</v>
      </c>
      <c r="F40" s="50">
        <v>4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4</v>
      </c>
      <c r="M40" s="50">
        <v>5</v>
      </c>
      <c r="N40" s="50">
        <v>0</v>
      </c>
      <c r="O40" s="15">
        <f t="shared" si="0"/>
        <v>21</v>
      </c>
      <c r="P40" s="15">
        <f t="shared" si="1"/>
        <v>26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3</v>
      </c>
      <c r="F41" s="50">
        <v>5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1</v>
      </c>
      <c r="M41" s="50">
        <v>4</v>
      </c>
      <c r="N41" s="50">
        <v>0</v>
      </c>
      <c r="O41" s="15">
        <f t="shared" si="0"/>
        <v>13</v>
      </c>
      <c r="P41" s="15">
        <f t="shared" si="1"/>
        <v>17</v>
      </c>
    </row>
    <row r="42" spans="2:20" ht="23.1" customHeight="1" x14ac:dyDescent="0.25">
      <c r="B42" s="24" t="s">
        <v>69</v>
      </c>
      <c r="C42" s="50">
        <v>2</v>
      </c>
      <c r="D42" s="50">
        <v>1</v>
      </c>
      <c r="E42" s="50">
        <v>3</v>
      </c>
      <c r="F42" s="50">
        <v>4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2</v>
      </c>
      <c r="M42" s="50">
        <v>7</v>
      </c>
      <c r="N42" s="50">
        <v>0</v>
      </c>
      <c r="O42" s="15">
        <f t="shared" si="0"/>
        <v>14</v>
      </c>
      <c r="P42" s="15">
        <f t="shared" si="1"/>
        <v>21</v>
      </c>
    </row>
    <row r="43" spans="2:20" ht="23.1" customHeight="1" x14ac:dyDescent="0.25">
      <c r="B43" s="23" t="s">
        <v>70</v>
      </c>
      <c r="C43" s="50">
        <v>1</v>
      </c>
      <c r="D43" s="50">
        <v>1</v>
      </c>
      <c r="E43" s="50">
        <v>3</v>
      </c>
      <c r="F43" s="50">
        <v>2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2</v>
      </c>
      <c r="M43" s="50">
        <v>1</v>
      </c>
      <c r="N43" s="50">
        <v>0</v>
      </c>
      <c r="O43" s="15">
        <f t="shared" si="0"/>
        <v>10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2</v>
      </c>
      <c r="D44" s="50">
        <v>1</v>
      </c>
      <c r="E44" s="50">
        <v>3</v>
      </c>
      <c r="F44" s="50">
        <v>2</v>
      </c>
      <c r="G44" s="50">
        <v>0</v>
      </c>
      <c r="H44" s="50">
        <v>1</v>
      </c>
      <c r="I44" s="50">
        <v>0</v>
      </c>
      <c r="J44" s="50">
        <v>0</v>
      </c>
      <c r="K44" s="50">
        <v>0</v>
      </c>
      <c r="L44" s="50">
        <v>3</v>
      </c>
      <c r="M44" s="50">
        <v>7</v>
      </c>
      <c r="N44" s="50">
        <v>0</v>
      </c>
      <c r="O44" s="15">
        <f t="shared" si="0"/>
        <v>12</v>
      </c>
      <c r="P44" s="15">
        <f t="shared" si="1"/>
        <v>19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3</v>
      </c>
      <c r="F45" s="50">
        <v>4</v>
      </c>
      <c r="G45" s="50">
        <v>0</v>
      </c>
      <c r="H45" s="50">
        <v>0</v>
      </c>
      <c r="I45" s="50">
        <v>3</v>
      </c>
      <c r="J45" s="50">
        <v>2</v>
      </c>
      <c r="K45" s="50">
        <v>0</v>
      </c>
      <c r="L45" s="50">
        <v>4</v>
      </c>
      <c r="M45" s="50">
        <v>6</v>
      </c>
      <c r="N45" s="50">
        <v>0</v>
      </c>
      <c r="O45" s="15">
        <f t="shared" si="0"/>
        <v>17</v>
      </c>
      <c r="P45" s="15">
        <f t="shared" si="1"/>
        <v>23</v>
      </c>
    </row>
    <row r="46" spans="2:20" ht="23.1" customHeight="1" x14ac:dyDescent="0.25">
      <c r="B46" s="24" t="s">
        <v>73</v>
      </c>
      <c r="C46" s="50">
        <v>1</v>
      </c>
      <c r="D46" s="50">
        <v>1</v>
      </c>
      <c r="E46" s="50">
        <v>3</v>
      </c>
      <c r="F46" s="50">
        <v>3</v>
      </c>
      <c r="G46" s="50">
        <v>0</v>
      </c>
      <c r="H46" s="50">
        <v>0</v>
      </c>
      <c r="I46" s="50">
        <v>2</v>
      </c>
      <c r="J46" s="50">
        <v>0</v>
      </c>
      <c r="K46" s="50">
        <v>1</v>
      </c>
      <c r="L46" s="50">
        <v>3</v>
      </c>
      <c r="M46" s="50">
        <v>5</v>
      </c>
      <c r="N46" s="50">
        <v>0</v>
      </c>
      <c r="O46" s="15">
        <f t="shared" si="0"/>
        <v>14</v>
      </c>
      <c r="P46" s="15">
        <f t="shared" si="1"/>
        <v>19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2</v>
      </c>
      <c r="F47" s="50">
        <v>2</v>
      </c>
      <c r="G47" s="50">
        <v>0</v>
      </c>
      <c r="H47" s="50">
        <v>1</v>
      </c>
      <c r="I47" s="50">
        <v>2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9</v>
      </c>
      <c r="P47" s="15">
        <f t="shared" si="1"/>
        <v>16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1</v>
      </c>
      <c r="L48" s="50">
        <v>0</v>
      </c>
      <c r="M48" s="50">
        <v>9</v>
      </c>
      <c r="N48" s="50">
        <v>0</v>
      </c>
      <c r="O48" s="15">
        <f t="shared" si="0"/>
        <v>7</v>
      </c>
      <c r="P48" s="15">
        <f t="shared" si="1"/>
        <v>16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3</v>
      </c>
      <c r="F49" s="50">
        <v>2</v>
      </c>
      <c r="G49" s="50">
        <v>0</v>
      </c>
      <c r="H49" s="50">
        <v>0</v>
      </c>
      <c r="I49" s="50">
        <v>4</v>
      </c>
      <c r="J49" s="50">
        <v>1</v>
      </c>
      <c r="K49" s="50">
        <v>0</v>
      </c>
      <c r="L49" s="50">
        <v>3</v>
      </c>
      <c r="M49" s="50">
        <v>8</v>
      </c>
      <c r="N49" s="50">
        <v>0</v>
      </c>
      <c r="O49" s="15">
        <f t="shared" si="0"/>
        <v>15</v>
      </c>
      <c r="P49" s="15">
        <f t="shared" si="1"/>
        <v>23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1</v>
      </c>
      <c r="E50" s="50">
        <v>2</v>
      </c>
      <c r="F50" s="50">
        <v>4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1</v>
      </c>
      <c r="M50" s="50">
        <v>11</v>
      </c>
      <c r="N50" s="50">
        <v>0</v>
      </c>
      <c r="O50" s="15">
        <f t="shared" si="0"/>
        <v>16</v>
      </c>
      <c r="P50" s="15">
        <f t="shared" si="1"/>
        <v>27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1</v>
      </c>
      <c r="E51" s="50">
        <v>2</v>
      </c>
      <c r="F51" s="50">
        <v>1</v>
      </c>
      <c r="G51" s="50">
        <v>0</v>
      </c>
      <c r="H51" s="50">
        <v>1</v>
      </c>
      <c r="I51" s="50">
        <v>1</v>
      </c>
      <c r="J51" s="50">
        <v>2</v>
      </c>
      <c r="K51" s="50">
        <v>0</v>
      </c>
      <c r="L51" s="50">
        <v>3</v>
      </c>
      <c r="M51" s="50">
        <v>9</v>
      </c>
      <c r="N51" s="50">
        <v>0</v>
      </c>
      <c r="O51" s="15">
        <f t="shared" si="0"/>
        <v>16</v>
      </c>
      <c r="P51" s="15">
        <f t="shared" si="1"/>
        <v>25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3</v>
      </c>
      <c r="F52" s="50">
        <v>3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1</v>
      </c>
      <c r="M52" s="50">
        <v>10</v>
      </c>
      <c r="N52" s="50">
        <v>0</v>
      </c>
      <c r="O52" s="15">
        <f t="shared" si="0"/>
        <v>12</v>
      </c>
      <c r="P52" s="15">
        <f t="shared" si="1"/>
        <v>22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2</v>
      </c>
      <c r="F53" s="50">
        <v>2</v>
      </c>
      <c r="G53" s="50">
        <v>0</v>
      </c>
      <c r="H53" s="50">
        <v>0</v>
      </c>
      <c r="I53" s="50">
        <v>4</v>
      </c>
      <c r="J53" s="50">
        <v>0</v>
      </c>
      <c r="K53" s="50">
        <v>0</v>
      </c>
      <c r="L53" s="50">
        <v>3</v>
      </c>
      <c r="M53" s="50">
        <v>15</v>
      </c>
      <c r="N53" s="50">
        <v>0</v>
      </c>
      <c r="O53" s="15">
        <f t="shared" si="0"/>
        <v>14</v>
      </c>
      <c r="P53" s="15">
        <f t="shared" si="1"/>
        <v>29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2</v>
      </c>
      <c r="F54" s="50">
        <v>4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1</v>
      </c>
      <c r="M54" s="50">
        <v>12</v>
      </c>
      <c r="N54" s="50">
        <v>0</v>
      </c>
      <c r="O54" s="15">
        <f t="shared" si="0"/>
        <v>11</v>
      </c>
      <c r="P54" s="15">
        <f t="shared" si="1"/>
        <v>23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2</v>
      </c>
      <c r="F55" s="50">
        <v>0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3</v>
      </c>
      <c r="M55" s="50">
        <v>3</v>
      </c>
      <c r="N55" s="50">
        <v>0</v>
      </c>
      <c r="O55" s="15">
        <f t="shared" si="0"/>
        <v>9</v>
      </c>
      <c r="P55" s="15">
        <f t="shared" si="1"/>
        <v>12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2</v>
      </c>
      <c r="E56" s="50">
        <v>3</v>
      </c>
      <c r="F56" s="50">
        <v>3</v>
      </c>
      <c r="G56" s="50">
        <v>1</v>
      </c>
      <c r="H56" s="50">
        <v>2</v>
      </c>
      <c r="I56" s="50">
        <v>6</v>
      </c>
      <c r="J56" s="50">
        <v>0</v>
      </c>
      <c r="K56" s="50">
        <v>0</v>
      </c>
      <c r="L56" s="50">
        <v>0</v>
      </c>
      <c r="M56" s="50">
        <v>2</v>
      </c>
      <c r="N56" s="50">
        <v>0</v>
      </c>
      <c r="O56" s="15">
        <f t="shared" si="0"/>
        <v>18</v>
      </c>
      <c r="P56" s="15">
        <f t="shared" si="1"/>
        <v>20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2</v>
      </c>
      <c r="F57" s="50">
        <v>5</v>
      </c>
      <c r="G57" s="50">
        <v>2</v>
      </c>
      <c r="H57" s="50">
        <v>0</v>
      </c>
      <c r="I57" s="50">
        <v>2</v>
      </c>
      <c r="J57" s="50">
        <v>2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16</v>
      </c>
      <c r="P57" s="15">
        <f t="shared" si="1"/>
        <v>20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69</v>
      </c>
      <c r="D58" s="16">
        <f t="shared" si="21"/>
        <v>47</v>
      </c>
      <c r="E58" s="16">
        <f t="shared" si="21"/>
        <v>117</v>
      </c>
      <c r="F58" s="16">
        <f t="shared" si="21"/>
        <v>121</v>
      </c>
      <c r="G58" s="16">
        <f t="shared" si="21"/>
        <v>3</v>
      </c>
      <c r="H58" s="16">
        <f t="shared" si="21"/>
        <v>14</v>
      </c>
      <c r="I58" s="16">
        <f t="shared" si="21"/>
        <v>67</v>
      </c>
      <c r="J58" s="16">
        <f t="shared" si="21"/>
        <v>36</v>
      </c>
      <c r="K58" s="16">
        <f t="shared" si="21"/>
        <v>3</v>
      </c>
      <c r="L58" s="16">
        <f t="shared" si="21"/>
        <v>98</v>
      </c>
      <c r="M58" s="16">
        <f t="shared" si="21"/>
        <v>351</v>
      </c>
      <c r="N58" s="16">
        <f t="shared" si="21"/>
        <v>0</v>
      </c>
      <c r="O58" s="16">
        <f t="shared" si="21"/>
        <v>575</v>
      </c>
      <c r="P58" s="16">
        <f t="shared" si="21"/>
        <v>926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7.4514038876889843E-2</v>
      </c>
      <c r="D59" s="43">
        <f t="shared" si="22"/>
        <v>5.0755939524838013E-2</v>
      </c>
      <c r="E59" s="43">
        <f t="shared" si="22"/>
        <v>0.1263498920086393</v>
      </c>
      <c r="F59" s="43">
        <f t="shared" si="22"/>
        <v>0.13066954643628509</v>
      </c>
      <c r="G59" s="43">
        <f t="shared" si="22"/>
        <v>3.2397408207343412E-3</v>
      </c>
      <c r="H59" s="43">
        <f t="shared" si="22"/>
        <v>1.511879049676026E-2</v>
      </c>
      <c r="I59" s="43">
        <f t="shared" si="22"/>
        <v>7.235421166306695E-2</v>
      </c>
      <c r="J59" s="43">
        <f t="shared" si="22"/>
        <v>3.8876889848812095E-2</v>
      </c>
      <c r="K59" s="43">
        <f t="shared" si="22"/>
        <v>3.2397408207343412E-3</v>
      </c>
      <c r="L59" s="43">
        <f t="shared" si="22"/>
        <v>0.10583153347732181</v>
      </c>
      <c r="M59" s="43">
        <f t="shared" si="22"/>
        <v>0.37904967602591794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0.12</v>
      </c>
      <c r="D60" s="44">
        <f t="shared" ref="D60:N60" si="23">D58/$O$58</f>
        <v>8.1739130434782606E-2</v>
      </c>
      <c r="E60" s="44">
        <f t="shared" si="23"/>
        <v>0.20347826086956522</v>
      </c>
      <c r="F60" s="44">
        <f t="shared" si="23"/>
        <v>0.21043478260869566</v>
      </c>
      <c r="G60" s="44">
        <f t="shared" si="23"/>
        <v>5.2173913043478265E-3</v>
      </c>
      <c r="H60" s="44">
        <f t="shared" si="23"/>
        <v>2.4347826086956521E-2</v>
      </c>
      <c r="I60" s="44">
        <f t="shared" si="23"/>
        <v>0.11652173913043479</v>
      </c>
      <c r="J60" s="44">
        <f t="shared" si="23"/>
        <v>6.2608695652173918E-2</v>
      </c>
      <c r="K60" s="44">
        <f t="shared" si="23"/>
        <v>5.2173913043478265E-3</v>
      </c>
      <c r="L60" s="44">
        <f t="shared" si="23"/>
        <v>0.17043478260869566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Kumi-Soroti'!C3:G3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'08.08 Kumi-Soroti'!D5</f>
        <v>08.08.19</v>
      </c>
      <c r="E5" s="3"/>
      <c r="F5" s="41" t="s">
        <v>1</v>
      </c>
      <c r="G5" s="63" t="str">
        <f>'08.08 Kumi-Soroti'!G5:H5</f>
        <v>Mukura</v>
      </c>
      <c r="H5" s="64"/>
      <c r="I5" s="14"/>
      <c r="J5" s="2" t="s">
        <v>5</v>
      </c>
      <c r="K5" s="63" t="str">
        <f>'08.08 Kumi-Soroti'!K5:L5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166</v>
      </c>
      <c r="E6" s="58"/>
      <c r="F6" s="2" t="s">
        <v>2</v>
      </c>
      <c r="G6" s="57" t="s">
        <v>165</v>
      </c>
      <c r="H6" s="58"/>
      <c r="J6" s="2" t="s">
        <v>21</v>
      </c>
      <c r="K6" s="63" t="str">
        <f>'08.08 Kumi-Soroti'!K6:L6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2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0</v>
      </c>
      <c r="T10" s="17">
        <f t="shared" si="2"/>
        <v>1</v>
      </c>
      <c r="U10" s="17">
        <f t="shared" si="2"/>
        <v>7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4</v>
      </c>
      <c r="AA10" s="17">
        <f t="shared" si="2"/>
        <v>0</v>
      </c>
      <c r="AB10" s="17">
        <f t="shared" si="2"/>
        <v>4</v>
      </c>
      <c r="AC10" s="17">
        <f t="shared" si="2"/>
        <v>23</v>
      </c>
      <c r="AD10" s="17">
        <f t="shared" si="2"/>
        <v>0</v>
      </c>
      <c r="AE10" s="31">
        <f t="shared" si="2"/>
        <v>18</v>
      </c>
      <c r="AF10" s="31">
        <f t="shared" si="2"/>
        <v>41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3</v>
      </c>
      <c r="P11" s="15">
        <f t="shared" si="1"/>
        <v>6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7</v>
      </c>
      <c r="V11" s="17">
        <f t="shared" si="3"/>
        <v>2</v>
      </c>
      <c r="W11" s="17">
        <f t="shared" si="3"/>
        <v>0</v>
      </c>
      <c r="X11" s="17">
        <f t="shared" si="3"/>
        <v>1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8</v>
      </c>
      <c r="AC11" s="17">
        <f t="shared" si="3"/>
        <v>33</v>
      </c>
      <c r="AD11" s="17">
        <f t="shared" si="3"/>
        <v>0</v>
      </c>
      <c r="AE11" s="31">
        <f t="shared" si="3"/>
        <v>21</v>
      </c>
      <c r="AF11" s="31">
        <f t="shared" si="3"/>
        <v>54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3</v>
      </c>
      <c r="M12" s="50">
        <v>5</v>
      </c>
      <c r="N12" s="50">
        <v>0</v>
      </c>
      <c r="O12" s="15">
        <f t="shared" si="0"/>
        <v>6</v>
      </c>
      <c r="P12" s="15">
        <f t="shared" si="1"/>
        <v>11</v>
      </c>
      <c r="R12" s="1" t="s">
        <v>8</v>
      </c>
      <c r="S12" s="17">
        <f t="shared" ref="S12:AF12" si="4">SUM(C18:C21)</f>
        <v>4</v>
      </c>
      <c r="T12" s="17">
        <f t="shared" si="4"/>
        <v>3</v>
      </c>
      <c r="U12" s="17">
        <f t="shared" si="4"/>
        <v>14</v>
      </c>
      <c r="V12" s="17">
        <f t="shared" si="4"/>
        <v>3</v>
      </c>
      <c r="W12" s="17">
        <f t="shared" si="4"/>
        <v>1</v>
      </c>
      <c r="X12" s="17">
        <f t="shared" si="4"/>
        <v>1</v>
      </c>
      <c r="Y12" s="17">
        <f t="shared" si="4"/>
        <v>8</v>
      </c>
      <c r="Z12" s="17">
        <f t="shared" si="4"/>
        <v>1</v>
      </c>
      <c r="AA12" s="17">
        <f t="shared" si="4"/>
        <v>0</v>
      </c>
      <c r="AB12" s="17">
        <f t="shared" si="4"/>
        <v>8</v>
      </c>
      <c r="AC12" s="17">
        <f t="shared" si="4"/>
        <v>10</v>
      </c>
      <c r="AD12" s="17">
        <f t="shared" si="4"/>
        <v>0</v>
      </c>
      <c r="AE12" s="31">
        <f t="shared" si="4"/>
        <v>43</v>
      </c>
      <c r="AF12" s="31">
        <f t="shared" si="4"/>
        <v>53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3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11</v>
      </c>
      <c r="N13" s="50">
        <v>0</v>
      </c>
      <c r="O13" s="15">
        <f t="shared" si="0"/>
        <v>6</v>
      </c>
      <c r="P13" s="15">
        <f t="shared" si="1"/>
        <v>17</v>
      </c>
      <c r="R13" s="1" t="s">
        <v>9</v>
      </c>
      <c r="S13" s="17">
        <f t="shared" ref="S13:AF13" si="5">SUM(C22:C25)</f>
        <v>8</v>
      </c>
      <c r="T13" s="17">
        <f t="shared" si="5"/>
        <v>6</v>
      </c>
      <c r="U13" s="17">
        <f t="shared" si="5"/>
        <v>21</v>
      </c>
      <c r="V13" s="17">
        <f t="shared" si="5"/>
        <v>4</v>
      </c>
      <c r="W13" s="17">
        <f t="shared" si="5"/>
        <v>0</v>
      </c>
      <c r="X13" s="17">
        <f t="shared" si="5"/>
        <v>3</v>
      </c>
      <c r="Y13" s="17">
        <f t="shared" si="5"/>
        <v>3</v>
      </c>
      <c r="Z13" s="17">
        <f t="shared" si="5"/>
        <v>2</v>
      </c>
      <c r="AA13" s="17">
        <f t="shared" si="5"/>
        <v>0</v>
      </c>
      <c r="AB13" s="17">
        <f t="shared" si="5"/>
        <v>6</v>
      </c>
      <c r="AC13" s="17">
        <f t="shared" si="5"/>
        <v>14</v>
      </c>
      <c r="AD13" s="17">
        <f t="shared" si="5"/>
        <v>0</v>
      </c>
      <c r="AE13" s="31">
        <f t="shared" si="5"/>
        <v>53</v>
      </c>
      <c r="AF13" s="31">
        <f t="shared" si="5"/>
        <v>67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3</v>
      </c>
      <c r="F14" s="50">
        <v>0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3</v>
      </c>
      <c r="M14" s="50">
        <v>11</v>
      </c>
      <c r="N14" s="50">
        <v>0</v>
      </c>
      <c r="O14" s="15">
        <f t="shared" si="0"/>
        <v>9</v>
      </c>
      <c r="P14" s="15">
        <f t="shared" si="1"/>
        <v>20</v>
      </c>
      <c r="R14" s="1" t="s">
        <v>10</v>
      </c>
      <c r="S14" s="17">
        <f t="shared" ref="S14:AF14" si="6">SUM(C26:C29)</f>
        <v>3</v>
      </c>
      <c r="T14" s="17">
        <f t="shared" si="6"/>
        <v>3</v>
      </c>
      <c r="U14" s="17">
        <f t="shared" si="6"/>
        <v>14</v>
      </c>
      <c r="V14" s="17">
        <f t="shared" si="6"/>
        <v>2</v>
      </c>
      <c r="W14" s="17">
        <f t="shared" si="6"/>
        <v>0</v>
      </c>
      <c r="X14" s="17">
        <f t="shared" si="6"/>
        <v>3</v>
      </c>
      <c r="Y14" s="17">
        <f t="shared" si="6"/>
        <v>2</v>
      </c>
      <c r="Z14" s="17">
        <f t="shared" si="6"/>
        <v>1</v>
      </c>
      <c r="AA14" s="17">
        <f t="shared" si="6"/>
        <v>2</v>
      </c>
      <c r="AB14" s="17">
        <f t="shared" si="6"/>
        <v>3</v>
      </c>
      <c r="AC14" s="17">
        <f t="shared" si="6"/>
        <v>18</v>
      </c>
      <c r="AD14" s="17">
        <f t="shared" si="6"/>
        <v>0</v>
      </c>
      <c r="AE14" s="31">
        <f t="shared" si="6"/>
        <v>33</v>
      </c>
      <c r="AF14" s="31">
        <f t="shared" si="6"/>
        <v>51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10</v>
      </c>
      <c r="N15" s="50">
        <v>0</v>
      </c>
      <c r="O15" s="15">
        <f t="shared" si="0"/>
        <v>1</v>
      </c>
      <c r="P15" s="15">
        <f t="shared" si="1"/>
        <v>11</v>
      </c>
      <c r="R15" s="1" t="s">
        <v>11</v>
      </c>
      <c r="S15" s="17">
        <f t="shared" ref="S15:AF15" si="7">SUM(C30:C33)</f>
        <v>3</v>
      </c>
      <c r="T15" s="17">
        <f t="shared" si="7"/>
        <v>3</v>
      </c>
      <c r="U15" s="17">
        <f t="shared" si="7"/>
        <v>16</v>
      </c>
      <c r="V15" s="17">
        <f t="shared" si="7"/>
        <v>10</v>
      </c>
      <c r="W15" s="17">
        <f t="shared" si="7"/>
        <v>0</v>
      </c>
      <c r="X15" s="17">
        <f t="shared" si="7"/>
        <v>1</v>
      </c>
      <c r="Y15" s="17">
        <f t="shared" si="7"/>
        <v>8</v>
      </c>
      <c r="Z15" s="17">
        <f t="shared" si="7"/>
        <v>0</v>
      </c>
      <c r="AA15" s="17">
        <f t="shared" si="7"/>
        <v>0</v>
      </c>
      <c r="AB15" s="17">
        <f t="shared" si="7"/>
        <v>5</v>
      </c>
      <c r="AC15" s="17">
        <f t="shared" si="7"/>
        <v>13</v>
      </c>
      <c r="AD15" s="17">
        <f t="shared" si="7"/>
        <v>0</v>
      </c>
      <c r="AE15" s="31">
        <f t="shared" si="7"/>
        <v>46</v>
      </c>
      <c r="AF15" s="31">
        <f t="shared" si="7"/>
        <v>59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2</v>
      </c>
      <c r="F16" s="50">
        <v>2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3</v>
      </c>
      <c r="M16" s="50">
        <v>7</v>
      </c>
      <c r="N16" s="50">
        <v>0</v>
      </c>
      <c r="O16" s="15">
        <f t="shared" si="0"/>
        <v>7</v>
      </c>
      <c r="P16" s="15">
        <f t="shared" si="1"/>
        <v>14</v>
      </c>
      <c r="R16" s="1" t="s">
        <v>12</v>
      </c>
      <c r="S16" s="17">
        <f t="shared" ref="S16:AF16" si="8">SUM(C34:C37)</f>
        <v>3</v>
      </c>
      <c r="T16" s="17">
        <f t="shared" si="8"/>
        <v>1</v>
      </c>
      <c r="U16" s="17">
        <f t="shared" si="8"/>
        <v>7</v>
      </c>
      <c r="V16" s="17">
        <f t="shared" si="8"/>
        <v>12</v>
      </c>
      <c r="W16" s="17">
        <f t="shared" si="8"/>
        <v>0</v>
      </c>
      <c r="X16" s="17">
        <f t="shared" si="8"/>
        <v>2</v>
      </c>
      <c r="Y16" s="17">
        <f t="shared" si="8"/>
        <v>8</v>
      </c>
      <c r="Z16" s="17">
        <f t="shared" si="8"/>
        <v>1</v>
      </c>
      <c r="AA16" s="17">
        <f t="shared" si="8"/>
        <v>0</v>
      </c>
      <c r="AB16" s="17">
        <f t="shared" si="8"/>
        <v>2</v>
      </c>
      <c r="AC16" s="17">
        <f t="shared" si="8"/>
        <v>22</v>
      </c>
      <c r="AD16" s="17">
        <f t="shared" si="8"/>
        <v>0</v>
      </c>
      <c r="AE16" s="31">
        <f t="shared" si="8"/>
        <v>36</v>
      </c>
      <c r="AF16" s="31">
        <f t="shared" si="8"/>
        <v>58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2</v>
      </c>
      <c r="F17" s="50">
        <v>0</v>
      </c>
      <c r="G17" s="50">
        <v>0</v>
      </c>
      <c r="H17" s="50">
        <v>1</v>
      </c>
      <c r="I17" s="50">
        <v>0</v>
      </c>
      <c r="J17" s="50">
        <v>0</v>
      </c>
      <c r="K17" s="50">
        <v>0</v>
      </c>
      <c r="L17" s="50">
        <v>1</v>
      </c>
      <c r="M17" s="50">
        <v>5</v>
      </c>
      <c r="N17" s="50">
        <v>0</v>
      </c>
      <c r="O17" s="15">
        <f t="shared" si="0"/>
        <v>4</v>
      </c>
      <c r="P17" s="15">
        <f t="shared" si="1"/>
        <v>9</v>
      </c>
      <c r="R17" s="1" t="s">
        <v>13</v>
      </c>
      <c r="S17" s="17">
        <f t="shared" ref="S17:AF17" si="9">SUM(C38:C41)</f>
        <v>2</v>
      </c>
      <c r="T17" s="17">
        <f t="shared" si="9"/>
        <v>1</v>
      </c>
      <c r="U17" s="17">
        <f t="shared" si="9"/>
        <v>7</v>
      </c>
      <c r="V17" s="17">
        <f t="shared" si="9"/>
        <v>7</v>
      </c>
      <c r="W17" s="17">
        <f t="shared" si="9"/>
        <v>1</v>
      </c>
      <c r="X17" s="17">
        <f t="shared" si="9"/>
        <v>2</v>
      </c>
      <c r="Y17" s="17">
        <f t="shared" si="9"/>
        <v>12</v>
      </c>
      <c r="Z17" s="17">
        <f t="shared" si="9"/>
        <v>0</v>
      </c>
      <c r="AA17" s="17">
        <f t="shared" si="9"/>
        <v>0</v>
      </c>
      <c r="AB17" s="17">
        <f t="shared" si="9"/>
        <v>8</v>
      </c>
      <c r="AC17" s="17">
        <f t="shared" si="9"/>
        <v>12</v>
      </c>
      <c r="AD17" s="17">
        <f t="shared" si="9"/>
        <v>0</v>
      </c>
      <c r="AE17" s="31">
        <f t="shared" si="9"/>
        <v>40</v>
      </c>
      <c r="AF17" s="31">
        <f t="shared" si="9"/>
        <v>52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4</v>
      </c>
      <c r="F18" s="50">
        <v>2</v>
      </c>
      <c r="G18" s="50">
        <v>1</v>
      </c>
      <c r="H18" s="50">
        <v>0</v>
      </c>
      <c r="I18" s="50">
        <v>4</v>
      </c>
      <c r="J18" s="50">
        <v>0</v>
      </c>
      <c r="K18" s="50">
        <v>0</v>
      </c>
      <c r="L18" s="50">
        <v>3</v>
      </c>
      <c r="M18" s="50">
        <v>4</v>
      </c>
      <c r="N18" s="50">
        <v>0</v>
      </c>
      <c r="O18" s="15">
        <f t="shared" si="0"/>
        <v>15</v>
      </c>
      <c r="P18" s="15">
        <f t="shared" si="1"/>
        <v>19</v>
      </c>
      <c r="R18" s="1" t="s">
        <v>14</v>
      </c>
      <c r="S18" s="17">
        <f t="shared" ref="S18:AF18" si="10">SUM(C42:C45)</f>
        <v>11</v>
      </c>
      <c r="T18" s="17">
        <f t="shared" si="10"/>
        <v>3</v>
      </c>
      <c r="U18" s="17">
        <f t="shared" si="10"/>
        <v>15</v>
      </c>
      <c r="V18" s="17">
        <f t="shared" si="10"/>
        <v>9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1</v>
      </c>
      <c r="AA18" s="17">
        <f t="shared" si="10"/>
        <v>0</v>
      </c>
      <c r="AB18" s="17">
        <f t="shared" si="10"/>
        <v>5</v>
      </c>
      <c r="AC18" s="17">
        <f t="shared" si="10"/>
        <v>24</v>
      </c>
      <c r="AD18" s="17">
        <f t="shared" si="10"/>
        <v>0</v>
      </c>
      <c r="AE18" s="31">
        <f t="shared" si="10"/>
        <v>52</v>
      </c>
      <c r="AF18" s="31">
        <f t="shared" si="10"/>
        <v>76</v>
      </c>
    </row>
    <row r="19" spans="2:32" ht="23.1" customHeight="1" x14ac:dyDescent="0.25">
      <c r="B19" s="23" t="s">
        <v>46</v>
      </c>
      <c r="C19" s="50">
        <v>1</v>
      </c>
      <c r="D19" s="50">
        <v>1</v>
      </c>
      <c r="E19" s="50">
        <v>3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6</v>
      </c>
      <c r="P19" s="15">
        <f t="shared" si="1"/>
        <v>8</v>
      </c>
      <c r="R19" s="1" t="s">
        <v>15</v>
      </c>
      <c r="S19" s="17">
        <f t="shared" ref="S19:AF19" si="11">SUM(C46:C49)</f>
        <v>10</v>
      </c>
      <c r="T19" s="17">
        <f t="shared" si="11"/>
        <v>3</v>
      </c>
      <c r="U19" s="17">
        <f t="shared" si="11"/>
        <v>16</v>
      </c>
      <c r="V19" s="17">
        <f t="shared" si="11"/>
        <v>16</v>
      </c>
      <c r="W19" s="17">
        <f t="shared" si="11"/>
        <v>0</v>
      </c>
      <c r="X19" s="17">
        <f t="shared" si="11"/>
        <v>1</v>
      </c>
      <c r="Y19" s="17">
        <f t="shared" si="11"/>
        <v>14</v>
      </c>
      <c r="Z19" s="17">
        <f t="shared" si="11"/>
        <v>1</v>
      </c>
      <c r="AA19" s="17">
        <f t="shared" si="11"/>
        <v>0</v>
      </c>
      <c r="AB19" s="17">
        <f t="shared" si="11"/>
        <v>9</v>
      </c>
      <c r="AC19" s="17">
        <f t="shared" si="11"/>
        <v>35</v>
      </c>
      <c r="AD19" s="17">
        <f t="shared" si="11"/>
        <v>0</v>
      </c>
      <c r="AE19" s="31">
        <f t="shared" si="11"/>
        <v>70</v>
      </c>
      <c r="AF19" s="31">
        <f t="shared" si="11"/>
        <v>105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2</v>
      </c>
      <c r="F20" s="50">
        <v>0</v>
      </c>
      <c r="G20" s="50">
        <v>0</v>
      </c>
      <c r="H20" s="50">
        <v>1</v>
      </c>
      <c r="I20" s="50">
        <v>3</v>
      </c>
      <c r="J20" s="50">
        <v>0</v>
      </c>
      <c r="K20" s="50">
        <v>0</v>
      </c>
      <c r="L20" s="50">
        <v>0</v>
      </c>
      <c r="M20" s="50">
        <v>1</v>
      </c>
      <c r="N20" s="50">
        <v>0</v>
      </c>
      <c r="O20" s="15">
        <f t="shared" si="0"/>
        <v>7</v>
      </c>
      <c r="P20" s="15">
        <f t="shared" si="1"/>
        <v>8</v>
      </c>
      <c r="R20" s="1" t="s">
        <v>16</v>
      </c>
      <c r="S20" s="17">
        <f t="shared" ref="S20:AF20" si="12">SUM(C50:C53)</f>
        <v>10</v>
      </c>
      <c r="T20" s="17">
        <f t="shared" si="12"/>
        <v>3</v>
      </c>
      <c r="U20" s="17">
        <f t="shared" si="12"/>
        <v>14</v>
      </c>
      <c r="V20" s="17">
        <f t="shared" si="12"/>
        <v>14</v>
      </c>
      <c r="W20" s="17">
        <f t="shared" si="12"/>
        <v>0</v>
      </c>
      <c r="X20" s="17">
        <f t="shared" si="12"/>
        <v>0</v>
      </c>
      <c r="Y20" s="17">
        <f t="shared" si="12"/>
        <v>13</v>
      </c>
      <c r="Z20" s="17">
        <f t="shared" si="12"/>
        <v>3</v>
      </c>
      <c r="AA20" s="17">
        <f t="shared" si="12"/>
        <v>0</v>
      </c>
      <c r="AB20" s="17">
        <f t="shared" si="12"/>
        <v>10</v>
      </c>
      <c r="AC20" s="17">
        <f t="shared" si="12"/>
        <v>31</v>
      </c>
      <c r="AD20" s="17">
        <f t="shared" si="12"/>
        <v>0</v>
      </c>
      <c r="AE20" s="31">
        <f t="shared" si="12"/>
        <v>67</v>
      </c>
      <c r="AF20" s="31">
        <f t="shared" si="12"/>
        <v>98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5</v>
      </c>
      <c r="F21" s="50">
        <v>0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5</v>
      </c>
      <c r="M21" s="50">
        <v>3</v>
      </c>
      <c r="N21" s="50">
        <v>0</v>
      </c>
      <c r="O21" s="15">
        <f t="shared" si="0"/>
        <v>15</v>
      </c>
      <c r="P21" s="15">
        <f t="shared" si="1"/>
        <v>18</v>
      </c>
      <c r="R21" s="36" t="s">
        <v>20</v>
      </c>
      <c r="S21" s="34">
        <f t="shared" ref="S21:AF21" si="13">SUM(C54:C57)</f>
        <v>9</v>
      </c>
      <c r="T21" s="17">
        <f t="shared" si="13"/>
        <v>3</v>
      </c>
      <c r="U21" s="17">
        <f t="shared" si="13"/>
        <v>11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13</v>
      </c>
      <c r="Z21" s="17">
        <f t="shared" si="13"/>
        <v>0</v>
      </c>
      <c r="AA21" s="17">
        <f t="shared" si="13"/>
        <v>0</v>
      </c>
      <c r="AB21" s="17">
        <f t="shared" si="13"/>
        <v>14</v>
      </c>
      <c r="AC21" s="17">
        <f t="shared" si="13"/>
        <v>17</v>
      </c>
      <c r="AD21" s="17">
        <f t="shared" si="13"/>
        <v>0</v>
      </c>
      <c r="AE21" s="31">
        <f t="shared" si="13"/>
        <v>61</v>
      </c>
      <c r="AF21" s="31">
        <f t="shared" si="13"/>
        <v>78</v>
      </c>
    </row>
    <row r="22" spans="2:32" ht="23.1" customHeight="1" x14ac:dyDescent="0.25">
      <c r="B22" s="23" t="s">
        <v>49</v>
      </c>
      <c r="C22" s="50">
        <v>1</v>
      </c>
      <c r="D22" s="50">
        <v>2</v>
      </c>
      <c r="E22" s="50">
        <v>6</v>
      </c>
      <c r="F22" s="50">
        <v>3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2</v>
      </c>
      <c r="M22" s="50">
        <v>2</v>
      </c>
      <c r="N22" s="50">
        <v>0</v>
      </c>
      <c r="O22" s="15">
        <f t="shared" si="0"/>
        <v>14</v>
      </c>
      <c r="P22" s="15">
        <f t="shared" si="1"/>
        <v>16</v>
      </c>
      <c r="R22" s="38" t="s">
        <v>90</v>
      </c>
      <c r="S22" s="39">
        <f>MAX(S10:S12)</f>
        <v>4</v>
      </c>
      <c r="T22" s="39">
        <f t="shared" ref="T22:AF22" si="14">MAX(T10:T12)</f>
        <v>3</v>
      </c>
      <c r="U22" s="39">
        <f t="shared" si="14"/>
        <v>14</v>
      </c>
      <c r="V22" s="39">
        <f t="shared" si="14"/>
        <v>3</v>
      </c>
      <c r="W22" s="39">
        <f t="shared" si="14"/>
        <v>1</v>
      </c>
      <c r="X22" s="39">
        <f t="shared" si="14"/>
        <v>1</v>
      </c>
      <c r="Y22" s="39">
        <f t="shared" si="14"/>
        <v>8</v>
      </c>
      <c r="Z22" s="39">
        <f t="shared" si="14"/>
        <v>4</v>
      </c>
      <c r="AA22" s="39">
        <f t="shared" si="14"/>
        <v>0</v>
      </c>
      <c r="AB22" s="39">
        <f t="shared" si="14"/>
        <v>8</v>
      </c>
      <c r="AC22" s="39">
        <f t="shared" si="14"/>
        <v>33</v>
      </c>
      <c r="AD22" s="39">
        <f t="shared" si="14"/>
        <v>0</v>
      </c>
      <c r="AE22" s="40">
        <f t="shared" si="14"/>
        <v>43</v>
      </c>
      <c r="AF22" s="40">
        <f t="shared" si="14"/>
        <v>54</v>
      </c>
    </row>
    <row r="23" spans="2:32" ht="23.1" customHeight="1" x14ac:dyDescent="0.25">
      <c r="B23" s="23" t="s">
        <v>50</v>
      </c>
      <c r="C23" s="50">
        <v>2</v>
      </c>
      <c r="D23" s="50">
        <v>2</v>
      </c>
      <c r="E23" s="50">
        <v>7</v>
      </c>
      <c r="F23" s="50">
        <v>0</v>
      </c>
      <c r="G23" s="50">
        <v>0</v>
      </c>
      <c r="H23" s="50">
        <v>2</v>
      </c>
      <c r="I23" s="50">
        <v>0</v>
      </c>
      <c r="J23" s="50">
        <v>0</v>
      </c>
      <c r="K23" s="50">
        <v>0</v>
      </c>
      <c r="L23" s="50">
        <v>0</v>
      </c>
      <c r="M23" s="50">
        <v>6</v>
      </c>
      <c r="N23" s="50">
        <v>0</v>
      </c>
      <c r="O23" s="15">
        <f t="shared" si="0"/>
        <v>13</v>
      </c>
      <c r="P23" s="15">
        <f t="shared" si="1"/>
        <v>19</v>
      </c>
      <c r="R23" s="38" t="s">
        <v>91</v>
      </c>
      <c r="S23" s="39">
        <f>MAX(S13:S18)</f>
        <v>11</v>
      </c>
      <c r="T23" s="39">
        <f t="shared" ref="T23:AF23" si="15">MAX(T13:T18)</f>
        <v>6</v>
      </c>
      <c r="U23" s="39">
        <f t="shared" si="15"/>
        <v>21</v>
      </c>
      <c r="V23" s="39">
        <f t="shared" si="15"/>
        <v>12</v>
      </c>
      <c r="W23" s="39">
        <f t="shared" si="15"/>
        <v>1</v>
      </c>
      <c r="X23" s="39">
        <f t="shared" si="15"/>
        <v>3</v>
      </c>
      <c r="Y23" s="39">
        <f t="shared" si="15"/>
        <v>12</v>
      </c>
      <c r="Z23" s="39">
        <f t="shared" si="15"/>
        <v>2</v>
      </c>
      <c r="AA23" s="39">
        <f t="shared" si="15"/>
        <v>2</v>
      </c>
      <c r="AB23" s="39">
        <f t="shared" si="15"/>
        <v>8</v>
      </c>
      <c r="AC23" s="39">
        <f t="shared" si="15"/>
        <v>24</v>
      </c>
      <c r="AD23" s="39">
        <f t="shared" si="15"/>
        <v>0</v>
      </c>
      <c r="AE23" s="40">
        <f t="shared" si="15"/>
        <v>53</v>
      </c>
      <c r="AF23" s="40">
        <f t="shared" si="15"/>
        <v>76</v>
      </c>
    </row>
    <row r="24" spans="2:32" ht="23.1" customHeight="1" x14ac:dyDescent="0.25">
      <c r="B24" s="23" t="s">
        <v>51</v>
      </c>
      <c r="C24" s="50">
        <v>4</v>
      </c>
      <c r="D24" s="50">
        <v>2</v>
      </c>
      <c r="E24" s="50">
        <v>6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2</v>
      </c>
      <c r="M24" s="50">
        <v>3</v>
      </c>
      <c r="N24" s="50">
        <v>0</v>
      </c>
      <c r="O24" s="15">
        <f t="shared" si="0"/>
        <v>15</v>
      </c>
      <c r="P24" s="15">
        <f t="shared" si="1"/>
        <v>18</v>
      </c>
      <c r="R24" s="38" t="s">
        <v>92</v>
      </c>
      <c r="S24" s="39">
        <f>MAX(S19:S21)</f>
        <v>10</v>
      </c>
      <c r="T24" s="39">
        <f t="shared" ref="T24:AF24" si="16">MAX(T19:T21)</f>
        <v>3</v>
      </c>
      <c r="U24" s="39">
        <f t="shared" si="16"/>
        <v>16</v>
      </c>
      <c r="V24" s="39">
        <f t="shared" si="16"/>
        <v>16</v>
      </c>
      <c r="W24" s="39">
        <f t="shared" si="16"/>
        <v>0</v>
      </c>
      <c r="X24" s="39">
        <f t="shared" si="16"/>
        <v>1</v>
      </c>
      <c r="Y24" s="39">
        <f t="shared" si="16"/>
        <v>14</v>
      </c>
      <c r="Z24" s="39">
        <f t="shared" si="16"/>
        <v>3</v>
      </c>
      <c r="AA24" s="39">
        <f t="shared" si="16"/>
        <v>0</v>
      </c>
      <c r="AB24" s="39">
        <f t="shared" si="16"/>
        <v>14</v>
      </c>
      <c r="AC24" s="39">
        <f t="shared" si="16"/>
        <v>35</v>
      </c>
      <c r="AD24" s="39">
        <f t="shared" si="16"/>
        <v>0</v>
      </c>
      <c r="AE24" s="40">
        <f t="shared" si="16"/>
        <v>70</v>
      </c>
      <c r="AF24" s="40">
        <f t="shared" si="16"/>
        <v>105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2</v>
      </c>
      <c r="F25" s="50">
        <v>0</v>
      </c>
      <c r="G25" s="50">
        <v>0</v>
      </c>
      <c r="H25" s="50">
        <v>1</v>
      </c>
      <c r="I25" s="50">
        <v>3</v>
      </c>
      <c r="J25" s="50">
        <v>2</v>
      </c>
      <c r="K25" s="50">
        <v>0</v>
      </c>
      <c r="L25" s="50">
        <v>2</v>
      </c>
      <c r="M25" s="50">
        <v>3</v>
      </c>
      <c r="N25" s="50">
        <v>0</v>
      </c>
      <c r="O25" s="15">
        <f t="shared" si="0"/>
        <v>11</v>
      </c>
      <c r="P25" s="15">
        <f t="shared" si="1"/>
        <v>14</v>
      </c>
      <c r="R25" s="37" t="s">
        <v>85</v>
      </c>
      <c r="S25" s="35">
        <f t="shared" ref="S25:AF25" si="17">SUM(S10:S12)</f>
        <v>4</v>
      </c>
      <c r="T25" s="16">
        <f t="shared" si="17"/>
        <v>4</v>
      </c>
      <c r="U25" s="16">
        <f t="shared" si="17"/>
        <v>28</v>
      </c>
      <c r="V25" s="16">
        <f t="shared" si="17"/>
        <v>6</v>
      </c>
      <c r="W25" s="16">
        <f t="shared" si="17"/>
        <v>1</v>
      </c>
      <c r="X25" s="16">
        <f t="shared" si="17"/>
        <v>2</v>
      </c>
      <c r="Y25" s="16">
        <f t="shared" si="17"/>
        <v>12</v>
      </c>
      <c r="Z25" s="16">
        <f t="shared" si="17"/>
        <v>5</v>
      </c>
      <c r="AA25" s="16">
        <f t="shared" si="17"/>
        <v>0</v>
      </c>
      <c r="AB25" s="16">
        <f t="shared" si="17"/>
        <v>20</v>
      </c>
      <c r="AC25" s="16">
        <f t="shared" si="17"/>
        <v>66</v>
      </c>
      <c r="AD25" s="16">
        <f t="shared" si="17"/>
        <v>0</v>
      </c>
      <c r="AE25" s="32">
        <f t="shared" si="17"/>
        <v>82</v>
      </c>
      <c r="AF25" s="32">
        <f t="shared" si="17"/>
        <v>148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5</v>
      </c>
      <c r="N26" s="50">
        <v>0</v>
      </c>
      <c r="O26" s="15">
        <f t="shared" si="0"/>
        <v>3</v>
      </c>
      <c r="P26" s="15">
        <f t="shared" si="1"/>
        <v>8</v>
      </c>
      <c r="R26" s="28" t="s">
        <v>86</v>
      </c>
      <c r="S26" s="16">
        <f t="shared" ref="S26:AF26" si="18">SUM(S13:S18)</f>
        <v>30</v>
      </c>
      <c r="T26" s="16">
        <f t="shared" si="18"/>
        <v>17</v>
      </c>
      <c r="U26" s="16">
        <f t="shared" si="18"/>
        <v>80</v>
      </c>
      <c r="V26" s="16">
        <f t="shared" si="18"/>
        <v>44</v>
      </c>
      <c r="W26" s="16">
        <f t="shared" si="18"/>
        <v>1</v>
      </c>
      <c r="X26" s="16">
        <f t="shared" si="18"/>
        <v>11</v>
      </c>
      <c r="Y26" s="16">
        <f t="shared" si="18"/>
        <v>41</v>
      </c>
      <c r="Z26" s="16">
        <f t="shared" si="18"/>
        <v>5</v>
      </c>
      <c r="AA26" s="16">
        <f t="shared" si="18"/>
        <v>2</v>
      </c>
      <c r="AB26" s="16">
        <f t="shared" si="18"/>
        <v>29</v>
      </c>
      <c r="AC26" s="16">
        <f t="shared" si="18"/>
        <v>103</v>
      </c>
      <c r="AD26" s="16">
        <f t="shared" si="18"/>
        <v>0</v>
      </c>
      <c r="AE26" s="32">
        <f t="shared" si="18"/>
        <v>260</v>
      </c>
      <c r="AF26" s="32">
        <f t="shared" si="18"/>
        <v>363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3</v>
      </c>
      <c r="F27" s="50">
        <v>0</v>
      </c>
      <c r="G27" s="50">
        <v>0</v>
      </c>
      <c r="H27" s="50">
        <v>0</v>
      </c>
      <c r="I27" s="50">
        <v>1</v>
      </c>
      <c r="J27" s="50">
        <v>1</v>
      </c>
      <c r="K27" s="50">
        <v>2</v>
      </c>
      <c r="L27" s="50">
        <v>0</v>
      </c>
      <c r="M27" s="50">
        <v>4</v>
      </c>
      <c r="N27" s="50">
        <v>0</v>
      </c>
      <c r="O27" s="15">
        <f t="shared" si="0"/>
        <v>9</v>
      </c>
      <c r="P27" s="15">
        <f t="shared" si="1"/>
        <v>13</v>
      </c>
      <c r="R27" s="29" t="s">
        <v>87</v>
      </c>
      <c r="S27" s="16">
        <f t="shared" ref="S27:AF27" si="19">SUM(S19:S21)</f>
        <v>29</v>
      </c>
      <c r="T27" s="16">
        <f t="shared" si="19"/>
        <v>9</v>
      </c>
      <c r="U27" s="16">
        <f t="shared" si="19"/>
        <v>41</v>
      </c>
      <c r="V27" s="16">
        <f t="shared" si="19"/>
        <v>41</v>
      </c>
      <c r="W27" s="16">
        <f t="shared" si="19"/>
        <v>0</v>
      </c>
      <c r="X27" s="16">
        <f t="shared" si="19"/>
        <v>1</v>
      </c>
      <c r="Y27" s="16">
        <f t="shared" si="19"/>
        <v>40</v>
      </c>
      <c r="Z27" s="16">
        <f t="shared" si="19"/>
        <v>4</v>
      </c>
      <c r="AA27" s="16">
        <f t="shared" si="19"/>
        <v>0</v>
      </c>
      <c r="AB27" s="16">
        <f t="shared" si="19"/>
        <v>33</v>
      </c>
      <c r="AC27" s="16">
        <f t="shared" si="19"/>
        <v>83</v>
      </c>
      <c r="AD27" s="16">
        <f t="shared" si="19"/>
        <v>0</v>
      </c>
      <c r="AE27" s="32">
        <f t="shared" si="19"/>
        <v>198</v>
      </c>
      <c r="AF27" s="32">
        <f t="shared" si="19"/>
        <v>281</v>
      </c>
    </row>
    <row r="28" spans="2:32" ht="23.1" customHeight="1" x14ac:dyDescent="0.25">
      <c r="B28" s="23" t="s">
        <v>55</v>
      </c>
      <c r="C28" s="50">
        <v>0</v>
      </c>
      <c r="D28" s="50">
        <v>3</v>
      </c>
      <c r="E28" s="50">
        <v>7</v>
      </c>
      <c r="F28" s="50">
        <v>1</v>
      </c>
      <c r="G28" s="50">
        <v>0</v>
      </c>
      <c r="H28" s="50">
        <v>2</v>
      </c>
      <c r="I28" s="50">
        <v>0</v>
      </c>
      <c r="J28" s="50">
        <v>0</v>
      </c>
      <c r="K28" s="50">
        <v>0</v>
      </c>
      <c r="L28" s="50">
        <v>1</v>
      </c>
      <c r="M28" s="50">
        <v>5</v>
      </c>
      <c r="N28" s="50">
        <v>0</v>
      </c>
      <c r="O28" s="15">
        <f t="shared" si="0"/>
        <v>14</v>
      </c>
      <c r="P28" s="15">
        <f t="shared" si="1"/>
        <v>19</v>
      </c>
      <c r="R28" s="5" t="s">
        <v>17</v>
      </c>
      <c r="S28" s="16">
        <f t="shared" ref="S28:AF28" si="20">SUM(S10:S21)</f>
        <v>63</v>
      </c>
      <c r="T28" s="16">
        <f t="shared" si="20"/>
        <v>30</v>
      </c>
      <c r="U28" s="16">
        <f t="shared" si="20"/>
        <v>149</v>
      </c>
      <c r="V28" s="16">
        <f t="shared" si="20"/>
        <v>91</v>
      </c>
      <c r="W28" s="16">
        <f t="shared" si="20"/>
        <v>2</v>
      </c>
      <c r="X28" s="16">
        <f t="shared" si="20"/>
        <v>14</v>
      </c>
      <c r="Y28" s="16">
        <f t="shared" si="20"/>
        <v>93</v>
      </c>
      <c r="Z28" s="16">
        <f t="shared" si="20"/>
        <v>14</v>
      </c>
      <c r="AA28" s="16">
        <f t="shared" si="20"/>
        <v>2</v>
      </c>
      <c r="AB28" s="16">
        <f t="shared" si="20"/>
        <v>82</v>
      </c>
      <c r="AC28" s="16">
        <f t="shared" si="20"/>
        <v>252</v>
      </c>
      <c r="AD28" s="16">
        <f t="shared" si="20"/>
        <v>0</v>
      </c>
      <c r="AE28" s="32">
        <f t="shared" si="20"/>
        <v>540</v>
      </c>
      <c r="AF28" s="32">
        <f t="shared" si="20"/>
        <v>792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3</v>
      </c>
      <c r="F29" s="50">
        <v>0</v>
      </c>
      <c r="G29" s="50">
        <v>0</v>
      </c>
      <c r="H29" s="50">
        <v>1</v>
      </c>
      <c r="I29" s="50">
        <v>0</v>
      </c>
      <c r="J29" s="50">
        <v>0</v>
      </c>
      <c r="K29" s="50">
        <v>0</v>
      </c>
      <c r="L29" s="50">
        <v>2</v>
      </c>
      <c r="M29" s="50">
        <v>4</v>
      </c>
      <c r="N29" s="50">
        <v>0</v>
      </c>
      <c r="O29" s="15">
        <f t="shared" si="0"/>
        <v>7</v>
      </c>
      <c r="P29" s="15">
        <f t="shared" si="1"/>
        <v>11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3</v>
      </c>
      <c r="E30" s="50">
        <v>9</v>
      </c>
      <c r="F30" s="50">
        <v>3</v>
      </c>
      <c r="G30" s="50">
        <v>0</v>
      </c>
      <c r="H30" s="50">
        <v>1</v>
      </c>
      <c r="I30" s="50">
        <v>1</v>
      </c>
      <c r="J30" s="50">
        <v>0</v>
      </c>
      <c r="K30" s="50">
        <v>0</v>
      </c>
      <c r="L30" s="50">
        <v>2</v>
      </c>
      <c r="M30" s="50">
        <v>4</v>
      </c>
      <c r="N30" s="50">
        <v>0</v>
      </c>
      <c r="O30" s="15">
        <f t="shared" si="0"/>
        <v>20</v>
      </c>
      <c r="P30" s="15">
        <f t="shared" si="1"/>
        <v>24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3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1</v>
      </c>
      <c r="M31" s="50">
        <v>2</v>
      </c>
      <c r="N31" s="50">
        <v>0</v>
      </c>
      <c r="O31" s="15">
        <f t="shared" si="0"/>
        <v>9</v>
      </c>
      <c r="P31" s="15">
        <f t="shared" si="1"/>
        <v>11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3</v>
      </c>
      <c r="F32" s="50">
        <v>2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2</v>
      </c>
      <c r="M32" s="50">
        <v>5</v>
      </c>
      <c r="N32" s="50">
        <v>0</v>
      </c>
      <c r="O32" s="15">
        <f t="shared" si="0"/>
        <v>9</v>
      </c>
      <c r="P32" s="15">
        <f t="shared" si="1"/>
        <v>14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3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8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2</v>
      </c>
      <c r="F34" s="50">
        <v>6</v>
      </c>
      <c r="G34" s="50">
        <v>0</v>
      </c>
      <c r="H34" s="50">
        <v>1</v>
      </c>
      <c r="I34" s="50">
        <v>0</v>
      </c>
      <c r="J34" s="50">
        <v>0</v>
      </c>
      <c r="K34" s="50">
        <v>0</v>
      </c>
      <c r="L34" s="50">
        <v>0</v>
      </c>
      <c r="M34" s="50">
        <v>5</v>
      </c>
      <c r="N34" s="50">
        <v>0</v>
      </c>
      <c r="O34" s="15">
        <f t="shared" si="0"/>
        <v>12</v>
      </c>
      <c r="P34" s="15">
        <f t="shared" si="1"/>
        <v>17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3</v>
      </c>
      <c r="F35" s="50">
        <v>3</v>
      </c>
      <c r="G35" s="50">
        <v>0</v>
      </c>
      <c r="H35" s="50">
        <v>1</v>
      </c>
      <c r="I35" s="50">
        <v>1</v>
      </c>
      <c r="J35" s="50">
        <v>0</v>
      </c>
      <c r="K35" s="50">
        <v>0</v>
      </c>
      <c r="L35" s="50">
        <v>0</v>
      </c>
      <c r="M35" s="50">
        <v>7</v>
      </c>
      <c r="N35" s="50">
        <v>0</v>
      </c>
      <c r="O35" s="15">
        <f t="shared" si="0"/>
        <v>9</v>
      </c>
      <c r="P35" s="15">
        <f t="shared" si="1"/>
        <v>16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2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1</v>
      </c>
      <c r="M36" s="50">
        <v>7</v>
      </c>
      <c r="N36" s="50">
        <v>0</v>
      </c>
      <c r="O36" s="15">
        <f t="shared" si="0"/>
        <v>7</v>
      </c>
      <c r="P36" s="15">
        <f t="shared" si="1"/>
        <v>14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5</v>
      </c>
      <c r="J37" s="50">
        <v>0</v>
      </c>
      <c r="K37" s="50">
        <v>0</v>
      </c>
      <c r="L37" s="50">
        <v>1</v>
      </c>
      <c r="M37" s="50">
        <v>3</v>
      </c>
      <c r="N37" s="50">
        <v>0</v>
      </c>
      <c r="O37" s="15">
        <f t="shared" si="0"/>
        <v>8</v>
      </c>
      <c r="P37" s="15">
        <f t="shared" si="1"/>
        <v>11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2</v>
      </c>
      <c r="F38" s="50">
        <v>2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7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2</v>
      </c>
      <c r="F39" s="50">
        <v>0</v>
      </c>
      <c r="G39" s="50">
        <v>1</v>
      </c>
      <c r="H39" s="50">
        <v>0</v>
      </c>
      <c r="I39" s="50">
        <v>5</v>
      </c>
      <c r="J39" s="50">
        <v>0</v>
      </c>
      <c r="K39" s="50">
        <v>0</v>
      </c>
      <c r="L39" s="50">
        <v>1</v>
      </c>
      <c r="M39" s="50">
        <v>5</v>
      </c>
      <c r="N39" s="50">
        <v>0</v>
      </c>
      <c r="O39" s="15">
        <f t="shared" si="0"/>
        <v>9</v>
      </c>
      <c r="P39" s="15">
        <f t="shared" si="1"/>
        <v>14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3</v>
      </c>
      <c r="G40" s="50">
        <v>0</v>
      </c>
      <c r="H40" s="50">
        <v>1</v>
      </c>
      <c r="I40" s="50">
        <v>4</v>
      </c>
      <c r="J40" s="50">
        <v>0</v>
      </c>
      <c r="K40" s="50">
        <v>0</v>
      </c>
      <c r="L40" s="50">
        <v>6</v>
      </c>
      <c r="M40" s="50">
        <v>1</v>
      </c>
      <c r="N40" s="50">
        <v>0</v>
      </c>
      <c r="O40" s="15">
        <f t="shared" si="0"/>
        <v>14</v>
      </c>
      <c r="P40" s="15">
        <f t="shared" si="1"/>
        <v>15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3</v>
      </c>
      <c r="F41" s="50">
        <v>2</v>
      </c>
      <c r="G41" s="50">
        <v>0</v>
      </c>
      <c r="H41" s="50">
        <v>1</v>
      </c>
      <c r="I41" s="50">
        <v>1</v>
      </c>
      <c r="J41" s="50">
        <v>0</v>
      </c>
      <c r="K41" s="50">
        <v>0</v>
      </c>
      <c r="L41" s="50">
        <v>1</v>
      </c>
      <c r="M41" s="50">
        <v>1</v>
      </c>
      <c r="N41" s="50">
        <v>0</v>
      </c>
      <c r="O41" s="15">
        <f t="shared" si="0"/>
        <v>10</v>
      </c>
      <c r="P41" s="15">
        <f t="shared" si="1"/>
        <v>11</v>
      </c>
    </row>
    <row r="42" spans="2:20" ht="23.1" customHeight="1" x14ac:dyDescent="0.25">
      <c r="B42" s="24" t="s">
        <v>69</v>
      </c>
      <c r="C42" s="50">
        <v>4</v>
      </c>
      <c r="D42" s="50">
        <v>1</v>
      </c>
      <c r="E42" s="50">
        <v>4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1</v>
      </c>
      <c r="M42" s="50">
        <v>7</v>
      </c>
      <c r="N42" s="50">
        <v>0</v>
      </c>
      <c r="O42" s="15">
        <f t="shared" si="0"/>
        <v>13</v>
      </c>
      <c r="P42" s="15">
        <f t="shared" si="1"/>
        <v>20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3</v>
      </c>
      <c r="F43" s="50">
        <v>3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1</v>
      </c>
      <c r="M43" s="50">
        <v>3</v>
      </c>
      <c r="N43" s="50">
        <v>0</v>
      </c>
      <c r="O43" s="15">
        <f t="shared" si="0"/>
        <v>11</v>
      </c>
      <c r="P43" s="15">
        <f t="shared" si="1"/>
        <v>14</v>
      </c>
    </row>
    <row r="44" spans="2:20" ht="23.1" customHeight="1" x14ac:dyDescent="0.25">
      <c r="B44" s="25" t="s">
        <v>71</v>
      </c>
      <c r="C44" s="50">
        <v>4</v>
      </c>
      <c r="D44" s="50">
        <v>1</v>
      </c>
      <c r="E44" s="50">
        <v>5</v>
      </c>
      <c r="F44" s="50">
        <v>1</v>
      </c>
      <c r="G44" s="50">
        <v>0</v>
      </c>
      <c r="H44" s="50">
        <v>0</v>
      </c>
      <c r="I44" s="50">
        <v>5</v>
      </c>
      <c r="J44" s="50">
        <v>1</v>
      </c>
      <c r="K44" s="50">
        <v>0</v>
      </c>
      <c r="L44" s="50">
        <v>3</v>
      </c>
      <c r="M44" s="50">
        <v>7</v>
      </c>
      <c r="N44" s="50">
        <v>0</v>
      </c>
      <c r="O44" s="15">
        <f t="shared" si="0"/>
        <v>20</v>
      </c>
      <c r="P44" s="15">
        <f t="shared" si="1"/>
        <v>27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3</v>
      </c>
      <c r="F45" s="50">
        <v>3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7</v>
      </c>
      <c r="N45" s="50">
        <v>0</v>
      </c>
      <c r="O45" s="15">
        <f t="shared" si="0"/>
        <v>8</v>
      </c>
      <c r="P45" s="15">
        <f t="shared" si="1"/>
        <v>15</v>
      </c>
    </row>
    <row r="46" spans="2:20" ht="23.1" customHeight="1" x14ac:dyDescent="0.25">
      <c r="B46" s="24" t="s">
        <v>73</v>
      </c>
      <c r="C46" s="50">
        <v>3</v>
      </c>
      <c r="D46" s="50">
        <v>1</v>
      </c>
      <c r="E46" s="50">
        <v>4</v>
      </c>
      <c r="F46" s="50">
        <v>3</v>
      </c>
      <c r="G46" s="50">
        <v>0</v>
      </c>
      <c r="H46" s="50">
        <v>0</v>
      </c>
      <c r="I46" s="50">
        <v>6</v>
      </c>
      <c r="J46" s="50">
        <v>0</v>
      </c>
      <c r="K46" s="50">
        <v>0</v>
      </c>
      <c r="L46" s="50">
        <v>1</v>
      </c>
      <c r="M46" s="50">
        <v>5</v>
      </c>
      <c r="N46" s="50">
        <v>0</v>
      </c>
      <c r="O46" s="15">
        <f t="shared" si="0"/>
        <v>18</v>
      </c>
      <c r="P46" s="15">
        <f t="shared" si="1"/>
        <v>23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2</v>
      </c>
      <c r="F47" s="50">
        <v>4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4</v>
      </c>
      <c r="M47" s="50">
        <v>12</v>
      </c>
      <c r="N47" s="50">
        <v>0</v>
      </c>
      <c r="O47" s="15">
        <f t="shared" si="0"/>
        <v>14</v>
      </c>
      <c r="P47" s="15">
        <f t="shared" si="1"/>
        <v>26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1</v>
      </c>
      <c r="E48" s="50">
        <v>5</v>
      </c>
      <c r="F48" s="50">
        <v>4</v>
      </c>
      <c r="G48" s="50">
        <v>0</v>
      </c>
      <c r="H48" s="50">
        <v>1</v>
      </c>
      <c r="I48" s="50">
        <v>3</v>
      </c>
      <c r="J48" s="50">
        <v>0</v>
      </c>
      <c r="K48" s="50">
        <v>0</v>
      </c>
      <c r="L48" s="50">
        <v>1</v>
      </c>
      <c r="M48" s="50">
        <v>9</v>
      </c>
      <c r="N48" s="50">
        <v>0</v>
      </c>
      <c r="O48" s="15">
        <f t="shared" si="0"/>
        <v>16</v>
      </c>
      <c r="P48" s="15">
        <f t="shared" si="1"/>
        <v>25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1</v>
      </c>
      <c r="E49" s="50">
        <v>5</v>
      </c>
      <c r="F49" s="50">
        <v>5</v>
      </c>
      <c r="G49" s="50">
        <v>0</v>
      </c>
      <c r="H49" s="50">
        <v>0</v>
      </c>
      <c r="I49" s="50">
        <v>3</v>
      </c>
      <c r="J49" s="50">
        <v>1</v>
      </c>
      <c r="K49" s="50">
        <v>0</v>
      </c>
      <c r="L49" s="50">
        <v>3</v>
      </c>
      <c r="M49" s="50">
        <v>9</v>
      </c>
      <c r="N49" s="50">
        <v>0</v>
      </c>
      <c r="O49" s="15">
        <f t="shared" si="0"/>
        <v>22</v>
      </c>
      <c r="P49" s="15">
        <f t="shared" si="1"/>
        <v>31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1</v>
      </c>
      <c r="E50" s="50">
        <v>5</v>
      </c>
      <c r="F50" s="50">
        <v>5</v>
      </c>
      <c r="G50" s="50">
        <v>0</v>
      </c>
      <c r="H50" s="50">
        <v>0</v>
      </c>
      <c r="I50" s="50">
        <v>3</v>
      </c>
      <c r="J50" s="50">
        <v>2</v>
      </c>
      <c r="K50" s="50">
        <v>0</v>
      </c>
      <c r="L50" s="50">
        <v>3</v>
      </c>
      <c r="M50" s="50">
        <v>13</v>
      </c>
      <c r="N50" s="50">
        <v>0</v>
      </c>
      <c r="O50" s="15">
        <f t="shared" si="0"/>
        <v>20</v>
      </c>
      <c r="P50" s="15">
        <f t="shared" si="1"/>
        <v>33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1</v>
      </c>
      <c r="F51" s="50">
        <v>4</v>
      </c>
      <c r="G51" s="50">
        <v>0</v>
      </c>
      <c r="H51" s="50">
        <v>0</v>
      </c>
      <c r="I51" s="50">
        <v>5</v>
      </c>
      <c r="J51" s="50">
        <v>0</v>
      </c>
      <c r="K51" s="50">
        <v>0</v>
      </c>
      <c r="L51" s="50">
        <v>1</v>
      </c>
      <c r="M51" s="50">
        <v>2</v>
      </c>
      <c r="N51" s="50">
        <v>0</v>
      </c>
      <c r="O51" s="15">
        <f t="shared" si="0"/>
        <v>15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4</v>
      </c>
      <c r="F52" s="50">
        <v>4</v>
      </c>
      <c r="G52" s="50">
        <v>0</v>
      </c>
      <c r="H52" s="50">
        <v>0</v>
      </c>
      <c r="I52" s="50">
        <v>3</v>
      </c>
      <c r="J52" s="50">
        <v>1</v>
      </c>
      <c r="K52" s="50">
        <v>0</v>
      </c>
      <c r="L52" s="50">
        <v>5</v>
      </c>
      <c r="M52" s="50">
        <v>7</v>
      </c>
      <c r="N52" s="50">
        <v>0</v>
      </c>
      <c r="O52" s="15">
        <f t="shared" si="0"/>
        <v>21</v>
      </c>
      <c r="P52" s="15">
        <f t="shared" si="1"/>
        <v>28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4</v>
      </c>
      <c r="F53" s="50">
        <v>1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1</v>
      </c>
      <c r="M53" s="50">
        <v>9</v>
      </c>
      <c r="N53" s="50">
        <v>0</v>
      </c>
      <c r="O53" s="15">
        <f t="shared" si="0"/>
        <v>11</v>
      </c>
      <c r="P53" s="15">
        <f t="shared" si="1"/>
        <v>20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1</v>
      </c>
      <c r="F54" s="50">
        <v>4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2</v>
      </c>
      <c r="M54" s="50">
        <v>4</v>
      </c>
      <c r="N54" s="50">
        <v>0</v>
      </c>
      <c r="O54" s="15">
        <f t="shared" si="0"/>
        <v>11</v>
      </c>
      <c r="P54" s="15">
        <f t="shared" si="1"/>
        <v>15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1</v>
      </c>
      <c r="E55" s="50">
        <v>3</v>
      </c>
      <c r="F55" s="50">
        <v>3</v>
      </c>
      <c r="G55" s="50">
        <v>0</v>
      </c>
      <c r="H55" s="50">
        <v>0</v>
      </c>
      <c r="I55" s="50">
        <v>5</v>
      </c>
      <c r="J55" s="50">
        <v>0</v>
      </c>
      <c r="K55" s="50">
        <v>0</v>
      </c>
      <c r="L55" s="50">
        <v>5</v>
      </c>
      <c r="M55" s="50">
        <v>5</v>
      </c>
      <c r="N55" s="50">
        <v>0</v>
      </c>
      <c r="O55" s="15">
        <f t="shared" si="0"/>
        <v>21</v>
      </c>
      <c r="P55" s="15">
        <f t="shared" si="1"/>
        <v>26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1</v>
      </c>
      <c r="E56" s="50">
        <v>3</v>
      </c>
      <c r="F56" s="50">
        <v>1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2</v>
      </c>
      <c r="M56" s="50">
        <v>3</v>
      </c>
      <c r="N56" s="50">
        <v>0</v>
      </c>
      <c r="O56" s="15">
        <f t="shared" si="0"/>
        <v>12</v>
      </c>
      <c r="P56" s="15">
        <f t="shared" si="1"/>
        <v>15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4</v>
      </c>
      <c r="F57" s="50">
        <v>3</v>
      </c>
      <c r="G57" s="50">
        <v>0</v>
      </c>
      <c r="H57" s="50">
        <v>0</v>
      </c>
      <c r="I57" s="50">
        <v>4</v>
      </c>
      <c r="J57" s="50">
        <v>0</v>
      </c>
      <c r="K57" s="50">
        <v>0</v>
      </c>
      <c r="L57" s="50">
        <v>5</v>
      </c>
      <c r="M57" s="50">
        <v>5</v>
      </c>
      <c r="N57" s="50">
        <v>0</v>
      </c>
      <c r="O57" s="15">
        <f t="shared" si="0"/>
        <v>17</v>
      </c>
      <c r="P57" s="15">
        <f t="shared" si="1"/>
        <v>22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63</v>
      </c>
      <c r="D58" s="16">
        <f t="shared" si="21"/>
        <v>30</v>
      </c>
      <c r="E58" s="16">
        <f t="shared" si="21"/>
        <v>149</v>
      </c>
      <c r="F58" s="16">
        <f t="shared" si="21"/>
        <v>91</v>
      </c>
      <c r="G58" s="16">
        <f t="shared" si="21"/>
        <v>2</v>
      </c>
      <c r="H58" s="16">
        <f t="shared" si="21"/>
        <v>14</v>
      </c>
      <c r="I58" s="16">
        <f t="shared" si="21"/>
        <v>93</v>
      </c>
      <c r="J58" s="16">
        <f t="shared" si="21"/>
        <v>14</v>
      </c>
      <c r="K58" s="16">
        <f t="shared" si="21"/>
        <v>2</v>
      </c>
      <c r="L58" s="16">
        <f t="shared" si="21"/>
        <v>82</v>
      </c>
      <c r="M58" s="16">
        <f t="shared" si="21"/>
        <v>252</v>
      </c>
      <c r="N58" s="16">
        <f t="shared" si="21"/>
        <v>0</v>
      </c>
      <c r="O58" s="16">
        <f t="shared" si="21"/>
        <v>540</v>
      </c>
      <c r="P58" s="16">
        <f t="shared" si="21"/>
        <v>792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7.9545454545454544E-2</v>
      </c>
      <c r="D59" s="43">
        <f t="shared" si="22"/>
        <v>3.787878787878788E-2</v>
      </c>
      <c r="E59" s="43">
        <f t="shared" si="22"/>
        <v>0.18813131313131312</v>
      </c>
      <c r="F59" s="43">
        <f t="shared" si="22"/>
        <v>0.1148989898989899</v>
      </c>
      <c r="G59" s="43">
        <f t="shared" si="22"/>
        <v>2.5252525252525255E-3</v>
      </c>
      <c r="H59" s="43">
        <f t="shared" si="22"/>
        <v>1.7676767676767676E-2</v>
      </c>
      <c r="I59" s="43">
        <f t="shared" si="22"/>
        <v>0.11742424242424243</v>
      </c>
      <c r="J59" s="43">
        <f t="shared" si="22"/>
        <v>1.7676767676767676E-2</v>
      </c>
      <c r="K59" s="43">
        <f t="shared" si="22"/>
        <v>2.5252525252525255E-3</v>
      </c>
      <c r="L59" s="43">
        <f t="shared" si="22"/>
        <v>0.10353535353535354</v>
      </c>
      <c r="M59" s="43">
        <f t="shared" si="22"/>
        <v>0.31818181818181818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0.11666666666666667</v>
      </c>
      <c r="D60" s="44">
        <f t="shared" ref="D60:N60" si="23">D58/$O$58</f>
        <v>5.5555555555555552E-2</v>
      </c>
      <c r="E60" s="44">
        <f t="shared" si="23"/>
        <v>0.27592592592592591</v>
      </c>
      <c r="F60" s="44">
        <f t="shared" si="23"/>
        <v>0.16851851851851851</v>
      </c>
      <c r="G60" s="44">
        <f t="shared" si="23"/>
        <v>3.7037037037037038E-3</v>
      </c>
      <c r="H60" s="44">
        <f t="shared" si="23"/>
        <v>2.5925925925925925E-2</v>
      </c>
      <c r="I60" s="44">
        <f t="shared" si="23"/>
        <v>0.17222222222222222</v>
      </c>
      <c r="J60" s="44">
        <f t="shared" si="23"/>
        <v>2.5925925925925925E-2</v>
      </c>
      <c r="K60" s="44">
        <f t="shared" si="23"/>
        <v>3.7037037037037038E-3</v>
      </c>
      <c r="L60" s="44">
        <f t="shared" si="23"/>
        <v>0.15185185185185185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0.249977111117893"/>
  </sheetPr>
  <dimension ref="B1:AF174"/>
  <sheetViews>
    <sheetView view="pageBreakPreview" topLeftCell="A40" zoomScale="60" workbookViewId="0">
      <selection activeCell="E70" sqref="E7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Kumi-Soroti'!C3:G3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6" t="str">
        <f>'13.08 Soroti-Kumi'!G5:H5</f>
        <v>Mukura</v>
      </c>
      <c r="H5" s="67"/>
      <c r="I5" s="14"/>
      <c r="J5" s="2" t="s">
        <v>5</v>
      </c>
      <c r="K5" s="66" t="str">
        <f>'13.08 Soroti-Kumi'!K5:L5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Kumi-Soroti'!D6:E6</f>
        <v>Kumi</v>
      </c>
      <c r="E6" s="67"/>
      <c r="F6" s="2" t="s">
        <v>2</v>
      </c>
      <c r="G6" s="66" t="str">
        <f>'08.08 Kumi-Soroti'!G6:H6</f>
        <v>Soroti</v>
      </c>
      <c r="H6" s="67"/>
      <c r="J6" s="2" t="s">
        <v>21</v>
      </c>
      <c r="K6" s="66" t="str">
        <f>'13.08 Soroti-Kumi'!K6:L6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2</v>
      </c>
      <c r="M10" s="50">
        <v>1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5</v>
      </c>
      <c r="V10" s="17">
        <f t="shared" si="2"/>
        <v>6</v>
      </c>
      <c r="W10" s="17">
        <f t="shared" si="2"/>
        <v>0</v>
      </c>
      <c r="X10" s="17">
        <f t="shared" si="2"/>
        <v>2</v>
      </c>
      <c r="Y10" s="17">
        <f t="shared" si="2"/>
        <v>5</v>
      </c>
      <c r="Z10" s="17">
        <f t="shared" si="2"/>
        <v>3</v>
      </c>
      <c r="AA10" s="17">
        <f t="shared" si="2"/>
        <v>0</v>
      </c>
      <c r="AB10" s="17">
        <f t="shared" si="2"/>
        <v>5</v>
      </c>
      <c r="AC10" s="17">
        <f t="shared" si="2"/>
        <v>19</v>
      </c>
      <c r="AD10" s="17">
        <f t="shared" si="2"/>
        <v>0</v>
      </c>
      <c r="AE10" s="31">
        <f t="shared" si="2"/>
        <v>28</v>
      </c>
      <c r="AF10" s="31">
        <f t="shared" si="2"/>
        <v>47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1</v>
      </c>
      <c r="F11" s="50">
        <v>1</v>
      </c>
      <c r="G11" s="50">
        <v>0</v>
      </c>
      <c r="H11" s="50">
        <v>1</v>
      </c>
      <c r="I11" s="50">
        <v>1</v>
      </c>
      <c r="J11" s="50">
        <v>2</v>
      </c>
      <c r="K11" s="50">
        <v>0</v>
      </c>
      <c r="L11" s="50">
        <v>2</v>
      </c>
      <c r="M11" s="50">
        <v>10</v>
      </c>
      <c r="N11" s="50">
        <v>0</v>
      </c>
      <c r="O11" s="15">
        <f t="shared" si="0"/>
        <v>9</v>
      </c>
      <c r="P11" s="15">
        <f t="shared" si="1"/>
        <v>19</v>
      </c>
      <c r="R11" s="1" t="s">
        <v>7</v>
      </c>
      <c r="S11" s="17">
        <f t="shared" ref="S11:AF11" si="3">SUM(C14:C17)</f>
        <v>1</v>
      </c>
      <c r="T11" s="17">
        <f t="shared" si="3"/>
        <v>1</v>
      </c>
      <c r="U11" s="17">
        <f t="shared" si="3"/>
        <v>8</v>
      </c>
      <c r="V11" s="17">
        <f t="shared" si="3"/>
        <v>5</v>
      </c>
      <c r="W11" s="17">
        <f t="shared" si="3"/>
        <v>0</v>
      </c>
      <c r="X11" s="17">
        <f t="shared" si="3"/>
        <v>2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5</v>
      </c>
      <c r="AC11" s="17">
        <f t="shared" si="3"/>
        <v>27</v>
      </c>
      <c r="AD11" s="17">
        <f t="shared" si="3"/>
        <v>0</v>
      </c>
      <c r="AE11" s="31">
        <f t="shared" si="3"/>
        <v>25</v>
      </c>
      <c r="AF11" s="31">
        <f t="shared" si="3"/>
        <v>52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2</v>
      </c>
      <c r="F12" s="50">
        <v>2</v>
      </c>
      <c r="G12" s="50">
        <v>0</v>
      </c>
      <c r="H12" s="50">
        <v>1</v>
      </c>
      <c r="I12" s="50">
        <v>1</v>
      </c>
      <c r="J12" s="50">
        <v>0</v>
      </c>
      <c r="K12" s="50">
        <v>0</v>
      </c>
      <c r="L12" s="50">
        <v>0</v>
      </c>
      <c r="M12" s="50">
        <v>6</v>
      </c>
      <c r="N12" s="50">
        <v>0</v>
      </c>
      <c r="O12" s="15">
        <f t="shared" si="0"/>
        <v>6</v>
      </c>
      <c r="P12" s="15">
        <f t="shared" si="1"/>
        <v>12</v>
      </c>
      <c r="R12" s="1" t="s">
        <v>8</v>
      </c>
      <c r="S12" s="17">
        <f t="shared" ref="S12:AF12" si="4">SUM(C18:C21)</f>
        <v>5</v>
      </c>
      <c r="T12" s="17">
        <f t="shared" si="4"/>
        <v>2</v>
      </c>
      <c r="U12" s="17">
        <f t="shared" si="4"/>
        <v>13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1</v>
      </c>
      <c r="AA12" s="17">
        <f t="shared" si="4"/>
        <v>1</v>
      </c>
      <c r="AB12" s="17">
        <f t="shared" si="4"/>
        <v>5</v>
      </c>
      <c r="AC12" s="17">
        <f t="shared" si="4"/>
        <v>24</v>
      </c>
      <c r="AD12" s="17">
        <f t="shared" si="4"/>
        <v>0</v>
      </c>
      <c r="AE12" s="31">
        <f t="shared" si="4"/>
        <v>43</v>
      </c>
      <c r="AF12" s="31">
        <f t="shared" si="4"/>
        <v>67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1</v>
      </c>
      <c r="F13" s="50">
        <v>2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1</v>
      </c>
      <c r="M13" s="50">
        <v>2</v>
      </c>
      <c r="N13" s="50">
        <v>0</v>
      </c>
      <c r="O13" s="15">
        <f t="shared" si="0"/>
        <v>8</v>
      </c>
      <c r="P13" s="15">
        <f t="shared" si="1"/>
        <v>10</v>
      </c>
      <c r="R13" s="1" t="s">
        <v>9</v>
      </c>
      <c r="S13" s="17">
        <f t="shared" ref="S13:AF13" si="5">SUM(C22:C25)</f>
        <v>3</v>
      </c>
      <c r="T13" s="17">
        <f t="shared" si="5"/>
        <v>1</v>
      </c>
      <c r="U13" s="17">
        <f t="shared" si="5"/>
        <v>11</v>
      </c>
      <c r="V13" s="17">
        <f t="shared" si="5"/>
        <v>10</v>
      </c>
      <c r="W13" s="17">
        <f t="shared" si="5"/>
        <v>1</v>
      </c>
      <c r="X13" s="17">
        <f t="shared" si="5"/>
        <v>3</v>
      </c>
      <c r="Y13" s="17">
        <f t="shared" si="5"/>
        <v>5</v>
      </c>
      <c r="Z13" s="17">
        <f t="shared" si="5"/>
        <v>0</v>
      </c>
      <c r="AA13" s="17">
        <f t="shared" si="5"/>
        <v>0</v>
      </c>
      <c r="AB13" s="17">
        <f t="shared" si="5"/>
        <v>15</v>
      </c>
      <c r="AC13" s="17">
        <f t="shared" si="5"/>
        <v>28</v>
      </c>
      <c r="AD13" s="17">
        <f t="shared" si="5"/>
        <v>0</v>
      </c>
      <c r="AE13" s="31">
        <f t="shared" si="5"/>
        <v>49</v>
      </c>
      <c r="AF13" s="31">
        <f t="shared" si="5"/>
        <v>77</v>
      </c>
    </row>
    <row r="14" spans="2:32" ht="23.1" customHeight="1" x14ac:dyDescent="0.25">
      <c r="B14" s="45" t="s">
        <v>41</v>
      </c>
      <c r="C14" s="50">
        <v>0</v>
      </c>
      <c r="D14" s="50">
        <v>1</v>
      </c>
      <c r="E14" s="50">
        <v>4</v>
      </c>
      <c r="F14" s="50">
        <v>1</v>
      </c>
      <c r="G14" s="50">
        <v>0</v>
      </c>
      <c r="H14" s="50">
        <v>1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7</v>
      </c>
      <c r="P14" s="15">
        <f t="shared" si="1"/>
        <v>15</v>
      </c>
      <c r="R14" s="1" t="s">
        <v>10</v>
      </c>
      <c r="S14" s="17">
        <f t="shared" ref="S14:AF14" si="6">SUM(C26:C29)</f>
        <v>8</v>
      </c>
      <c r="T14" s="17">
        <f t="shared" si="6"/>
        <v>1</v>
      </c>
      <c r="U14" s="17">
        <f t="shared" si="6"/>
        <v>12</v>
      </c>
      <c r="V14" s="17">
        <f t="shared" si="6"/>
        <v>10</v>
      </c>
      <c r="W14" s="17">
        <f t="shared" si="6"/>
        <v>0</v>
      </c>
      <c r="X14" s="17">
        <f t="shared" si="6"/>
        <v>2</v>
      </c>
      <c r="Y14" s="17">
        <f t="shared" si="6"/>
        <v>6</v>
      </c>
      <c r="Z14" s="17">
        <f t="shared" si="6"/>
        <v>0</v>
      </c>
      <c r="AA14" s="17">
        <f t="shared" si="6"/>
        <v>0</v>
      </c>
      <c r="AB14" s="17">
        <f t="shared" si="6"/>
        <v>8</v>
      </c>
      <c r="AC14" s="17">
        <f t="shared" si="6"/>
        <v>25</v>
      </c>
      <c r="AD14" s="17">
        <f t="shared" si="6"/>
        <v>0</v>
      </c>
      <c r="AE14" s="31">
        <f t="shared" si="6"/>
        <v>47</v>
      </c>
      <c r="AF14" s="31">
        <f t="shared" si="6"/>
        <v>72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2</v>
      </c>
      <c r="F15" s="50">
        <v>1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5</v>
      </c>
      <c r="P15" s="15">
        <f t="shared" si="1"/>
        <v>10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7</v>
      </c>
      <c r="V15" s="17">
        <f t="shared" si="7"/>
        <v>10</v>
      </c>
      <c r="W15" s="17">
        <f t="shared" si="7"/>
        <v>0</v>
      </c>
      <c r="X15" s="17">
        <f t="shared" si="7"/>
        <v>1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8</v>
      </c>
      <c r="AC15" s="17">
        <f t="shared" si="7"/>
        <v>25</v>
      </c>
      <c r="AD15" s="17">
        <f t="shared" si="7"/>
        <v>0</v>
      </c>
      <c r="AE15" s="31">
        <f t="shared" si="7"/>
        <v>37</v>
      </c>
      <c r="AF15" s="31">
        <f t="shared" si="7"/>
        <v>62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0</v>
      </c>
      <c r="F16" s="50">
        <v>3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8</v>
      </c>
      <c r="N16" s="50">
        <v>0</v>
      </c>
      <c r="O16" s="15">
        <f t="shared" si="0"/>
        <v>5</v>
      </c>
      <c r="P16" s="15">
        <f t="shared" si="1"/>
        <v>13</v>
      </c>
      <c r="R16" s="1" t="s">
        <v>12</v>
      </c>
      <c r="S16" s="17">
        <f t="shared" ref="S16:AF16" si="8">SUM(C34:C37)</f>
        <v>5</v>
      </c>
      <c r="T16" s="17">
        <f t="shared" si="8"/>
        <v>2</v>
      </c>
      <c r="U16" s="17">
        <f t="shared" si="8"/>
        <v>13</v>
      </c>
      <c r="V16" s="17">
        <f t="shared" si="8"/>
        <v>12</v>
      </c>
      <c r="W16" s="17">
        <f t="shared" si="8"/>
        <v>0</v>
      </c>
      <c r="X16" s="17">
        <f t="shared" si="8"/>
        <v>1</v>
      </c>
      <c r="Y16" s="17">
        <f t="shared" si="8"/>
        <v>10</v>
      </c>
      <c r="Z16" s="17">
        <f t="shared" si="8"/>
        <v>1</v>
      </c>
      <c r="AA16" s="17">
        <f t="shared" si="8"/>
        <v>1</v>
      </c>
      <c r="AB16" s="17">
        <f t="shared" si="8"/>
        <v>16</v>
      </c>
      <c r="AC16" s="17">
        <f t="shared" si="8"/>
        <v>28</v>
      </c>
      <c r="AD16" s="17">
        <f t="shared" si="8"/>
        <v>0</v>
      </c>
      <c r="AE16" s="31">
        <f t="shared" si="8"/>
        <v>61</v>
      </c>
      <c r="AF16" s="31">
        <f t="shared" si="8"/>
        <v>89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2</v>
      </c>
      <c r="F17" s="50">
        <v>0</v>
      </c>
      <c r="G17" s="50">
        <v>0</v>
      </c>
      <c r="H17" s="50">
        <v>1</v>
      </c>
      <c r="I17" s="50">
        <v>0</v>
      </c>
      <c r="J17" s="50">
        <v>0</v>
      </c>
      <c r="K17" s="50">
        <v>0</v>
      </c>
      <c r="L17" s="50">
        <v>5</v>
      </c>
      <c r="M17" s="50">
        <v>6</v>
      </c>
      <c r="N17" s="50">
        <v>0</v>
      </c>
      <c r="O17" s="15">
        <f t="shared" si="0"/>
        <v>8</v>
      </c>
      <c r="P17" s="15">
        <f t="shared" si="1"/>
        <v>14</v>
      </c>
      <c r="R17" s="1" t="s">
        <v>13</v>
      </c>
      <c r="S17" s="17">
        <f t="shared" ref="S17:AF17" si="9">SUM(C38:C41)</f>
        <v>6</v>
      </c>
      <c r="T17" s="17">
        <f t="shared" si="9"/>
        <v>1</v>
      </c>
      <c r="U17" s="17">
        <f t="shared" si="9"/>
        <v>10</v>
      </c>
      <c r="V17" s="17">
        <f t="shared" si="9"/>
        <v>13</v>
      </c>
      <c r="W17" s="17">
        <f t="shared" si="9"/>
        <v>0</v>
      </c>
      <c r="X17" s="17">
        <f t="shared" si="9"/>
        <v>1</v>
      </c>
      <c r="Y17" s="17">
        <f t="shared" si="9"/>
        <v>7</v>
      </c>
      <c r="Z17" s="17">
        <f t="shared" si="9"/>
        <v>2</v>
      </c>
      <c r="AA17" s="17">
        <f t="shared" si="9"/>
        <v>0</v>
      </c>
      <c r="AB17" s="17">
        <f t="shared" si="9"/>
        <v>9</v>
      </c>
      <c r="AC17" s="17">
        <f t="shared" si="9"/>
        <v>32</v>
      </c>
      <c r="AD17" s="17">
        <f t="shared" si="9"/>
        <v>0</v>
      </c>
      <c r="AE17" s="31">
        <f t="shared" si="9"/>
        <v>49</v>
      </c>
      <c r="AF17" s="31">
        <f t="shared" si="9"/>
        <v>81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3</v>
      </c>
      <c r="F18" s="50">
        <v>3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9</v>
      </c>
      <c r="N18" s="50">
        <v>0</v>
      </c>
      <c r="O18" s="15">
        <f t="shared" si="0"/>
        <v>10</v>
      </c>
      <c r="P18" s="15">
        <f t="shared" si="1"/>
        <v>19</v>
      </c>
      <c r="R18" s="1" t="s">
        <v>14</v>
      </c>
      <c r="S18" s="17">
        <f t="shared" ref="S18:AF18" si="10">SUM(C42:C45)</f>
        <v>2</v>
      </c>
      <c r="T18" s="17">
        <f t="shared" si="10"/>
        <v>2</v>
      </c>
      <c r="U18" s="17">
        <f t="shared" si="10"/>
        <v>10</v>
      </c>
      <c r="V18" s="17">
        <f t="shared" si="10"/>
        <v>12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2</v>
      </c>
      <c r="AA18" s="17">
        <f t="shared" si="10"/>
        <v>0</v>
      </c>
      <c r="AB18" s="17">
        <f t="shared" si="10"/>
        <v>5</v>
      </c>
      <c r="AC18" s="17">
        <f t="shared" si="10"/>
        <v>31</v>
      </c>
      <c r="AD18" s="17">
        <f t="shared" si="10"/>
        <v>0</v>
      </c>
      <c r="AE18" s="31">
        <f t="shared" si="10"/>
        <v>36</v>
      </c>
      <c r="AF18" s="31">
        <f t="shared" si="10"/>
        <v>67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1</v>
      </c>
      <c r="F19" s="50">
        <v>2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2</v>
      </c>
      <c r="M19" s="50">
        <v>5</v>
      </c>
      <c r="N19" s="50">
        <v>0</v>
      </c>
      <c r="O19" s="15">
        <f t="shared" si="0"/>
        <v>8</v>
      </c>
      <c r="P19" s="15">
        <f t="shared" si="1"/>
        <v>13</v>
      </c>
      <c r="R19" s="1" t="s">
        <v>15</v>
      </c>
      <c r="S19" s="17">
        <f t="shared" ref="S19:AF19" si="11">SUM(C46:C49)</f>
        <v>8</v>
      </c>
      <c r="T19" s="17">
        <f t="shared" si="11"/>
        <v>3</v>
      </c>
      <c r="U19" s="17">
        <f t="shared" si="11"/>
        <v>11</v>
      </c>
      <c r="V19" s="17">
        <f t="shared" si="11"/>
        <v>19</v>
      </c>
      <c r="W19" s="17">
        <f t="shared" si="11"/>
        <v>0</v>
      </c>
      <c r="X19" s="17">
        <f t="shared" si="11"/>
        <v>2</v>
      </c>
      <c r="Y19" s="17">
        <f t="shared" si="11"/>
        <v>7</v>
      </c>
      <c r="Z19" s="17">
        <f t="shared" si="11"/>
        <v>0</v>
      </c>
      <c r="AA19" s="17">
        <f t="shared" si="11"/>
        <v>0</v>
      </c>
      <c r="AB19" s="17">
        <f t="shared" si="11"/>
        <v>16</v>
      </c>
      <c r="AC19" s="17">
        <f t="shared" si="11"/>
        <v>34</v>
      </c>
      <c r="AD19" s="17">
        <f t="shared" si="11"/>
        <v>0</v>
      </c>
      <c r="AE19" s="31">
        <f t="shared" si="11"/>
        <v>66</v>
      </c>
      <c r="AF19" s="31">
        <f t="shared" si="11"/>
        <v>100</v>
      </c>
    </row>
    <row r="20" spans="2:32" ht="23.1" customHeight="1" x14ac:dyDescent="0.25">
      <c r="B20" s="45" t="s">
        <v>47</v>
      </c>
      <c r="C20" s="50">
        <v>1</v>
      </c>
      <c r="D20" s="50">
        <v>1</v>
      </c>
      <c r="E20" s="50">
        <v>5</v>
      </c>
      <c r="F20" s="50">
        <v>1</v>
      </c>
      <c r="G20" s="50">
        <v>0</v>
      </c>
      <c r="H20" s="50">
        <v>0</v>
      </c>
      <c r="I20" s="50">
        <v>2</v>
      </c>
      <c r="J20" s="50">
        <v>1</v>
      </c>
      <c r="K20" s="50">
        <v>1</v>
      </c>
      <c r="L20" s="50">
        <v>1</v>
      </c>
      <c r="M20" s="50">
        <v>4</v>
      </c>
      <c r="N20" s="50">
        <v>0</v>
      </c>
      <c r="O20" s="15">
        <f t="shared" si="0"/>
        <v>13</v>
      </c>
      <c r="P20" s="15">
        <f t="shared" si="1"/>
        <v>17</v>
      </c>
      <c r="R20" s="1" t="s">
        <v>16</v>
      </c>
      <c r="S20" s="17">
        <f t="shared" ref="S20:AF20" si="12">SUM(C50:C53)</f>
        <v>8</v>
      </c>
      <c r="T20" s="17">
        <f t="shared" si="12"/>
        <v>5</v>
      </c>
      <c r="U20" s="17">
        <f t="shared" si="12"/>
        <v>16</v>
      </c>
      <c r="V20" s="17">
        <f t="shared" si="12"/>
        <v>12</v>
      </c>
      <c r="W20" s="17">
        <f t="shared" si="12"/>
        <v>0</v>
      </c>
      <c r="X20" s="17">
        <f t="shared" si="12"/>
        <v>1</v>
      </c>
      <c r="Y20" s="17">
        <f t="shared" si="12"/>
        <v>11</v>
      </c>
      <c r="Z20" s="17">
        <f t="shared" si="12"/>
        <v>3</v>
      </c>
      <c r="AA20" s="17">
        <f t="shared" si="12"/>
        <v>1</v>
      </c>
      <c r="AB20" s="17">
        <f t="shared" si="12"/>
        <v>6</v>
      </c>
      <c r="AC20" s="17">
        <f t="shared" si="12"/>
        <v>34</v>
      </c>
      <c r="AD20" s="17">
        <f t="shared" si="12"/>
        <v>0</v>
      </c>
      <c r="AE20" s="31">
        <f t="shared" si="12"/>
        <v>63</v>
      </c>
      <c r="AF20" s="31">
        <f t="shared" si="12"/>
        <v>97</v>
      </c>
    </row>
    <row r="21" spans="2:32" ht="23.1" customHeight="1" x14ac:dyDescent="0.25">
      <c r="B21" s="45" t="s">
        <v>48</v>
      </c>
      <c r="C21" s="50">
        <v>1</v>
      </c>
      <c r="D21" s="50">
        <v>1</v>
      </c>
      <c r="E21" s="50">
        <v>4</v>
      </c>
      <c r="F21" s="50">
        <v>3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2</v>
      </c>
      <c r="M21" s="50">
        <v>6</v>
      </c>
      <c r="N21" s="50">
        <v>0</v>
      </c>
      <c r="O21" s="15">
        <f t="shared" si="0"/>
        <v>12</v>
      </c>
      <c r="P21" s="15">
        <f t="shared" si="1"/>
        <v>18</v>
      </c>
      <c r="R21" s="36" t="s">
        <v>20</v>
      </c>
      <c r="S21" s="34">
        <f t="shared" ref="S21:AF21" si="13">SUM(C54:C57)</f>
        <v>5</v>
      </c>
      <c r="T21" s="17">
        <f t="shared" si="13"/>
        <v>3</v>
      </c>
      <c r="U21" s="17">
        <f t="shared" si="13"/>
        <v>12</v>
      </c>
      <c r="V21" s="17">
        <f t="shared" si="13"/>
        <v>7</v>
      </c>
      <c r="W21" s="17">
        <f t="shared" si="13"/>
        <v>1</v>
      </c>
      <c r="X21" s="17">
        <f t="shared" si="13"/>
        <v>1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5</v>
      </c>
      <c r="AC21" s="17">
        <f t="shared" si="13"/>
        <v>40</v>
      </c>
      <c r="AD21" s="17">
        <f t="shared" si="13"/>
        <v>0</v>
      </c>
      <c r="AE21" s="31">
        <f t="shared" si="13"/>
        <v>38</v>
      </c>
      <c r="AF21" s="31">
        <f t="shared" si="13"/>
        <v>78</v>
      </c>
    </row>
    <row r="22" spans="2:32" ht="23.1" customHeight="1" x14ac:dyDescent="0.25">
      <c r="B22" s="45" t="s">
        <v>49</v>
      </c>
      <c r="C22" s="50">
        <v>0</v>
      </c>
      <c r="D22" s="50">
        <v>1</v>
      </c>
      <c r="E22" s="50">
        <v>5</v>
      </c>
      <c r="F22" s="50">
        <v>2</v>
      </c>
      <c r="G22" s="50">
        <v>0</v>
      </c>
      <c r="H22" s="50">
        <v>2</v>
      </c>
      <c r="I22" s="50">
        <v>2</v>
      </c>
      <c r="J22" s="50">
        <v>0</v>
      </c>
      <c r="K22" s="50">
        <v>0</v>
      </c>
      <c r="L22" s="50">
        <v>1</v>
      </c>
      <c r="M22" s="50">
        <v>5</v>
      </c>
      <c r="N22" s="50">
        <v>0</v>
      </c>
      <c r="O22" s="15">
        <f t="shared" si="0"/>
        <v>13</v>
      </c>
      <c r="P22" s="15">
        <f t="shared" si="1"/>
        <v>18</v>
      </c>
      <c r="R22" s="36" t="s">
        <v>146</v>
      </c>
      <c r="S22" s="34">
        <f>SUM(C58:C61)</f>
        <v>2</v>
      </c>
      <c r="T22" s="34">
        <f t="shared" ref="T22:AF22" si="14">SUM(D58:D61)</f>
        <v>1</v>
      </c>
      <c r="U22" s="34">
        <f t="shared" si="14"/>
        <v>11</v>
      </c>
      <c r="V22" s="34">
        <f t="shared" si="14"/>
        <v>8</v>
      </c>
      <c r="W22" s="34">
        <f t="shared" si="14"/>
        <v>0</v>
      </c>
      <c r="X22" s="34">
        <f t="shared" si="14"/>
        <v>0</v>
      </c>
      <c r="Y22" s="34">
        <f t="shared" si="14"/>
        <v>7</v>
      </c>
      <c r="Z22" s="34">
        <f t="shared" si="14"/>
        <v>0</v>
      </c>
      <c r="AA22" s="34">
        <f t="shared" si="14"/>
        <v>0</v>
      </c>
      <c r="AB22" s="34">
        <f t="shared" si="14"/>
        <v>15</v>
      </c>
      <c r="AC22" s="34">
        <f t="shared" si="14"/>
        <v>33</v>
      </c>
      <c r="AD22" s="34">
        <f t="shared" si="14"/>
        <v>0</v>
      </c>
      <c r="AE22" s="31">
        <f t="shared" si="14"/>
        <v>44</v>
      </c>
      <c r="AF22" s="31">
        <f t="shared" si="14"/>
        <v>77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2</v>
      </c>
      <c r="F23" s="50">
        <v>2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4</v>
      </c>
      <c r="M23" s="50">
        <v>9</v>
      </c>
      <c r="N23" s="50">
        <v>0</v>
      </c>
      <c r="O23" s="15">
        <f t="shared" si="0"/>
        <v>8</v>
      </c>
      <c r="P23" s="15">
        <f t="shared" si="1"/>
        <v>17</v>
      </c>
      <c r="R23" s="36" t="s">
        <v>147</v>
      </c>
      <c r="S23" s="34">
        <f>SUM(C62:C65)</f>
        <v>4</v>
      </c>
      <c r="T23" s="34">
        <f t="shared" ref="T23:AF23" si="15">SUM(D62:D65)</f>
        <v>2</v>
      </c>
      <c r="U23" s="34">
        <f t="shared" si="15"/>
        <v>9</v>
      </c>
      <c r="V23" s="34">
        <f t="shared" si="15"/>
        <v>8</v>
      </c>
      <c r="W23" s="34">
        <f t="shared" si="15"/>
        <v>0</v>
      </c>
      <c r="X23" s="34">
        <f t="shared" si="15"/>
        <v>2</v>
      </c>
      <c r="Y23" s="34">
        <f t="shared" si="15"/>
        <v>9</v>
      </c>
      <c r="Z23" s="34">
        <f t="shared" si="15"/>
        <v>0</v>
      </c>
      <c r="AA23" s="34">
        <f t="shared" si="15"/>
        <v>0</v>
      </c>
      <c r="AB23" s="34">
        <f t="shared" si="15"/>
        <v>13</v>
      </c>
      <c r="AC23" s="34">
        <f t="shared" si="15"/>
        <v>21</v>
      </c>
      <c r="AD23" s="34">
        <f t="shared" si="15"/>
        <v>0</v>
      </c>
      <c r="AE23" s="31">
        <f t="shared" si="15"/>
        <v>47</v>
      </c>
      <c r="AF23" s="31">
        <f t="shared" si="15"/>
        <v>68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6</v>
      </c>
      <c r="M24" s="50">
        <v>8</v>
      </c>
      <c r="N24" s="50">
        <v>0</v>
      </c>
      <c r="O24" s="15">
        <f t="shared" si="0"/>
        <v>10</v>
      </c>
      <c r="P24" s="15">
        <f t="shared" si="1"/>
        <v>18</v>
      </c>
      <c r="R24" s="36" t="s">
        <v>148</v>
      </c>
      <c r="S24" s="34">
        <f>SUM(C66:C69)</f>
        <v>7</v>
      </c>
      <c r="T24" s="34">
        <f t="shared" ref="T24:AF24" si="16">SUM(D66:D69)</f>
        <v>1</v>
      </c>
      <c r="U24" s="34">
        <f t="shared" si="16"/>
        <v>8</v>
      </c>
      <c r="V24" s="34">
        <f t="shared" si="16"/>
        <v>4</v>
      </c>
      <c r="W24" s="34">
        <f t="shared" si="16"/>
        <v>0</v>
      </c>
      <c r="X24" s="34">
        <f t="shared" si="16"/>
        <v>1</v>
      </c>
      <c r="Y24" s="34">
        <f t="shared" si="16"/>
        <v>12</v>
      </c>
      <c r="Z24" s="34">
        <f t="shared" si="16"/>
        <v>1</v>
      </c>
      <c r="AA24" s="34">
        <f t="shared" si="16"/>
        <v>0</v>
      </c>
      <c r="AB24" s="34">
        <f t="shared" si="16"/>
        <v>11</v>
      </c>
      <c r="AC24" s="34">
        <f t="shared" si="16"/>
        <v>5</v>
      </c>
      <c r="AD24" s="34">
        <f t="shared" si="16"/>
        <v>0</v>
      </c>
      <c r="AE24" s="31">
        <f t="shared" si="16"/>
        <v>45</v>
      </c>
      <c r="AF24" s="31">
        <f t="shared" si="16"/>
        <v>50</v>
      </c>
    </row>
    <row r="25" spans="2:32" ht="23.1" customHeight="1" x14ac:dyDescent="0.25">
      <c r="B25" s="45" t="s">
        <v>52</v>
      </c>
      <c r="C25" s="50">
        <v>3</v>
      </c>
      <c r="D25" s="50">
        <v>0</v>
      </c>
      <c r="E25" s="50">
        <v>3</v>
      </c>
      <c r="F25" s="50">
        <v>4</v>
      </c>
      <c r="G25" s="50">
        <v>1</v>
      </c>
      <c r="H25" s="50">
        <v>1</v>
      </c>
      <c r="I25" s="50">
        <v>2</v>
      </c>
      <c r="J25" s="50">
        <v>0</v>
      </c>
      <c r="K25" s="50">
        <v>0</v>
      </c>
      <c r="L25" s="50">
        <v>4</v>
      </c>
      <c r="M25" s="50">
        <v>6</v>
      </c>
      <c r="N25" s="50">
        <v>0</v>
      </c>
      <c r="O25" s="15">
        <f t="shared" si="0"/>
        <v>18</v>
      </c>
      <c r="P25" s="15">
        <f t="shared" si="1"/>
        <v>24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6</v>
      </c>
      <c r="V25" s="34">
        <f t="shared" si="17"/>
        <v>2</v>
      </c>
      <c r="W25" s="34">
        <f t="shared" si="17"/>
        <v>0</v>
      </c>
      <c r="X25" s="34">
        <f t="shared" si="17"/>
        <v>1</v>
      </c>
      <c r="Y25" s="34">
        <f t="shared" si="17"/>
        <v>4</v>
      </c>
      <c r="Z25" s="34">
        <f t="shared" si="17"/>
        <v>0</v>
      </c>
      <c r="AA25" s="34">
        <f t="shared" si="17"/>
        <v>0</v>
      </c>
      <c r="AB25" s="34">
        <f t="shared" si="17"/>
        <v>8</v>
      </c>
      <c r="AC25" s="34">
        <f t="shared" si="17"/>
        <v>9</v>
      </c>
      <c r="AD25" s="34">
        <f t="shared" si="17"/>
        <v>0</v>
      </c>
      <c r="AE25" s="31">
        <f t="shared" si="17"/>
        <v>24</v>
      </c>
      <c r="AF25" s="31">
        <f t="shared" si="17"/>
        <v>33</v>
      </c>
    </row>
    <row r="26" spans="2:32" ht="23.1" customHeight="1" x14ac:dyDescent="0.25">
      <c r="B26" s="45" t="s">
        <v>53</v>
      </c>
      <c r="C26" s="50">
        <v>0</v>
      </c>
      <c r="D26" s="50">
        <v>1</v>
      </c>
      <c r="E26" s="50">
        <v>5</v>
      </c>
      <c r="F26" s="50">
        <v>4</v>
      </c>
      <c r="G26" s="50">
        <v>0</v>
      </c>
      <c r="H26" s="50">
        <v>1</v>
      </c>
      <c r="I26" s="50">
        <v>2</v>
      </c>
      <c r="J26" s="50">
        <v>0</v>
      </c>
      <c r="K26" s="50">
        <v>0</v>
      </c>
      <c r="L26" s="50">
        <v>1</v>
      </c>
      <c r="M26" s="50">
        <v>4</v>
      </c>
      <c r="N26" s="50">
        <v>0</v>
      </c>
      <c r="O26" s="15">
        <f t="shared" si="0"/>
        <v>14</v>
      </c>
      <c r="P26" s="15">
        <f t="shared" si="1"/>
        <v>18</v>
      </c>
      <c r="R26" s="36" t="s">
        <v>150</v>
      </c>
      <c r="S26" s="34">
        <f>SUM(C74:C77)</f>
        <v>7</v>
      </c>
      <c r="T26" s="34">
        <f t="shared" ref="T26:AF26" si="18">SUM(D74:D77)</f>
        <v>0</v>
      </c>
      <c r="U26" s="34">
        <f t="shared" si="18"/>
        <v>3</v>
      </c>
      <c r="V26" s="34">
        <f t="shared" si="18"/>
        <v>2</v>
      </c>
      <c r="W26" s="34">
        <f t="shared" si="18"/>
        <v>0</v>
      </c>
      <c r="X26" s="34">
        <f t="shared" si="18"/>
        <v>0</v>
      </c>
      <c r="Y26" s="34">
        <f t="shared" si="18"/>
        <v>5</v>
      </c>
      <c r="Z26" s="34">
        <f t="shared" si="18"/>
        <v>4</v>
      </c>
      <c r="AA26" s="34">
        <f t="shared" si="18"/>
        <v>0</v>
      </c>
      <c r="AB26" s="34">
        <f t="shared" si="18"/>
        <v>4</v>
      </c>
      <c r="AC26" s="34">
        <f t="shared" si="18"/>
        <v>5</v>
      </c>
      <c r="AD26" s="34">
        <f t="shared" si="18"/>
        <v>0</v>
      </c>
      <c r="AE26" s="31">
        <f t="shared" si="18"/>
        <v>25</v>
      </c>
      <c r="AF26" s="31">
        <f t="shared" si="18"/>
        <v>30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3</v>
      </c>
      <c r="F27" s="50">
        <v>3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2</v>
      </c>
      <c r="M27" s="50">
        <v>7</v>
      </c>
      <c r="N27" s="50">
        <v>0</v>
      </c>
      <c r="O27" s="15">
        <f t="shared" si="0"/>
        <v>9</v>
      </c>
      <c r="P27" s="15">
        <f t="shared" si="1"/>
        <v>16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1</v>
      </c>
      <c r="Y27" s="34">
        <f t="shared" si="19"/>
        <v>11</v>
      </c>
      <c r="Z27" s="34">
        <f t="shared" si="19"/>
        <v>1</v>
      </c>
      <c r="AA27" s="34">
        <f t="shared" si="19"/>
        <v>2</v>
      </c>
      <c r="AB27" s="34">
        <f t="shared" si="19"/>
        <v>14</v>
      </c>
      <c r="AC27" s="34">
        <f t="shared" si="19"/>
        <v>3</v>
      </c>
      <c r="AD27" s="34">
        <f t="shared" si="19"/>
        <v>0</v>
      </c>
      <c r="AE27" s="31">
        <f t="shared" si="19"/>
        <v>31</v>
      </c>
      <c r="AF27" s="31">
        <f t="shared" si="19"/>
        <v>34</v>
      </c>
    </row>
    <row r="28" spans="2:32" ht="23.1" customHeight="1" x14ac:dyDescent="0.25">
      <c r="B28" s="45" t="s">
        <v>55</v>
      </c>
      <c r="C28" s="50">
        <v>3</v>
      </c>
      <c r="D28" s="50">
        <v>0</v>
      </c>
      <c r="E28" s="50">
        <v>1</v>
      </c>
      <c r="F28" s="50">
        <v>2</v>
      </c>
      <c r="G28" s="50">
        <v>0</v>
      </c>
      <c r="H28" s="50">
        <v>1</v>
      </c>
      <c r="I28" s="50">
        <v>3</v>
      </c>
      <c r="J28" s="50">
        <v>0</v>
      </c>
      <c r="K28" s="50">
        <v>0</v>
      </c>
      <c r="L28" s="50">
        <v>5</v>
      </c>
      <c r="M28" s="50">
        <v>8</v>
      </c>
      <c r="N28" s="50">
        <v>0</v>
      </c>
      <c r="O28" s="15">
        <f t="shared" si="0"/>
        <v>15</v>
      </c>
      <c r="P28" s="15">
        <f t="shared" si="1"/>
        <v>23</v>
      </c>
      <c r="R28" s="36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1</v>
      </c>
      <c r="X28" s="34">
        <f t="shared" si="20"/>
        <v>0</v>
      </c>
      <c r="Y28" s="34">
        <f t="shared" si="20"/>
        <v>4</v>
      </c>
      <c r="Z28" s="34">
        <f t="shared" si="20"/>
        <v>1</v>
      </c>
      <c r="AA28" s="34">
        <f t="shared" si="20"/>
        <v>0</v>
      </c>
      <c r="AB28" s="34">
        <f t="shared" si="20"/>
        <v>2</v>
      </c>
      <c r="AC28" s="34">
        <f t="shared" si="20"/>
        <v>0</v>
      </c>
      <c r="AD28" s="34">
        <f t="shared" si="20"/>
        <v>0</v>
      </c>
      <c r="AE28" s="31">
        <f t="shared" si="20"/>
        <v>11</v>
      </c>
      <c r="AF28" s="31">
        <f t="shared" si="20"/>
        <v>11</v>
      </c>
    </row>
    <row r="29" spans="2:32" ht="23.1" customHeight="1" x14ac:dyDescent="0.25">
      <c r="B29" s="45" t="s">
        <v>56</v>
      </c>
      <c r="C29" s="50">
        <v>4</v>
      </c>
      <c r="D29" s="50">
        <v>0</v>
      </c>
      <c r="E29" s="50">
        <v>3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6</v>
      </c>
      <c r="N29" s="50">
        <v>0</v>
      </c>
      <c r="O29" s="15">
        <f t="shared" si="0"/>
        <v>9</v>
      </c>
      <c r="P29" s="15">
        <f t="shared" si="1"/>
        <v>15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3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0</v>
      </c>
      <c r="AA29" s="34">
        <f t="shared" si="21"/>
        <v>1</v>
      </c>
      <c r="AB29" s="34">
        <f t="shared" si="21"/>
        <v>3</v>
      </c>
      <c r="AC29" s="34">
        <f t="shared" si="21"/>
        <v>0</v>
      </c>
      <c r="AD29" s="34">
        <f t="shared" si="21"/>
        <v>0</v>
      </c>
      <c r="AE29" s="31">
        <f t="shared" si="21"/>
        <v>10</v>
      </c>
      <c r="AF29" s="31">
        <f t="shared" si="21"/>
        <v>10</v>
      </c>
    </row>
    <row r="30" spans="2:32" ht="23.1" customHeight="1" x14ac:dyDescent="0.25">
      <c r="B30" s="45" t="s">
        <v>57</v>
      </c>
      <c r="C30" s="50">
        <v>3</v>
      </c>
      <c r="D30" s="50">
        <v>0</v>
      </c>
      <c r="E30" s="50">
        <v>1</v>
      </c>
      <c r="F30" s="50">
        <v>3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8</v>
      </c>
      <c r="N30" s="50">
        <v>0</v>
      </c>
      <c r="O30" s="15">
        <f t="shared" si="0"/>
        <v>8</v>
      </c>
      <c r="P30" s="15">
        <f t="shared" si="1"/>
        <v>16</v>
      </c>
      <c r="R30" s="36" t="s">
        <v>154</v>
      </c>
      <c r="S30" s="34">
        <f>SUM(C90:C93)</f>
        <v>4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4</v>
      </c>
      <c r="Z30" s="34">
        <f t="shared" si="22"/>
        <v>0</v>
      </c>
      <c r="AA30" s="34">
        <f t="shared" si="22"/>
        <v>0</v>
      </c>
      <c r="AB30" s="34">
        <f t="shared" si="22"/>
        <v>11</v>
      </c>
      <c r="AC30" s="34">
        <f t="shared" si="22"/>
        <v>0</v>
      </c>
      <c r="AD30" s="34">
        <f t="shared" si="22"/>
        <v>0</v>
      </c>
      <c r="AE30" s="31">
        <f t="shared" si="22"/>
        <v>22</v>
      </c>
      <c r="AF30" s="31">
        <f t="shared" si="22"/>
        <v>22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2</v>
      </c>
      <c r="M31" s="50">
        <v>3</v>
      </c>
      <c r="N31" s="50">
        <v>0</v>
      </c>
      <c r="O31" s="15">
        <f t="shared" si="0"/>
        <v>6</v>
      </c>
      <c r="P31" s="15">
        <f t="shared" si="1"/>
        <v>9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4</v>
      </c>
      <c r="AC31" s="34">
        <f t="shared" si="23"/>
        <v>0</v>
      </c>
      <c r="AD31" s="34">
        <f t="shared" si="23"/>
        <v>0</v>
      </c>
      <c r="AE31" s="31">
        <f t="shared" si="23"/>
        <v>6</v>
      </c>
      <c r="AF31" s="31">
        <f t="shared" si="23"/>
        <v>6</v>
      </c>
    </row>
    <row r="32" spans="2:32" ht="23.1" customHeight="1" x14ac:dyDescent="0.25">
      <c r="B32" s="46" t="s">
        <v>59</v>
      </c>
      <c r="C32" s="50">
        <v>1</v>
      </c>
      <c r="D32" s="50">
        <v>0</v>
      </c>
      <c r="E32" s="50">
        <v>2</v>
      </c>
      <c r="F32" s="50">
        <v>4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8</v>
      </c>
      <c r="N32" s="50">
        <v>0</v>
      </c>
      <c r="O32" s="15">
        <f t="shared" si="0"/>
        <v>7</v>
      </c>
      <c r="P32" s="15">
        <f t="shared" si="1"/>
        <v>15</v>
      </c>
      <c r="R32" s="33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2</v>
      </c>
      <c r="V32" s="34">
        <f t="shared" si="24"/>
        <v>2</v>
      </c>
      <c r="W32" s="34">
        <f t="shared" si="24"/>
        <v>0</v>
      </c>
      <c r="X32" s="34">
        <f t="shared" si="24"/>
        <v>1</v>
      </c>
      <c r="Y32" s="34">
        <f t="shared" si="24"/>
        <v>3</v>
      </c>
      <c r="Z32" s="34">
        <f t="shared" si="24"/>
        <v>0</v>
      </c>
      <c r="AA32" s="34">
        <f t="shared" si="24"/>
        <v>1</v>
      </c>
      <c r="AB32" s="34">
        <f t="shared" si="24"/>
        <v>6</v>
      </c>
      <c r="AC32" s="34">
        <f t="shared" si="24"/>
        <v>0</v>
      </c>
      <c r="AD32" s="34">
        <f t="shared" si="24"/>
        <v>0</v>
      </c>
      <c r="AE32" s="31">
        <f t="shared" si="24"/>
        <v>16</v>
      </c>
      <c r="AF32" s="31">
        <f t="shared" si="24"/>
        <v>16</v>
      </c>
    </row>
    <row r="33" spans="2:32" ht="23.1" customHeight="1" x14ac:dyDescent="0.25">
      <c r="B33" s="45" t="s">
        <v>60</v>
      </c>
      <c r="C33" s="50">
        <v>3</v>
      </c>
      <c r="D33" s="50">
        <v>0</v>
      </c>
      <c r="E33" s="50">
        <v>3</v>
      </c>
      <c r="F33" s="50">
        <v>2</v>
      </c>
      <c r="G33" s="50">
        <v>0</v>
      </c>
      <c r="H33" s="50">
        <v>1</v>
      </c>
      <c r="I33" s="50">
        <v>1</v>
      </c>
      <c r="J33" s="50">
        <v>0</v>
      </c>
      <c r="K33" s="50">
        <v>0</v>
      </c>
      <c r="L33" s="50">
        <v>6</v>
      </c>
      <c r="M33" s="50">
        <v>6</v>
      </c>
      <c r="N33" s="50">
        <v>0</v>
      </c>
      <c r="O33" s="15">
        <f t="shared" si="0"/>
        <v>16</v>
      </c>
      <c r="P33" s="15">
        <f t="shared" si="1"/>
        <v>22</v>
      </c>
      <c r="R33" s="33" t="s">
        <v>157</v>
      </c>
      <c r="S33" s="34">
        <f>SUM(C102:C105)</f>
        <v>4</v>
      </c>
      <c r="T33" s="34">
        <f t="shared" ref="T33:AF33" si="25">SUM(D102:D105)</f>
        <v>0</v>
      </c>
      <c r="U33" s="34">
        <f t="shared" si="25"/>
        <v>2</v>
      </c>
      <c r="V33" s="34">
        <f t="shared" si="25"/>
        <v>3</v>
      </c>
      <c r="W33" s="34">
        <f t="shared" si="25"/>
        <v>1</v>
      </c>
      <c r="X33" s="34">
        <f t="shared" si="25"/>
        <v>2</v>
      </c>
      <c r="Y33" s="34">
        <f t="shared" si="25"/>
        <v>7</v>
      </c>
      <c r="Z33" s="34">
        <f t="shared" si="25"/>
        <v>0</v>
      </c>
      <c r="AA33" s="34">
        <f t="shared" si="25"/>
        <v>0</v>
      </c>
      <c r="AB33" s="34">
        <f t="shared" si="25"/>
        <v>8</v>
      </c>
      <c r="AC33" s="34">
        <f t="shared" si="25"/>
        <v>3</v>
      </c>
      <c r="AD33" s="34">
        <f t="shared" si="25"/>
        <v>0</v>
      </c>
      <c r="AE33" s="31">
        <f t="shared" si="25"/>
        <v>27</v>
      </c>
      <c r="AF33" s="31">
        <f t="shared" si="25"/>
        <v>30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1</v>
      </c>
      <c r="F34" s="50">
        <v>3</v>
      </c>
      <c r="G34" s="50">
        <v>0</v>
      </c>
      <c r="H34" s="50">
        <v>0</v>
      </c>
      <c r="I34" s="50">
        <v>6</v>
      </c>
      <c r="J34" s="50">
        <v>0</v>
      </c>
      <c r="K34" s="50">
        <v>1</v>
      </c>
      <c r="L34" s="50">
        <v>10</v>
      </c>
      <c r="M34" s="50">
        <v>5</v>
      </c>
      <c r="N34" s="50">
        <v>0</v>
      </c>
      <c r="O34" s="15">
        <f t="shared" si="0"/>
        <v>22</v>
      </c>
      <c r="P34" s="15">
        <f t="shared" si="1"/>
        <v>27</v>
      </c>
      <c r="R34" s="38" t="s">
        <v>90</v>
      </c>
      <c r="S34" s="39">
        <f t="shared" ref="S34:AF34" si="26">MAX(S10:S12)</f>
        <v>5</v>
      </c>
      <c r="T34" s="39">
        <f t="shared" si="26"/>
        <v>2</v>
      </c>
      <c r="U34" s="39">
        <f t="shared" si="26"/>
        <v>13</v>
      </c>
      <c r="V34" s="39">
        <f t="shared" si="26"/>
        <v>9</v>
      </c>
      <c r="W34" s="39">
        <f t="shared" si="26"/>
        <v>0</v>
      </c>
      <c r="X34" s="39">
        <f t="shared" si="26"/>
        <v>2</v>
      </c>
      <c r="Y34" s="39">
        <f t="shared" si="26"/>
        <v>7</v>
      </c>
      <c r="Z34" s="39">
        <f t="shared" si="26"/>
        <v>3</v>
      </c>
      <c r="AA34" s="39">
        <f t="shared" si="26"/>
        <v>1</v>
      </c>
      <c r="AB34" s="39">
        <f t="shared" si="26"/>
        <v>5</v>
      </c>
      <c r="AC34" s="39">
        <f t="shared" si="26"/>
        <v>27</v>
      </c>
      <c r="AD34" s="39">
        <f t="shared" si="26"/>
        <v>0</v>
      </c>
      <c r="AE34" s="40">
        <f t="shared" si="26"/>
        <v>43</v>
      </c>
      <c r="AF34" s="40">
        <f t="shared" si="26"/>
        <v>67</v>
      </c>
    </row>
    <row r="35" spans="2:32" ht="23.1" customHeight="1" x14ac:dyDescent="0.25">
      <c r="B35" s="46" t="s">
        <v>62</v>
      </c>
      <c r="C35" s="50">
        <v>1</v>
      </c>
      <c r="D35" s="50">
        <v>1</v>
      </c>
      <c r="E35" s="50">
        <v>4</v>
      </c>
      <c r="F35" s="50">
        <v>2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10</v>
      </c>
      <c r="P35" s="15">
        <f t="shared" si="1"/>
        <v>21</v>
      </c>
      <c r="R35" s="38" t="s">
        <v>91</v>
      </c>
      <c r="S35" s="39">
        <f t="shared" ref="S35:AF35" si="27">MAX(S13:S18)</f>
        <v>8</v>
      </c>
      <c r="T35" s="39">
        <f t="shared" si="27"/>
        <v>2</v>
      </c>
      <c r="U35" s="39">
        <f t="shared" si="27"/>
        <v>13</v>
      </c>
      <c r="V35" s="39">
        <f t="shared" si="27"/>
        <v>13</v>
      </c>
      <c r="W35" s="39">
        <f t="shared" si="27"/>
        <v>1</v>
      </c>
      <c r="X35" s="39">
        <f t="shared" si="27"/>
        <v>3</v>
      </c>
      <c r="Y35" s="39">
        <f t="shared" si="27"/>
        <v>10</v>
      </c>
      <c r="Z35" s="39">
        <f t="shared" si="27"/>
        <v>2</v>
      </c>
      <c r="AA35" s="39">
        <f t="shared" si="27"/>
        <v>1</v>
      </c>
      <c r="AB35" s="39">
        <f t="shared" si="27"/>
        <v>16</v>
      </c>
      <c r="AC35" s="39">
        <f t="shared" si="27"/>
        <v>32</v>
      </c>
      <c r="AD35" s="39">
        <f t="shared" si="27"/>
        <v>0</v>
      </c>
      <c r="AE35" s="40">
        <f t="shared" si="27"/>
        <v>61</v>
      </c>
      <c r="AF35" s="40">
        <f t="shared" si="27"/>
        <v>89</v>
      </c>
    </row>
    <row r="36" spans="2:32" ht="23.1" customHeight="1" x14ac:dyDescent="0.25">
      <c r="B36" s="46" t="s">
        <v>63</v>
      </c>
      <c r="C36" s="50">
        <v>3</v>
      </c>
      <c r="D36" s="50">
        <v>0</v>
      </c>
      <c r="E36" s="50">
        <v>3</v>
      </c>
      <c r="F36" s="50">
        <v>4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2</v>
      </c>
      <c r="M36" s="50">
        <v>8</v>
      </c>
      <c r="N36" s="50">
        <v>0</v>
      </c>
      <c r="O36" s="15">
        <f t="shared" si="0"/>
        <v>15</v>
      </c>
      <c r="P36" s="15">
        <f t="shared" si="1"/>
        <v>23</v>
      </c>
      <c r="R36" s="38" t="s">
        <v>92</v>
      </c>
      <c r="S36" s="39">
        <f t="shared" ref="S36:AF36" si="28">MAX(S19:S21)</f>
        <v>8</v>
      </c>
      <c r="T36" s="39">
        <f t="shared" si="28"/>
        <v>5</v>
      </c>
      <c r="U36" s="39">
        <f t="shared" si="28"/>
        <v>16</v>
      </c>
      <c r="V36" s="39">
        <f t="shared" si="28"/>
        <v>19</v>
      </c>
      <c r="W36" s="39">
        <f t="shared" si="28"/>
        <v>1</v>
      </c>
      <c r="X36" s="39">
        <f t="shared" si="28"/>
        <v>2</v>
      </c>
      <c r="Y36" s="39">
        <f t="shared" si="28"/>
        <v>11</v>
      </c>
      <c r="Z36" s="39">
        <f t="shared" si="28"/>
        <v>3</v>
      </c>
      <c r="AA36" s="39">
        <f t="shared" si="28"/>
        <v>1</v>
      </c>
      <c r="AB36" s="39">
        <f t="shared" si="28"/>
        <v>16</v>
      </c>
      <c r="AC36" s="39">
        <f t="shared" si="28"/>
        <v>40</v>
      </c>
      <c r="AD36" s="39">
        <f t="shared" si="28"/>
        <v>0</v>
      </c>
      <c r="AE36" s="40">
        <f t="shared" si="28"/>
        <v>66</v>
      </c>
      <c r="AF36" s="40">
        <f t="shared" si="28"/>
        <v>100</v>
      </c>
    </row>
    <row r="37" spans="2:32" ht="23.1" customHeight="1" x14ac:dyDescent="0.25">
      <c r="B37" s="45" t="s">
        <v>64</v>
      </c>
      <c r="C37" s="50">
        <v>0</v>
      </c>
      <c r="D37" s="50">
        <v>1</v>
      </c>
      <c r="E37" s="50">
        <v>5</v>
      </c>
      <c r="F37" s="50">
        <v>3</v>
      </c>
      <c r="G37" s="50">
        <v>0</v>
      </c>
      <c r="H37" s="50">
        <v>1</v>
      </c>
      <c r="I37" s="50">
        <v>0</v>
      </c>
      <c r="J37" s="50">
        <v>0</v>
      </c>
      <c r="K37" s="50">
        <v>0</v>
      </c>
      <c r="L37" s="50">
        <v>4</v>
      </c>
      <c r="M37" s="50">
        <v>4</v>
      </c>
      <c r="N37" s="50">
        <v>0</v>
      </c>
      <c r="O37" s="15">
        <f t="shared" si="0"/>
        <v>14</v>
      </c>
      <c r="P37" s="15">
        <f t="shared" si="1"/>
        <v>18</v>
      </c>
      <c r="R37" s="37" t="s">
        <v>85</v>
      </c>
      <c r="S37" s="35">
        <f t="shared" ref="S37:AF37" si="29">SUM(S10:S12)</f>
        <v>8</v>
      </c>
      <c r="T37" s="16">
        <f t="shared" si="29"/>
        <v>3</v>
      </c>
      <c r="U37" s="16">
        <f t="shared" si="29"/>
        <v>26</v>
      </c>
      <c r="V37" s="16">
        <f t="shared" si="29"/>
        <v>20</v>
      </c>
      <c r="W37" s="16">
        <f t="shared" si="29"/>
        <v>0</v>
      </c>
      <c r="X37" s="16">
        <f t="shared" si="29"/>
        <v>4</v>
      </c>
      <c r="Y37" s="16">
        <f t="shared" si="29"/>
        <v>14</v>
      </c>
      <c r="Z37" s="16">
        <f t="shared" si="29"/>
        <v>5</v>
      </c>
      <c r="AA37" s="16">
        <f t="shared" si="29"/>
        <v>1</v>
      </c>
      <c r="AB37" s="16">
        <f t="shared" si="29"/>
        <v>15</v>
      </c>
      <c r="AC37" s="16">
        <f t="shared" si="29"/>
        <v>70</v>
      </c>
      <c r="AD37" s="16">
        <f t="shared" si="29"/>
        <v>0</v>
      </c>
      <c r="AE37" s="32">
        <f t="shared" si="29"/>
        <v>96</v>
      </c>
      <c r="AF37" s="32">
        <f t="shared" si="29"/>
        <v>166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3</v>
      </c>
      <c r="F38" s="50">
        <v>6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5</v>
      </c>
      <c r="M38" s="50">
        <v>8</v>
      </c>
      <c r="N38" s="50">
        <v>0</v>
      </c>
      <c r="O38" s="15">
        <f t="shared" si="0"/>
        <v>19</v>
      </c>
      <c r="P38" s="15">
        <f t="shared" si="1"/>
        <v>27</v>
      </c>
      <c r="R38" s="28" t="s">
        <v>86</v>
      </c>
      <c r="S38" s="16">
        <f t="shared" ref="S38:AF38" si="30">SUM(S13:S18)</f>
        <v>32</v>
      </c>
      <c r="T38" s="16">
        <f t="shared" si="30"/>
        <v>7</v>
      </c>
      <c r="U38" s="16">
        <f t="shared" si="30"/>
        <v>63</v>
      </c>
      <c r="V38" s="16">
        <f t="shared" si="30"/>
        <v>67</v>
      </c>
      <c r="W38" s="16">
        <f t="shared" si="30"/>
        <v>1</v>
      </c>
      <c r="X38" s="16">
        <f t="shared" si="30"/>
        <v>8</v>
      </c>
      <c r="Y38" s="16">
        <f t="shared" si="30"/>
        <v>34</v>
      </c>
      <c r="Z38" s="16">
        <f t="shared" si="30"/>
        <v>5</v>
      </c>
      <c r="AA38" s="16">
        <f t="shared" si="30"/>
        <v>1</v>
      </c>
      <c r="AB38" s="16">
        <f t="shared" si="30"/>
        <v>61</v>
      </c>
      <c r="AC38" s="16">
        <f t="shared" si="30"/>
        <v>169</v>
      </c>
      <c r="AD38" s="16">
        <f t="shared" si="30"/>
        <v>0</v>
      </c>
      <c r="AE38" s="32">
        <f t="shared" si="30"/>
        <v>279</v>
      </c>
      <c r="AF38" s="32">
        <f t="shared" si="30"/>
        <v>448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3</v>
      </c>
      <c r="F39" s="50">
        <v>4</v>
      </c>
      <c r="G39" s="50">
        <v>0</v>
      </c>
      <c r="H39" s="50">
        <v>0</v>
      </c>
      <c r="I39" s="50">
        <v>2</v>
      </c>
      <c r="J39" s="50">
        <v>1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11</v>
      </c>
      <c r="P39" s="15">
        <f t="shared" si="1"/>
        <v>19</v>
      </c>
      <c r="R39" s="29" t="s">
        <v>87</v>
      </c>
      <c r="S39" s="16">
        <f t="shared" ref="S39:AF39" si="31">SUM(S19:S21)</f>
        <v>21</v>
      </c>
      <c r="T39" s="16">
        <f t="shared" si="31"/>
        <v>11</v>
      </c>
      <c r="U39" s="16">
        <f t="shared" si="31"/>
        <v>39</v>
      </c>
      <c r="V39" s="16">
        <f t="shared" si="31"/>
        <v>38</v>
      </c>
      <c r="W39" s="16">
        <f t="shared" si="31"/>
        <v>1</v>
      </c>
      <c r="X39" s="16">
        <f t="shared" si="31"/>
        <v>4</v>
      </c>
      <c r="Y39" s="16">
        <f t="shared" si="31"/>
        <v>22</v>
      </c>
      <c r="Z39" s="16">
        <f t="shared" si="31"/>
        <v>3</v>
      </c>
      <c r="AA39" s="16">
        <f t="shared" si="31"/>
        <v>1</v>
      </c>
      <c r="AB39" s="16">
        <f t="shared" si="31"/>
        <v>27</v>
      </c>
      <c r="AC39" s="16">
        <f t="shared" si="31"/>
        <v>108</v>
      </c>
      <c r="AD39" s="16">
        <f t="shared" si="31"/>
        <v>0</v>
      </c>
      <c r="AE39" s="32">
        <f t="shared" si="31"/>
        <v>167</v>
      </c>
      <c r="AF39" s="32">
        <f t="shared" si="31"/>
        <v>275</v>
      </c>
    </row>
    <row r="40" spans="2:32" ht="23.1" customHeight="1" x14ac:dyDescent="0.25">
      <c r="B40" s="46" t="s">
        <v>67</v>
      </c>
      <c r="C40" s="50">
        <v>2</v>
      </c>
      <c r="D40" s="50">
        <v>1</v>
      </c>
      <c r="E40" s="50">
        <v>4</v>
      </c>
      <c r="F40" s="50">
        <v>3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3</v>
      </c>
      <c r="M40" s="50">
        <v>10</v>
      </c>
      <c r="N40" s="50">
        <v>0</v>
      </c>
      <c r="O40" s="15">
        <f t="shared" si="0"/>
        <v>16</v>
      </c>
      <c r="P40" s="15">
        <f t="shared" si="1"/>
        <v>26</v>
      </c>
      <c r="R40" s="5" t="s">
        <v>17</v>
      </c>
      <c r="S40" s="16">
        <f t="shared" ref="S40:AF40" si="32">SUM(S10:S21)</f>
        <v>61</v>
      </c>
      <c r="T40" s="16">
        <f t="shared" si="32"/>
        <v>21</v>
      </c>
      <c r="U40" s="16">
        <f t="shared" si="32"/>
        <v>128</v>
      </c>
      <c r="V40" s="16">
        <f t="shared" si="32"/>
        <v>125</v>
      </c>
      <c r="W40" s="16">
        <f t="shared" si="32"/>
        <v>2</v>
      </c>
      <c r="X40" s="16">
        <f t="shared" si="32"/>
        <v>16</v>
      </c>
      <c r="Y40" s="16">
        <f t="shared" si="32"/>
        <v>70</v>
      </c>
      <c r="Z40" s="16">
        <f t="shared" si="32"/>
        <v>13</v>
      </c>
      <c r="AA40" s="16">
        <f t="shared" si="32"/>
        <v>3</v>
      </c>
      <c r="AB40" s="16">
        <f t="shared" si="32"/>
        <v>103</v>
      </c>
      <c r="AC40" s="16">
        <f t="shared" si="32"/>
        <v>347</v>
      </c>
      <c r="AD40" s="16">
        <f t="shared" si="32"/>
        <v>0</v>
      </c>
      <c r="AE40" s="32">
        <f t="shared" si="32"/>
        <v>542</v>
      </c>
      <c r="AF40" s="32">
        <f t="shared" si="32"/>
        <v>889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1</v>
      </c>
      <c r="I41" s="50">
        <v>0</v>
      </c>
      <c r="J41" s="50">
        <v>0</v>
      </c>
      <c r="K41" s="50">
        <v>0</v>
      </c>
      <c r="L41" s="50">
        <v>1</v>
      </c>
      <c r="M41" s="50">
        <v>6</v>
      </c>
      <c r="N41" s="50">
        <v>0</v>
      </c>
      <c r="O41" s="15">
        <f t="shared" si="0"/>
        <v>3</v>
      </c>
      <c r="P41" s="15">
        <f t="shared" si="1"/>
        <v>9</v>
      </c>
      <c r="R41" s="5" t="s">
        <v>159</v>
      </c>
      <c r="S41" s="16">
        <f>SUM(S10:S33)</f>
        <v>96</v>
      </c>
      <c r="T41" s="16">
        <f t="shared" ref="T41:AF41" si="33">SUM(T10:T33)</f>
        <v>25</v>
      </c>
      <c r="U41" s="16">
        <f t="shared" si="33"/>
        <v>175</v>
      </c>
      <c r="V41" s="16">
        <f t="shared" si="33"/>
        <v>158</v>
      </c>
      <c r="W41" s="16">
        <f t="shared" si="33"/>
        <v>4</v>
      </c>
      <c r="X41" s="16">
        <f t="shared" si="33"/>
        <v>24</v>
      </c>
      <c r="Y41" s="16">
        <f t="shared" si="33"/>
        <v>139</v>
      </c>
      <c r="Z41" s="16">
        <f t="shared" si="33"/>
        <v>20</v>
      </c>
      <c r="AA41" s="16">
        <f t="shared" si="33"/>
        <v>7</v>
      </c>
      <c r="AB41" s="16">
        <f t="shared" si="33"/>
        <v>202</v>
      </c>
      <c r="AC41" s="16">
        <f t="shared" si="33"/>
        <v>426</v>
      </c>
      <c r="AD41" s="16">
        <f t="shared" si="33"/>
        <v>0</v>
      </c>
      <c r="AE41" s="32">
        <f t="shared" si="33"/>
        <v>850</v>
      </c>
      <c r="AF41" s="32">
        <f t="shared" si="33"/>
        <v>1276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1</v>
      </c>
      <c r="F42" s="50">
        <v>3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1</v>
      </c>
      <c r="M42" s="50">
        <v>4</v>
      </c>
      <c r="N42" s="50">
        <v>0</v>
      </c>
      <c r="O42" s="15">
        <f t="shared" si="0"/>
        <v>6</v>
      </c>
      <c r="P42" s="15">
        <f t="shared" si="1"/>
        <v>10</v>
      </c>
      <c r="R42" s="5" t="s">
        <v>160</v>
      </c>
      <c r="S42" s="48">
        <f>S41/S40</f>
        <v>1.5737704918032787</v>
      </c>
      <c r="T42" s="48">
        <f t="shared" ref="T42:AF42" si="34">T41/T40</f>
        <v>1.1904761904761905</v>
      </c>
      <c r="U42" s="48">
        <f t="shared" si="34"/>
        <v>1.3671875</v>
      </c>
      <c r="V42" s="48">
        <f t="shared" si="34"/>
        <v>1.264</v>
      </c>
      <c r="W42" s="48">
        <f t="shared" si="34"/>
        <v>2</v>
      </c>
      <c r="X42" s="48">
        <f t="shared" si="34"/>
        <v>1.5</v>
      </c>
      <c r="Y42" s="48">
        <f t="shared" si="34"/>
        <v>1.9857142857142858</v>
      </c>
      <c r="Z42" s="48">
        <f t="shared" si="34"/>
        <v>1.5384615384615385</v>
      </c>
      <c r="AA42" s="48">
        <f t="shared" si="34"/>
        <v>2.3333333333333335</v>
      </c>
      <c r="AB42" s="48">
        <f t="shared" si="34"/>
        <v>1.9611650485436893</v>
      </c>
      <c r="AC42" s="48">
        <f t="shared" si="34"/>
        <v>1.2276657060518732</v>
      </c>
      <c r="AD42" s="48" t="e">
        <f t="shared" si="34"/>
        <v>#DIV/0!</v>
      </c>
      <c r="AE42" s="48">
        <f t="shared" si="34"/>
        <v>1.5682656826568266</v>
      </c>
      <c r="AF42" s="48">
        <f t="shared" si="34"/>
        <v>1.4353205849268842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2</v>
      </c>
      <c r="F43" s="50">
        <v>3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1</v>
      </c>
      <c r="M43" s="50">
        <v>14</v>
      </c>
      <c r="N43" s="50">
        <v>0</v>
      </c>
      <c r="O43" s="15">
        <f t="shared" si="0"/>
        <v>8</v>
      </c>
      <c r="P43" s="15">
        <f t="shared" si="1"/>
        <v>22</v>
      </c>
    </row>
    <row r="44" spans="2:32" ht="23.1" customHeight="1" x14ac:dyDescent="0.25">
      <c r="B44" s="47" t="s">
        <v>71</v>
      </c>
      <c r="C44" s="50">
        <v>1</v>
      </c>
      <c r="D44" s="50">
        <v>2</v>
      </c>
      <c r="E44" s="50">
        <v>6</v>
      </c>
      <c r="F44" s="50">
        <v>3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2</v>
      </c>
      <c r="M44" s="50">
        <v>8</v>
      </c>
      <c r="N44" s="50">
        <v>0</v>
      </c>
      <c r="O44" s="15">
        <f t="shared" si="0"/>
        <v>17</v>
      </c>
      <c r="P44" s="15">
        <f t="shared" si="1"/>
        <v>25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1</v>
      </c>
      <c r="F45" s="50">
        <v>3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5</v>
      </c>
      <c r="N45" s="50">
        <v>0</v>
      </c>
      <c r="O45" s="15">
        <f t="shared" si="0"/>
        <v>5</v>
      </c>
      <c r="P45" s="15">
        <f t="shared" si="1"/>
        <v>10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1</v>
      </c>
      <c r="F46" s="50">
        <v>5</v>
      </c>
      <c r="G46" s="50">
        <v>0</v>
      </c>
      <c r="H46" s="50">
        <v>1</v>
      </c>
      <c r="I46" s="50">
        <v>4</v>
      </c>
      <c r="J46" s="50">
        <v>0</v>
      </c>
      <c r="K46" s="50">
        <v>0</v>
      </c>
      <c r="L46" s="50">
        <v>4</v>
      </c>
      <c r="M46" s="50">
        <v>6</v>
      </c>
      <c r="N46" s="50">
        <v>0</v>
      </c>
      <c r="O46" s="15">
        <f t="shared" si="0"/>
        <v>15</v>
      </c>
      <c r="P46" s="15">
        <f t="shared" si="1"/>
        <v>21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2</v>
      </c>
      <c r="E47" s="50">
        <v>5</v>
      </c>
      <c r="F47" s="50">
        <v>4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5</v>
      </c>
      <c r="M47" s="50">
        <v>6</v>
      </c>
      <c r="N47" s="50">
        <v>0</v>
      </c>
      <c r="O47" s="15">
        <f t="shared" si="0"/>
        <v>19</v>
      </c>
      <c r="P47" s="15">
        <f t="shared" si="1"/>
        <v>25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1</v>
      </c>
      <c r="E48" s="50">
        <v>4</v>
      </c>
      <c r="F48" s="50">
        <v>4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3</v>
      </c>
      <c r="M48" s="50">
        <v>9</v>
      </c>
      <c r="N48" s="50">
        <v>0</v>
      </c>
      <c r="O48" s="15">
        <f t="shared" si="0"/>
        <v>15</v>
      </c>
      <c r="P48" s="15">
        <f t="shared" si="1"/>
        <v>24</v>
      </c>
      <c r="R48" s="8"/>
      <c r="T48"/>
    </row>
    <row r="49" spans="2:20" ht="23.1" customHeight="1" x14ac:dyDescent="0.25">
      <c r="B49" s="45" t="s">
        <v>76</v>
      </c>
      <c r="C49" s="50">
        <v>4</v>
      </c>
      <c r="D49" s="50">
        <v>0</v>
      </c>
      <c r="E49" s="50">
        <v>1</v>
      </c>
      <c r="F49" s="50">
        <v>6</v>
      </c>
      <c r="G49" s="50">
        <v>0</v>
      </c>
      <c r="H49" s="50">
        <v>1</v>
      </c>
      <c r="I49" s="50">
        <v>1</v>
      </c>
      <c r="J49" s="50">
        <v>0</v>
      </c>
      <c r="K49" s="50">
        <v>0</v>
      </c>
      <c r="L49" s="50">
        <v>4</v>
      </c>
      <c r="M49" s="50">
        <v>13</v>
      </c>
      <c r="N49" s="50">
        <v>0</v>
      </c>
      <c r="O49" s="15">
        <f t="shared" si="0"/>
        <v>17</v>
      </c>
      <c r="P49" s="15">
        <f t="shared" si="1"/>
        <v>30</v>
      </c>
      <c r="R49" s="8"/>
      <c r="T49"/>
    </row>
    <row r="50" spans="2:20" ht="23.1" customHeight="1" x14ac:dyDescent="0.25">
      <c r="B50" s="46" t="s">
        <v>77</v>
      </c>
      <c r="C50" s="50">
        <v>4</v>
      </c>
      <c r="D50" s="50">
        <v>1</v>
      </c>
      <c r="E50" s="50">
        <v>3</v>
      </c>
      <c r="F50" s="50">
        <v>2</v>
      </c>
      <c r="G50" s="50">
        <v>0</v>
      </c>
      <c r="H50" s="50">
        <v>0</v>
      </c>
      <c r="I50" s="50">
        <v>2</v>
      </c>
      <c r="J50" s="50">
        <v>0</v>
      </c>
      <c r="K50" s="50">
        <v>1</v>
      </c>
      <c r="L50" s="50">
        <v>2</v>
      </c>
      <c r="M50" s="50">
        <v>10</v>
      </c>
      <c r="N50" s="50">
        <v>0</v>
      </c>
      <c r="O50" s="15">
        <f t="shared" si="0"/>
        <v>15</v>
      </c>
      <c r="P50" s="15">
        <f t="shared" si="1"/>
        <v>25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2</v>
      </c>
      <c r="E51" s="50">
        <v>5</v>
      </c>
      <c r="F51" s="50">
        <v>4</v>
      </c>
      <c r="G51" s="50">
        <v>0</v>
      </c>
      <c r="H51" s="50">
        <v>0</v>
      </c>
      <c r="I51" s="50">
        <v>4</v>
      </c>
      <c r="J51" s="50">
        <v>2</v>
      </c>
      <c r="K51" s="50">
        <v>0</v>
      </c>
      <c r="L51" s="50">
        <v>0</v>
      </c>
      <c r="M51" s="50">
        <v>7</v>
      </c>
      <c r="N51" s="50">
        <v>0</v>
      </c>
      <c r="O51" s="15">
        <f t="shared" si="0"/>
        <v>19</v>
      </c>
      <c r="P51" s="15">
        <f t="shared" si="1"/>
        <v>26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1</v>
      </c>
      <c r="E52" s="50">
        <v>3</v>
      </c>
      <c r="F52" s="50">
        <v>3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2</v>
      </c>
      <c r="M52" s="50">
        <v>11</v>
      </c>
      <c r="N52" s="50">
        <v>0</v>
      </c>
      <c r="O52" s="15">
        <f t="shared" si="0"/>
        <v>14</v>
      </c>
      <c r="P52" s="15">
        <f t="shared" si="1"/>
        <v>25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1</v>
      </c>
      <c r="E53" s="50">
        <v>5</v>
      </c>
      <c r="F53" s="50">
        <v>3</v>
      </c>
      <c r="G53" s="50">
        <v>0</v>
      </c>
      <c r="H53" s="50">
        <v>1</v>
      </c>
      <c r="I53" s="50">
        <v>2</v>
      </c>
      <c r="J53" s="50">
        <v>1</v>
      </c>
      <c r="K53" s="50">
        <v>0</v>
      </c>
      <c r="L53" s="50">
        <v>2</v>
      </c>
      <c r="M53" s="50">
        <v>6</v>
      </c>
      <c r="N53" s="50">
        <v>0</v>
      </c>
      <c r="O53" s="15">
        <f t="shared" si="0"/>
        <v>15</v>
      </c>
      <c r="P53" s="15">
        <f t="shared" si="1"/>
        <v>21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1</v>
      </c>
      <c r="E54" s="50">
        <v>3</v>
      </c>
      <c r="F54" s="50">
        <v>3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1</v>
      </c>
      <c r="M54" s="50">
        <v>9</v>
      </c>
      <c r="N54" s="50">
        <v>0</v>
      </c>
      <c r="O54" s="15">
        <f t="shared" si="0"/>
        <v>8</v>
      </c>
      <c r="P54" s="15">
        <f t="shared" si="1"/>
        <v>17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3</v>
      </c>
      <c r="F55" s="50">
        <v>0</v>
      </c>
      <c r="G55" s="50">
        <v>1</v>
      </c>
      <c r="H55" s="50">
        <v>0</v>
      </c>
      <c r="I55" s="50">
        <v>3</v>
      </c>
      <c r="J55" s="50">
        <v>0</v>
      </c>
      <c r="K55" s="50">
        <v>0</v>
      </c>
      <c r="L55" s="50">
        <v>1</v>
      </c>
      <c r="M55" s="50">
        <v>8</v>
      </c>
      <c r="N55" s="50">
        <v>0</v>
      </c>
      <c r="O55" s="15">
        <f t="shared" si="0"/>
        <v>8</v>
      </c>
      <c r="P55" s="15">
        <f t="shared" si="1"/>
        <v>16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1</v>
      </c>
      <c r="E56" s="50">
        <v>3</v>
      </c>
      <c r="F56" s="50">
        <v>2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1</v>
      </c>
      <c r="M56" s="50">
        <v>13</v>
      </c>
      <c r="N56" s="50">
        <v>0</v>
      </c>
      <c r="O56" s="15">
        <f t="shared" si="0"/>
        <v>10</v>
      </c>
      <c r="P56" s="15">
        <f t="shared" si="1"/>
        <v>23</v>
      </c>
      <c r="R56" s="8"/>
      <c r="T56"/>
    </row>
    <row r="57" spans="2:20" ht="23.1" customHeight="1" x14ac:dyDescent="0.25">
      <c r="B57" s="45" t="s">
        <v>84</v>
      </c>
      <c r="C57" s="50">
        <v>3</v>
      </c>
      <c r="D57" s="50">
        <v>1</v>
      </c>
      <c r="E57" s="50">
        <v>3</v>
      </c>
      <c r="F57" s="50">
        <v>2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v>2</v>
      </c>
      <c r="M57" s="50">
        <v>10</v>
      </c>
      <c r="N57" s="50">
        <v>0</v>
      </c>
      <c r="O57" s="15">
        <f t="shared" si="0"/>
        <v>12</v>
      </c>
      <c r="P57" s="15">
        <f t="shared" si="1"/>
        <v>22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1</v>
      </c>
      <c r="E58" s="50">
        <v>3</v>
      </c>
      <c r="F58" s="50">
        <v>2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2</v>
      </c>
      <c r="M58" s="50">
        <v>10</v>
      </c>
      <c r="N58" s="50">
        <v>0</v>
      </c>
      <c r="O58" s="15">
        <f t="shared" ref="O58:O105" si="35">SUM(C58:L58,N58)</f>
        <v>9</v>
      </c>
      <c r="P58" s="15">
        <f t="shared" ref="P58:P105" si="36">SUM(C58:N58)</f>
        <v>19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3</v>
      </c>
      <c r="F59" s="50">
        <v>3</v>
      </c>
      <c r="G59" s="50">
        <v>0</v>
      </c>
      <c r="H59" s="50">
        <v>0</v>
      </c>
      <c r="I59" s="50">
        <v>2</v>
      </c>
      <c r="J59" s="50">
        <v>0</v>
      </c>
      <c r="K59" s="50">
        <v>0</v>
      </c>
      <c r="L59" s="50">
        <v>5</v>
      </c>
      <c r="M59" s="50">
        <v>9</v>
      </c>
      <c r="N59" s="50">
        <v>0</v>
      </c>
      <c r="O59" s="15">
        <f t="shared" si="35"/>
        <v>14</v>
      </c>
      <c r="P59" s="15">
        <f t="shared" si="36"/>
        <v>23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2</v>
      </c>
      <c r="F60" s="50">
        <v>1</v>
      </c>
      <c r="G60" s="50">
        <v>0</v>
      </c>
      <c r="H60" s="50">
        <v>0</v>
      </c>
      <c r="I60" s="50">
        <v>3</v>
      </c>
      <c r="J60" s="50">
        <v>0</v>
      </c>
      <c r="K60" s="50">
        <v>0</v>
      </c>
      <c r="L60" s="50">
        <v>6</v>
      </c>
      <c r="M60" s="50">
        <v>8</v>
      </c>
      <c r="N60" s="50">
        <v>0</v>
      </c>
      <c r="O60" s="15">
        <f t="shared" si="35"/>
        <v>12</v>
      </c>
      <c r="P60" s="15">
        <f t="shared" si="36"/>
        <v>20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3</v>
      </c>
      <c r="F61" s="50">
        <v>2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2</v>
      </c>
      <c r="M61" s="50">
        <v>6</v>
      </c>
      <c r="N61" s="50">
        <v>0</v>
      </c>
      <c r="O61" s="15">
        <f t="shared" si="35"/>
        <v>9</v>
      </c>
      <c r="P61" s="15">
        <f t="shared" si="36"/>
        <v>15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0</v>
      </c>
      <c r="E62" s="50">
        <v>2</v>
      </c>
      <c r="F62" s="50">
        <v>1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3</v>
      </c>
      <c r="M62" s="50">
        <v>8</v>
      </c>
      <c r="N62" s="50">
        <v>0</v>
      </c>
      <c r="O62" s="15">
        <f t="shared" si="35"/>
        <v>10</v>
      </c>
      <c r="P62" s="15">
        <f t="shared" si="36"/>
        <v>18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1</v>
      </c>
      <c r="E63" s="50">
        <v>3</v>
      </c>
      <c r="F63" s="50">
        <v>2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4</v>
      </c>
      <c r="M63" s="50">
        <v>4</v>
      </c>
      <c r="N63" s="50">
        <v>0</v>
      </c>
      <c r="O63" s="15">
        <f t="shared" si="35"/>
        <v>12</v>
      </c>
      <c r="P63" s="15">
        <f t="shared" si="36"/>
        <v>16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1</v>
      </c>
      <c r="E64" s="50">
        <v>3</v>
      </c>
      <c r="F64" s="50">
        <v>3</v>
      </c>
      <c r="G64" s="50">
        <v>0</v>
      </c>
      <c r="H64" s="50">
        <v>0</v>
      </c>
      <c r="I64" s="50">
        <v>3</v>
      </c>
      <c r="J64" s="50">
        <v>0</v>
      </c>
      <c r="K64" s="50">
        <v>0</v>
      </c>
      <c r="L64" s="50">
        <v>3</v>
      </c>
      <c r="M64" s="50">
        <v>5</v>
      </c>
      <c r="N64" s="50">
        <v>0</v>
      </c>
      <c r="O64" s="15">
        <f t="shared" si="35"/>
        <v>14</v>
      </c>
      <c r="P64" s="15">
        <f t="shared" si="36"/>
        <v>19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1</v>
      </c>
      <c r="F65" s="50">
        <v>2</v>
      </c>
      <c r="G65" s="50">
        <v>0</v>
      </c>
      <c r="H65" s="50">
        <v>2</v>
      </c>
      <c r="I65" s="50">
        <v>3</v>
      </c>
      <c r="J65" s="50">
        <v>0</v>
      </c>
      <c r="K65" s="50">
        <v>0</v>
      </c>
      <c r="L65" s="50">
        <v>3</v>
      </c>
      <c r="M65" s="50">
        <v>4</v>
      </c>
      <c r="N65" s="50">
        <v>0</v>
      </c>
      <c r="O65" s="15">
        <f t="shared" si="35"/>
        <v>11</v>
      </c>
      <c r="P65" s="15">
        <f t="shared" si="36"/>
        <v>15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3</v>
      </c>
      <c r="F66" s="50">
        <v>0</v>
      </c>
      <c r="G66" s="50">
        <v>0</v>
      </c>
      <c r="H66" s="50">
        <v>0</v>
      </c>
      <c r="I66" s="50">
        <v>2</v>
      </c>
      <c r="J66" s="50">
        <v>1</v>
      </c>
      <c r="K66" s="50">
        <v>0</v>
      </c>
      <c r="L66" s="50">
        <v>4</v>
      </c>
      <c r="M66" s="50">
        <v>1</v>
      </c>
      <c r="N66" s="50">
        <v>0</v>
      </c>
      <c r="O66" s="15">
        <f t="shared" si="35"/>
        <v>11</v>
      </c>
      <c r="P66" s="15">
        <f t="shared" si="36"/>
        <v>12</v>
      </c>
      <c r="R66" s="8"/>
      <c r="T66"/>
    </row>
    <row r="67" spans="2:20" ht="23.1" customHeight="1" x14ac:dyDescent="0.25">
      <c r="B67" s="45" t="s">
        <v>104</v>
      </c>
      <c r="C67" s="50">
        <v>4</v>
      </c>
      <c r="D67" s="50">
        <v>0</v>
      </c>
      <c r="E67" s="50">
        <v>1</v>
      </c>
      <c r="F67" s="50">
        <v>1</v>
      </c>
      <c r="G67" s="50">
        <v>0</v>
      </c>
      <c r="H67" s="50">
        <v>0</v>
      </c>
      <c r="I67" s="50">
        <v>3</v>
      </c>
      <c r="J67" s="50">
        <v>0</v>
      </c>
      <c r="K67" s="50">
        <v>0</v>
      </c>
      <c r="L67" s="50">
        <v>1</v>
      </c>
      <c r="M67" s="50">
        <v>2</v>
      </c>
      <c r="N67" s="50">
        <v>0</v>
      </c>
      <c r="O67" s="15">
        <f t="shared" si="35"/>
        <v>10</v>
      </c>
      <c r="P67" s="15">
        <f t="shared" si="36"/>
        <v>12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1</v>
      </c>
      <c r="E68" s="50">
        <v>3</v>
      </c>
      <c r="F68" s="50">
        <v>3</v>
      </c>
      <c r="G68" s="50">
        <v>0</v>
      </c>
      <c r="H68" s="50">
        <v>0</v>
      </c>
      <c r="I68" s="50">
        <v>3</v>
      </c>
      <c r="J68" s="50">
        <v>0</v>
      </c>
      <c r="K68" s="50">
        <v>0</v>
      </c>
      <c r="L68" s="50">
        <v>2</v>
      </c>
      <c r="M68" s="50">
        <v>1</v>
      </c>
      <c r="N68" s="50">
        <v>0</v>
      </c>
      <c r="O68" s="15">
        <f t="shared" si="35"/>
        <v>13</v>
      </c>
      <c r="P68" s="15">
        <f t="shared" si="36"/>
        <v>14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1</v>
      </c>
      <c r="F69" s="50">
        <v>0</v>
      </c>
      <c r="G69" s="50">
        <v>0</v>
      </c>
      <c r="H69" s="50">
        <v>1</v>
      </c>
      <c r="I69" s="50">
        <v>4</v>
      </c>
      <c r="J69" s="50">
        <v>0</v>
      </c>
      <c r="K69" s="50">
        <v>0</v>
      </c>
      <c r="L69" s="50">
        <v>4</v>
      </c>
      <c r="M69" s="50">
        <v>1</v>
      </c>
      <c r="N69" s="50">
        <v>0</v>
      </c>
      <c r="O69" s="15">
        <f t="shared" si="35"/>
        <v>11</v>
      </c>
      <c r="P69" s="15">
        <f t="shared" si="36"/>
        <v>12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1</v>
      </c>
      <c r="F70" s="50">
        <v>0</v>
      </c>
      <c r="G70" s="50">
        <v>0</v>
      </c>
      <c r="H70" s="50">
        <v>1</v>
      </c>
      <c r="I70" s="50">
        <v>2</v>
      </c>
      <c r="J70" s="50">
        <v>0</v>
      </c>
      <c r="K70" s="50">
        <v>0</v>
      </c>
      <c r="L70" s="50">
        <v>1</v>
      </c>
      <c r="M70" s="50">
        <v>5</v>
      </c>
      <c r="N70" s="50">
        <v>0</v>
      </c>
      <c r="O70" s="15">
        <f t="shared" si="35"/>
        <v>7</v>
      </c>
      <c r="P70" s="15">
        <f t="shared" si="36"/>
        <v>12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1</v>
      </c>
      <c r="M71" s="50">
        <v>1</v>
      </c>
      <c r="N71" s="50">
        <v>0</v>
      </c>
      <c r="O71" s="15">
        <f t="shared" si="35"/>
        <v>2</v>
      </c>
      <c r="P71" s="15">
        <f t="shared" si="36"/>
        <v>3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2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4</v>
      </c>
      <c r="M72" s="50">
        <v>1</v>
      </c>
      <c r="N72" s="50">
        <v>0</v>
      </c>
      <c r="O72" s="15">
        <f t="shared" si="35"/>
        <v>8</v>
      </c>
      <c r="P72" s="15">
        <f t="shared" si="36"/>
        <v>9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2</v>
      </c>
      <c r="F73" s="50">
        <v>1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2</v>
      </c>
      <c r="M73" s="50">
        <v>2</v>
      </c>
      <c r="N73" s="50">
        <v>0</v>
      </c>
      <c r="O73" s="15">
        <f t="shared" si="35"/>
        <v>7</v>
      </c>
      <c r="P73" s="15">
        <f t="shared" si="36"/>
        <v>9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2</v>
      </c>
      <c r="F74" s="50">
        <v>1</v>
      </c>
      <c r="G74" s="50">
        <v>0</v>
      </c>
      <c r="H74" s="50">
        <v>0</v>
      </c>
      <c r="I74" s="50">
        <v>1</v>
      </c>
      <c r="J74" s="50">
        <v>1</v>
      </c>
      <c r="K74" s="50">
        <v>0</v>
      </c>
      <c r="L74" s="50">
        <v>1</v>
      </c>
      <c r="M74" s="50">
        <v>2</v>
      </c>
      <c r="N74" s="50">
        <v>0</v>
      </c>
      <c r="O74" s="15">
        <f t="shared" si="35"/>
        <v>6</v>
      </c>
      <c r="P74" s="15">
        <f t="shared" si="36"/>
        <v>8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5</v>
      </c>
      <c r="P75" s="15">
        <f t="shared" si="36"/>
        <v>6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1</v>
      </c>
      <c r="K76" s="50">
        <v>0</v>
      </c>
      <c r="L76" s="50">
        <v>1</v>
      </c>
      <c r="M76" s="50">
        <v>0</v>
      </c>
      <c r="N76" s="50">
        <v>0</v>
      </c>
      <c r="O76" s="15">
        <f t="shared" si="35"/>
        <v>5</v>
      </c>
      <c r="P76" s="15">
        <f t="shared" si="36"/>
        <v>5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1</v>
      </c>
      <c r="F77" s="50">
        <v>0</v>
      </c>
      <c r="G77" s="50">
        <v>0</v>
      </c>
      <c r="H77" s="50">
        <v>0</v>
      </c>
      <c r="I77" s="50">
        <v>3</v>
      </c>
      <c r="J77" s="50">
        <v>1</v>
      </c>
      <c r="K77" s="50">
        <v>0</v>
      </c>
      <c r="L77" s="50">
        <v>2</v>
      </c>
      <c r="M77" s="50">
        <v>2</v>
      </c>
      <c r="N77" s="50">
        <v>0</v>
      </c>
      <c r="O77" s="15">
        <f t="shared" si="35"/>
        <v>9</v>
      </c>
      <c r="P77" s="15">
        <f t="shared" si="36"/>
        <v>11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1</v>
      </c>
      <c r="I78" s="50">
        <v>3</v>
      </c>
      <c r="J78" s="50">
        <v>0</v>
      </c>
      <c r="K78" s="50">
        <v>2</v>
      </c>
      <c r="L78" s="50">
        <v>2</v>
      </c>
      <c r="M78" s="50">
        <v>0</v>
      </c>
      <c r="N78" s="50">
        <v>0</v>
      </c>
      <c r="O78" s="15">
        <f t="shared" si="35"/>
        <v>8</v>
      </c>
      <c r="P78" s="15">
        <f t="shared" si="36"/>
        <v>8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3</v>
      </c>
      <c r="J79" s="50">
        <v>0</v>
      </c>
      <c r="K79" s="50">
        <v>0</v>
      </c>
      <c r="L79" s="50">
        <v>6</v>
      </c>
      <c r="M79" s="50">
        <v>0</v>
      </c>
      <c r="N79" s="50">
        <v>0</v>
      </c>
      <c r="O79" s="15">
        <f t="shared" si="35"/>
        <v>9</v>
      </c>
      <c r="P79" s="15">
        <f t="shared" si="36"/>
        <v>9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2</v>
      </c>
      <c r="F80" s="50">
        <v>0</v>
      </c>
      <c r="G80" s="50">
        <v>0</v>
      </c>
      <c r="H80" s="50">
        <v>0</v>
      </c>
      <c r="I80" s="50">
        <v>1</v>
      </c>
      <c r="J80" s="50">
        <v>1</v>
      </c>
      <c r="K80" s="50">
        <v>0</v>
      </c>
      <c r="L80" s="50">
        <v>4</v>
      </c>
      <c r="M80" s="50">
        <v>1</v>
      </c>
      <c r="N80" s="50">
        <v>0</v>
      </c>
      <c r="O80" s="15">
        <f t="shared" si="35"/>
        <v>8</v>
      </c>
      <c r="P80" s="15">
        <f t="shared" si="36"/>
        <v>9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4</v>
      </c>
      <c r="J81" s="50">
        <v>0</v>
      </c>
      <c r="K81" s="50">
        <v>0</v>
      </c>
      <c r="L81" s="50">
        <v>2</v>
      </c>
      <c r="M81" s="50">
        <v>2</v>
      </c>
      <c r="N81" s="50">
        <v>0</v>
      </c>
      <c r="O81" s="15">
        <f t="shared" si="35"/>
        <v>6</v>
      </c>
      <c r="P81" s="15">
        <f t="shared" si="36"/>
        <v>8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1</v>
      </c>
      <c r="G82" s="50">
        <v>1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2</v>
      </c>
      <c r="J83" s="50">
        <v>1</v>
      </c>
      <c r="K83" s="50">
        <v>0</v>
      </c>
      <c r="L83" s="50">
        <v>1</v>
      </c>
      <c r="M83" s="50">
        <v>0</v>
      </c>
      <c r="N83" s="50">
        <v>0</v>
      </c>
      <c r="O83" s="15">
        <f t="shared" si="35"/>
        <v>5</v>
      </c>
      <c r="P83" s="15">
        <f t="shared" si="36"/>
        <v>5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1</v>
      </c>
      <c r="M84" s="50">
        <v>0</v>
      </c>
      <c r="N84" s="50"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2</v>
      </c>
      <c r="J86" s="50">
        <v>0</v>
      </c>
      <c r="K86" s="50">
        <v>1</v>
      </c>
      <c r="L86" s="50">
        <v>2</v>
      </c>
      <c r="M86" s="50">
        <v>0</v>
      </c>
      <c r="N86" s="50">
        <v>0</v>
      </c>
      <c r="O86" s="15">
        <f t="shared" si="35"/>
        <v>5</v>
      </c>
      <c r="P86" s="15">
        <f t="shared" si="36"/>
        <v>5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3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3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1</v>
      </c>
      <c r="M89" s="50">
        <v>0</v>
      </c>
      <c r="N89" s="50"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2</v>
      </c>
      <c r="J90" s="50">
        <v>0</v>
      </c>
      <c r="K90" s="50">
        <v>0</v>
      </c>
      <c r="L90" s="50">
        <v>3</v>
      </c>
      <c r="M90" s="50">
        <v>0</v>
      </c>
      <c r="N90" s="50">
        <v>0</v>
      </c>
      <c r="O90" s="15">
        <f t="shared" si="35"/>
        <v>6</v>
      </c>
      <c r="P90" s="15">
        <f t="shared" si="36"/>
        <v>6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6</v>
      </c>
      <c r="M91" s="50">
        <v>0</v>
      </c>
      <c r="N91" s="50">
        <v>0</v>
      </c>
      <c r="O91" s="15">
        <f t="shared" si="35"/>
        <v>9</v>
      </c>
      <c r="P91" s="15">
        <f t="shared" si="36"/>
        <v>9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2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2</v>
      </c>
      <c r="M93" s="50">
        <v>0</v>
      </c>
      <c r="N93" s="50">
        <v>0</v>
      </c>
      <c r="O93" s="15">
        <f t="shared" si="35"/>
        <v>6</v>
      </c>
      <c r="P93" s="15">
        <f t="shared" si="36"/>
        <v>6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1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3</v>
      </c>
      <c r="M97" s="50">
        <v>0</v>
      </c>
      <c r="N97" s="50">
        <v>0</v>
      </c>
      <c r="O97" s="15">
        <f t="shared" si="35"/>
        <v>3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1</v>
      </c>
      <c r="G99" s="50">
        <v>0</v>
      </c>
      <c r="H99" s="50">
        <v>1</v>
      </c>
      <c r="I99" s="50">
        <v>0</v>
      </c>
      <c r="J99" s="50">
        <v>0</v>
      </c>
      <c r="K99" s="50">
        <v>0</v>
      </c>
      <c r="L99" s="50">
        <v>2</v>
      </c>
      <c r="M99" s="50">
        <v>0</v>
      </c>
      <c r="N99" s="50">
        <v>0</v>
      </c>
      <c r="O99" s="15">
        <f t="shared" si="35"/>
        <v>4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2</v>
      </c>
      <c r="J100" s="50">
        <v>0</v>
      </c>
      <c r="K100" s="50">
        <v>1</v>
      </c>
      <c r="L100" s="50">
        <v>0</v>
      </c>
      <c r="M100" s="50">
        <v>0</v>
      </c>
      <c r="N100" s="50">
        <v>0</v>
      </c>
      <c r="O100" s="15">
        <f t="shared" si="35"/>
        <v>4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2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4</v>
      </c>
      <c r="M101" s="50">
        <v>0</v>
      </c>
      <c r="N101" s="50">
        <v>0</v>
      </c>
      <c r="O101" s="15">
        <f t="shared" si="35"/>
        <v>7</v>
      </c>
      <c r="P101" s="15">
        <f t="shared" si="36"/>
        <v>7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6</v>
      </c>
      <c r="M102" s="50">
        <v>0</v>
      </c>
      <c r="N102" s="50">
        <v>0</v>
      </c>
      <c r="O102" s="15">
        <f t="shared" si="35"/>
        <v>7</v>
      </c>
      <c r="P102" s="15">
        <f t="shared" si="36"/>
        <v>7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0</v>
      </c>
      <c r="F103" s="50">
        <v>2</v>
      </c>
      <c r="G103" s="50">
        <v>1</v>
      </c>
      <c r="H103" s="50">
        <v>2</v>
      </c>
      <c r="I103" s="50">
        <v>3</v>
      </c>
      <c r="J103" s="50">
        <v>0</v>
      </c>
      <c r="K103" s="50">
        <v>0</v>
      </c>
      <c r="L103" s="50">
        <v>0</v>
      </c>
      <c r="M103" s="50">
        <v>1</v>
      </c>
      <c r="N103" s="50">
        <v>0</v>
      </c>
      <c r="O103" s="15">
        <f t="shared" si="35"/>
        <v>10</v>
      </c>
      <c r="P103" s="15">
        <f t="shared" si="36"/>
        <v>11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2</v>
      </c>
      <c r="F104" s="50">
        <v>1</v>
      </c>
      <c r="G104" s="50">
        <v>0</v>
      </c>
      <c r="H104" s="50">
        <v>0</v>
      </c>
      <c r="I104" s="50">
        <v>4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8</v>
      </c>
      <c r="P104" s="15">
        <f t="shared" si="36"/>
        <v>8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2</v>
      </c>
      <c r="M105" s="50">
        <v>2</v>
      </c>
      <c r="N105" s="50">
        <v>0</v>
      </c>
      <c r="O105" s="15">
        <f t="shared" si="35"/>
        <v>2</v>
      </c>
      <c r="P105" s="15">
        <f t="shared" si="36"/>
        <v>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96</v>
      </c>
      <c r="D106" s="16">
        <f t="shared" ref="D106:P106" si="37">SUM(D10:D105)</f>
        <v>25</v>
      </c>
      <c r="E106" s="16">
        <f t="shared" si="37"/>
        <v>175</v>
      </c>
      <c r="F106" s="16">
        <f t="shared" si="37"/>
        <v>158</v>
      </c>
      <c r="G106" s="16">
        <f t="shared" si="37"/>
        <v>4</v>
      </c>
      <c r="H106" s="16">
        <f t="shared" si="37"/>
        <v>24</v>
      </c>
      <c r="I106" s="16">
        <f t="shared" si="37"/>
        <v>139</v>
      </c>
      <c r="J106" s="16">
        <f t="shared" si="37"/>
        <v>20</v>
      </c>
      <c r="K106" s="16">
        <f t="shared" si="37"/>
        <v>7</v>
      </c>
      <c r="L106" s="16">
        <f t="shared" si="37"/>
        <v>202</v>
      </c>
      <c r="M106" s="16">
        <f t="shared" si="37"/>
        <v>426</v>
      </c>
      <c r="N106" s="16">
        <f t="shared" si="37"/>
        <v>0</v>
      </c>
      <c r="O106" s="16">
        <f t="shared" si="37"/>
        <v>850</v>
      </c>
      <c r="P106" s="16">
        <f t="shared" si="37"/>
        <v>1276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7.5235109717868343E-2</v>
      </c>
      <c r="D107" s="43">
        <f t="shared" si="38"/>
        <v>1.9592476489028215E-2</v>
      </c>
      <c r="E107" s="43">
        <f t="shared" si="38"/>
        <v>0.13714733542319749</v>
      </c>
      <c r="F107" s="43">
        <f t="shared" si="38"/>
        <v>0.1238244514106583</v>
      </c>
      <c r="G107" s="43">
        <f t="shared" si="38"/>
        <v>3.134796238244514E-3</v>
      </c>
      <c r="H107" s="43">
        <f t="shared" si="38"/>
        <v>1.8808777429467086E-2</v>
      </c>
      <c r="I107" s="43">
        <f t="shared" si="38"/>
        <v>0.10893416927899686</v>
      </c>
      <c r="J107" s="43">
        <f t="shared" si="38"/>
        <v>1.5673981191222569E-2</v>
      </c>
      <c r="K107" s="43">
        <f t="shared" si="38"/>
        <v>5.4858934169278997E-3</v>
      </c>
      <c r="L107" s="43">
        <f t="shared" si="38"/>
        <v>0.15830721003134796</v>
      </c>
      <c r="M107" s="43">
        <f t="shared" si="38"/>
        <v>0.33385579937304077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0.11294117647058824</v>
      </c>
      <c r="D108" s="44">
        <f t="shared" ref="D108:N108" si="39">D106/$O$106</f>
        <v>2.9411764705882353E-2</v>
      </c>
      <c r="E108" s="44">
        <f t="shared" si="39"/>
        <v>0.20588235294117646</v>
      </c>
      <c r="F108" s="44">
        <f t="shared" si="39"/>
        <v>0.18588235294117647</v>
      </c>
      <c r="G108" s="44">
        <f t="shared" si="39"/>
        <v>4.7058823529411761E-3</v>
      </c>
      <c r="H108" s="44">
        <f t="shared" si="39"/>
        <v>2.823529411764706E-2</v>
      </c>
      <c r="I108" s="44">
        <f t="shared" si="39"/>
        <v>0.1635294117647059</v>
      </c>
      <c r="J108" s="44">
        <f t="shared" si="39"/>
        <v>2.3529411764705882E-2</v>
      </c>
      <c r="K108" s="44">
        <f t="shared" si="39"/>
        <v>8.2352941176470594E-3</v>
      </c>
      <c r="L108" s="44">
        <f t="shared" si="39"/>
        <v>0.23764705882352941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B1:AF174"/>
  <sheetViews>
    <sheetView view="pageBreakPreview" topLeftCell="A37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Kumi-Soroti'!C3:G3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'09.08 Kumi-Soroti-24h'!D5</f>
        <v>09.08.19</v>
      </c>
      <c r="E5" s="3"/>
      <c r="F5" s="41" t="s">
        <v>1</v>
      </c>
      <c r="G5" s="66" t="str">
        <f>'09.08 Kumi-Soroti-24h'!G5:H5</f>
        <v>Mukura</v>
      </c>
      <c r="H5" s="67"/>
      <c r="I5" s="14"/>
      <c r="J5" s="2" t="s">
        <v>5</v>
      </c>
      <c r="K5" s="66" t="str">
        <f>'09.08 Kumi-Soroti-24h'!K5:L5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Soroti-Kumi'!D6:E6</f>
        <v>Soroti</v>
      </c>
      <c r="E6" s="67"/>
      <c r="F6" s="2" t="s">
        <v>2</v>
      </c>
      <c r="G6" s="66" t="str">
        <f>'11.08 Soroti-Kumi'!G6:H6</f>
        <v>Kumi</v>
      </c>
      <c r="H6" s="67"/>
      <c r="J6" s="2" t="s">
        <v>21</v>
      </c>
      <c r="K6" s="66" t="str">
        <f>'09.08 Kumi-Soroti-24h'!K6:L6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73" si="0">SUM(C10:L10,N10)</f>
        <v>3</v>
      </c>
      <c r="P10" s="15">
        <f t="shared" ref="P10:P73" si="1">SUM(C10:N10)</f>
        <v>7</v>
      </c>
      <c r="R10" s="1" t="s">
        <v>6</v>
      </c>
      <c r="S10" s="17">
        <f t="shared" ref="S10:AF10" si="2">SUM(C10:C13)</f>
        <v>7</v>
      </c>
      <c r="T10" s="17">
        <f t="shared" si="2"/>
        <v>2</v>
      </c>
      <c r="U10" s="17">
        <f t="shared" si="2"/>
        <v>5</v>
      </c>
      <c r="V10" s="17">
        <f t="shared" si="2"/>
        <v>3</v>
      </c>
      <c r="W10" s="17">
        <f t="shared" si="2"/>
        <v>1</v>
      </c>
      <c r="X10" s="17">
        <f t="shared" si="2"/>
        <v>0</v>
      </c>
      <c r="Y10" s="17">
        <f t="shared" si="2"/>
        <v>6</v>
      </c>
      <c r="Z10" s="17">
        <f t="shared" si="2"/>
        <v>2</v>
      </c>
      <c r="AA10" s="17">
        <f t="shared" si="2"/>
        <v>0</v>
      </c>
      <c r="AB10" s="17">
        <f t="shared" si="2"/>
        <v>5</v>
      </c>
      <c r="AC10" s="17">
        <f t="shared" si="2"/>
        <v>23</v>
      </c>
      <c r="AD10" s="17">
        <f t="shared" si="2"/>
        <v>0</v>
      </c>
      <c r="AE10" s="31">
        <f t="shared" si="2"/>
        <v>31</v>
      </c>
      <c r="AF10" s="31">
        <f t="shared" si="2"/>
        <v>54</v>
      </c>
    </row>
    <row r="11" spans="2:32" s="6" customFormat="1" ht="23.1" customHeight="1" x14ac:dyDescent="0.25">
      <c r="B11" s="45" t="s">
        <v>38</v>
      </c>
      <c r="C11" s="50">
        <v>4</v>
      </c>
      <c r="D11" s="50">
        <v>1</v>
      </c>
      <c r="E11" s="50">
        <v>1</v>
      </c>
      <c r="F11" s="50">
        <v>1</v>
      </c>
      <c r="G11" s="50">
        <v>0</v>
      </c>
      <c r="H11" s="50">
        <v>0</v>
      </c>
      <c r="I11" s="50">
        <v>3</v>
      </c>
      <c r="J11" s="50">
        <v>1</v>
      </c>
      <c r="K11" s="50">
        <v>0</v>
      </c>
      <c r="L11" s="50">
        <v>2</v>
      </c>
      <c r="M11" s="50">
        <v>13</v>
      </c>
      <c r="N11" s="50">
        <v>0</v>
      </c>
      <c r="O11" s="15">
        <f t="shared" si="0"/>
        <v>13</v>
      </c>
      <c r="P11" s="15">
        <f t="shared" si="1"/>
        <v>26</v>
      </c>
      <c r="R11" s="1" t="s">
        <v>7</v>
      </c>
      <c r="S11" s="17">
        <f t="shared" ref="S11:AF11" si="3">SUM(C14:C17)</f>
        <v>1</v>
      </c>
      <c r="T11" s="17">
        <f t="shared" si="3"/>
        <v>4</v>
      </c>
      <c r="U11" s="17">
        <f t="shared" si="3"/>
        <v>5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15</v>
      </c>
      <c r="AC11" s="17">
        <f t="shared" si="3"/>
        <v>10</v>
      </c>
      <c r="AD11" s="17">
        <f t="shared" si="3"/>
        <v>0</v>
      </c>
      <c r="AE11" s="31">
        <f t="shared" si="3"/>
        <v>28</v>
      </c>
      <c r="AF11" s="31">
        <f t="shared" si="3"/>
        <v>38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1</v>
      </c>
      <c r="M12" s="50">
        <v>2</v>
      </c>
      <c r="N12" s="50">
        <v>0</v>
      </c>
      <c r="O12" s="15">
        <f t="shared" si="0"/>
        <v>5</v>
      </c>
      <c r="P12" s="15">
        <f t="shared" si="1"/>
        <v>7</v>
      </c>
      <c r="R12" s="1" t="s">
        <v>8</v>
      </c>
      <c r="S12" s="17">
        <f t="shared" ref="S12:AF12" si="4">SUM(C18:C21)</f>
        <v>10</v>
      </c>
      <c r="T12" s="17">
        <f t="shared" si="4"/>
        <v>3</v>
      </c>
      <c r="U12" s="17">
        <f t="shared" si="4"/>
        <v>5</v>
      </c>
      <c r="V12" s="17">
        <f t="shared" si="4"/>
        <v>5</v>
      </c>
      <c r="W12" s="17">
        <f t="shared" si="4"/>
        <v>0</v>
      </c>
      <c r="X12" s="17">
        <f t="shared" si="4"/>
        <v>2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19</v>
      </c>
      <c r="AD12" s="17">
        <f t="shared" si="4"/>
        <v>0</v>
      </c>
      <c r="AE12" s="31">
        <f t="shared" si="4"/>
        <v>29</v>
      </c>
      <c r="AF12" s="31">
        <f t="shared" si="4"/>
        <v>48</v>
      </c>
    </row>
    <row r="13" spans="2:32" ht="23.1" customHeight="1" x14ac:dyDescent="0.25">
      <c r="B13" s="45" t="s">
        <v>40</v>
      </c>
      <c r="C13" s="50">
        <v>1</v>
      </c>
      <c r="D13" s="50">
        <v>1</v>
      </c>
      <c r="E13" s="50">
        <v>2</v>
      </c>
      <c r="F13" s="50">
        <v>2</v>
      </c>
      <c r="G13" s="50">
        <v>1</v>
      </c>
      <c r="H13" s="50">
        <v>0</v>
      </c>
      <c r="I13" s="50">
        <v>1</v>
      </c>
      <c r="J13" s="50">
        <v>0</v>
      </c>
      <c r="K13" s="50">
        <v>0</v>
      </c>
      <c r="L13" s="50">
        <v>2</v>
      </c>
      <c r="M13" s="50">
        <v>4</v>
      </c>
      <c r="N13" s="50">
        <v>0</v>
      </c>
      <c r="O13" s="15">
        <f t="shared" si="0"/>
        <v>10</v>
      </c>
      <c r="P13" s="15">
        <f t="shared" si="1"/>
        <v>14</v>
      </c>
      <c r="R13" s="1" t="s">
        <v>9</v>
      </c>
      <c r="S13" s="17">
        <f t="shared" ref="S13:AF13" si="5">SUM(C22:C25)</f>
        <v>6</v>
      </c>
      <c r="T13" s="17">
        <f t="shared" si="5"/>
        <v>7</v>
      </c>
      <c r="U13" s="17">
        <f t="shared" si="5"/>
        <v>8</v>
      </c>
      <c r="V13" s="17">
        <f t="shared" si="5"/>
        <v>7</v>
      </c>
      <c r="W13" s="17">
        <f t="shared" si="5"/>
        <v>0</v>
      </c>
      <c r="X13" s="17">
        <f t="shared" si="5"/>
        <v>4</v>
      </c>
      <c r="Y13" s="17">
        <f t="shared" si="5"/>
        <v>5</v>
      </c>
      <c r="Z13" s="17">
        <f t="shared" si="5"/>
        <v>0</v>
      </c>
      <c r="AA13" s="17">
        <f t="shared" si="5"/>
        <v>0</v>
      </c>
      <c r="AB13" s="17">
        <f t="shared" si="5"/>
        <v>6</v>
      </c>
      <c r="AC13" s="17">
        <f t="shared" si="5"/>
        <v>23</v>
      </c>
      <c r="AD13" s="17">
        <f t="shared" si="5"/>
        <v>0</v>
      </c>
      <c r="AE13" s="31">
        <f t="shared" si="5"/>
        <v>43</v>
      </c>
      <c r="AF13" s="31">
        <f t="shared" si="5"/>
        <v>66</v>
      </c>
    </row>
    <row r="14" spans="2:32" ht="23.1" customHeight="1" x14ac:dyDescent="0.25">
      <c r="B14" s="45" t="s">
        <v>41</v>
      </c>
      <c r="C14" s="50">
        <v>0</v>
      </c>
      <c r="D14" s="50">
        <v>1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3</v>
      </c>
      <c r="M14" s="50">
        <v>4</v>
      </c>
      <c r="N14" s="50">
        <v>0</v>
      </c>
      <c r="O14" s="15">
        <f t="shared" si="0"/>
        <v>5</v>
      </c>
      <c r="P14" s="15">
        <f t="shared" si="1"/>
        <v>9</v>
      </c>
      <c r="R14" s="1" t="s">
        <v>10</v>
      </c>
      <c r="S14" s="17">
        <f t="shared" ref="S14:AF14" si="6">SUM(C26:C29)</f>
        <v>5</v>
      </c>
      <c r="T14" s="17">
        <f t="shared" si="6"/>
        <v>8</v>
      </c>
      <c r="U14" s="17">
        <f t="shared" si="6"/>
        <v>9</v>
      </c>
      <c r="V14" s="17">
        <f t="shared" si="6"/>
        <v>6</v>
      </c>
      <c r="W14" s="17">
        <f t="shared" si="6"/>
        <v>0</v>
      </c>
      <c r="X14" s="17">
        <f t="shared" si="6"/>
        <v>1</v>
      </c>
      <c r="Y14" s="17">
        <f t="shared" si="6"/>
        <v>5</v>
      </c>
      <c r="Z14" s="17">
        <f t="shared" si="6"/>
        <v>2</v>
      </c>
      <c r="AA14" s="17">
        <f t="shared" si="6"/>
        <v>0</v>
      </c>
      <c r="AB14" s="17">
        <f t="shared" si="6"/>
        <v>14</v>
      </c>
      <c r="AC14" s="17">
        <f t="shared" si="6"/>
        <v>13</v>
      </c>
      <c r="AD14" s="17">
        <f t="shared" si="6"/>
        <v>0</v>
      </c>
      <c r="AE14" s="31">
        <f t="shared" si="6"/>
        <v>50</v>
      </c>
      <c r="AF14" s="31">
        <f t="shared" si="6"/>
        <v>63</v>
      </c>
    </row>
    <row r="15" spans="2:32" ht="23.1" customHeight="1" x14ac:dyDescent="0.25">
      <c r="B15" s="45" t="s">
        <v>42</v>
      </c>
      <c r="C15" s="50">
        <v>1</v>
      </c>
      <c r="D15" s="50">
        <v>1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4</v>
      </c>
      <c r="M15" s="50">
        <v>1</v>
      </c>
      <c r="N15" s="50">
        <v>0</v>
      </c>
      <c r="O15" s="15">
        <f t="shared" si="0"/>
        <v>8</v>
      </c>
      <c r="P15" s="15">
        <f t="shared" si="1"/>
        <v>9</v>
      </c>
      <c r="R15" s="1" t="s">
        <v>11</v>
      </c>
      <c r="S15" s="17">
        <f t="shared" ref="S15:AF15" si="7">SUM(C30:C33)</f>
        <v>2</v>
      </c>
      <c r="T15" s="17">
        <f t="shared" si="7"/>
        <v>4</v>
      </c>
      <c r="U15" s="17">
        <f t="shared" si="7"/>
        <v>5</v>
      </c>
      <c r="V15" s="17">
        <f t="shared" si="7"/>
        <v>5</v>
      </c>
      <c r="W15" s="17">
        <f t="shared" si="7"/>
        <v>0</v>
      </c>
      <c r="X15" s="17">
        <f t="shared" si="7"/>
        <v>2</v>
      </c>
      <c r="Y15" s="17">
        <f t="shared" si="7"/>
        <v>8</v>
      </c>
      <c r="Z15" s="17">
        <f t="shared" si="7"/>
        <v>0</v>
      </c>
      <c r="AA15" s="17">
        <f t="shared" si="7"/>
        <v>0</v>
      </c>
      <c r="AB15" s="17">
        <f t="shared" si="7"/>
        <v>8</v>
      </c>
      <c r="AC15" s="17">
        <f t="shared" si="7"/>
        <v>13</v>
      </c>
      <c r="AD15" s="17">
        <f t="shared" si="7"/>
        <v>0</v>
      </c>
      <c r="AE15" s="31">
        <f t="shared" si="7"/>
        <v>34</v>
      </c>
      <c r="AF15" s="31">
        <f t="shared" si="7"/>
        <v>47</v>
      </c>
    </row>
    <row r="16" spans="2:32" ht="23.1" customHeight="1" x14ac:dyDescent="0.25">
      <c r="B16" s="45" t="s">
        <v>43</v>
      </c>
      <c r="C16" s="50">
        <v>0</v>
      </c>
      <c r="D16" s="50">
        <v>1</v>
      </c>
      <c r="E16" s="50">
        <v>2</v>
      </c>
      <c r="F16" s="50">
        <v>2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2</v>
      </c>
      <c r="M16" s="50">
        <v>3</v>
      </c>
      <c r="N16" s="50">
        <v>0</v>
      </c>
      <c r="O16" s="15">
        <f t="shared" si="0"/>
        <v>7</v>
      </c>
      <c r="P16" s="15">
        <f t="shared" si="1"/>
        <v>10</v>
      </c>
      <c r="R16" s="1" t="s">
        <v>12</v>
      </c>
      <c r="S16" s="17">
        <f t="shared" ref="S16:AF16" si="8">SUM(C34:C37)</f>
        <v>1</v>
      </c>
      <c r="T16" s="17">
        <f t="shared" si="8"/>
        <v>3</v>
      </c>
      <c r="U16" s="17">
        <f t="shared" si="8"/>
        <v>5</v>
      </c>
      <c r="V16" s="17">
        <f t="shared" si="8"/>
        <v>8</v>
      </c>
      <c r="W16" s="17">
        <f t="shared" si="8"/>
        <v>2</v>
      </c>
      <c r="X16" s="17">
        <f t="shared" si="8"/>
        <v>2</v>
      </c>
      <c r="Y16" s="17">
        <f t="shared" si="8"/>
        <v>11</v>
      </c>
      <c r="Z16" s="17">
        <f t="shared" si="8"/>
        <v>1</v>
      </c>
      <c r="AA16" s="17">
        <f t="shared" si="8"/>
        <v>0</v>
      </c>
      <c r="AB16" s="17">
        <f t="shared" si="8"/>
        <v>9</v>
      </c>
      <c r="AC16" s="17">
        <f t="shared" si="8"/>
        <v>20</v>
      </c>
      <c r="AD16" s="17">
        <f t="shared" si="8"/>
        <v>0</v>
      </c>
      <c r="AE16" s="31">
        <f t="shared" si="8"/>
        <v>42</v>
      </c>
      <c r="AF16" s="31">
        <f t="shared" si="8"/>
        <v>62</v>
      </c>
    </row>
    <row r="17" spans="2:32" ht="23.1" customHeight="1" x14ac:dyDescent="0.25">
      <c r="B17" s="45" t="s">
        <v>44</v>
      </c>
      <c r="C17" s="50">
        <v>0</v>
      </c>
      <c r="D17" s="50">
        <v>1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6</v>
      </c>
      <c r="M17" s="50">
        <v>2</v>
      </c>
      <c r="N17" s="50">
        <v>0</v>
      </c>
      <c r="O17" s="15">
        <f t="shared" si="0"/>
        <v>8</v>
      </c>
      <c r="P17" s="15">
        <f t="shared" si="1"/>
        <v>10</v>
      </c>
      <c r="R17" s="1" t="s">
        <v>13</v>
      </c>
      <c r="S17" s="17">
        <f t="shared" ref="S17:AF17" si="9">SUM(C38:C41)</f>
        <v>3</v>
      </c>
      <c r="T17" s="17">
        <f t="shared" si="9"/>
        <v>4</v>
      </c>
      <c r="U17" s="17">
        <f t="shared" si="9"/>
        <v>5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1</v>
      </c>
      <c r="AA17" s="17">
        <f t="shared" si="9"/>
        <v>0</v>
      </c>
      <c r="AB17" s="17">
        <f t="shared" si="9"/>
        <v>2</v>
      </c>
      <c r="AC17" s="17">
        <f t="shared" si="9"/>
        <v>17</v>
      </c>
      <c r="AD17" s="17">
        <f t="shared" si="9"/>
        <v>0</v>
      </c>
      <c r="AE17" s="31">
        <f t="shared" si="9"/>
        <v>26</v>
      </c>
      <c r="AF17" s="31">
        <f t="shared" si="9"/>
        <v>43</v>
      </c>
    </row>
    <row r="18" spans="2:32" ht="23.1" customHeight="1" x14ac:dyDescent="0.25">
      <c r="B18" s="45" t="s">
        <v>45</v>
      </c>
      <c r="C18" s="50">
        <v>3</v>
      </c>
      <c r="D18" s="50">
        <v>1</v>
      </c>
      <c r="E18" s="50">
        <v>1</v>
      </c>
      <c r="F18" s="50">
        <v>3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9</v>
      </c>
      <c r="P18" s="15">
        <f t="shared" si="1"/>
        <v>11</v>
      </c>
      <c r="R18" s="1" t="s">
        <v>14</v>
      </c>
      <c r="S18" s="17">
        <f t="shared" ref="S18:AF18" si="10">SUM(C42:C45)</f>
        <v>5</v>
      </c>
      <c r="T18" s="17">
        <f t="shared" si="10"/>
        <v>9</v>
      </c>
      <c r="U18" s="17">
        <f t="shared" si="10"/>
        <v>12</v>
      </c>
      <c r="V18" s="17">
        <f t="shared" si="10"/>
        <v>12</v>
      </c>
      <c r="W18" s="17">
        <f t="shared" si="10"/>
        <v>1</v>
      </c>
      <c r="X18" s="17">
        <f t="shared" si="10"/>
        <v>2</v>
      </c>
      <c r="Y18" s="17">
        <f t="shared" si="10"/>
        <v>9</v>
      </c>
      <c r="Z18" s="17">
        <f t="shared" si="10"/>
        <v>2</v>
      </c>
      <c r="AA18" s="17">
        <f t="shared" si="10"/>
        <v>0</v>
      </c>
      <c r="AB18" s="17">
        <f t="shared" si="10"/>
        <v>6</v>
      </c>
      <c r="AC18" s="17">
        <f t="shared" si="10"/>
        <v>18</v>
      </c>
      <c r="AD18" s="17">
        <f t="shared" si="10"/>
        <v>0</v>
      </c>
      <c r="AE18" s="31">
        <f t="shared" si="10"/>
        <v>58</v>
      </c>
      <c r="AF18" s="31">
        <f t="shared" si="10"/>
        <v>76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8</v>
      </c>
      <c r="N19" s="50">
        <v>0</v>
      </c>
      <c r="O19" s="15">
        <f t="shared" si="0"/>
        <v>4</v>
      </c>
      <c r="P19" s="15">
        <f t="shared" si="1"/>
        <v>12</v>
      </c>
      <c r="R19" s="1" t="s">
        <v>15</v>
      </c>
      <c r="S19" s="17">
        <f t="shared" ref="S19:AF19" si="11">SUM(C46:C49)</f>
        <v>9</v>
      </c>
      <c r="T19" s="17">
        <f t="shared" si="11"/>
        <v>8</v>
      </c>
      <c r="U19" s="17">
        <f t="shared" si="11"/>
        <v>10</v>
      </c>
      <c r="V19" s="17">
        <f t="shared" si="11"/>
        <v>10</v>
      </c>
      <c r="W19" s="17">
        <f t="shared" si="11"/>
        <v>1</v>
      </c>
      <c r="X19" s="17">
        <f t="shared" si="11"/>
        <v>1</v>
      </c>
      <c r="Y19" s="17">
        <f t="shared" si="11"/>
        <v>9</v>
      </c>
      <c r="Z19" s="17">
        <f t="shared" si="11"/>
        <v>2</v>
      </c>
      <c r="AA19" s="17">
        <f t="shared" si="11"/>
        <v>0</v>
      </c>
      <c r="AB19" s="17">
        <f t="shared" si="11"/>
        <v>8</v>
      </c>
      <c r="AC19" s="17">
        <f t="shared" si="11"/>
        <v>15</v>
      </c>
      <c r="AD19" s="17">
        <f t="shared" si="11"/>
        <v>0</v>
      </c>
      <c r="AE19" s="31">
        <f t="shared" si="11"/>
        <v>58</v>
      </c>
      <c r="AF19" s="31">
        <f t="shared" si="11"/>
        <v>73</v>
      </c>
    </row>
    <row r="20" spans="2:32" ht="23.1" customHeight="1" x14ac:dyDescent="0.25">
      <c r="B20" s="45" t="s">
        <v>47</v>
      </c>
      <c r="C20" s="50">
        <v>4</v>
      </c>
      <c r="D20" s="50">
        <v>1</v>
      </c>
      <c r="E20" s="50">
        <v>1</v>
      </c>
      <c r="F20" s="50">
        <v>1</v>
      </c>
      <c r="G20" s="50">
        <v>0</v>
      </c>
      <c r="H20" s="50">
        <v>1</v>
      </c>
      <c r="I20" s="50">
        <v>1</v>
      </c>
      <c r="J20" s="50">
        <v>0</v>
      </c>
      <c r="K20" s="50">
        <v>0</v>
      </c>
      <c r="L20" s="50">
        <v>2</v>
      </c>
      <c r="M20" s="50">
        <v>6</v>
      </c>
      <c r="N20" s="50">
        <v>0</v>
      </c>
      <c r="O20" s="15">
        <f t="shared" si="0"/>
        <v>11</v>
      </c>
      <c r="P20" s="15">
        <f t="shared" si="1"/>
        <v>17</v>
      </c>
      <c r="R20" s="1" t="s">
        <v>16</v>
      </c>
      <c r="S20" s="17">
        <f t="shared" ref="S20:AF20" si="12">SUM(C50:C53)</f>
        <v>7</v>
      </c>
      <c r="T20" s="17">
        <f t="shared" si="12"/>
        <v>9</v>
      </c>
      <c r="U20" s="17">
        <f t="shared" si="12"/>
        <v>13</v>
      </c>
      <c r="V20" s="17">
        <f t="shared" si="12"/>
        <v>13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2</v>
      </c>
      <c r="AA20" s="17">
        <f t="shared" si="12"/>
        <v>0</v>
      </c>
      <c r="AB20" s="17">
        <f t="shared" si="12"/>
        <v>5</v>
      </c>
      <c r="AC20" s="17">
        <f t="shared" si="12"/>
        <v>12</v>
      </c>
      <c r="AD20" s="17">
        <f t="shared" si="12"/>
        <v>0</v>
      </c>
      <c r="AE20" s="31">
        <f t="shared" si="12"/>
        <v>58</v>
      </c>
      <c r="AF20" s="31">
        <f t="shared" si="12"/>
        <v>70</v>
      </c>
    </row>
    <row r="21" spans="2:32" ht="23.1" customHeight="1" x14ac:dyDescent="0.25">
      <c r="B21" s="45" t="s">
        <v>48</v>
      </c>
      <c r="C21" s="50">
        <v>2</v>
      </c>
      <c r="D21" s="50">
        <v>1</v>
      </c>
      <c r="E21" s="50">
        <v>2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5</v>
      </c>
      <c r="P21" s="15">
        <f t="shared" si="1"/>
        <v>8</v>
      </c>
      <c r="R21" s="36" t="s">
        <v>20</v>
      </c>
      <c r="S21" s="34">
        <f t="shared" ref="S21:AF21" si="13">SUM(C54:C57)</f>
        <v>14</v>
      </c>
      <c r="T21" s="17">
        <f t="shared" si="13"/>
        <v>16</v>
      </c>
      <c r="U21" s="17">
        <f t="shared" si="13"/>
        <v>19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8</v>
      </c>
      <c r="Z21" s="17">
        <f t="shared" si="13"/>
        <v>3</v>
      </c>
      <c r="AA21" s="17">
        <f t="shared" si="13"/>
        <v>2</v>
      </c>
      <c r="AB21" s="17">
        <f t="shared" si="13"/>
        <v>10</v>
      </c>
      <c r="AC21" s="17">
        <f t="shared" si="13"/>
        <v>24</v>
      </c>
      <c r="AD21" s="17">
        <f t="shared" si="13"/>
        <v>0</v>
      </c>
      <c r="AE21" s="31">
        <f t="shared" si="13"/>
        <v>83</v>
      </c>
      <c r="AF21" s="31">
        <f t="shared" si="13"/>
        <v>107</v>
      </c>
    </row>
    <row r="22" spans="2:32" ht="23.1" customHeight="1" x14ac:dyDescent="0.25">
      <c r="B22" s="45" t="s">
        <v>49</v>
      </c>
      <c r="C22" s="50">
        <v>2</v>
      </c>
      <c r="D22" s="50">
        <v>3</v>
      </c>
      <c r="E22" s="50">
        <v>4</v>
      </c>
      <c r="F22" s="50">
        <v>4</v>
      </c>
      <c r="G22" s="50">
        <v>0</v>
      </c>
      <c r="H22" s="50">
        <v>2</v>
      </c>
      <c r="I22" s="50">
        <v>2</v>
      </c>
      <c r="J22" s="50">
        <v>0</v>
      </c>
      <c r="K22" s="50">
        <v>0</v>
      </c>
      <c r="L22" s="50">
        <v>1</v>
      </c>
      <c r="M22" s="50">
        <v>7</v>
      </c>
      <c r="N22" s="50">
        <v>0</v>
      </c>
      <c r="O22" s="15">
        <f t="shared" si="0"/>
        <v>18</v>
      </c>
      <c r="P22" s="15">
        <f t="shared" si="1"/>
        <v>25</v>
      </c>
      <c r="R22" s="36" t="s">
        <v>146</v>
      </c>
      <c r="S22" s="34">
        <f>SUM(C58:C61)</f>
        <v>5</v>
      </c>
      <c r="T22" s="34">
        <f t="shared" ref="T22:AF22" si="14">SUM(D58:D61)</f>
        <v>6</v>
      </c>
      <c r="U22" s="34">
        <f t="shared" si="14"/>
        <v>8</v>
      </c>
      <c r="V22" s="34">
        <f t="shared" si="14"/>
        <v>6</v>
      </c>
      <c r="W22" s="34">
        <f t="shared" si="14"/>
        <v>0</v>
      </c>
      <c r="X22" s="34">
        <f t="shared" si="14"/>
        <v>0</v>
      </c>
      <c r="Y22" s="34">
        <f t="shared" si="14"/>
        <v>3</v>
      </c>
      <c r="Z22" s="34">
        <f t="shared" si="14"/>
        <v>3</v>
      </c>
      <c r="AA22" s="34">
        <f t="shared" si="14"/>
        <v>0</v>
      </c>
      <c r="AB22" s="34">
        <f t="shared" si="14"/>
        <v>8</v>
      </c>
      <c r="AC22" s="34">
        <f t="shared" si="14"/>
        <v>12</v>
      </c>
      <c r="AD22" s="34">
        <f t="shared" si="14"/>
        <v>0</v>
      </c>
      <c r="AE22" s="31">
        <f t="shared" si="14"/>
        <v>39</v>
      </c>
      <c r="AF22" s="31">
        <f t="shared" si="14"/>
        <v>51</v>
      </c>
    </row>
    <row r="23" spans="2:32" ht="23.1" customHeight="1" x14ac:dyDescent="0.25">
      <c r="B23" s="45" t="s">
        <v>50</v>
      </c>
      <c r="C23" s="50">
        <v>0</v>
      </c>
      <c r="D23" s="50">
        <v>1</v>
      </c>
      <c r="E23" s="50">
        <v>1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2</v>
      </c>
      <c r="M23" s="50">
        <v>3</v>
      </c>
      <c r="N23" s="50">
        <v>0</v>
      </c>
      <c r="O23" s="15">
        <f t="shared" si="0"/>
        <v>5</v>
      </c>
      <c r="P23" s="15">
        <f t="shared" si="1"/>
        <v>8</v>
      </c>
      <c r="R23" s="36" t="s">
        <v>147</v>
      </c>
      <c r="S23" s="34">
        <f>SUM(C62:C65)</f>
        <v>4</v>
      </c>
      <c r="T23" s="34">
        <f t="shared" ref="T23:AF23" si="15">SUM(D62:D65)</f>
        <v>7</v>
      </c>
      <c r="U23" s="34">
        <f t="shared" si="15"/>
        <v>9</v>
      </c>
      <c r="V23" s="34">
        <f t="shared" si="15"/>
        <v>2</v>
      </c>
      <c r="W23" s="34">
        <f t="shared" si="15"/>
        <v>0</v>
      </c>
      <c r="X23" s="34">
        <f t="shared" si="15"/>
        <v>0</v>
      </c>
      <c r="Y23" s="34">
        <f t="shared" si="15"/>
        <v>6</v>
      </c>
      <c r="Z23" s="34">
        <f t="shared" si="15"/>
        <v>8</v>
      </c>
      <c r="AA23" s="34">
        <f t="shared" si="15"/>
        <v>1</v>
      </c>
      <c r="AB23" s="34">
        <f t="shared" si="15"/>
        <v>9</v>
      </c>
      <c r="AC23" s="34">
        <f t="shared" si="15"/>
        <v>19</v>
      </c>
      <c r="AD23" s="34">
        <f t="shared" si="15"/>
        <v>0</v>
      </c>
      <c r="AE23" s="31">
        <f t="shared" si="15"/>
        <v>46</v>
      </c>
      <c r="AF23" s="31">
        <f t="shared" si="15"/>
        <v>65</v>
      </c>
    </row>
    <row r="24" spans="2:32" ht="23.1" customHeight="1" x14ac:dyDescent="0.25">
      <c r="B24" s="45" t="s">
        <v>51</v>
      </c>
      <c r="C24" s="50">
        <v>0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3</v>
      </c>
      <c r="M24" s="50">
        <v>4</v>
      </c>
      <c r="N24" s="50">
        <v>0</v>
      </c>
      <c r="O24" s="15">
        <f t="shared" si="0"/>
        <v>6</v>
      </c>
      <c r="P24" s="15">
        <f t="shared" si="1"/>
        <v>10</v>
      </c>
      <c r="R24" s="36" t="s">
        <v>148</v>
      </c>
      <c r="S24" s="34">
        <f>SUM(C66:C69)</f>
        <v>1</v>
      </c>
      <c r="T24" s="34">
        <f t="shared" ref="T24:AF24" si="16">SUM(D66:D69)</f>
        <v>3</v>
      </c>
      <c r="U24" s="34">
        <f t="shared" si="16"/>
        <v>3</v>
      </c>
      <c r="V24" s="34">
        <f t="shared" si="16"/>
        <v>2</v>
      </c>
      <c r="W24" s="34">
        <f t="shared" si="16"/>
        <v>0</v>
      </c>
      <c r="X24" s="34">
        <f t="shared" si="16"/>
        <v>1</v>
      </c>
      <c r="Y24" s="34">
        <f t="shared" si="16"/>
        <v>4</v>
      </c>
      <c r="Z24" s="34">
        <f t="shared" si="16"/>
        <v>2</v>
      </c>
      <c r="AA24" s="34">
        <f t="shared" si="16"/>
        <v>1</v>
      </c>
      <c r="AB24" s="34">
        <f t="shared" si="16"/>
        <v>12</v>
      </c>
      <c r="AC24" s="34">
        <f t="shared" si="16"/>
        <v>5</v>
      </c>
      <c r="AD24" s="34">
        <f t="shared" si="16"/>
        <v>0</v>
      </c>
      <c r="AE24" s="31">
        <f t="shared" si="16"/>
        <v>29</v>
      </c>
      <c r="AF24" s="31">
        <f t="shared" si="16"/>
        <v>34</v>
      </c>
    </row>
    <row r="25" spans="2:32" ht="23.1" customHeight="1" x14ac:dyDescent="0.25">
      <c r="B25" s="45" t="s">
        <v>52</v>
      </c>
      <c r="C25" s="50">
        <v>4</v>
      </c>
      <c r="D25" s="50">
        <v>2</v>
      </c>
      <c r="E25" s="50">
        <v>2</v>
      </c>
      <c r="F25" s="50">
        <v>2</v>
      </c>
      <c r="G25" s="50">
        <v>0</v>
      </c>
      <c r="H25" s="50">
        <v>2</v>
      </c>
      <c r="I25" s="50">
        <v>2</v>
      </c>
      <c r="J25" s="50">
        <v>0</v>
      </c>
      <c r="K25" s="50">
        <v>0</v>
      </c>
      <c r="L25" s="50">
        <v>0</v>
      </c>
      <c r="M25" s="50">
        <v>9</v>
      </c>
      <c r="N25" s="50">
        <v>0</v>
      </c>
      <c r="O25" s="15">
        <f t="shared" si="0"/>
        <v>14</v>
      </c>
      <c r="P25" s="15">
        <f t="shared" si="1"/>
        <v>23</v>
      </c>
      <c r="R25" s="36" t="s">
        <v>149</v>
      </c>
      <c r="S25" s="34">
        <f>SUM(C70:C73)</f>
        <v>5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4</v>
      </c>
      <c r="W25" s="34">
        <f t="shared" si="17"/>
        <v>0</v>
      </c>
      <c r="X25" s="34">
        <f t="shared" si="17"/>
        <v>1</v>
      </c>
      <c r="Y25" s="34">
        <f t="shared" si="17"/>
        <v>7</v>
      </c>
      <c r="Z25" s="34">
        <f t="shared" si="17"/>
        <v>2</v>
      </c>
      <c r="AA25" s="34">
        <f t="shared" si="17"/>
        <v>0</v>
      </c>
      <c r="AB25" s="34">
        <f t="shared" si="17"/>
        <v>18</v>
      </c>
      <c r="AC25" s="34">
        <f t="shared" si="17"/>
        <v>5</v>
      </c>
      <c r="AD25" s="34">
        <f t="shared" si="17"/>
        <v>0</v>
      </c>
      <c r="AE25" s="31">
        <f t="shared" si="17"/>
        <v>39</v>
      </c>
      <c r="AF25" s="31">
        <f t="shared" si="17"/>
        <v>44</v>
      </c>
    </row>
    <row r="26" spans="2:32" ht="23.1" customHeight="1" x14ac:dyDescent="0.25">
      <c r="B26" s="45" t="s">
        <v>53</v>
      </c>
      <c r="C26" s="50">
        <v>0</v>
      </c>
      <c r="D26" s="50">
        <v>2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7</v>
      </c>
      <c r="M26" s="50">
        <v>2</v>
      </c>
      <c r="N26" s="50">
        <v>0</v>
      </c>
      <c r="O26" s="15">
        <f t="shared" si="0"/>
        <v>11</v>
      </c>
      <c r="P26" s="15">
        <f t="shared" si="1"/>
        <v>13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1</v>
      </c>
      <c r="W26" s="34">
        <f t="shared" si="18"/>
        <v>0</v>
      </c>
      <c r="X26" s="34">
        <f t="shared" si="18"/>
        <v>1</v>
      </c>
      <c r="Y26" s="34">
        <f t="shared" si="18"/>
        <v>6</v>
      </c>
      <c r="Z26" s="34">
        <f t="shared" si="18"/>
        <v>2</v>
      </c>
      <c r="AA26" s="34">
        <f t="shared" si="18"/>
        <v>2</v>
      </c>
      <c r="AB26" s="34">
        <f t="shared" si="18"/>
        <v>3</v>
      </c>
      <c r="AC26" s="34">
        <f t="shared" si="18"/>
        <v>2</v>
      </c>
      <c r="AD26" s="34">
        <f t="shared" si="18"/>
        <v>0</v>
      </c>
      <c r="AE26" s="31">
        <f t="shared" si="18"/>
        <v>16</v>
      </c>
      <c r="AF26" s="31">
        <f t="shared" si="18"/>
        <v>18</v>
      </c>
    </row>
    <row r="27" spans="2:32" ht="23.1" customHeight="1" x14ac:dyDescent="0.25">
      <c r="B27" s="45" t="s">
        <v>54</v>
      </c>
      <c r="C27" s="50">
        <v>1</v>
      </c>
      <c r="D27" s="50">
        <v>3</v>
      </c>
      <c r="E27" s="50">
        <v>3</v>
      </c>
      <c r="F27" s="50">
        <v>3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11</v>
      </c>
      <c r="P27" s="15">
        <f t="shared" si="1"/>
        <v>15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2</v>
      </c>
      <c r="W27" s="34">
        <f t="shared" si="19"/>
        <v>0</v>
      </c>
      <c r="X27" s="34">
        <f t="shared" si="19"/>
        <v>3</v>
      </c>
      <c r="Y27" s="34">
        <f t="shared" si="19"/>
        <v>4</v>
      </c>
      <c r="Z27" s="34">
        <f t="shared" si="19"/>
        <v>1</v>
      </c>
      <c r="AA27" s="34">
        <f t="shared" si="19"/>
        <v>0</v>
      </c>
      <c r="AB27" s="34">
        <f t="shared" si="19"/>
        <v>5</v>
      </c>
      <c r="AC27" s="34">
        <f t="shared" si="19"/>
        <v>0</v>
      </c>
      <c r="AD27" s="34">
        <f t="shared" si="19"/>
        <v>0</v>
      </c>
      <c r="AE27" s="31">
        <f t="shared" si="19"/>
        <v>17</v>
      </c>
      <c r="AF27" s="31">
        <f t="shared" si="19"/>
        <v>17</v>
      </c>
    </row>
    <row r="28" spans="2:32" ht="23.1" customHeight="1" x14ac:dyDescent="0.25">
      <c r="B28" s="45" t="s">
        <v>55</v>
      </c>
      <c r="C28" s="50">
        <v>2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1</v>
      </c>
      <c r="M28" s="50">
        <v>2</v>
      </c>
      <c r="N28" s="50">
        <v>0</v>
      </c>
      <c r="O28" s="15">
        <f t="shared" si="0"/>
        <v>6</v>
      </c>
      <c r="P28" s="15">
        <f t="shared" si="1"/>
        <v>8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2</v>
      </c>
      <c r="Y28" s="34">
        <f t="shared" si="20"/>
        <v>5</v>
      </c>
      <c r="Z28" s="34">
        <f t="shared" si="20"/>
        <v>2</v>
      </c>
      <c r="AA28" s="34">
        <f t="shared" si="20"/>
        <v>2</v>
      </c>
      <c r="AB28" s="34">
        <f t="shared" si="20"/>
        <v>8</v>
      </c>
      <c r="AC28" s="34">
        <f t="shared" si="20"/>
        <v>0</v>
      </c>
      <c r="AD28" s="34">
        <f t="shared" si="20"/>
        <v>0</v>
      </c>
      <c r="AE28" s="31">
        <f t="shared" si="20"/>
        <v>20</v>
      </c>
      <c r="AF28" s="31">
        <f t="shared" si="20"/>
        <v>20</v>
      </c>
    </row>
    <row r="29" spans="2:32" ht="23.1" customHeight="1" x14ac:dyDescent="0.25">
      <c r="B29" s="45" t="s">
        <v>56</v>
      </c>
      <c r="C29" s="50">
        <v>2</v>
      </c>
      <c r="D29" s="50">
        <v>2</v>
      </c>
      <c r="E29" s="50">
        <v>3</v>
      </c>
      <c r="F29" s="50">
        <v>3</v>
      </c>
      <c r="G29" s="50">
        <v>0</v>
      </c>
      <c r="H29" s="50">
        <v>1</v>
      </c>
      <c r="I29" s="50">
        <v>4</v>
      </c>
      <c r="J29" s="50">
        <v>1</v>
      </c>
      <c r="K29" s="50">
        <v>0</v>
      </c>
      <c r="L29" s="50">
        <v>6</v>
      </c>
      <c r="M29" s="50">
        <v>5</v>
      </c>
      <c r="N29" s="50">
        <v>0</v>
      </c>
      <c r="O29" s="15">
        <f t="shared" si="0"/>
        <v>22</v>
      </c>
      <c r="P29" s="15">
        <f t="shared" si="1"/>
        <v>27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1</v>
      </c>
      <c r="W29" s="34">
        <f t="shared" si="21"/>
        <v>0</v>
      </c>
      <c r="X29" s="34">
        <f t="shared" si="21"/>
        <v>2</v>
      </c>
      <c r="Y29" s="34">
        <f t="shared" si="21"/>
        <v>3</v>
      </c>
      <c r="Z29" s="34">
        <f t="shared" si="21"/>
        <v>1</v>
      </c>
      <c r="AA29" s="34">
        <f t="shared" si="21"/>
        <v>1</v>
      </c>
      <c r="AB29" s="34">
        <f t="shared" si="21"/>
        <v>6</v>
      </c>
      <c r="AC29" s="34">
        <f t="shared" si="21"/>
        <v>0</v>
      </c>
      <c r="AD29" s="34">
        <f t="shared" si="21"/>
        <v>0</v>
      </c>
      <c r="AE29" s="31">
        <f t="shared" si="21"/>
        <v>15</v>
      </c>
      <c r="AF29" s="31">
        <f t="shared" si="21"/>
        <v>15</v>
      </c>
    </row>
    <row r="30" spans="2:32" ht="23.1" customHeight="1" x14ac:dyDescent="0.25">
      <c r="B30" s="45" t="s">
        <v>57</v>
      </c>
      <c r="C30" s="50">
        <v>1</v>
      </c>
      <c r="D30" s="50">
        <v>1</v>
      </c>
      <c r="E30" s="50">
        <v>2</v>
      </c>
      <c r="F30" s="50">
        <v>3</v>
      </c>
      <c r="G30" s="50">
        <v>0</v>
      </c>
      <c r="H30" s="50">
        <v>2</v>
      </c>
      <c r="I30" s="50">
        <v>5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14</v>
      </c>
      <c r="P30" s="15">
        <f t="shared" si="1"/>
        <v>17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2</v>
      </c>
      <c r="W30" s="34">
        <f t="shared" si="22"/>
        <v>0</v>
      </c>
      <c r="X30" s="34">
        <f t="shared" si="22"/>
        <v>1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5</v>
      </c>
      <c r="AC30" s="34">
        <f t="shared" si="22"/>
        <v>0</v>
      </c>
      <c r="AD30" s="34">
        <f t="shared" si="22"/>
        <v>0</v>
      </c>
      <c r="AE30" s="31">
        <f t="shared" si="22"/>
        <v>10</v>
      </c>
      <c r="AF30" s="31">
        <f t="shared" si="22"/>
        <v>10</v>
      </c>
    </row>
    <row r="31" spans="2:32" ht="23.1" customHeight="1" x14ac:dyDescent="0.25">
      <c r="B31" s="46" t="s">
        <v>58</v>
      </c>
      <c r="C31" s="50">
        <v>0</v>
      </c>
      <c r="D31" s="50">
        <v>1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2</v>
      </c>
      <c r="M31" s="50">
        <v>4</v>
      </c>
      <c r="N31" s="50">
        <v>0</v>
      </c>
      <c r="O31" s="15">
        <f t="shared" si="0"/>
        <v>4</v>
      </c>
      <c r="P31" s="15">
        <f t="shared" si="1"/>
        <v>8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0</v>
      </c>
      <c r="AA31" s="34">
        <f t="shared" si="23"/>
        <v>2</v>
      </c>
      <c r="AB31" s="34">
        <f t="shared" si="23"/>
        <v>1</v>
      </c>
      <c r="AC31" s="34">
        <f t="shared" si="23"/>
        <v>0</v>
      </c>
      <c r="AD31" s="34">
        <f t="shared" si="23"/>
        <v>0</v>
      </c>
      <c r="AE31" s="31">
        <f t="shared" si="23"/>
        <v>7</v>
      </c>
      <c r="AF31" s="31">
        <f t="shared" si="23"/>
        <v>7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4</v>
      </c>
      <c r="M32" s="50">
        <v>0</v>
      </c>
      <c r="N32" s="50">
        <v>0</v>
      </c>
      <c r="O32" s="15">
        <f t="shared" si="0"/>
        <v>4</v>
      </c>
      <c r="P32" s="15">
        <f t="shared" si="1"/>
        <v>4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1</v>
      </c>
      <c r="W32" s="34">
        <f t="shared" si="24"/>
        <v>0</v>
      </c>
      <c r="X32" s="34">
        <f t="shared" si="24"/>
        <v>1</v>
      </c>
      <c r="Y32" s="34">
        <f t="shared" si="24"/>
        <v>1</v>
      </c>
      <c r="Z32" s="34">
        <f t="shared" si="24"/>
        <v>0</v>
      </c>
      <c r="AA32" s="34">
        <f t="shared" si="24"/>
        <v>2</v>
      </c>
      <c r="AB32" s="34">
        <f t="shared" si="24"/>
        <v>4</v>
      </c>
      <c r="AC32" s="34">
        <f t="shared" si="24"/>
        <v>0</v>
      </c>
      <c r="AD32" s="34">
        <f t="shared" si="24"/>
        <v>0</v>
      </c>
      <c r="AE32" s="31">
        <f t="shared" si="24"/>
        <v>10</v>
      </c>
      <c r="AF32" s="31">
        <f t="shared" si="24"/>
        <v>10</v>
      </c>
    </row>
    <row r="33" spans="2:32" ht="23.1" customHeight="1" x14ac:dyDescent="0.25">
      <c r="B33" s="45" t="s">
        <v>60</v>
      </c>
      <c r="C33" s="50">
        <v>1</v>
      </c>
      <c r="D33" s="50">
        <v>2</v>
      </c>
      <c r="E33" s="50">
        <v>2</v>
      </c>
      <c r="F33" s="50">
        <v>2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2</v>
      </c>
      <c r="M33" s="50">
        <v>6</v>
      </c>
      <c r="N33" s="50">
        <v>0</v>
      </c>
      <c r="O33" s="15">
        <f t="shared" si="0"/>
        <v>12</v>
      </c>
      <c r="P33" s="15">
        <f t="shared" si="1"/>
        <v>18</v>
      </c>
      <c r="R33" s="33" t="s">
        <v>157</v>
      </c>
      <c r="S33" s="34">
        <f>SUM(C102:C105)</f>
        <v>2</v>
      </c>
      <c r="T33" s="34">
        <f t="shared" ref="T33:AF33" si="25">SUM(D102:D105)</f>
        <v>1</v>
      </c>
      <c r="U33" s="34">
        <f t="shared" si="25"/>
        <v>2</v>
      </c>
      <c r="V33" s="34">
        <f t="shared" si="25"/>
        <v>4</v>
      </c>
      <c r="W33" s="34">
        <f t="shared" si="25"/>
        <v>0</v>
      </c>
      <c r="X33" s="34">
        <f t="shared" si="25"/>
        <v>0</v>
      </c>
      <c r="Y33" s="34">
        <f t="shared" si="25"/>
        <v>4</v>
      </c>
      <c r="Z33" s="34">
        <f t="shared" si="25"/>
        <v>2</v>
      </c>
      <c r="AA33" s="34">
        <f t="shared" si="25"/>
        <v>0</v>
      </c>
      <c r="AB33" s="34">
        <f t="shared" si="25"/>
        <v>8</v>
      </c>
      <c r="AC33" s="34">
        <f t="shared" si="25"/>
        <v>15</v>
      </c>
      <c r="AD33" s="34">
        <f t="shared" si="25"/>
        <v>0</v>
      </c>
      <c r="AE33" s="31">
        <f t="shared" si="25"/>
        <v>23</v>
      </c>
      <c r="AF33" s="31">
        <f t="shared" si="25"/>
        <v>38</v>
      </c>
    </row>
    <row r="34" spans="2:32" ht="23.1" customHeight="1" x14ac:dyDescent="0.25">
      <c r="B34" s="46" t="s">
        <v>61</v>
      </c>
      <c r="C34" s="50">
        <v>0</v>
      </c>
      <c r="D34" s="50">
        <v>1</v>
      </c>
      <c r="E34" s="50">
        <v>1</v>
      </c>
      <c r="F34" s="50">
        <v>2</v>
      </c>
      <c r="G34" s="50">
        <v>0</v>
      </c>
      <c r="H34" s="50">
        <v>0</v>
      </c>
      <c r="I34" s="50">
        <v>4</v>
      </c>
      <c r="J34" s="50">
        <v>1</v>
      </c>
      <c r="K34" s="50">
        <v>0</v>
      </c>
      <c r="L34" s="50">
        <v>2</v>
      </c>
      <c r="M34" s="50">
        <v>12</v>
      </c>
      <c r="N34" s="50">
        <v>0</v>
      </c>
      <c r="O34" s="15">
        <f t="shared" si="0"/>
        <v>11</v>
      </c>
      <c r="P34" s="15">
        <f t="shared" si="1"/>
        <v>23</v>
      </c>
      <c r="R34" s="38" t="s">
        <v>90</v>
      </c>
      <c r="S34" s="39">
        <f t="shared" ref="S34:AF34" si="26">MAX(S10:S12)</f>
        <v>10</v>
      </c>
      <c r="T34" s="39">
        <f t="shared" si="26"/>
        <v>4</v>
      </c>
      <c r="U34" s="39">
        <f t="shared" si="26"/>
        <v>5</v>
      </c>
      <c r="V34" s="39">
        <f t="shared" si="26"/>
        <v>5</v>
      </c>
      <c r="W34" s="39">
        <f t="shared" si="26"/>
        <v>1</v>
      </c>
      <c r="X34" s="39">
        <f t="shared" si="26"/>
        <v>2</v>
      </c>
      <c r="Y34" s="39">
        <f t="shared" si="26"/>
        <v>6</v>
      </c>
      <c r="Z34" s="39">
        <f t="shared" si="26"/>
        <v>2</v>
      </c>
      <c r="AA34" s="39">
        <f t="shared" si="26"/>
        <v>0</v>
      </c>
      <c r="AB34" s="39">
        <f t="shared" si="26"/>
        <v>15</v>
      </c>
      <c r="AC34" s="39">
        <f t="shared" si="26"/>
        <v>23</v>
      </c>
      <c r="AD34" s="39">
        <f t="shared" si="26"/>
        <v>0</v>
      </c>
      <c r="AE34" s="40">
        <f t="shared" si="26"/>
        <v>31</v>
      </c>
      <c r="AF34" s="40">
        <f t="shared" si="26"/>
        <v>54</v>
      </c>
    </row>
    <row r="35" spans="2:32" ht="23.1" customHeight="1" x14ac:dyDescent="0.25">
      <c r="B35" s="46" t="s">
        <v>62</v>
      </c>
      <c r="C35" s="50">
        <v>0</v>
      </c>
      <c r="D35" s="50">
        <v>1</v>
      </c>
      <c r="E35" s="50">
        <v>2</v>
      </c>
      <c r="F35" s="50">
        <v>1</v>
      </c>
      <c r="G35" s="50">
        <v>2</v>
      </c>
      <c r="H35" s="50">
        <v>2</v>
      </c>
      <c r="I35" s="50">
        <v>0</v>
      </c>
      <c r="J35" s="50">
        <v>0</v>
      </c>
      <c r="K35" s="50">
        <v>0</v>
      </c>
      <c r="L35" s="50">
        <v>4</v>
      </c>
      <c r="M35" s="50">
        <v>2</v>
      </c>
      <c r="N35" s="50">
        <v>0</v>
      </c>
      <c r="O35" s="15">
        <f t="shared" si="0"/>
        <v>12</v>
      </c>
      <c r="P35" s="15">
        <f t="shared" si="1"/>
        <v>14</v>
      </c>
      <c r="R35" s="38" t="s">
        <v>91</v>
      </c>
      <c r="S35" s="39">
        <f t="shared" ref="S35:AF35" si="27">MAX(S13:S18)</f>
        <v>6</v>
      </c>
      <c r="T35" s="39">
        <f t="shared" si="27"/>
        <v>9</v>
      </c>
      <c r="U35" s="39">
        <f t="shared" si="27"/>
        <v>12</v>
      </c>
      <c r="V35" s="39">
        <f t="shared" si="27"/>
        <v>12</v>
      </c>
      <c r="W35" s="39">
        <f t="shared" si="27"/>
        <v>2</v>
      </c>
      <c r="X35" s="39">
        <f t="shared" si="27"/>
        <v>4</v>
      </c>
      <c r="Y35" s="39">
        <f t="shared" si="27"/>
        <v>11</v>
      </c>
      <c r="Z35" s="39">
        <f t="shared" si="27"/>
        <v>2</v>
      </c>
      <c r="AA35" s="39">
        <f t="shared" si="27"/>
        <v>0</v>
      </c>
      <c r="AB35" s="39">
        <f t="shared" si="27"/>
        <v>14</v>
      </c>
      <c r="AC35" s="39">
        <f t="shared" si="27"/>
        <v>23</v>
      </c>
      <c r="AD35" s="39">
        <f t="shared" si="27"/>
        <v>0</v>
      </c>
      <c r="AE35" s="40">
        <f t="shared" si="27"/>
        <v>58</v>
      </c>
      <c r="AF35" s="40">
        <f t="shared" si="27"/>
        <v>76</v>
      </c>
    </row>
    <row r="36" spans="2:32" ht="23.1" customHeight="1" x14ac:dyDescent="0.25">
      <c r="B36" s="46" t="s">
        <v>63</v>
      </c>
      <c r="C36" s="50">
        <v>1</v>
      </c>
      <c r="D36" s="50">
        <v>1</v>
      </c>
      <c r="E36" s="50">
        <v>1</v>
      </c>
      <c r="F36" s="50">
        <v>3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3</v>
      </c>
      <c r="M36" s="50">
        <v>3</v>
      </c>
      <c r="N36" s="50">
        <v>0</v>
      </c>
      <c r="O36" s="15">
        <f t="shared" si="0"/>
        <v>12</v>
      </c>
      <c r="P36" s="15">
        <f t="shared" si="1"/>
        <v>15</v>
      </c>
      <c r="R36" s="38" t="s">
        <v>92</v>
      </c>
      <c r="S36" s="39">
        <f t="shared" ref="S36:AF36" si="28">MAX(S19:S21)</f>
        <v>14</v>
      </c>
      <c r="T36" s="39">
        <f t="shared" si="28"/>
        <v>16</v>
      </c>
      <c r="U36" s="39">
        <f t="shared" si="28"/>
        <v>19</v>
      </c>
      <c r="V36" s="39">
        <f t="shared" si="28"/>
        <v>13</v>
      </c>
      <c r="W36" s="39">
        <f t="shared" si="28"/>
        <v>1</v>
      </c>
      <c r="X36" s="39">
        <f t="shared" si="28"/>
        <v>1</v>
      </c>
      <c r="Y36" s="39">
        <f t="shared" si="28"/>
        <v>9</v>
      </c>
      <c r="Z36" s="39">
        <f t="shared" si="28"/>
        <v>3</v>
      </c>
      <c r="AA36" s="39">
        <f t="shared" si="28"/>
        <v>2</v>
      </c>
      <c r="AB36" s="39">
        <f t="shared" si="28"/>
        <v>10</v>
      </c>
      <c r="AC36" s="39">
        <f t="shared" si="28"/>
        <v>24</v>
      </c>
      <c r="AD36" s="39">
        <f t="shared" si="28"/>
        <v>0</v>
      </c>
      <c r="AE36" s="40">
        <f t="shared" si="28"/>
        <v>83</v>
      </c>
      <c r="AF36" s="40">
        <f t="shared" si="28"/>
        <v>107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1</v>
      </c>
      <c r="F37" s="50">
        <v>2</v>
      </c>
      <c r="G37" s="50">
        <v>0</v>
      </c>
      <c r="H37" s="50">
        <v>0</v>
      </c>
      <c r="I37" s="50">
        <v>4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7</v>
      </c>
      <c r="P37" s="15">
        <f t="shared" si="1"/>
        <v>10</v>
      </c>
      <c r="R37" s="37" t="s">
        <v>85</v>
      </c>
      <c r="S37" s="35">
        <f t="shared" ref="S37:AF37" si="29">SUM(S10:S12)</f>
        <v>18</v>
      </c>
      <c r="T37" s="16">
        <f t="shared" si="29"/>
        <v>9</v>
      </c>
      <c r="U37" s="16">
        <f t="shared" si="29"/>
        <v>15</v>
      </c>
      <c r="V37" s="16">
        <f t="shared" si="29"/>
        <v>11</v>
      </c>
      <c r="W37" s="16">
        <f t="shared" si="29"/>
        <v>1</v>
      </c>
      <c r="X37" s="16">
        <f t="shared" si="29"/>
        <v>2</v>
      </c>
      <c r="Y37" s="16">
        <f t="shared" si="29"/>
        <v>8</v>
      </c>
      <c r="Z37" s="16">
        <f t="shared" si="29"/>
        <v>2</v>
      </c>
      <c r="AA37" s="16">
        <f t="shared" si="29"/>
        <v>0</v>
      </c>
      <c r="AB37" s="16">
        <f t="shared" si="29"/>
        <v>22</v>
      </c>
      <c r="AC37" s="16">
        <f t="shared" si="29"/>
        <v>52</v>
      </c>
      <c r="AD37" s="16">
        <f t="shared" si="29"/>
        <v>0</v>
      </c>
      <c r="AE37" s="32">
        <f t="shared" si="29"/>
        <v>88</v>
      </c>
      <c r="AF37" s="32">
        <f t="shared" si="29"/>
        <v>140</v>
      </c>
    </row>
    <row r="38" spans="2:32" ht="23.1" customHeight="1" x14ac:dyDescent="0.25">
      <c r="B38" s="46" t="s">
        <v>65</v>
      </c>
      <c r="C38" s="50">
        <v>3</v>
      </c>
      <c r="D38" s="50">
        <v>0</v>
      </c>
      <c r="E38" s="50">
        <v>1</v>
      </c>
      <c r="F38" s="50">
        <v>3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1</v>
      </c>
      <c r="M38" s="50">
        <v>1</v>
      </c>
      <c r="N38" s="50">
        <v>0</v>
      </c>
      <c r="O38" s="15">
        <f t="shared" si="0"/>
        <v>11</v>
      </c>
      <c r="P38" s="15">
        <f t="shared" si="1"/>
        <v>12</v>
      </c>
      <c r="R38" s="28" t="s">
        <v>86</v>
      </c>
      <c r="S38" s="16">
        <f t="shared" ref="S38:AF38" si="30">SUM(S13:S18)</f>
        <v>22</v>
      </c>
      <c r="T38" s="16">
        <f t="shared" si="30"/>
        <v>35</v>
      </c>
      <c r="U38" s="16">
        <f t="shared" si="30"/>
        <v>44</v>
      </c>
      <c r="V38" s="16">
        <f t="shared" si="30"/>
        <v>44</v>
      </c>
      <c r="W38" s="16">
        <f t="shared" si="30"/>
        <v>3</v>
      </c>
      <c r="X38" s="16">
        <f t="shared" si="30"/>
        <v>11</v>
      </c>
      <c r="Y38" s="16">
        <f t="shared" si="30"/>
        <v>43</v>
      </c>
      <c r="Z38" s="16">
        <f t="shared" si="30"/>
        <v>6</v>
      </c>
      <c r="AA38" s="16">
        <f t="shared" si="30"/>
        <v>0</v>
      </c>
      <c r="AB38" s="16">
        <f t="shared" si="30"/>
        <v>45</v>
      </c>
      <c r="AC38" s="16">
        <f t="shared" si="30"/>
        <v>104</v>
      </c>
      <c r="AD38" s="16">
        <f t="shared" si="30"/>
        <v>0</v>
      </c>
      <c r="AE38" s="32">
        <f t="shared" si="30"/>
        <v>253</v>
      </c>
      <c r="AF38" s="32">
        <f t="shared" si="30"/>
        <v>357</v>
      </c>
    </row>
    <row r="39" spans="2:32" ht="23.1" customHeight="1" x14ac:dyDescent="0.25">
      <c r="B39" s="46" t="s">
        <v>66</v>
      </c>
      <c r="C39" s="50">
        <v>0</v>
      </c>
      <c r="D39" s="50">
        <v>1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3</v>
      </c>
      <c r="P39" s="15">
        <f t="shared" si="1"/>
        <v>9</v>
      </c>
      <c r="R39" s="29" t="s">
        <v>87</v>
      </c>
      <c r="S39" s="16">
        <f t="shared" ref="S39:AF39" si="31">SUM(S19:S21)</f>
        <v>30</v>
      </c>
      <c r="T39" s="16">
        <f t="shared" si="31"/>
        <v>33</v>
      </c>
      <c r="U39" s="16">
        <f t="shared" si="31"/>
        <v>42</v>
      </c>
      <c r="V39" s="16">
        <f t="shared" si="31"/>
        <v>34</v>
      </c>
      <c r="W39" s="16">
        <f t="shared" si="31"/>
        <v>1</v>
      </c>
      <c r="X39" s="16">
        <f t="shared" si="31"/>
        <v>1</v>
      </c>
      <c r="Y39" s="16">
        <f t="shared" si="31"/>
        <v>26</v>
      </c>
      <c r="Z39" s="16">
        <f t="shared" si="31"/>
        <v>7</v>
      </c>
      <c r="AA39" s="16">
        <f t="shared" si="31"/>
        <v>2</v>
      </c>
      <c r="AB39" s="16">
        <f t="shared" si="31"/>
        <v>23</v>
      </c>
      <c r="AC39" s="16">
        <f t="shared" si="31"/>
        <v>51</v>
      </c>
      <c r="AD39" s="16">
        <f t="shared" si="31"/>
        <v>0</v>
      </c>
      <c r="AE39" s="32">
        <f t="shared" si="31"/>
        <v>199</v>
      </c>
      <c r="AF39" s="32">
        <f t="shared" si="31"/>
        <v>250</v>
      </c>
    </row>
    <row r="40" spans="2:32" ht="23.1" customHeight="1" x14ac:dyDescent="0.25">
      <c r="B40" s="46" t="s">
        <v>67</v>
      </c>
      <c r="C40" s="50">
        <v>0</v>
      </c>
      <c r="D40" s="50">
        <v>2</v>
      </c>
      <c r="E40" s="50">
        <v>2</v>
      </c>
      <c r="F40" s="50">
        <v>1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1</v>
      </c>
      <c r="M40" s="50">
        <v>4</v>
      </c>
      <c r="N40" s="50">
        <v>0</v>
      </c>
      <c r="O40" s="15">
        <f t="shared" si="0"/>
        <v>8</v>
      </c>
      <c r="P40" s="15">
        <f t="shared" si="1"/>
        <v>12</v>
      </c>
      <c r="R40" s="5" t="s">
        <v>17</v>
      </c>
      <c r="S40" s="16">
        <f t="shared" ref="S40:AF40" si="32">SUM(S10:S21)</f>
        <v>70</v>
      </c>
      <c r="T40" s="16">
        <f t="shared" si="32"/>
        <v>77</v>
      </c>
      <c r="U40" s="16">
        <f t="shared" si="32"/>
        <v>101</v>
      </c>
      <c r="V40" s="16">
        <f t="shared" si="32"/>
        <v>89</v>
      </c>
      <c r="W40" s="16">
        <f t="shared" si="32"/>
        <v>5</v>
      </c>
      <c r="X40" s="16">
        <f t="shared" si="32"/>
        <v>14</v>
      </c>
      <c r="Y40" s="16">
        <f t="shared" si="32"/>
        <v>77</v>
      </c>
      <c r="Z40" s="16">
        <f t="shared" si="32"/>
        <v>15</v>
      </c>
      <c r="AA40" s="16">
        <f t="shared" si="32"/>
        <v>2</v>
      </c>
      <c r="AB40" s="16">
        <f t="shared" si="32"/>
        <v>90</v>
      </c>
      <c r="AC40" s="16">
        <f t="shared" si="32"/>
        <v>207</v>
      </c>
      <c r="AD40" s="16">
        <f t="shared" si="32"/>
        <v>0</v>
      </c>
      <c r="AE40" s="32">
        <f t="shared" si="32"/>
        <v>540</v>
      </c>
      <c r="AF40" s="32">
        <f t="shared" si="32"/>
        <v>747</v>
      </c>
    </row>
    <row r="41" spans="2:32" ht="23.1" customHeight="1" x14ac:dyDescent="0.25">
      <c r="B41" s="45" t="s">
        <v>68</v>
      </c>
      <c r="C41" s="50">
        <v>0</v>
      </c>
      <c r="D41" s="50">
        <v>1</v>
      </c>
      <c r="E41" s="50">
        <v>1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4</v>
      </c>
      <c r="P41" s="15">
        <f t="shared" si="1"/>
        <v>10</v>
      </c>
      <c r="R41" s="5" t="s">
        <v>159</v>
      </c>
      <c r="S41" s="16">
        <f>SUM(S10:S33)</f>
        <v>89</v>
      </c>
      <c r="T41" s="16">
        <f t="shared" ref="T41:AF41" si="33">SUM(T10:T33)</f>
        <v>94</v>
      </c>
      <c r="U41" s="16">
        <f t="shared" si="33"/>
        <v>131</v>
      </c>
      <c r="V41" s="16">
        <f t="shared" si="33"/>
        <v>114</v>
      </c>
      <c r="W41" s="16">
        <f t="shared" si="33"/>
        <v>5</v>
      </c>
      <c r="X41" s="16">
        <f t="shared" si="33"/>
        <v>26</v>
      </c>
      <c r="Y41" s="16">
        <f t="shared" si="33"/>
        <v>124</v>
      </c>
      <c r="Z41" s="16">
        <f t="shared" si="33"/>
        <v>38</v>
      </c>
      <c r="AA41" s="16">
        <f t="shared" si="33"/>
        <v>13</v>
      </c>
      <c r="AB41" s="16">
        <f t="shared" si="33"/>
        <v>177</v>
      </c>
      <c r="AC41" s="16">
        <f t="shared" si="33"/>
        <v>265</v>
      </c>
      <c r="AD41" s="16">
        <f t="shared" si="33"/>
        <v>0</v>
      </c>
      <c r="AE41" s="32">
        <f t="shared" si="33"/>
        <v>811</v>
      </c>
      <c r="AF41" s="32">
        <f t="shared" si="33"/>
        <v>1076</v>
      </c>
    </row>
    <row r="42" spans="2:32" ht="23.1" customHeight="1" x14ac:dyDescent="0.25">
      <c r="B42" s="46" t="s">
        <v>69</v>
      </c>
      <c r="C42" s="50">
        <v>3</v>
      </c>
      <c r="D42" s="50">
        <v>5</v>
      </c>
      <c r="E42" s="50">
        <v>5</v>
      </c>
      <c r="F42" s="50">
        <v>3</v>
      </c>
      <c r="G42" s="50">
        <v>1</v>
      </c>
      <c r="H42" s="50">
        <v>1</v>
      </c>
      <c r="I42" s="50">
        <v>2</v>
      </c>
      <c r="J42" s="50">
        <v>1</v>
      </c>
      <c r="K42" s="50">
        <v>0</v>
      </c>
      <c r="L42" s="50">
        <v>4</v>
      </c>
      <c r="M42" s="50">
        <v>7</v>
      </c>
      <c r="N42" s="50">
        <v>0</v>
      </c>
      <c r="O42" s="15">
        <f t="shared" si="0"/>
        <v>25</v>
      </c>
      <c r="P42" s="15">
        <f t="shared" si="1"/>
        <v>32</v>
      </c>
      <c r="R42" s="5" t="s">
        <v>160</v>
      </c>
      <c r="S42" s="48">
        <f>S41/S40</f>
        <v>1.2714285714285714</v>
      </c>
      <c r="T42" s="48">
        <f t="shared" ref="T42:AF42" si="34">T41/T40</f>
        <v>1.2207792207792207</v>
      </c>
      <c r="U42" s="48">
        <f t="shared" si="34"/>
        <v>1.2970297029702971</v>
      </c>
      <c r="V42" s="48">
        <f t="shared" si="34"/>
        <v>1.2808988764044944</v>
      </c>
      <c r="W42" s="48">
        <f t="shared" si="34"/>
        <v>1</v>
      </c>
      <c r="X42" s="48">
        <f t="shared" si="34"/>
        <v>1.8571428571428572</v>
      </c>
      <c r="Y42" s="48">
        <f t="shared" si="34"/>
        <v>1.6103896103896105</v>
      </c>
      <c r="Z42" s="48">
        <f t="shared" si="34"/>
        <v>2.5333333333333332</v>
      </c>
      <c r="AA42" s="48">
        <f t="shared" si="34"/>
        <v>6.5</v>
      </c>
      <c r="AB42" s="48">
        <f t="shared" si="34"/>
        <v>1.9666666666666666</v>
      </c>
      <c r="AC42" s="48">
        <f t="shared" si="34"/>
        <v>1.2801932367149758</v>
      </c>
      <c r="AD42" s="48" t="e">
        <f t="shared" si="34"/>
        <v>#DIV/0!</v>
      </c>
      <c r="AE42" s="48">
        <f t="shared" si="34"/>
        <v>1.5018518518518518</v>
      </c>
      <c r="AF42" s="48">
        <f t="shared" si="34"/>
        <v>1.4404283801874163</v>
      </c>
    </row>
    <row r="43" spans="2:32" ht="23.1" customHeight="1" x14ac:dyDescent="0.25">
      <c r="B43" s="45" t="s">
        <v>70</v>
      </c>
      <c r="C43" s="50">
        <v>2</v>
      </c>
      <c r="D43" s="50">
        <v>2</v>
      </c>
      <c r="E43" s="50">
        <v>3</v>
      </c>
      <c r="F43" s="50">
        <v>3</v>
      </c>
      <c r="G43" s="50">
        <v>0</v>
      </c>
      <c r="H43" s="50">
        <v>0</v>
      </c>
      <c r="I43" s="50">
        <v>5</v>
      </c>
      <c r="J43" s="50">
        <v>1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16</v>
      </c>
      <c r="P43" s="15">
        <f t="shared" si="1"/>
        <v>18</v>
      </c>
    </row>
    <row r="44" spans="2:32" ht="23.1" customHeight="1" x14ac:dyDescent="0.25">
      <c r="B44" s="47" t="s">
        <v>71</v>
      </c>
      <c r="C44" s="50">
        <v>0</v>
      </c>
      <c r="D44" s="50">
        <v>1</v>
      </c>
      <c r="E44" s="50">
        <v>2</v>
      </c>
      <c r="F44" s="50">
        <v>5</v>
      </c>
      <c r="G44" s="50">
        <v>0</v>
      </c>
      <c r="H44" s="50">
        <v>1</v>
      </c>
      <c r="I44" s="50">
        <v>2</v>
      </c>
      <c r="J44" s="50">
        <v>0</v>
      </c>
      <c r="K44" s="50">
        <v>0</v>
      </c>
      <c r="L44" s="50">
        <v>0</v>
      </c>
      <c r="M44" s="50">
        <v>5</v>
      </c>
      <c r="N44" s="50">
        <v>0</v>
      </c>
      <c r="O44" s="15">
        <f t="shared" si="0"/>
        <v>11</v>
      </c>
      <c r="P44" s="15">
        <f t="shared" si="1"/>
        <v>16</v>
      </c>
    </row>
    <row r="45" spans="2:32" ht="23.1" customHeight="1" x14ac:dyDescent="0.25">
      <c r="B45" s="45" t="s">
        <v>72</v>
      </c>
      <c r="C45" s="50">
        <v>0</v>
      </c>
      <c r="D45" s="50">
        <v>1</v>
      </c>
      <c r="E45" s="50">
        <v>2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2</v>
      </c>
      <c r="M45" s="50">
        <v>4</v>
      </c>
      <c r="N45" s="50">
        <v>0</v>
      </c>
      <c r="O45" s="15">
        <f t="shared" si="0"/>
        <v>6</v>
      </c>
      <c r="P45" s="15">
        <f t="shared" si="1"/>
        <v>10</v>
      </c>
    </row>
    <row r="46" spans="2:32" ht="23.1" customHeight="1" x14ac:dyDescent="0.25">
      <c r="B46" s="46" t="s">
        <v>73</v>
      </c>
      <c r="C46" s="50">
        <v>1</v>
      </c>
      <c r="D46" s="50">
        <v>1</v>
      </c>
      <c r="E46" s="50">
        <v>2</v>
      </c>
      <c r="F46" s="50">
        <v>3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2</v>
      </c>
      <c r="M46" s="50">
        <v>6</v>
      </c>
      <c r="N46" s="50">
        <v>0</v>
      </c>
      <c r="O46" s="15">
        <f t="shared" si="0"/>
        <v>11</v>
      </c>
      <c r="P46" s="15">
        <f t="shared" si="1"/>
        <v>17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1</v>
      </c>
      <c r="E47" s="50">
        <v>2</v>
      </c>
      <c r="F47" s="50">
        <v>1</v>
      </c>
      <c r="G47" s="50">
        <v>1</v>
      </c>
      <c r="H47" s="50">
        <v>1</v>
      </c>
      <c r="I47" s="50">
        <v>1</v>
      </c>
      <c r="J47" s="50">
        <v>1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9</v>
      </c>
      <c r="P47" s="15">
        <f t="shared" si="1"/>
        <v>10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3</v>
      </c>
      <c r="E48" s="50">
        <v>3</v>
      </c>
      <c r="F48" s="50">
        <v>1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2</v>
      </c>
      <c r="M48" s="50">
        <v>3</v>
      </c>
      <c r="N48" s="50">
        <v>0</v>
      </c>
      <c r="O48" s="15">
        <f t="shared" si="0"/>
        <v>15</v>
      </c>
      <c r="P48" s="15">
        <f t="shared" si="1"/>
        <v>18</v>
      </c>
      <c r="R48" s="8"/>
      <c r="T48"/>
    </row>
    <row r="49" spans="2:20" ht="23.1" customHeight="1" x14ac:dyDescent="0.25">
      <c r="B49" s="45" t="s">
        <v>76</v>
      </c>
      <c r="C49" s="50">
        <v>4</v>
      </c>
      <c r="D49" s="50">
        <v>3</v>
      </c>
      <c r="E49" s="50">
        <v>3</v>
      </c>
      <c r="F49" s="50">
        <v>5</v>
      </c>
      <c r="G49" s="50">
        <v>0</v>
      </c>
      <c r="H49" s="50">
        <v>0</v>
      </c>
      <c r="I49" s="50">
        <v>3</v>
      </c>
      <c r="J49" s="50">
        <v>1</v>
      </c>
      <c r="K49" s="50">
        <v>0</v>
      </c>
      <c r="L49" s="50">
        <v>4</v>
      </c>
      <c r="M49" s="50">
        <v>5</v>
      </c>
      <c r="N49" s="50">
        <v>0</v>
      </c>
      <c r="O49" s="15">
        <f t="shared" si="0"/>
        <v>23</v>
      </c>
      <c r="P49" s="15">
        <f t="shared" si="1"/>
        <v>28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1</v>
      </c>
      <c r="E50" s="50">
        <v>2</v>
      </c>
      <c r="F50" s="50">
        <v>2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6</v>
      </c>
      <c r="P50" s="15">
        <f t="shared" si="1"/>
        <v>9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3</v>
      </c>
      <c r="E51" s="50">
        <v>4</v>
      </c>
      <c r="F51" s="50">
        <v>3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1</v>
      </c>
      <c r="M51" s="50">
        <v>2</v>
      </c>
      <c r="N51" s="50">
        <v>0</v>
      </c>
      <c r="O51" s="15">
        <f t="shared" si="0"/>
        <v>15</v>
      </c>
      <c r="P51" s="15">
        <f t="shared" si="1"/>
        <v>17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4</v>
      </c>
      <c r="E52" s="50">
        <v>5</v>
      </c>
      <c r="F52" s="50">
        <v>5</v>
      </c>
      <c r="G52" s="50">
        <v>0</v>
      </c>
      <c r="H52" s="50">
        <v>0</v>
      </c>
      <c r="I52" s="50">
        <v>3</v>
      </c>
      <c r="J52" s="50">
        <v>1</v>
      </c>
      <c r="K52" s="50">
        <v>0</v>
      </c>
      <c r="L52" s="50">
        <v>3</v>
      </c>
      <c r="M52" s="50">
        <v>3</v>
      </c>
      <c r="N52" s="50">
        <v>0</v>
      </c>
      <c r="O52" s="15">
        <f t="shared" si="0"/>
        <v>22</v>
      </c>
      <c r="P52" s="15">
        <f t="shared" si="1"/>
        <v>25</v>
      </c>
      <c r="R52" s="8"/>
      <c r="T52"/>
    </row>
    <row r="53" spans="2:20" ht="23.1" customHeight="1" x14ac:dyDescent="0.25">
      <c r="B53" s="45" t="s">
        <v>80</v>
      </c>
      <c r="C53" s="50">
        <v>4</v>
      </c>
      <c r="D53" s="50">
        <v>1</v>
      </c>
      <c r="E53" s="50">
        <v>2</v>
      </c>
      <c r="F53" s="50">
        <v>3</v>
      </c>
      <c r="G53" s="50">
        <v>0</v>
      </c>
      <c r="H53" s="50">
        <v>0</v>
      </c>
      <c r="I53" s="50">
        <v>3</v>
      </c>
      <c r="J53" s="50">
        <v>1</v>
      </c>
      <c r="K53" s="50">
        <v>0</v>
      </c>
      <c r="L53" s="50">
        <v>1</v>
      </c>
      <c r="M53" s="50">
        <v>4</v>
      </c>
      <c r="N53" s="50">
        <v>0</v>
      </c>
      <c r="O53" s="15">
        <f t="shared" si="0"/>
        <v>15</v>
      </c>
      <c r="P53" s="15">
        <f t="shared" si="1"/>
        <v>19</v>
      </c>
      <c r="R53" s="8"/>
      <c r="T53"/>
    </row>
    <row r="54" spans="2:20" ht="23.1" customHeight="1" x14ac:dyDescent="0.25">
      <c r="B54" s="45" t="s">
        <v>81</v>
      </c>
      <c r="C54" s="50">
        <v>6</v>
      </c>
      <c r="D54" s="50">
        <v>5</v>
      </c>
      <c r="E54" s="50">
        <v>5</v>
      </c>
      <c r="F54" s="50">
        <v>3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1</v>
      </c>
      <c r="M54" s="50">
        <v>5</v>
      </c>
      <c r="N54" s="50">
        <v>0</v>
      </c>
      <c r="O54" s="15">
        <f t="shared" si="0"/>
        <v>22</v>
      </c>
      <c r="P54" s="15">
        <f t="shared" si="1"/>
        <v>27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7</v>
      </c>
      <c r="E55" s="50">
        <v>8</v>
      </c>
      <c r="F55" s="50">
        <v>3</v>
      </c>
      <c r="G55" s="50">
        <v>0</v>
      </c>
      <c r="H55" s="50">
        <v>0</v>
      </c>
      <c r="I55" s="50">
        <v>3</v>
      </c>
      <c r="J55" s="50">
        <v>2</v>
      </c>
      <c r="K55" s="50">
        <v>0</v>
      </c>
      <c r="L55" s="50">
        <v>2</v>
      </c>
      <c r="M55" s="50">
        <v>3</v>
      </c>
      <c r="N55" s="50">
        <v>0</v>
      </c>
      <c r="O55" s="15">
        <f t="shared" si="0"/>
        <v>27</v>
      </c>
      <c r="P55" s="15">
        <f t="shared" si="1"/>
        <v>30</v>
      </c>
      <c r="R55" s="8"/>
      <c r="T55"/>
    </row>
    <row r="56" spans="2:20" ht="23.1" customHeight="1" x14ac:dyDescent="0.25">
      <c r="B56" s="45" t="s">
        <v>83</v>
      </c>
      <c r="C56" s="50">
        <v>4</v>
      </c>
      <c r="D56" s="50">
        <v>2</v>
      </c>
      <c r="E56" s="50">
        <v>3</v>
      </c>
      <c r="F56" s="50">
        <v>2</v>
      </c>
      <c r="G56" s="50">
        <v>0</v>
      </c>
      <c r="H56" s="50">
        <v>0</v>
      </c>
      <c r="I56" s="50">
        <v>2</v>
      </c>
      <c r="J56" s="50">
        <v>0</v>
      </c>
      <c r="K56" s="50">
        <v>2</v>
      </c>
      <c r="L56" s="50">
        <v>3</v>
      </c>
      <c r="M56" s="50">
        <v>9</v>
      </c>
      <c r="N56" s="50">
        <v>0</v>
      </c>
      <c r="O56" s="15">
        <f t="shared" si="0"/>
        <v>18</v>
      </c>
      <c r="P56" s="15">
        <f t="shared" si="1"/>
        <v>27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2</v>
      </c>
      <c r="E57" s="50">
        <v>3</v>
      </c>
      <c r="F57" s="50">
        <v>3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4</v>
      </c>
      <c r="M57" s="50">
        <v>7</v>
      </c>
      <c r="N57" s="50">
        <v>0</v>
      </c>
      <c r="O57" s="15">
        <f t="shared" si="0"/>
        <v>16</v>
      </c>
      <c r="P57" s="15">
        <f t="shared" si="1"/>
        <v>23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0</v>
      </c>
      <c r="E58" s="50">
        <v>1</v>
      </c>
      <c r="F58" s="50">
        <v>1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3</v>
      </c>
      <c r="M58" s="50">
        <v>2</v>
      </c>
      <c r="N58" s="50">
        <v>0</v>
      </c>
      <c r="O58" s="15">
        <f t="shared" si="0"/>
        <v>10</v>
      </c>
      <c r="P58" s="15">
        <f t="shared" si="1"/>
        <v>12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3</v>
      </c>
      <c r="E59" s="50">
        <v>3</v>
      </c>
      <c r="F59" s="50">
        <v>2</v>
      </c>
      <c r="G59" s="50">
        <v>0</v>
      </c>
      <c r="H59" s="50">
        <v>0</v>
      </c>
      <c r="I59" s="50">
        <v>0</v>
      </c>
      <c r="J59" s="50">
        <v>1</v>
      </c>
      <c r="K59" s="50">
        <v>0</v>
      </c>
      <c r="L59" s="50">
        <v>0</v>
      </c>
      <c r="M59" s="50">
        <v>5</v>
      </c>
      <c r="N59" s="50">
        <v>0</v>
      </c>
      <c r="O59" s="15">
        <f t="shared" si="0"/>
        <v>10</v>
      </c>
      <c r="P59" s="15">
        <f t="shared" si="1"/>
        <v>15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2</v>
      </c>
      <c r="E60" s="50">
        <v>2</v>
      </c>
      <c r="F60" s="50">
        <v>2</v>
      </c>
      <c r="G60" s="50">
        <v>0</v>
      </c>
      <c r="H60" s="50">
        <v>0</v>
      </c>
      <c r="I60" s="50">
        <v>1</v>
      </c>
      <c r="J60" s="50">
        <v>2</v>
      </c>
      <c r="K60" s="50">
        <v>0</v>
      </c>
      <c r="L60" s="50">
        <v>2</v>
      </c>
      <c r="M60" s="50">
        <v>3</v>
      </c>
      <c r="N60" s="50">
        <v>0</v>
      </c>
      <c r="O60" s="15">
        <f t="shared" si="0"/>
        <v>11</v>
      </c>
      <c r="P60" s="15">
        <f t="shared" si="1"/>
        <v>14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1</v>
      </c>
      <c r="E61" s="50">
        <v>2</v>
      </c>
      <c r="F61" s="50">
        <v>1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3</v>
      </c>
      <c r="M61" s="50">
        <v>2</v>
      </c>
      <c r="N61" s="50">
        <v>0</v>
      </c>
      <c r="O61" s="15">
        <f t="shared" si="0"/>
        <v>8</v>
      </c>
      <c r="P61" s="15">
        <f t="shared" si="1"/>
        <v>10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2</v>
      </c>
      <c r="E62" s="50">
        <v>2</v>
      </c>
      <c r="F62" s="50">
        <v>0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1</v>
      </c>
      <c r="M62" s="50">
        <v>6</v>
      </c>
      <c r="N62" s="50">
        <v>0</v>
      </c>
      <c r="O62" s="15">
        <f t="shared" si="0"/>
        <v>8</v>
      </c>
      <c r="P62" s="15">
        <f t="shared" si="1"/>
        <v>14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1</v>
      </c>
      <c r="E63" s="50">
        <v>1</v>
      </c>
      <c r="F63" s="50">
        <v>2</v>
      </c>
      <c r="G63" s="50">
        <v>0</v>
      </c>
      <c r="H63" s="50">
        <v>0</v>
      </c>
      <c r="I63" s="50">
        <v>0</v>
      </c>
      <c r="J63" s="50">
        <v>4</v>
      </c>
      <c r="K63" s="50">
        <v>0</v>
      </c>
      <c r="L63" s="50">
        <v>4</v>
      </c>
      <c r="M63" s="50">
        <v>4</v>
      </c>
      <c r="N63" s="50">
        <v>0</v>
      </c>
      <c r="O63" s="15">
        <f t="shared" si="0"/>
        <v>14</v>
      </c>
      <c r="P63" s="15">
        <f t="shared" si="1"/>
        <v>18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1</v>
      </c>
      <c r="E64" s="50">
        <v>2</v>
      </c>
      <c r="F64" s="50">
        <v>0</v>
      </c>
      <c r="G64" s="50">
        <v>0</v>
      </c>
      <c r="H64" s="50">
        <v>0</v>
      </c>
      <c r="I64" s="50">
        <v>3</v>
      </c>
      <c r="J64" s="50">
        <v>1</v>
      </c>
      <c r="K64" s="50">
        <v>0</v>
      </c>
      <c r="L64" s="50">
        <v>2</v>
      </c>
      <c r="M64" s="50">
        <v>3</v>
      </c>
      <c r="N64" s="50">
        <v>0</v>
      </c>
      <c r="O64" s="15">
        <f t="shared" si="0"/>
        <v>9</v>
      </c>
      <c r="P64" s="15">
        <f t="shared" si="1"/>
        <v>12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3</v>
      </c>
      <c r="E65" s="50">
        <v>4</v>
      </c>
      <c r="F65" s="50">
        <v>0</v>
      </c>
      <c r="G65" s="50">
        <v>0</v>
      </c>
      <c r="H65" s="50">
        <v>0</v>
      </c>
      <c r="I65" s="50">
        <v>1</v>
      </c>
      <c r="J65" s="50">
        <v>3</v>
      </c>
      <c r="K65" s="50">
        <v>1</v>
      </c>
      <c r="L65" s="50">
        <v>2</v>
      </c>
      <c r="M65" s="50">
        <v>6</v>
      </c>
      <c r="N65" s="50">
        <v>0</v>
      </c>
      <c r="O65" s="15">
        <f t="shared" si="0"/>
        <v>15</v>
      </c>
      <c r="P65" s="15">
        <f t="shared" si="1"/>
        <v>21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1</v>
      </c>
      <c r="E66" s="50">
        <v>1</v>
      </c>
      <c r="F66" s="50">
        <v>1</v>
      </c>
      <c r="G66" s="50">
        <v>0</v>
      </c>
      <c r="H66" s="50">
        <v>1</v>
      </c>
      <c r="I66" s="50">
        <v>0</v>
      </c>
      <c r="J66" s="50">
        <v>0</v>
      </c>
      <c r="K66" s="50">
        <v>0</v>
      </c>
      <c r="L66" s="50">
        <v>1</v>
      </c>
      <c r="M66" s="50">
        <v>2</v>
      </c>
      <c r="N66" s="50">
        <v>0</v>
      </c>
      <c r="O66" s="15">
        <f t="shared" si="0"/>
        <v>5</v>
      </c>
      <c r="P66" s="15">
        <f t="shared" si="1"/>
        <v>7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1</v>
      </c>
      <c r="G67" s="50">
        <v>0</v>
      </c>
      <c r="H67" s="50">
        <v>0</v>
      </c>
      <c r="I67" s="50">
        <v>1</v>
      </c>
      <c r="J67" s="50">
        <v>1</v>
      </c>
      <c r="K67" s="50">
        <v>0</v>
      </c>
      <c r="L67" s="50">
        <v>5</v>
      </c>
      <c r="M67" s="50">
        <v>1</v>
      </c>
      <c r="N67" s="50">
        <v>0</v>
      </c>
      <c r="O67" s="15">
        <f t="shared" si="0"/>
        <v>8</v>
      </c>
      <c r="P67" s="15">
        <f t="shared" si="1"/>
        <v>9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1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2</v>
      </c>
      <c r="M68" s="50">
        <v>1</v>
      </c>
      <c r="N68" s="50">
        <v>0</v>
      </c>
      <c r="O68" s="15">
        <f t="shared" si="0"/>
        <v>5</v>
      </c>
      <c r="P68" s="15">
        <f t="shared" si="1"/>
        <v>6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1</v>
      </c>
      <c r="E69" s="50">
        <v>1</v>
      </c>
      <c r="F69" s="50">
        <v>0</v>
      </c>
      <c r="G69" s="50">
        <v>0</v>
      </c>
      <c r="H69" s="50">
        <v>0</v>
      </c>
      <c r="I69" s="50">
        <v>3</v>
      </c>
      <c r="J69" s="50">
        <v>1</v>
      </c>
      <c r="K69" s="50">
        <v>1</v>
      </c>
      <c r="L69" s="50">
        <v>4</v>
      </c>
      <c r="M69" s="50">
        <v>1</v>
      </c>
      <c r="N69" s="50">
        <v>0</v>
      </c>
      <c r="O69" s="15">
        <f t="shared" si="0"/>
        <v>11</v>
      </c>
      <c r="P69" s="15">
        <f t="shared" si="1"/>
        <v>12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1</v>
      </c>
      <c r="F70" s="50">
        <v>0</v>
      </c>
      <c r="G70" s="50">
        <v>0</v>
      </c>
      <c r="H70" s="50">
        <v>1</v>
      </c>
      <c r="I70" s="50">
        <v>2</v>
      </c>
      <c r="J70" s="50">
        <v>0</v>
      </c>
      <c r="K70" s="50">
        <v>0</v>
      </c>
      <c r="L70" s="50">
        <v>6</v>
      </c>
      <c r="M70" s="50">
        <v>0</v>
      </c>
      <c r="N70" s="50">
        <v>0</v>
      </c>
      <c r="O70" s="15">
        <f t="shared" si="0"/>
        <v>11</v>
      </c>
      <c r="P70" s="15">
        <f t="shared" si="1"/>
        <v>11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0</v>
      </c>
      <c r="F71" s="50">
        <v>2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5</v>
      </c>
      <c r="M71" s="50">
        <v>3</v>
      </c>
      <c r="N71" s="50">
        <v>0</v>
      </c>
      <c r="O71" s="15">
        <f t="shared" si="0"/>
        <v>10</v>
      </c>
      <c r="P71" s="15">
        <f t="shared" si="1"/>
        <v>13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1</v>
      </c>
      <c r="F72" s="50">
        <v>0</v>
      </c>
      <c r="G72" s="50">
        <v>0</v>
      </c>
      <c r="H72" s="50">
        <v>0</v>
      </c>
      <c r="I72" s="50">
        <v>2</v>
      </c>
      <c r="J72" s="50">
        <v>2</v>
      </c>
      <c r="K72" s="50">
        <v>0</v>
      </c>
      <c r="L72" s="50">
        <v>4</v>
      </c>
      <c r="M72" s="50">
        <v>2</v>
      </c>
      <c r="N72" s="50">
        <v>0</v>
      </c>
      <c r="O72" s="15">
        <f t="shared" si="0"/>
        <v>10</v>
      </c>
      <c r="P72" s="15">
        <f t="shared" si="1"/>
        <v>12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2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3</v>
      </c>
      <c r="M73" s="50">
        <v>0</v>
      </c>
      <c r="N73" s="50">
        <v>0</v>
      </c>
      <c r="O73" s="15">
        <f t="shared" si="0"/>
        <v>8</v>
      </c>
      <c r="P73" s="15">
        <f t="shared" si="1"/>
        <v>8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1</v>
      </c>
      <c r="G74" s="50">
        <v>0</v>
      </c>
      <c r="H74" s="50">
        <v>0</v>
      </c>
      <c r="I74" s="50">
        <v>1</v>
      </c>
      <c r="J74" s="50">
        <v>1</v>
      </c>
      <c r="K74" s="50">
        <v>1</v>
      </c>
      <c r="L74" s="50">
        <v>1</v>
      </c>
      <c r="M74" s="50">
        <v>2</v>
      </c>
      <c r="N74" s="50">
        <v>0</v>
      </c>
      <c r="O74" s="15">
        <f t="shared" ref="O74:O105" si="35">SUM(C74:L74,N74)</f>
        <v>5</v>
      </c>
      <c r="P74" s="15">
        <f t="shared" ref="P74:P105" si="36">SUM(C74:N74)</f>
        <v>7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1</v>
      </c>
      <c r="I75" s="50">
        <v>3</v>
      </c>
      <c r="J75" s="50">
        <v>1</v>
      </c>
      <c r="K75" s="50">
        <v>1</v>
      </c>
      <c r="L75" s="50">
        <v>1</v>
      </c>
      <c r="M75" s="50">
        <v>0</v>
      </c>
      <c r="N75" s="50">
        <v>0</v>
      </c>
      <c r="O75" s="15">
        <f t="shared" si="35"/>
        <v>7</v>
      </c>
      <c r="P75" s="15">
        <f t="shared" si="36"/>
        <v>7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2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2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1</v>
      </c>
      <c r="M77" s="50">
        <v>0</v>
      </c>
      <c r="N77" s="50">
        <v>0</v>
      </c>
      <c r="O77" s="15">
        <f t="shared" si="35"/>
        <v>2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1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1</v>
      </c>
      <c r="M78" s="50">
        <v>0</v>
      </c>
      <c r="N78" s="50">
        <v>0</v>
      </c>
      <c r="O78" s="15">
        <f t="shared" si="35"/>
        <v>4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1</v>
      </c>
      <c r="F79" s="50">
        <v>0</v>
      </c>
      <c r="G79" s="50">
        <v>0</v>
      </c>
      <c r="H79" s="50">
        <v>2</v>
      </c>
      <c r="I79" s="50">
        <v>1</v>
      </c>
      <c r="J79" s="50">
        <v>0</v>
      </c>
      <c r="K79" s="50">
        <v>0</v>
      </c>
      <c r="L79" s="50">
        <v>3</v>
      </c>
      <c r="M79" s="50">
        <v>0</v>
      </c>
      <c r="N79" s="50">
        <v>0</v>
      </c>
      <c r="O79" s="15">
        <f t="shared" si="35"/>
        <v>7</v>
      </c>
      <c r="P79" s="15">
        <f t="shared" si="36"/>
        <v>7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1</v>
      </c>
      <c r="M80" s="50">
        <v>0</v>
      </c>
      <c r="N80" s="50">
        <v>0</v>
      </c>
      <c r="O80" s="15">
        <f t="shared" si="35"/>
        <v>3</v>
      </c>
      <c r="P80" s="15">
        <f t="shared" si="36"/>
        <v>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1</v>
      </c>
      <c r="I81" s="50">
        <v>1</v>
      </c>
      <c r="J81" s="50">
        <v>1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1</v>
      </c>
      <c r="K82" s="50">
        <v>0</v>
      </c>
      <c r="L82" s="50">
        <v>3</v>
      </c>
      <c r="M82" s="50">
        <v>0</v>
      </c>
      <c r="N82" s="50"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2</v>
      </c>
      <c r="J83" s="50">
        <v>0</v>
      </c>
      <c r="K83" s="50">
        <v>1</v>
      </c>
      <c r="L83" s="50">
        <v>2</v>
      </c>
      <c r="M83" s="50">
        <v>0</v>
      </c>
      <c r="N83" s="50">
        <v>0</v>
      </c>
      <c r="O83" s="15">
        <f t="shared" si="35"/>
        <v>6</v>
      </c>
      <c r="P83" s="15">
        <f t="shared" si="36"/>
        <v>6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1</v>
      </c>
      <c r="I84" s="50">
        <v>2</v>
      </c>
      <c r="J84" s="50">
        <v>0</v>
      </c>
      <c r="K84" s="50">
        <v>0</v>
      </c>
      <c r="L84" s="50">
        <v>2</v>
      </c>
      <c r="M84" s="50">
        <v>0</v>
      </c>
      <c r="N84" s="50">
        <v>0</v>
      </c>
      <c r="O84" s="15">
        <f t="shared" si="35"/>
        <v>5</v>
      </c>
      <c r="P84" s="15">
        <f t="shared" si="36"/>
        <v>5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1</v>
      </c>
      <c r="I85" s="50">
        <v>1</v>
      </c>
      <c r="J85" s="50">
        <v>1</v>
      </c>
      <c r="K85" s="50">
        <v>1</v>
      </c>
      <c r="L85" s="50">
        <v>1</v>
      </c>
      <c r="M85" s="50">
        <v>0</v>
      </c>
      <c r="N85" s="50">
        <v>0</v>
      </c>
      <c r="O85" s="15">
        <f t="shared" si="35"/>
        <v>5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1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0</v>
      </c>
      <c r="G87" s="50">
        <v>0</v>
      </c>
      <c r="H87" s="50">
        <v>1</v>
      </c>
      <c r="I87" s="50">
        <v>0</v>
      </c>
      <c r="J87" s="50">
        <v>0</v>
      </c>
      <c r="K87" s="50">
        <v>0</v>
      </c>
      <c r="L87" s="50">
        <v>2</v>
      </c>
      <c r="M87" s="50">
        <v>0</v>
      </c>
      <c r="N87" s="50">
        <v>0</v>
      </c>
      <c r="O87" s="15">
        <f t="shared" si="35"/>
        <v>4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1</v>
      </c>
      <c r="G88" s="50">
        <v>0</v>
      </c>
      <c r="H88" s="50">
        <v>1</v>
      </c>
      <c r="I88" s="50">
        <v>2</v>
      </c>
      <c r="J88" s="50">
        <v>0</v>
      </c>
      <c r="K88" s="50">
        <v>0</v>
      </c>
      <c r="L88" s="50">
        <v>2</v>
      </c>
      <c r="M88" s="50">
        <v>0</v>
      </c>
      <c r="N88" s="50">
        <v>0</v>
      </c>
      <c r="O88" s="15">
        <f t="shared" si="35"/>
        <v>6</v>
      </c>
      <c r="P88" s="15">
        <f t="shared" si="36"/>
        <v>6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1</v>
      </c>
      <c r="K89" s="50">
        <v>1</v>
      </c>
      <c r="L89" s="50">
        <v>1</v>
      </c>
      <c r="M89" s="50">
        <v>0</v>
      </c>
      <c r="N89" s="50">
        <v>0</v>
      </c>
      <c r="O89" s="15">
        <f t="shared" si="35"/>
        <v>3</v>
      </c>
      <c r="P89" s="15">
        <f t="shared" si="36"/>
        <v>3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1</v>
      </c>
      <c r="F90" s="50">
        <v>1</v>
      </c>
      <c r="G90" s="50">
        <v>0</v>
      </c>
      <c r="H90" s="50">
        <v>1</v>
      </c>
      <c r="I90" s="50">
        <v>0</v>
      </c>
      <c r="J90" s="50">
        <v>0</v>
      </c>
      <c r="K90" s="50">
        <v>0</v>
      </c>
      <c r="L90" s="50">
        <v>1</v>
      </c>
      <c r="M90" s="50">
        <v>0</v>
      </c>
      <c r="N90" s="50"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1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3</v>
      </c>
      <c r="M93" s="50">
        <v>0</v>
      </c>
      <c r="N93" s="50">
        <v>0</v>
      </c>
      <c r="O93" s="15">
        <f t="shared" si="35"/>
        <v>3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1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1</v>
      </c>
      <c r="M95" s="50">
        <v>0</v>
      </c>
      <c r="N95" s="50"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2</v>
      </c>
      <c r="J97" s="50">
        <v>0</v>
      </c>
      <c r="K97" s="50">
        <v>1</v>
      </c>
      <c r="L97" s="50">
        <v>0</v>
      </c>
      <c r="M97" s="50">
        <v>0</v>
      </c>
      <c r="N97" s="50">
        <v>0</v>
      </c>
      <c r="O97" s="15">
        <f t="shared" si="35"/>
        <v>3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1</v>
      </c>
      <c r="F98" s="50">
        <v>0</v>
      </c>
      <c r="G98" s="50">
        <v>0</v>
      </c>
      <c r="H98" s="50">
        <v>1</v>
      </c>
      <c r="I98" s="50">
        <v>0</v>
      </c>
      <c r="J98" s="50">
        <v>0</v>
      </c>
      <c r="K98" s="50">
        <v>0</v>
      </c>
      <c r="L98" s="50">
        <v>2</v>
      </c>
      <c r="M98" s="50">
        <v>0</v>
      </c>
      <c r="N98" s="50">
        <v>0</v>
      </c>
      <c r="O98" s="15">
        <f t="shared" si="35"/>
        <v>4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1</v>
      </c>
      <c r="M99" s="50">
        <v>0</v>
      </c>
      <c r="N99" s="50"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0</v>
      </c>
      <c r="K100" s="50">
        <v>2</v>
      </c>
      <c r="L100" s="50">
        <v>0</v>
      </c>
      <c r="M100" s="50">
        <v>0</v>
      </c>
      <c r="N100" s="50">
        <v>0</v>
      </c>
      <c r="O100" s="15">
        <f t="shared" si="35"/>
        <v>3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1</v>
      </c>
      <c r="M101" s="50">
        <v>0</v>
      </c>
      <c r="N101" s="50">
        <v>0</v>
      </c>
      <c r="O101" s="15">
        <f t="shared" si="35"/>
        <v>2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2</v>
      </c>
      <c r="P102" s="15">
        <f t="shared" si="36"/>
        <v>3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1</v>
      </c>
      <c r="E103" s="50">
        <v>1</v>
      </c>
      <c r="F103" s="50">
        <v>0</v>
      </c>
      <c r="G103" s="50">
        <v>0</v>
      </c>
      <c r="H103" s="50">
        <v>0</v>
      </c>
      <c r="I103" s="50">
        <v>2</v>
      </c>
      <c r="J103" s="50">
        <v>0</v>
      </c>
      <c r="K103" s="50">
        <v>0</v>
      </c>
      <c r="L103" s="50">
        <v>2</v>
      </c>
      <c r="M103" s="50">
        <v>4</v>
      </c>
      <c r="N103" s="50">
        <v>0</v>
      </c>
      <c r="O103" s="15">
        <f t="shared" si="35"/>
        <v>6</v>
      </c>
      <c r="P103" s="15">
        <f t="shared" si="36"/>
        <v>10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2</v>
      </c>
      <c r="G104" s="50">
        <v>0</v>
      </c>
      <c r="H104" s="50">
        <v>0</v>
      </c>
      <c r="I104" s="50">
        <v>1</v>
      </c>
      <c r="J104" s="50">
        <v>1</v>
      </c>
      <c r="K104" s="50">
        <v>0</v>
      </c>
      <c r="L104" s="50">
        <v>1</v>
      </c>
      <c r="M104" s="50">
        <v>3</v>
      </c>
      <c r="N104" s="50">
        <v>0</v>
      </c>
      <c r="O104" s="15">
        <f t="shared" si="35"/>
        <v>6</v>
      </c>
      <c r="P104" s="15">
        <f t="shared" si="36"/>
        <v>9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1</v>
      </c>
      <c r="G105" s="50">
        <v>0</v>
      </c>
      <c r="H105" s="50">
        <v>0</v>
      </c>
      <c r="I105" s="50">
        <v>1</v>
      </c>
      <c r="J105" s="50">
        <v>1</v>
      </c>
      <c r="K105" s="50">
        <v>0</v>
      </c>
      <c r="L105" s="50">
        <v>5</v>
      </c>
      <c r="M105" s="50">
        <v>7</v>
      </c>
      <c r="N105" s="50">
        <v>0</v>
      </c>
      <c r="O105" s="15">
        <f t="shared" si="35"/>
        <v>9</v>
      </c>
      <c r="P105" s="15">
        <f t="shared" si="36"/>
        <v>16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89</v>
      </c>
      <c r="D106" s="16">
        <f t="shared" ref="D106:P106" si="37">SUM(D10:D105)</f>
        <v>94</v>
      </c>
      <c r="E106" s="16">
        <f t="shared" si="37"/>
        <v>131</v>
      </c>
      <c r="F106" s="16">
        <f t="shared" si="37"/>
        <v>114</v>
      </c>
      <c r="G106" s="16">
        <f t="shared" si="37"/>
        <v>5</v>
      </c>
      <c r="H106" s="16">
        <f t="shared" si="37"/>
        <v>26</v>
      </c>
      <c r="I106" s="16">
        <f t="shared" si="37"/>
        <v>124</v>
      </c>
      <c r="J106" s="16">
        <f t="shared" si="37"/>
        <v>38</v>
      </c>
      <c r="K106" s="16">
        <f t="shared" si="37"/>
        <v>13</v>
      </c>
      <c r="L106" s="16">
        <f t="shared" si="37"/>
        <v>177</v>
      </c>
      <c r="M106" s="16">
        <f t="shared" si="37"/>
        <v>265</v>
      </c>
      <c r="N106" s="16">
        <f t="shared" si="37"/>
        <v>0</v>
      </c>
      <c r="O106" s="16">
        <f t="shared" si="37"/>
        <v>811</v>
      </c>
      <c r="P106" s="16">
        <f t="shared" si="37"/>
        <v>1076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8.2713754646840151E-2</v>
      </c>
      <c r="D107" s="43">
        <f t="shared" si="38"/>
        <v>8.7360594795539037E-2</v>
      </c>
      <c r="E107" s="43">
        <f t="shared" si="38"/>
        <v>0.12174721189591078</v>
      </c>
      <c r="F107" s="43">
        <f t="shared" si="38"/>
        <v>0.10594795539033457</v>
      </c>
      <c r="G107" s="43">
        <f t="shared" si="38"/>
        <v>4.646840148698885E-3</v>
      </c>
      <c r="H107" s="43">
        <f t="shared" si="38"/>
        <v>2.4163568773234202E-2</v>
      </c>
      <c r="I107" s="43">
        <f t="shared" si="38"/>
        <v>0.11524163568773234</v>
      </c>
      <c r="J107" s="43">
        <f t="shared" si="38"/>
        <v>3.5315985130111527E-2</v>
      </c>
      <c r="K107" s="43">
        <f t="shared" si="38"/>
        <v>1.2081784386617101E-2</v>
      </c>
      <c r="L107" s="43">
        <f t="shared" si="38"/>
        <v>0.16449814126394052</v>
      </c>
      <c r="M107" s="43">
        <f t="shared" si="38"/>
        <v>0.24628252788104088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0.10974106041923551</v>
      </c>
      <c r="D108" s="44">
        <f t="shared" ref="D108:N108" si="39">D106/$O$106</f>
        <v>0.11590628853267571</v>
      </c>
      <c r="E108" s="44">
        <f t="shared" si="39"/>
        <v>0.16152897657213316</v>
      </c>
      <c r="F108" s="44">
        <f t="shared" si="39"/>
        <v>0.14056720098643649</v>
      </c>
      <c r="G108" s="44">
        <f t="shared" si="39"/>
        <v>6.1652281134401974E-3</v>
      </c>
      <c r="H108" s="44">
        <f t="shared" si="39"/>
        <v>3.2059186189889025E-2</v>
      </c>
      <c r="I108" s="44">
        <f t="shared" si="39"/>
        <v>0.15289765721331688</v>
      </c>
      <c r="J108" s="44">
        <f t="shared" si="39"/>
        <v>4.6855733662145502E-2</v>
      </c>
      <c r="K108" s="44">
        <f t="shared" si="39"/>
        <v>1.6029593094944512E-2</v>
      </c>
      <c r="L108" s="44">
        <f t="shared" si="39"/>
        <v>0.21824907521578299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249977111117893"/>
  </sheetPr>
  <dimension ref="B1:AF174"/>
  <sheetViews>
    <sheetView view="pageBreakPreview" topLeftCell="A43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Kumi-Soroti'!C3:G3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6" t="str">
        <f>'09.08 Soroti-Kumi-24h'!G5:H5</f>
        <v>Mukura</v>
      </c>
      <c r="H5" s="67"/>
      <c r="I5" s="14"/>
      <c r="J5" s="2" t="s">
        <v>5</v>
      </c>
      <c r="K5" s="66" t="str">
        <f>'09.08 Soroti-Kumi-24h'!K5:L5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Kumi-Soroti'!D6:E6</f>
        <v>Kumi</v>
      </c>
      <c r="E6" s="67"/>
      <c r="F6" s="2" t="s">
        <v>2</v>
      </c>
      <c r="G6" s="66" t="str">
        <f>'08.08 Kumi-Soroti'!G6:H6</f>
        <v>Soroti</v>
      </c>
      <c r="H6" s="67"/>
      <c r="J6" s="2" t="s">
        <v>21</v>
      </c>
      <c r="K6" s="66" t="str">
        <f>'09.08 Soroti-Kumi-24h'!K6:L6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73" si="0">SUM(C10:L10,N10)</f>
        <v>1</v>
      </c>
      <c r="P10" s="15">
        <f t="shared" ref="P10:P73" si="1">SUM(C10:N10)</f>
        <v>4</v>
      </c>
      <c r="R10" s="1" t="s">
        <v>6</v>
      </c>
      <c r="S10" s="17">
        <f t="shared" ref="S10:AF10" si="2">SUM(C10:C13)</f>
        <v>5</v>
      </c>
      <c r="T10" s="17">
        <f t="shared" si="2"/>
        <v>1</v>
      </c>
      <c r="U10" s="17">
        <f t="shared" si="2"/>
        <v>3</v>
      </c>
      <c r="V10" s="17">
        <f t="shared" si="2"/>
        <v>10</v>
      </c>
      <c r="W10" s="17">
        <f t="shared" si="2"/>
        <v>1</v>
      </c>
      <c r="X10" s="17">
        <f t="shared" si="2"/>
        <v>1</v>
      </c>
      <c r="Y10" s="17">
        <f t="shared" si="2"/>
        <v>5</v>
      </c>
      <c r="Z10" s="17">
        <f t="shared" si="2"/>
        <v>1</v>
      </c>
      <c r="AA10" s="17">
        <f t="shared" si="2"/>
        <v>0</v>
      </c>
      <c r="AB10" s="17">
        <f t="shared" si="2"/>
        <v>3</v>
      </c>
      <c r="AC10" s="17">
        <f t="shared" si="2"/>
        <v>20</v>
      </c>
      <c r="AD10" s="17">
        <f t="shared" si="2"/>
        <v>0</v>
      </c>
      <c r="AE10" s="31">
        <f t="shared" si="2"/>
        <v>30</v>
      </c>
      <c r="AF10" s="31">
        <f t="shared" si="2"/>
        <v>50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1</v>
      </c>
      <c r="F11" s="50">
        <v>2</v>
      </c>
      <c r="G11" s="50">
        <v>1</v>
      </c>
      <c r="H11" s="50">
        <v>1</v>
      </c>
      <c r="I11" s="50">
        <v>0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7</v>
      </c>
      <c r="P11" s="15">
        <f t="shared" si="1"/>
        <v>12</v>
      </c>
      <c r="R11" s="1" t="s">
        <v>7</v>
      </c>
      <c r="S11" s="17">
        <f t="shared" ref="S11:AF11" si="3">SUM(C14:C17)</f>
        <v>3</v>
      </c>
      <c r="T11" s="17">
        <f t="shared" si="3"/>
        <v>3</v>
      </c>
      <c r="U11" s="17">
        <f t="shared" si="3"/>
        <v>6</v>
      </c>
      <c r="V11" s="17">
        <f t="shared" si="3"/>
        <v>9</v>
      </c>
      <c r="W11" s="17">
        <f t="shared" si="3"/>
        <v>1</v>
      </c>
      <c r="X11" s="17">
        <f t="shared" si="3"/>
        <v>3</v>
      </c>
      <c r="Y11" s="17">
        <f t="shared" si="3"/>
        <v>9</v>
      </c>
      <c r="Z11" s="17">
        <f t="shared" si="3"/>
        <v>1</v>
      </c>
      <c r="AA11" s="17">
        <f t="shared" si="3"/>
        <v>0</v>
      </c>
      <c r="AB11" s="17">
        <f t="shared" si="3"/>
        <v>4</v>
      </c>
      <c r="AC11" s="17">
        <f t="shared" si="3"/>
        <v>38</v>
      </c>
      <c r="AD11" s="17">
        <f t="shared" si="3"/>
        <v>0</v>
      </c>
      <c r="AE11" s="31">
        <f t="shared" si="3"/>
        <v>39</v>
      </c>
      <c r="AF11" s="31">
        <f t="shared" si="3"/>
        <v>77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2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4</v>
      </c>
      <c r="P12" s="15">
        <f t="shared" si="1"/>
        <v>11</v>
      </c>
      <c r="R12" s="1" t="s">
        <v>8</v>
      </c>
      <c r="S12" s="17">
        <f t="shared" ref="S12:AF12" si="4">SUM(C18:C21)</f>
        <v>4</v>
      </c>
      <c r="T12" s="17">
        <f t="shared" si="4"/>
        <v>2</v>
      </c>
      <c r="U12" s="17">
        <f t="shared" si="4"/>
        <v>7</v>
      </c>
      <c r="V12" s="17">
        <f t="shared" si="4"/>
        <v>6</v>
      </c>
      <c r="W12" s="17">
        <f t="shared" si="4"/>
        <v>0</v>
      </c>
      <c r="X12" s="17">
        <f t="shared" si="4"/>
        <v>3</v>
      </c>
      <c r="Y12" s="17">
        <f t="shared" si="4"/>
        <v>5</v>
      </c>
      <c r="Z12" s="17">
        <f t="shared" si="4"/>
        <v>0</v>
      </c>
      <c r="AA12" s="17">
        <f t="shared" si="4"/>
        <v>0</v>
      </c>
      <c r="AB12" s="17">
        <f t="shared" si="4"/>
        <v>7</v>
      </c>
      <c r="AC12" s="17">
        <f t="shared" si="4"/>
        <v>32</v>
      </c>
      <c r="AD12" s="17">
        <f t="shared" si="4"/>
        <v>0</v>
      </c>
      <c r="AE12" s="31">
        <f t="shared" si="4"/>
        <v>34</v>
      </c>
      <c r="AF12" s="31">
        <f t="shared" si="4"/>
        <v>66</v>
      </c>
    </row>
    <row r="13" spans="2:32" ht="23.1" customHeight="1" x14ac:dyDescent="0.25">
      <c r="B13" s="45" t="s">
        <v>40</v>
      </c>
      <c r="C13" s="50">
        <v>2</v>
      </c>
      <c r="D13" s="50">
        <v>1</v>
      </c>
      <c r="E13" s="50">
        <v>2</v>
      </c>
      <c r="F13" s="50">
        <v>6</v>
      </c>
      <c r="G13" s="50">
        <v>0</v>
      </c>
      <c r="H13" s="50">
        <v>0</v>
      </c>
      <c r="I13" s="50">
        <v>3</v>
      </c>
      <c r="J13" s="50">
        <v>1</v>
      </c>
      <c r="K13" s="50">
        <v>0</v>
      </c>
      <c r="L13" s="50">
        <v>3</v>
      </c>
      <c r="M13" s="50">
        <v>5</v>
      </c>
      <c r="N13" s="50">
        <v>0</v>
      </c>
      <c r="O13" s="15">
        <f t="shared" si="0"/>
        <v>18</v>
      </c>
      <c r="P13" s="15">
        <f t="shared" si="1"/>
        <v>23</v>
      </c>
      <c r="R13" s="1" t="s">
        <v>9</v>
      </c>
      <c r="S13" s="17">
        <f t="shared" ref="S13:AF13" si="5">SUM(C22:C25)</f>
        <v>10</v>
      </c>
      <c r="T13" s="17">
        <f t="shared" si="5"/>
        <v>5</v>
      </c>
      <c r="U13" s="17">
        <f t="shared" si="5"/>
        <v>13</v>
      </c>
      <c r="V13" s="17">
        <f t="shared" si="5"/>
        <v>14</v>
      </c>
      <c r="W13" s="17">
        <f t="shared" si="5"/>
        <v>0</v>
      </c>
      <c r="X13" s="17">
        <f t="shared" si="5"/>
        <v>2</v>
      </c>
      <c r="Y13" s="17">
        <f t="shared" si="5"/>
        <v>5</v>
      </c>
      <c r="Z13" s="17">
        <f t="shared" si="5"/>
        <v>1</v>
      </c>
      <c r="AA13" s="17">
        <f t="shared" si="5"/>
        <v>0</v>
      </c>
      <c r="AB13" s="17">
        <f t="shared" si="5"/>
        <v>3</v>
      </c>
      <c r="AC13" s="17">
        <f t="shared" si="5"/>
        <v>45</v>
      </c>
      <c r="AD13" s="17">
        <f t="shared" si="5"/>
        <v>0</v>
      </c>
      <c r="AE13" s="31">
        <f t="shared" si="5"/>
        <v>53</v>
      </c>
      <c r="AF13" s="31">
        <f t="shared" si="5"/>
        <v>98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0</v>
      </c>
      <c r="F14" s="50">
        <v>3</v>
      </c>
      <c r="G14" s="50">
        <v>1</v>
      </c>
      <c r="H14" s="50">
        <v>1</v>
      </c>
      <c r="I14" s="50">
        <v>2</v>
      </c>
      <c r="J14" s="50">
        <v>0</v>
      </c>
      <c r="K14" s="50">
        <v>0</v>
      </c>
      <c r="L14" s="50">
        <v>2</v>
      </c>
      <c r="M14" s="50">
        <v>14</v>
      </c>
      <c r="N14" s="50">
        <v>0</v>
      </c>
      <c r="O14" s="15">
        <f t="shared" si="0"/>
        <v>10</v>
      </c>
      <c r="P14" s="15">
        <f t="shared" si="1"/>
        <v>24</v>
      </c>
      <c r="R14" s="1" t="s">
        <v>10</v>
      </c>
      <c r="S14" s="17">
        <f t="shared" ref="S14:AF14" si="6">SUM(C26:C29)</f>
        <v>8</v>
      </c>
      <c r="T14" s="17">
        <f t="shared" si="6"/>
        <v>1</v>
      </c>
      <c r="U14" s="17">
        <f t="shared" si="6"/>
        <v>7</v>
      </c>
      <c r="V14" s="17">
        <f t="shared" si="6"/>
        <v>13</v>
      </c>
      <c r="W14" s="17">
        <f t="shared" si="6"/>
        <v>1</v>
      </c>
      <c r="X14" s="17">
        <f t="shared" si="6"/>
        <v>2</v>
      </c>
      <c r="Y14" s="17">
        <f t="shared" si="6"/>
        <v>5</v>
      </c>
      <c r="Z14" s="17">
        <f t="shared" si="6"/>
        <v>1</v>
      </c>
      <c r="AA14" s="17">
        <f t="shared" si="6"/>
        <v>0</v>
      </c>
      <c r="AB14" s="17">
        <f t="shared" si="6"/>
        <v>8</v>
      </c>
      <c r="AC14" s="17">
        <f t="shared" si="6"/>
        <v>38</v>
      </c>
      <c r="AD14" s="17">
        <f t="shared" si="6"/>
        <v>0</v>
      </c>
      <c r="AE14" s="31">
        <f t="shared" si="6"/>
        <v>46</v>
      </c>
      <c r="AF14" s="31">
        <f t="shared" si="6"/>
        <v>84</v>
      </c>
    </row>
    <row r="15" spans="2:32" ht="23.1" customHeight="1" x14ac:dyDescent="0.25">
      <c r="B15" s="45" t="s">
        <v>42</v>
      </c>
      <c r="C15" s="50">
        <v>0</v>
      </c>
      <c r="D15" s="50">
        <v>1</v>
      </c>
      <c r="E15" s="50">
        <v>2</v>
      </c>
      <c r="F15" s="50">
        <v>3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1</v>
      </c>
      <c r="M15" s="50">
        <v>5</v>
      </c>
      <c r="N15" s="50">
        <v>0</v>
      </c>
      <c r="O15" s="15">
        <f t="shared" si="0"/>
        <v>8</v>
      </c>
      <c r="P15" s="15">
        <f t="shared" si="1"/>
        <v>13</v>
      </c>
      <c r="R15" s="1" t="s">
        <v>11</v>
      </c>
      <c r="S15" s="17">
        <f t="shared" ref="S15:AF15" si="7">SUM(C30:C33)</f>
        <v>10</v>
      </c>
      <c r="T15" s="17">
        <f t="shared" si="7"/>
        <v>2</v>
      </c>
      <c r="U15" s="17">
        <f t="shared" si="7"/>
        <v>9</v>
      </c>
      <c r="V15" s="17">
        <f t="shared" si="7"/>
        <v>11</v>
      </c>
      <c r="W15" s="17">
        <f t="shared" si="7"/>
        <v>0</v>
      </c>
      <c r="X15" s="17">
        <f t="shared" si="7"/>
        <v>1</v>
      </c>
      <c r="Y15" s="17">
        <f t="shared" si="7"/>
        <v>5</v>
      </c>
      <c r="Z15" s="17">
        <f t="shared" si="7"/>
        <v>0</v>
      </c>
      <c r="AA15" s="17">
        <f t="shared" si="7"/>
        <v>1</v>
      </c>
      <c r="AB15" s="17">
        <f t="shared" si="7"/>
        <v>5</v>
      </c>
      <c r="AC15" s="17">
        <f t="shared" si="7"/>
        <v>53</v>
      </c>
      <c r="AD15" s="17">
        <f t="shared" si="7"/>
        <v>0</v>
      </c>
      <c r="AE15" s="31">
        <f t="shared" si="7"/>
        <v>44</v>
      </c>
      <c r="AF15" s="31">
        <f t="shared" si="7"/>
        <v>97</v>
      </c>
    </row>
    <row r="16" spans="2:32" ht="23.1" customHeight="1" x14ac:dyDescent="0.25">
      <c r="B16" s="45" t="s">
        <v>43</v>
      </c>
      <c r="C16" s="50">
        <v>0</v>
      </c>
      <c r="D16" s="50">
        <v>1</v>
      </c>
      <c r="E16" s="50">
        <v>2</v>
      </c>
      <c r="F16" s="50">
        <v>1</v>
      </c>
      <c r="G16" s="50">
        <v>0</v>
      </c>
      <c r="H16" s="50">
        <v>1</v>
      </c>
      <c r="I16" s="50">
        <v>3</v>
      </c>
      <c r="J16" s="50">
        <v>1</v>
      </c>
      <c r="K16" s="50">
        <v>0</v>
      </c>
      <c r="L16" s="50">
        <v>1</v>
      </c>
      <c r="M16" s="50">
        <v>9</v>
      </c>
      <c r="N16" s="50">
        <v>0</v>
      </c>
      <c r="O16" s="15">
        <f t="shared" si="0"/>
        <v>10</v>
      </c>
      <c r="P16" s="15">
        <f t="shared" si="1"/>
        <v>19</v>
      </c>
      <c r="R16" s="1" t="s">
        <v>12</v>
      </c>
      <c r="S16" s="17">
        <f t="shared" ref="S16:AF16" si="8">SUM(C34:C37)</f>
        <v>7</v>
      </c>
      <c r="T16" s="17">
        <f t="shared" si="8"/>
        <v>4</v>
      </c>
      <c r="U16" s="17">
        <f t="shared" si="8"/>
        <v>11</v>
      </c>
      <c r="V16" s="17">
        <f t="shared" si="8"/>
        <v>7</v>
      </c>
      <c r="W16" s="17">
        <f t="shared" si="8"/>
        <v>1</v>
      </c>
      <c r="X16" s="17">
        <f t="shared" si="8"/>
        <v>2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15</v>
      </c>
      <c r="AC16" s="17">
        <f t="shared" si="8"/>
        <v>34</v>
      </c>
      <c r="AD16" s="17">
        <f t="shared" si="8"/>
        <v>0</v>
      </c>
      <c r="AE16" s="31">
        <f t="shared" si="8"/>
        <v>51</v>
      </c>
      <c r="AF16" s="31">
        <f t="shared" si="8"/>
        <v>85</v>
      </c>
    </row>
    <row r="17" spans="2:32" ht="23.1" customHeight="1" x14ac:dyDescent="0.25">
      <c r="B17" s="45" t="s">
        <v>44</v>
      </c>
      <c r="C17" s="50">
        <v>2</v>
      </c>
      <c r="D17" s="50">
        <v>1</v>
      </c>
      <c r="E17" s="50">
        <v>2</v>
      </c>
      <c r="F17" s="50">
        <v>2</v>
      </c>
      <c r="G17" s="50">
        <v>0</v>
      </c>
      <c r="H17" s="50">
        <v>1</v>
      </c>
      <c r="I17" s="50">
        <v>3</v>
      </c>
      <c r="J17" s="50">
        <v>0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11</v>
      </c>
      <c r="P17" s="15">
        <f t="shared" si="1"/>
        <v>21</v>
      </c>
      <c r="R17" s="1" t="s">
        <v>13</v>
      </c>
      <c r="S17" s="17">
        <f t="shared" ref="S17:AF17" si="9">SUM(C38:C41)</f>
        <v>3</v>
      </c>
      <c r="T17" s="17">
        <f t="shared" si="9"/>
        <v>3</v>
      </c>
      <c r="U17" s="17">
        <f t="shared" si="9"/>
        <v>9</v>
      </c>
      <c r="V17" s="17">
        <f t="shared" si="9"/>
        <v>12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14</v>
      </c>
      <c r="AC17" s="17">
        <f t="shared" si="9"/>
        <v>23</v>
      </c>
      <c r="AD17" s="17">
        <f t="shared" si="9"/>
        <v>0</v>
      </c>
      <c r="AE17" s="31">
        <f t="shared" si="9"/>
        <v>44</v>
      </c>
      <c r="AF17" s="31">
        <f t="shared" si="9"/>
        <v>67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1</v>
      </c>
      <c r="F18" s="50">
        <v>2</v>
      </c>
      <c r="G18" s="50">
        <v>0</v>
      </c>
      <c r="H18" s="50">
        <v>2</v>
      </c>
      <c r="I18" s="50">
        <v>0</v>
      </c>
      <c r="J18" s="50">
        <v>0</v>
      </c>
      <c r="K18" s="50">
        <v>0</v>
      </c>
      <c r="L18" s="50">
        <v>1</v>
      </c>
      <c r="M18" s="50">
        <v>8</v>
      </c>
      <c r="N18" s="50">
        <v>0</v>
      </c>
      <c r="O18" s="15">
        <f t="shared" si="0"/>
        <v>6</v>
      </c>
      <c r="P18" s="15">
        <f t="shared" si="1"/>
        <v>14</v>
      </c>
      <c r="R18" s="1" t="s">
        <v>14</v>
      </c>
      <c r="S18" s="17">
        <f t="shared" ref="S18:AF18" si="10">SUM(C42:C45)</f>
        <v>15</v>
      </c>
      <c r="T18" s="17">
        <f t="shared" si="10"/>
        <v>9</v>
      </c>
      <c r="U18" s="17">
        <f t="shared" si="10"/>
        <v>15</v>
      </c>
      <c r="V18" s="17">
        <f t="shared" si="10"/>
        <v>9</v>
      </c>
      <c r="W18" s="17">
        <f t="shared" si="10"/>
        <v>1</v>
      </c>
      <c r="X18" s="17">
        <f t="shared" si="10"/>
        <v>1</v>
      </c>
      <c r="Y18" s="17">
        <f t="shared" si="10"/>
        <v>6</v>
      </c>
      <c r="Z18" s="17">
        <f t="shared" si="10"/>
        <v>0</v>
      </c>
      <c r="AA18" s="17">
        <f t="shared" si="10"/>
        <v>1</v>
      </c>
      <c r="AB18" s="17">
        <f t="shared" si="10"/>
        <v>15</v>
      </c>
      <c r="AC18" s="17">
        <f t="shared" si="10"/>
        <v>29</v>
      </c>
      <c r="AD18" s="17">
        <f t="shared" si="10"/>
        <v>0</v>
      </c>
      <c r="AE18" s="31">
        <f t="shared" si="10"/>
        <v>72</v>
      </c>
      <c r="AF18" s="31">
        <f t="shared" si="10"/>
        <v>101</v>
      </c>
    </row>
    <row r="19" spans="2:32" ht="23.1" customHeight="1" x14ac:dyDescent="0.25">
      <c r="B19" s="45" t="s">
        <v>46</v>
      </c>
      <c r="C19" s="50">
        <v>0</v>
      </c>
      <c r="D19" s="50">
        <v>1</v>
      </c>
      <c r="E19" s="50">
        <v>2</v>
      </c>
      <c r="F19" s="50">
        <v>1</v>
      </c>
      <c r="G19" s="50">
        <v>0</v>
      </c>
      <c r="H19" s="50">
        <v>1</v>
      </c>
      <c r="I19" s="50">
        <v>1</v>
      </c>
      <c r="J19" s="50">
        <v>0</v>
      </c>
      <c r="K19" s="50">
        <v>0</v>
      </c>
      <c r="L19" s="50">
        <v>2</v>
      </c>
      <c r="M19" s="50">
        <v>10</v>
      </c>
      <c r="N19" s="50">
        <v>0</v>
      </c>
      <c r="O19" s="15">
        <f t="shared" si="0"/>
        <v>8</v>
      </c>
      <c r="P19" s="15">
        <f t="shared" si="1"/>
        <v>18</v>
      </c>
      <c r="R19" s="1" t="s">
        <v>15</v>
      </c>
      <c r="S19" s="17">
        <f t="shared" ref="S19:AF19" si="11">SUM(C46:C49)</f>
        <v>3</v>
      </c>
      <c r="T19" s="17">
        <f t="shared" si="11"/>
        <v>4</v>
      </c>
      <c r="U19" s="17">
        <f t="shared" si="11"/>
        <v>8</v>
      </c>
      <c r="V19" s="17">
        <f t="shared" si="11"/>
        <v>9</v>
      </c>
      <c r="W19" s="17">
        <f t="shared" si="11"/>
        <v>0</v>
      </c>
      <c r="X19" s="17">
        <f t="shared" si="11"/>
        <v>1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11</v>
      </c>
      <c r="AC19" s="17">
        <f t="shared" si="11"/>
        <v>35</v>
      </c>
      <c r="AD19" s="17">
        <f t="shared" si="11"/>
        <v>0</v>
      </c>
      <c r="AE19" s="31">
        <f t="shared" si="11"/>
        <v>37</v>
      </c>
      <c r="AF19" s="31">
        <f t="shared" si="11"/>
        <v>72</v>
      </c>
    </row>
    <row r="20" spans="2:32" ht="23.1" customHeight="1" x14ac:dyDescent="0.25">
      <c r="B20" s="45" t="s">
        <v>47</v>
      </c>
      <c r="C20" s="50">
        <v>2</v>
      </c>
      <c r="D20" s="50">
        <v>0</v>
      </c>
      <c r="E20" s="50">
        <v>1</v>
      </c>
      <c r="F20" s="50">
        <v>2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8</v>
      </c>
      <c r="P20" s="15">
        <f t="shared" si="1"/>
        <v>16</v>
      </c>
      <c r="R20" s="1" t="s">
        <v>16</v>
      </c>
      <c r="S20" s="17">
        <f t="shared" ref="S20:AF20" si="12">SUM(C50:C53)</f>
        <v>7</v>
      </c>
      <c r="T20" s="17">
        <f t="shared" si="12"/>
        <v>5</v>
      </c>
      <c r="U20" s="17">
        <f t="shared" si="12"/>
        <v>8</v>
      </c>
      <c r="V20" s="17">
        <f t="shared" si="12"/>
        <v>12</v>
      </c>
      <c r="W20" s="17">
        <f t="shared" si="12"/>
        <v>0</v>
      </c>
      <c r="X20" s="17">
        <f t="shared" si="12"/>
        <v>1</v>
      </c>
      <c r="Y20" s="17">
        <f t="shared" si="12"/>
        <v>7</v>
      </c>
      <c r="Z20" s="17">
        <f t="shared" si="12"/>
        <v>0</v>
      </c>
      <c r="AA20" s="17">
        <f t="shared" si="12"/>
        <v>0</v>
      </c>
      <c r="AB20" s="17">
        <f t="shared" si="12"/>
        <v>10</v>
      </c>
      <c r="AC20" s="17">
        <f t="shared" si="12"/>
        <v>35</v>
      </c>
      <c r="AD20" s="17">
        <f t="shared" si="12"/>
        <v>0</v>
      </c>
      <c r="AE20" s="31">
        <f t="shared" si="12"/>
        <v>50</v>
      </c>
      <c r="AF20" s="31">
        <f t="shared" si="12"/>
        <v>85</v>
      </c>
    </row>
    <row r="21" spans="2:32" ht="23.1" customHeight="1" x14ac:dyDescent="0.25">
      <c r="B21" s="45" t="s">
        <v>48</v>
      </c>
      <c r="C21" s="50">
        <v>2</v>
      </c>
      <c r="D21" s="50">
        <v>1</v>
      </c>
      <c r="E21" s="50">
        <v>3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4</v>
      </c>
      <c r="M21" s="50">
        <v>6</v>
      </c>
      <c r="N21" s="50">
        <v>0</v>
      </c>
      <c r="O21" s="15">
        <f t="shared" si="0"/>
        <v>12</v>
      </c>
      <c r="P21" s="15">
        <f t="shared" si="1"/>
        <v>18</v>
      </c>
      <c r="R21" s="36" t="s">
        <v>20</v>
      </c>
      <c r="S21" s="34">
        <f t="shared" ref="S21:AF21" si="13">SUM(C54:C57)</f>
        <v>7</v>
      </c>
      <c r="T21" s="17">
        <f t="shared" si="13"/>
        <v>1</v>
      </c>
      <c r="U21" s="17">
        <f t="shared" si="13"/>
        <v>8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0</v>
      </c>
      <c r="AA21" s="17">
        <f t="shared" si="13"/>
        <v>0</v>
      </c>
      <c r="AB21" s="17">
        <f t="shared" si="13"/>
        <v>8</v>
      </c>
      <c r="AC21" s="17">
        <f t="shared" si="13"/>
        <v>39</v>
      </c>
      <c r="AD21" s="17">
        <f t="shared" si="13"/>
        <v>0</v>
      </c>
      <c r="AE21" s="31">
        <f t="shared" si="13"/>
        <v>41</v>
      </c>
      <c r="AF21" s="31">
        <f t="shared" si="13"/>
        <v>80</v>
      </c>
    </row>
    <row r="22" spans="2:32" ht="23.1" customHeight="1" x14ac:dyDescent="0.25">
      <c r="B22" s="45" t="s">
        <v>49</v>
      </c>
      <c r="C22" s="50">
        <v>0</v>
      </c>
      <c r="D22" s="50">
        <v>2</v>
      </c>
      <c r="E22" s="50">
        <v>5</v>
      </c>
      <c r="F22" s="50">
        <v>2</v>
      </c>
      <c r="G22" s="50">
        <v>0</v>
      </c>
      <c r="H22" s="50">
        <v>1</v>
      </c>
      <c r="I22" s="50">
        <v>1</v>
      </c>
      <c r="J22" s="50">
        <v>0</v>
      </c>
      <c r="K22" s="50">
        <v>0</v>
      </c>
      <c r="L22" s="50">
        <v>2</v>
      </c>
      <c r="M22" s="50">
        <v>16</v>
      </c>
      <c r="N22" s="50">
        <v>0</v>
      </c>
      <c r="O22" s="15">
        <f t="shared" si="0"/>
        <v>13</v>
      </c>
      <c r="P22" s="15">
        <f t="shared" si="1"/>
        <v>29</v>
      </c>
      <c r="R22" s="36" t="s">
        <v>146</v>
      </c>
      <c r="S22" s="34">
        <f>SUM(C58:C61)</f>
        <v>3</v>
      </c>
      <c r="T22" s="34">
        <f t="shared" ref="T22:AF22" si="14">SUM(D58:D61)</f>
        <v>2</v>
      </c>
      <c r="U22" s="34">
        <f t="shared" si="14"/>
        <v>8</v>
      </c>
      <c r="V22" s="34">
        <f t="shared" si="14"/>
        <v>5</v>
      </c>
      <c r="W22" s="34">
        <f t="shared" si="14"/>
        <v>0</v>
      </c>
      <c r="X22" s="34">
        <f t="shared" si="14"/>
        <v>0</v>
      </c>
      <c r="Y22" s="34">
        <f t="shared" si="14"/>
        <v>6</v>
      </c>
      <c r="Z22" s="34">
        <f t="shared" si="14"/>
        <v>0</v>
      </c>
      <c r="AA22" s="34">
        <f t="shared" si="14"/>
        <v>0</v>
      </c>
      <c r="AB22" s="34">
        <f t="shared" si="14"/>
        <v>12</v>
      </c>
      <c r="AC22" s="34">
        <f t="shared" si="14"/>
        <v>33</v>
      </c>
      <c r="AD22" s="34">
        <f t="shared" si="14"/>
        <v>0</v>
      </c>
      <c r="AE22" s="31">
        <f t="shared" si="14"/>
        <v>36</v>
      </c>
      <c r="AF22" s="31">
        <f t="shared" si="14"/>
        <v>69</v>
      </c>
    </row>
    <row r="23" spans="2:32" ht="23.1" customHeight="1" x14ac:dyDescent="0.25">
      <c r="B23" s="45" t="s">
        <v>50</v>
      </c>
      <c r="C23" s="50">
        <v>4</v>
      </c>
      <c r="D23" s="50">
        <v>1</v>
      </c>
      <c r="E23" s="50">
        <v>2</v>
      </c>
      <c r="F23" s="50">
        <v>2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10</v>
      </c>
      <c r="N23" s="50">
        <v>0</v>
      </c>
      <c r="O23" s="15">
        <f t="shared" si="0"/>
        <v>11</v>
      </c>
      <c r="P23" s="15">
        <f t="shared" si="1"/>
        <v>21</v>
      </c>
      <c r="R23" s="36" t="s">
        <v>147</v>
      </c>
      <c r="S23" s="34">
        <f>SUM(C62:C65)</f>
        <v>5</v>
      </c>
      <c r="T23" s="34">
        <f t="shared" ref="T23:AF23" si="15">SUM(D62:D65)</f>
        <v>2</v>
      </c>
      <c r="U23" s="34">
        <f t="shared" si="15"/>
        <v>5</v>
      </c>
      <c r="V23" s="34">
        <f t="shared" si="15"/>
        <v>4</v>
      </c>
      <c r="W23" s="34">
        <f t="shared" si="15"/>
        <v>0</v>
      </c>
      <c r="X23" s="34">
        <f t="shared" si="15"/>
        <v>0</v>
      </c>
      <c r="Y23" s="34">
        <f t="shared" si="15"/>
        <v>5</v>
      </c>
      <c r="Z23" s="34">
        <f t="shared" si="15"/>
        <v>0</v>
      </c>
      <c r="AA23" s="34">
        <f t="shared" si="15"/>
        <v>0</v>
      </c>
      <c r="AB23" s="34">
        <f t="shared" si="15"/>
        <v>13</v>
      </c>
      <c r="AC23" s="34">
        <f t="shared" si="15"/>
        <v>21</v>
      </c>
      <c r="AD23" s="34">
        <f t="shared" si="15"/>
        <v>0</v>
      </c>
      <c r="AE23" s="31">
        <f t="shared" si="15"/>
        <v>34</v>
      </c>
      <c r="AF23" s="31">
        <f t="shared" si="15"/>
        <v>55</v>
      </c>
    </row>
    <row r="24" spans="2:32" ht="23.1" customHeight="1" x14ac:dyDescent="0.25">
      <c r="B24" s="45" t="s">
        <v>51</v>
      </c>
      <c r="C24" s="50">
        <v>3</v>
      </c>
      <c r="D24" s="50">
        <v>1</v>
      </c>
      <c r="E24" s="50">
        <v>3</v>
      </c>
      <c r="F24" s="50">
        <v>5</v>
      </c>
      <c r="G24" s="50">
        <v>0</v>
      </c>
      <c r="H24" s="50">
        <v>1</v>
      </c>
      <c r="I24" s="50">
        <v>1</v>
      </c>
      <c r="J24" s="50">
        <v>0</v>
      </c>
      <c r="K24" s="50">
        <v>0</v>
      </c>
      <c r="L24" s="50">
        <v>1</v>
      </c>
      <c r="M24" s="50">
        <v>10</v>
      </c>
      <c r="N24" s="50">
        <v>0</v>
      </c>
      <c r="O24" s="15">
        <f t="shared" si="0"/>
        <v>15</v>
      </c>
      <c r="P24" s="15">
        <f t="shared" si="1"/>
        <v>25</v>
      </c>
      <c r="R24" s="36" t="s">
        <v>148</v>
      </c>
      <c r="S24" s="34">
        <f>SUM(C66:C69)</f>
        <v>3</v>
      </c>
      <c r="T24" s="34">
        <f t="shared" ref="T24:AF24" si="16">SUM(D66:D69)</f>
        <v>0</v>
      </c>
      <c r="U24" s="34">
        <f t="shared" si="16"/>
        <v>5</v>
      </c>
      <c r="V24" s="34">
        <f t="shared" si="16"/>
        <v>2</v>
      </c>
      <c r="W24" s="34">
        <f t="shared" si="16"/>
        <v>1</v>
      </c>
      <c r="X24" s="34">
        <f t="shared" si="16"/>
        <v>1</v>
      </c>
      <c r="Y24" s="34">
        <f t="shared" si="16"/>
        <v>3</v>
      </c>
      <c r="Z24" s="34">
        <f t="shared" si="16"/>
        <v>0</v>
      </c>
      <c r="AA24" s="34">
        <f t="shared" si="16"/>
        <v>0</v>
      </c>
      <c r="AB24" s="34">
        <f t="shared" si="16"/>
        <v>14</v>
      </c>
      <c r="AC24" s="34">
        <f t="shared" si="16"/>
        <v>20</v>
      </c>
      <c r="AD24" s="34">
        <f t="shared" si="16"/>
        <v>0</v>
      </c>
      <c r="AE24" s="31">
        <f t="shared" si="16"/>
        <v>29</v>
      </c>
      <c r="AF24" s="31">
        <f t="shared" si="16"/>
        <v>49</v>
      </c>
    </row>
    <row r="25" spans="2:32" ht="23.1" customHeight="1" x14ac:dyDescent="0.25">
      <c r="B25" s="45" t="s">
        <v>52</v>
      </c>
      <c r="C25" s="50">
        <v>3</v>
      </c>
      <c r="D25" s="50">
        <v>1</v>
      </c>
      <c r="E25" s="50">
        <v>3</v>
      </c>
      <c r="F25" s="50">
        <v>5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9</v>
      </c>
      <c r="N25" s="50">
        <v>0</v>
      </c>
      <c r="O25" s="15">
        <f t="shared" si="0"/>
        <v>14</v>
      </c>
      <c r="P25" s="15">
        <f t="shared" si="1"/>
        <v>23</v>
      </c>
      <c r="R25" s="36" t="s">
        <v>149</v>
      </c>
      <c r="S25" s="34">
        <f>SUM(C70:C73)</f>
        <v>4</v>
      </c>
      <c r="T25" s="34">
        <f t="shared" ref="T25:AF25" si="17">SUM(D70:D73)</f>
        <v>2</v>
      </c>
      <c r="U25" s="34">
        <f t="shared" si="17"/>
        <v>7</v>
      </c>
      <c r="V25" s="34">
        <f t="shared" si="17"/>
        <v>3</v>
      </c>
      <c r="W25" s="34">
        <f t="shared" si="17"/>
        <v>0</v>
      </c>
      <c r="X25" s="34">
        <f t="shared" si="17"/>
        <v>1</v>
      </c>
      <c r="Y25" s="34">
        <f t="shared" si="17"/>
        <v>3</v>
      </c>
      <c r="Z25" s="34">
        <f t="shared" si="17"/>
        <v>1</v>
      </c>
      <c r="AA25" s="34">
        <f t="shared" si="17"/>
        <v>0</v>
      </c>
      <c r="AB25" s="34">
        <f t="shared" si="17"/>
        <v>18</v>
      </c>
      <c r="AC25" s="34">
        <f t="shared" si="17"/>
        <v>15</v>
      </c>
      <c r="AD25" s="34">
        <f t="shared" si="17"/>
        <v>0</v>
      </c>
      <c r="AE25" s="31">
        <f t="shared" si="17"/>
        <v>39</v>
      </c>
      <c r="AF25" s="31">
        <f t="shared" si="17"/>
        <v>54</v>
      </c>
    </row>
    <row r="26" spans="2:32" ht="23.1" customHeight="1" x14ac:dyDescent="0.25">
      <c r="B26" s="45" t="s">
        <v>53</v>
      </c>
      <c r="C26" s="50">
        <v>2</v>
      </c>
      <c r="D26" s="50">
        <v>0</v>
      </c>
      <c r="E26" s="50">
        <v>1</v>
      </c>
      <c r="F26" s="50">
        <v>1</v>
      </c>
      <c r="G26" s="50">
        <v>1</v>
      </c>
      <c r="H26" s="50">
        <v>1</v>
      </c>
      <c r="I26" s="50">
        <v>1</v>
      </c>
      <c r="J26" s="50">
        <v>0</v>
      </c>
      <c r="K26" s="50">
        <v>0</v>
      </c>
      <c r="L26" s="50">
        <v>2</v>
      </c>
      <c r="M26" s="50">
        <v>9</v>
      </c>
      <c r="N26" s="50">
        <v>0</v>
      </c>
      <c r="O26" s="15">
        <f t="shared" si="0"/>
        <v>9</v>
      </c>
      <c r="P26" s="15">
        <f t="shared" si="1"/>
        <v>18</v>
      </c>
      <c r="R26" s="36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2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1</v>
      </c>
      <c r="AA26" s="34">
        <f t="shared" si="18"/>
        <v>0</v>
      </c>
      <c r="AB26" s="34">
        <f t="shared" si="18"/>
        <v>14</v>
      </c>
      <c r="AC26" s="34">
        <f t="shared" si="18"/>
        <v>5</v>
      </c>
      <c r="AD26" s="34">
        <f t="shared" si="18"/>
        <v>0</v>
      </c>
      <c r="AE26" s="31">
        <f t="shared" si="18"/>
        <v>25</v>
      </c>
      <c r="AF26" s="31">
        <f t="shared" si="18"/>
        <v>30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2</v>
      </c>
      <c r="F27" s="50">
        <v>2</v>
      </c>
      <c r="G27" s="50">
        <v>0</v>
      </c>
      <c r="H27" s="50">
        <v>0</v>
      </c>
      <c r="I27" s="50">
        <v>4</v>
      </c>
      <c r="J27" s="50">
        <v>0</v>
      </c>
      <c r="K27" s="50">
        <v>0</v>
      </c>
      <c r="L27" s="50">
        <v>2</v>
      </c>
      <c r="M27" s="50">
        <v>9</v>
      </c>
      <c r="N27" s="50">
        <v>0</v>
      </c>
      <c r="O27" s="15">
        <f t="shared" si="0"/>
        <v>10</v>
      </c>
      <c r="P27" s="15">
        <f t="shared" si="1"/>
        <v>19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3</v>
      </c>
      <c r="V27" s="34">
        <f t="shared" si="19"/>
        <v>3</v>
      </c>
      <c r="W27" s="34">
        <f t="shared" si="19"/>
        <v>0</v>
      </c>
      <c r="X27" s="34">
        <f t="shared" si="19"/>
        <v>1</v>
      </c>
      <c r="Y27" s="34">
        <f t="shared" si="19"/>
        <v>4</v>
      </c>
      <c r="Z27" s="34">
        <f t="shared" si="19"/>
        <v>2</v>
      </c>
      <c r="AA27" s="34">
        <f t="shared" si="19"/>
        <v>0</v>
      </c>
      <c r="AB27" s="34">
        <f t="shared" si="19"/>
        <v>5</v>
      </c>
      <c r="AC27" s="34">
        <f t="shared" si="19"/>
        <v>2</v>
      </c>
      <c r="AD27" s="34">
        <f t="shared" si="19"/>
        <v>0</v>
      </c>
      <c r="AE27" s="31">
        <f t="shared" si="19"/>
        <v>20</v>
      </c>
      <c r="AF27" s="31">
        <f t="shared" si="19"/>
        <v>22</v>
      </c>
    </row>
    <row r="28" spans="2:32" ht="23.1" customHeight="1" x14ac:dyDescent="0.25">
      <c r="B28" s="45" t="s">
        <v>55</v>
      </c>
      <c r="C28" s="50">
        <v>3</v>
      </c>
      <c r="D28" s="50">
        <v>1</v>
      </c>
      <c r="E28" s="50">
        <v>2</v>
      </c>
      <c r="F28" s="50">
        <v>4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3</v>
      </c>
      <c r="M28" s="50">
        <v>9</v>
      </c>
      <c r="N28" s="50">
        <v>0</v>
      </c>
      <c r="O28" s="15">
        <f t="shared" si="0"/>
        <v>13</v>
      </c>
      <c r="P28" s="15">
        <f t="shared" si="1"/>
        <v>22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6</v>
      </c>
      <c r="Z28" s="34">
        <f t="shared" si="20"/>
        <v>0</v>
      </c>
      <c r="AA28" s="34">
        <f t="shared" si="20"/>
        <v>1</v>
      </c>
      <c r="AB28" s="34">
        <f t="shared" si="20"/>
        <v>16</v>
      </c>
      <c r="AC28" s="34">
        <f t="shared" si="20"/>
        <v>2</v>
      </c>
      <c r="AD28" s="34">
        <f t="shared" si="20"/>
        <v>0</v>
      </c>
      <c r="AE28" s="31">
        <f t="shared" si="20"/>
        <v>29</v>
      </c>
      <c r="AF28" s="31">
        <f t="shared" si="20"/>
        <v>31</v>
      </c>
    </row>
    <row r="29" spans="2:32" ht="23.1" customHeight="1" x14ac:dyDescent="0.25">
      <c r="B29" s="45" t="s">
        <v>56</v>
      </c>
      <c r="C29" s="50">
        <v>3</v>
      </c>
      <c r="D29" s="50">
        <v>0</v>
      </c>
      <c r="E29" s="50">
        <v>2</v>
      </c>
      <c r="F29" s="50">
        <v>6</v>
      </c>
      <c r="G29" s="50">
        <v>0</v>
      </c>
      <c r="H29" s="50">
        <v>1</v>
      </c>
      <c r="I29" s="50">
        <v>0</v>
      </c>
      <c r="J29" s="50">
        <v>1</v>
      </c>
      <c r="K29" s="50">
        <v>0</v>
      </c>
      <c r="L29" s="50">
        <v>1</v>
      </c>
      <c r="M29" s="50">
        <v>11</v>
      </c>
      <c r="N29" s="50">
        <v>0</v>
      </c>
      <c r="O29" s="15">
        <f t="shared" si="0"/>
        <v>14</v>
      </c>
      <c r="P29" s="15">
        <f t="shared" si="1"/>
        <v>25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3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0</v>
      </c>
      <c r="AA29" s="34">
        <f t="shared" si="21"/>
        <v>0</v>
      </c>
      <c r="AB29" s="34">
        <f t="shared" si="21"/>
        <v>8</v>
      </c>
      <c r="AC29" s="34">
        <f t="shared" si="21"/>
        <v>1</v>
      </c>
      <c r="AD29" s="34">
        <f t="shared" si="21"/>
        <v>0</v>
      </c>
      <c r="AE29" s="31">
        <f t="shared" si="21"/>
        <v>14</v>
      </c>
      <c r="AF29" s="31">
        <f t="shared" si="21"/>
        <v>15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1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2</v>
      </c>
      <c r="M30" s="50">
        <v>15</v>
      </c>
      <c r="N30" s="50">
        <v>0</v>
      </c>
      <c r="O30" s="15">
        <f t="shared" si="0"/>
        <v>7</v>
      </c>
      <c r="P30" s="15">
        <f t="shared" si="1"/>
        <v>22</v>
      </c>
      <c r="R30" s="36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1</v>
      </c>
      <c r="AA30" s="34">
        <f t="shared" si="22"/>
        <v>0</v>
      </c>
      <c r="AB30" s="34">
        <f t="shared" si="22"/>
        <v>2</v>
      </c>
      <c r="AC30" s="34">
        <f t="shared" si="22"/>
        <v>0</v>
      </c>
      <c r="AD30" s="34">
        <f t="shared" si="22"/>
        <v>0</v>
      </c>
      <c r="AE30" s="31">
        <f t="shared" si="22"/>
        <v>12</v>
      </c>
      <c r="AF30" s="31">
        <f t="shared" si="22"/>
        <v>12</v>
      </c>
    </row>
    <row r="31" spans="2:32" ht="23.1" customHeight="1" x14ac:dyDescent="0.25">
      <c r="B31" s="46" t="s">
        <v>58</v>
      </c>
      <c r="C31" s="50">
        <v>0</v>
      </c>
      <c r="D31" s="50">
        <v>1</v>
      </c>
      <c r="E31" s="50">
        <v>3</v>
      </c>
      <c r="F31" s="50">
        <v>3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15</v>
      </c>
      <c r="N31" s="50">
        <v>0</v>
      </c>
      <c r="O31" s="15">
        <f t="shared" si="0"/>
        <v>9</v>
      </c>
      <c r="P31" s="15">
        <f t="shared" si="1"/>
        <v>24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4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0</v>
      </c>
      <c r="AB31" s="34">
        <f t="shared" si="23"/>
        <v>19</v>
      </c>
      <c r="AC31" s="34">
        <f t="shared" si="23"/>
        <v>0</v>
      </c>
      <c r="AD31" s="34">
        <f t="shared" si="23"/>
        <v>0</v>
      </c>
      <c r="AE31" s="31">
        <f t="shared" si="23"/>
        <v>30</v>
      </c>
      <c r="AF31" s="31">
        <f t="shared" si="23"/>
        <v>30</v>
      </c>
    </row>
    <row r="32" spans="2:32" ht="23.1" customHeight="1" x14ac:dyDescent="0.25">
      <c r="B32" s="46" t="s">
        <v>59</v>
      </c>
      <c r="C32" s="50">
        <v>7</v>
      </c>
      <c r="D32" s="50">
        <v>0</v>
      </c>
      <c r="E32" s="50">
        <v>2</v>
      </c>
      <c r="F32" s="50">
        <v>2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1</v>
      </c>
      <c r="M32" s="50">
        <v>15</v>
      </c>
      <c r="N32" s="50">
        <v>0</v>
      </c>
      <c r="O32" s="15">
        <f t="shared" si="0"/>
        <v>13</v>
      </c>
      <c r="P32" s="15">
        <f t="shared" si="1"/>
        <v>28</v>
      </c>
      <c r="R32" s="33" t="s">
        <v>156</v>
      </c>
      <c r="S32" s="34">
        <f>SUM(C98:C101)</f>
        <v>3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3</v>
      </c>
      <c r="Y32" s="34">
        <f t="shared" si="24"/>
        <v>1</v>
      </c>
      <c r="Z32" s="34">
        <f t="shared" si="24"/>
        <v>1</v>
      </c>
      <c r="AA32" s="34">
        <f t="shared" si="24"/>
        <v>0</v>
      </c>
      <c r="AB32" s="34">
        <f t="shared" si="24"/>
        <v>6</v>
      </c>
      <c r="AC32" s="34">
        <f t="shared" si="24"/>
        <v>3</v>
      </c>
      <c r="AD32" s="34">
        <f t="shared" si="24"/>
        <v>0</v>
      </c>
      <c r="AE32" s="31">
        <f t="shared" si="24"/>
        <v>15</v>
      </c>
      <c r="AF32" s="31">
        <f t="shared" si="24"/>
        <v>18</v>
      </c>
    </row>
    <row r="33" spans="2:32" ht="23.1" customHeight="1" x14ac:dyDescent="0.25">
      <c r="B33" s="45" t="s">
        <v>60</v>
      </c>
      <c r="C33" s="50">
        <v>2</v>
      </c>
      <c r="D33" s="50">
        <v>1</v>
      </c>
      <c r="E33" s="50">
        <v>3</v>
      </c>
      <c r="F33" s="50">
        <v>4</v>
      </c>
      <c r="G33" s="50">
        <v>0</v>
      </c>
      <c r="H33" s="50">
        <v>1</v>
      </c>
      <c r="I33" s="50">
        <v>2</v>
      </c>
      <c r="J33" s="50">
        <v>0</v>
      </c>
      <c r="K33" s="50">
        <v>1</v>
      </c>
      <c r="L33" s="50">
        <v>1</v>
      </c>
      <c r="M33" s="50">
        <v>8</v>
      </c>
      <c r="N33" s="50">
        <v>0</v>
      </c>
      <c r="O33" s="15">
        <f t="shared" si="0"/>
        <v>15</v>
      </c>
      <c r="P33" s="15">
        <f t="shared" si="1"/>
        <v>23</v>
      </c>
      <c r="R33" s="33" t="s">
        <v>157</v>
      </c>
      <c r="S33" s="34">
        <f>SUM(C102:C105)</f>
        <v>6</v>
      </c>
      <c r="T33" s="34">
        <f t="shared" ref="T33:AF33" si="25">SUM(D102:D105)</f>
        <v>1</v>
      </c>
      <c r="U33" s="34">
        <f t="shared" si="25"/>
        <v>5</v>
      </c>
      <c r="V33" s="34">
        <f t="shared" si="25"/>
        <v>2</v>
      </c>
      <c r="W33" s="34">
        <f t="shared" si="25"/>
        <v>0</v>
      </c>
      <c r="X33" s="34">
        <f t="shared" si="25"/>
        <v>1</v>
      </c>
      <c r="Y33" s="34">
        <f t="shared" si="25"/>
        <v>3</v>
      </c>
      <c r="Z33" s="34">
        <f t="shared" si="25"/>
        <v>1</v>
      </c>
      <c r="AA33" s="34">
        <f t="shared" si="25"/>
        <v>0</v>
      </c>
      <c r="AB33" s="34">
        <f t="shared" si="25"/>
        <v>9</v>
      </c>
      <c r="AC33" s="34">
        <f t="shared" si="25"/>
        <v>2</v>
      </c>
      <c r="AD33" s="34">
        <f t="shared" si="25"/>
        <v>0</v>
      </c>
      <c r="AE33" s="31">
        <f t="shared" si="25"/>
        <v>28</v>
      </c>
      <c r="AF33" s="31">
        <f t="shared" si="25"/>
        <v>30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2</v>
      </c>
      <c r="F34" s="50">
        <v>2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6</v>
      </c>
      <c r="M34" s="50">
        <v>9</v>
      </c>
      <c r="N34" s="50">
        <v>0</v>
      </c>
      <c r="O34" s="15">
        <f t="shared" si="0"/>
        <v>13</v>
      </c>
      <c r="P34" s="15">
        <f t="shared" si="1"/>
        <v>22</v>
      </c>
      <c r="R34" s="38" t="s">
        <v>90</v>
      </c>
      <c r="S34" s="39">
        <f t="shared" ref="S34:AF34" si="26">MAX(S10:S12)</f>
        <v>5</v>
      </c>
      <c r="T34" s="39">
        <f t="shared" si="26"/>
        <v>3</v>
      </c>
      <c r="U34" s="39">
        <f t="shared" si="26"/>
        <v>7</v>
      </c>
      <c r="V34" s="39">
        <f t="shared" si="26"/>
        <v>10</v>
      </c>
      <c r="W34" s="39">
        <f t="shared" si="26"/>
        <v>1</v>
      </c>
      <c r="X34" s="39">
        <f t="shared" si="26"/>
        <v>3</v>
      </c>
      <c r="Y34" s="39">
        <f t="shared" si="26"/>
        <v>9</v>
      </c>
      <c r="Z34" s="39">
        <f t="shared" si="26"/>
        <v>1</v>
      </c>
      <c r="AA34" s="39">
        <f t="shared" si="26"/>
        <v>0</v>
      </c>
      <c r="AB34" s="39">
        <f t="shared" si="26"/>
        <v>7</v>
      </c>
      <c r="AC34" s="39">
        <f t="shared" si="26"/>
        <v>38</v>
      </c>
      <c r="AD34" s="39">
        <f t="shared" si="26"/>
        <v>0</v>
      </c>
      <c r="AE34" s="40">
        <f t="shared" si="26"/>
        <v>39</v>
      </c>
      <c r="AF34" s="40">
        <f t="shared" si="26"/>
        <v>77</v>
      </c>
    </row>
    <row r="35" spans="2:32" ht="23.1" customHeight="1" x14ac:dyDescent="0.25">
      <c r="B35" s="46" t="s">
        <v>62</v>
      </c>
      <c r="C35" s="50">
        <v>3</v>
      </c>
      <c r="D35" s="50">
        <v>2</v>
      </c>
      <c r="E35" s="50">
        <v>4</v>
      </c>
      <c r="F35" s="50">
        <v>1</v>
      </c>
      <c r="G35" s="50">
        <v>0</v>
      </c>
      <c r="H35" s="50">
        <v>1</v>
      </c>
      <c r="I35" s="50">
        <v>1</v>
      </c>
      <c r="J35" s="50">
        <v>0</v>
      </c>
      <c r="K35" s="50">
        <v>0</v>
      </c>
      <c r="L35" s="50">
        <v>3</v>
      </c>
      <c r="M35" s="50">
        <v>14</v>
      </c>
      <c r="N35" s="50">
        <v>0</v>
      </c>
      <c r="O35" s="15">
        <f t="shared" si="0"/>
        <v>15</v>
      </c>
      <c r="P35" s="15">
        <f t="shared" si="1"/>
        <v>29</v>
      </c>
      <c r="R35" s="38" t="s">
        <v>91</v>
      </c>
      <c r="S35" s="39">
        <f t="shared" ref="S35:AF35" si="27">MAX(S13:S18)</f>
        <v>15</v>
      </c>
      <c r="T35" s="39">
        <f t="shared" si="27"/>
        <v>9</v>
      </c>
      <c r="U35" s="39">
        <f t="shared" si="27"/>
        <v>15</v>
      </c>
      <c r="V35" s="39">
        <f t="shared" si="27"/>
        <v>14</v>
      </c>
      <c r="W35" s="39">
        <f t="shared" si="27"/>
        <v>1</v>
      </c>
      <c r="X35" s="39">
        <f t="shared" si="27"/>
        <v>2</v>
      </c>
      <c r="Y35" s="39">
        <f t="shared" si="27"/>
        <v>6</v>
      </c>
      <c r="Z35" s="39">
        <f t="shared" si="27"/>
        <v>1</v>
      </c>
      <c r="AA35" s="39">
        <f t="shared" si="27"/>
        <v>1</v>
      </c>
      <c r="AB35" s="39">
        <f t="shared" si="27"/>
        <v>15</v>
      </c>
      <c r="AC35" s="39">
        <f t="shared" si="27"/>
        <v>53</v>
      </c>
      <c r="AD35" s="39">
        <f t="shared" si="27"/>
        <v>0</v>
      </c>
      <c r="AE35" s="40">
        <f t="shared" si="27"/>
        <v>72</v>
      </c>
      <c r="AF35" s="40">
        <f t="shared" si="27"/>
        <v>101</v>
      </c>
    </row>
    <row r="36" spans="2:32" ht="23.1" customHeight="1" x14ac:dyDescent="0.25">
      <c r="B36" s="46" t="s">
        <v>63</v>
      </c>
      <c r="C36" s="50">
        <v>0</v>
      </c>
      <c r="D36" s="50">
        <v>2</v>
      </c>
      <c r="E36" s="50">
        <v>3</v>
      </c>
      <c r="F36" s="50">
        <v>3</v>
      </c>
      <c r="G36" s="50">
        <v>1</v>
      </c>
      <c r="H36" s="50">
        <v>0</v>
      </c>
      <c r="I36" s="50">
        <v>1</v>
      </c>
      <c r="J36" s="50">
        <v>0</v>
      </c>
      <c r="K36" s="50">
        <v>0</v>
      </c>
      <c r="L36" s="50">
        <v>2</v>
      </c>
      <c r="M36" s="50">
        <v>11</v>
      </c>
      <c r="N36" s="50">
        <v>0</v>
      </c>
      <c r="O36" s="15">
        <f t="shared" si="0"/>
        <v>12</v>
      </c>
      <c r="P36" s="15">
        <f t="shared" si="1"/>
        <v>23</v>
      </c>
      <c r="R36" s="38" t="s">
        <v>92</v>
      </c>
      <c r="S36" s="39">
        <f t="shared" ref="S36:AF36" si="28">MAX(S19:S21)</f>
        <v>7</v>
      </c>
      <c r="T36" s="39">
        <f t="shared" si="28"/>
        <v>5</v>
      </c>
      <c r="U36" s="39">
        <f t="shared" si="28"/>
        <v>8</v>
      </c>
      <c r="V36" s="39">
        <f t="shared" si="28"/>
        <v>12</v>
      </c>
      <c r="W36" s="39">
        <f t="shared" si="28"/>
        <v>0</v>
      </c>
      <c r="X36" s="39">
        <f t="shared" si="28"/>
        <v>1</v>
      </c>
      <c r="Y36" s="39">
        <f t="shared" si="28"/>
        <v>7</v>
      </c>
      <c r="Z36" s="39">
        <f t="shared" si="28"/>
        <v>0</v>
      </c>
      <c r="AA36" s="39">
        <f t="shared" si="28"/>
        <v>0</v>
      </c>
      <c r="AB36" s="39">
        <f t="shared" si="28"/>
        <v>11</v>
      </c>
      <c r="AC36" s="39">
        <f t="shared" si="28"/>
        <v>39</v>
      </c>
      <c r="AD36" s="39">
        <f t="shared" si="28"/>
        <v>0</v>
      </c>
      <c r="AE36" s="40">
        <f t="shared" si="28"/>
        <v>50</v>
      </c>
      <c r="AF36" s="40">
        <f t="shared" si="28"/>
        <v>85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2</v>
      </c>
      <c r="F37" s="50">
        <v>1</v>
      </c>
      <c r="G37" s="50">
        <v>0</v>
      </c>
      <c r="H37" s="50">
        <v>1</v>
      </c>
      <c r="I37" s="50">
        <v>1</v>
      </c>
      <c r="J37" s="50">
        <v>0</v>
      </c>
      <c r="K37" s="50">
        <v>0</v>
      </c>
      <c r="L37" s="50">
        <v>4</v>
      </c>
      <c r="M37" s="50">
        <v>0</v>
      </c>
      <c r="N37" s="50">
        <v>0</v>
      </c>
      <c r="O37" s="15">
        <f t="shared" si="0"/>
        <v>11</v>
      </c>
      <c r="P37" s="15">
        <f t="shared" si="1"/>
        <v>11</v>
      </c>
      <c r="R37" s="37" t="s">
        <v>85</v>
      </c>
      <c r="S37" s="35">
        <f t="shared" ref="S37:AF37" si="29">SUM(S10:S12)</f>
        <v>12</v>
      </c>
      <c r="T37" s="16">
        <f t="shared" si="29"/>
        <v>6</v>
      </c>
      <c r="U37" s="16">
        <f t="shared" si="29"/>
        <v>16</v>
      </c>
      <c r="V37" s="16">
        <f t="shared" si="29"/>
        <v>25</v>
      </c>
      <c r="W37" s="16">
        <f t="shared" si="29"/>
        <v>2</v>
      </c>
      <c r="X37" s="16">
        <f t="shared" si="29"/>
        <v>7</v>
      </c>
      <c r="Y37" s="16">
        <f t="shared" si="29"/>
        <v>19</v>
      </c>
      <c r="Z37" s="16">
        <f t="shared" si="29"/>
        <v>2</v>
      </c>
      <c r="AA37" s="16">
        <f t="shared" si="29"/>
        <v>0</v>
      </c>
      <c r="AB37" s="16">
        <f t="shared" si="29"/>
        <v>14</v>
      </c>
      <c r="AC37" s="16">
        <f t="shared" si="29"/>
        <v>90</v>
      </c>
      <c r="AD37" s="16">
        <f t="shared" si="29"/>
        <v>0</v>
      </c>
      <c r="AE37" s="32">
        <f t="shared" si="29"/>
        <v>103</v>
      </c>
      <c r="AF37" s="32">
        <f t="shared" si="29"/>
        <v>193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2</v>
      </c>
      <c r="F38" s="50">
        <v>4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5</v>
      </c>
      <c r="M38" s="50">
        <v>2</v>
      </c>
      <c r="N38" s="50">
        <v>0</v>
      </c>
      <c r="O38" s="15">
        <f t="shared" si="0"/>
        <v>13</v>
      </c>
      <c r="P38" s="15">
        <f t="shared" si="1"/>
        <v>15</v>
      </c>
      <c r="R38" s="28" t="s">
        <v>86</v>
      </c>
      <c r="S38" s="16">
        <f t="shared" ref="S38:AF38" si="30">SUM(S13:S18)</f>
        <v>53</v>
      </c>
      <c r="T38" s="16">
        <f t="shared" si="30"/>
        <v>24</v>
      </c>
      <c r="U38" s="16">
        <f t="shared" si="30"/>
        <v>64</v>
      </c>
      <c r="V38" s="16">
        <f t="shared" si="30"/>
        <v>66</v>
      </c>
      <c r="W38" s="16">
        <f t="shared" si="30"/>
        <v>3</v>
      </c>
      <c r="X38" s="16">
        <f t="shared" si="30"/>
        <v>8</v>
      </c>
      <c r="Y38" s="16">
        <f t="shared" si="30"/>
        <v>28</v>
      </c>
      <c r="Z38" s="16">
        <f t="shared" si="30"/>
        <v>2</v>
      </c>
      <c r="AA38" s="16">
        <f t="shared" si="30"/>
        <v>2</v>
      </c>
      <c r="AB38" s="16">
        <f t="shared" si="30"/>
        <v>60</v>
      </c>
      <c r="AC38" s="16">
        <f t="shared" si="30"/>
        <v>222</v>
      </c>
      <c r="AD38" s="16">
        <f t="shared" si="30"/>
        <v>0</v>
      </c>
      <c r="AE38" s="32">
        <f t="shared" si="30"/>
        <v>310</v>
      </c>
      <c r="AF38" s="32">
        <f t="shared" si="30"/>
        <v>532</v>
      </c>
    </row>
    <row r="39" spans="2:32" ht="23.1" customHeight="1" x14ac:dyDescent="0.25">
      <c r="B39" s="46" t="s">
        <v>66</v>
      </c>
      <c r="C39" s="50">
        <v>2</v>
      </c>
      <c r="D39" s="50">
        <v>1</v>
      </c>
      <c r="E39" s="50">
        <v>2</v>
      </c>
      <c r="F39" s="50">
        <v>2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3</v>
      </c>
      <c r="M39" s="50">
        <v>2</v>
      </c>
      <c r="N39" s="50">
        <v>0</v>
      </c>
      <c r="O39" s="15">
        <f t="shared" si="0"/>
        <v>10</v>
      </c>
      <c r="P39" s="15">
        <f t="shared" si="1"/>
        <v>12</v>
      </c>
      <c r="R39" s="29" t="s">
        <v>87</v>
      </c>
      <c r="S39" s="16">
        <f t="shared" ref="S39:AF39" si="31">SUM(S19:S21)</f>
        <v>17</v>
      </c>
      <c r="T39" s="16">
        <f t="shared" si="31"/>
        <v>10</v>
      </c>
      <c r="U39" s="16">
        <f t="shared" si="31"/>
        <v>24</v>
      </c>
      <c r="V39" s="16">
        <f t="shared" si="31"/>
        <v>32</v>
      </c>
      <c r="W39" s="16">
        <f t="shared" si="31"/>
        <v>0</v>
      </c>
      <c r="X39" s="16">
        <f t="shared" si="31"/>
        <v>2</v>
      </c>
      <c r="Y39" s="16">
        <f t="shared" si="31"/>
        <v>14</v>
      </c>
      <c r="Z39" s="16">
        <f t="shared" si="31"/>
        <v>0</v>
      </c>
      <c r="AA39" s="16">
        <f t="shared" si="31"/>
        <v>0</v>
      </c>
      <c r="AB39" s="16">
        <f t="shared" si="31"/>
        <v>29</v>
      </c>
      <c r="AC39" s="16">
        <f t="shared" si="31"/>
        <v>109</v>
      </c>
      <c r="AD39" s="16">
        <f t="shared" si="31"/>
        <v>0</v>
      </c>
      <c r="AE39" s="32">
        <f t="shared" si="31"/>
        <v>128</v>
      </c>
      <c r="AF39" s="32">
        <f t="shared" si="31"/>
        <v>237</v>
      </c>
    </row>
    <row r="40" spans="2:32" ht="23.1" customHeight="1" x14ac:dyDescent="0.25">
      <c r="B40" s="46" t="s">
        <v>67</v>
      </c>
      <c r="C40" s="50">
        <v>1</v>
      </c>
      <c r="D40" s="50">
        <v>1</v>
      </c>
      <c r="E40" s="50">
        <v>3</v>
      </c>
      <c r="F40" s="50">
        <v>4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3</v>
      </c>
      <c r="M40" s="50">
        <v>14</v>
      </c>
      <c r="N40" s="50">
        <v>0</v>
      </c>
      <c r="O40" s="15">
        <f t="shared" si="0"/>
        <v>13</v>
      </c>
      <c r="P40" s="15">
        <f t="shared" si="1"/>
        <v>27</v>
      </c>
      <c r="R40" s="5" t="s">
        <v>17</v>
      </c>
      <c r="S40" s="16">
        <f t="shared" ref="S40:AF40" si="32">SUM(S10:S21)</f>
        <v>82</v>
      </c>
      <c r="T40" s="16">
        <f t="shared" si="32"/>
        <v>40</v>
      </c>
      <c r="U40" s="16">
        <f t="shared" si="32"/>
        <v>104</v>
      </c>
      <c r="V40" s="16">
        <f t="shared" si="32"/>
        <v>123</v>
      </c>
      <c r="W40" s="16">
        <f t="shared" si="32"/>
        <v>5</v>
      </c>
      <c r="X40" s="16">
        <f t="shared" si="32"/>
        <v>17</v>
      </c>
      <c r="Y40" s="16">
        <f t="shared" si="32"/>
        <v>61</v>
      </c>
      <c r="Z40" s="16">
        <f t="shared" si="32"/>
        <v>4</v>
      </c>
      <c r="AA40" s="16">
        <f t="shared" si="32"/>
        <v>2</v>
      </c>
      <c r="AB40" s="16">
        <f t="shared" si="32"/>
        <v>103</v>
      </c>
      <c r="AC40" s="16">
        <f t="shared" si="32"/>
        <v>421</v>
      </c>
      <c r="AD40" s="16">
        <f t="shared" si="32"/>
        <v>0</v>
      </c>
      <c r="AE40" s="32">
        <f t="shared" si="32"/>
        <v>541</v>
      </c>
      <c r="AF40" s="32">
        <f t="shared" si="32"/>
        <v>962</v>
      </c>
    </row>
    <row r="41" spans="2:32" ht="23.1" customHeight="1" x14ac:dyDescent="0.25">
      <c r="B41" s="45" t="s">
        <v>68</v>
      </c>
      <c r="C41" s="50">
        <v>0</v>
      </c>
      <c r="D41" s="50">
        <v>1</v>
      </c>
      <c r="E41" s="50">
        <v>2</v>
      </c>
      <c r="F41" s="50">
        <v>2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3</v>
      </c>
      <c r="M41" s="50">
        <v>5</v>
      </c>
      <c r="N41" s="50">
        <v>0</v>
      </c>
      <c r="O41" s="15">
        <f t="shared" si="0"/>
        <v>8</v>
      </c>
      <c r="P41" s="15">
        <f t="shared" si="1"/>
        <v>13</v>
      </c>
      <c r="R41" s="5" t="s">
        <v>159</v>
      </c>
      <c r="S41" s="16">
        <f>SUM(S10:S33)</f>
        <v>116</v>
      </c>
      <c r="T41" s="16">
        <f t="shared" ref="T41:AF41" si="33">SUM(T10:T33)</f>
        <v>47</v>
      </c>
      <c r="U41" s="16">
        <f t="shared" si="33"/>
        <v>149</v>
      </c>
      <c r="V41" s="16">
        <f t="shared" si="33"/>
        <v>153</v>
      </c>
      <c r="W41" s="16">
        <f t="shared" si="33"/>
        <v>6</v>
      </c>
      <c r="X41" s="16">
        <f t="shared" si="33"/>
        <v>24</v>
      </c>
      <c r="Y41" s="16">
        <f t="shared" si="33"/>
        <v>103</v>
      </c>
      <c r="Z41" s="16">
        <f t="shared" si="33"/>
        <v>12</v>
      </c>
      <c r="AA41" s="16">
        <f t="shared" si="33"/>
        <v>3</v>
      </c>
      <c r="AB41" s="16">
        <f t="shared" si="33"/>
        <v>239</v>
      </c>
      <c r="AC41" s="16">
        <f t="shared" si="33"/>
        <v>525</v>
      </c>
      <c r="AD41" s="16">
        <f t="shared" si="33"/>
        <v>0</v>
      </c>
      <c r="AE41" s="32">
        <f t="shared" si="33"/>
        <v>852</v>
      </c>
      <c r="AF41" s="32">
        <f t="shared" si="33"/>
        <v>1377</v>
      </c>
    </row>
    <row r="42" spans="2:32" ht="23.1" customHeight="1" x14ac:dyDescent="0.25">
      <c r="B42" s="46" t="s">
        <v>69</v>
      </c>
      <c r="C42" s="50">
        <v>2</v>
      </c>
      <c r="D42" s="50">
        <v>2</v>
      </c>
      <c r="E42" s="50">
        <v>3</v>
      </c>
      <c r="F42" s="50">
        <v>2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4</v>
      </c>
      <c r="M42" s="50">
        <v>2</v>
      </c>
      <c r="N42" s="50">
        <v>0</v>
      </c>
      <c r="O42" s="15">
        <f t="shared" si="0"/>
        <v>13</v>
      </c>
      <c r="P42" s="15">
        <f t="shared" si="1"/>
        <v>15</v>
      </c>
      <c r="R42" s="5" t="s">
        <v>160</v>
      </c>
      <c r="S42" s="48">
        <f>S41/S40</f>
        <v>1.4146341463414633</v>
      </c>
      <c r="T42" s="48">
        <f t="shared" ref="T42:AF42" si="34">T41/T40</f>
        <v>1.175</v>
      </c>
      <c r="U42" s="48">
        <f t="shared" si="34"/>
        <v>1.4326923076923077</v>
      </c>
      <c r="V42" s="48">
        <f t="shared" si="34"/>
        <v>1.2439024390243902</v>
      </c>
      <c r="W42" s="48">
        <f t="shared" si="34"/>
        <v>1.2</v>
      </c>
      <c r="X42" s="48">
        <f t="shared" si="34"/>
        <v>1.411764705882353</v>
      </c>
      <c r="Y42" s="48">
        <f t="shared" si="34"/>
        <v>1.6885245901639345</v>
      </c>
      <c r="Z42" s="48">
        <f t="shared" si="34"/>
        <v>3</v>
      </c>
      <c r="AA42" s="48">
        <f t="shared" si="34"/>
        <v>1.5</v>
      </c>
      <c r="AB42" s="48">
        <f t="shared" si="34"/>
        <v>2.320388349514563</v>
      </c>
      <c r="AC42" s="48">
        <f t="shared" si="34"/>
        <v>1.2470308788598574</v>
      </c>
      <c r="AD42" s="48" t="e">
        <f t="shared" si="34"/>
        <v>#DIV/0!</v>
      </c>
      <c r="AE42" s="48">
        <f t="shared" si="34"/>
        <v>1.5748613678373382</v>
      </c>
      <c r="AF42" s="48">
        <f t="shared" si="34"/>
        <v>1.4313929313929314</v>
      </c>
    </row>
    <row r="43" spans="2:32" ht="23.1" customHeight="1" x14ac:dyDescent="0.25">
      <c r="B43" s="45" t="s">
        <v>70</v>
      </c>
      <c r="C43" s="50">
        <v>5</v>
      </c>
      <c r="D43" s="50">
        <v>3</v>
      </c>
      <c r="E43" s="50">
        <v>5</v>
      </c>
      <c r="F43" s="50">
        <v>1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5</v>
      </c>
      <c r="M43" s="50">
        <v>9</v>
      </c>
      <c r="N43" s="50">
        <v>0</v>
      </c>
      <c r="O43" s="15">
        <f t="shared" si="0"/>
        <v>21</v>
      </c>
      <c r="P43" s="15">
        <f t="shared" si="1"/>
        <v>30</v>
      </c>
    </row>
    <row r="44" spans="2:32" ht="23.1" customHeight="1" x14ac:dyDescent="0.25">
      <c r="B44" s="47" t="s">
        <v>71</v>
      </c>
      <c r="C44" s="50">
        <v>5</v>
      </c>
      <c r="D44" s="50">
        <v>3</v>
      </c>
      <c r="E44" s="50">
        <v>5</v>
      </c>
      <c r="F44" s="50">
        <v>3</v>
      </c>
      <c r="G44" s="50">
        <v>1</v>
      </c>
      <c r="H44" s="50">
        <v>1</v>
      </c>
      <c r="I44" s="50">
        <v>4</v>
      </c>
      <c r="J44" s="50">
        <v>0</v>
      </c>
      <c r="K44" s="50">
        <v>1</v>
      </c>
      <c r="L44" s="50">
        <v>3</v>
      </c>
      <c r="M44" s="50">
        <v>11</v>
      </c>
      <c r="N44" s="50">
        <v>0</v>
      </c>
      <c r="O44" s="15">
        <f t="shared" si="0"/>
        <v>26</v>
      </c>
      <c r="P44" s="15">
        <f t="shared" si="1"/>
        <v>37</v>
      </c>
    </row>
    <row r="45" spans="2:32" ht="23.1" customHeight="1" x14ac:dyDescent="0.25">
      <c r="B45" s="45" t="s">
        <v>72</v>
      </c>
      <c r="C45" s="50">
        <v>3</v>
      </c>
      <c r="D45" s="50">
        <v>1</v>
      </c>
      <c r="E45" s="50">
        <v>2</v>
      </c>
      <c r="F45" s="50">
        <v>3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3</v>
      </c>
      <c r="M45" s="50">
        <v>7</v>
      </c>
      <c r="N45" s="50">
        <v>0</v>
      </c>
      <c r="O45" s="15">
        <f t="shared" si="0"/>
        <v>12</v>
      </c>
      <c r="P45" s="15">
        <f t="shared" si="1"/>
        <v>19</v>
      </c>
    </row>
    <row r="46" spans="2:32" ht="23.1" customHeight="1" x14ac:dyDescent="0.25">
      <c r="B46" s="46" t="s">
        <v>73</v>
      </c>
      <c r="C46" s="50">
        <v>1</v>
      </c>
      <c r="D46" s="50">
        <v>1</v>
      </c>
      <c r="E46" s="50">
        <v>2</v>
      </c>
      <c r="F46" s="50">
        <v>2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3</v>
      </c>
      <c r="M46" s="50">
        <v>7</v>
      </c>
      <c r="N46" s="50">
        <v>0</v>
      </c>
      <c r="O46" s="15">
        <f t="shared" si="0"/>
        <v>10</v>
      </c>
      <c r="P46" s="15">
        <f t="shared" si="1"/>
        <v>17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3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3</v>
      </c>
      <c r="M47" s="50">
        <v>10</v>
      </c>
      <c r="N47" s="50">
        <v>0</v>
      </c>
      <c r="O47" s="15">
        <f t="shared" si="0"/>
        <v>7</v>
      </c>
      <c r="P47" s="15">
        <f t="shared" si="1"/>
        <v>17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3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1</v>
      </c>
      <c r="M48" s="50">
        <v>12</v>
      </c>
      <c r="N48" s="50">
        <v>0</v>
      </c>
      <c r="O48" s="15">
        <f t="shared" si="0"/>
        <v>9</v>
      </c>
      <c r="P48" s="15">
        <f t="shared" si="1"/>
        <v>21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2</v>
      </c>
      <c r="E49" s="50">
        <v>3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4</v>
      </c>
      <c r="M49" s="50">
        <v>6</v>
      </c>
      <c r="N49" s="50">
        <v>0</v>
      </c>
      <c r="O49" s="15">
        <f t="shared" si="0"/>
        <v>11</v>
      </c>
      <c r="P49" s="15">
        <f t="shared" si="1"/>
        <v>17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2</v>
      </c>
      <c r="E50" s="50">
        <v>3</v>
      </c>
      <c r="F50" s="50">
        <v>4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1</v>
      </c>
      <c r="M50" s="50">
        <v>9</v>
      </c>
      <c r="N50" s="50">
        <v>0</v>
      </c>
      <c r="O50" s="15">
        <f t="shared" si="0"/>
        <v>14</v>
      </c>
      <c r="P50" s="15">
        <f t="shared" si="1"/>
        <v>23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1</v>
      </c>
      <c r="E51" s="50">
        <v>2</v>
      </c>
      <c r="F51" s="50">
        <v>4</v>
      </c>
      <c r="G51" s="50">
        <v>0</v>
      </c>
      <c r="H51" s="50">
        <v>1</v>
      </c>
      <c r="I51" s="50">
        <v>1</v>
      </c>
      <c r="J51" s="50">
        <v>0</v>
      </c>
      <c r="K51" s="50">
        <v>0</v>
      </c>
      <c r="L51" s="50">
        <v>3</v>
      </c>
      <c r="M51" s="50">
        <v>8</v>
      </c>
      <c r="N51" s="50">
        <v>0</v>
      </c>
      <c r="O51" s="15">
        <f t="shared" si="0"/>
        <v>12</v>
      </c>
      <c r="P51" s="15">
        <f t="shared" si="1"/>
        <v>20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0</v>
      </c>
      <c r="E52" s="50">
        <v>0</v>
      </c>
      <c r="F52" s="50">
        <v>2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1</v>
      </c>
      <c r="M52" s="50">
        <v>6</v>
      </c>
      <c r="N52" s="50">
        <v>0</v>
      </c>
      <c r="O52" s="15">
        <f t="shared" si="0"/>
        <v>9</v>
      </c>
      <c r="P52" s="15">
        <f t="shared" si="1"/>
        <v>15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2</v>
      </c>
      <c r="E53" s="50">
        <v>3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5</v>
      </c>
      <c r="M53" s="50">
        <v>12</v>
      </c>
      <c r="N53" s="50">
        <v>0</v>
      </c>
      <c r="O53" s="15">
        <f t="shared" si="0"/>
        <v>15</v>
      </c>
      <c r="P53" s="15">
        <f t="shared" si="1"/>
        <v>27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0</v>
      </c>
      <c r="E54" s="50">
        <v>1</v>
      </c>
      <c r="F54" s="50">
        <v>7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2</v>
      </c>
      <c r="M54" s="50">
        <v>13</v>
      </c>
      <c r="N54" s="50">
        <v>0</v>
      </c>
      <c r="O54" s="15">
        <f t="shared" si="0"/>
        <v>13</v>
      </c>
      <c r="P54" s="15">
        <f t="shared" si="1"/>
        <v>26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2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2</v>
      </c>
      <c r="M55" s="50">
        <v>4</v>
      </c>
      <c r="N55" s="50">
        <v>0</v>
      </c>
      <c r="O55" s="15">
        <f t="shared" si="0"/>
        <v>7</v>
      </c>
      <c r="P55" s="15">
        <f t="shared" si="1"/>
        <v>11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1</v>
      </c>
      <c r="E56" s="50">
        <v>3</v>
      </c>
      <c r="F56" s="50">
        <v>4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4</v>
      </c>
      <c r="M56" s="50">
        <v>15</v>
      </c>
      <c r="N56" s="50">
        <v>0</v>
      </c>
      <c r="O56" s="15">
        <f t="shared" si="0"/>
        <v>16</v>
      </c>
      <c r="P56" s="15">
        <f t="shared" si="1"/>
        <v>31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7</v>
      </c>
      <c r="N57" s="50">
        <v>0</v>
      </c>
      <c r="O57" s="15">
        <f t="shared" si="0"/>
        <v>5</v>
      </c>
      <c r="P57" s="15">
        <f t="shared" si="1"/>
        <v>12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2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3</v>
      </c>
      <c r="M58" s="50">
        <v>5</v>
      </c>
      <c r="N58" s="50">
        <v>0</v>
      </c>
      <c r="O58" s="15">
        <f t="shared" si="0"/>
        <v>6</v>
      </c>
      <c r="P58" s="15">
        <f t="shared" si="1"/>
        <v>11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1</v>
      </c>
      <c r="E59" s="50">
        <v>3</v>
      </c>
      <c r="F59" s="50">
        <v>1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5</v>
      </c>
      <c r="M59" s="50">
        <v>9</v>
      </c>
      <c r="N59" s="50">
        <v>0</v>
      </c>
      <c r="O59" s="15">
        <f t="shared" si="0"/>
        <v>12</v>
      </c>
      <c r="P59" s="15">
        <f t="shared" si="1"/>
        <v>21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1</v>
      </c>
      <c r="F60" s="50">
        <v>1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1</v>
      </c>
      <c r="M60" s="50">
        <v>11</v>
      </c>
      <c r="N60" s="50">
        <v>0</v>
      </c>
      <c r="O60" s="15">
        <f t="shared" si="0"/>
        <v>4</v>
      </c>
      <c r="P60" s="15">
        <f t="shared" si="1"/>
        <v>15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1</v>
      </c>
      <c r="E61" s="50">
        <v>2</v>
      </c>
      <c r="F61" s="50">
        <v>3</v>
      </c>
      <c r="G61" s="50">
        <v>0</v>
      </c>
      <c r="H61" s="50">
        <v>0</v>
      </c>
      <c r="I61" s="50">
        <v>5</v>
      </c>
      <c r="J61" s="50">
        <v>0</v>
      </c>
      <c r="K61" s="50">
        <v>0</v>
      </c>
      <c r="L61" s="50">
        <v>3</v>
      </c>
      <c r="M61" s="50">
        <v>8</v>
      </c>
      <c r="N61" s="50">
        <v>0</v>
      </c>
      <c r="O61" s="15">
        <f t="shared" si="0"/>
        <v>14</v>
      </c>
      <c r="P61" s="15">
        <f t="shared" si="1"/>
        <v>22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1</v>
      </c>
      <c r="E62" s="50">
        <v>3</v>
      </c>
      <c r="F62" s="50">
        <v>2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4</v>
      </c>
      <c r="M62" s="50">
        <v>5</v>
      </c>
      <c r="N62" s="50">
        <v>0</v>
      </c>
      <c r="O62" s="15">
        <f t="shared" si="0"/>
        <v>12</v>
      </c>
      <c r="P62" s="15">
        <f t="shared" si="1"/>
        <v>17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2</v>
      </c>
      <c r="J63" s="50">
        <v>0</v>
      </c>
      <c r="K63" s="50">
        <v>0</v>
      </c>
      <c r="L63" s="50">
        <v>5</v>
      </c>
      <c r="M63" s="50">
        <v>4</v>
      </c>
      <c r="N63" s="50">
        <v>0</v>
      </c>
      <c r="O63" s="15">
        <f t="shared" si="0"/>
        <v>7</v>
      </c>
      <c r="P63" s="15">
        <f t="shared" si="1"/>
        <v>11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1</v>
      </c>
      <c r="E64" s="50">
        <v>2</v>
      </c>
      <c r="F64" s="50">
        <v>2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7</v>
      </c>
      <c r="N64" s="50">
        <v>0</v>
      </c>
      <c r="O64" s="15">
        <f t="shared" si="0"/>
        <v>8</v>
      </c>
      <c r="P64" s="15">
        <f t="shared" si="1"/>
        <v>15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3</v>
      </c>
      <c r="J65" s="50">
        <v>0</v>
      </c>
      <c r="K65" s="50">
        <v>0</v>
      </c>
      <c r="L65" s="50">
        <v>4</v>
      </c>
      <c r="M65" s="50">
        <v>5</v>
      </c>
      <c r="N65" s="50">
        <v>0</v>
      </c>
      <c r="O65" s="15">
        <f t="shared" si="0"/>
        <v>7</v>
      </c>
      <c r="P65" s="15">
        <f t="shared" si="1"/>
        <v>12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1</v>
      </c>
      <c r="F66" s="50">
        <v>1</v>
      </c>
      <c r="G66" s="50">
        <v>1</v>
      </c>
      <c r="H66" s="50">
        <v>1</v>
      </c>
      <c r="I66" s="50">
        <v>1</v>
      </c>
      <c r="J66" s="50">
        <v>0</v>
      </c>
      <c r="K66" s="50">
        <v>0</v>
      </c>
      <c r="L66" s="50">
        <v>2</v>
      </c>
      <c r="M66" s="50">
        <v>9</v>
      </c>
      <c r="N66" s="50">
        <v>0</v>
      </c>
      <c r="O66" s="15">
        <f t="shared" si="0"/>
        <v>8</v>
      </c>
      <c r="P66" s="15">
        <f t="shared" si="1"/>
        <v>17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1</v>
      </c>
      <c r="F67" s="50">
        <v>0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3</v>
      </c>
      <c r="M67" s="50">
        <v>4</v>
      </c>
      <c r="N67" s="50">
        <v>0</v>
      </c>
      <c r="O67" s="15">
        <f t="shared" si="0"/>
        <v>6</v>
      </c>
      <c r="P67" s="15">
        <f t="shared" si="1"/>
        <v>10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1</v>
      </c>
      <c r="F68" s="50">
        <v>1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4</v>
      </c>
      <c r="N68" s="50">
        <v>0</v>
      </c>
      <c r="O68" s="15">
        <f t="shared" si="0"/>
        <v>3</v>
      </c>
      <c r="P68" s="15">
        <f t="shared" si="1"/>
        <v>7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2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9</v>
      </c>
      <c r="M69" s="50">
        <v>3</v>
      </c>
      <c r="N69" s="50">
        <v>0</v>
      </c>
      <c r="O69" s="15">
        <f t="shared" si="0"/>
        <v>12</v>
      </c>
      <c r="P69" s="15">
        <f t="shared" si="1"/>
        <v>15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0</v>
      </c>
      <c r="F70" s="50">
        <v>1</v>
      </c>
      <c r="G70" s="50">
        <v>0</v>
      </c>
      <c r="H70" s="50">
        <v>1</v>
      </c>
      <c r="I70" s="50">
        <v>1</v>
      </c>
      <c r="J70" s="50">
        <v>0</v>
      </c>
      <c r="K70" s="50">
        <v>0</v>
      </c>
      <c r="L70" s="50">
        <v>6</v>
      </c>
      <c r="M70" s="50">
        <v>3</v>
      </c>
      <c r="N70" s="50">
        <v>0</v>
      </c>
      <c r="O70" s="15">
        <f t="shared" si="0"/>
        <v>11</v>
      </c>
      <c r="P70" s="15">
        <f t="shared" si="1"/>
        <v>14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1</v>
      </c>
      <c r="E71" s="50">
        <v>3</v>
      </c>
      <c r="F71" s="50">
        <v>0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2</v>
      </c>
      <c r="M71" s="50">
        <v>6</v>
      </c>
      <c r="N71" s="50">
        <v>0</v>
      </c>
      <c r="O71" s="15">
        <f t="shared" si="0"/>
        <v>8</v>
      </c>
      <c r="P71" s="15">
        <f t="shared" si="1"/>
        <v>14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1</v>
      </c>
      <c r="E72" s="50">
        <v>3</v>
      </c>
      <c r="F72" s="50">
        <v>1</v>
      </c>
      <c r="G72" s="50">
        <v>0</v>
      </c>
      <c r="H72" s="50">
        <v>0</v>
      </c>
      <c r="I72" s="50">
        <v>1</v>
      </c>
      <c r="J72" s="50">
        <v>1</v>
      </c>
      <c r="K72" s="50">
        <v>0</v>
      </c>
      <c r="L72" s="50">
        <v>4</v>
      </c>
      <c r="M72" s="50">
        <v>3</v>
      </c>
      <c r="N72" s="50">
        <v>0</v>
      </c>
      <c r="O72" s="15">
        <f t="shared" si="0"/>
        <v>12</v>
      </c>
      <c r="P72" s="15">
        <f t="shared" si="1"/>
        <v>15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1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6</v>
      </c>
      <c r="M73" s="50">
        <v>3</v>
      </c>
      <c r="N73" s="50">
        <v>0</v>
      </c>
      <c r="O73" s="15">
        <f t="shared" si="0"/>
        <v>8</v>
      </c>
      <c r="P73" s="15">
        <f t="shared" si="1"/>
        <v>11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1</v>
      </c>
      <c r="G74" s="50">
        <v>0</v>
      </c>
      <c r="H74" s="50">
        <v>0</v>
      </c>
      <c r="I74" s="50">
        <v>2</v>
      </c>
      <c r="J74" s="50">
        <v>0</v>
      </c>
      <c r="K74" s="50">
        <v>0</v>
      </c>
      <c r="L74" s="50">
        <v>5</v>
      </c>
      <c r="M74" s="50">
        <v>2</v>
      </c>
      <c r="N74" s="50">
        <v>0</v>
      </c>
      <c r="O74" s="15">
        <f t="shared" ref="O74:O105" si="35">SUM(C74:L74,N74)</f>
        <v>8</v>
      </c>
      <c r="P74" s="15">
        <f t="shared" ref="P74:P105" si="36">SUM(C74:N74)</f>
        <v>10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2</v>
      </c>
      <c r="J75" s="50">
        <v>1</v>
      </c>
      <c r="K75" s="50">
        <v>0</v>
      </c>
      <c r="L75" s="50">
        <v>1</v>
      </c>
      <c r="M75" s="50">
        <v>1</v>
      </c>
      <c r="N75" s="50">
        <v>0</v>
      </c>
      <c r="O75" s="15">
        <f t="shared" si="35"/>
        <v>5</v>
      </c>
      <c r="P75" s="15">
        <f t="shared" si="36"/>
        <v>6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3</v>
      </c>
      <c r="M76" s="50">
        <v>0</v>
      </c>
      <c r="N76" s="50">
        <v>0</v>
      </c>
      <c r="O76" s="15">
        <f t="shared" si="35"/>
        <v>4</v>
      </c>
      <c r="P76" s="15">
        <f t="shared" si="36"/>
        <v>4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2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5</v>
      </c>
      <c r="M77" s="50">
        <v>2</v>
      </c>
      <c r="N77" s="50">
        <v>0</v>
      </c>
      <c r="O77" s="15">
        <f t="shared" si="35"/>
        <v>8</v>
      </c>
      <c r="P77" s="15">
        <f t="shared" si="36"/>
        <v>10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1</v>
      </c>
      <c r="F78" s="50">
        <v>2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4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1</v>
      </c>
      <c r="M79" s="50">
        <v>1</v>
      </c>
      <c r="N79" s="50">
        <v>0</v>
      </c>
      <c r="O79" s="15">
        <f t="shared" si="35"/>
        <v>5</v>
      </c>
      <c r="P79" s="15">
        <f t="shared" si="36"/>
        <v>6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1</v>
      </c>
      <c r="M80" s="50">
        <v>0</v>
      </c>
      <c r="N80" s="50">
        <v>0</v>
      </c>
      <c r="O80" s="15">
        <f t="shared" si="35"/>
        <v>4</v>
      </c>
      <c r="P80" s="15">
        <f t="shared" si="36"/>
        <v>4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1</v>
      </c>
      <c r="I81" s="50">
        <v>0</v>
      </c>
      <c r="J81" s="50">
        <v>2</v>
      </c>
      <c r="K81" s="50">
        <v>0</v>
      </c>
      <c r="L81" s="50">
        <v>3</v>
      </c>
      <c r="M81" s="50">
        <v>1</v>
      </c>
      <c r="N81" s="50">
        <v>0</v>
      </c>
      <c r="O81" s="15">
        <f t="shared" si="35"/>
        <v>7</v>
      </c>
      <c r="P81" s="15">
        <f t="shared" si="36"/>
        <v>8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4</v>
      </c>
      <c r="M82" s="50">
        <v>1</v>
      </c>
      <c r="N82" s="50">
        <v>0</v>
      </c>
      <c r="O82" s="15">
        <f t="shared" si="35"/>
        <v>4</v>
      </c>
      <c r="P82" s="15">
        <f t="shared" si="36"/>
        <v>5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1</v>
      </c>
      <c r="F83" s="50">
        <v>1</v>
      </c>
      <c r="G83" s="50">
        <v>0</v>
      </c>
      <c r="H83" s="50">
        <v>0</v>
      </c>
      <c r="I83" s="50">
        <v>3</v>
      </c>
      <c r="J83" s="50">
        <v>0</v>
      </c>
      <c r="K83" s="50">
        <v>0</v>
      </c>
      <c r="L83" s="50">
        <v>4</v>
      </c>
      <c r="M83" s="50">
        <v>1</v>
      </c>
      <c r="N83" s="50">
        <v>0</v>
      </c>
      <c r="O83" s="15">
        <f t="shared" si="35"/>
        <v>11</v>
      </c>
      <c r="P83" s="15">
        <f t="shared" si="36"/>
        <v>12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6</v>
      </c>
      <c r="M84" s="50">
        <v>0</v>
      </c>
      <c r="N84" s="50">
        <v>0</v>
      </c>
      <c r="O84" s="15">
        <f t="shared" si="35"/>
        <v>8</v>
      </c>
      <c r="P84" s="15">
        <f t="shared" si="36"/>
        <v>8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2</v>
      </c>
      <c r="J85" s="50">
        <v>0</v>
      </c>
      <c r="K85" s="50">
        <v>1</v>
      </c>
      <c r="L85" s="50">
        <v>2</v>
      </c>
      <c r="M85" s="50">
        <v>0</v>
      </c>
      <c r="N85" s="50">
        <v>0</v>
      </c>
      <c r="O85" s="15">
        <f t="shared" si="35"/>
        <v>6</v>
      </c>
      <c r="P85" s="15">
        <f t="shared" si="36"/>
        <v>6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2</v>
      </c>
      <c r="J86" s="50">
        <v>0</v>
      </c>
      <c r="K86" s="50">
        <v>0</v>
      </c>
      <c r="L86" s="50">
        <v>5</v>
      </c>
      <c r="M86" s="50">
        <v>1</v>
      </c>
      <c r="N86" s="50">
        <v>0</v>
      </c>
      <c r="O86" s="15">
        <f t="shared" si="35"/>
        <v>8</v>
      </c>
      <c r="P86" s="15">
        <f t="shared" si="36"/>
        <v>9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2</v>
      </c>
      <c r="M87" s="50">
        <v>0</v>
      </c>
      <c r="N87" s="50">
        <v>0</v>
      </c>
      <c r="O87" s="15">
        <f t="shared" si="35"/>
        <v>3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2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1</v>
      </c>
      <c r="M89" s="50">
        <v>0</v>
      </c>
      <c r="N89" s="50">
        <v>0</v>
      </c>
      <c r="O89" s="15">
        <f t="shared" si="35"/>
        <v>3</v>
      </c>
      <c r="P89" s="15">
        <f t="shared" si="36"/>
        <v>3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2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2</v>
      </c>
      <c r="M91" s="50">
        <v>0</v>
      </c>
      <c r="N91" s="50">
        <v>0</v>
      </c>
      <c r="O91" s="15">
        <f t="shared" si="35"/>
        <v>5</v>
      </c>
      <c r="P91" s="15">
        <f t="shared" si="36"/>
        <v>5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2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3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2</v>
      </c>
      <c r="F94" s="50">
        <v>1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7</v>
      </c>
      <c r="M94" s="50">
        <v>0</v>
      </c>
      <c r="N94" s="50">
        <v>0</v>
      </c>
      <c r="O94" s="15">
        <f t="shared" si="35"/>
        <v>10</v>
      </c>
      <c r="P94" s="15">
        <f t="shared" si="36"/>
        <v>10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2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3</v>
      </c>
      <c r="M95" s="50">
        <v>0</v>
      </c>
      <c r="N95" s="50">
        <v>0</v>
      </c>
      <c r="O95" s="15">
        <f t="shared" si="35"/>
        <v>6</v>
      </c>
      <c r="P95" s="15">
        <f t="shared" si="36"/>
        <v>6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5</v>
      </c>
      <c r="M96" s="50">
        <v>0</v>
      </c>
      <c r="N96" s="50">
        <v>0</v>
      </c>
      <c r="O96" s="15">
        <f t="shared" si="35"/>
        <v>5</v>
      </c>
      <c r="P96" s="15">
        <f t="shared" si="36"/>
        <v>5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2</v>
      </c>
      <c r="F97" s="50">
        <v>0</v>
      </c>
      <c r="G97" s="50">
        <v>0</v>
      </c>
      <c r="H97" s="50">
        <v>0</v>
      </c>
      <c r="I97" s="50">
        <v>2</v>
      </c>
      <c r="J97" s="50">
        <v>1</v>
      </c>
      <c r="K97" s="50">
        <v>0</v>
      </c>
      <c r="L97" s="50">
        <v>4</v>
      </c>
      <c r="M97" s="50">
        <v>0</v>
      </c>
      <c r="N97" s="50">
        <v>0</v>
      </c>
      <c r="O97" s="15">
        <f t="shared" si="35"/>
        <v>9</v>
      </c>
      <c r="P97" s="15">
        <f t="shared" si="36"/>
        <v>9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1</v>
      </c>
      <c r="K98" s="50">
        <v>0</v>
      </c>
      <c r="L98" s="50">
        <v>3</v>
      </c>
      <c r="M98" s="50">
        <v>0</v>
      </c>
      <c r="N98" s="50">
        <v>0</v>
      </c>
      <c r="O98" s="15">
        <f t="shared" si="35"/>
        <v>6</v>
      </c>
      <c r="P98" s="15">
        <f t="shared" si="36"/>
        <v>6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1</v>
      </c>
      <c r="I99" s="50">
        <v>0</v>
      </c>
      <c r="J99" s="50">
        <v>0</v>
      </c>
      <c r="K99" s="50">
        <v>0</v>
      </c>
      <c r="L99" s="50">
        <v>1</v>
      </c>
      <c r="M99" s="50">
        <v>1</v>
      </c>
      <c r="N99" s="50">
        <v>0</v>
      </c>
      <c r="O99" s="15">
        <f t="shared" si="35"/>
        <v>3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1</v>
      </c>
      <c r="F100" s="50">
        <v>0</v>
      </c>
      <c r="G100" s="50">
        <v>0</v>
      </c>
      <c r="H100" s="50">
        <v>2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3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2</v>
      </c>
      <c r="M101" s="50">
        <v>1</v>
      </c>
      <c r="N101" s="50">
        <v>0</v>
      </c>
      <c r="O101" s="15">
        <f t="shared" si="35"/>
        <v>3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1</v>
      </c>
      <c r="F102" s="50">
        <v>1</v>
      </c>
      <c r="G102" s="50">
        <v>0</v>
      </c>
      <c r="H102" s="50">
        <v>1</v>
      </c>
      <c r="I102" s="50">
        <v>0</v>
      </c>
      <c r="J102" s="50">
        <v>0</v>
      </c>
      <c r="K102" s="50">
        <v>0</v>
      </c>
      <c r="L102" s="50">
        <v>3</v>
      </c>
      <c r="M102" s="50">
        <v>0</v>
      </c>
      <c r="N102" s="50">
        <v>0</v>
      </c>
      <c r="O102" s="15">
        <f t="shared" si="35"/>
        <v>8</v>
      </c>
      <c r="P102" s="15">
        <f t="shared" si="36"/>
        <v>8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2</v>
      </c>
      <c r="M103" s="50">
        <v>0</v>
      </c>
      <c r="N103" s="50">
        <v>0</v>
      </c>
      <c r="O103" s="15">
        <f t="shared" si="35"/>
        <v>6</v>
      </c>
      <c r="P103" s="15">
        <f t="shared" si="36"/>
        <v>6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2</v>
      </c>
      <c r="F104" s="50">
        <v>0</v>
      </c>
      <c r="G104" s="50">
        <v>0</v>
      </c>
      <c r="H104" s="50">
        <v>0</v>
      </c>
      <c r="I104" s="50">
        <v>2</v>
      </c>
      <c r="J104" s="50">
        <v>1</v>
      </c>
      <c r="K104" s="50">
        <v>0</v>
      </c>
      <c r="L104" s="50">
        <v>4</v>
      </c>
      <c r="M104" s="50">
        <v>1</v>
      </c>
      <c r="N104" s="50">
        <v>0</v>
      </c>
      <c r="O104" s="15">
        <f t="shared" si="35"/>
        <v>9</v>
      </c>
      <c r="P104" s="15">
        <f t="shared" si="36"/>
        <v>10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1</v>
      </c>
      <c r="E105" s="50">
        <v>2</v>
      </c>
      <c r="F105" s="50">
        <v>1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</v>
      </c>
      <c r="N105" s="50">
        <v>0</v>
      </c>
      <c r="O105" s="15">
        <f t="shared" si="35"/>
        <v>5</v>
      </c>
      <c r="P105" s="15">
        <f t="shared" si="36"/>
        <v>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116</v>
      </c>
      <c r="D106" s="16">
        <f t="shared" ref="D106:P106" si="37">SUM(D10:D105)</f>
        <v>47</v>
      </c>
      <c r="E106" s="16">
        <f t="shared" si="37"/>
        <v>149</v>
      </c>
      <c r="F106" s="16">
        <f t="shared" si="37"/>
        <v>153</v>
      </c>
      <c r="G106" s="16">
        <f t="shared" si="37"/>
        <v>6</v>
      </c>
      <c r="H106" s="16">
        <f t="shared" si="37"/>
        <v>24</v>
      </c>
      <c r="I106" s="16">
        <f t="shared" si="37"/>
        <v>103</v>
      </c>
      <c r="J106" s="16">
        <f t="shared" si="37"/>
        <v>12</v>
      </c>
      <c r="K106" s="16">
        <f t="shared" si="37"/>
        <v>3</v>
      </c>
      <c r="L106" s="16">
        <f t="shared" si="37"/>
        <v>239</v>
      </c>
      <c r="M106" s="16">
        <f t="shared" si="37"/>
        <v>525</v>
      </c>
      <c r="N106" s="16">
        <f t="shared" si="37"/>
        <v>0</v>
      </c>
      <c r="O106" s="16">
        <f t="shared" si="37"/>
        <v>852</v>
      </c>
      <c r="P106" s="16">
        <f t="shared" si="37"/>
        <v>1377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8.424110384894698E-2</v>
      </c>
      <c r="D107" s="43">
        <f t="shared" si="38"/>
        <v>3.4132171387073348E-2</v>
      </c>
      <c r="E107" s="43">
        <f t="shared" si="38"/>
        <v>0.10820624546114742</v>
      </c>
      <c r="F107" s="43">
        <f t="shared" si="38"/>
        <v>0.1111111111111111</v>
      </c>
      <c r="G107" s="43">
        <f t="shared" si="38"/>
        <v>4.3572984749455342E-3</v>
      </c>
      <c r="H107" s="43">
        <f t="shared" si="38"/>
        <v>1.7429193899782137E-2</v>
      </c>
      <c r="I107" s="43">
        <f t="shared" si="38"/>
        <v>7.4800290486565002E-2</v>
      </c>
      <c r="J107" s="43">
        <f t="shared" si="38"/>
        <v>8.7145969498910684E-3</v>
      </c>
      <c r="K107" s="43">
        <f t="shared" si="38"/>
        <v>2.1786492374727671E-3</v>
      </c>
      <c r="L107" s="43">
        <f t="shared" si="38"/>
        <v>0.17356572258533043</v>
      </c>
      <c r="M107" s="43">
        <f t="shared" si="38"/>
        <v>0.38126361655773422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0.13615023474178403</v>
      </c>
      <c r="D108" s="44">
        <f t="shared" ref="D108:N108" si="39">D106/$O$106</f>
        <v>5.5164319248826289E-2</v>
      </c>
      <c r="E108" s="44">
        <f t="shared" si="39"/>
        <v>0.17488262910798122</v>
      </c>
      <c r="F108" s="44">
        <f t="shared" si="39"/>
        <v>0.1795774647887324</v>
      </c>
      <c r="G108" s="44">
        <f t="shared" si="39"/>
        <v>7.0422535211267607E-3</v>
      </c>
      <c r="H108" s="44">
        <f t="shared" si="39"/>
        <v>2.8169014084507043E-2</v>
      </c>
      <c r="I108" s="44">
        <f t="shared" si="39"/>
        <v>0.12089201877934272</v>
      </c>
      <c r="J108" s="44">
        <f t="shared" si="39"/>
        <v>1.4084507042253521E-2</v>
      </c>
      <c r="K108" s="44">
        <f t="shared" si="39"/>
        <v>3.5211267605633804E-3</v>
      </c>
      <c r="L108" s="44">
        <f t="shared" si="39"/>
        <v>0.28051643192488263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249977111117893"/>
  </sheetPr>
  <dimension ref="B1:AF174"/>
  <sheetViews>
    <sheetView view="pageBreakPreview" topLeftCell="A37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Kumi-Soroti'!C3:G3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'10.08 Kumi-Soroti-24h'!D5</f>
        <v>10.08.19</v>
      </c>
      <c r="E5" s="3"/>
      <c r="F5" s="41" t="s">
        <v>1</v>
      </c>
      <c r="G5" s="66" t="str">
        <f>'10.08 Kumi-Soroti-24h'!G5:H5</f>
        <v>Mukura</v>
      </c>
      <c r="H5" s="67"/>
      <c r="I5" s="14"/>
      <c r="J5" s="2" t="s">
        <v>5</v>
      </c>
      <c r="K5" s="66" t="str">
        <f>'10.08 Kumi-Soroti-24h'!K5:L5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Soroti-Kumi'!D6:E6</f>
        <v>Soroti</v>
      </c>
      <c r="E6" s="67"/>
      <c r="F6" s="2" t="s">
        <v>2</v>
      </c>
      <c r="G6" s="66" t="str">
        <f>'08.08 Soroti-Kumi'!G6:H6</f>
        <v>Kumi</v>
      </c>
      <c r="H6" s="67"/>
      <c r="J6" s="2" t="s">
        <v>21</v>
      </c>
      <c r="K6" s="66" t="str">
        <f>'10.08 Kumi-Soroti-24h'!K6:L6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1</v>
      </c>
      <c r="G10" s="50">
        <v>0</v>
      </c>
      <c r="H10" s="50">
        <v>1</v>
      </c>
      <c r="I10" s="50">
        <v>0</v>
      </c>
      <c r="J10" s="50">
        <v>0</v>
      </c>
      <c r="K10" s="50">
        <v>1</v>
      </c>
      <c r="L10" s="50">
        <v>2</v>
      </c>
      <c r="M10" s="50">
        <v>7</v>
      </c>
      <c r="N10" s="50">
        <v>0</v>
      </c>
      <c r="O10" s="15">
        <f t="shared" ref="O10:O73" si="0">SUM(C10:L10,N10)</f>
        <v>5</v>
      </c>
      <c r="P10" s="15">
        <f t="shared" ref="P10:P73" si="1">SUM(C10:N10)</f>
        <v>12</v>
      </c>
      <c r="R10" s="1" t="s">
        <v>6</v>
      </c>
      <c r="S10" s="17">
        <f t="shared" ref="S10:AF10" si="2">SUM(C10:C13)</f>
        <v>5</v>
      </c>
      <c r="T10" s="17">
        <f t="shared" si="2"/>
        <v>1</v>
      </c>
      <c r="U10" s="17">
        <f t="shared" si="2"/>
        <v>5</v>
      </c>
      <c r="V10" s="17">
        <f t="shared" si="2"/>
        <v>8</v>
      </c>
      <c r="W10" s="17">
        <f t="shared" si="2"/>
        <v>0</v>
      </c>
      <c r="X10" s="17">
        <f t="shared" si="2"/>
        <v>3</v>
      </c>
      <c r="Y10" s="17">
        <f t="shared" si="2"/>
        <v>6</v>
      </c>
      <c r="Z10" s="17">
        <f t="shared" si="2"/>
        <v>1</v>
      </c>
      <c r="AA10" s="17">
        <f t="shared" si="2"/>
        <v>1</v>
      </c>
      <c r="AB10" s="17">
        <f t="shared" si="2"/>
        <v>6</v>
      </c>
      <c r="AC10" s="17">
        <f t="shared" si="2"/>
        <v>31</v>
      </c>
      <c r="AD10" s="17">
        <f t="shared" si="2"/>
        <v>0</v>
      </c>
      <c r="AE10" s="31">
        <f t="shared" si="2"/>
        <v>36</v>
      </c>
      <c r="AF10" s="31">
        <f t="shared" si="2"/>
        <v>67</v>
      </c>
    </row>
    <row r="11" spans="2:32" s="6" customFormat="1" ht="23.1" customHeight="1" x14ac:dyDescent="0.25">
      <c r="B11" s="45" t="s">
        <v>38</v>
      </c>
      <c r="C11" s="50">
        <v>3</v>
      </c>
      <c r="D11" s="50">
        <v>0</v>
      </c>
      <c r="E11" s="50">
        <v>1</v>
      </c>
      <c r="F11" s="50">
        <v>3</v>
      </c>
      <c r="G11" s="50">
        <v>0</v>
      </c>
      <c r="H11" s="50">
        <v>2</v>
      </c>
      <c r="I11" s="50">
        <v>0</v>
      </c>
      <c r="J11" s="50">
        <v>0</v>
      </c>
      <c r="K11" s="50">
        <v>0</v>
      </c>
      <c r="L11" s="50">
        <v>1</v>
      </c>
      <c r="M11" s="50">
        <v>7</v>
      </c>
      <c r="N11" s="50">
        <v>0</v>
      </c>
      <c r="O11" s="15">
        <f t="shared" si="0"/>
        <v>10</v>
      </c>
      <c r="P11" s="15">
        <f t="shared" si="1"/>
        <v>17</v>
      </c>
      <c r="R11" s="1" t="s">
        <v>7</v>
      </c>
      <c r="S11" s="17">
        <f t="shared" ref="S11:AF11" si="3">SUM(C14:C17)</f>
        <v>0</v>
      </c>
      <c r="T11" s="17">
        <f t="shared" si="3"/>
        <v>1</v>
      </c>
      <c r="U11" s="17">
        <f t="shared" si="3"/>
        <v>8</v>
      </c>
      <c r="V11" s="17">
        <f t="shared" si="3"/>
        <v>10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13</v>
      </c>
      <c r="AC11" s="17">
        <f t="shared" si="3"/>
        <v>31</v>
      </c>
      <c r="AD11" s="17">
        <f t="shared" si="3"/>
        <v>0</v>
      </c>
      <c r="AE11" s="31">
        <f t="shared" si="3"/>
        <v>32</v>
      </c>
      <c r="AF11" s="31">
        <f t="shared" si="3"/>
        <v>63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1</v>
      </c>
      <c r="F12" s="50">
        <v>2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11</v>
      </c>
      <c r="N12" s="50">
        <v>0</v>
      </c>
      <c r="O12" s="15">
        <f t="shared" si="0"/>
        <v>8</v>
      </c>
      <c r="P12" s="15">
        <f t="shared" si="1"/>
        <v>19</v>
      </c>
      <c r="R12" s="1" t="s">
        <v>8</v>
      </c>
      <c r="S12" s="17">
        <f t="shared" ref="S12:AF12" si="4">SUM(C18:C21)</f>
        <v>1</v>
      </c>
      <c r="T12" s="17">
        <f t="shared" si="4"/>
        <v>3</v>
      </c>
      <c r="U12" s="17">
        <f t="shared" si="4"/>
        <v>12</v>
      </c>
      <c r="V12" s="17">
        <f t="shared" si="4"/>
        <v>10</v>
      </c>
      <c r="W12" s="17">
        <f t="shared" si="4"/>
        <v>0</v>
      </c>
      <c r="X12" s="17">
        <f t="shared" si="4"/>
        <v>3</v>
      </c>
      <c r="Y12" s="17">
        <f t="shared" si="4"/>
        <v>3</v>
      </c>
      <c r="Z12" s="17">
        <f t="shared" si="4"/>
        <v>0</v>
      </c>
      <c r="AA12" s="17">
        <f t="shared" si="4"/>
        <v>1</v>
      </c>
      <c r="AB12" s="17">
        <f t="shared" si="4"/>
        <v>13</v>
      </c>
      <c r="AC12" s="17">
        <f t="shared" si="4"/>
        <v>14</v>
      </c>
      <c r="AD12" s="17">
        <f t="shared" si="4"/>
        <v>0</v>
      </c>
      <c r="AE12" s="31">
        <f t="shared" si="4"/>
        <v>46</v>
      </c>
      <c r="AF12" s="31">
        <f t="shared" si="4"/>
        <v>60</v>
      </c>
    </row>
    <row r="13" spans="2:32" ht="23.1" customHeight="1" x14ac:dyDescent="0.25">
      <c r="B13" s="45" t="s">
        <v>40</v>
      </c>
      <c r="C13" s="50">
        <v>1</v>
      </c>
      <c r="D13" s="50">
        <v>1</v>
      </c>
      <c r="E13" s="50">
        <v>3</v>
      </c>
      <c r="F13" s="50">
        <v>2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3</v>
      </c>
      <c r="M13" s="50">
        <v>6</v>
      </c>
      <c r="N13" s="50">
        <v>0</v>
      </c>
      <c r="O13" s="15">
        <f t="shared" si="0"/>
        <v>13</v>
      </c>
      <c r="P13" s="15">
        <f t="shared" si="1"/>
        <v>19</v>
      </c>
      <c r="R13" s="1" t="s">
        <v>9</v>
      </c>
      <c r="S13" s="17">
        <f t="shared" ref="S13:AF13" si="5">SUM(C22:C25)</f>
        <v>2</v>
      </c>
      <c r="T13" s="17">
        <f t="shared" si="5"/>
        <v>4</v>
      </c>
      <c r="U13" s="17">
        <f t="shared" si="5"/>
        <v>15</v>
      </c>
      <c r="V13" s="17">
        <f t="shared" si="5"/>
        <v>10</v>
      </c>
      <c r="W13" s="17">
        <f t="shared" si="5"/>
        <v>1</v>
      </c>
      <c r="X13" s="17">
        <f t="shared" si="5"/>
        <v>2</v>
      </c>
      <c r="Y13" s="17">
        <f t="shared" si="5"/>
        <v>5</v>
      </c>
      <c r="Z13" s="17">
        <f t="shared" si="5"/>
        <v>1</v>
      </c>
      <c r="AA13" s="17">
        <f t="shared" si="5"/>
        <v>1</v>
      </c>
      <c r="AB13" s="17">
        <f t="shared" si="5"/>
        <v>7</v>
      </c>
      <c r="AC13" s="17">
        <f t="shared" si="5"/>
        <v>17</v>
      </c>
      <c r="AD13" s="17">
        <f t="shared" si="5"/>
        <v>0</v>
      </c>
      <c r="AE13" s="31">
        <f t="shared" si="5"/>
        <v>48</v>
      </c>
      <c r="AF13" s="31">
        <f t="shared" si="5"/>
        <v>65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1</v>
      </c>
      <c r="F14" s="50">
        <v>3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3</v>
      </c>
      <c r="M14" s="50">
        <v>6</v>
      </c>
      <c r="N14" s="50">
        <v>0</v>
      </c>
      <c r="O14" s="15">
        <f t="shared" si="0"/>
        <v>7</v>
      </c>
      <c r="P14" s="15">
        <f t="shared" si="1"/>
        <v>13</v>
      </c>
      <c r="R14" s="1" t="s">
        <v>10</v>
      </c>
      <c r="S14" s="17">
        <f t="shared" ref="S14:AF14" si="6">SUM(C26:C29)</f>
        <v>5</v>
      </c>
      <c r="T14" s="17">
        <f t="shared" si="6"/>
        <v>3</v>
      </c>
      <c r="U14" s="17">
        <f t="shared" si="6"/>
        <v>14</v>
      </c>
      <c r="V14" s="17">
        <f t="shared" si="6"/>
        <v>16</v>
      </c>
      <c r="W14" s="17">
        <f t="shared" si="6"/>
        <v>0</v>
      </c>
      <c r="X14" s="17">
        <f t="shared" si="6"/>
        <v>3</v>
      </c>
      <c r="Y14" s="17">
        <f t="shared" si="6"/>
        <v>7</v>
      </c>
      <c r="Z14" s="17">
        <f t="shared" si="6"/>
        <v>1</v>
      </c>
      <c r="AA14" s="17">
        <f t="shared" si="6"/>
        <v>0</v>
      </c>
      <c r="AB14" s="17">
        <f t="shared" si="6"/>
        <v>7</v>
      </c>
      <c r="AC14" s="17">
        <f t="shared" si="6"/>
        <v>28</v>
      </c>
      <c r="AD14" s="17">
        <f t="shared" si="6"/>
        <v>0</v>
      </c>
      <c r="AE14" s="31">
        <f t="shared" si="6"/>
        <v>56</v>
      </c>
      <c r="AF14" s="31">
        <f t="shared" si="6"/>
        <v>84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2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11</v>
      </c>
      <c r="N15" s="50">
        <v>0</v>
      </c>
      <c r="O15" s="15">
        <f t="shared" si="0"/>
        <v>5</v>
      </c>
      <c r="P15" s="15">
        <f t="shared" si="1"/>
        <v>16</v>
      </c>
      <c r="R15" s="1" t="s">
        <v>11</v>
      </c>
      <c r="S15" s="17">
        <f t="shared" ref="S15:AF15" si="7">SUM(C30:C33)</f>
        <v>8</v>
      </c>
      <c r="T15" s="17">
        <f t="shared" si="7"/>
        <v>4</v>
      </c>
      <c r="U15" s="17">
        <f t="shared" si="7"/>
        <v>14</v>
      </c>
      <c r="V15" s="17">
        <f t="shared" si="7"/>
        <v>7</v>
      </c>
      <c r="W15" s="17">
        <f t="shared" si="7"/>
        <v>0</v>
      </c>
      <c r="X15" s="17">
        <f t="shared" si="7"/>
        <v>2</v>
      </c>
      <c r="Y15" s="17">
        <f t="shared" si="7"/>
        <v>7</v>
      </c>
      <c r="Z15" s="17">
        <f t="shared" si="7"/>
        <v>0</v>
      </c>
      <c r="AA15" s="17">
        <f t="shared" si="7"/>
        <v>1</v>
      </c>
      <c r="AB15" s="17">
        <f t="shared" si="7"/>
        <v>4</v>
      </c>
      <c r="AC15" s="17">
        <f t="shared" si="7"/>
        <v>23</v>
      </c>
      <c r="AD15" s="17">
        <f t="shared" si="7"/>
        <v>0</v>
      </c>
      <c r="AE15" s="31">
        <f t="shared" si="7"/>
        <v>47</v>
      </c>
      <c r="AF15" s="31">
        <f t="shared" si="7"/>
        <v>70</v>
      </c>
    </row>
    <row r="16" spans="2:32" ht="23.1" customHeight="1" x14ac:dyDescent="0.25">
      <c r="B16" s="45" t="s">
        <v>43</v>
      </c>
      <c r="C16" s="50">
        <v>0</v>
      </c>
      <c r="D16" s="50">
        <v>1</v>
      </c>
      <c r="E16" s="50">
        <v>3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6</v>
      </c>
      <c r="M16" s="50">
        <v>9</v>
      </c>
      <c r="N16" s="50">
        <v>0</v>
      </c>
      <c r="O16" s="15">
        <f t="shared" si="0"/>
        <v>11</v>
      </c>
      <c r="P16" s="15">
        <f t="shared" si="1"/>
        <v>20</v>
      </c>
      <c r="R16" s="1" t="s">
        <v>12</v>
      </c>
      <c r="S16" s="17">
        <f t="shared" ref="S16:AF16" si="8">SUM(C34:C37)</f>
        <v>3</v>
      </c>
      <c r="T16" s="17">
        <f t="shared" si="8"/>
        <v>2</v>
      </c>
      <c r="U16" s="17">
        <f t="shared" si="8"/>
        <v>11</v>
      </c>
      <c r="V16" s="17">
        <f t="shared" si="8"/>
        <v>9</v>
      </c>
      <c r="W16" s="17">
        <f t="shared" si="8"/>
        <v>0</v>
      </c>
      <c r="X16" s="17">
        <f t="shared" si="8"/>
        <v>1</v>
      </c>
      <c r="Y16" s="17">
        <f t="shared" si="8"/>
        <v>2</v>
      </c>
      <c r="Z16" s="17">
        <f t="shared" si="8"/>
        <v>0</v>
      </c>
      <c r="AA16" s="17">
        <f t="shared" si="8"/>
        <v>1</v>
      </c>
      <c r="AB16" s="17">
        <f t="shared" si="8"/>
        <v>8</v>
      </c>
      <c r="AC16" s="17">
        <f t="shared" si="8"/>
        <v>10</v>
      </c>
      <c r="AD16" s="17">
        <f t="shared" si="8"/>
        <v>0</v>
      </c>
      <c r="AE16" s="31">
        <f t="shared" si="8"/>
        <v>37</v>
      </c>
      <c r="AF16" s="31">
        <f t="shared" si="8"/>
        <v>47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2</v>
      </c>
      <c r="F17" s="50">
        <v>4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3</v>
      </c>
      <c r="M17" s="50">
        <v>5</v>
      </c>
      <c r="N17" s="50">
        <v>0</v>
      </c>
      <c r="O17" s="15">
        <f t="shared" si="0"/>
        <v>9</v>
      </c>
      <c r="P17" s="15">
        <f t="shared" si="1"/>
        <v>14</v>
      </c>
      <c r="R17" s="1" t="s">
        <v>13</v>
      </c>
      <c r="S17" s="17">
        <f t="shared" ref="S17:AF17" si="9">SUM(C38:C41)</f>
        <v>7</v>
      </c>
      <c r="T17" s="17">
        <f t="shared" si="9"/>
        <v>6</v>
      </c>
      <c r="U17" s="17">
        <f t="shared" si="9"/>
        <v>18</v>
      </c>
      <c r="V17" s="17">
        <f t="shared" si="9"/>
        <v>14</v>
      </c>
      <c r="W17" s="17">
        <f t="shared" si="9"/>
        <v>0</v>
      </c>
      <c r="X17" s="17">
        <f t="shared" si="9"/>
        <v>1</v>
      </c>
      <c r="Y17" s="17">
        <f t="shared" si="9"/>
        <v>10</v>
      </c>
      <c r="Z17" s="17">
        <f t="shared" si="9"/>
        <v>2</v>
      </c>
      <c r="AA17" s="17">
        <f t="shared" si="9"/>
        <v>0</v>
      </c>
      <c r="AB17" s="17">
        <f t="shared" si="9"/>
        <v>10</v>
      </c>
      <c r="AC17" s="17">
        <f t="shared" si="9"/>
        <v>10</v>
      </c>
      <c r="AD17" s="17">
        <f t="shared" si="9"/>
        <v>1</v>
      </c>
      <c r="AE17" s="31">
        <f t="shared" si="9"/>
        <v>69</v>
      </c>
      <c r="AF17" s="31">
        <f t="shared" si="9"/>
        <v>79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1</v>
      </c>
      <c r="F18" s="50">
        <v>1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6</v>
      </c>
      <c r="M18" s="50">
        <v>4</v>
      </c>
      <c r="N18" s="50">
        <v>0</v>
      </c>
      <c r="O18" s="15">
        <f t="shared" si="0"/>
        <v>9</v>
      </c>
      <c r="P18" s="15">
        <f t="shared" si="1"/>
        <v>13</v>
      </c>
      <c r="R18" s="1" t="s">
        <v>14</v>
      </c>
      <c r="S18" s="17">
        <f t="shared" ref="S18:AF18" si="10">SUM(C42:C45)</f>
        <v>2</v>
      </c>
      <c r="T18" s="17">
        <f t="shared" si="10"/>
        <v>5</v>
      </c>
      <c r="U18" s="17">
        <f t="shared" si="10"/>
        <v>16</v>
      </c>
      <c r="V18" s="17">
        <f t="shared" si="10"/>
        <v>15</v>
      </c>
      <c r="W18" s="17">
        <f t="shared" si="10"/>
        <v>0</v>
      </c>
      <c r="X18" s="17">
        <f t="shared" si="10"/>
        <v>0</v>
      </c>
      <c r="Y18" s="17">
        <f t="shared" si="10"/>
        <v>16</v>
      </c>
      <c r="Z18" s="17">
        <f t="shared" si="10"/>
        <v>4</v>
      </c>
      <c r="AA18" s="17">
        <f t="shared" si="10"/>
        <v>0</v>
      </c>
      <c r="AB18" s="17">
        <f t="shared" si="10"/>
        <v>21</v>
      </c>
      <c r="AC18" s="17">
        <f t="shared" si="10"/>
        <v>26</v>
      </c>
      <c r="AD18" s="17">
        <f t="shared" si="10"/>
        <v>0</v>
      </c>
      <c r="AE18" s="31">
        <f t="shared" si="10"/>
        <v>79</v>
      </c>
      <c r="AF18" s="31">
        <f t="shared" si="10"/>
        <v>105</v>
      </c>
    </row>
    <row r="19" spans="2:32" ht="23.1" customHeight="1" x14ac:dyDescent="0.25">
      <c r="B19" s="45" t="s">
        <v>46</v>
      </c>
      <c r="C19" s="50">
        <v>1</v>
      </c>
      <c r="D19" s="50">
        <v>2</v>
      </c>
      <c r="E19" s="50">
        <v>6</v>
      </c>
      <c r="F19" s="50">
        <v>4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3</v>
      </c>
      <c r="M19" s="50">
        <v>3</v>
      </c>
      <c r="N19" s="50">
        <v>0</v>
      </c>
      <c r="O19" s="15">
        <f t="shared" si="0"/>
        <v>17</v>
      </c>
      <c r="P19" s="15">
        <f t="shared" si="1"/>
        <v>20</v>
      </c>
      <c r="R19" s="1" t="s">
        <v>15</v>
      </c>
      <c r="S19" s="17">
        <f t="shared" ref="S19:AF19" si="11">SUM(C46:C49)</f>
        <v>8</v>
      </c>
      <c r="T19" s="17">
        <f t="shared" si="11"/>
        <v>4</v>
      </c>
      <c r="U19" s="17">
        <f t="shared" si="11"/>
        <v>14</v>
      </c>
      <c r="V19" s="17">
        <f t="shared" si="11"/>
        <v>16</v>
      </c>
      <c r="W19" s="17">
        <f t="shared" si="11"/>
        <v>0</v>
      </c>
      <c r="X19" s="17">
        <f t="shared" si="11"/>
        <v>1</v>
      </c>
      <c r="Y19" s="17">
        <f t="shared" si="11"/>
        <v>9</v>
      </c>
      <c r="Z19" s="17">
        <f t="shared" si="11"/>
        <v>0</v>
      </c>
      <c r="AA19" s="17">
        <f t="shared" si="11"/>
        <v>0</v>
      </c>
      <c r="AB19" s="17">
        <f t="shared" si="11"/>
        <v>8</v>
      </c>
      <c r="AC19" s="17">
        <f t="shared" si="11"/>
        <v>17</v>
      </c>
      <c r="AD19" s="17">
        <f t="shared" si="11"/>
        <v>0</v>
      </c>
      <c r="AE19" s="31">
        <f t="shared" si="11"/>
        <v>60</v>
      </c>
      <c r="AF19" s="31">
        <f t="shared" si="11"/>
        <v>77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2</v>
      </c>
      <c r="F20" s="50">
        <v>2</v>
      </c>
      <c r="G20" s="50">
        <v>0</v>
      </c>
      <c r="H20" s="50">
        <v>1</v>
      </c>
      <c r="I20" s="50">
        <v>1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6</v>
      </c>
      <c r="P20" s="15">
        <f t="shared" si="1"/>
        <v>11</v>
      </c>
      <c r="R20" s="1" t="s">
        <v>16</v>
      </c>
      <c r="S20" s="17">
        <f t="shared" ref="S20:AF20" si="12">SUM(C50:C53)</f>
        <v>2</v>
      </c>
      <c r="T20" s="17">
        <f t="shared" si="12"/>
        <v>1</v>
      </c>
      <c r="U20" s="17">
        <f t="shared" si="12"/>
        <v>8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11</v>
      </c>
      <c r="Z20" s="17">
        <f t="shared" si="12"/>
        <v>0</v>
      </c>
      <c r="AA20" s="17">
        <f t="shared" si="12"/>
        <v>3</v>
      </c>
      <c r="AB20" s="17">
        <f t="shared" si="12"/>
        <v>14</v>
      </c>
      <c r="AC20" s="17">
        <f t="shared" si="12"/>
        <v>11</v>
      </c>
      <c r="AD20" s="17">
        <f t="shared" si="12"/>
        <v>0</v>
      </c>
      <c r="AE20" s="31">
        <f t="shared" si="12"/>
        <v>46</v>
      </c>
      <c r="AF20" s="31">
        <f t="shared" si="12"/>
        <v>57</v>
      </c>
    </row>
    <row r="21" spans="2:32" ht="23.1" customHeight="1" x14ac:dyDescent="0.25">
      <c r="B21" s="45" t="s">
        <v>48</v>
      </c>
      <c r="C21" s="50">
        <v>0</v>
      </c>
      <c r="D21" s="50">
        <v>1</v>
      </c>
      <c r="E21" s="50">
        <v>3</v>
      </c>
      <c r="F21" s="50">
        <v>3</v>
      </c>
      <c r="G21" s="50">
        <v>0</v>
      </c>
      <c r="H21" s="50">
        <v>1</v>
      </c>
      <c r="I21" s="50">
        <v>1</v>
      </c>
      <c r="J21" s="50">
        <v>0</v>
      </c>
      <c r="K21" s="50">
        <v>1</v>
      </c>
      <c r="L21" s="50">
        <v>4</v>
      </c>
      <c r="M21" s="50">
        <v>2</v>
      </c>
      <c r="N21" s="50">
        <v>0</v>
      </c>
      <c r="O21" s="15">
        <f t="shared" si="0"/>
        <v>14</v>
      </c>
      <c r="P21" s="15">
        <f t="shared" si="1"/>
        <v>16</v>
      </c>
      <c r="R21" s="36" t="s">
        <v>20</v>
      </c>
      <c r="S21" s="34">
        <f t="shared" ref="S21:AF21" si="13">SUM(C54:C57)</f>
        <v>5</v>
      </c>
      <c r="T21" s="17">
        <f t="shared" si="13"/>
        <v>5</v>
      </c>
      <c r="U21" s="17">
        <f t="shared" si="13"/>
        <v>14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15</v>
      </c>
      <c r="AC21" s="17">
        <f t="shared" si="13"/>
        <v>12</v>
      </c>
      <c r="AD21" s="17">
        <f t="shared" si="13"/>
        <v>0</v>
      </c>
      <c r="AE21" s="31">
        <f t="shared" si="13"/>
        <v>49</v>
      </c>
      <c r="AF21" s="31">
        <f t="shared" si="13"/>
        <v>61</v>
      </c>
    </row>
    <row r="22" spans="2:32" ht="23.1" customHeight="1" x14ac:dyDescent="0.25">
      <c r="B22" s="45" t="s">
        <v>49</v>
      </c>
      <c r="C22" s="50">
        <v>1</v>
      </c>
      <c r="D22" s="50">
        <v>1</v>
      </c>
      <c r="E22" s="50">
        <v>4</v>
      </c>
      <c r="F22" s="50">
        <v>7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6</v>
      </c>
      <c r="M22" s="50">
        <v>2</v>
      </c>
      <c r="N22" s="50">
        <v>0</v>
      </c>
      <c r="O22" s="15">
        <f t="shared" si="0"/>
        <v>21</v>
      </c>
      <c r="P22" s="15">
        <f t="shared" si="1"/>
        <v>23</v>
      </c>
      <c r="R22" s="36" t="s">
        <v>146</v>
      </c>
      <c r="S22" s="34">
        <f>SUM(C58:C61)</f>
        <v>10</v>
      </c>
      <c r="T22" s="34">
        <f t="shared" ref="T22:AF22" si="14">SUM(D58:D61)</f>
        <v>2</v>
      </c>
      <c r="U22" s="34">
        <f t="shared" si="14"/>
        <v>9</v>
      </c>
      <c r="V22" s="34">
        <f t="shared" si="14"/>
        <v>9</v>
      </c>
      <c r="W22" s="34">
        <f t="shared" si="14"/>
        <v>1</v>
      </c>
      <c r="X22" s="34">
        <f t="shared" si="14"/>
        <v>1</v>
      </c>
      <c r="Y22" s="34">
        <f t="shared" si="14"/>
        <v>6</v>
      </c>
      <c r="Z22" s="34">
        <f t="shared" si="14"/>
        <v>4</v>
      </c>
      <c r="AA22" s="34">
        <f t="shared" si="14"/>
        <v>1</v>
      </c>
      <c r="AB22" s="34">
        <f t="shared" si="14"/>
        <v>9</v>
      </c>
      <c r="AC22" s="34">
        <f t="shared" si="14"/>
        <v>26</v>
      </c>
      <c r="AD22" s="34">
        <f t="shared" si="14"/>
        <v>0</v>
      </c>
      <c r="AE22" s="31">
        <f t="shared" si="14"/>
        <v>52</v>
      </c>
      <c r="AF22" s="31">
        <f t="shared" si="14"/>
        <v>78</v>
      </c>
    </row>
    <row r="23" spans="2:32" ht="23.1" customHeight="1" x14ac:dyDescent="0.25">
      <c r="B23" s="45" t="s">
        <v>50</v>
      </c>
      <c r="C23" s="50">
        <v>0</v>
      </c>
      <c r="D23" s="50">
        <v>2</v>
      </c>
      <c r="E23" s="50">
        <v>6</v>
      </c>
      <c r="F23" s="50">
        <v>0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10</v>
      </c>
      <c r="P23" s="15">
        <f t="shared" si="1"/>
        <v>12</v>
      </c>
      <c r="R23" s="36" t="s">
        <v>147</v>
      </c>
      <c r="S23" s="34">
        <f>SUM(C62:C65)</f>
        <v>1</v>
      </c>
      <c r="T23" s="34">
        <f t="shared" ref="T23:AF23" si="15">SUM(D62:D65)</f>
        <v>1</v>
      </c>
      <c r="U23" s="34">
        <f t="shared" si="15"/>
        <v>7</v>
      </c>
      <c r="V23" s="34">
        <f t="shared" si="15"/>
        <v>5</v>
      </c>
      <c r="W23" s="34">
        <f t="shared" si="15"/>
        <v>0</v>
      </c>
      <c r="X23" s="34">
        <f t="shared" si="15"/>
        <v>1</v>
      </c>
      <c r="Y23" s="34">
        <f t="shared" si="15"/>
        <v>3</v>
      </c>
      <c r="Z23" s="34">
        <f t="shared" si="15"/>
        <v>0</v>
      </c>
      <c r="AA23" s="34">
        <f t="shared" si="15"/>
        <v>0</v>
      </c>
      <c r="AB23" s="34">
        <f t="shared" si="15"/>
        <v>6</v>
      </c>
      <c r="AC23" s="34">
        <f t="shared" si="15"/>
        <v>7</v>
      </c>
      <c r="AD23" s="34">
        <f t="shared" si="15"/>
        <v>0</v>
      </c>
      <c r="AE23" s="31">
        <f t="shared" si="15"/>
        <v>24</v>
      </c>
      <c r="AF23" s="31">
        <f t="shared" si="15"/>
        <v>31</v>
      </c>
    </row>
    <row r="24" spans="2:32" ht="23.1" customHeight="1" x14ac:dyDescent="0.25">
      <c r="B24" s="45" t="s">
        <v>51</v>
      </c>
      <c r="C24" s="50">
        <v>1</v>
      </c>
      <c r="D24" s="50">
        <v>1</v>
      </c>
      <c r="E24" s="50">
        <v>3</v>
      </c>
      <c r="F24" s="50">
        <v>1</v>
      </c>
      <c r="G24" s="50">
        <v>0</v>
      </c>
      <c r="H24" s="50">
        <v>0</v>
      </c>
      <c r="I24" s="50">
        <v>2</v>
      </c>
      <c r="J24" s="50">
        <v>1</v>
      </c>
      <c r="K24" s="50">
        <v>1</v>
      </c>
      <c r="L24" s="50">
        <v>0</v>
      </c>
      <c r="M24" s="50">
        <v>3</v>
      </c>
      <c r="N24" s="50">
        <v>0</v>
      </c>
      <c r="O24" s="15">
        <f t="shared" si="0"/>
        <v>10</v>
      </c>
      <c r="P24" s="15">
        <f t="shared" si="1"/>
        <v>13</v>
      </c>
      <c r="R24" s="36" t="s">
        <v>148</v>
      </c>
      <c r="S24" s="34">
        <f>SUM(C66:C69)</f>
        <v>5</v>
      </c>
      <c r="T24" s="34">
        <f t="shared" ref="T24:AF24" si="16">SUM(D66:D69)</f>
        <v>0</v>
      </c>
      <c r="U24" s="34">
        <f t="shared" si="16"/>
        <v>3</v>
      </c>
      <c r="V24" s="34">
        <f t="shared" si="16"/>
        <v>5</v>
      </c>
      <c r="W24" s="34">
        <f t="shared" si="16"/>
        <v>0</v>
      </c>
      <c r="X24" s="34">
        <f t="shared" si="16"/>
        <v>4</v>
      </c>
      <c r="Y24" s="34">
        <f t="shared" si="16"/>
        <v>7</v>
      </c>
      <c r="Z24" s="34">
        <f t="shared" si="16"/>
        <v>0</v>
      </c>
      <c r="AA24" s="34">
        <f t="shared" si="16"/>
        <v>0</v>
      </c>
      <c r="AB24" s="34">
        <f t="shared" si="16"/>
        <v>17</v>
      </c>
      <c r="AC24" s="34">
        <f t="shared" si="16"/>
        <v>6</v>
      </c>
      <c r="AD24" s="34">
        <f t="shared" si="16"/>
        <v>0</v>
      </c>
      <c r="AE24" s="31">
        <f t="shared" si="16"/>
        <v>41</v>
      </c>
      <c r="AF24" s="31">
        <f t="shared" si="16"/>
        <v>47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2</v>
      </c>
      <c r="F25" s="50">
        <v>2</v>
      </c>
      <c r="G25" s="50">
        <v>1</v>
      </c>
      <c r="H25" s="50">
        <v>1</v>
      </c>
      <c r="I25" s="50">
        <v>0</v>
      </c>
      <c r="J25" s="50">
        <v>0</v>
      </c>
      <c r="K25" s="50">
        <v>0</v>
      </c>
      <c r="L25" s="50">
        <v>1</v>
      </c>
      <c r="M25" s="50">
        <v>10</v>
      </c>
      <c r="N25" s="50">
        <v>0</v>
      </c>
      <c r="O25" s="15">
        <f t="shared" si="0"/>
        <v>7</v>
      </c>
      <c r="P25" s="15">
        <f t="shared" si="1"/>
        <v>17</v>
      </c>
      <c r="R25" s="36" t="s">
        <v>149</v>
      </c>
      <c r="S25" s="34">
        <f>SUM(C70:C73)</f>
        <v>4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3</v>
      </c>
      <c r="W25" s="34">
        <f t="shared" si="17"/>
        <v>0</v>
      </c>
      <c r="X25" s="34">
        <f t="shared" si="17"/>
        <v>2</v>
      </c>
      <c r="Y25" s="34">
        <f t="shared" si="17"/>
        <v>4</v>
      </c>
      <c r="Z25" s="34">
        <f t="shared" si="17"/>
        <v>0</v>
      </c>
      <c r="AA25" s="34">
        <f t="shared" si="17"/>
        <v>0</v>
      </c>
      <c r="AB25" s="34">
        <f t="shared" si="17"/>
        <v>14</v>
      </c>
      <c r="AC25" s="34">
        <f t="shared" si="17"/>
        <v>7</v>
      </c>
      <c r="AD25" s="34">
        <f t="shared" si="17"/>
        <v>0</v>
      </c>
      <c r="AE25" s="31">
        <f t="shared" si="17"/>
        <v>30</v>
      </c>
      <c r="AF25" s="31">
        <f t="shared" si="17"/>
        <v>37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2</v>
      </c>
      <c r="F26" s="50">
        <v>3</v>
      </c>
      <c r="G26" s="50">
        <v>0</v>
      </c>
      <c r="H26" s="50">
        <v>1</v>
      </c>
      <c r="I26" s="50">
        <v>3</v>
      </c>
      <c r="J26" s="50">
        <v>0</v>
      </c>
      <c r="K26" s="50">
        <v>0</v>
      </c>
      <c r="L26" s="50">
        <v>1</v>
      </c>
      <c r="M26" s="50">
        <v>7</v>
      </c>
      <c r="N26" s="50">
        <v>0</v>
      </c>
      <c r="O26" s="15">
        <f t="shared" si="0"/>
        <v>10</v>
      </c>
      <c r="P26" s="15">
        <f t="shared" si="1"/>
        <v>17</v>
      </c>
      <c r="R26" s="36" t="s">
        <v>150</v>
      </c>
      <c r="S26" s="34">
        <f>SUM(C74:C77)</f>
        <v>3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6</v>
      </c>
      <c r="W26" s="34">
        <f t="shared" si="18"/>
        <v>0</v>
      </c>
      <c r="X26" s="34">
        <f t="shared" si="18"/>
        <v>0</v>
      </c>
      <c r="Y26" s="34">
        <f t="shared" si="18"/>
        <v>7</v>
      </c>
      <c r="Z26" s="34">
        <f t="shared" si="18"/>
        <v>1</v>
      </c>
      <c r="AA26" s="34">
        <f t="shared" si="18"/>
        <v>0</v>
      </c>
      <c r="AB26" s="34">
        <f t="shared" si="18"/>
        <v>9</v>
      </c>
      <c r="AC26" s="34">
        <f t="shared" si="18"/>
        <v>2</v>
      </c>
      <c r="AD26" s="34">
        <f t="shared" si="18"/>
        <v>0</v>
      </c>
      <c r="AE26" s="31">
        <f t="shared" si="18"/>
        <v>26</v>
      </c>
      <c r="AF26" s="31">
        <f t="shared" si="18"/>
        <v>28</v>
      </c>
    </row>
    <row r="27" spans="2:32" ht="23.1" customHeight="1" x14ac:dyDescent="0.25">
      <c r="B27" s="45" t="s">
        <v>54</v>
      </c>
      <c r="C27" s="50">
        <v>2</v>
      </c>
      <c r="D27" s="50">
        <v>0</v>
      </c>
      <c r="E27" s="50">
        <v>2</v>
      </c>
      <c r="F27" s="50">
        <v>5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2</v>
      </c>
      <c r="M27" s="50">
        <v>7</v>
      </c>
      <c r="N27" s="50">
        <v>0</v>
      </c>
      <c r="O27" s="15">
        <f t="shared" si="0"/>
        <v>14</v>
      </c>
      <c r="P27" s="15">
        <f t="shared" si="1"/>
        <v>21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1</v>
      </c>
      <c r="W27" s="34">
        <f t="shared" si="19"/>
        <v>0</v>
      </c>
      <c r="X27" s="34">
        <f t="shared" si="19"/>
        <v>2</v>
      </c>
      <c r="Y27" s="34">
        <f t="shared" si="19"/>
        <v>1</v>
      </c>
      <c r="Z27" s="34">
        <f t="shared" si="19"/>
        <v>1</v>
      </c>
      <c r="AA27" s="34">
        <f t="shared" si="19"/>
        <v>0</v>
      </c>
      <c r="AB27" s="34">
        <f t="shared" si="19"/>
        <v>6</v>
      </c>
      <c r="AC27" s="34">
        <f t="shared" si="19"/>
        <v>0</v>
      </c>
      <c r="AD27" s="34">
        <f t="shared" si="19"/>
        <v>0</v>
      </c>
      <c r="AE27" s="31">
        <f t="shared" si="19"/>
        <v>12</v>
      </c>
      <c r="AF27" s="31">
        <f t="shared" si="19"/>
        <v>12</v>
      </c>
    </row>
    <row r="28" spans="2:32" ht="23.1" customHeight="1" x14ac:dyDescent="0.25">
      <c r="B28" s="45" t="s">
        <v>55</v>
      </c>
      <c r="C28" s="50">
        <v>1</v>
      </c>
      <c r="D28" s="50">
        <v>2</v>
      </c>
      <c r="E28" s="50">
        <v>6</v>
      </c>
      <c r="F28" s="50">
        <v>4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2</v>
      </c>
      <c r="M28" s="50">
        <v>5</v>
      </c>
      <c r="N28" s="50">
        <v>0</v>
      </c>
      <c r="O28" s="15">
        <f t="shared" si="0"/>
        <v>16</v>
      </c>
      <c r="P28" s="15">
        <f t="shared" si="1"/>
        <v>21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3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5</v>
      </c>
      <c r="AC28" s="34">
        <f t="shared" si="20"/>
        <v>2</v>
      </c>
      <c r="AD28" s="34">
        <f t="shared" si="20"/>
        <v>0</v>
      </c>
      <c r="AE28" s="31">
        <f t="shared" si="20"/>
        <v>10</v>
      </c>
      <c r="AF28" s="31">
        <f t="shared" si="20"/>
        <v>12</v>
      </c>
    </row>
    <row r="29" spans="2:32" ht="23.1" customHeight="1" x14ac:dyDescent="0.25">
      <c r="B29" s="45" t="s">
        <v>56</v>
      </c>
      <c r="C29" s="50">
        <v>2</v>
      </c>
      <c r="D29" s="50">
        <v>1</v>
      </c>
      <c r="E29" s="50">
        <v>4</v>
      </c>
      <c r="F29" s="50">
        <v>4</v>
      </c>
      <c r="G29" s="50">
        <v>0</v>
      </c>
      <c r="H29" s="50">
        <v>2</v>
      </c>
      <c r="I29" s="50">
        <v>0</v>
      </c>
      <c r="J29" s="50">
        <v>1</v>
      </c>
      <c r="K29" s="50">
        <v>0</v>
      </c>
      <c r="L29" s="50">
        <v>2</v>
      </c>
      <c r="M29" s="50">
        <v>9</v>
      </c>
      <c r="N29" s="50">
        <v>0</v>
      </c>
      <c r="O29" s="15">
        <f t="shared" si="0"/>
        <v>16</v>
      </c>
      <c r="P29" s="15">
        <f t="shared" si="1"/>
        <v>25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1</v>
      </c>
      <c r="Y29" s="34">
        <f t="shared" si="21"/>
        <v>0</v>
      </c>
      <c r="Z29" s="34">
        <f t="shared" si="21"/>
        <v>0</v>
      </c>
      <c r="AA29" s="34">
        <f t="shared" si="21"/>
        <v>2</v>
      </c>
      <c r="AB29" s="34">
        <f t="shared" si="21"/>
        <v>2</v>
      </c>
      <c r="AC29" s="34">
        <f t="shared" si="21"/>
        <v>1</v>
      </c>
      <c r="AD29" s="34">
        <f t="shared" si="21"/>
        <v>0</v>
      </c>
      <c r="AE29" s="31">
        <f t="shared" si="21"/>
        <v>7</v>
      </c>
      <c r="AF29" s="31">
        <f t="shared" si="21"/>
        <v>8</v>
      </c>
    </row>
    <row r="30" spans="2:32" ht="23.1" customHeight="1" x14ac:dyDescent="0.25">
      <c r="B30" s="45" t="s">
        <v>57</v>
      </c>
      <c r="C30" s="50">
        <v>2</v>
      </c>
      <c r="D30" s="50">
        <v>1</v>
      </c>
      <c r="E30" s="50">
        <v>3</v>
      </c>
      <c r="F30" s="50">
        <v>2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10</v>
      </c>
      <c r="P30" s="15">
        <f t="shared" si="1"/>
        <v>14</v>
      </c>
      <c r="R30" s="36" t="s">
        <v>154</v>
      </c>
      <c r="S30" s="34">
        <f>SUM(C90:C93)</f>
        <v>0</v>
      </c>
      <c r="T30" s="34">
        <f t="shared" ref="T30:AF30" si="22">SUM(D90:D93)</f>
        <v>1</v>
      </c>
      <c r="U30" s="34">
        <f t="shared" si="22"/>
        <v>4</v>
      </c>
      <c r="V30" s="34">
        <f t="shared" si="22"/>
        <v>1</v>
      </c>
      <c r="W30" s="34">
        <f t="shared" si="22"/>
        <v>0</v>
      </c>
      <c r="X30" s="34">
        <f t="shared" si="22"/>
        <v>4</v>
      </c>
      <c r="Y30" s="34">
        <f t="shared" si="22"/>
        <v>3</v>
      </c>
      <c r="Z30" s="34">
        <f t="shared" si="22"/>
        <v>0</v>
      </c>
      <c r="AA30" s="34">
        <f t="shared" si="22"/>
        <v>1</v>
      </c>
      <c r="AB30" s="34">
        <f t="shared" si="22"/>
        <v>6</v>
      </c>
      <c r="AC30" s="34">
        <f t="shared" si="22"/>
        <v>1</v>
      </c>
      <c r="AD30" s="34">
        <f t="shared" si="22"/>
        <v>0</v>
      </c>
      <c r="AE30" s="31">
        <f t="shared" si="22"/>
        <v>20</v>
      </c>
      <c r="AF30" s="31">
        <f t="shared" si="22"/>
        <v>21</v>
      </c>
    </row>
    <row r="31" spans="2:32" ht="23.1" customHeight="1" x14ac:dyDescent="0.25">
      <c r="B31" s="46" t="s">
        <v>58</v>
      </c>
      <c r="C31" s="50">
        <v>2</v>
      </c>
      <c r="D31" s="50">
        <v>1</v>
      </c>
      <c r="E31" s="50">
        <v>4</v>
      </c>
      <c r="F31" s="50">
        <v>3</v>
      </c>
      <c r="G31" s="50">
        <v>0</v>
      </c>
      <c r="H31" s="50">
        <v>2</v>
      </c>
      <c r="I31" s="50">
        <v>0</v>
      </c>
      <c r="J31" s="50">
        <v>0</v>
      </c>
      <c r="K31" s="50">
        <v>0</v>
      </c>
      <c r="L31" s="50">
        <v>0</v>
      </c>
      <c r="M31" s="50">
        <v>9</v>
      </c>
      <c r="N31" s="50">
        <v>0</v>
      </c>
      <c r="O31" s="15">
        <f t="shared" si="0"/>
        <v>12</v>
      </c>
      <c r="P31" s="15">
        <f t="shared" si="1"/>
        <v>21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2</v>
      </c>
      <c r="AC31" s="34">
        <f t="shared" si="23"/>
        <v>0</v>
      </c>
      <c r="AD31" s="34">
        <f t="shared" si="23"/>
        <v>0</v>
      </c>
      <c r="AE31" s="31">
        <f t="shared" si="23"/>
        <v>6</v>
      </c>
      <c r="AF31" s="31">
        <f t="shared" si="23"/>
        <v>6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1</v>
      </c>
      <c r="M32" s="50">
        <v>3</v>
      </c>
      <c r="N32" s="50">
        <v>0</v>
      </c>
      <c r="O32" s="15">
        <f t="shared" si="0"/>
        <v>6</v>
      </c>
      <c r="P32" s="15">
        <f t="shared" si="1"/>
        <v>9</v>
      </c>
      <c r="R32" s="33" t="s">
        <v>156</v>
      </c>
      <c r="S32" s="34">
        <f>SUM(C98:C101)</f>
        <v>0</v>
      </c>
      <c r="T32" s="34">
        <f t="shared" ref="T32:AF32" si="24">SUM(D98:D101)</f>
        <v>1</v>
      </c>
      <c r="U32" s="34">
        <f t="shared" si="24"/>
        <v>5</v>
      </c>
      <c r="V32" s="34">
        <f t="shared" si="24"/>
        <v>0</v>
      </c>
      <c r="W32" s="34">
        <f t="shared" si="24"/>
        <v>0</v>
      </c>
      <c r="X32" s="34">
        <f t="shared" si="24"/>
        <v>1</v>
      </c>
      <c r="Y32" s="34">
        <f t="shared" si="24"/>
        <v>2</v>
      </c>
      <c r="Z32" s="34">
        <f t="shared" si="24"/>
        <v>1</v>
      </c>
      <c r="AA32" s="34">
        <f t="shared" si="24"/>
        <v>0</v>
      </c>
      <c r="AB32" s="34">
        <f t="shared" si="24"/>
        <v>3</v>
      </c>
      <c r="AC32" s="34">
        <f t="shared" si="24"/>
        <v>3</v>
      </c>
      <c r="AD32" s="34">
        <f t="shared" si="24"/>
        <v>0</v>
      </c>
      <c r="AE32" s="31">
        <f t="shared" si="24"/>
        <v>13</v>
      </c>
      <c r="AF32" s="31">
        <f t="shared" si="24"/>
        <v>16</v>
      </c>
    </row>
    <row r="33" spans="2:32" ht="23.1" customHeight="1" x14ac:dyDescent="0.25">
      <c r="B33" s="45" t="s">
        <v>60</v>
      </c>
      <c r="C33" s="50">
        <v>2</v>
      </c>
      <c r="D33" s="50">
        <v>2</v>
      </c>
      <c r="E33" s="50">
        <v>5</v>
      </c>
      <c r="F33" s="50">
        <v>2</v>
      </c>
      <c r="G33" s="50">
        <v>0</v>
      </c>
      <c r="H33" s="50">
        <v>0</v>
      </c>
      <c r="I33" s="50">
        <v>4</v>
      </c>
      <c r="J33" s="50">
        <v>0</v>
      </c>
      <c r="K33" s="50">
        <v>1</v>
      </c>
      <c r="L33" s="50">
        <v>3</v>
      </c>
      <c r="M33" s="50">
        <v>7</v>
      </c>
      <c r="N33" s="50">
        <v>0</v>
      </c>
      <c r="O33" s="15">
        <f t="shared" si="0"/>
        <v>19</v>
      </c>
      <c r="P33" s="15">
        <f t="shared" si="1"/>
        <v>26</v>
      </c>
      <c r="R33" s="33" t="s">
        <v>157</v>
      </c>
      <c r="S33" s="34">
        <f>SUM(C102:C105)</f>
        <v>4</v>
      </c>
      <c r="T33" s="34">
        <f t="shared" ref="T33:AF33" si="25">SUM(D102:D105)</f>
        <v>0</v>
      </c>
      <c r="U33" s="34">
        <f t="shared" si="25"/>
        <v>4</v>
      </c>
      <c r="V33" s="34">
        <f t="shared" si="25"/>
        <v>3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0</v>
      </c>
      <c r="AA33" s="34">
        <f t="shared" si="25"/>
        <v>1</v>
      </c>
      <c r="AB33" s="34">
        <f t="shared" si="25"/>
        <v>5</v>
      </c>
      <c r="AC33" s="34">
        <f t="shared" si="25"/>
        <v>5</v>
      </c>
      <c r="AD33" s="34">
        <f t="shared" si="25"/>
        <v>0</v>
      </c>
      <c r="AE33" s="31">
        <f t="shared" si="25"/>
        <v>20</v>
      </c>
      <c r="AF33" s="31">
        <f t="shared" si="25"/>
        <v>25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2</v>
      </c>
      <c r="F34" s="50">
        <v>1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5</v>
      </c>
      <c r="M34" s="50">
        <v>3</v>
      </c>
      <c r="N34" s="50">
        <v>0</v>
      </c>
      <c r="O34" s="15">
        <f t="shared" si="0"/>
        <v>10</v>
      </c>
      <c r="P34" s="15">
        <f t="shared" si="1"/>
        <v>13</v>
      </c>
      <c r="R34" s="38" t="s">
        <v>90</v>
      </c>
      <c r="S34" s="39">
        <f t="shared" ref="S34:AF34" si="26">MAX(S10:S12)</f>
        <v>5</v>
      </c>
      <c r="T34" s="39">
        <f t="shared" si="26"/>
        <v>3</v>
      </c>
      <c r="U34" s="39">
        <f t="shared" si="26"/>
        <v>12</v>
      </c>
      <c r="V34" s="39">
        <f t="shared" si="26"/>
        <v>10</v>
      </c>
      <c r="W34" s="39">
        <f t="shared" si="26"/>
        <v>0</v>
      </c>
      <c r="X34" s="39">
        <f t="shared" si="26"/>
        <v>3</v>
      </c>
      <c r="Y34" s="39">
        <f t="shared" si="26"/>
        <v>6</v>
      </c>
      <c r="Z34" s="39">
        <f t="shared" si="26"/>
        <v>1</v>
      </c>
      <c r="AA34" s="39">
        <f t="shared" si="26"/>
        <v>1</v>
      </c>
      <c r="AB34" s="39">
        <f t="shared" si="26"/>
        <v>13</v>
      </c>
      <c r="AC34" s="39">
        <f t="shared" si="26"/>
        <v>31</v>
      </c>
      <c r="AD34" s="39">
        <f t="shared" si="26"/>
        <v>0</v>
      </c>
      <c r="AE34" s="40">
        <f t="shared" si="26"/>
        <v>46</v>
      </c>
      <c r="AF34" s="40">
        <f t="shared" si="26"/>
        <v>67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2</v>
      </c>
      <c r="F35" s="50">
        <v>4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2</v>
      </c>
      <c r="M35" s="50">
        <v>2</v>
      </c>
      <c r="N35" s="50">
        <v>0</v>
      </c>
      <c r="O35" s="15">
        <f t="shared" si="0"/>
        <v>9</v>
      </c>
      <c r="P35" s="15">
        <f t="shared" si="1"/>
        <v>11</v>
      </c>
      <c r="R35" s="38" t="s">
        <v>91</v>
      </c>
      <c r="S35" s="39">
        <f t="shared" ref="S35:AF35" si="27">MAX(S13:S18)</f>
        <v>8</v>
      </c>
      <c r="T35" s="39">
        <f t="shared" si="27"/>
        <v>6</v>
      </c>
      <c r="U35" s="39">
        <f t="shared" si="27"/>
        <v>18</v>
      </c>
      <c r="V35" s="39">
        <f t="shared" si="27"/>
        <v>16</v>
      </c>
      <c r="W35" s="39">
        <f t="shared" si="27"/>
        <v>1</v>
      </c>
      <c r="X35" s="39">
        <f t="shared" si="27"/>
        <v>3</v>
      </c>
      <c r="Y35" s="39">
        <f t="shared" si="27"/>
        <v>16</v>
      </c>
      <c r="Z35" s="39">
        <f t="shared" si="27"/>
        <v>4</v>
      </c>
      <c r="AA35" s="39">
        <f t="shared" si="27"/>
        <v>1</v>
      </c>
      <c r="AB35" s="39">
        <f t="shared" si="27"/>
        <v>21</v>
      </c>
      <c r="AC35" s="39">
        <f t="shared" si="27"/>
        <v>28</v>
      </c>
      <c r="AD35" s="39">
        <f t="shared" si="27"/>
        <v>1</v>
      </c>
      <c r="AE35" s="40">
        <f t="shared" si="27"/>
        <v>79</v>
      </c>
      <c r="AF35" s="40">
        <f t="shared" si="27"/>
        <v>105</v>
      </c>
    </row>
    <row r="36" spans="2:32" ht="23.1" customHeight="1" x14ac:dyDescent="0.25">
      <c r="B36" s="46" t="s">
        <v>63</v>
      </c>
      <c r="C36" s="50">
        <v>1</v>
      </c>
      <c r="D36" s="50">
        <v>2</v>
      </c>
      <c r="E36" s="50">
        <v>5</v>
      </c>
      <c r="F36" s="50">
        <v>3</v>
      </c>
      <c r="G36" s="50">
        <v>0</v>
      </c>
      <c r="H36" s="50">
        <v>1</v>
      </c>
      <c r="I36" s="50">
        <v>0</v>
      </c>
      <c r="J36" s="50">
        <v>0</v>
      </c>
      <c r="K36" s="50">
        <v>0</v>
      </c>
      <c r="L36" s="50">
        <v>1</v>
      </c>
      <c r="M36" s="50">
        <v>5</v>
      </c>
      <c r="N36" s="50">
        <v>0</v>
      </c>
      <c r="O36" s="15">
        <f t="shared" si="0"/>
        <v>13</v>
      </c>
      <c r="P36" s="15">
        <f t="shared" si="1"/>
        <v>18</v>
      </c>
      <c r="R36" s="38" t="s">
        <v>92</v>
      </c>
      <c r="S36" s="39">
        <f t="shared" ref="S36:AF36" si="28">MAX(S19:S21)</f>
        <v>8</v>
      </c>
      <c r="T36" s="39">
        <f t="shared" si="28"/>
        <v>5</v>
      </c>
      <c r="U36" s="39">
        <f t="shared" si="28"/>
        <v>14</v>
      </c>
      <c r="V36" s="39">
        <f t="shared" si="28"/>
        <v>16</v>
      </c>
      <c r="W36" s="39">
        <f t="shared" si="28"/>
        <v>0</v>
      </c>
      <c r="X36" s="39">
        <f t="shared" si="28"/>
        <v>1</v>
      </c>
      <c r="Y36" s="39">
        <f t="shared" si="28"/>
        <v>11</v>
      </c>
      <c r="Z36" s="39">
        <f t="shared" si="28"/>
        <v>1</v>
      </c>
      <c r="AA36" s="39">
        <f t="shared" si="28"/>
        <v>3</v>
      </c>
      <c r="AB36" s="39">
        <f t="shared" si="28"/>
        <v>15</v>
      </c>
      <c r="AC36" s="39">
        <f t="shared" si="28"/>
        <v>17</v>
      </c>
      <c r="AD36" s="39">
        <f t="shared" si="28"/>
        <v>0</v>
      </c>
      <c r="AE36" s="40">
        <f t="shared" si="28"/>
        <v>60</v>
      </c>
      <c r="AF36" s="40">
        <f t="shared" si="28"/>
        <v>77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2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1</v>
      </c>
      <c r="L37" s="50">
        <v>0</v>
      </c>
      <c r="M37" s="50">
        <v>0</v>
      </c>
      <c r="N37" s="50">
        <v>0</v>
      </c>
      <c r="O37" s="15">
        <f t="shared" si="0"/>
        <v>5</v>
      </c>
      <c r="P37" s="15">
        <f t="shared" si="1"/>
        <v>5</v>
      </c>
      <c r="R37" s="37" t="s">
        <v>85</v>
      </c>
      <c r="S37" s="35">
        <f t="shared" ref="S37:AF37" si="29">SUM(S10:S12)</f>
        <v>6</v>
      </c>
      <c r="T37" s="16">
        <f t="shared" si="29"/>
        <v>5</v>
      </c>
      <c r="U37" s="16">
        <f t="shared" si="29"/>
        <v>25</v>
      </c>
      <c r="V37" s="16">
        <f t="shared" si="29"/>
        <v>28</v>
      </c>
      <c r="W37" s="16">
        <f t="shared" si="29"/>
        <v>0</v>
      </c>
      <c r="X37" s="16">
        <f t="shared" si="29"/>
        <v>6</v>
      </c>
      <c r="Y37" s="16">
        <f t="shared" si="29"/>
        <v>9</v>
      </c>
      <c r="Z37" s="16">
        <f t="shared" si="29"/>
        <v>1</v>
      </c>
      <c r="AA37" s="16">
        <f t="shared" si="29"/>
        <v>2</v>
      </c>
      <c r="AB37" s="16">
        <f t="shared" si="29"/>
        <v>32</v>
      </c>
      <c r="AC37" s="16">
        <f t="shared" si="29"/>
        <v>76</v>
      </c>
      <c r="AD37" s="16">
        <f t="shared" si="29"/>
        <v>0</v>
      </c>
      <c r="AE37" s="32">
        <f t="shared" si="29"/>
        <v>114</v>
      </c>
      <c r="AF37" s="32">
        <f t="shared" si="29"/>
        <v>190</v>
      </c>
    </row>
    <row r="38" spans="2:32" ht="23.1" customHeight="1" x14ac:dyDescent="0.25">
      <c r="B38" s="46" t="s">
        <v>65</v>
      </c>
      <c r="C38" s="50">
        <v>2</v>
      </c>
      <c r="D38" s="50">
        <v>1</v>
      </c>
      <c r="E38" s="50">
        <v>3</v>
      </c>
      <c r="F38" s="50">
        <v>5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14</v>
      </c>
      <c r="P38" s="15">
        <f t="shared" si="1"/>
        <v>14</v>
      </c>
      <c r="R38" s="28" t="s">
        <v>86</v>
      </c>
      <c r="S38" s="16">
        <f t="shared" ref="S38:AF38" si="30">SUM(S13:S18)</f>
        <v>27</v>
      </c>
      <c r="T38" s="16">
        <f t="shared" si="30"/>
        <v>24</v>
      </c>
      <c r="U38" s="16">
        <f t="shared" si="30"/>
        <v>88</v>
      </c>
      <c r="V38" s="16">
        <f t="shared" si="30"/>
        <v>71</v>
      </c>
      <c r="W38" s="16">
        <f t="shared" si="30"/>
        <v>1</v>
      </c>
      <c r="X38" s="16">
        <f t="shared" si="30"/>
        <v>9</v>
      </c>
      <c r="Y38" s="16">
        <f t="shared" si="30"/>
        <v>47</v>
      </c>
      <c r="Z38" s="16">
        <f t="shared" si="30"/>
        <v>8</v>
      </c>
      <c r="AA38" s="16">
        <f t="shared" si="30"/>
        <v>3</v>
      </c>
      <c r="AB38" s="16">
        <f t="shared" si="30"/>
        <v>57</v>
      </c>
      <c r="AC38" s="16">
        <f t="shared" si="30"/>
        <v>114</v>
      </c>
      <c r="AD38" s="16">
        <f t="shared" si="30"/>
        <v>1</v>
      </c>
      <c r="AE38" s="32">
        <f t="shared" si="30"/>
        <v>336</v>
      </c>
      <c r="AF38" s="32">
        <f t="shared" si="30"/>
        <v>450</v>
      </c>
    </row>
    <row r="39" spans="2:32" ht="23.1" customHeight="1" x14ac:dyDescent="0.25">
      <c r="B39" s="46" t="s">
        <v>66</v>
      </c>
      <c r="C39" s="50">
        <v>2</v>
      </c>
      <c r="D39" s="50">
        <v>2</v>
      </c>
      <c r="E39" s="50">
        <v>5</v>
      </c>
      <c r="F39" s="50">
        <v>1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2</v>
      </c>
      <c r="M39" s="50">
        <v>1</v>
      </c>
      <c r="N39" s="50">
        <v>0</v>
      </c>
      <c r="O39" s="15">
        <f t="shared" si="0"/>
        <v>16</v>
      </c>
      <c r="P39" s="15">
        <f t="shared" si="1"/>
        <v>17</v>
      </c>
      <c r="R39" s="29" t="s">
        <v>87</v>
      </c>
      <c r="S39" s="16">
        <f t="shared" ref="S39:AF39" si="31">SUM(S19:S21)</f>
        <v>15</v>
      </c>
      <c r="T39" s="16">
        <f t="shared" si="31"/>
        <v>10</v>
      </c>
      <c r="U39" s="16">
        <f t="shared" si="31"/>
        <v>36</v>
      </c>
      <c r="V39" s="16">
        <f t="shared" si="31"/>
        <v>30</v>
      </c>
      <c r="W39" s="16">
        <f t="shared" si="31"/>
        <v>0</v>
      </c>
      <c r="X39" s="16">
        <f t="shared" si="31"/>
        <v>1</v>
      </c>
      <c r="Y39" s="16">
        <f t="shared" si="31"/>
        <v>22</v>
      </c>
      <c r="Z39" s="16">
        <f t="shared" si="31"/>
        <v>1</v>
      </c>
      <c r="AA39" s="16">
        <f t="shared" si="31"/>
        <v>3</v>
      </c>
      <c r="AB39" s="16">
        <f t="shared" si="31"/>
        <v>37</v>
      </c>
      <c r="AC39" s="16">
        <f t="shared" si="31"/>
        <v>40</v>
      </c>
      <c r="AD39" s="16">
        <f t="shared" si="31"/>
        <v>0</v>
      </c>
      <c r="AE39" s="32">
        <f t="shared" si="31"/>
        <v>155</v>
      </c>
      <c r="AF39" s="32">
        <f t="shared" si="31"/>
        <v>195</v>
      </c>
    </row>
    <row r="40" spans="2:32" ht="23.1" customHeight="1" x14ac:dyDescent="0.25">
      <c r="B40" s="46" t="s">
        <v>67</v>
      </c>
      <c r="C40" s="50">
        <v>2</v>
      </c>
      <c r="D40" s="50">
        <v>2</v>
      </c>
      <c r="E40" s="50">
        <v>7</v>
      </c>
      <c r="F40" s="50">
        <v>3</v>
      </c>
      <c r="G40" s="50">
        <v>0</v>
      </c>
      <c r="H40" s="50">
        <v>1</v>
      </c>
      <c r="I40" s="50">
        <v>3</v>
      </c>
      <c r="J40" s="50">
        <v>1</v>
      </c>
      <c r="K40" s="50">
        <v>0</v>
      </c>
      <c r="L40" s="50">
        <v>5</v>
      </c>
      <c r="M40" s="50">
        <v>3</v>
      </c>
      <c r="N40" s="50">
        <v>1</v>
      </c>
      <c r="O40" s="15">
        <f t="shared" si="0"/>
        <v>25</v>
      </c>
      <c r="P40" s="15">
        <f t="shared" si="1"/>
        <v>28</v>
      </c>
      <c r="R40" s="5" t="s">
        <v>17</v>
      </c>
      <c r="S40" s="16">
        <f t="shared" ref="S40:AF40" si="32">SUM(S10:S21)</f>
        <v>48</v>
      </c>
      <c r="T40" s="16">
        <f t="shared" si="32"/>
        <v>39</v>
      </c>
      <c r="U40" s="16">
        <f t="shared" si="32"/>
        <v>149</v>
      </c>
      <c r="V40" s="16">
        <f t="shared" si="32"/>
        <v>129</v>
      </c>
      <c r="W40" s="16">
        <f t="shared" si="32"/>
        <v>1</v>
      </c>
      <c r="X40" s="16">
        <f t="shared" si="32"/>
        <v>16</v>
      </c>
      <c r="Y40" s="16">
        <f t="shared" si="32"/>
        <v>78</v>
      </c>
      <c r="Z40" s="16">
        <f t="shared" si="32"/>
        <v>10</v>
      </c>
      <c r="AA40" s="16">
        <f t="shared" si="32"/>
        <v>8</v>
      </c>
      <c r="AB40" s="16">
        <f t="shared" si="32"/>
        <v>126</v>
      </c>
      <c r="AC40" s="16">
        <f t="shared" si="32"/>
        <v>230</v>
      </c>
      <c r="AD40" s="16">
        <f t="shared" si="32"/>
        <v>1</v>
      </c>
      <c r="AE40" s="32">
        <f t="shared" si="32"/>
        <v>605</v>
      </c>
      <c r="AF40" s="32">
        <f t="shared" si="32"/>
        <v>835</v>
      </c>
    </row>
    <row r="41" spans="2:32" ht="23.1" customHeight="1" x14ac:dyDescent="0.25">
      <c r="B41" s="45" t="s">
        <v>68</v>
      </c>
      <c r="C41" s="50">
        <v>1</v>
      </c>
      <c r="D41" s="50">
        <v>1</v>
      </c>
      <c r="E41" s="50">
        <v>3</v>
      </c>
      <c r="F41" s="50">
        <v>5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3</v>
      </c>
      <c r="M41" s="50">
        <v>6</v>
      </c>
      <c r="N41" s="50">
        <v>0</v>
      </c>
      <c r="O41" s="15">
        <f t="shared" si="0"/>
        <v>14</v>
      </c>
      <c r="P41" s="15">
        <f t="shared" si="1"/>
        <v>20</v>
      </c>
      <c r="R41" s="5" t="s">
        <v>159</v>
      </c>
      <c r="S41" s="16">
        <f>SUM(S10:S33)</f>
        <v>78</v>
      </c>
      <c r="T41" s="16">
        <f t="shared" ref="T41:AF41" si="33">SUM(T10:T33)</f>
        <v>44</v>
      </c>
      <c r="U41" s="16">
        <f t="shared" si="33"/>
        <v>188</v>
      </c>
      <c r="V41" s="16">
        <f t="shared" si="33"/>
        <v>162</v>
      </c>
      <c r="W41" s="16">
        <f t="shared" si="33"/>
        <v>2</v>
      </c>
      <c r="X41" s="16">
        <f t="shared" si="33"/>
        <v>36</v>
      </c>
      <c r="Y41" s="16">
        <f t="shared" si="33"/>
        <v>115</v>
      </c>
      <c r="Z41" s="16">
        <f t="shared" si="33"/>
        <v>17</v>
      </c>
      <c r="AA41" s="16">
        <f t="shared" si="33"/>
        <v>13</v>
      </c>
      <c r="AB41" s="16">
        <f t="shared" si="33"/>
        <v>210</v>
      </c>
      <c r="AC41" s="16">
        <f t="shared" si="33"/>
        <v>290</v>
      </c>
      <c r="AD41" s="16">
        <f t="shared" si="33"/>
        <v>1</v>
      </c>
      <c r="AE41" s="32">
        <f t="shared" si="33"/>
        <v>866</v>
      </c>
      <c r="AF41" s="32">
        <f t="shared" si="33"/>
        <v>1156</v>
      </c>
    </row>
    <row r="42" spans="2:32" ht="23.1" customHeight="1" x14ac:dyDescent="0.25">
      <c r="B42" s="46" t="s">
        <v>69</v>
      </c>
      <c r="C42" s="50">
        <v>0</v>
      </c>
      <c r="D42" s="50">
        <v>2</v>
      </c>
      <c r="E42" s="50">
        <v>6</v>
      </c>
      <c r="F42" s="50">
        <v>4</v>
      </c>
      <c r="G42" s="50">
        <v>0</v>
      </c>
      <c r="H42" s="50">
        <v>0</v>
      </c>
      <c r="I42" s="50">
        <v>6</v>
      </c>
      <c r="J42" s="50">
        <v>0</v>
      </c>
      <c r="K42" s="50">
        <v>0</v>
      </c>
      <c r="L42" s="50">
        <v>4</v>
      </c>
      <c r="M42" s="50">
        <v>4</v>
      </c>
      <c r="N42" s="50">
        <v>0</v>
      </c>
      <c r="O42" s="15">
        <f t="shared" si="0"/>
        <v>22</v>
      </c>
      <c r="P42" s="15">
        <f t="shared" si="1"/>
        <v>26</v>
      </c>
      <c r="R42" s="5" t="s">
        <v>160</v>
      </c>
      <c r="S42" s="48">
        <f>S41/S40</f>
        <v>1.625</v>
      </c>
      <c r="T42" s="48">
        <f t="shared" ref="T42:AF42" si="34">T41/T40</f>
        <v>1.1282051282051282</v>
      </c>
      <c r="U42" s="48">
        <f t="shared" si="34"/>
        <v>1.261744966442953</v>
      </c>
      <c r="V42" s="48">
        <f t="shared" si="34"/>
        <v>1.2558139534883721</v>
      </c>
      <c r="W42" s="48">
        <f t="shared" si="34"/>
        <v>2</v>
      </c>
      <c r="X42" s="48">
        <f t="shared" si="34"/>
        <v>2.25</v>
      </c>
      <c r="Y42" s="48">
        <f t="shared" si="34"/>
        <v>1.4743589743589745</v>
      </c>
      <c r="Z42" s="48">
        <f t="shared" si="34"/>
        <v>1.7</v>
      </c>
      <c r="AA42" s="48">
        <f t="shared" si="34"/>
        <v>1.625</v>
      </c>
      <c r="AB42" s="48">
        <f t="shared" si="34"/>
        <v>1.6666666666666667</v>
      </c>
      <c r="AC42" s="48">
        <f t="shared" si="34"/>
        <v>1.2608695652173914</v>
      </c>
      <c r="AD42" s="48">
        <f t="shared" si="34"/>
        <v>1</v>
      </c>
      <c r="AE42" s="48">
        <f t="shared" si="34"/>
        <v>1.431404958677686</v>
      </c>
      <c r="AF42" s="48">
        <f t="shared" si="34"/>
        <v>1.3844311377245508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3</v>
      </c>
      <c r="G43" s="50">
        <v>0</v>
      </c>
      <c r="H43" s="50">
        <v>0</v>
      </c>
      <c r="I43" s="50">
        <v>5</v>
      </c>
      <c r="J43" s="50">
        <v>1</v>
      </c>
      <c r="K43" s="50">
        <v>0</v>
      </c>
      <c r="L43" s="50">
        <v>5</v>
      </c>
      <c r="M43" s="50">
        <v>4</v>
      </c>
      <c r="N43" s="50">
        <v>0</v>
      </c>
      <c r="O43" s="15">
        <f t="shared" si="0"/>
        <v>14</v>
      </c>
      <c r="P43" s="15">
        <f t="shared" si="1"/>
        <v>18</v>
      </c>
    </row>
    <row r="44" spans="2:32" ht="23.1" customHeight="1" x14ac:dyDescent="0.25">
      <c r="B44" s="47" t="s">
        <v>71</v>
      </c>
      <c r="C44" s="50">
        <v>2</v>
      </c>
      <c r="D44" s="50">
        <v>2</v>
      </c>
      <c r="E44" s="50">
        <v>6</v>
      </c>
      <c r="F44" s="50">
        <v>4</v>
      </c>
      <c r="G44" s="50">
        <v>0</v>
      </c>
      <c r="H44" s="50">
        <v>0</v>
      </c>
      <c r="I44" s="50">
        <v>4</v>
      </c>
      <c r="J44" s="50">
        <v>2</v>
      </c>
      <c r="K44" s="50">
        <v>0</v>
      </c>
      <c r="L44" s="50">
        <v>6</v>
      </c>
      <c r="M44" s="50">
        <v>13</v>
      </c>
      <c r="N44" s="50">
        <v>0</v>
      </c>
      <c r="O44" s="15">
        <f t="shared" si="0"/>
        <v>26</v>
      </c>
      <c r="P44" s="15">
        <f t="shared" si="1"/>
        <v>39</v>
      </c>
    </row>
    <row r="45" spans="2:32" ht="23.1" customHeight="1" x14ac:dyDescent="0.25">
      <c r="B45" s="45" t="s">
        <v>72</v>
      </c>
      <c r="C45" s="50">
        <v>0</v>
      </c>
      <c r="D45" s="50">
        <v>1</v>
      </c>
      <c r="E45" s="50">
        <v>4</v>
      </c>
      <c r="F45" s="50">
        <v>4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6</v>
      </c>
      <c r="M45" s="50">
        <v>5</v>
      </c>
      <c r="N45" s="50">
        <v>0</v>
      </c>
      <c r="O45" s="15">
        <f t="shared" si="0"/>
        <v>17</v>
      </c>
      <c r="P45" s="15">
        <f t="shared" si="1"/>
        <v>22</v>
      </c>
    </row>
    <row r="46" spans="2:32" ht="23.1" customHeight="1" x14ac:dyDescent="0.25">
      <c r="B46" s="46" t="s">
        <v>73</v>
      </c>
      <c r="C46" s="50">
        <v>2</v>
      </c>
      <c r="D46" s="50">
        <v>1</v>
      </c>
      <c r="E46" s="50">
        <v>3</v>
      </c>
      <c r="F46" s="50">
        <v>3</v>
      </c>
      <c r="G46" s="50">
        <v>0</v>
      </c>
      <c r="H46" s="50">
        <v>0</v>
      </c>
      <c r="I46" s="50">
        <v>5</v>
      </c>
      <c r="J46" s="50">
        <v>0</v>
      </c>
      <c r="K46" s="50">
        <v>0</v>
      </c>
      <c r="L46" s="50">
        <v>3</v>
      </c>
      <c r="M46" s="50">
        <v>4</v>
      </c>
      <c r="N46" s="50">
        <v>0</v>
      </c>
      <c r="O46" s="15">
        <f t="shared" si="0"/>
        <v>17</v>
      </c>
      <c r="P46" s="15">
        <f t="shared" si="1"/>
        <v>21</v>
      </c>
      <c r="R46" s="8"/>
      <c r="T46"/>
    </row>
    <row r="47" spans="2:32" ht="23.1" customHeight="1" x14ac:dyDescent="0.25">
      <c r="B47" s="46" t="s">
        <v>74</v>
      </c>
      <c r="C47" s="50">
        <v>6</v>
      </c>
      <c r="D47" s="50">
        <v>1</v>
      </c>
      <c r="E47" s="50">
        <v>4</v>
      </c>
      <c r="F47" s="50">
        <v>3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2</v>
      </c>
      <c r="M47" s="50">
        <v>6</v>
      </c>
      <c r="N47" s="50">
        <v>0</v>
      </c>
      <c r="O47" s="15">
        <f t="shared" si="0"/>
        <v>17</v>
      </c>
      <c r="P47" s="15">
        <f t="shared" si="1"/>
        <v>23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2</v>
      </c>
      <c r="E48" s="50">
        <v>5</v>
      </c>
      <c r="F48" s="50">
        <v>5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1</v>
      </c>
      <c r="M48" s="50">
        <v>4</v>
      </c>
      <c r="N48" s="50">
        <v>0</v>
      </c>
      <c r="O48" s="15">
        <f t="shared" si="0"/>
        <v>17</v>
      </c>
      <c r="P48" s="15">
        <f t="shared" si="1"/>
        <v>21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2</v>
      </c>
      <c r="F49" s="50">
        <v>5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2</v>
      </c>
      <c r="M49" s="50">
        <v>3</v>
      </c>
      <c r="N49" s="50">
        <v>0</v>
      </c>
      <c r="O49" s="15">
        <f t="shared" si="0"/>
        <v>9</v>
      </c>
      <c r="P49" s="15">
        <f t="shared" si="1"/>
        <v>12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2</v>
      </c>
      <c r="F50" s="50">
        <v>1</v>
      </c>
      <c r="G50" s="50">
        <v>0</v>
      </c>
      <c r="H50" s="50">
        <v>0</v>
      </c>
      <c r="I50" s="50">
        <v>2</v>
      </c>
      <c r="J50" s="50">
        <v>0</v>
      </c>
      <c r="K50" s="50">
        <v>1</v>
      </c>
      <c r="L50" s="50">
        <v>4</v>
      </c>
      <c r="M50" s="50">
        <v>2</v>
      </c>
      <c r="N50" s="50">
        <v>0</v>
      </c>
      <c r="O50" s="15">
        <f t="shared" si="0"/>
        <v>11</v>
      </c>
      <c r="P50" s="15">
        <f t="shared" si="1"/>
        <v>13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1</v>
      </c>
      <c r="E51" s="50">
        <v>3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2</v>
      </c>
      <c r="L51" s="50">
        <v>1</v>
      </c>
      <c r="M51" s="50">
        <v>4</v>
      </c>
      <c r="N51" s="50">
        <v>0</v>
      </c>
      <c r="O51" s="15">
        <f t="shared" si="0"/>
        <v>10</v>
      </c>
      <c r="P51" s="15">
        <f t="shared" si="1"/>
        <v>14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1</v>
      </c>
      <c r="F52" s="50">
        <v>2</v>
      </c>
      <c r="G52" s="50">
        <v>0</v>
      </c>
      <c r="H52" s="50">
        <v>0</v>
      </c>
      <c r="I52" s="50">
        <v>4</v>
      </c>
      <c r="J52" s="50">
        <v>0</v>
      </c>
      <c r="K52" s="50">
        <v>0</v>
      </c>
      <c r="L52" s="50">
        <v>5</v>
      </c>
      <c r="M52" s="50">
        <v>2</v>
      </c>
      <c r="N52" s="50">
        <v>0</v>
      </c>
      <c r="O52" s="15">
        <f t="shared" si="0"/>
        <v>12</v>
      </c>
      <c r="P52" s="15">
        <f t="shared" si="1"/>
        <v>14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2</v>
      </c>
      <c r="F53" s="50">
        <v>2</v>
      </c>
      <c r="G53" s="50">
        <v>0</v>
      </c>
      <c r="H53" s="50">
        <v>0</v>
      </c>
      <c r="I53" s="50">
        <v>4</v>
      </c>
      <c r="J53" s="50">
        <v>0</v>
      </c>
      <c r="K53" s="50">
        <v>0</v>
      </c>
      <c r="L53" s="50">
        <v>4</v>
      </c>
      <c r="M53" s="50">
        <v>3</v>
      </c>
      <c r="N53" s="50">
        <v>0</v>
      </c>
      <c r="O53" s="15">
        <f t="shared" si="0"/>
        <v>13</v>
      </c>
      <c r="P53" s="15">
        <f t="shared" si="1"/>
        <v>16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1</v>
      </c>
      <c r="E54" s="50">
        <v>3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5</v>
      </c>
      <c r="M54" s="50">
        <v>4</v>
      </c>
      <c r="N54" s="50">
        <v>0</v>
      </c>
      <c r="O54" s="15">
        <f t="shared" si="0"/>
        <v>12</v>
      </c>
      <c r="P54" s="15">
        <f t="shared" si="1"/>
        <v>16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1</v>
      </c>
      <c r="E55" s="50">
        <v>3</v>
      </c>
      <c r="F55" s="50">
        <v>1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5</v>
      </c>
      <c r="M55" s="50">
        <v>2</v>
      </c>
      <c r="N55" s="50">
        <v>0</v>
      </c>
      <c r="O55" s="15">
        <f t="shared" si="0"/>
        <v>12</v>
      </c>
      <c r="P55" s="15">
        <f t="shared" si="1"/>
        <v>14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2</v>
      </c>
      <c r="E56" s="50">
        <v>5</v>
      </c>
      <c r="F56" s="50">
        <v>3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4</v>
      </c>
      <c r="M56" s="50">
        <v>3</v>
      </c>
      <c r="N56" s="50">
        <v>0</v>
      </c>
      <c r="O56" s="15">
        <f t="shared" si="0"/>
        <v>16</v>
      </c>
      <c r="P56" s="15">
        <f t="shared" si="1"/>
        <v>19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1</v>
      </c>
      <c r="E57" s="50">
        <v>3</v>
      </c>
      <c r="F57" s="50">
        <v>2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3</v>
      </c>
      <c r="N57" s="50">
        <v>0</v>
      </c>
      <c r="O57" s="15">
        <f t="shared" si="0"/>
        <v>9</v>
      </c>
      <c r="P57" s="15">
        <f t="shared" si="1"/>
        <v>12</v>
      </c>
      <c r="R57" s="8"/>
      <c r="T57"/>
    </row>
    <row r="58" spans="2:20" ht="23.1" customHeight="1" x14ac:dyDescent="0.25">
      <c r="B58" s="45" t="s">
        <v>99</v>
      </c>
      <c r="C58" s="50">
        <v>5</v>
      </c>
      <c r="D58" s="50">
        <v>1</v>
      </c>
      <c r="E58" s="50">
        <v>4</v>
      </c>
      <c r="F58" s="50">
        <v>1</v>
      </c>
      <c r="G58" s="50">
        <v>1</v>
      </c>
      <c r="H58" s="50">
        <v>0</v>
      </c>
      <c r="I58" s="50">
        <v>1</v>
      </c>
      <c r="J58" s="50">
        <v>1</v>
      </c>
      <c r="K58" s="50">
        <v>0</v>
      </c>
      <c r="L58" s="50">
        <v>3</v>
      </c>
      <c r="M58" s="50">
        <v>2</v>
      </c>
      <c r="N58" s="50">
        <v>0</v>
      </c>
      <c r="O58" s="15">
        <f t="shared" si="0"/>
        <v>17</v>
      </c>
      <c r="P58" s="15">
        <f t="shared" si="1"/>
        <v>19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3</v>
      </c>
      <c r="G59" s="50">
        <v>0</v>
      </c>
      <c r="H59" s="50">
        <v>0</v>
      </c>
      <c r="I59" s="50">
        <v>3</v>
      </c>
      <c r="J59" s="50">
        <v>1</v>
      </c>
      <c r="K59" s="50">
        <v>0</v>
      </c>
      <c r="L59" s="50">
        <v>2</v>
      </c>
      <c r="M59" s="50">
        <v>8</v>
      </c>
      <c r="N59" s="50">
        <v>0</v>
      </c>
      <c r="O59" s="15">
        <f t="shared" si="0"/>
        <v>10</v>
      </c>
      <c r="P59" s="15">
        <f t="shared" si="1"/>
        <v>18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2</v>
      </c>
      <c r="F60" s="50">
        <v>4</v>
      </c>
      <c r="G60" s="50">
        <v>0</v>
      </c>
      <c r="H60" s="50">
        <v>1</v>
      </c>
      <c r="I60" s="50">
        <v>2</v>
      </c>
      <c r="J60" s="50">
        <v>1</v>
      </c>
      <c r="K60" s="50">
        <v>1</v>
      </c>
      <c r="L60" s="50">
        <v>0</v>
      </c>
      <c r="M60" s="50">
        <v>11</v>
      </c>
      <c r="N60" s="50">
        <v>0</v>
      </c>
      <c r="O60" s="15">
        <f t="shared" si="0"/>
        <v>11</v>
      </c>
      <c r="P60" s="15">
        <f t="shared" si="1"/>
        <v>22</v>
      </c>
      <c r="R60" s="8"/>
      <c r="T60"/>
    </row>
    <row r="61" spans="2:20" ht="23.1" customHeight="1" x14ac:dyDescent="0.25">
      <c r="B61" s="45" t="s">
        <v>102</v>
      </c>
      <c r="C61" s="50">
        <v>4</v>
      </c>
      <c r="D61" s="50">
        <v>1</v>
      </c>
      <c r="E61" s="50">
        <v>3</v>
      </c>
      <c r="F61" s="50">
        <v>1</v>
      </c>
      <c r="G61" s="50">
        <v>0</v>
      </c>
      <c r="H61" s="50">
        <v>0</v>
      </c>
      <c r="I61" s="50">
        <v>0</v>
      </c>
      <c r="J61" s="50">
        <v>1</v>
      </c>
      <c r="K61" s="50">
        <v>0</v>
      </c>
      <c r="L61" s="50">
        <v>4</v>
      </c>
      <c r="M61" s="50">
        <v>5</v>
      </c>
      <c r="N61" s="50">
        <v>0</v>
      </c>
      <c r="O61" s="15">
        <f t="shared" si="0"/>
        <v>14</v>
      </c>
      <c r="P61" s="15">
        <f t="shared" si="1"/>
        <v>19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2</v>
      </c>
      <c r="F62" s="50">
        <v>2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3</v>
      </c>
      <c r="M62" s="50">
        <v>3</v>
      </c>
      <c r="N62" s="50">
        <v>0</v>
      </c>
      <c r="O62" s="15">
        <f t="shared" si="0"/>
        <v>7</v>
      </c>
      <c r="P62" s="15">
        <f t="shared" si="1"/>
        <v>10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0</v>
      </c>
      <c r="F63" s="50">
        <v>0</v>
      </c>
      <c r="G63" s="50">
        <v>0</v>
      </c>
      <c r="H63" s="50">
        <v>1</v>
      </c>
      <c r="I63" s="50">
        <v>2</v>
      </c>
      <c r="J63" s="50">
        <v>0</v>
      </c>
      <c r="K63" s="50">
        <v>0</v>
      </c>
      <c r="L63" s="50">
        <v>0</v>
      </c>
      <c r="M63" s="50">
        <v>1</v>
      </c>
      <c r="N63" s="50">
        <v>0</v>
      </c>
      <c r="O63" s="15">
        <f t="shared" si="0"/>
        <v>4</v>
      </c>
      <c r="P63" s="15">
        <f t="shared" si="1"/>
        <v>5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2</v>
      </c>
      <c r="F64" s="50">
        <v>3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3</v>
      </c>
      <c r="M64" s="50">
        <v>3</v>
      </c>
      <c r="N64" s="50">
        <v>0</v>
      </c>
      <c r="O64" s="15">
        <f t="shared" si="0"/>
        <v>8</v>
      </c>
      <c r="P64" s="15">
        <f t="shared" si="1"/>
        <v>11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3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5</v>
      </c>
      <c r="P65" s="15">
        <f t="shared" si="1"/>
        <v>5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0</v>
      </c>
      <c r="G66" s="50">
        <v>0</v>
      </c>
      <c r="H66" s="50">
        <v>1</v>
      </c>
      <c r="I66" s="50">
        <v>2</v>
      </c>
      <c r="J66" s="50">
        <v>0</v>
      </c>
      <c r="K66" s="50">
        <v>0</v>
      </c>
      <c r="L66" s="50">
        <v>3</v>
      </c>
      <c r="M66" s="50">
        <v>0</v>
      </c>
      <c r="N66" s="50">
        <v>0</v>
      </c>
      <c r="O66" s="15">
        <f t="shared" si="0"/>
        <v>7</v>
      </c>
      <c r="P66" s="15">
        <f t="shared" si="1"/>
        <v>7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0</v>
      </c>
      <c r="F67" s="50">
        <v>2</v>
      </c>
      <c r="G67" s="50">
        <v>0</v>
      </c>
      <c r="H67" s="50">
        <v>1</v>
      </c>
      <c r="I67" s="50">
        <v>3</v>
      </c>
      <c r="J67" s="50">
        <v>0</v>
      </c>
      <c r="K67" s="50">
        <v>0</v>
      </c>
      <c r="L67" s="50">
        <v>5</v>
      </c>
      <c r="M67" s="50">
        <v>2</v>
      </c>
      <c r="N67" s="50">
        <v>0</v>
      </c>
      <c r="O67" s="15">
        <f t="shared" si="0"/>
        <v>13</v>
      </c>
      <c r="P67" s="15">
        <f t="shared" si="1"/>
        <v>15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2</v>
      </c>
      <c r="F68" s="50">
        <v>3</v>
      </c>
      <c r="G68" s="50">
        <v>0</v>
      </c>
      <c r="H68" s="50">
        <v>2</v>
      </c>
      <c r="I68" s="50">
        <v>1</v>
      </c>
      <c r="J68" s="50">
        <v>0</v>
      </c>
      <c r="K68" s="50">
        <v>0</v>
      </c>
      <c r="L68" s="50">
        <v>6</v>
      </c>
      <c r="M68" s="50">
        <v>4</v>
      </c>
      <c r="N68" s="50">
        <v>0</v>
      </c>
      <c r="O68" s="15">
        <f t="shared" si="0"/>
        <v>15</v>
      </c>
      <c r="P68" s="15">
        <f t="shared" si="1"/>
        <v>19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3</v>
      </c>
      <c r="M69" s="50">
        <v>0</v>
      </c>
      <c r="N69" s="50">
        <v>0</v>
      </c>
      <c r="O69" s="15">
        <f t="shared" si="0"/>
        <v>6</v>
      </c>
      <c r="P69" s="15">
        <f t="shared" si="1"/>
        <v>6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1</v>
      </c>
      <c r="F70" s="50">
        <v>0</v>
      </c>
      <c r="G70" s="50">
        <v>0</v>
      </c>
      <c r="H70" s="50">
        <v>1</v>
      </c>
      <c r="I70" s="50">
        <v>2</v>
      </c>
      <c r="J70" s="50">
        <v>0</v>
      </c>
      <c r="K70" s="50">
        <v>0</v>
      </c>
      <c r="L70" s="50">
        <v>2</v>
      </c>
      <c r="M70" s="50">
        <v>2</v>
      </c>
      <c r="N70" s="50">
        <v>0</v>
      </c>
      <c r="O70" s="15">
        <f t="shared" si="0"/>
        <v>7</v>
      </c>
      <c r="P70" s="15">
        <f t="shared" si="1"/>
        <v>9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5</v>
      </c>
      <c r="M71" s="50">
        <v>1</v>
      </c>
      <c r="N71" s="50">
        <v>0</v>
      </c>
      <c r="O71" s="15">
        <f t="shared" si="0"/>
        <v>6</v>
      </c>
      <c r="P71" s="15">
        <f t="shared" si="1"/>
        <v>7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0</v>
      </c>
      <c r="E72" s="50">
        <v>1</v>
      </c>
      <c r="F72" s="50">
        <v>2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3</v>
      </c>
      <c r="M72" s="50">
        <v>2</v>
      </c>
      <c r="N72" s="50">
        <v>0</v>
      </c>
      <c r="O72" s="15">
        <f t="shared" si="0"/>
        <v>9</v>
      </c>
      <c r="P72" s="15">
        <f t="shared" si="1"/>
        <v>11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1</v>
      </c>
      <c r="G73" s="50">
        <v>0</v>
      </c>
      <c r="H73" s="50">
        <v>1</v>
      </c>
      <c r="I73" s="50">
        <v>1</v>
      </c>
      <c r="J73" s="50">
        <v>0</v>
      </c>
      <c r="K73" s="50">
        <v>0</v>
      </c>
      <c r="L73" s="50">
        <v>4</v>
      </c>
      <c r="M73" s="50">
        <v>2</v>
      </c>
      <c r="N73" s="50">
        <v>0</v>
      </c>
      <c r="O73" s="15">
        <f t="shared" si="0"/>
        <v>8</v>
      </c>
      <c r="P73" s="15">
        <f t="shared" si="1"/>
        <v>10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1</v>
      </c>
      <c r="G74" s="50">
        <v>0</v>
      </c>
      <c r="H74" s="50">
        <v>0</v>
      </c>
      <c r="I74" s="50">
        <v>2</v>
      </c>
      <c r="J74" s="50">
        <v>0</v>
      </c>
      <c r="K74" s="50">
        <v>0</v>
      </c>
      <c r="L74" s="50">
        <v>1</v>
      </c>
      <c r="M74" s="50">
        <v>1</v>
      </c>
      <c r="N74" s="50">
        <v>0</v>
      </c>
      <c r="O74" s="15">
        <f t="shared" ref="O74:O105" si="35">SUM(C74:L74,N74)</f>
        <v>5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2</v>
      </c>
      <c r="G75" s="50">
        <v>0</v>
      </c>
      <c r="H75" s="50">
        <v>0</v>
      </c>
      <c r="I75" s="50">
        <v>2</v>
      </c>
      <c r="J75" s="50">
        <v>0</v>
      </c>
      <c r="K75" s="50">
        <v>0</v>
      </c>
      <c r="L75" s="50">
        <v>5</v>
      </c>
      <c r="M75" s="50">
        <v>1</v>
      </c>
      <c r="N75" s="50">
        <v>0</v>
      </c>
      <c r="O75" s="15">
        <f t="shared" si="35"/>
        <v>9</v>
      </c>
      <c r="P75" s="15">
        <f t="shared" si="36"/>
        <v>10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1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1</v>
      </c>
      <c r="M76" s="50">
        <v>0</v>
      </c>
      <c r="N76" s="50">
        <v>0</v>
      </c>
      <c r="O76" s="15">
        <f t="shared" si="35"/>
        <v>3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0</v>
      </c>
      <c r="F77" s="50">
        <v>2</v>
      </c>
      <c r="G77" s="50">
        <v>0</v>
      </c>
      <c r="H77" s="50">
        <v>0</v>
      </c>
      <c r="I77" s="50">
        <v>3</v>
      </c>
      <c r="J77" s="50">
        <v>0</v>
      </c>
      <c r="K77" s="50">
        <v>0</v>
      </c>
      <c r="L77" s="50">
        <v>2</v>
      </c>
      <c r="M77" s="50">
        <v>0</v>
      </c>
      <c r="N77" s="50">
        <v>0</v>
      </c>
      <c r="O77" s="15">
        <f t="shared" si="35"/>
        <v>9</v>
      </c>
      <c r="P77" s="15">
        <f t="shared" si="36"/>
        <v>9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1</v>
      </c>
      <c r="I79" s="50">
        <v>0</v>
      </c>
      <c r="J79" s="50">
        <v>0</v>
      </c>
      <c r="K79" s="50">
        <v>0</v>
      </c>
      <c r="L79" s="50">
        <v>2</v>
      </c>
      <c r="M79" s="50">
        <v>0</v>
      </c>
      <c r="N79" s="50">
        <v>0</v>
      </c>
      <c r="O79" s="15">
        <f t="shared" si="35"/>
        <v>3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1</v>
      </c>
      <c r="G80" s="50">
        <v>0</v>
      </c>
      <c r="H80" s="50">
        <v>1</v>
      </c>
      <c r="I80" s="50">
        <v>0</v>
      </c>
      <c r="J80" s="50">
        <v>1</v>
      </c>
      <c r="K80" s="50">
        <v>0</v>
      </c>
      <c r="L80" s="50">
        <v>3</v>
      </c>
      <c r="M80" s="50">
        <v>0</v>
      </c>
      <c r="N80" s="50">
        <v>0</v>
      </c>
      <c r="O80" s="15">
        <f t="shared" si="35"/>
        <v>7</v>
      </c>
      <c r="P80" s="15">
        <f t="shared" si="36"/>
        <v>7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1</v>
      </c>
      <c r="M81" s="50">
        <v>0</v>
      </c>
      <c r="N81" s="50"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1</v>
      </c>
      <c r="I82" s="50">
        <v>0</v>
      </c>
      <c r="J82" s="50">
        <v>0</v>
      </c>
      <c r="K82" s="50">
        <v>0</v>
      </c>
      <c r="L82" s="50">
        <v>2</v>
      </c>
      <c r="M82" s="50">
        <v>2</v>
      </c>
      <c r="N82" s="50">
        <v>0</v>
      </c>
      <c r="O82" s="15">
        <f t="shared" si="35"/>
        <v>3</v>
      </c>
      <c r="P82" s="15">
        <f t="shared" si="36"/>
        <v>5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1</v>
      </c>
      <c r="F83" s="50">
        <v>0</v>
      </c>
      <c r="G83" s="50">
        <v>0</v>
      </c>
      <c r="H83" s="50">
        <v>1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1</v>
      </c>
      <c r="I84" s="50">
        <v>1</v>
      </c>
      <c r="J84" s="50">
        <v>0</v>
      </c>
      <c r="K84" s="50">
        <v>0</v>
      </c>
      <c r="L84" s="50">
        <v>2</v>
      </c>
      <c r="M84" s="50">
        <v>0</v>
      </c>
      <c r="N84" s="50">
        <v>0</v>
      </c>
      <c r="O84" s="15">
        <f t="shared" si="35"/>
        <v>4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1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1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1</v>
      </c>
      <c r="I87" s="50">
        <v>0</v>
      </c>
      <c r="J87" s="50">
        <v>0</v>
      </c>
      <c r="K87" s="50">
        <v>2</v>
      </c>
      <c r="L87" s="50">
        <v>0</v>
      </c>
      <c r="M87" s="50">
        <v>1</v>
      </c>
      <c r="N87" s="50">
        <v>0</v>
      </c>
      <c r="O87" s="15">
        <f t="shared" si="35"/>
        <v>3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2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2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0</v>
      </c>
      <c r="H91" s="50">
        <v>1</v>
      </c>
      <c r="I91" s="50">
        <v>2</v>
      </c>
      <c r="J91" s="50">
        <v>0</v>
      </c>
      <c r="K91" s="50">
        <v>0</v>
      </c>
      <c r="L91" s="50">
        <v>2</v>
      </c>
      <c r="M91" s="50">
        <v>0</v>
      </c>
      <c r="N91" s="50">
        <v>0</v>
      </c>
      <c r="O91" s="15">
        <f t="shared" si="35"/>
        <v>6</v>
      </c>
      <c r="P91" s="15">
        <f t="shared" si="36"/>
        <v>6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1</v>
      </c>
      <c r="L92" s="50">
        <v>2</v>
      </c>
      <c r="M92" s="50">
        <v>1</v>
      </c>
      <c r="N92" s="50">
        <v>0</v>
      </c>
      <c r="O92" s="15">
        <f t="shared" si="35"/>
        <v>4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1</v>
      </c>
      <c r="E93" s="50">
        <v>3</v>
      </c>
      <c r="F93" s="50">
        <v>0</v>
      </c>
      <c r="G93" s="50">
        <v>0</v>
      </c>
      <c r="H93" s="50">
        <v>1</v>
      </c>
      <c r="I93" s="50">
        <v>1</v>
      </c>
      <c r="J93" s="50">
        <v>0</v>
      </c>
      <c r="K93" s="50">
        <v>0</v>
      </c>
      <c r="L93" s="50">
        <v>2</v>
      </c>
      <c r="M93" s="50">
        <v>0</v>
      </c>
      <c r="N93" s="50">
        <v>0</v>
      </c>
      <c r="O93" s="15">
        <f t="shared" si="35"/>
        <v>8</v>
      </c>
      <c r="P93" s="15">
        <f t="shared" si="36"/>
        <v>8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1</v>
      </c>
      <c r="M94" s="50">
        <v>0</v>
      </c>
      <c r="N94" s="50"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1</v>
      </c>
      <c r="F95" s="50">
        <v>0</v>
      </c>
      <c r="G95" s="50">
        <v>0</v>
      </c>
      <c r="H95" s="50">
        <v>1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1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2</v>
      </c>
      <c r="M98" s="50">
        <v>0</v>
      </c>
      <c r="N98" s="50">
        <v>0</v>
      </c>
      <c r="O98" s="15">
        <f t="shared" si="35"/>
        <v>4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1</v>
      </c>
      <c r="E99" s="50">
        <v>3</v>
      </c>
      <c r="F99" s="50">
        <v>0</v>
      </c>
      <c r="G99" s="50">
        <v>0</v>
      </c>
      <c r="H99" s="50">
        <v>1</v>
      </c>
      <c r="I99" s="50">
        <v>0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5</v>
      </c>
      <c r="P99" s="15">
        <f t="shared" si="36"/>
        <v>7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1</v>
      </c>
      <c r="F100" s="50">
        <v>0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1</v>
      </c>
      <c r="M100" s="50">
        <v>0</v>
      </c>
      <c r="N100" s="50">
        <v>0</v>
      </c>
      <c r="O100" s="15">
        <f t="shared" si="35"/>
        <v>3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1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1</v>
      </c>
      <c r="M102" s="50">
        <v>0</v>
      </c>
      <c r="N102" s="50">
        <v>0</v>
      </c>
      <c r="O102" s="15">
        <f t="shared" si="35"/>
        <v>2</v>
      </c>
      <c r="P102" s="15">
        <f t="shared" si="36"/>
        <v>2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2</v>
      </c>
      <c r="F103" s="50">
        <v>1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1</v>
      </c>
      <c r="M103" s="50">
        <v>1</v>
      </c>
      <c r="N103" s="50">
        <v>0</v>
      </c>
      <c r="O103" s="15">
        <f t="shared" si="35"/>
        <v>6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1</v>
      </c>
      <c r="L104" s="50">
        <v>2</v>
      </c>
      <c r="M104" s="50">
        <v>3</v>
      </c>
      <c r="N104" s="50">
        <v>0</v>
      </c>
      <c r="O104" s="15">
        <f t="shared" si="35"/>
        <v>6</v>
      </c>
      <c r="P104" s="15">
        <f t="shared" si="36"/>
        <v>9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1</v>
      </c>
      <c r="F105" s="50">
        <v>2</v>
      </c>
      <c r="G105" s="50">
        <v>0</v>
      </c>
      <c r="H105" s="50">
        <v>0</v>
      </c>
      <c r="I105" s="50">
        <v>2</v>
      </c>
      <c r="J105" s="50">
        <v>0</v>
      </c>
      <c r="K105" s="50">
        <v>0</v>
      </c>
      <c r="L105" s="50">
        <v>1</v>
      </c>
      <c r="M105" s="50">
        <v>1</v>
      </c>
      <c r="N105" s="50">
        <v>0</v>
      </c>
      <c r="O105" s="15">
        <f t="shared" si="35"/>
        <v>6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78</v>
      </c>
      <c r="D106" s="16">
        <f t="shared" ref="D106:P106" si="37">SUM(D10:D105)</f>
        <v>44</v>
      </c>
      <c r="E106" s="16">
        <f t="shared" si="37"/>
        <v>188</v>
      </c>
      <c r="F106" s="16">
        <f t="shared" si="37"/>
        <v>162</v>
      </c>
      <c r="G106" s="16">
        <f t="shared" si="37"/>
        <v>2</v>
      </c>
      <c r="H106" s="16">
        <f t="shared" si="37"/>
        <v>36</v>
      </c>
      <c r="I106" s="16">
        <f t="shared" si="37"/>
        <v>115</v>
      </c>
      <c r="J106" s="16">
        <f t="shared" si="37"/>
        <v>17</v>
      </c>
      <c r="K106" s="16">
        <f t="shared" si="37"/>
        <v>13</v>
      </c>
      <c r="L106" s="16">
        <f t="shared" si="37"/>
        <v>210</v>
      </c>
      <c r="M106" s="16">
        <f t="shared" si="37"/>
        <v>290</v>
      </c>
      <c r="N106" s="16">
        <f t="shared" si="37"/>
        <v>1</v>
      </c>
      <c r="O106" s="16">
        <f t="shared" si="37"/>
        <v>866</v>
      </c>
      <c r="P106" s="16">
        <f t="shared" si="37"/>
        <v>1156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6.7474048442906581E-2</v>
      </c>
      <c r="D107" s="43">
        <f t="shared" si="38"/>
        <v>3.8062283737024222E-2</v>
      </c>
      <c r="E107" s="43">
        <f t="shared" si="38"/>
        <v>0.16262975778546712</v>
      </c>
      <c r="F107" s="43">
        <f t="shared" si="38"/>
        <v>0.14013840830449828</v>
      </c>
      <c r="G107" s="43">
        <f t="shared" si="38"/>
        <v>1.7301038062283738E-3</v>
      </c>
      <c r="H107" s="43">
        <f t="shared" si="38"/>
        <v>3.1141868512110725E-2</v>
      </c>
      <c r="I107" s="43">
        <f t="shared" si="38"/>
        <v>9.9480968858131485E-2</v>
      </c>
      <c r="J107" s="43">
        <f t="shared" si="38"/>
        <v>1.4705882352941176E-2</v>
      </c>
      <c r="K107" s="43">
        <f t="shared" si="38"/>
        <v>1.124567474048443E-2</v>
      </c>
      <c r="L107" s="43">
        <f t="shared" si="38"/>
        <v>0.18166089965397925</v>
      </c>
      <c r="M107" s="43">
        <f t="shared" si="38"/>
        <v>0.2508650519031142</v>
      </c>
      <c r="N107" s="43">
        <f t="shared" si="38"/>
        <v>8.6505190311418688E-4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9.0069284064665134E-2</v>
      </c>
      <c r="D108" s="44">
        <f t="shared" ref="D108:N108" si="39">D106/$O$106</f>
        <v>5.0808314087759814E-2</v>
      </c>
      <c r="E108" s="44">
        <f t="shared" si="39"/>
        <v>0.21709006928406466</v>
      </c>
      <c r="F108" s="44">
        <f t="shared" si="39"/>
        <v>0.18706697459584296</v>
      </c>
      <c r="G108" s="44">
        <f t="shared" si="39"/>
        <v>2.3094688221709007E-3</v>
      </c>
      <c r="H108" s="44">
        <f t="shared" si="39"/>
        <v>4.1570438799076209E-2</v>
      </c>
      <c r="I108" s="44">
        <f t="shared" si="39"/>
        <v>0.13279445727482678</v>
      </c>
      <c r="J108" s="44">
        <f t="shared" si="39"/>
        <v>1.9630484988452657E-2</v>
      </c>
      <c r="K108" s="44">
        <f t="shared" si="39"/>
        <v>1.5011547344110854E-2</v>
      </c>
      <c r="L108" s="44">
        <f t="shared" si="39"/>
        <v>0.24249422632794457</v>
      </c>
      <c r="M108" s="44"/>
      <c r="N108" s="44">
        <f t="shared" si="39"/>
        <v>1.1547344110854503E-3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L12" sqref="L1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Kumi-Soroti'!C3:G3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'08.08 Kumi-Soroti'!G5:H5</f>
        <v>Mukura</v>
      </c>
      <c r="H5" s="67"/>
      <c r="I5" s="14"/>
      <c r="J5" s="2" t="s">
        <v>5</v>
      </c>
      <c r="K5" s="66" t="str">
        <f>'08.08 Kumi-Soroti'!K5:L5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Kumi-Soroti'!D6:E6</f>
        <v>Kumi</v>
      </c>
      <c r="E6" s="67"/>
      <c r="F6" s="2" t="s">
        <v>2</v>
      </c>
      <c r="G6" s="66" t="str">
        <f>'08.08 Kumi-Soroti'!G6:H6</f>
        <v>Soroti</v>
      </c>
      <c r="H6" s="67"/>
      <c r="J6" s="2" t="s">
        <v>21</v>
      </c>
      <c r="K6" s="66" t="str">
        <f>'08.08 Kumi-Soroti'!K6:L6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2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2</v>
      </c>
      <c r="Y10" s="17">
        <f t="shared" si="2"/>
        <v>4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11</v>
      </c>
      <c r="AD10" s="17">
        <f t="shared" si="2"/>
        <v>0</v>
      </c>
      <c r="AE10" s="31">
        <f t="shared" si="2"/>
        <v>13</v>
      </c>
      <c r="AF10" s="31">
        <f t="shared" si="2"/>
        <v>24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2</v>
      </c>
      <c r="I11" s="50">
        <v>2</v>
      </c>
      <c r="J11" s="50">
        <v>1</v>
      </c>
      <c r="K11" s="50">
        <v>0</v>
      </c>
      <c r="L11" s="50">
        <v>1</v>
      </c>
      <c r="M11" s="50">
        <v>1</v>
      </c>
      <c r="N11" s="50">
        <v>0</v>
      </c>
      <c r="O11" s="15">
        <f t="shared" si="0"/>
        <v>7</v>
      </c>
      <c r="P11" s="15">
        <f t="shared" si="1"/>
        <v>8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2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1</v>
      </c>
      <c r="AA11" s="17">
        <f t="shared" si="3"/>
        <v>1</v>
      </c>
      <c r="AB11" s="17">
        <f t="shared" si="3"/>
        <v>7</v>
      </c>
      <c r="AC11" s="17">
        <f t="shared" si="3"/>
        <v>20</v>
      </c>
      <c r="AD11" s="17">
        <f t="shared" si="3"/>
        <v>0</v>
      </c>
      <c r="AE11" s="31">
        <f t="shared" si="3"/>
        <v>24</v>
      </c>
      <c r="AF11" s="31">
        <f t="shared" si="3"/>
        <v>44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0</v>
      </c>
      <c r="P12" s="15">
        <f t="shared" si="1"/>
        <v>4</v>
      </c>
      <c r="R12" s="1" t="s">
        <v>8</v>
      </c>
      <c r="S12" s="17">
        <f t="shared" ref="S12:AF12" si="4">SUM(C18:C21)</f>
        <v>6</v>
      </c>
      <c r="T12" s="17">
        <f t="shared" si="4"/>
        <v>1</v>
      </c>
      <c r="U12" s="17">
        <f t="shared" si="4"/>
        <v>6</v>
      </c>
      <c r="V12" s="17">
        <f t="shared" si="4"/>
        <v>6</v>
      </c>
      <c r="W12" s="17">
        <f t="shared" si="4"/>
        <v>0</v>
      </c>
      <c r="X12" s="17">
        <f t="shared" si="4"/>
        <v>2</v>
      </c>
      <c r="Y12" s="17">
        <f t="shared" si="4"/>
        <v>3</v>
      </c>
      <c r="Z12" s="17">
        <f t="shared" si="4"/>
        <v>2</v>
      </c>
      <c r="AA12" s="17">
        <f t="shared" si="4"/>
        <v>0</v>
      </c>
      <c r="AB12" s="17">
        <f t="shared" si="4"/>
        <v>3</v>
      </c>
      <c r="AC12" s="17">
        <f t="shared" si="4"/>
        <v>23</v>
      </c>
      <c r="AD12" s="17">
        <f t="shared" si="4"/>
        <v>0</v>
      </c>
      <c r="AE12" s="31">
        <f t="shared" si="4"/>
        <v>29</v>
      </c>
      <c r="AF12" s="31">
        <f t="shared" si="4"/>
        <v>52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3</v>
      </c>
      <c r="P13" s="15">
        <f t="shared" si="1"/>
        <v>7</v>
      </c>
      <c r="R13" s="1" t="s">
        <v>9</v>
      </c>
      <c r="S13" s="17">
        <f t="shared" ref="S13:AF13" si="5">SUM(C22:C25)</f>
        <v>5</v>
      </c>
      <c r="T13" s="17">
        <f t="shared" si="5"/>
        <v>0</v>
      </c>
      <c r="U13" s="17">
        <f t="shared" si="5"/>
        <v>3</v>
      </c>
      <c r="V13" s="17">
        <f t="shared" si="5"/>
        <v>8</v>
      </c>
      <c r="W13" s="17">
        <f t="shared" si="5"/>
        <v>1</v>
      </c>
      <c r="X13" s="17">
        <f t="shared" si="5"/>
        <v>1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26</v>
      </c>
      <c r="AD13" s="17">
        <f t="shared" si="5"/>
        <v>0</v>
      </c>
      <c r="AE13" s="31">
        <f t="shared" si="5"/>
        <v>22</v>
      </c>
      <c r="AF13" s="31">
        <f t="shared" si="5"/>
        <v>48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2</v>
      </c>
      <c r="M14" s="50">
        <v>7</v>
      </c>
      <c r="N14" s="50">
        <v>0</v>
      </c>
      <c r="O14" s="15">
        <f t="shared" si="0"/>
        <v>4</v>
      </c>
      <c r="P14" s="15">
        <f t="shared" si="1"/>
        <v>11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7</v>
      </c>
      <c r="V14" s="17">
        <f t="shared" si="6"/>
        <v>7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3</v>
      </c>
      <c r="AA14" s="17">
        <f t="shared" si="6"/>
        <v>0</v>
      </c>
      <c r="AB14" s="17">
        <f t="shared" si="6"/>
        <v>5</v>
      </c>
      <c r="AC14" s="17">
        <f t="shared" si="6"/>
        <v>38</v>
      </c>
      <c r="AD14" s="17">
        <f t="shared" si="6"/>
        <v>0</v>
      </c>
      <c r="AE14" s="31">
        <f t="shared" si="6"/>
        <v>29</v>
      </c>
      <c r="AF14" s="31">
        <f t="shared" si="6"/>
        <v>67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4</v>
      </c>
      <c r="M15" s="50">
        <v>7</v>
      </c>
      <c r="N15" s="50">
        <v>0</v>
      </c>
      <c r="O15" s="15">
        <f t="shared" si="0"/>
        <v>8</v>
      </c>
      <c r="P15" s="15">
        <f t="shared" si="1"/>
        <v>15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9</v>
      </c>
      <c r="V15" s="17">
        <f t="shared" si="7"/>
        <v>7</v>
      </c>
      <c r="W15" s="17">
        <f t="shared" si="7"/>
        <v>0</v>
      </c>
      <c r="X15" s="17">
        <f t="shared" si="7"/>
        <v>2</v>
      </c>
      <c r="Y15" s="17">
        <f t="shared" si="7"/>
        <v>5</v>
      </c>
      <c r="Z15" s="17">
        <f t="shared" si="7"/>
        <v>2</v>
      </c>
      <c r="AA15" s="17">
        <f t="shared" si="7"/>
        <v>0</v>
      </c>
      <c r="AB15" s="17">
        <f t="shared" si="7"/>
        <v>9</v>
      </c>
      <c r="AC15" s="17">
        <f t="shared" si="7"/>
        <v>35</v>
      </c>
      <c r="AD15" s="17">
        <f t="shared" si="7"/>
        <v>0</v>
      </c>
      <c r="AE15" s="31">
        <f t="shared" si="7"/>
        <v>38</v>
      </c>
      <c r="AF15" s="31">
        <f t="shared" si="7"/>
        <v>73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2</v>
      </c>
      <c r="F16" s="50">
        <v>2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6</v>
      </c>
      <c r="P16" s="15">
        <f t="shared" si="1"/>
        <v>10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7</v>
      </c>
      <c r="V16" s="17">
        <f t="shared" si="8"/>
        <v>9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10</v>
      </c>
      <c r="AC16" s="17">
        <f t="shared" si="8"/>
        <v>45</v>
      </c>
      <c r="AD16" s="17">
        <f t="shared" si="8"/>
        <v>0</v>
      </c>
      <c r="AE16" s="31">
        <f t="shared" si="8"/>
        <v>33</v>
      </c>
      <c r="AF16" s="31">
        <f t="shared" si="8"/>
        <v>78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3</v>
      </c>
      <c r="J17" s="50">
        <v>1</v>
      </c>
      <c r="K17" s="50">
        <v>1</v>
      </c>
      <c r="L17" s="50">
        <v>1</v>
      </c>
      <c r="M17" s="50">
        <v>2</v>
      </c>
      <c r="N17" s="50">
        <v>0</v>
      </c>
      <c r="O17" s="15">
        <f t="shared" si="0"/>
        <v>6</v>
      </c>
      <c r="P17" s="15">
        <f t="shared" si="1"/>
        <v>8</v>
      </c>
      <c r="R17" s="1" t="s">
        <v>13</v>
      </c>
      <c r="S17" s="17">
        <f t="shared" ref="S17:AF17" si="9">SUM(C38:C41)</f>
        <v>9</v>
      </c>
      <c r="T17" s="17">
        <f t="shared" si="9"/>
        <v>3</v>
      </c>
      <c r="U17" s="17">
        <f t="shared" si="9"/>
        <v>11</v>
      </c>
      <c r="V17" s="17">
        <f t="shared" si="9"/>
        <v>8</v>
      </c>
      <c r="W17" s="17">
        <f t="shared" si="9"/>
        <v>0</v>
      </c>
      <c r="X17" s="17">
        <f t="shared" si="9"/>
        <v>1</v>
      </c>
      <c r="Y17" s="17">
        <f t="shared" si="9"/>
        <v>4</v>
      </c>
      <c r="Z17" s="17">
        <f t="shared" si="9"/>
        <v>0</v>
      </c>
      <c r="AA17" s="17">
        <f t="shared" si="9"/>
        <v>0</v>
      </c>
      <c r="AB17" s="17">
        <f t="shared" si="9"/>
        <v>6</v>
      </c>
      <c r="AC17" s="17">
        <f t="shared" si="9"/>
        <v>22</v>
      </c>
      <c r="AD17" s="17">
        <f t="shared" si="9"/>
        <v>0</v>
      </c>
      <c r="AE17" s="31">
        <f t="shared" si="9"/>
        <v>42</v>
      </c>
      <c r="AF17" s="31">
        <f t="shared" si="9"/>
        <v>64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5</v>
      </c>
      <c r="N18" s="50">
        <v>0</v>
      </c>
      <c r="O18" s="15">
        <f t="shared" si="0"/>
        <v>5</v>
      </c>
      <c r="P18" s="15">
        <f t="shared" si="1"/>
        <v>10</v>
      </c>
      <c r="R18" s="1" t="s">
        <v>14</v>
      </c>
      <c r="S18" s="17">
        <f t="shared" ref="S18:AF18" si="10">SUM(C42:C45)</f>
        <v>4</v>
      </c>
      <c r="T18" s="17">
        <f t="shared" si="10"/>
        <v>2</v>
      </c>
      <c r="U18" s="17">
        <f t="shared" si="10"/>
        <v>8</v>
      </c>
      <c r="V18" s="17">
        <f t="shared" si="10"/>
        <v>4</v>
      </c>
      <c r="W18" s="17">
        <f t="shared" si="10"/>
        <v>0</v>
      </c>
      <c r="X18" s="17">
        <f t="shared" si="10"/>
        <v>2</v>
      </c>
      <c r="Y18" s="17">
        <f t="shared" si="10"/>
        <v>3</v>
      </c>
      <c r="Z18" s="17">
        <f t="shared" si="10"/>
        <v>1</v>
      </c>
      <c r="AA18" s="17">
        <f t="shared" si="10"/>
        <v>0</v>
      </c>
      <c r="AB18" s="17">
        <f t="shared" si="10"/>
        <v>9</v>
      </c>
      <c r="AC18" s="17">
        <f t="shared" si="10"/>
        <v>30</v>
      </c>
      <c r="AD18" s="17">
        <f t="shared" si="10"/>
        <v>0</v>
      </c>
      <c r="AE18" s="31">
        <f t="shared" si="10"/>
        <v>33</v>
      </c>
      <c r="AF18" s="31">
        <f t="shared" si="10"/>
        <v>63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2</v>
      </c>
      <c r="G19" s="50">
        <v>0</v>
      </c>
      <c r="H19" s="50">
        <v>2</v>
      </c>
      <c r="I19" s="50">
        <v>1</v>
      </c>
      <c r="J19" s="50">
        <v>0</v>
      </c>
      <c r="K19" s="50">
        <v>0</v>
      </c>
      <c r="L19" s="50">
        <v>0</v>
      </c>
      <c r="M19" s="50">
        <v>9</v>
      </c>
      <c r="N19" s="50">
        <v>0</v>
      </c>
      <c r="O19" s="15">
        <f t="shared" si="0"/>
        <v>6</v>
      </c>
      <c r="P19" s="15">
        <f t="shared" si="1"/>
        <v>15</v>
      </c>
      <c r="R19" s="1" t="s">
        <v>15</v>
      </c>
      <c r="S19" s="17">
        <f t="shared" ref="S19:AF19" si="11">SUM(C46:C49)</f>
        <v>8</v>
      </c>
      <c r="T19" s="17">
        <f t="shared" si="11"/>
        <v>1</v>
      </c>
      <c r="U19" s="17">
        <f t="shared" si="11"/>
        <v>10</v>
      </c>
      <c r="V19" s="17">
        <f t="shared" si="11"/>
        <v>12</v>
      </c>
      <c r="W19" s="17">
        <f t="shared" si="11"/>
        <v>1</v>
      </c>
      <c r="X19" s="17">
        <f t="shared" si="11"/>
        <v>2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10</v>
      </c>
      <c r="AC19" s="17">
        <f t="shared" si="11"/>
        <v>27</v>
      </c>
      <c r="AD19" s="17">
        <f t="shared" si="11"/>
        <v>0</v>
      </c>
      <c r="AE19" s="31">
        <f t="shared" si="11"/>
        <v>50</v>
      </c>
      <c r="AF19" s="31">
        <f t="shared" si="11"/>
        <v>77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1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3</v>
      </c>
      <c r="M20" s="50">
        <v>5</v>
      </c>
      <c r="N20" s="50">
        <v>0</v>
      </c>
      <c r="O20" s="15">
        <f t="shared" si="0"/>
        <v>8</v>
      </c>
      <c r="P20" s="15">
        <f t="shared" si="1"/>
        <v>13</v>
      </c>
      <c r="R20" s="1" t="s">
        <v>16</v>
      </c>
      <c r="S20" s="17">
        <f t="shared" ref="S20:AF20" si="12">SUM(C50:C53)</f>
        <v>7</v>
      </c>
      <c r="T20" s="17">
        <f t="shared" si="12"/>
        <v>1</v>
      </c>
      <c r="U20" s="17">
        <f t="shared" si="12"/>
        <v>13</v>
      </c>
      <c r="V20" s="17">
        <f t="shared" si="12"/>
        <v>8</v>
      </c>
      <c r="W20" s="17">
        <f t="shared" si="12"/>
        <v>0</v>
      </c>
      <c r="X20" s="17">
        <f t="shared" si="12"/>
        <v>1</v>
      </c>
      <c r="Y20" s="17">
        <f t="shared" si="12"/>
        <v>8</v>
      </c>
      <c r="Z20" s="17">
        <f t="shared" si="12"/>
        <v>0</v>
      </c>
      <c r="AA20" s="17">
        <f t="shared" si="12"/>
        <v>1</v>
      </c>
      <c r="AB20" s="17">
        <f t="shared" si="12"/>
        <v>10</v>
      </c>
      <c r="AC20" s="17">
        <f t="shared" si="12"/>
        <v>32</v>
      </c>
      <c r="AD20" s="17">
        <f t="shared" si="12"/>
        <v>0</v>
      </c>
      <c r="AE20" s="31">
        <f t="shared" si="12"/>
        <v>49</v>
      </c>
      <c r="AF20" s="31">
        <f t="shared" si="12"/>
        <v>81</v>
      </c>
    </row>
    <row r="21" spans="2:32" ht="23.1" customHeight="1" x14ac:dyDescent="0.25">
      <c r="B21" s="23" t="s">
        <v>48</v>
      </c>
      <c r="C21" s="50">
        <v>3</v>
      </c>
      <c r="D21" s="50">
        <v>1</v>
      </c>
      <c r="E21" s="50">
        <v>4</v>
      </c>
      <c r="F21" s="50">
        <v>1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4</v>
      </c>
      <c r="N21" s="50">
        <v>0</v>
      </c>
      <c r="O21" s="15">
        <f t="shared" si="0"/>
        <v>10</v>
      </c>
      <c r="P21" s="15">
        <f t="shared" si="1"/>
        <v>14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7</v>
      </c>
      <c r="V21" s="17">
        <f t="shared" si="13"/>
        <v>12</v>
      </c>
      <c r="W21" s="17">
        <f t="shared" si="13"/>
        <v>0</v>
      </c>
      <c r="X21" s="17">
        <f t="shared" si="13"/>
        <v>2</v>
      </c>
      <c r="Y21" s="17">
        <f t="shared" si="13"/>
        <v>8</v>
      </c>
      <c r="Z21" s="17">
        <f t="shared" si="13"/>
        <v>3</v>
      </c>
      <c r="AA21" s="17">
        <f t="shared" si="13"/>
        <v>0</v>
      </c>
      <c r="AB21" s="17">
        <f t="shared" si="13"/>
        <v>19</v>
      </c>
      <c r="AC21" s="17">
        <f t="shared" si="13"/>
        <v>20</v>
      </c>
      <c r="AD21" s="17">
        <f t="shared" si="13"/>
        <v>0</v>
      </c>
      <c r="AE21" s="31">
        <f t="shared" si="13"/>
        <v>55</v>
      </c>
      <c r="AF21" s="31">
        <f t="shared" si="13"/>
        <v>75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1</v>
      </c>
      <c r="I22" s="50">
        <v>1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2</v>
      </c>
      <c r="P22" s="15">
        <f t="shared" si="1"/>
        <v>12</v>
      </c>
      <c r="R22" s="38" t="s">
        <v>90</v>
      </c>
      <c r="S22" s="39">
        <f>MAX(S10:S12)</f>
        <v>6</v>
      </c>
      <c r="T22" s="39">
        <f t="shared" ref="T22:AF22" si="14">MAX(T10:T12)</f>
        <v>1</v>
      </c>
      <c r="U22" s="39">
        <f t="shared" si="14"/>
        <v>6</v>
      </c>
      <c r="V22" s="39">
        <f t="shared" si="14"/>
        <v>6</v>
      </c>
      <c r="W22" s="39">
        <f t="shared" si="14"/>
        <v>0</v>
      </c>
      <c r="X22" s="39">
        <f t="shared" si="14"/>
        <v>2</v>
      </c>
      <c r="Y22" s="39">
        <f t="shared" si="14"/>
        <v>6</v>
      </c>
      <c r="Z22" s="39">
        <f t="shared" si="14"/>
        <v>2</v>
      </c>
      <c r="AA22" s="39">
        <f t="shared" si="14"/>
        <v>1</v>
      </c>
      <c r="AB22" s="39">
        <f t="shared" si="14"/>
        <v>7</v>
      </c>
      <c r="AC22" s="39">
        <f t="shared" si="14"/>
        <v>23</v>
      </c>
      <c r="AD22" s="39">
        <f t="shared" si="14"/>
        <v>0</v>
      </c>
      <c r="AE22" s="40">
        <f t="shared" si="14"/>
        <v>29</v>
      </c>
      <c r="AF22" s="40">
        <f t="shared" si="14"/>
        <v>52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2</v>
      </c>
      <c r="G23" s="50">
        <v>1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5</v>
      </c>
      <c r="P23" s="15">
        <f t="shared" si="1"/>
        <v>12</v>
      </c>
      <c r="R23" s="38" t="s">
        <v>91</v>
      </c>
      <c r="S23" s="39">
        <f>MAX(S13:S18)</f>
        <v>9</v>
      </c>
      <c r="T23" s="39">
        <f t="shared" ref="T23:AF23" si="15">MAX(T13:T18)</f>
        <v>3</v>
      </c>
      <c r="U23" s="39">
        <f t="shared" si="15"/>
        <v>11</v>
      </c>
      <c r="V23" s="39">
        <f t="shared" si="15"/>
        <v>9</v>
      </c>
      <c r="W23" s="39">
        <f t="shared" si="15"/>
        <v>1</v>
      </c>
      <c r="X23" s="39">
        <f t="shared" si="15"/>
        <v>2</v>
      </c>
      <c r="Y23" s="39">
        <f t="shared" si="15"/>
        <v>5</v>
      </c>
      <c r="Z23" s="39">
        <f t="shared" si="15"/>
        <v>3</v>
      </c>
      <c r="AA23" s="39">
        <f t="shared" si="15"/>
        <v>0</v>
      </c>
      <c r="AB23" s="39">
        <f t="shared" si="15"/>
        <v>10</v>
      </c>
      <c r="AC23" s="39">
        <f t="shared" si="15"/>
        <v>45</v>
      </c>
      <c r="AD23" s="39">
        <f t="shared" si="15"/>
        <v>0</v>
      </c>
      <c r="AE23" s="40">
        <f t="shared" si="15"/>
        <v>42</v>
      </c>
      <c r="AF23" s="40">
        <f t="shared" si="15"/>
        <v>78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1</v>
      </c>
      <c r="M24" s="50">
        <v>6</v>
      </c>
      <c r="N24" s="50">
        <v>0</v>
      </c>
      <c r="O24" s="15">
        <f t="shared" si="0"/>
        <v>5</v>
      </c>
      <c r="P24" s="15">
        <f t="shared" si="1"/>
        <v>11</v>
      </c>
      <c r="R24" s="38" t="s">
        <v>92</v>
      </c>
      <c r="S24" s="39">
        <f>MAX(S19:S21)</f>
        <v>8</v>
      </c>
      <c r="T24" s="39">
        <f t="shared" ref="T24:AF24" si="16">MAX(T19:T21)</f>
        <v>1</v>
      </c>
      <c r="U24" s="39">
        <f t="shared" si="16"/>
        <v>13</v>
      </c>
      <c r="V24" s="39">
        <f t="shared" si="16"/>
        <v>12</v>
      </c>
      <c r="W24" s="39">
        <f t="shared" si="16"/>
        <v>1</v>
      </c>
      <c r="X24" s="39">
        <f t="shared" si="16"/>
        <v>2</v>
      </c>
      <c r="Y24" s="39">
        <f t="shared" si="16"/>
        <v>8</v>
      </c>
      <c r="Z24" s="39">
        <f t="shared" si="16"/>
        <v>3</v>
      </c>
      <c r="AA24" s="39">
        <f t="shared" si="16"/>
        <v>1</v>
      </c>
      <c r="AB24" s="39">
        <f t="shared" si="16"/>
        <v>19</v>
      </c>
      <c r="AC24" s="39">
        <f t="shared" si="16"/>
        <v>32</v>
      </c>
      <c r="AD24" s="39">
        <f t="shared" si="16"/>
        <v>0</v>
      </c>
      <c r="AE24" s="40">
        <f t="shared" si="16"/>
        <v>55</v>
      </c>
      <c r="AF24" s="40">
        <f t="shared" si="16"/>
        <v>81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1</v>
      </c>
      <c r="F25" s="50">
        <v>4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3</v>
      </c>
      <c r="N25" s="50">
        <v>0</v>
      </c>
      <c r="O25" s="15">
        <f t="shared" si="0"/>
        <v>10</v>
      </c>
      <c r="P25" s="15">
        <f t="shared" si="1"/>
        <v>13</v>
      </c>
      <c r="R25" s="37" t="s">
        <v>85</v>
      </c>
      <c r="S25" s="35">
        <f t="shared" ref="S25:AF25" si="17">SUM(S10:S12)</f>
        <v>13</v>
      </c>
      <c r="T25" s="16">
        <f t="shared" si="17"/>
        <v>1</v>
      </c>
      <c r="U25" s="16">
        <f t="shared" si="17"/>
        <v>8</v>
      </c>
      <c r="V25" s="16">
        <f t="shared" si="17"/>
        <v>10</v>
      </c>
      <c r="W25" s="16">
        <f t="shared" si="17"/>
        <v>0</v>
      </c>
      <c r="X25" s="16">
        <f t="shared" si="17"/>
        <v>4</v>
      </c>
      <c r="Y25" s="16">
        <f t="shared" si="17"/>
        <v>13</v>
      </c>
      <c r="Z25" s="16">
        <f t="shared" si="17"/>
        <v>4</v>
      </c>
      <c r="AA25" s="16">
        <f t="shared" si="17"/>
        <v>1</v>
      </c>
      <c r="AB25" s="16">
        <f t="shared" si="17"/>
        <v>12</v>
      </c>
      <c r="AC25" s="16">
        <f t="shared" si="17"/>
        <v>54</v>
      </c>
      <c r="AD25" s="16">
        <f t="shared" si="17"/>
        <v>0</v>
      </c>
      <c r="AE25" s="32">
        <f t="shared" si="17"/>
        <v>66</v>
      </c>
      <c r="AF25" s="32">
        <f t="shared" si="17"/>
        <v>120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7</v>
      </c>
      <c r="N26" s="50">
        <v>0</v>
      </c>
      <c r="O26" s="15">
        <f t="shared" si="0"/>
        <v>4</v>
      </c>
      <c r="P26" s="15">
        <f t="shared" si="1"/>
        <v>11</v>
      </c>
      <c r="R26" s="28" t="s">
        <v>86</v>
      </c>
      <c r="S26" s="16">
        <f t="shared" ref="S26:AF26" si="18">SUM(S13:S18)</f>
        <v>31</v>
      </c>
      <c r="T26" s="16">
        <f t="shared" si="18"/>
        <v>5</v>
      </c>
      <c r="U26" s="16">
        <f t="shared" si="18"/>
        <v>45</v>
      </c>
      <c r="V26" s="16">
        <f t="shared" si="18"/>
        <v>43</v>
      </c>
      <c r="W26" s="16">
        <f t="shared" si="18"/>
        <v>1</v>
      </c>
      <c r="X26" s="16">
        <f t="shared" si="18"/>
        <v>7</v>
      </c>
      <c r="Y26" s="16">
        <f t="shared" si="18"/>
        <v>19</v>
      </c>
      <c r="Z26" s="16">
        <f t="shared" si="18"/>
        <v>6</v>
      </c>
      <c r="AA26" s="16">
        <f t="shared" si="18"/>
        <v>0</v>
      </c>
      <c r="AB26" s="16">
        <f t="shared" si="18"/>
        <v>40</v>
      </c>
      <c r="AC26" s="16">
        <f t="shared" si="18"/>
        <v>196</v>
      </c>
      <c r="AD26" s="16">
        <f t="shared" si="18"/>
        <v>0</v>
      </c>
      <c r="AE26" s="32">
        <f t="shared" si="18"/>
        <v>197</v>
      </c>
      <c r="AF26" s="32">
        <f t="shared" si="18"/>
        <v>393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3</v>
      </c>
      <c r="F27" s="50">
        <v>4</v>
      </c>
      <c r="G27" s="50">
        <v>0</v>
      </c>
      <c r="H27" s="50">
        <v>1</v>
      </c>
      <c r="I27" s="50">
        <v>1</v>
      </c>
      <c r="J27" s="50">
        <v>0</v>
      </c>
      <c r="K27" s="50">
        <v>0</v>
      </c>
      <c r="L27" s="50">
        <v>3</v>
      </c>
      <c r="M27" s="50">
        <v>15</v>
      </c>
      <c r="N27" s="50">
        <v>0</v>
      </c>
      <c r="O27" s="15">
        <f t="shared" si="0"/>
        <v>13</v>
      </c>
      <c r="P27" s="15">
        <f t="shared" si="1"/>
        <v>28</v>
      </c>
      <c r="R27" s="29" t="s">
        <v>87</v>
      </c>
      <c r="S27" s="16">
        <f t="shared" ref="S27:AF27" si="19">SUM(S19:S21)</f>
        <v>19</v>
      </c>
      <c r="T27" s="16">
        <f t="shared" si="19"/>
        <v>2</v>
      </c>
      <c r="U27" s="16">
        <f t="shared" si="19"/>
        <v>30</v>
      </c>
      <c r="V27" s="16">
        <f t="shared" si="19"/>
        <v>32</v>
      </c>
      <c r="W27" s="16">
        <f t="shared" si="19"/>
        <v>1</v>
      </c>
      <c r="X27" s="16">
        <f t="shared" si="19"/>
        <v>5</v>
      </c>
      <c r="Y27" s="16">
        <f t="shared" si="19"/>
        <v>22</v>
      </c>
      <c r="Z27" s="16">
        <f t="shared" si="19"/>
        <v>3</v>
      </c>
      <c r="AA27" s="16">
        <f t="shared" si="19"/>
        <v>1</v>
      </c>
      <c r="AB27" s="16">
        <f t="shared" si="19"/>
        <v>39</v>
      </c>
      <c r="AC27" s="16">
        <f t="shared" si="19"/>
        <v>79</v>
      </c>
      <c r="AD27" s="16">
        <f t="shared" si="19"/>
        <v>0</v>
      </c>
      <c r="AE27" s="32">
        <f t="shared" si="19"/>
        <v>154</v>
      </c>
      <c r="AF27" s="32">
        <f t="shared" si="19"/>
        <v>233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2</v>
      </c>
      <c r="F28" s="50">
        <v>1</v>
      </c>
      <c r="G28" s="50">
        <v>0</v>
      </c>
      <c r="H28" s="50">
        <v>0</v>
      </c>
      <c r="I28" s="50">
        <v>1</v>
      </c>
      <c r="J28" s="50">
        <v>3</v>
      </c>
      <c r="K28" s="50">
        <v>0</v>
      </c>
      <c r="L28" s="50">
        <v>1</v>
      </c>
      <c r="M28" s="50">
        <v>5</v>
      </c>
      <c r="N28" s="50">
        <v>0</v>
      </c>
      <c r="O28" s="15">
        <f t="shared" si="0"/>
        <v>10</v>
      </c>
      <c r="P28" s="15">
        <f t="shared" si="1"/>
        <v>15</v>
      </c>
      <c r="R28" s="5" t="s">
        <v>17</v>
      </c>
      <c r="S28" s="16">
        <f t="shared" ref="S28:AF28" si="20">SUM(S10:S21)</f>
        <v>63</v>
      </c>
      <c r="T28" s="16">
        <f t="shared" si="20"/>
        <v>8</v>
      </c>
      <c r="U28" s="16">
        <f t="shared" si="20"/>
        <v>83</v>
      </c>
      <c r="V28" s="16">
        <f t="shared" si="20"/>
        <v>85</v>
      </c>
      <c r="W28" s="16">
        <f t="shared" si="20"/>
        <v>2</v>
      </c>
      <c r="X28" s="16">
        <f t="shared" si="20"/>
        <v>16</v>
      </c>
      <c r="Y28" s="16">
        <f t="shared" si="20"/>
        <v>54</v>
      </c>
      <c r="Z28" s="16">
        <f t="shared" si="20"/>
        <v>13</v>
      </c>
      <c r="AA28" s="16">
        <f t="shared" si="20"/>
        <v>2</v>
      </c>
      <c r="AB28" s="16">
        <f t="shared" si="20"/>
        <v>91</v>
      </c>
      <c r="AC28" s="16">
        <f t="shared" si="20"/>
        <v>329</v>
      </c>
      <c r="AD28" s="16">
        <f t="shared" si="20"/>
        <v>0</v>
      </c>
      <c r="AE28" s="32">
        <f t="shared" si="20"/>
        <v>417</v>
      </c>
      <c r="AF28" s="32">
        <f t="shared" si="20"/>
        <v>746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2</v>
      </c>
      <c r="P29" s="15">
        <f t="shared" si="1"/>
        <v>13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3</v>
      </c>
      <c r="F30" s="50">
        <v>3</v>
      </c>
      <c r="G30" s="50">
        <v>0</v>
      </c>
      <c r="H30" s="50">
        <v>1</v>
      </c>
      <c r="I30" s="50">
        <v>2</v>
      </c>
      <c r="J30" s="50">
        <v>0</v>
      </c>
      <c r="K30" s="50">
        <v>0</v>
      </c>
      <c r="L30" s="50">
        <v>3</v>
      </c>
      <c r="M30" s="50">
        <v>5</v>
      </c>
      <c r="N30" s="50">
        <v>0</v>
      </c>
      <c r="O30" s="15">
        <f t="shared" si="0"/>
        <v>15</v>
      </c>
      <c r="P30" s="15">
        <f t="shared" si="1"/>
        <v>20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2</v>
      </c>
      <c r="F31" s="50">
        <v>1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1</v>
      </c>
      <c r="M31" s="50">
        <v>13</v>
      </c>
      <c r="N31" s="50">
        <v>0</v>
      </c>
      <c r="O31" s="15">
        <f t="shared" si="0"/>
        <v>6</v>
      </c>
      <c r="P31" s="15">
        <f t="shared" si="1"/>
        <v>19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2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2</v>
      </c>
      <c r="M32" s="50">
        <v>12</v>
      </c>
      <c r="N32" s="50">
        <v>0</v>
      </c>
      <c r="O32" s="15">
        <f t="shared" si="0"/>
        <v>8</v>
      </c>
      <c r="P32" s="15">
        <f t="shared" si="1"/>
        <v>20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2</v>
      </c>
      <c r="F33" s="50">
        <v>1</v>
      </c>
      <c r="G33" s="50">
        <v>0</v>
      </c>
      <c r="H33" s="50">
        <v>1</v>
      </c>
      <c r="I33" s="50">
        <v>1</v>
      </c>
      <c r="J33" s="50">
        <v>0</v>
      </c>
      <c r="K33" s="50">
        <v>0</v>
      </c>
      <c r="L33" s="50">
        <v>3</v>
      </c>
      <c r="M33" s="50">
        <v>5</v>
      </c>
      <c r="N33" s="50">
        <v>0</v>
      </c>
      <c r="O33" s="15">
        <f t="shared" si="0"/>
        <v>9</v>
      </c>
      <c r="P33" s="15">
        <f t="shared" si="1"/>
        <v>14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0</v>
      </c>
      <c r="F34" s="50">
        <v>3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2</v>
      </c>
      <c r="M34" s="50">
        <v>15</v>
      </c>
      <c r="N34" s="50">
        <v>0</v>
      </c>
      <c r="O34" s="15">
        <f t="shared" si="0"/>
        <v>9</v>
      </c>
      <c r="P34" s="15">
        <f t="shared" si="1"/>
        <v>24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3</v>
      </c>
      <c r="F35" s="50">
        <v>3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14</v>
      </c>
      <c r="N35" s="50">
        <v>0</v>
      </c>
      <c r="O35" s="15">
        <f t="shared" si="0"/>
        <v>8</v>
      </c>
      <c r="P35" s="15">
        <f t="shared" si="1"/>
        <v>22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2</v>
      </c>
      <c r="F36" s="50">
        <v>2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3</v>
      </c>
      <c r="M36" s="50">
        <v>12</v>
      </c>
      <c r="N36" s="50">
        <v>0</v>
      </c>
      <c r="O36" s="15">
        <f t="shared" si="0"/>
        <v>8</v>
      </c>
      <c r="P36" s="15">
        <f t="shared" si="1"/>
        <v>20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2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5</v>
      </c>
      <c r="M37" s="50">
        <v>4</v>
      </c>
      <c r="N37" s="50">
        <v>0</v>
      </c>
      <c r="O37" s="15">
        <f t="shared" si="0"/>
        <v>8</v>
      </c>
      <c r="P37" s="15">
        <f t="shared" si="1"/>
        <v>12</v>
      </c>
    </row>
    <row r="38" spans="2:20" ht="23.1" customHeight="1" x14ac:dyDescent="0.25">
      <c r="B38" s="24" t="s">
        <v>65</v>
      </c>
      <c r="C38" s="50">
        <v>4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2</v>
      </c>
      <c r="M38" s="50">
        <v>7</v>
      </c>
      <c r="N38" s="50">
        <v>0</v>
      </c>
      <c r="O38" s="15">
        <f t="shared" si="0"/>
        <v>10</v>
      </c>
      <c r="P38" s="15">
        <f t="shared" si="1"/>
        <v>17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3</v>
      </c>
      <c r="F39" s="50">
        <v>2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3</v>
      </c>
      <c r="M39" s="50">
        <v>6</v>
      </c>
      <c r="N39" s="50">
        <v>0</v>
      </c>
      <c r="O39" s="15">
        <f t="shared" si="0"/>
        <v>10</v>
      </c>
      <c r="P39" s="15">
        <f t="shared" si="1"/>
        <v>16</v>
      </c>
    </row>
    <row r="40" spans="2:20" ht="23.1" customHeight="1" x14ac:dyDescent="0.25">
      <c r="B40" s="24" t="s">
        <v>67</v>
      </c>
      <c r="C40" s="50">
        <v>3</v>
      </c>
      <c r="D40" s="50">
        <v>2</v>
      </c>
      <c r="E40" s="50">
        <v>5</v>
      </c>
      <c r="F40" s="50">
        <v>3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1</v>
      </c>
      <c r="M40" s="50">
        <v>4</v>
      </c>
      <c r="N40" s="50">
        <v>0</v>
      </c>
      <c r="O40" s="15">
        <f t="shared" si="0"/>
        <v>16</v>
      </c>
      <c r="P40" s="15">
        <f t="shared" si="1"/>
        <v>20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3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6</v>
      </c>
      <c r="P41" s="15">
        <f t="shared" si="1"/>
        <v>11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1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6</v>
      </c>
      <c r="N42" s="50">
        <v>0</v>
      </c>
      <c r="O42" s="15">
        <f t="shared" si="0"/>
        <v>5</v>
      </c>
      <c r="P42" s="15">
        <f t="shared" si="1"/>
        <v>11</v>
      </c>
    </row>
    <row r="43" spans="2:20" ht="23.1" customHeight="1" x14ac:dyDescent="0.25">
      <c r="B43" s="23" t="s">
        <v>70</v>
      </c>
      <c r="C43" s="50">
        <v>0</v>
      </c>
      <c r="D43" s="50">
        <v>2</v>
      </c>
      <c r="E43" s="50">
        <v>5</v>
      </c>
      <c r="F43" s="50">
        <v>1</v>
      </c>
      <c r="G43" s="50">
        <v>0</v>
      </c>
      <c r="H43" s="50">
        <v>1</v>
      </c>
      <c r="I43" s="50">
        <v>2</v>
      </c>
      <c r="J43" s="50">
        <v>1</v>
      </c>
      <c r="K43" s="50">
        <v>0</v>
      </c>
      <c r="L43" s="50">
        <v>4</v>
      </c>
      <c r="M43" s="50">
        <v>6</v>
      </c>
      <c r="N43" s="50">
        <v>0</v>
      </c>
      <c r="O43" s="15">
        <f t="shared" si="0"/>
        <v>16</v>
      </c>
      <c r="P43" s="15">
        <f t="shared" si="1"/>
        <v>22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2</v>
      </c>
      <c r="G44" s="50">
        <v>0</v>
      </c>
      <c r="H44" s="50">
        <v>1</v>
      </c>
      <c r="I44" s="50">
        <v>1</v>
      </c>
      <c r="J44" s="50">
        <v>0</v>
      </c>
      <c r="K44" s="50">
        <v>0</v>
      </c>
      <c r="L44" s="50">
        <v>1</v>
      </c>
      <c r="M44" s="50">
        <v>5</v>
      </c>
      <c r="N44" s="50">
        <v>0</v>
      </c>
      <c r="O44" s="15">
        <f t="shared" si="0"/>
        <v>6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3</v>
      </c>
      <c r="M45" s="50">
        <v>13</v>
      </c>
      <c r="N45" s="50">
        <v>0</v>
      </c>
      <c r="O45" s="15">
        <f t="shared" si="0"/>
        <v>6</v>
      </c>
      <c r="P45" s="15">
        <f t="shared" si="1"/>
        <v>19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4</v>
      </c>
      <c r="G46" s="50">
        <v>1</v>
      </c>
      <c r="H46" s="50">
        <v>0</v>
      </c>
      <c r="I46" s="50">
        <v>3</v>
      </c>
      <c r="J46" s="50">
        <v>0</v>
      </c>
      <c r="K46" s="50">
        <v>0</v>
      </c>
      <c r="L46" s="50">
        <v>4</v>
      </c>
      <c r="M46" s="50">
        <v>7</v>
      </c>
      <c r="N46" s="50">
        <v>0</v>
      </c>
      <c r="O46" s="15">
        <f t="shared" si="0"/>
        <v>13</v>
      </c>
      <c r="P46" s="15">
        <f t="shared" si="1"/>
        <v>20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3</v>
      </c>
      <c r="F47" s="50">
        <v>2</v>
      </c>
      <c r="G47" s="50">
        <v>0</v>
      </c>
      <c r="H47" s="50">
        <v>1</v>
      </c>
      <c r="I47" s="50">
        <v>1</v>
      </c>
      <c r="J47" s="50">
        <v>0</v>
      </c>
      <c r="K47" s="50">
        <v>0</v>
      </c>
      <c r="L47" s="50">
        <v>2</v>
      </c>
      <c r="M47" s="50">
        <v>7</v>
      </c>
      <c r="N47" s="50">
        <v>0</v>
      </c>
      <c r="O47" s="15">
        <f t="shared" si="0"/>
        <v>12</v>
      </c>
      <c r="P47" s="15">
        <f t="shared" si="1"/>
        <v>19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1</v>
      </c>
      <c r="E48" s="50">
        <v>3</v>
      </c>
      <c r="F48" s="50">
        <v>2</v>
      </c>
      <c r="G48" s="50">
        <v>0</v>
      </c>
      <c r="H48" s="50">
        <v>1</v>
      </c>
      <c r="I48" s="50">
        <v>2</v>
      </c>
      <c r="J48" s="50">
        <v>0</v>
      </c>
      <c r="K48" s="50">
        <v>0</v>
      </c>
      <c r="L48" s="50">
        <v>3</v>
      </c>
      <c r="M48" s="50">
        <v>5</v>
      </c>
      <c r="N48" s="50">
        <v>0</v>
      </c>
      <c r="O48" s="15">
        <f t="shared" si="0"/>
        <v>14</v>
      </c>
      <c r="P48" s="15">
        <f t="shared" si="1"/>
        <v>19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3</v>
      </c>
      <c r="F49" s="50">
        <v>4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1</v>
      </c>
      <c r="M49" s="50">
        <v>8</v>
      </c>
      <c r="N49" s="50">
        <v>0</v>
      </c>
      <c r="O49" s="15">
        <f t="shared" si="0"/>
        <v>11</v>
      </c>
      <c r="P49" s="15">
        <f t="shared" si="1"/>
        <v>19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3</v>
      </c>
      <c r="F50" s="50">
        <v>3</v>
      </c>
      <c r="G50" s="50">
        <v>0</v>
      </c>
      <c r="H50" s="50">
        <v>1</v>
      </c>
      <c r="I50" s="50">
        <v>3</v>
      </c>
      <c r="J50" s="50">
        <v>0</v>
      </c>
      <c r="K50" s="50">
        <v>1</v>
      </c>
      <c r="L50" s="50">
        <v>4</v>
      </c>
      <c r="M50" s="50">
        <v>14</v>
      </c>
      <c r="N50" s="50">
        <v>0</v>
      </c>
      <c r="O50" s="15">
        <f t="shared" si="0"/>
        <v>16</v>
      </c>
      <c r="P50" s="15">
        <f t="shared" si="1"/>
        <v>30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2</v>
      </c>
      <c r="F51" s="50">
        <v>2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7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5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4</v>
      </c>
      <c r="N52" s="50">
        <v>0</v>
      </c>
      <c r="O52" s="15">
        <f t="shared" si="0"/>
        <v>10</v>
      </c>
      <c r="P52" s="15">
        <f t="shared" si="1"/>
        <v>14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3</v>
      </c>
      <c r="F53" s="50">
        <v>2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6</v>
      </c>
      <c r="M53" s="50">
        <v>11</v>
      </c>
      <c r="N53" s="50">
        <v>0</v>
      </c>
      <c r="O53" s="15">
        <f t="shared" si="0"/>
        <v>16</v>
      </c>
      <c r="P53" s="15">
        <f t="shared" si="1"/>
        <v>27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2</v>
      </c>
      <c r="F54" s="50">
        <v>3</v>
      </c>
      <c r="G54" s="50">
        <v>0</v>
      </c>
      <c r="H54" s="50">
        <v>1</v>
      </c>
      <c r="I54" s="50">
        <v>1</v>
      </c>
      <c r="J54" s="50">
        <v>1</v>
      </c>
      <c r="K54" s="50">
        <v>0</v>
      </c>
      <c r="L54" s="50">
        <v>4</v>
      </c>
      <c r="M54" s="50">
        <v>4</v>
      </c>
      <c r="N54" s="50">
        <v>0</v>
      </c>
      <c r="O54" s="15">
        <f t="shared" si="0"/>
        <v>13</v>
      </c>
      <c r="P54" s="15">
        <f t="shared" si="1"/>
        <v>17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0</v>
      </c>
      <c r="F55" s="50">
        <v>3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2</v>
      </c>
      <c r="M55" s="50">
        <v>7</v>
      </c>
      <c r="N55" s="50">
        <v>0</v>
      </c>
      <c r="O55" s="15">
        <f t="shared" si="0"/>
        <v>7</v>
      </c>
      <c r="P55" s="15">
        <f t="shared" si="1"/>
        <v>14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3</v>
      </c>
      <c r="F56" s="50">
        <v>2</v>
      </c>
      <c r="G56" s="50">
        <v>0</v>
      </c>
      <c r="H56" s="50">
        <v>1</v>
      </c>
      <c r="I56" s="50">
        <v>4</v>
      </c>
      <c r="J56" s="50">
        <v>2</v>
      </c>
      <c r="K56" s="50">
        <v>0</v>
      </c>
      <c r="L56" s="50">
        <v>9</v>
      </c>
      <c r="M56" s="50">
        <v>4</v>
      </c>
      <c r="N56" s="50">
        <v>0</v>
      </c>
      <c r="O56" s="15">
        <f t="shared" si="0"/>
        <v>22</v>
      </c>
      <c r="P56" s="15">
        <f t="shared" si="1"/>
        <v>26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2</v>
      </c>
      <c r="F57" s="50">
        <v>4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4</v>
      </c>
      <c r="M57" s="50">
        <v>5</v>
      </c>
      <c r="N57" s="50">
        <v>0</v>
      </c>
      <c r="O57" s="15">
        <f t="shared" si="0"/>
        <v>13</v>
      </c>
      <c r="P57" s="15">
        <f t="shared" si="1"/>
        <v>18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63</v>
      </c>
      <c r="D58" s="16">
        <f t="shared" si="21"/>
        <v>8</v>
      </c>
      <c r="E58" s="16">
        <f t="shared" si="21"/>
        <v>83</v>
      </c>
      <c r="F58" s="16">
        <f t="shared" si="21"/>
        <v>85</v>
      </c>
      <c r="G58" s="16">
        <f t="shared" si="21"/>
        <v>2</v>
      </c>
      <c r="H58" s="16">
        <f t="shared" si="21"/>
        <v>16</v>
      </c>
      <c r="I58" s="16">
        <f t="shared" si="21"/>
        <v>54</v>
      </c>
      <c r="J58" s="16">
        <f t="shared" si="21"/>
        <v>13</v>
      </c>
      <c r="K58" s="16">
        <f t="shared" si="21"/>
        <v>2</v>
      </c>
      <c r="L58" s="16">
        <f t="shared" si="21"/>
        <v>91</v>
      </c>
      <c r="M58" s="16">
        <f t="shared" si="21"/>
        <v>329</v>
      </c>
      <c r="N58" s="16">
        <f t="shared" si="21"/>
        <v>0</v>
      </c>
      <c r="O58" s="16">
        <f t="shared" si="21"/>
        <v>417</v>
      </c>
      <c r="P58" s="16">
        <f t="shared" si="21"/>
        <v>746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8.4450402144772119E-2</v>
      </c>
      <c r="D59" s="43">
        <f t="shared" si="22"/>
        <v>1.0723860589812333E-2</v>
      </c>
      <c r="E59" s="43">
        <f t="shared" si="22"/>
        <v>0.11126005361930295</v>
      </c>
      <c r="F59" s="43">
        <f t="shared" si="22"/>
        <v>0.11394101876675604</v>
      </c>
      <c r="G59" s="43">
        <f t="shared" si="22"/>
        <v>2.6809651474530832E-3</v>
      </c>
      <c r="H59" s="43">
        <f t="shared" si="22"/>
        <v>2.1447721179624665E-2</v>
      </c>
      <c r="I59" s="43">
        <f t="shared" si="22"/>
        <v>7.2386058981233251E-2</v>
      </c>
      <c r="J59" s="43">
        <f t="shared" si="22"/>
        <v>1.7426273458445041E-2</v>
      </c>
      <c r="K59" s="43">
        <f t="shared" si="22"/>
        <v>2.6809651474530832E-3</v>
      </c>
      <c r="L59" s="43">
        <f t="shared" si="22"/>
        <v>0.12198391420911528</v>
      </c>
      <c r="M59" s="43">
        <f t="shared" si="22"/>
        <v>0.44101876675603219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0.15107913669064749</v>
      </c>
      <c r="D60" s="44">
        <f t="shared" ref="D60:N60" si="23">D58/$O$58</f>
        <v>1.9184652278177457E-2</v>
      </c>
      <c r="E60" s="44">
        <f t="shared" si="23"/>
        <v>0.19904076738609114</v>
      </c>
      <c r="F60" s="44">
        <f t="shared" si="23"/>
        <v>0.2038369304556355</v>
      </c>
      <c r="G60" s="44">
        <f t="shared" si="23"/>
        <v>4.7961630695443642E-3</v>
      </c>
      <c r="H60" s="44">
        <f t="shared" si="23"/>
        <v>3.8369304556354913E-2</v>
      </c>
      <c r="I60" s="44">
        <f t="shared" si="23"/>
        <v>0.12949640287769784</v>
      </c>
      <c r="J60" s="44">
        <f t="shared" si="23"/>
        <v>3.117505995203837E-2</v>
      </c>
      <c r="K60" s="44">
        <f t="shared" si="23"/>
        <v>4.7961630695443642E-3</v>
      </c>
      <c r="L60" s="44">
        <f t="shared" si="23"/>
        <v>0.21822541966426859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Soroti-Kumi'!C3:G3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'11.08 Kumi-Soroti'!D5</f>
        <v>11.08.19</v>
      </c>
      <c r="E5" s="3"/>
      <c r="F5" s="41" t="s">
        <v>1</v>
      </c>
      <c r="G5" s="66" t="str">
        <f>'08.08 Kumi-Soroti'!G5:H5</f>
        <v>Mukura</v>
      </c>
      <c r="H5" s="67"/>
      <c r="I5" s="14"/>
      <c r="J5" s="2" t="s">
        <v>5</v>
      </c>
      <c r="K5" s="66" t="str">
        <f>'08.08 Kumi-Soroti'!K5:L5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Soroti-Kumi'!D6:E6</f>
        <v>Soroti</v>
      </c>
      <c r="E6" s="67"/>
      <c r="F6" s="2" t="s">
        <v>2</v>
      </c>
      <c r="G6" s="66" t="str">
        <f>'08.08 Soroti-Kumi'!G6:H6</f>
        <v>Kumi</v>
      </c>
      <c r="H6" s="67"/>
      <c r="J6" s="2" t="s">
        <v>21</v>
      </c>
      <c r="K6" s="66" t="str">
        <f>'08.08 Kumi-Soroti'!K6:L6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1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1</v>
      </c>
      <c r="V10" s="17">
        <f t="shared" si="2"/>
        <v>3</v>
      </c>
      <c r="W10" s="17">
        <f t="shared" si="2"/>
        <v>0</v>
      </c>
      <c r="X10" s="17">
        <f t="shared" si="2"/>
        <v>1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2</v>
      </c>
      <c r="AC10" s="17">
        <f t="shared" si="2"/>
        <v>14</v>
      </c>
      <c r="AD10" s="17">
        <f t="shared" si="2"/>
        <v>0</v>
      </c>
      <c r="AE10" s="31">
        <f t="shared" si="2"/>
        <v>10</v>
      </c>
      <c r="AF10" s="31">
        <f t="shared" si="2"/>
        <v>24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3</v>
      </c>
      <c r="P11" s="15">
        <f t="shared" si="1"/>
        <v>5</v>
      </c>
      <c r="R11" s="1" t="s">
        <v>7</v>
      </c>
      <c r="S11" s="17">
        <f t="shared" ref="S11:AF11" si="3">SUM(C14:C17)</f>
        <v>6</v>
      </c>
      <c r="T11" s="17">
        <f t="shared" si="3"/>
        <v>0</v>
      </c>
      <c r="U11" s="17">
        <f t="shared" si="3"/>
        <v>3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6</v>
      </c>
      <c r="AC11" s="17">
        <f t="shared" si="3"/>
        <v>25</v>
      </c>
      <c r="AD11" s="17">
        <f t="shared" si="3"/>
        <v>0</v>
      </c>
      <c r="AE11" s="31">
        <f t="shared" si="3"/>
        <v>23</v>
      </c>
      <c r="AF11" s="31">
        <f t="shared" si="3"/>
        <v>48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1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2</v>
      </c>
      <c r="P12" s="15">
        <f t="shared" si="1"/>
        <v>10</v>
      </c>
      <c r="R12" s="1" t="s">
        <v>8</v>
      </c>
      <c r="S12" s="17">
        <f t="shared" ref="S12:AF12" si="4">SUM(C18:C21)</f>
        <v>7</v>
      </c>
      <c r="T12" s="17">
        <f t="shared" si="4"/>
        <v>0</v>
      </c>
      <c r="U12" s="17">
        <f t="shared" si="4"/>
        <v>4</v>
      </c>
      <c r="V12" s="17">
        <f t="shared" si="4"/>
        <v>7</v>
      </c>
      <c r="W12" s="17">
        <f t="shared" si="4"/>
        <v>0</v>
      </c>
      <c r="X12" s="17">
        <f t="shared" si="4"/>
        <v>3</v>
      </c>
      <c r="Y12" s="17">
        <f t="shared" si="4"/>
        <v>1</v>
      </c>
      <c r="Z12" s="17">
        <f t="shared" si="4"/>
        <v>1</v>
      </c>
      <c r="AA12" s="17">
        <f t="shared" si="4"/>
        <v>0</v>
      </c>
      <c r="AB12" s="17">
        <f t="shared" si="4"/>
        <v>2</v>
      </c>
      <c r="AC12" s="17">
        <f t="shared" si="4"/>
        <v>24</v>
      </c>
      <c r="AD12" s="17">
        <f t="shared" si="4"/>
        <v>0</v>
      </c>
      <c r="AE12" s="31">
        <f t="shared" si="4"/>
        <v>25</v>
      </c>
      <c r="AF12" s="31">
        <f t="shared" si="4"/>
        <v>49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3</v>
      </c>
      <c r="N13" s="50">
        <v>0</v>
      </c>
      <c r="O13" s="15">
        <f t="shared" si="0"/>
        <v>4</v>
      </c>
      <c r="P13" s="15">
        <f t="shared" si="1"/>
        <v>7</v>
      </c>
      <c r="R13" s="1" t="s">
        <v>9</v>
      </c>
      <c r="S13" s="17">
        <f t="shared" ref="S13:AF13" si="5">SUM(C22:C25)</f>
        <v>7</v>
      </c>
      <c r="T13" s="17">
        <f t="shared" si="5"/>
        <v>1</v>
      </c>
      <c r="U13" s="17">
        <f t="shared" si="5"/>
        <v>7</v>
      </c>
      <c r="V13" s="17">
        <f t="shared" si="5"/>
        <v>11</v>
      </c>
      <c r="W13" s="17">
        <f t="shared" si="5"/>
        <v>0</v>
      </c>
      <c r="X13" s="17">
        <f t="shared" si="5"/>
        <v>5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4</v>
      </c>
      <c r="AC13" s="17">
        <f t="shared" si="5"/>
        <v>24</v>
      </c>
      <c r="AD13" s="17">
        <f t="shared" si="5"/>
        <v>0</v>
      </c>
      <c r="AE13" s="31">
        <f t="shared" si="5"/>
        <v>38</v>
      </c>
      <c r="AF13" s="31">
        <f t="shared" si="5"/>
        <v>62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2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4</v>
      </c>
      <c r="P14" s="15">
        <f t="shared" si="1"/>
        <v>8</v>
      </c>
      <c r="R14" s="1" t="s">
        <v>10</v>
      </c>
      <c r="S14" s="17">
        <f t="shared" ref="S14:AF14" si="6">SUM(C26:C29)</f>
        <v>6</v>
      </c>
      <c r="T14" s="17">
        <f t="shared" si="6"/>
        <v>2</v>
      </c>
      <c r="U14" s="17">
        <f t="shared" si="6"/>
        <v>7</v>
      </c>
      <c r="V14" s="17">
        <f t="shared" si="6"/>
        <v>7</v>
      </c>
      <c r="W14" s="17">
        <f t="shared" si="6"/>
        <v>0</v>
      </c>
      <c r="X14" s="17">
        <f t="shared" si="6"/>
        <v>2</v>
      </c>
      <c r="Y14" s="17">
        <f t="shared" si="6"/>
        <v>5</v>
      </c>
      <c r="Z14" s="17">
        <f t="shared" si="6"/>
        <v>1</v>
      </c>
      <c r="AA14" s="17">
        <f t="shared" si="6"/>
        <v>0</v>
      </c>
      <c r="AB14" s="17">
        <f t="shared" si="6"/>
        <v>7</v>
      </c>
      <c r="AC14" s="17">
        <f t="shared" si="6"/>
        <v>24</v>
      </c>
      <c r="AD14" s="17">
        <f t="shared" si="6"/>
        <v>0</v>
      </c>
      <c r="AE14" s="31">
        <f t="shared" si="6"/>
        <v>37</v>
      </c>
      <c r="AF14" s="31">
        <f t="shared" si="6"/>
        <v>61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2</v>
      </c>
      <c r="M15" s="50">
        <v>8</v>
      </c>
      <c r="N15" s="50">
        <v>0</v>
      </c>
      <c r="O15" s="15">
        <f t="shared" si="0"/>
        <v>5</v>
      </c>
      <c r="P15" s="15">
        <f t="shared" si="1"/>
        <v>13</v>
      </c>
      <c r="R15" s="1" t="s">
        <v>11</v>
      </c>
      <c r="S15" s="17">
        <f t="shared" ref="S15:AF15" si="7">SUM(C30:C33)</f>
        <v>7</v>
      </c>
      <c r="T15" s="17">
        <f t="shared" si="7"/>
        <v>4</v>
      </c>
      <c r="U15" s="17">
        <f t="shared" si="7"/>
        <v>7</v>
      </c>
      <c r="V15" s="17">
        <f t="shared" si="7"/>
        <v>9</v>
      </c>
      <c r="W15" s="17">
        <f t="shared" si="7"/>
        <v>0</v>
      </c>
      <c r="X15" s="17">
        <f t="shared" si="7"/>
        <v>2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3</v>
      </c>
      <c r="AC15" s="17">
        <f t="shared" si="7"/>
        <v>18</v>
      </c>
      <c r="AD15" s="17">
        <f t="shared" si="7"/>
        <v>0</v>
      </c>
      <c r="AE15" s="31">
        <f t="shared" si="7"/>
        <v>34</v>
      </c>
      <c r="AF15" s="31">
        <f t="shared" si="7"/>
        <v>52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1</v>
      </c>
      <c r="F16" s="50">
        <v>3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4</v>
      </c>
      <c r="M16" s="50">
        <v>6</v>
      </c>
      <c r="N16" s="50">
        <v>0</v>
      </c>
      <c r="O16" s="15">
        <f t="shared" si="0"/>
        <v>11</v>
      </c>
      <c r="P16" s="15">
        <f t="shared" si="1"/>
        <v>17</v>
      </c>
      <c r="R16" s="1" t="s">
        <v>12</v>
      </c>
      <c r="S16" s="17">
        <f t="shared" ref="S16:AF16" si="8">SUM(C34:C37)</f>
        <v>3</v>
      </c>
      <c r="T16" s="17">
        <f t="shared" si="8"/>
        <v>2</v>
      </c>
      <c r="U16" s="17">
        <f t="shared" si="8"/>
        <v>8</v>
      </c>
      <c r="V16" s="17">
        <f t="shared" si="8"/>
        <v>9</v>
      </c>
      <c r="W16" s="17">
        <f t="shared" si="8"/>
        <v>0</v>
      </c>
      <c r="X16" s="17">
        <f t="shared" si="8"/>
        <v>2</v>
      </c>
      <c r="Y16" s="17">
        <f t="shared" si="8"/>
        <v>4</v>
      </c>
      <c r="Z16" s="17">
        <f t="shared" si="8"/>
        <v>1</v>
      </c>
      <c r="AA16" s="17">
        <f t="shared" si="8"/>
        <v>1</v>
      </c>
      <c r="AB16" s="17">
        <f t="shared" si="8"/>
        <v>5</v>
      </c>
      <c r="AC16" s="17">
        <f t="shared" si="8"/>
        <v>28</v>
      </c>
      <c r="AD16" s="17">
        <f t="shared" si="8"/>
        <v>0</v>
      </c>
      <c r="AE16" s="31">
        <f t="shared" si="8"/>
        <v>35</v>
      </c>
      <c r="AF16" s="31">
        <f t="shared" si="8"/>
        <v>63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7</v>
      </c>
      <c r="N17" s="50">
        <v>0</v>
      </c>
      <c r="O17" s="15">
        <f t="shared" si="0"/>
        <v>3</v>
      </c>
      <c r="P17" s="15">
        <f t="shared" si="1"/>
        <v>10</v>
      </c>
      <c r="R17" s="1" t="s">
        <v>13</v>
      </c>
      <c r="S17" s="17">
        <f t="shared" ref="S17:AF17" si="9">SUM(C38:C41)</f>
        <v>4</v>
      </c>
      <c r="T17" s="17">
        <f t="shared" si="9"/>
        <v>3</v>
      </c>
      <c r="U17" s="17">
        <f t="shared" si="9"/>
        <v>8</v>
      </c>
      <c r="V17" s="17">
        <f t="shared" si="9"/>
        <v>3</v>
      </c>
      <c r="W17" s="17">
        <f t="shared" si="9"/>
        <v>1</v>
      </c>
      <c r="X17" s="17">
        <f t="shared" si="9"/>
        <v>1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5</v>
      </c>
      <c r="AC17" s="17">
        <f t="shared" si="9"/>
        <v>8</v>
      </c>
      <c r="AD17" s="17">
        <f t="shared" si="9"/>
        <v>0</v>
      </c>
      <c r="AE17" s="31">
        <f t="shared" si="9"/>
        <v>30</v>
      </c>
      <c r="AF17" s="31">
        <f t="shared" si="9"/>
        <v>38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2</v>
      </c>
      <c r="F18" s="50">
        <v>1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1</v>
      </c>
      <c r="M18" s="50">
        <v>4</v>
      </c>
      <c r="N18" s="50">
        <v>0</v>
      </c>
      <c r="O18" s="15">
        <f t="shared" si="0"/>
        <v>9</v>
      </c>
      <c r="P18" s="15">
        <f t="shared" si="1"/>
        <v>13</v>
      </c>
      <c r="R18" s="1" t="s">
        <v>14</v>
      </c>
      <c r="S18" s="17">
        <f t="shared" ref="S18:AF18" si="10">SUM(C42:C45)</f>
        <v>6</v>
      </c>
      <c r="T18" s="17">
        <f t="shared" si="10"/>
        <v>1</v>
      </c>
      <c r="U18" s="17">
        <f t="shared" si="10"/>
        <v>6</v>
      </c>
      <c r="V18" s="17">
        <f t="shared" si="10"/>
        <v>10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2</v>
      </c>
      <c r="AB18" s="17">
        <f t="shared" si="10"/>
        <v>7</v>
      </c>
      <c r="AC18" s="17">
        <f t="shared" si="10"/>
        <v>8</v>
      </c>
      <c r="AD18" s="17">
        <f t="shared" si="10"/>
        <v>0</v>
      </c>
      <c r="AE18" s="31">
        <f t="shared" si="10"/>
        <v>34</v>
      </c>
      <c r="AF18" s="31">
        <f t="shared" si="10"/>
        <v>42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2</v>
      </c>
      <c r="F19" s="50">
        <v>1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1</v>
      </c>
      <c r="M19" s="50">
        <v>6</v>
      </c>
      <c r="N19" s="50">
        <v>0</v>
      </c>
      <c r="O19" s="15">
        <f t="shared" si="0"/>
        <v>7</v>
      </c>
      <c r="P19" s="15">
        <f t="shared" si="1"/>
        <v>13</v>
      </c>
      <c r="R19" s="1" t="s">
        <v>15</v>
      </c>
      <c r="S19" s="17">
        <f t="shared" ref="S19:AF19" si="11">SUM(C46:C49)</f>
        <v>6</v>
      </c>
      <c r="T19" s="17">
        <f t="shared" si="11"/>
        <v>3</v>
      </c>
      <c r="U19" s="17">
        <f t="shared" si="11"/>
        <v>10</v>
      </c>
      <c r="V19" s="17">
        <f t="shared" si="11"/>
        <v>7</v>
      </c>
      <c r="W19" s="17">
        <f t="shared" si="11"/>
        <v>0</v>
      </c>
      <c r="X19" s="17">
        <f t="shared" si="11"/>
        <v>3</v>
      </c>
      <c r="Y19" s="17">
        <f t="shared" si="11"/>
        <v>5</v>
      </c>
      <c r="Z19" s="17">
        <f t="shared" si="11"/>
        <v>2</v>
      </c>
      <c r="AA19" s="17">
        <f t="shared" si="11"/>
        <v>0</v>
      </c>
      <c r="AB19" s="17">
        <f t="shared" si="11"/>
        <v>5</v>
      </c>
      <c r="AC19" s="17">
        <f t="shared" si="11"/>
        <v>6</v>
      </c>
      <c r="AD19" s="17">
        <f t="shared" si="11"/>
        <v>0</v>
      </c>
      <c r="AE19" s="31">
        <f t="shared" si="11"/>
        <v>41</v>
      </c>
      <c r="AF19" s="31">
        <f t="shared" si="11"/>
        <v>47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2</v>
      </c>
      <c r="P20" s="15">
        <f t="shared" si="1"/>
        <v>10</v>
      </c>
      <c r="R20" s="1" t="s">
        <v>16</v>
      </c>
      <c r="S20" s="17">
        <f t="shared" ref="S20:AF20" si="12">SUM(C50:C53)</f>
        <v>6</v>
      </c>
      <c r="T20" s="17">
        <f t="shared" si="12"/>
        <v>2</v>
      </c>
      <c r="U20" s="17">
        <f t="shared" si="12"/>
        <v>5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1</v>
      </c>
      <c r="AA20" s="17">
        <f t="shared" si="12"/>
        <v>0</v>
      </c>
      <c r="AB20" s="17">
        <f t="shared" si="12"/>
        <v>6</v>
      </c>
      <c r="AC20" s="17">
        <f t="shared" si="12"/>
        <v>16</v>
      </c>
      <c r="AD20" s="17">
        <f t="shared" si="12"/>
        <v>0</v>
      </c>
      <c r="AE20" s="31">
        <f t="shared" si="12"/>
        <v>27</v>
      </c>
      <c r="AF20" s="31">
        <f t="shared" si="12"/>
        <v>43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3</v>
      </c>
      <c r="G21" s="50">
        <v>0</v>
      </c>
      <c r="H21" s="50">
        <v>1</v>
      </c>
      <c r="I21" s="50">
        <v>0</v>
      </c>
      <c r="J21" s="50">
        <v>1</v>
      </c>
      <c r="K21" s="50">
        <v>0</v>
      </c>
      <c r="L21" s="50">
        <v>0</v>
      </c>
      <c r="M21" s="50">
        <v>6</v>
      </c>
      <c r="N21" s="50">
        <v>0</v>
      </c>
      <c r="O21" s="15">
        <f t="shared" si="0"/>
        <v>7</v>
      </c>
      <c r="P21" s="15">
        <f t="shared" si="1"/>
        <v>13</v>
      </c>
      <c r="R21" s="36" t="s">
        <v>20</v>
      </c>
      <c r="S21" s="34">
        <f t="shared" ref="S21:AF21" si="13">SUM(C54:C57)</f>
        <v>4</v>
      </c>
      <c r="T21" s="17">
        <f t="shared" si="13"/>
        <v>2</v>
      </c>
      <c r="U21" s="17">
        <f t="shared" si="13"/>
        <v>7</v>
      </c>
      <c r="V21" s="17">
        <f t="shared" si="13"/>
        <v>4</v>
      </c>
      <c r="W21" s="17">
        <f t="shared" si="13"/>
        <v>0</v>
      </c>
      <c r="X21" s="17">
        <f t="shared" si="13"/>
        <v>1</v>
      </c>
      <c r="Y21" s="17">
        <f t="shared" si="13"/>
        <v>2</v>
      </c>
      <c r="Z21" s="17">
        <f t="shared" si="13"/>
        <v>0</v>
      </c>
      <c r="AA21" s="17">
        <f t="shared" si="13"/>
        <v>1</v>
      </c>
      <c r="AB21" s="17">
        <f t="shared" si="13"/>
        <v>6</v>
      </c>
      <c r="AC21" s="17">
        <f t="shared" si="13"/>
        <v>16</v>
      </c>
      <c r="AD21" s="17">
        <f t="shared" si="13"/>
        <v>0</v>
      </c>
      <c r="AE21" s="31">
        <f t="shared" si="13"/>
        <v>27</v>
      </c>
      <c r="AF21" s="31">
        <f t="shared" si="13"/>
        <v>43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1</v>
      </c>
      <c r="F22" s="50">
        <v>2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5</v>
      </c>
      <c r="N22" s="50">
        <v>0</v>
      </c>
      <c r="O22" s="15">
        <f t="shared" si="0"/>
        <v>6</v>
      </c>
      <c r="P22" s="15">
        <f t="shared" si="1"/>
        <v>11</v>
      </c>
      <c r="R22" s="38" t="s">
        <v>90</v>
      </c>
      <c r="S22" s="39">
        <f>MAX(S10:S12)</f>
        <v>7</v>
      </c>
      <c r="T22" s="39">
        <f t="shared" ref="T22:AF22" si="14">MAX(T10:T12)</f>
        <v>0</v>
      </c>
      <c r="U22" s="39">
        <f t="shared" si="14"/>
        <v>4</v>
      </c>
      <c r="V22" s="39">
        <f t="shared" si="14"/>
        <v>7</v>
      </c>
      <c r="W22" s="39">
        <f t="shared" si="14"/>
        <v>0</v>
      </c>
      <c r="X22" s="39">
        <f t="shared" si="14"/>
        <v>3</v>
      </c>
      <c r="Y22" s="39">
        <f t="shared" si="14"/>
        <v>3</v>
      </c>
      <c r="Z22" s="39">
        <f t="shared" si="14"/>
        <v>1</v>
      </c>
      <c r="AA22" s="39">
        <f t="shared" si="14"/>
        <v>0</v>
      </c>
      <c r="AB22" s="39">
        <f t="shared" si="14"/>
        <v>6</v>
      </c>
      <c r="AC22" s="39">
        <f t="shared" si="14"/>
        <v>25</v>
      </c>
      <c r="AD22" s="39">
        <f t="shared" si="14"/>
        <v>0</v>
      </c>
      <c r="AE22" s="40">
        <f t="shared" si="14"/>
        <v>25</v>
      </c>
      <c r="AF22" s="40">
        <f t="shared" si="14"/>
        <v>49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2</v>
      </c>
      <c r="F23" s="50">
        <v>2</v>
      </c>
      <c r="G23" s="50">
        <v>0</v>
      </c>
      <c r="H23" s="50">
        <v>1</v>
      </c>
      <c r="I23" s="50">
        <v>0</v>
      </c>
      <c r="J23" s="50">
        <v>0</v>
      </c>
      <c r="K23" s="50">
        <v>0</v>
      </c>
      <c r="L23" s="50">
        <v>1</v>
      </c>
      <c r="M23" s="50">
        <v>5</v>
      </c>
      <c r="N23" s="50">
        <v>0</v>
      </c>
      <c r="O23" s="15">
        <f t="shared" si="0"/>
        <v>7</v>
      </c>
      <c r="P23" s="15">
        <f t="shared" si="1"/>
        <v>12</v>
      </c>
      <c r="R23" s="38" t="s">
        <v>91</v>
      </c>
      <c r="S23" s="39">
        <f>MAX(S13:S18)</f>
        <v>7</v>
      </c>
      <c r="T23" s="39">
        <f t="shared" ref="T23:AF23" si="15">MAX(T13:T18)</f>
        <v>4</v>
      </c>
      <c r="U23" s="39">
        <f t="shared" si="15"/>
        <v>8</v>
      </c>
      <c r="V23" s="39">
        <f t="shared" si="15"/>
        <v>11</v>
      </c>
      <c r="W23" s="39">
        <f t="shared" si="15"/>
        <v>1</v>
      </c>
      <c r="X23" s="39">
        <f t="shared" si="15"/>
        <v>5</v>
      </c>
      <c r="Y23" s="39">
        <f t="shared" si="15"/>
        <v>5</v>
      </c>
      <c r="Z23" s="39">
        <f t="shared" si="15"/>
        <v>1</v>
      </c>
      <c r="AA23" s="39">
        <f t="shared" si="15"/>
        <v>2</v>
      </c>
      <c r="AB23" s="39">
        <f t="shared" si="15"/>
        <v>7</v>
      </c>
      <c r="AC23" s="39">
        <f t="shared" si="15"/>
        <v>28</v>
      </c>
      <c r="AD23" s="39">
        <f t="shared" si="15"/>
        <v>0</v>
      </c>
      <c r="AE23" s="40">
        <f t="shared" si="15"/>
        <v>38</v>
      </c>
      <c r="AF23" s="40">
        <f t="shared" si="15"/>
        <v>63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2</v>
      </c>
      <c r="F24" s="50">
        <v>3</v>
      </c>
      <c r="G24" s="50">
        <v>0</v>
      </c>
      <c r="H24" s="50">
        <v>1</v>
      </c>
      <c r="I24" s="50">
        <v>1</v>
      </c>
      <c r="J24" s="50">
        <v>0</v>
      </c>
      <c r="K24" s="50">
        <v>0</v>
      </c>
      <c r="L24" s="50">
        <v>3</v>
      </c>
      <c r="M24" s="50">
        <v>8</v>
      </c>
      <c r="N24" s="50">
        <v>0</v>
      </c>
      <c r="O24" s="15">
        <f t="shared" si="0"/>
        <v>13</v>
      </c>
      <c r="P24" s="15">
        <f t="shared" si="1"/>
        <v>21</v>
      </c>
      <c r="R24" s="38" t="s">
        <v>92</v>
      </c>
      <c r="S24" s="39">
        <f>MAX(S19:S21)</f>
        <v>6</v>
      </c>
      <c r="T24" s="39">
        <f t="shared" ref="T24:AF24" si="16">MAX(T19:T21)</f>
        <v>3</v>
      </c>
      <c r="U24" s="39">
        <f t="shared" si="16"/>
        <v>10</v>
      </c>
      <c r="V24" s="39">
        <f t="shared" si="16"/>
        <v>7</v>
      </c>
      <c r="W24" s="39">
        <f t="shared" si="16"/>
        <v>0</v>
      </c>
      <c r="X24" s="39">
        <f t="shared" si="16"/>
        <v>3</v>
      </c>
      <c r="Y24" s="39">
        <f t="shared" si="16"/>
        <v>5</v>
      </c>
      <c r="Z24" s="39">
        <f t="shared" si="16"/>
        <v>2</v>
      </c>
      <c r="AA24" s="39">
        <f t="shared" si="16"/>
        <v>1</v>
      </c>
      <c r="AB24" s="39">
        <f t="shared" si="16"/>
        <v>6</v>
      </c>
      <c r="AC24" s="39">
        <f t="shared" si="16"/>
        <v>16</v>
      </c>
      <c r="AD24" s="39">
        <f t="shared" si="16"/>
        <v>0</v>
      </c>
      <c r="AE24" s="40">
        <f t="shared" si="16"/>
        <v>41</v>
      </c>
      <c r="AF24" s="40">
        <f t="shared" si="16"/>
        <v>47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2</v>
      </c>
      <c r="F25" s="50">
        <v>4</v>
      </c>
      <c r="G25" s="50">
        <v>0</v>
      </c>
      <c r="H25" s="50">
        <v>3</v>
      </c>
      <c r="I25" s="50">
        <v>1</v>
      </c>
      <c r="J25" s="50">
        <v>0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12</v>
      </c>
      <c r="P25" s="15">
        <f t="shared" si="1"/>
        <v>18</v>
      </c>
      <c r="R25" s="37" t="s">
        <v>85</v>
      </c>
      <c r="S25" s="35">
        <f t="shared" ref="S25:AF25" si="17">SUM(S10:S12)</f>
        <v>15</v>
      </c>
      <c r="T25" s="16">
        <f t="shared" si="17"/>
        <v>0</v>
      </c>
      <c r="U25" s="16">
        <f t="shared" si="17"/>
        <v>8</v>
      </c>
      <c r="V25" s="16">
        <f t="shared" si="17"/>
        <v>15</v>
      </c>
      <c r="W25" s="16">
        <f t="shared" si="17"/>
        <v>0</v>
      </c>
      <c r="X25" s="16">
        <f t="shared" si="17"/>
        <v>4</v>
      </c>
      <c r="Y25" s="16">
        <f t="shared" si="17"/>
        <v>5</v>
      </c>
      <c r="Z25" s="16">
        <f t="shared" si="17"/>
        <v>1</v>
      </c>
      <c r="AA25" s="16">
        <f t="shared" si="17"/>
        <v>0</v>
      </c>
      <c r="AB25" s="16">
        <f t="shared" si="17"/>
        <v>10</v>
      </c>
      <c r="AC25" s="16">
        <f t="shared" si="17"/>
        <v>63</v>
      </c>
      <c r="AD25" s="16">
        <f t="shared" si="17"/>
        <v>0</v>
      </c>
      <c r="AE25" s="32">
        <f t="shared" si="17"/>
        <v>58</v>
      </c>
      <c r="AF25" s="32">
        <f t="shared" si="17"/>
        <v>121</v>
      </c>
    </row>
    <row r="26" spans="2:32" ht="23.1" customHeight="1" x14ac:dyDescent="0.25">
      <c r="B26" s="23" t="s">
        <v>53</v>
      </c>
      <c r="C26" s="50">
        <v>5</v>
      </c>
      <c r="D26" s="50">
        <v>0</v>
      </c>
      <c r="E26" s="50">
        <v>0</v>
      </c>
      <c r="F26" s="50">
        <v>0</v>
      </c>
      <c r="G26" s="50">
        <v>0</v>
      </c>
      <c r="H26" s="50">
        <v>1</v>
      </c>
      <c r="I26" s="50">
        <v>1</v>
      </c>
      <c r="J26" s="50">
        <v>0</v>
      </c>
      <c r="K26" s="50">
        <v>0</v>
      </c>
      <c r="L26" s="50">
        <v>2</v>
      </c>
      <c r="M26" s="50">
        <v>2</v>
      </c>
      <c r="N26" s="50">
        <v>0</v>
      </c>
      <c r="O26" s="15">
        <f t="shared" si="0"/>
        <v>9</v>
      </c>
      <c r="P26" s="15">
        <f t="shared" si="1"/>
        <v>11</v>
      </c>
      <c r="R26" s="28" t="s">
        <v>86</v>
      </c>
      <c r="S26" s="16">
        <f t="shared" ref="S26:AF26" si="18">SUM(S13:S18)</f>
        <v>33</v>
      </c>
      <c r="T26" s="16">
        <f t="shared" si="18"/>
        <v>13</v>
      </c>
      <c r="U26" s="16">
        <f t="shared" si="18"/>
        <v>43</v>
      </c>
      <c r="V26" s="16">
        <f t="shared" si="18"/>
        <v>49</v>
      </c>
      <c r="W26" s="16">
        <f t="shared" si="18"/>
        <v>1</v>
      </c>
      <c r="X26" s="16">
        <f t="shared" si="18"/>
        <v>12</v>
      </c>
      <c r="Y26" s="16">
        <f t="shared" si="18"/>
        <v>20</v>
      </c>
      <c r="Z26" s="16">
        <f t="shared" si="18"/>
        <v>3</v>
      </c>
      <c r="AA26" s="16">
        <f t="shared" si="18"/>
        <v>3</v>
      </c>
      <c r="AB26" s="16">
        <f t="shared" si="18"/>
        <v>31</v>
      </c>
      <c r="AC26" s="16">
        <f t="shared" si="18"/>
        <v>110</v>
      </c>
      <c r="AD26" s="16">
        <f t="shared" si="18"/>
        <v>0</v>
      </c>
      <c r="AE26" s="32">
        <f t="shared" si="18"/>
        <v>208</v>
      </c>
      <c r="AF26" s="32">
        <f t="shared" si="18"/>
        <v>318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2</v>
      </c>
      <c r="F27" s="50">
        <v>3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1</v>
      </c>
      <c r="M27" s="50">
        <v>8</v>
      </c>
      <c r="N27" s="50">
        <v>0</v>
      </c>
      <c r="O27" s="15">
        <f t="shared" si="0"/>
        <v>8</v>
      </c>
      <c r="P27" s="15">
        <f t="shared" si="1"/>
        <v>16</v>
      </c>
      <c r="R27" s="29" t="s">
        <v>87</v>
      </c>
      <c r="S27" s="16">
        <f t="shared" ref="S27:AF27" si="19">SUM(S19:S21)</f>
        <v>16</v>
      </c>
      <c r="T27" s="16">
        <f t="shared" si="19"/>
        <v>7</v>
      </c>
      <c r="U27" s="16">
        <f t="shared" si="19"/>
        <v>22</v>
      </c>
      <c r="V27" s="16">
        <f t="shared" si="19"/>
        <v>14</v>
      </c>
      <c r="W27" s="16">
        <f t="shared" si="19"/>
        <v>0</v>
      </c>
      <c r="X27" s="16">
        <f t="shared" si="19"/>
        <v>4</v>
      </c>
      <c r="Y27" s="16">
        <f t="shared" si="19"/>
        <v>11</v>
      </c>
      <c r="Z27" s="16">
        <f t="shared" si="19"/>
        <v>3</v>
      </c>
      <c r="AA27" s="16">
        <f t="shared" si="19"/>
        <v>1</v>
      </c>
      <c r="AB27" s="16">
        <f t="shared" si="19"/>
        <v>17</v>
      </c>
      <c r="AC27" s="16">
        <f t="shared" si="19"/>
        <v>38</v>
      </c>
      <c r="AD27" s="16">
        <f t="shared" si="19"/>
        <v>0</v>
      </c>
      <c r="AE27" s="32">
        <f t="shared" si="19"/>
        <v>95</v>
      </c>
      <c r="AF27" s="32">
        <f t="shared" si="19"/>
        <v>133</v>
      </c>
    </row>
    <row r="28" spans="2:32" ht="23.1" customHeight="1" x14ac:dyDescent="0.25">
      <c r="B28" s="23" t="s">
        <v>55</v>
      </c>
      <c r="C28" s="50">
        <v>0</v>
      </c>
      <c r="D28" s="50">
        <v>2</v>
      </c>
      <c r="E28" s="50">
        <v>3</v>
      </c>
      <c r="F28" s="50">
        <v>2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3</v>
      </c>
      <c r="M28" s="50">
        <v>4</v>
      </c>
      <c r="N28" s="50">
        <v>0</v>
      </c>
      <c r="O28" s="15">
        <f t="shared" si="0"/>
        <v>12</v>
      </c>
      <c r="P28" s="15">
        <f t="shared" si="1"/>
        <v>16</v>
      </c>
      <c r="R28" s="5" t="s">
        <v>17</v>
      </c>
      <c r="S28" s="16">
        <f t="shared" ref="S28:AF28" si="20">SUM(S10:S21)</f>
        <v>64</v>
      </c>
      <c r="T28" s="16">
        <f t="shared" si="20"/>
        <v>20</v>
      </c>
      <c r="U28" s="16">
        <f t="shared" si="20"/>
        <v>73</v>
      </c>
      <c r="V28" s="16">
        <f t="shared" si="20"/>
        <v>78</v>
      </c>
      <c r="W28" s="16">
        <f t="shared" si="20"/>
        <v>1</v>
      </c>
      <c r="X28" s="16">
        <f t="shared" si="20"/>
        <v>20</v>
      </c>
      <c r="Y28" s="16">
        <f t="shared" si="20"/>
        <v>36</v>
      </c>
      <c r="Z28" s="16">
        <f t="shared" si="20"/>
        <v>7</v>
      </c>
      <c r="AA28" s="16">
        <f t="shared" si="20"/>
        <v>4</v>
      </c>
      <c r="AB28" s="16">
        <f t="shared" si="20"/>
        <v>58</v>
      </c>
      <c r="AC28" s="16">
        <f t="shared" si="20"/>
        <v>211</v>
      </c>
      <c r="AD28" s="16">
        <f t="shared" si="20"/>
        <v>0</v>
      </c>
      <c r="AE28" s="32">
        <f t="shared" si="20"/>
        <v>361</v>
      </c>
      <c r="AF28" s="32">
        <f t="shared" si="20"/>
        <v>572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2</v>
      </c>
      <c r="F29" s="50">
        <v>2</v>
      </c>
      <c r="G29" s="50">
        <v>0</v>
      </c>
      <c r="H29" s="50">
        <v>1</v>
      </c>
      <c r="I29" s="50">
        <v>1</v>
      </c>
      <c r="J29" s="50">
        <v>0</v>
      </c>
      <c r="K29" s="50">
        <v>0</v>
      </c>
      <c r="L29" s="50">
        <v>1</v>
      </c>
      <c r="M29" s="50">
        <v>10</v>
      </c>
      <c r="N29" s="50">
        <v>0</v>
      </c>
      <c r="O29" s="15">
        <f t="shared" si="0"/>
        <v>8</v>
      </c>
      <c r="P29" s="15">
        <f t="shared" si="1"/>
        <v>18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2</v>
      </c>
      <c r="F30" s="50">
        <v>2</v>
      </c>
      <c r="G30" s="50">
        <v>0</v>
      </c>
      <c r="H30" s="50">
        <v>1</v>
      </c>
      <c r="I30" s="50">
        <v>0</v>
      </c>
      <c r="J30" s="50">
        <v>0</v>
      </c>
      <c r="K30" s="50">
        <v>0</v>
      </c>
      <c r="L30" s="50">
        <v>2</v>
      </c>
      <c r="M30" s="50">
        <v>3</v>
      </c>
      <c r="N30" s="50">
        <v>0</v>
      </c>
      <c r="O30" s="15">
        <f t="shared" si="0"/>
        <v>8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5</v>
      </c>
      <c r="D31" s="50">
        <v>2</v>
      </c>
      <c r="E31" s="50">
        <v>3</v>
      </c>
      <c r="F31" s="50">
        <v>4</v>
      </c>
      <c r="G31" s="50">
        <v>0</v>
      </c>
      <c r="H31" s="50">
        <v>1</v>
      </c>
      <c r="I31" s="50">
        <v>1</v>
      </c>
      <c r="J31" s="50">
        <v>1</v>
      </c>
      <c r="K31" s="50">
        <v>0</v>
      </c>
      <c r="L31" s="50">
        <v>0</v>
      </c>
      <c r="M31" s="50">
        <v>7</v>
      </c>
      <c r="N31" s="50">
        <v>0</v>
      </c>
      <c r="O31" s="15">
        <f t="shared" si="0"/>
        <v>17</v>
      </c>
      <c r="P31" s="15">
        <f t="shared" si="1"/>
        <v>24</v>
      </c>
    </row>
    <row r="32" spans="2:32" ht="23.1" customHeight="1" x14ac:dyDescent="0.25">
      <c r="B32" s="24" t="s">
        <v>59</v>
      </c>
      <c r="C32" s="50">
        <v>1</v>
      </c>
      <c r="D32" s="50">
        <v>1</v>
      </c>
      <c r="E32" s="50">
        <v>2</v>
      </c>
      <c r="F32" s="50">
        <v>2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5</v>
      </c>
      <c r="N32" s="50">
        <v>0</v>
      </c>
      <c r="O32" s="15">
        <f t="shared" si="0"/>
        <v>6</v>
      </c>
      <c r="P32" s="15">
        <f t="shared" si="1"/>
        <v>11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3</v>
      </c>
      <c r="N33" s="50">
        <v>0</v>
      </c>
      <c r="O33" s="15">
        <f t="shared" si="0"/>
        <v>3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3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6</v>
      </c>
      <c r="P34" s="15">
        <f t="shared" si="1"/>
        <v>14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2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2</v>
      </c>
      <c r="M35" s="50">
        <v>10</v>
      </c>
      <c r="N35" s="50">
        <v>0</v>
      </c>
      <c r="O35" s="15">
        <f t="shared" si="0"/>
        <v>8</v>
      </c>
      <c r="P35" s="15">
        <f t="shared" si="1"/>
        <v>18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2</v>
      </c>
      <c r="F36" s="50">
        <v>3</v>
      </c>
      <c r="G36" s="50">
        <v>0</v>
      </c>
      <c r="H36" s="50">
        <v>1</v>
      </c>
      <c r="I36" s="50">
        <v>1</v>
      </c>
      <c r="J36" s="50">
        <v>0</v>
      </c>
      <c r="K36" s="50">
        <v>1</v>
      </c>
      <c r="L36" s="50">
        <v>2</v>
      </c>
      <c r="M36" s="50">
        <v>7</v>
      </c>
      <c r="N36" s="50">
        <v>0</v>
      </c>
      <c r="O36" s="15">
        <f t="shared" si="0"/>
        <v>11</v>
      </c>
      <c r="P36" s="15">
        <f t="shared" si="1"/>
        <v>18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3</v>
      </c>
      <c r="F37" s="50">
        <v>2</v>
      </c>
      <c r="G37" s="50">
        <v>0</v>
      </c>
      <c r="H37" s="50">
        <v>1</v>
      </c>
      <c r="I37" s="50">
        <v>1</v>
      </c>
      <c r="J37" s="50">
        <v>1</v>
      </c>
      <c r="K37" s="50">
        <v>0</v>
      </c>
      <c r="L37" s="50">
        <v>1</v>
      </c>
      <c r="M37" s="50">
        <v>3</v>
      </c>
      <c r="N37" s="50">
        <v>0</v>
      </c>
      <c r="O37" s="15">
        <f t="shared" si="0"/>
        <v>10</v>
      </c>
      <c r="P37" s="15">
        <f t="shared" si="1"/>
        <v>13</v>
      </c>
    </row>
    <row r="38" spans="2:20" ht="23.1" customHeight="1" x14ac:dyDescent="0.25">
      <c r="B38" s="24" t="s">
        <v>65</v>
      </c>
      <c r="C38" s="50">
        <v>2</v>
      </c>
      <c r="D38" s="50">
        <v>1</v>
      </c>
      <c r="E38" s="50">
        <v>2</v>
      </c>
      <c r="F38" s="50">
        <v>1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2</v>
      </c>
      <c r="M38" s="50">
        <v>2</v>
      </c>
      <c r="N38" s="50">
        <v>0</v>
      </c>
      <c r="O38" s="15">
        <f t="shared" si="0"/>
        <v>10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1</v>
      </c>
      <c r="D39" s="50">
        <v>1</v>
      </c>
      <c r="E39" s="50">
        <v>3</v>
      </c>
      <c r="F39" s="50">
        <v>1</v>
      </c>
      <c r="G39" s="50">
        <v>1</v>
      </c>
      <c r="H39" s="50">
        <v>1</v>
      </c>
      <c r="I39" s="50">
        <v>0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8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2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1</v>
      </c>
      <c r="M40" s="50">
        <v>3</v>
      </c>
      <c r="N40" s="50">
        <v>0</v>
      </c>
      <c r="O40" s="15">
        <f t="shared" si="0"/>
        <v>6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1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2</v>
      </c>
      <c r="M41" s="50">
        <v>1</v>
      </c>
      <c r="N41" s="50">
        <v>0</v>
      </c>
      <c r="O41" s="15">
        <f t="shared" si="0"/>
        <v>6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2</v>
      </c>
      <c r="F42" s="50">
        <v>3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3</v>
      </c>
      <c r="M42" s="50">
        <v>2</v>
      </c>
      <c r="N42" s="50">
        <v>0</v>
      </c>
      <c r="O42" s="15">
        <f t="shared" si="0"/>
        <v>10</v>
      </c>
      <c r="P42" s="15">
        <f t="shared" si="1"/>
        <v>12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1</v>
      </c>
      <c r="M43" s="50">
        <v>1</v>
      </c>
      <c r="N43" s="50">
        <v>0</v>
      </c>
      <c r="O43" s="15">
        <f t="shared" si="0"/>
        <v>6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1</v>
      </c>
      <c r="F44" s="50">
        <v>5</v>
      </c>
      <c r="G44" s="50">
        <v>0</v>
      </c>
      <c r="H44" s="50">
        <v>0</v>
      </c>
      <c r="I44" s="50">
        <v>0</v>
      </c>
      <c r="J44" s="50">
        <v>0</v>
      </c>
      <c r="K44" s="50">
        <v>2</v>
      </c>
      <c r="L44" s="50">
        <v>3</v>
      </c>
      <c r="M44" s="50">
        <v>2</v>
      </c>
      <c r="N44" s="50">
        <v>0</v>
      </c>
      <c r="O44" s="15">
        <f t="shared" si="0"/>
        <v>13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1</v>
      </c>
      <c r="D45" s="50">
        <v>1</v>
      </c>
      <c r="E45" s="50">
        <v>2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3</v>
      </c>
      <c r="N45" s="50">
        <v>0</v>
      </c>
      <c r="O45" s="15">
        <f t="shared" si="0"/>
        <v>5</v>
      </c>
      <c r="P45" s="15">
        <f t="shared" si="1"/>
        <v>8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2</v>
      </c>
      <c r="F46" s="50">
        <v>1</v>
      </c>
      <c r="G46" s="50">
        <v>0</v>
      </c>
      <c r="H46" s="50">
        <v>1</v>
      </c>
      <c r="I46" s="50">
        <v>2</v>
      </c>
      <c r="J46" s="50">
        <v>0</v>
      </c>
      <c r="K46" s="50">
        <v>0</v>
      </c>
      <c r="L46" s="50">
        <v>1</v>
      </c>
      <c r="M46" s="50">
        <v>4</v>
      </c>
      <c r="N46" s="50">
        <v>0</v>
      </c>
      <c r="O46" s="15">
        <f t="shared" si="0"/>
        <v>10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2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1</v>
      </c>
      <c r="M47" s="50">
        <v>1</v>
      </c>
      <c r="N47" s="50">
        <v>0</v>
      </c>
      <c r="O47" s="15">
        <f t="shared" si="0"/>
        <v>6</v>
      </c>
      <c r="P47" s="15">
        <f t="shared" si="1"/>
        <v>7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2</v>
      </c>
      <c r="F48" s="50">
        <v>2</v>
      </c>
      <c r="G48" s="50">
        <v>0</v>
      </c>
      <c r="H48" s="50">
        <v>0</v>
      </c>
      <c r="I48" s="50">
        <v>0</v>
      </c>
      <c r="J48" s="50">
        <v>2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7</v>
      </c>
      <c r="P48" s="15">
        <f t="shared" si="1"/>
        <v>7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2</v>
      </c>
      <c r="E49" s="50">
        <v>4</v>
      </c>
      <c r="F49" s="50">
        <v>3</v>
      </c>
      <c r="G49" s="50">
        <v>0</v>
      </c>
      <c r="H49" s="50">
        <v>2</v>
      </c>
      <c r="I49" s="50">
        <v>2</v>
      </c>
      <c r="J49" s="50">
        <v>0</v>
      </c>
      <c r="K49" s="50">
        <v>0</v>
      </c>
      <c r="L49" s="50">
        <v>3</v>
      </c>
      <c r="M49" s="50">
        <v>1</v>
      </c>
      <c r="N49" s="50">
        <v>0</v>
      </c>
      <c r="O49" s="15">
        <f t="shared" si="0"/>
        <v>18</v>
      </c>
      <c r="P49" s="15">
        <f t="shared" si="1"/>
        <v>19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4</v>
      </c>
      <c r="M50" s="50">
        <v>2</v>
      </c>
      <c r="N50" s="50">
        <v>0</v>
      </c>
      <c r="O50" s="15">
        <f t="shared" si="0"/>
        <v>8</v>
      </c>
      <c r="P50" s="15">
        <f t="shared" si="1"/>
        <v>10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2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1</v>
      </c>
      <c r="M51" s="50">
        <v>5</v>
      </c>
      <c r="N51" s="50">
        <v>0</v>
      </c>
      <c r="O51" s="15">
        <f t="shared" si="0"/>
        <v>5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4</v>
      </c>
      <c r="P52" s="15">
        <f t="shared" si="1"/>
        <v>9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2</v>
      </c>
      <c r="F53" s="50">
        <v>1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1</v>
      </c>
      <c r="M53" s="50">
        <v>4</v>
      </c>
      <c r="N53" s="50">
        <v>0</v>
      </c>
      <c r="O53" s="15">
        <f t="shared" si="0"/>
        <v>10</v>
      </c>
      <c r="P53" s="15">
        <f t="shared" si="1"/>
        <v>14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2</v>
      </c>
      <c r="F54" s="50">
        <v>3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2</v>
      </c>
      <c r="M54" s="50">
        <v>7</v>
      </c>
      <c r="N54" s="50">
        <v>0</v>
      </c>
      <c r="O54" s="15">
        <f t="shared" si="0"/>
        <v>8</v>
      </c>
      <c r="P54" s="15">
        <f t="shared" si="1"/>
        <v>15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2</v>
      </c>
      <c r="M55" s="50">
        <v>1</v>
      </c>
      <c r="N55" s="50">
        <v>0</v>
      </c>
      <c r="O55" s="15">
        <f t="shared" si="0"/>
        <v>4</v>
      </c>
      <c r="P55" s="15">
        <f t="shared" si="1"/>
        <v>5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1</v>
      </c>
      <c r="E56" s="50">
        <v>3</v>
      </c>
      <c r="F56" s="50">
        <v>1</v>
      </c>
      <c r="G56" s="50">
        <v>0</v>
      </c>
      <c r="H56" s="50">
        <v>1</v>
      </c>
      <c r="I56" s="50">
        <v>0</v>
      </c>
      <c r="J56" s="50">
        <v>0</v>
      </c>
      <c r="K56" s="50">
        <v>1</v>
      </c>
      <c r="L56" s="50">
        <v>2</v>
      </c>
      <c r="M56" s="50">
        <v>3</v>
      </c>
      <c r="N56" s="50">
        <v>0</v>
      </c>
      <c r="O56" s="15">
        <f t="shared" si="0"/>
        <v>10</v>
      </c>
      <c r="P56" s="15">
        <f t="shared" si="1"/>
        <v>13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2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5</v>
      </c>
      <c r="N57" s="50">
        <v>0</v>
      </c>
      <c r="O57" s="15">
        <f t="shared" si="0"/>
        <v>5</v>
      </c>
      <c r="P57" s="15">
        <f t="shared" si="1"/>
        <v>10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</v>
      </c>
      <c r="D58" s="16">
        <f t="shared" si="21"/>
        <v>20</v>
      </c>
      <c r="E58" s="16">
        <f t="shared" si="21"/>
        <v>73</v>
      </c>
      <c r="F58" s="16">
        <f t="shared" si="21"/>
        <v>78</v>
      </c>
      <c r="G58" s="16">
        <f t="shared" si="21"/>
        <v>1</v>
      </c>
      <c r="H58" s="16">
        <f t="shared" si="21"/>
        <v>20</v>
      </c>
      <c r="I58" s="16">
        <f t="shared" si="21"/>
        <v>36</v>
      </c>
      <c r="J58" s="16">
        <f t="shared" si="21"/>
        <v>7</v>
      </c>
      <c r="K58" s="16">
        <f t="shared" si="21"/>
        <v>4</v>
      </c>
      <c r="L58" s="16">
        <f t="shared" si="21"/>
        <v>58</v>
      </c>
      <c r="M58" s="16">
        <f t="shared" si="21"/>
        <v>211</v>
      </c>
      <c r="N58" s="16">
        <f t="shared" si="21"/>
        <v>0</v>
      </c>
      <c r="O58" s="16">
        <f t="shared" si="21"/>
        <v>361</v>
      </c>
      <c r="P58" s="16">
        <f t="shared" si="21"/>
        <v>572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0.11188811188811189</v>
      </c>
      <c r="D59" s="43">
        <f t="shared" si="22"/>
        <v>3.4965034965034968E-2</v>
      </c>
      <c r="E59" s="43">
        <f t="shared" si="22"/>
        <v>0.12762237762237763</v>
      </c>
      <c r="F59" s="43">
        <f t="shared" si="22"/>
        <v>0.13636363636363635</v>
      </c>
      <c r="G59" s="43">
        <f t="shared" si="22"/>
        <v>1.7482517482517483E-3</v>
      </c>
      <c r="H59" s="43">
        <f t="shared" si="22"/>
        <v>3.4965034965034968E-2</v>
      </c>
      <c r="I59" s="43">
        <f t="shared" si="22"/>
        <v>6.2937062937062943E-2</v>
      </c>
      <c r="J59" s="43">
        <f t="shared" si="22"/>
        <v>1.2237762237762238E-2</v>
      </c>
      <c r="K59" s="43">
        <f t="shared" si="22"/>
        <v>6.993006993006993E-3</v>
      </c>
      <c r="L59" s="43">
        <f t="shared" si="22"/>
        <v>0.10139860139860139</v>
      </c>
      <c r="M59" s="43">
        <f t="shared" si="22"/>
        <v>0.36888111888111891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0.17728531855955679</v>
      </c>
      <c r="D60" s="44">
        <f t="shared" ref="D60:N60" si="23">D58/$O$58</f>
        <v>5.5401662049861494E-2</v>
      </c>
      <c r="E60" s="44">
        <f t="shared" si="23"/>
        <v>0.20221606648199447</v>
      </c>
      <c r="F60" s="44">
        <f t="shared" si="23"/>
        <v>0.21606648199445982</v>
      </c>
      <c r="G60" s="44">
        <f t="shared" si="23"/>
        <v>2.7700831024930748E-3</v>
      </c>
      <c r="H60" s="44">
        <f t="shared" si="23"/>
        <v>5.5401662049861494E-2</v>
      </c>
      <c r="I60" s="44">
        <f t="shared" si="23"/>
        <v>9.9722991689750698E-2</v>
      </c>
      <c r="J60" s="44">
        <f t="shared" si="23"/>
        <v>1.9390581717451522E-2</v>
      </c>
      <c r="K60" s="44">
        <f t="shared" si="23"/>
        <v>1.1080332409972299E-2</v>
      </c>
      <c r="L60" s="44">
        <f t="shared" si="23"/>
        <v>0.16066481994459833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L11" sqref="L1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Kumi-Soroti'!C3:G3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6" t="str">
        <f>'08.08 Kumi-Soroti'!G5:H5</f>
        <v>Mukura</v>
      </c>
      <c r="H5" s="67"/>
      <c r="I5" s="14"/>
      <c r="J5" s="2" t="s">
        <v>5</v>
      </c>
      <c r="K5" s="66" t="str">
        <f>'08.08 Kumi-Soroti'!K5:L5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Kumi-Soroti'!D6:E6</f>
        <v>Kumi</v>
      </c>
      <c r="E6" s="67"/>
      <c r="F6" s="2" t="s">
        <v>2</v>
      </c>
      <c r="G6" s="66" t="str">
        <f>'08.08 Kumi-Soroti'!G6:H6</f>
        <v>Soroti</v>
      </c>
      <c r="H6" s="67"/>
      <c r="J6" s="2" t="s">
        <v>21</v>
      </c>
      <c r="K6" s="66" t="str">
        <f>'08.08 Kumi-Soroti'!K6:L6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1</v>
      </c>
      <c r="G10" s="50">
        <v>0</v>
      </c>
      <c r="H10" s="50">
        <v>1</v>
      </c>
      <c r="I10" s="50">
        <v>1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3</v>
      </c>
      <c r="V10" s="17">
        <f t="shared" si="2"/>
        <v>8</v>
      </c>
      <c r="W10" s="17">
        <f t="shared" si="2"/>
        <v>0</v>
      </c>
      <c r="X10" s="17">
        <f t="shared" si="2"/>
        <v>1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8</v>
      </c>
      <c r="AC10" s="17">
        <f t="shared" si="2"/>
        <v>11</v>
      </c>
      <c r="AD10" s="17">
        <f t="shared" si="2"/>
        <v>0</v>
      </c>
      <c r="AE10" s="31">
        <f t="shared" si="2"/>
        <v>29</v>
      </c>
      <c r="AF10" s="31">
        <f t="shared" si="2"/>
        <v>40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3</v>
      </c>
      <c r="M11" s="50">
        <v>2</v>
      </c>
      <c r="N11" s="50">
        <v>0</v>
      </c>
      <c r="O11" s="15">
        <f t="shared" si="0"/>
        <v>8</v>
      </c>
      <c r="P11" s="15">
        <f t="shared" si="1"/>
        <v>10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6</v>
      </c>
      <c r="V11" s="17">
        <f t="shared" si="3"/>
        <v>10</v>
      </c>
      <c r="W11" s="17">
        <f t="shared" si="3"/>
        <v>0</v>
      </c>
      <c r="X11" s="17">
        <f t="shared" si="3"/>
        <v>2</v>
      </c>
      <c r="Y11" s="17">
        <f t="shared" si="3"/>
        <v>0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39</v>
      </c>
      <c r="AD11" s="17">
        <f t="shared" si="3"/>
        <v>0</v>
      </c>
      <c r="AE11" s="31">
        <f t="shared" si="3"/>
        <v>26</v>
      </c>
      <c r="AF11" s="31">
        <f t="shared" si="3"/>
        <v>65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1</v>
      </c>
      <c r="F12" s="50">
        <v>3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3</v>
      </c>
      <c r="M12" s="50">
        <v>4</v>
      </c>
      <c r="N12" s="50">
        <v>0</v>
      </c>
      <c r="O12" s="15">
        <f t="shared" si="0"/>
        <v>9</v>
      </c>
      <c r="P12" s="15">
        <f t="shared" si="1"/>
        <v>13</v>
      </c>
      <c r="R12" s="1" t="s">
        <v>8</v>
      </c>
      <c r="S12" s="17">
        <f t="shared" ref="S12:AF12" si="4">SUM(C18:C21)</f>
        <v>8</v>
      </c>
      <c r="T12" s="17">
        <f t="shared" si="4"/>
        <v>0</v>
      </c>
      <c r="U12" s="17">
        <f t="shared" si="4"/>
        <v>7</v>
      </c>
      <c r="V12" s="17">
        <f t="shared" si="4"/>
        <v>13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0</v>
      </c>
      <c r="AA12" s="17">
        <f t="shared" si="4"/>
        <v>0</v>
      </c>
      <c r="AB12" s="17">
        <f t="shared" si="4"/>
        <v>3</v>
      </c>
      <c r="AC12" s="17">
        <f t="shared" si="4"/>
        <v>30</v>
      </c>
      <c r="AD12" s="17">
        <f t="shared" si="4"/>
        <v>0</v>
      </c>
      <c r="AE12" s="31">
        <f t="shared" si="4"/>
        <v>37</v>
      </c>
      <c r="AF12" s="31">
        <f t="shared" si="4"/>
        <v>67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2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2</v>
      </c>
      <c r="M13" s="50">
        <v>3</v>
      </c>
      <c r="N13" s="50">
        <v>0</v>
      </c>
      <c r="O13" s="15">
        <f t="shared" si="0"/>
        <v>7</v>
      </c>
      <c r="P13" s="15">
        <f t="shared" si="1"/>
        <v>10</v>
      </c>
      <c r="R13" s="1" t="s">
        <v>9</v>
      </c>
      <c r="S13" s="17">
        <f t="shared" ref="S13:AF13" si="5">SUM(C22:C25)</f>
        <v>2</v>
      </c>
      <c r="T13" s="17">
        <f t="shared" si="5"/>
        <v>1</v>
      </c>
      <c r="U13" s="17">
        <f t="shared" si="5"/>
        <v>11</v>
      </c>
      <c r="V13" s="17">
        <f t="shared" si="5"/>
        <v>14</v>
      </c>
      <c r="W13" s="17">
        <f t="shared" si="5"/>
        <v>0</v>
      </c>
      <c r="X13" s="17">
        <f t="shared" si="5"/>
        <v>3</v>
      </c>
      <c r="Y13" s="17">
        <f t="shared" si="5"/>
        <v>3</v>
      </c>
      <c r="Z13" s="17">
        <f t="shared" si="5"/>
        <v>2</v>
      </c>
      <c r="AA13" s="17">
        <f t="shared" si="5"/>
        <v>2</v>
      </c>
      <c r="AB13" s="17">
        <f t="shared" si="5"/>
        <v>3</v>
      </c>
      <c r="AC13" s="17">
        <f t="shared" si="5"/>
        <v>37</v>
      </c>
      <c r="AD13" s="17">
        <f t="shared" si="5"/>
        <v>0</v>
      </c>
      <c r="AE13" s="31">
        <f t="shared" si="5"/>
        <v>41</v>
      </c>
      <c r="AF13" s="31">
        <f t="shared" si="5"/>
        <v>78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5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6</v>
      </c>
      <c r="P14" s="15">
        <f t="shared" si="1"/>
        <v>16</v>
      </c>
      <c r="R14" s="1" t="s">
        <v>10</v>
      </c>
      <c r="S14" s="17">
        <f t="shared" ref="S14:AF14" si="6">SUM(C26:C29)</f>
        <v>7</v>
      </c>
      <c r="T14" s="17">
        <f t="shared" si="6"/>
        <v>3</v>
      </c>
      <c r="U14" s="17">
        <f t="shared" si="6"/>
        <v>15</v>
      </c>
      <c r="V14" s="17">
        <f t="shared" si="6"/>
        <v>13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6</v>
      </c>
      <c r="AC14" s="17">
        <f t="shared" si="6"/>
        <v>30</v>
      </c>
      <c r="AD14" s="17">
        <f t="shared" si="6"/>
        <v>0</v>
      </c>
      <c r="AE14" s="31">
        <f t="shared" si="6"/>
        <v>49</v>
      </c>
      <c r="AF14" s="31">
        <f t="shared" si="6"/>
        <v>79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3</v>
      </c>
      <c r="G15" s="50">
        <v>0</v>
      </c>
      <c r="H15" s="50">
        <v>1</v>
      </c>
      <c r="I15" s="50">
        <v>0</v>
      </c>
      <c r="J15" s="50">
        <v>0</v>
      </c>
      <c r="K15" s="50">
        <v>0</v>
      </c>
      <c r="L15" s="50">
        <v>0</v>
      </c>
      <c r="M15" s="50">
        <v>14</v>
      </c>
      <c r="N15" s="50">
        <v>0</v>
      </c>
      <c r="O15" s="15">
        <f t="shared" si="0"/>
        <v>4</v>
      </c>
      <c r="P15" s="15">
        <f t="shared" si="1"/>
        <v>18</v>
      </c>
      <c r="R15" s="1" t="s">
        <v>11</v>
      </c>
      <c r="S15" s="17">
        <f t="shared" ref="S15:AF15" si="7">SUM(C30:C33)</f>
        <v>8</v>
      </c>
      <c r="T15" s="17">
        <f t="shared" si="7"/>
        <v>0</v>
      </c>
      <c r="U15" s="17">
        <f t="shared" si="7"/>
        <v>9</v>
      </c>
      <c r="V15" s="17">
        <f t="shared" si="7"/>
        <v>14</v>
      </c>
      <c r="W15" s="17">
        <f t="shared" si="7"/>
        <v>0</v>
      </c>
      <c r="X15" s="17">
        <f t="shared" si="7"/>
        <v>2</v>
      </c>
      <c r="Y15" s="17">
        <f t="shared" si="7"/>
        <v>10</v>
      </c>
      <c r="Z15" s="17">
        <f t="shared" si="7"/>
        <v>1</v>
      </c>
      <c r="AA15" s="17">
        <f t="shared" si="7"/>
        <v>0</v>
      </c>
      <c r="AB15" s="17">
        <f t="shared" si="7"/>
        <v>4</v>
      </c>
      <c r="AC15" s="17">
        <f t="shared" si="7"/>
        <v>43</v>
      </c>
      <c r="AD15" s="17">
        <f t="shared" si="7"/>
        <v>0</v>
      </c>
      <c r="AE15" s="31">
        <f t="shared" si="7"/>
        <v>48</v>
      </c>
      <c r="AF15" s="31">
        <f t="shared" si="7"/>
        <v>91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3</v>
      </c>
      <c r="F16" s="50">
        <v>1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9</v>
      </c>
      <c r="P16" s="15">
        <f t="shared" si="1"/>
        <v>15</v>
      </c>
      <c r="R16" s="1" t="s">
        <v>12</v>
      </c>
      <c r="S16" s="17">
        <f t="shared" ref="S16:AF16" si="8">SUM(C34:C37)</f>
        <v>4</v>
      </c>
      <c r="T16" s="17">
        <f t="shared" si="8"/>
        <v>3</v>
      </c>
      <c r="U16" s="17">
        <f t="shared" si="8"/>
        <v>15</v>
      </c>
      <c r="V16" s="17">
        <f t="shared" si="8"/>
        <v>12</v>
      </c>
      <c r="W16" s="17">
        <f t="shared" si="8"/>
        <v>0</v>
      </c>
      <c r="X16" s="17">
        <f t="shared" si="8"/>
        <v>1</v>
      </c>
      <c r="Y16" s="17">
        <f t="shared" si="8"/>
        <v>9</v>
      </c>
      <c r="Z16" s="17">
        <f t="shared" si="8"/>
        <v>2</v>
      </c>
      <c r="AA16" s="17">
        <f t="shared" si="8"/>
        <v>0</v>
      </c>
      <c r="AB16" s="17">
        <f t="shared" si="8"/>
        <v>6</v>
      </c>
      <c r="AC16" s="17">
        <f t="shared" si="8"/>
        <v>27</v>
      </c>
      <c r="AD16" s="17">
        <f t="shared" si="8"/>
        <v>0</v>
      </c>
      <c r="AE16" s="31">
        <f t="shared" si="8"/>
        <v>52</v>
      </c>
      <c r="AF16" s="31">
        <f t="shared" si="8"/>
        <v>79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2</v>
      </c>
      <c r="F17" s="50">
        <v>1</v>
      </c>
      <c r="G17" s="50">
        <v>0</v>
      </c>
      <c r="H17" s="50">
        <v>1</v>
      </c>
      <c r="I17" s="50">
        <v>0</v>
      </c>
      <c r="J17" s="50">
        <v>0</v>
      </c>
      <c r="K17" s="50">
        <v>0</v>
      </c>
      <c r="L17" s="50">
        <v>1</v>
      </c>
      <c r="M17" s="50">
        <v>9</v>
      </c>
      <c r="N17" s="50">
        <v>0</v>
      </c>
      <c r="O17" s="15">
        <f t="shared" si="0"/>
        <v>7</v>
      </c>
      <c r="P17" s="15">
        <f t="shared" si="1"/>
        <v>16</v>
      </c>
      <c r="R17" s="1" t="s">
        <v>13</v>
      </c>
      <c r="S17" s="17">
        <f t="shared" ref="S17:AF17" si="9">SUM(C38:C41)</f>
        <v>4</v>
      </c>
      <c r="T17" s="17">
        <f t="shared" si="9"/>
        <v>2</v>
      </c>
      <c r="U17" s="17">
        <f t="shared" si="9"/>
        <v>12</v>
      </c>
      <c r="V17" s="17">
        <f t="shared" si="9"/>
        <v>16</v>
      </c>
      <c r="W17" s="17">
        <f t="shared" si="9"/>
        <v>0</v>
      </c>
      <c r="X17" s="17">
        <f t="shared" si="9"/>
        <v>1</v>
      </c>
      <c r="Y17" s="17">
        <f t="shared" si="9"/>
        <v>10</v>
      </c>
      <c r="Z17" s="17">
        <f t="shared" si="9"/>
        <v>2</v>
      </c>
      <c r="AA17" s="17">
        <f t="shared" si="9"/>
        <v>0</v>
      </c>
      <c r="AB17" s="17">
        <f t="shared" si="9"/>
        <v>7</v>
      </c>
      <c r="AC17" s="17">
        <f t="shared" si="9"/>
        <v>33</v>
      </c>
      <c r="AD17" s="17">
        <f t="shared" si="9"/>
        <v>0</v>
      </c>
      <c r="AE17" s="31">
        <f t="shared" si="9"/>
        <v>54</v>
      </c>
      <c r="AF17" s="31">
        <f t="shared" si="9"/>
        <v>87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3</v>
      </c>
      <c r="F18" s="50">
        <v>5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1</v>
      </c>
      <c r="M18" s="50">
        <v>5</v>
      </c>
      <c r="N18" s="50">
        <v>0</v>
      </c>
      <c r="O18" s="15">
        <f t="shared" si="0"/>
        <v>12</v>
      </c>
      <c r="P18" s="15">
        <f t="shared" si="1"/>
        <v>17</v>
      </c>
      <c r="R18" s="1" t="s">
        <v>14</v>
      </c>
      <c r="S18" s="17">
        <f t="shared" ref="S18:AF18" si="10">SUM(C42:C45)</f>
        <v>6</v>
      </c>
      <c r="T18" s="17">
        <f t="shared" si="10"/>
        <v>3</v>
      </c>
      <c r="U18" s="17">
        <f t="shared" si="10"/>
        <v>14</v>
      </c>
      <c r="V18" s="17">
        <f t="shared" si="10"/>
        <v>15</v>
      </c>
      <c r="W18" s="17">
        <f t="shared" si="10"/>
        <v>1</v>
      </c>
      <c r="X18" s="17">
        <f t="shared" si="10"/>
        <v>1</v>
      </c>
      <c r="Y18" s="17">
        <f t="shared" si="10"/>
        <v>11</v>
      </c>
      <c r="Z18" s="17">
        <f t="shared" si="10"/>
        <v>1</v>
      </c>
      <c r="AA18" s="17">
        <f t="shared" si="10"/>
        <v>0</v>
      </c>
      <c r="AB18" s="17">
        <f t="shared" si="10"/>
        <v>5</v>
      </c>
      <c r="AC18" s="17">
        <f t="shared" si="10"/>
        <v>32</v>
      </c>
      <c r="AD18" s="17">
        <f t="shared" si="10"/>
        <v>0</v>
      </c>
      <c r="AE18" s="31">
        <f t="shared" si="10"/>
        <v>57</v>
      </c>
      <c r="AF18" s="31">
        <f t="shared" si="10"/>
        <v>89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3</v>
      </c>
      <c r="F19" s="50">
        <v>3</v>
      </c>
      <c r="G19" s="50">
        <v>0</v>
      </c>
      <c r="H19" s="50">
        <v>1</v>
      </c>
      <c r="I19" s="50">
        <v>2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12</v>
      </c>
      <c r="P19" s="15">
        <f t="shared" si="1"/>
        <v>19</v>
      </c>
      <c r="R19" s="1" t="s">
        <v>15</v>
      </c>
      <c r="S19" s="17">
        <f t="shared" ref="S19:AF19" si="11">SUM(C46:C49)</f>
        <v>4</v>
      </c>
      <c r="T19" s="17">
        <f t="shared" si="11"/>
        <v>1</v>
      </c>
      <c r="U19" s="17">
        <f t="shared" si="11"/>
        <v>12</v>
      </c>
      <c r="V19" s="17">
        <f t="shared" si="11"/>
        <v>17</v>
      </c>
      <c r="W19" s="17">
        <f t="shared" si="11"/>
        <v>0</v>
      </c>
      <c r="X19" s="17">
        <f t="shared" si="11"/>
        <v>1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7</v>
      </c>
      <c r="AC19" s="17">
        <f t="shared" si="11"/>
        <v>32</v>
      </c>
      <c r="AD19" s="17">
        <f t="shared" si="11"/>
        <v>0</v>
      </c>
      <c r="AE19" s="31">
        <f t="shared" si="11"/>
        <v>48</v>
      </c>
      <c r="AF19" s="31">
        <f t="shared" si="11"/>
        <v>80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4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1</v>
      </c>
      <c r="M20" s="50">
        <v>7</v>
      </c>
      <c r="N20" s="50">
        <v>0</v>
      </c>
      <c r="O20" s="15">
        <f t="shared" si="0"/>
        <v>8</v>
      </c>
      <c r="P20" s="15">
        <f t="shared" si="1"/>
        <v>15</v>
      </c>
      <c r="R20" s="1" t="s">
        <v>16</v>
      </c>
      <c r="S20" s="17">
        <f t="shared" ref="S20:AF20" si="12">SUM(C50:C53)</f>
        <v>6</v>
      </c>
      <c r="T20" s="17">
        <f t="shared" si="12"/>
        <v>1</v>
      </c>
      <c r="U20" s="17">
        <f t="shared" si="12"/>
        <v>11</v>
      </c>
      <c r="V20" s="17">
        <f t="shared" si="12"/>
        <v>8</v>
      </c>
      <c r="W20" s="17">
        <f t="shared" si="12"/>
        <v>0</v>
      </c>
      <c r="X20" s="17">
        <f t="shared" si="12"/>
        <v>2</v>
      </c>
      <c r="Y20" s="17">
        <f t="shared" si="12"/>
        <v>8</v>
      </c>
      <c r="Z20" s="17">
        <f t="shared" si="12"/>
        <v>2</v>
      </c>
      <c r="AA20" s="17">
        <f t="shared" si="12"/>
        <v>0</v>
      </c>
      <c r="AB20" s="17">
        <f t="shared" si="12"/>
        <v>8</v>
      </c>
      <c r="AC20" s="17">
        <f t="shared" si="12"/>
        <v>60</v>
      </c>
      <c r="AD20" s="17">
        <f t="shared" si="12"/>
        <v>0</v>
      </c>
      <c r="AE20" s="31">
        <f t="shared" si="12"/>
        <v>46</v>
      </c>
      <c r="AF20" s="31">
        <f t="shared" si="12"/>
        <v>106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11</v>
      </c>
      <c r="N21" s="50">
        <v>0</v>
      </c>
      <c r="O21" s="15">
        <f t="shared" si="0"/>
        <v>5</v>
      </c>
      <c r="P21" s="15">
        <f t="shared" si="1"/>
        <v>16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8</v>
      </c>
      <c r="V21" s="17">
        <f t="shared" si="13"/>
        <v>10</v>
      </c>
      <c r="W21" s="17">
        <f t="shared" si="13"/>
        <v>0</v>
      </c>
      <c r="X21" s="17">
        <f t="shared" si="13"/>
        <v>1</v>
      </c>
      <c r="Y21" s="17">
        <f t="shared" si="13"/>
        <v>9</v>
      </c>
      <c r="Z21" s="17">
        <f t="shared" si="13"/>
        <v>3</v>
      </c>
      <c r="AA21" s="17">
        <f t="shared" si="13"/>
        <v>0</v>
      </c>
      <c r="AB21" s="17">
        <f t="shared" si="13"/>
        <v>6</v>
      </c>
      <c r="AC21" s="17">
        <f t="shared" si="13"/>
        <v>32</v>
      </c>
      <c r="AD21" s="17">
        <f t="shared" si="13"/>
        <v>0</v>
      </c>
      <c r="AE21" s="31">
        <f t="shared" si="13"/>
        <v>39</v>
      </c>
      <c r="AF21" s="31">
        <f t="shared" si="13"/>
        <v>71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3</v>
      </c>
      <c r="F22" s="50">
        <v>2</v>
      </c>
      <c r="G22" s="50">
        <v>0</v>
      </c>
      <c r="H22" s="50">
        <v>1</v>
      </c>
      <c r="I22" s="50">
        <v>0</v>
      </c>
      <c r="J22" s="50">
        <v>0</v>
      </c>
      <c r="K22" s="50">
        <v>2</v>
      </c>
      <c r="L22" s="50">
        <v>0</v>
      </c>
      <c r="M22" s="50">
        <v>8</v>
      </c>
      <c r="N22" s="50">
        <v>0</v>
      </c>
      <c r="O22" s="15">
        <f t="shared" si="0"/>
        <v>8</v>
      </c>
      <c r="P22" s="15">
        <f t="shared" si="1"/>
        <v>16</v>
      </c>
      <c r="R22" s="38" t="s">
        <v>90</v>
      </c>
      <c r="S22" s="39">
        <f>MAX(S10:S12)</f>
        <v>8</v>
      </c>
      <c r="T22" s="39">
        <f t="shared" ref="T22:AF22" si="14">MAX(T10:T12)</f>
        <v>0</v>
      </c>
      <c r="U22" s="39">
        <f t="shared" si="14"/>
        <v>7</v>
      </c>
      <c r="V22" s="39">
        <f t="shared" si="14"/>
        <v>13</v>
      </c>
      <c r="W22" s="39">
        <f t="shared" si="14"/>
        <v>0</v>
      </c>
      <c r="X22" s="39">
        <f t="shared" si="14"/>
        <v>2</v>
      </c>
      <c r="Y22" s="39">
        <f t="shared" si="14"/>
        <v>5</v>
      </c>
      <c r="Z22" s="39">
        <f t="shared" si="14"/>
        <v>2</v>
      </c>
      <c r="AA22" s="39">
        <f t="shared" si="14"/>
        <v>0</v>
      </c>
      <c r="AB22" s="39">
        <f t="shared" si="14"/>
        <v>8</v>
      </c>
      <c r="AC22" s="39">
        <f t="shared" si="14"/>
        <v>39</v>
      </c>
      <c r="AD22" s="39">
        <f t="shared" si="14"/>
        <v>0</v>
      </c>
      <c r="AE22" s="40">
        <f t="shared" si="14"/>
        <v>37</v>
      </c>
      <c r="AF22" s="40">
        <f t="shared" si="14"/>
        <v>67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3</v>
      </c>
      <c r="F23" s="50">
        <v>5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2</v>
      </c>
      <c r="M23" s="50">
        <v>10</v>
      </c>
      <c r="N23" s="50">
        <v>0</v>
      </c>
      <c r="O23" s="15">
        <f t="shared" si="0"/>
        <v>13</v>
      </c>
      <c r="P23" s="15">
        <f t="shared" si="1"/>
        <v>23</v>
      </c>
      <c r="R23" s="38" t="s">
        <v>91</v>
      </c>
      <c r="S23" s="39">
        <f>MAX(S13:S18)</f>
        <v>8</v>
      </c>
      <c r="T23" s="39">
        <f t="shared" ref="T23:AF23" si="15">MAX(T13:T18)</f>
        <v>3</v>
      </c>
      <c r="U23" s="39">
        <f t="shared" si="15"/>
        <v>15</v>
      </c>
      <c r="V23" s="39">
        <f t="shared" si="15"/>
        <v>16</v>
      </c>
      <c r="W23" s="39">
        <f t="shared" si="15"/>
        <v>1</v>
      </c>
      <c r="X23" s="39">
        <f t="shared" si="15"/>
        <v>3</v>
      </c>
      <c r="Y23" s="39">
        <f t="shared" si="15"/>
        <v>11</v>
      </c>
      <c r="Z23" s="39">
        <f t="shared" si="15"/>
        <v>2</v>
      </c>
      <c r="AA23" s="39">
        <f t="shared" si="15"/>
        <v>2</v>
      </c>
      <c r="AB23" s="39">
        <f t="shared" si="15"/>
        <v>7</v>
      </c>
      <c r="AC23" s="39">
        <f t="shared" si="15"/>
        <v>43</v>
      </c>
      <c r="AD23" s="39">
        <f t="shared" si="15"/>
        <v>0</v>
      </c>
      <c r="AE23" s="40">
        <f t="shared" si="15"/>
        <v>57</v>
      </c>
      <c r="AF23" s="40">
        <f t="shared" si="15"/>
        <v>91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2</v>
      </c>
      <c r="F24" s="50">
        <v>3</v>
      </c>
      <c r="G24" s="50">
        <v>0</v>
      </c>
      <c r="H24" s="50">
        <v>2</v>
      </c>
      <c r="I24" s="50">
        <v>2</v>
      </c>
      <c r="J24" s="50">
        <v>0</v>
      </c>
      <c r="K24" s="50">
        <v>0</v>
      </c>
      <c r="L24" s="50">
        <v>1</v>
      </c>
      <c r="M24" s="50">
        <v>11</v>
      </c>
      <c r="N24" s="50">
        <v>0</v>
      </c>
      <c r="O24" s="15">
        <f t="shared" si="0"/>
        <v>11</v>
      </c>
      <c r="P24" s="15">
        <f t="shared" si="1"/>
        <v>22</v>
      </c>
      <c r="R24" s="38" t="s">
        <v>92</v>
      </c>
      <c r="S24" s="39">
        <f>MAX(S19:S21)</f>
        <v>6</v>
      </c>
      <c r="T24" s="39">
        <f t="shared" ref="T24:AF24" si="16">MAX(T19:T21)</f>
        <v>1</v>
      </c>
      <c r="U24" s="39">
        <f t="shared" si="16"/>
        <v>12</v>
      </c>
      <c r="V24" s="39">
        <f t="shared" si="16"/>
        <v>17</v>
      </c>
      <c r="W24" s="39">
        <f t="shared" si="16"/>
        <v>0</v>
      </c>
      <c r="X24" s="39">
        <f t="shared" si="16"/>
        <v>2</v>
      </c>
      <c r="Y24" s="39">
        <f t="shared" si="16"/>
        <v>9</v>
      </c>
      <c r="Z24" s="39">
        <f t="shared" si="16"/>
        <v>3</v>
      </c>
      <c r="AA24" s="39">
        <f t="shared" si="16"/>
        <v>0</v>
      </c>
      <c r="AB24" s="39">
        <f t="shared" si="16"/>
        <v>8</v>
      </c>
      <c r="AC24" s="39">
        <f t="shared" si="16"/>
        <v>60</v>
      </c>
      <c r="AD24" s="39">
        <f t="shared" si="16"/>
        <v>0</v>
      </c>
      <c r="AE24" s="40">
        <f t="shared" si="16"/>
        <v>48</v>
      </c>
      <c r="AF24" s="40">
        <f t="shared" si="16"/>
        <v>106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3</v>
      </c>
      <c r="F25" s="50">
        <v>4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8</v>
      </c>
      <c r="N25" s="50">
        <v>0</v>
      </c>
      <c r="O25" s="15">
        <f t="shared" si="0"/>
        <v>9</v>
      </c>
      <c r="P25" s="15">
        <f t="shared" si="1"/>
        <v>17</v>
      </c>
      <c r="R25" s="37" t="s">
        <v>85</v>
      </c>
      <c r="S25" s="35">
        <f t="shared" ref="S25:AF25" si="17">SUM(S10:S12)</f>
        <v>18</v>
      </c>
      <c r="T25" s="16">
        <f t="shared" si="17"/>
        <v>0</v>
      </c>
      <c r="U25" s="16">
        <f t="shared" si="17"/>
        <v>16</v>
      </c>
      <c r="V25" s="16">
        <f t="shared" si="17"/>
        <v>31</v>
      </c>
      <c r="W25" s="16">
        <f t="shared" si="17"/>
        <v>0</v>
      </c>
      <c r="X25" s="16">
        <f t="shared" si="17"/>
        <v>4</v>
      </c>
      <c r="Y25" s="16">
        <f t="shared" si="17"/>
        <v>9</v>
      </c>
      <c r="Z25" s="16">
        <f t="shared" si="17"/>
        <v>2</v>
      </c>
      <c r="AA25" s="16">
        <f t="shared" si="17"/>
        <v>0</v>
      </c>
      <c r="AB25" s="16">
        <f t="shared" si="17"/>
        <v>12</v>
      </c>
      <c r="AC25" s="16">
        <f t="shared" si="17"/>
        <v>80</v>
      </c>
      <c r="AD25" s="16">
        <f t="shared" si="17"/>
        <v>0</v>
      </c>
      <c r="AE25" s="32">
        <f t="shared" si="17"/>
        <v>92</v>
      </c>
      <c r="AF25" s="32">
        <f t="shared" si="17"/>
        <v>172</v>
      </c>
    </row>
    <row r="26" spans="2:32" ht="23.1" customHeight="1" x14ac:dyDescent="0.25">
      <c r="B26" s="23" t="s">
        <v>53</v>
      </c>
      <c r="C26" s="50">
        <v>1</v>
      </c>
      <c r="D26" s="50">
        <v>1</v>
      </c>
      <c r="E26" s="50">
        <v>4</v>
      </c>
      <c r="F26" s="50">
        <v>4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11</v>
      </c>
      <c r="P26" s="15">
        <f t="shared" si="1"/>
        <v>18</v>
      </c>
      <c r="R26" s="28" t="s">
        <v>86</v>
      </c>
      <c r="S26" s="16">
        <f t="shared" ref="S26:AF26" si="18">SUM(S13:S18)</f>
        <v>31</v>
      </c>
      <c r="T26" s="16">
        <f t="shared" si="18"/>
        <v>12</v>
      </c>
      <c r="U26" s="16">
        <f t="shared" si="18"/>
        <v>76</v>
      </c>
      <c r="V26" s="16">
        <f t="shared" si="18"/>
        <v>84</v>
      </c>
      <c r="W26" s="16">
        <f t="shared" si="18"/>
        <v>1</v>
      </c>
      <c r="X26" s="16">
        <f t="shared" si="18"/>
        <v>8</v>
      </c>
      <c r="Y26" s="16">
        <f t="shared" si="18"/>
        <v>48</v>
      </c>
      <c r="Z26" s="16">
        <f t="shared" si="18"/>
        <v>8</v>
      </c>
      <c r="AA26" s="16">
        <f t="shared" si="18"/>
        <v>2</v>
      </c>
      <c r="AB26" s="16">
        <f t="shared" si="18"/>
        <v>31</v>
      </c>
      <c r="AC26" s="16">
        <f t="shared" si="18"/>
        <v>202</v>
      </c>
      <c r="AD26" s="16">
        <f t="shared" si="18"/>
        <v>0</v>
      </c>
      <c r="AE26" s="32">
        <f t="shared" si="18"/>
        <v>301</v>
      </c>
      <c r="AF26" s="32">
        <f t="shared" si="18"/>
        <v>503</v>
      </c>
    </row>
    <row r="27" spans="2:32" ht="23.1" customHeight="1" x14ac:dyDescent="0.25">
      <c r="B27" s="23" t="s">
        <v>54</v>
      </c>
      <c r="C27" s="50">
        <v>2</v>
      </c>
      <c r="D27" s="50">
        <v>1</v>
      </c>
      <c r="E27" s="50">
        <v>4</v>
      </c>
      <c r="F27" s="50">
        <v>3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2</v>
      </c>
      <c r="M27" s="50">
        <v>7</v>
      </c>
      <c r="N27" s="50">
        <v>0</v>
      </c>
      <c r="O27" s="15">
        <f t="shared" si="0"/>
        <v>13</v>
      </c>
      <c r="P27" s="15">
        <f t="shared" si="1"/>
        <v>20</v>
      </c>
      <c r="R27" s="29" t="s">
        <v>87</v>
      </c>
      <c r="S27" s="16">
        <f t="shared" ref="S27:AF27" si="19">SUM(S19:S21)</f>
        <v>12</v>
      </c>
      <c r="T27" s="16">
        <f t="shared" si="19"/>
        <v>2</v>
      </c>
      <c r="U27" s="16">
        <f t="shared" si="19"/>
        <v>31</v>
      </c>
      <c r="V27" s="16">
        <f t="shared" si="19"/>
        <v>35</v>
      </c>
      <c r="W27" s="16">
        <f t="shared" si="19"/>
        <v>0</v>
      </c>
      <c r="X27" s="16">
        <f t="shared" si="19"/>
        <v>4</v>
      </c>
      <c r="Y27" s="16">
        <f t="shared" si="19"/>
        <v>23</v>
      </c>
      <c r="Z27" s="16">
        <f t="shared" si="19"/>
        <v>5</v>
      </c>
      <c r="AA27" s="16">
        <f t="shared" si="19"/>
        <v>0</v>
      </c>
      <c r="AB27" s="16">
        <f t="shared" si="19"/>
        <v>21</v>
      </c>
      <c r="AC27" s="16">
        <f t="shared" si="19"/>
        <v>124</v>
      </c>
      <c r="AD27" s="16">
        <f t="shared" si="19"/>
        <v>0</v>
      </c>
      <c r="AE27" s="32">
        <f t="shared" si="19"/>
        <v>133</v>
      </c>
      <c r="AF27" s="32">
        <f t="shared" si="19"/>
        <v>257</v>
      </c>
    </row>
    <row r="28" spans="2:32" ht="23.1" customHeight="1" x14ac:dyDescent="0.25">
      <c r="B28" s="23" t="s">
        <v>55</v>
      </c>
      <c r="C28" s="50">
        <v>2</v>
      </c>
      <c r="D28" s="50">
        <v>1</v>
      </c>
      <c r="E28" s="50">
        <v>4</v>
      </c>
      <c r="F28" s="50">
        <v>3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4</v>
      </c>
      <c r="M28" s="50">
        <v>6</v>
      </c>
      <c r="N28" s="50">
        <v>0</v>
      </c>
      <c r="O28" s="15">
        <f t="shared" si="0"/>
        <v>15</v>
      </c>
      <c r="P28" s="15">
        <f t="shared" si="1"/>
        <v>21</v>
      </c>
      <c r="R28" s="5" t="s">
        <v>17</v>
      </c>
      <c r="S28" s="16">
        <f t="shared" ref="S28:AF28" si="20">SUM(S10:S21)</f>
        <v>61</v>
      </c>
      <c r="T28" s="16">
        <f t="shared" si="20"/>
        <v>14</v>
      </c>
      <c r="U28" s="16">
        <f t="shared" si="20"/>
        <v>123</v>
      </c>
      <c r="V28" s="16">
        <f t="shared" si="20"/>
        <v>150</v>
      </c>
      <c r="W28" s="16">
        <f t="shared" si="20"/>
        <v>1</v>
      </c>
      <c r="X28" s="16">
        <f t="shared" si="20"/>
        <v>16</v>
      </c>
      <c r="Y28" s="16">
        <f t="shared" si="20"/>
        <v>80</v>
      </c>
      <c r="Z28" s="16">
        <f t="shared" si="20"/>
        <v>15</v>
      </c>
      <c r="AA28" s="16">
        <f t="shared" si="20"/>
        <v>2</v>
      </c>
      <c r="AB28" s="16">
        <f t="shared" si="20"/>
        <v>64</v>
      </c>
      <c r="AC28" s="16">
        <f t="shared" si="20"/>
        <v>406</v>
      </c>
      <c r="AD28" s="16">
        <f t="shared" si="20"/>
        <v>0</v>
      </c>
      <c r="AE28" s="32">
        <f t="shared" si="20"/>
        <v>526</v>
      </c>
      <c r="AF28" s="32">
        <f t="shared" si="20"/>
        <v>932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3</v>
      </c>
      <c r="F29" s="50">
        <v>3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10</v>
      </c>
      <c r="N29" s="50">
        <v>0</v>
      </c>
      <c r="O29" s="15">
        <f t="shared" si="0"/>
        <v>10</v>
      </c>
      <c r="P29" s="15">
        <f t="shared" si="1"/>
        <v>20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2</v>
      </c>
      <c r="F30" s="50">
        <v>3</v>
      </c>
      <c r="G30" s="50">
        <v>0</v>
      </c>
      <c r="H30" s="50">
        <v>1</v>
      </c>
      <c r="I30" s="50">
        <v>1</v>
      </c>
      <c r="J30" s="50">
        <v>0</v>
      </c>
      <c r="K30" s="50">
        <v>0</v>
      </c>
      <c r="L30" s="50">
        <v>1</v>
      </c>
      <c r="M30" s="50">
        <v>19</v>
      </c>
      <c r="N30" s="50">
        <v>0</v>
      </c>
      <c r="O30" s="15">
        <f t="shared" si="0"/>
        <v>9</v>
      </c>
      <c r="P30" s="15">
        <f t="shared" si="1"/>
        <v>28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2</v>
      </c>
      <c r="F31" s="50">
        <v>4</v>
      </c>
      <c r="G31" s="50">
        <v>0</v>
      </c>
      <c r="H31" s="50">
        <v>1</v>
      </c>
      <c r="I31" s="50">
        <v>5</v>
      </c>
      <c r="J31" s="50">
        <v>1</v>
      </c>
      <c r="K31" s="50">
        <v>0</v>
      </c>
      <c r="L31" s="50">
        <v>1</v>
      </c>
      <c r="M31" s="50">
        <v>8</v>
      </c>
      <c r="N31" s="50">
        <v>0</v>
      </c>
      <c r="O31" s="15">
        <f t="shared" si="0"/>
        <v>15</v>
      </c>
      <c r="P31" s="15">
        <f t="shared" si="1"/>
        <v>23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3</v>
      </c>
      <c r="F32" s="50">
        <v>2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8</v>
      </c>
      <c r="N32" s="50">
        <v>0</v>
      </c>
      <c r="O32" s="15">
        <f t="shared" si="0"/>
        <v>10</v>
      </c>
      <c r="P32" s="15">
        <f t="shared" si="1"/>
        <v>18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2</v>
      </c>
      <c r="F33" s="50">
        <v>5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2</v>
      </c>
      <c r="M33" s="50">
        <v>8</v>
      </c>
      <c r="N33" s="50">
        <v>0</v>
      </c>
      <c r="O33" s="15">
        <f t="shared" si="0"/>
        <v>14</v>
      </c>
      <c r="P33" s="15">
        <f t="shared" si="1"/>
        <v>22</v>
      </c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4</v>
      </c>
      <c r="F34" s="50">
        <v>3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1</v>
      </c>
      <c r="M34" s="50">
        <v>6</v>
      </c>
      <c r="N34" s="50">
        <v>0</v>
      </c>
      <c r="O34" s="15">
        <f t="shared" si="0"/>
        <v>11</v>
      </c>
      <c r="P34" s="15">
        <f t="shared" si="1"/>
        <v>17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2</v>
      </c>
      <c r="F35" s="50">
        <v>5</v>
      </c>
      <c r="G35" s="50">
        <v>0</v>
      </c>
      <c r="H35" s="50">
        <v>0</v>
      </c>
      <c r="I35" s="50">
        <v>4</v>
      </c>
      <c r="J35" s="50">
        <v>1</v>
      </c>
      <c r="K35" s="50">
        <v>0</v>
      </c>
      <c r="L35" s="50">
        <v>0</v>
      </c>
      <c r="M35" s="50">
        <v>7</v>
      </c>
      <c r="N35" s="50">
        <v>0</v>
      </c>
      <c r="O35" s="15">
        <f t="shared" si="0"/>
        <v>14</v>
      </c>
      <c r="P35" s="15">
        <f t="shared" si="1"/>
        <v>21</v>
      </c>
    </row>
    <row r="36" spans="2:20" ht="23.1" customHeight="1" x14ac:dyDescent="0.25">
      <c r="B36" s="24" t="s">
        <v>63</v>
      </c>
      <c r="C36" s="50">
        <v>0</v>
      </c>
      <c r="D36" s="50">
        <v>2</v>
      </c>
      <c r="E36" s="50">
        <v>7</v>
      </c>
      <c r="F36" s="50">
        <v>2</v>
      </c>
      <c r="G36" s="50">
        <v>0</v>
      </c>
      <c r="H36" s="50">
        <v>1</v>
      </c>
      <c r="I36" s="50">
        <v>2</v>
      </c>
      <c r="J36" s="50">
        <v>1</v>
      </c>
      <c r="K36" s="50">
        <v>0</v>
      </c>
      <c r="L36" s="50">
        <v>4</v>
      </c>
      <c r="M36" s="50">
        <v>7</v>
      </c>
      <c r="N36" s="50">
        <v>0</v>
      </c>
      <c r="O36" s="15">
        <f t="shared" si="0"/>
        <v>19</v>
      </c>
      <c r="P36" s="15">
        <f t="shared" si="1"/>
        <v>26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2</v>
      </c>
      <c r="F37" s="50">
        <v>2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1</v>
      </c>
      <c r="M37" s="50">
        <v>7</v>
      </c>
      <c r="N37" s="50">
        <v>0</v>
      </c>
      <c r="O37" s="15">
        <f t="shared" si="0"/>
        <v>8</v>
      </c>
      <c r="P37" s="15">
        <f t="shared" si="1"/>
        <v>15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2</v>
      </c>
      <c r="F38" s="50">
        <v>3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3</v>
      </c>
      <c r="M38" s="50">
        <v>13</v>
      </c>
      <c r="N38" s="50">
        <v>0</v>
      </c>
      <c r="O38" s="15">
        <f t="shared" si="0"/>
        <v>12</v>
      </c>
      <c r="P38" s="15">
        <f t="shared" si="1"/>
        <v>25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2</v>
      </c>
      <c r="F39" s="50">
        <v>5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4</v>
      </c>
      <c r="M39" s="50">
        <v>3</v>
      </c>
      <c r="N39" s="50">
        <v>0</v>
      </c>
      <c r="O39" s="15">
        <f t="shared" si="0"/>
        <v>15</v>
      </c>
      <c r="P39" s="15">
        <f t="shared" si="1"/>
        <v>18</v>
      </c>
    </row>
    <row r="40" spans="2:20" ht="23.1" customHeight="1" x14ac:dyDescent="0.25">
      <c r="B40" s="24" t="s">
        <v>67</v>
      </c>
      <c r="C40" s="50">
        <v>1</v>
      </c>
      <c r="D40" s="50">
        <v>2</v>
      </c>
      <c r="E40" s="50">
        <v>7</v>
      </c>
      <c r="F40" s="50">
        <v>5</v>
      </c>
      <c r="G40" s="50">
        <v>0</v>
      </c>
      <c r="H40" s="50">
        <v>1</v>
      </c>
      <c r="I40" s="50">
        <v>2</v>
      </c>
      <c r="J40" s="50">
        <v>2</v>
      </c>
      <c r="K40" s="50">
        <v>0</v>
      </c>
      <c r="L40" s="50">
        <v>0</v>
      </c>
      <c r="M40" s="50">
        <v>11</v>
      </c>
      <c r="N40" s="50">
        <v>0</v>
      </c>
      <c r="O40" s="15">
        <f t="shared" si="0"/>
        <v>20</v>
      </c>
      <c r="P40" s="15">
        <f t="shared" si="1"/>
        <v>31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3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7</v>
      </c>
      <c r="P41" s="15">
        <f t="shared" si="1"/>
        <v>13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2</v>
      </c>
      <c r="F42" s="50">
        <v>5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11</v>
      </c>
      <c r="P42" s="15">
        <f t="shared" si="1"/>
        <v>16</v>
      </c>
    </row>
    <row r="43" spans="2:20" ht="23.1" customHeight="1" x14ac:dyDescent="0.25">
      <c r="B43" s="23" t="s">
        <v>70</v>
      </c>
      <c r="C43" s="50">
        <v>2</v>
      </c>
      <c r="D43" s="50">
        <v>1</v>
      </c>
      <c r="E43" s="50">
        <v>4</v>
      </c>
      <c r="F43" s="50">
        <v>5</v>
      </c>
      <c r="G43" s="50">
        <v>0</v>
      </c>
      <c r="H43" s="50">
        <v>1</v>
      </c>
      <c r="I43" s="50">
        <v>4</v>
      </c>
      <c r="J43" s="50">
        <v>0</v>
      </c>
      <c r="K43" s="50">
        <v>0</v>
      </c>
      <c r="L43" s="50">
        <v>2</v>
      </c>
      <c r="M43" s="50">
        <v>6</v>
      </c>
      <c r="N43" s="50">
        <v>0</v>
      </c>
      <c r="O43" s="15">
        <f t="shared" si="0"/>
        <v>19</v>
      </c>
      <c r="P43" s="15">
        <f t="shared" si="1"/>
        <v>25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4</v>
      </c>
      <c r="F44" s="50">
        <v>3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3</v>
      </c>
      <c r="M44" s="50">
        <v>10</v>
      </c>
      <c r="N44" s="50">
        <v>0</v>
      </c>
      <c r="O44" s="15">
        <f t="shared" si="0"/>
        <v>12</v>
      </c>
      <c r="P44" s="15">
        <f t="shared" si="1"/>
        <v>22</v>
      </c>
    </row>
    <row r="45" spans="2:20" ht="23.1" customHeight="1" x14ac:dyDescent="0.25">
      <c r="B45" s="23" t="s">
        <v>72</v>
      </c>
      <c r="C45" s="50">
        <v>2</v>
      </c>
      <c r="D45" s="50">
        <v>1</v>
      </c>
      <c r="E45" s="50">
        <v>4</v>
      </c>
      <c r="F45" s="50">
        <v>2</v>
      </c>
      <c r="G45" s="50">
        <v>1</v>
      </c>
      <c r="H45" s="50">
        <v>0</v>
      </c>
      <c r="I45" s="50">
        <v>5</v>
      </c>
      <c r="J45" s="50">
        <v>0</v>
      </c>
      <c r="K45" s="50">
        <v>0</v>
      </c>
      <c r="L45" s="50">
        <v>0</v>
      </c>
      <c r="M45" s="50">
        <v>11</v>
      </c>
      <c r="N45" s="50">
        <v>0</v>
      </c>
      <c r="O45" s="15">
        <f t="shared" si="0"/>
        <v>15</v>
      </c>
      <c r="P45" s="15">
        <f t="shared" si="1"/>
        <v>26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3</v>
      </c>
      <c r="F46" s="50">
        <v>6</v>
      </c>
      <c r="G46" s="50">
        <v>0</v>
      </c>
      <c r="H46" s="50">
        <v>1</v>
      </c>
      <c r="I46" s="50">
        <v>1</v>
      </c>
      <c r="J46" s="50">
        <v>0</v>
      </c>
      <c r="K46" s="50">
        <v>0</v>
      </c>
      <c r="L46" s="50">
        <v>2</v>
      </c>
      <c r="M46" s="50">
        <v>6</v>
      </c>
      <c r="N46" s="50">
        <v>0</v>
      </c>
      <c r="O46" s="15">
        <f t="shared" si="0"/>
        <v>14</v>
      </c>
      <c r="P46" s="15">
        <f t="shared" si="1"/>
        <v>20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3</v>
      </c>
      <c r="F47" s="50">
        <v>1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7</v>
      </c>
      <c r="P47" s="15">
        <f t="shared" si="1"/>
        <v>11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3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7</v>
      </c>
      <c r="P48" s="15">
        <f t="shared" si="1"/>
        <v>20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1</v>
      </c>
      <c r="E49" s="50">
        <v>3</v>
      </c>
      <c r="F49" s="50">
        <v>7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5</v>
      </c>
      <c r="M49" s="50">
        <v>9</v>
      </c>
      <c r="N49" s="50">
        <v>0</v>
      </c>
      <c r="O49" s="15">
        <f t="shared" si="0"/>
        <v>20</v>
      </c>
      <c r="P49" s="15">
        <f t="shared" si="1"/>
        <v>29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4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1</v>
      </c>
      <c r="M50" s="50">
        <v>16</v>
      </c>
      <c r="N50" s="50">
        <v>0</v>
      </c>
      <c r="O50" s="15">
        <f t="shared" si="0"/>
        <v>8</v>
      </c>
      <c r="P50" s="15">
        <f t="shared" si="1"/>
        <v>24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3</v>
      </c>
      <c r="F51" s="50">
        <v>2</v>
      </c>
      <c r="G51" s="50">
        <v>0</v>
      </c>
      <c r="H51" s="50">
        <v>2</v>
      </c>
      <c r="I51" s="50">
        <v>2</v>
      </c>
      <c r="J51" s="50">
        <v>1</v>
      </c>
      <c r="K51" s="50">
        <v>0</v>
      </c>
      <c r="L51" s="50">
        <v>4</v>
      </c>
      <c r="M51" s="50">
        <v>11</v>
      </c>
      <c r="N51" s="50">
        <v>0</v>
      </c>
      <c r="O51" s="15">
        <f t="shared" si="0"/>
        <v>15</v>
      </c>
      <c r="P51" s="15">
        <f t="shared" si="1"/>
        <v>26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1</v>
      </c>
      <c r="E52" s="50">
        <v>5</v>
      </c>
      <c r="F52" s="50">
        <v>1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2</v>
      </c>
      <c r="M52" s="50">
        <v>20</v>
      </c>
      <c r="N52" s="50">
        <v>0</v>
      </c>
      <c r="O52" s="15">
        <f t="shared" si="0"/>
        <v>12</v>
      </c>
      <c r="P52" s="15">
        <f t="shared" si="1"/>
        <v>32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2</v>
      </c>
      <c r="F53" s="50">
        <v>1</v>
      </c>
      <c r="G53" s="50">
        <v>0</v>
      </c>
      <c r="H53" s="50">
        <v>0</v>
      </c>
      <c r="I53" s="50">
        <v>3</v>
      </c>
      <c r="J53" s="50">
        <v>1</v>
      </c>
      <c r="K53" s="50">
        <v>0</v>
      </c>
      <c r="L53" s="50">
        <v>1</v>
      </c>
      <c r="M53" s="50">
        <v>13</v>
      </c>
      <c r="N53" s="50">
        <v>0</v>
      </c>
      <c r="O53" s="15">
        <f t="shared" si="0"/>
        <v>11</v>
      </c>
      <c r="P53" s="15">
        <f t="shared" si="1"/>
        <v>24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2</v>
      </c>
      <c r="F54" s="50">
        <v>3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1</v>
      </c>
      <c r="M54" s="50">
        <v>13</v>
      </c>
      <c r="N54" s="50">
        <v>0</v>
      </c>
      <c r="O54" s="15">
        <f t="shared" si="0"/>
        <v>6</v>
      </c>
      <c r="P54" s="15">
        <f t="shared" si="1"/>
        <v>19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3</v>
      </c>
      <c r="F55" s="50">
        <v>3</v>
      </c>
      <c r="G55" s="50">
        <v>0</v>
      </c>
      <c r="H55" s="50">
        <v>1</v>
      </c>
      <c r="I55" s="50">
        <v>2</v>
      </c>
      <c r="J55" s="50">
        <v>1</v>
      </c>
      <c r="K55" s="50">
        <v>0</v>
      </c>
      <c r="L55" s="50">
        <v>1</v>
      </c>
      <c r="M55" s="50">
        <v>12</v>
      </c>
      <c r="N55" s="50">
        <v>0</v>
      </c>
      <c r="O55" s="15">
        <f t="shared" si="0"/>
        <v>13</v>
      </c>
      <c r="P55" s="15">
        <f t="shared" si="1"/>
        <v>25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3</v>
      </c>
      <c r="F56" s="50">
        <v>2</v>
      </c>
      <c r="G56" s="50">
        <v>0</v>
      </c>
      <c r="H56" s="50">
        <v>0</v>
      </c>
      <c r="I56" s="50">
        <v>5</v>
      </c>
      <c r="J56" s="50">
        <v>2</v>
      </c>
      <c r="K56" s="50">
        <v>0</v>
      </c>
      <c r="L56" s="50">
        <v>3</v>
      </c>
      <c r="M56" s="50">
        <v>7</v>
      </c>
      <c r="N56" s="50">
        <v>0</v>
      </c>
      <c r="O56" s="15">
        <f t="shared" si="0"/>
        <v>15</v>
      </c>
      <c r="P56" s="15">
        <f t="shared" si="1"/>
        <v>22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2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1</v>
      </c>
      <c r="M57" s="50">
        <v>0</v>
      </c>
      <c r="N57" s="50">
        <v>0</v>
      </c>
      <c r="O57" s="15">
        <f t="shared" si="0"/>
        <v>5</v>
      </c>
      <c r="P57" s="15">
        <f t="shared" si="1"/>
        <v>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61</v>
      </c>
      <c r="D58" s="16">
        <f t="shared" si="21"/>
        <v>14</v>
      </c>
      <c r="E58" s="16">
        <f t="shared" si="21"/>
        <v>123</v>
      </c>
      <c r="F58" s="16">
        <f t="shared" si="21"/>
        <v>150</v>
      </c>
      <c r="G58" s="16">
        <f t="shared" si="21"/>
        <v>1</v>
      </c>
      <c r="H58" s="16">
        <f t="shared" si="21"/>
        <v>16</v>
      </c>
      <c r="I58" s="16">
        <f t="shared" si="21"/>
        <v>80</v>
      </c>
      <c r="J58" s="16">
        <f t="shared" si="21"/>
        <v>15</v>
      </c>
      <c r="K58" s="16">
        <f t="shared" si="21"/>
        <v>2</v>
      </c>
      <c r="L58" s="16">
        <f t="shared" si="21"/>
        <v>64</v>
      </c>
      <c r="M58" s="16">
        <f t="shared" si="21"/>
        <v>406</v>
      </c>
      <c r="N58" s="16">
        <f t="shared" si="21"/>
        <v>0</v>
      </c>
      <c r="O58" s="16">
        <f t="shared" si="21"/>
        <v>526</v>
      </c>
      <c r="P58" s="16">
        <f t="shared" si="21"/>
        <v>932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6.5450643776824038E-2</v>
      </c>
      <c r="D59" s="43">
        <f t="shared" si="22"/>
        <v>1.5021459227467811E-2</v>
      </c>
      <c r="E59" s="43">
        <f t="shared" si="22"/>
        <v>0.13197424892703863</v>
      </c>
      <c r="F59" s="43">
        <f t="shared" si="22"/>
        <v>0.1609442060085837</v>
      </c>
      <c r="G59" s="43">
        <f t="shared" si="22"/>
        <v>1.0729613733905579E-3</v>
      </c>
      <c r="H59" s="43">
        <f t="shared" si="22"/>
        <v>1.7167381974248927E-2</v>
      </c>
      <c r="I59" s="43">
        <f t="shared" si="22"/>
        <v>8.5836909871244635E-2</v>
      </c>
      <c r="J59" s="43">
        <f t="shared" si="22"/>
        <v>1.6094420600858368E-2</v>
      </c>
      <c r="K59" s="43">
        <f t="shared" si="22"/>
        <v>2.1459227467811159E-3</v>
      </c>
      <c r="L59" s="43">
        <f t="shared" si="22"/>
        <v>6.8669527896995708E-2</v>
      </c>
      <c r="M59" s="43">
        <f t="shared" si="22"/>
        <v>0.4356223175965665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0.11596958174904944</v>
      </c>
      <c r="D60" s="44">
        <f t="shared" ref="D60:N60" si="23">D58/$O$58</f>
        <v>2.6615969581749048E-2</v>
      </c>
      <c r="E60" s="44">
        <f t="shared" si="23"/>
        <v>0.23384030418250951</v>
      </c>
      <c r="F60" s="44">
        <f t="shared" si="23"/>
        <v>0.28517110266159695</v>
      </c>
      <c r="G60" s="44">
        <f t="shared" si="23"/>
        <v>1.9011406844106464E-3</v>
      </c>
      <c r="H60" s="44">
        <f t="shared" si="23"/>
        <v>3.0418250950570342E-2</v>
      </c>
      <c r="I60" s="44">
        <f t="shared" si="23"/>
        <v>0.15209125475285171</v>
      </c>
      <c r="J60" s="44">
        <f t="shared" si="23"/>
        <v>2.8517110266159697E-2</v>
      </c>
      <c r="K60" s="44">
        <f t="shared" si="23"/>
        <v>3.8022813688212928E-3</v>
      </c>
      <c r="L60" s="44">
        <f t="shared" si="23"/>
        <v>0.12167300380228137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Soroti-Kumi'!C3:G3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'12.08 Kumi-Soroti'!D5</f>
        <v>12.08.19</v>
      </c>
      <c r="E5" s="3"/>
      <c r="F5" s="41" t="s">
        <v>1</v>
      </c>
      <c r="G5" s="66" t="str">
        <f>'08.08 Kumi-Soroti'!G5:H5</f>
        <v>Mukura</v>
      </c>
      <c r="H5" s="67"/>
      <c r="I5" s="14"/>
      <c r="J5" s="2" t="s">
        <v>5</v>
      </c>
      <c r="K5" s="66" t="str">
        <f>'08.08 Kumi-Soroti'!K5:L5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Soroti-Kumi'!D6:E6</f>
        <v>Soroti</v>
      </c>
      <c r="E6" s="67"/>
      <c r="F6" s="2" t="s">
        <v>2</v>
      </c>
      <c r="G6" s="66" t="str">
        <f>'08.08 Soroti-Kumi'!G6:H6</f>
        <v>Kumi</v>
      </c>
      <c r="H6" s="67"/>
      <c r="J6" s="2" t="s">
        <v>21</v>
      </c>
      <c r="K6" s="66" t="str">
        <f>'08.08 Kumi-Soroti'!K6:L6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3</v>
      </c>
      <c r="V10" s="17">
        <f t="shared" si="2"/>
        <v>4</v>
      </c>
      <c r="W10" s="17">
        <f t="shared" si="2"/>
        <v>0</v>
      </c>
      <c r="X10" s="17">
        <f t="shared" si="2"/>
        <v>2</v>
      </c>
      <c r="Y10" s="17">
        <f t="shared" si="2"/>
        <v>6</v>
      </c>
      <c r="Z10" s="17">
        <f t="shared" si="2"/>
        <v>1</v>
      </c>
      <c r="AA10" s="17">
        <f t="shared" si="2"/>
        <v>0</v>
      </c>
      <c r="AB10" s="17">
        <f t="shared" si="2"/>
        <v>4</v>
      </c>
      <c r="AC10" s="17">
        <f t="shared" si="2"/>
        <v>9</v>
      </c>
      <c r="AD10" s="17">
        <f t="shared" si="2"/>
        <v>0</v>
      </c>
      <c r="AE10" s="31">
        <f t="shared" si="2"/>
        <v>24</v>
      </c>
      <c r="AF10" s="31">
        <f t="shared" si="2"/>
        <v>33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1</v>
      </c>
      <c r="G11" s="50">
        <v>0</v>
      </c>
      <c r="H11" s="50">
        <v>1</v>
      </c>
      <c r="I11" s="50">
        <v>3</v>
      </c>
      <c r="J11" s="50">
        <v>1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8</v>
      </c>
      <c r="P11" s="15">
        <f t="shared" si="1"/>
        <v>10</v>
      </c>
      <c r="R11" s="1" t="s">
        <v>7</v>
      </c>
      <c r="S11" s="17">
        <f t="shared" ref="S11:AF11" si="3">SUM(C14:C17)</f>
        <v>4</v>
      </c>
      <c r="T11" s="17">
        <f t="shared" si="3"/>
        <v>3</v>
      </c>
      <c r="U11" s="17">
        <f t="shared" si="3"/>
        <v>5</v>
      </c>
      <c r="V11" s="17">
        <f t="shared" si="3"/>
        <v>8</v>
      </c>
      <c r="W11" s="17">
        <f t="shared" si="3"/>
        <v>0</v>
      </c>
      <c r="X11" s="17">
        <f t="shared" si="3"/>
        <v>1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8</v>
      </c>
      <c r="AC11" s="17">
        <f t="shared" si="3"/>
        <v>18</v>
      </c>
      <c r="AD11" s="17">
        <f t="shared" si="3"/>
        <v>0</v>
      </c>
      <c r="AE11" s="31">
        <f t="shared" si="3"/>
        <v>32</v>
      </c>
      <c r="AF11" s="31">
        <f t="shared" si="3"/>
        <v>50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1</v>
      </c>
      <c r="G12" s="50">
        <v>0</v>
      </c>
      <c r="H12" s="50">
        <v>1</v>
      </c>
      <c r="I12" s="50">
        <v>0</v>
      </c>
      <c r="J12" s="50">
        <v>0</v>
      </c>
      <c r="K12" s="50">
        <v>0</v>
      </c>
      <c r="L12" s="50">
        <v>2</v>
      </c>
      <c r="M12" s="50">
        <v>5</v>
      </c>
      <c r="N12" s="50">
        <v>0</v>
      </c>
      <c r="O12" s="15">
        <f t="shared" si="0"/>
        <v>6</v>
      </c>
      <c r="P12" s="15">
        <f t="shared" si="1"/>
        <v>11</v>
      </c>
      <c r="R12" s="1" t="s">
        <v>8</v>
      </c>
      <c r="S12" s="17">
        <f t="shared" ref="S12:AF12" si="4">SUM(C18:C21)</f>
        <v>2</v>
      </c>
      <c r="T12" s="17">
        <f t="shared" si="4"/>
        <v>5</v>
      </c>
      <c r="U12" s="17">
        <f t="shared" si="4"/>
        <v>5</v>
      </c>
      <c r="V12" s="17">
        <f t="shared" si="4"/>
        <v>6</v>
      </c>
      <c r="W12" s="17">
        <f t="shared" si="4"/>
        <v>0</v>
      </c>
      <c r="X12" s="17">
        <f t="shared" si="4"/>
        <v>2</v>
      </c>
      <c r="Y12" s="17">
        <f t="shared" si="4"/>
        <v>1</v>
      </c>
      <c r="Z12" s="17">
        <f t="shared" si="4"/>
        <v>2</v>
      </c>
      <c r="AA12" s="17">
        <f t="shared" si="4"/>
        <v>0</v>
      </c>
      <c r="AB12" s="17">
        <f t="shared" si="4"/>
        <v>7</v>
      </c>
      <c r="AC12" s="17">
        <f t="shared" si="4"/>
        <v>15</v>
      </c>
      <c r="AD12" s="17">
        <f t="shared" si="4"/>
        <v>0</v>
      </c>
      <c r="AE12" s="31">
        <f t="shared" si="4"/>
        <v>30</v>
      </c>
      <c r="AF12" s="31">
        <f t="shared" si="4"/>
        <v>45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2</v>
      </c>
      <c r="M13" s="50">
        <v>2</v>
      </c>
      <c r="N13" s="50">
        <v>0</v>
      </c>
      <c r="O13" s="15">
        <f t="shared" si="0"/>
        <v>5</v>
      </c>
      <c r="P13" s="15">
        <f t="shared" si="1"/>
        <v>7</v>
      </c>
      <c r="R13" s="1" t="s">
        <v>9</v>
      </c>
      <c r="S13" s="17">
        <f t="shared" ref="S13:AF13" si="5">SUM(C22:C25)</f>
        <v>5</v>
      </c>
      <c r="T13" s="17">
        <f t="shared" si="5"/>
        <v>8</v>
      </c>
      <c r="U13" s="17">
        <f t="shared" si="5"/>
        <v>9</v>
      </c>
      <c r="V13" s="17">
        <f t="shared" si="5"/>
        <v>13</v>
      </c>
      <c r="W13" s="17">
        <f t="shared" si="5"/>
        <v>0</v>
      </c>
      <c r="X13" s="17">
        <f t="shared" si="5"/>
        <v>2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5</v>
      </c>
      <c r="AC13" s="17">
        <f t="shared" si="5"/>
        <v>21</v>
      </c>
      <c r="AD13" s="17">
        <f t="shared" si="5"/>
        <v>0</v>
      </c>
      <c r="AE13" s="31">
        <f t="shared" si="5"/>
        <v>44</v>
      </c>
      <c r="AF13" s="31">
        <f t="shared" si="5"/>
        <v>65</v>
      </c>
    </row>
    <row r="14" spans="2:32" ht="23.1" customHeight="1" x14ac:dyDescent="0.25">
      <c r="B14" s="23" t="s">
        <v>41</v>
      </c>
      <c r="C14" s="50">
        <v>2</v>
      </c>
      <c r="D14" s="50">
        <v>1</v>
      </c>
      <c r="E14" s="50">
        <v>1</v>
      </c>
      <c r="F14" s="50">
        <v>4</v>
      </c>
      <c r="G14" s="50">
        <v>0</v>
      </c>
      <c r="H14" s="50">
        <v>1</v>
      </c>
      <c r="I14" s="50">
        <v>2</v>
      </c>
      <c r="J14" s="50">
        <v>0</v>
      </c>
      <c r="K14" s="50">
        <v>0</v>
      </c>
      <c r="L14" s="50">
        <v>2</v>
      </c>
      <c r="M14" s="50">
        <v>5</v>
      </c>
      <c r="N14" s="50">
        <v>0</v>
      </c>
      <c r="O14" s="15">
        <f t="shared" si="0"/>
        <v>13</v>
      </c>
      <c r="P14" s="15">
        <f t="shared" si="1"/>
        <v>18</v>
      </c>
      <c r="R14" s="1" t="s">
        <v>10</v>
      </c>
      <c r="S14" s="17">
        <f t="shared" ref="S14:AF14" si="6">SUM(C26:C29)</f>
        <v>3</v>
      </c>
      <c r="T14" s="17">
        <f t="shared" si="6"/>
        <v>5</v>
      </c>
      <c r="U14" s="17">
        <f t="shared" si="6"/>
        <v>7</v>
      </c>
      <c r="V14" s="17">
        <f t="shared" si="6"/>
        <v>7</v>
      </c>
      <c r="W14" s="17">
        <f t="shared" si="6"/>
        <v>0</v>
      </c>
      <c r="X14" s="17">
        <f t="shared" si="6"/>
        <v>3</v>
      </c>
      <c r="Y14" s="17">
        <f t="shared" si="6"/>
        <v>5</v>
      </c>
      <c r="Z14" s="17">
        <f t="shared" si="6"/>
        <v>1</v>
      </c>
      <c r="AA14" s="17">
        <f t="shared" si="6"/>
        <v>0</v>
      </c>
      <c r="AB14" s="17">
        <f t="shared" si="6"/>
        <v>5</v>
      </c>
      <c r="AC14" s="17">
        <f t="shared" si="6"/>
        <v>12</v>
      </c>
      <c r="AD14" s="17">
        <f t="shared" si="6"/>
        <v>0</v>
      </c>
      <c r="AE14" s="31">
        <f t="shared" si="6"/>
        <v>36</v>
      </c>
      <c r="AF14" s="31">
        <f t="shared" si="6"/>
        <v>48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1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5</v>
      </c>
      <c r="N15" s="50">
        <v>0</v>
      </c>
      <c r="O15" s="15">
        <f t="shared" si="0"/>
        <v>6</v>
      </c>
      <c r="P15" s="15">
        <f t="shared" si="1"/>
        <v>11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3</v>
      </c>
      <c r="V15" s="17">
        <f t="shared" si="7"/>
        <v>8</v>
      </c>
      <c r="W15" s="17">
        <f t="shared" si="7"/>
        <v>0</v>
      </c>
      <c r="X15" s="17">
        <f t="shared" si="7"/>
        <v>4</v>
      </c>
      <c r="Y15" s="17">
        <f t="shared" si="7"/>
        <v>9</v>
      </c>
      <c r="Z15" s="17">
        <f t="shared" si="7"/>
        <v>0</v>
      </c>
      <c r="AA15" s="17">
        <f t="shared" si="7"/>
        <v>0</v>
      </c>
      <c r="AB15" s="17">
        <f t="shared" si="7"/>
        <v>2</v>
      </c>
      <c r="AC15" s="17">
        <f t="shared" si="7"/>
        <v>16</v>
      </c>
      <c r="AD15" s="17">
        <f t="shared" si="7"/>
        <v>0</v>
      </c>
      <c r="AE15" s="31">
        <f t="shared" si="7"/>
        <v>31</v>
      </c>
      <c r="AF15" s="31">
        <f t="shared" si="7"/>
        <v>47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2</v>
      </c>
      <c r="M16" s="50">
        <v>3</v>
      </c>
      <c r="N16" s="50">
        <v>0</v>
      </c>
      <c r="O16" s="15">
        <f t="shared" si="0"/>
        <v>4</v>
      </c>
      <c r="P16" s="15">
        <f t="shared" si="1"/>
        <v>7</v>
      </c>
      <c r="R16" s="1" t="s">
        <v>12</v>
      </c>
      <c r="S16" s="17">
        <f t="shared" ref="S16:AF16" si="8">SUM(C34:C37)</f>
        <v>2</v>
      </c>
      <c r="T16" s="17">
        <f t="shared" si="8"/>
        <v>3</v>
      </c>
      <c r="U16" s="17">
        <f t="shared" si="8"/>
        <v>3</v>
      </c>
      <c r="V16" s="17">
        <f t="shared" si="8"/>
        <v>7</v>
      </c>
      <c r="W16" s="17">
        <f t="shared" si="8"/>
        <v>0</v>
      </c>
      <c r="X16" s="17">
        <f t="shared" si="8"/>
        <v>2</v>
      </c>
      <c r="Y16" s="17">
        <f t="shared" si="8"/>
        <v>6</v>
      </c>
      <c r="Z16" s="17">
        <f t="shared" si="8"/>
        <v>3</v>
      </c>
      <c r="AA16" s="17">
        <f t="shared" si="8"/>
        <v>0</v>
      </c>
      <c r="AB16" s="17">
        <f t="shared" si="8"/>
        <v>5</v>
      </c>
      <c r="AC16" s="17">
        <f t="shared" si="8"/>
        <v>16</v>
      </c>
      <c r="AD16" s="17">
        <f t="shared" si="8"/>
        <v>0</v>
      </c>
      <c r="AE16" s="31">
        <f t="shared" si="8"/>
        <v>31</v>
      </c>
      <c r="AF16" s="31">
        <f t="shared" si="8"/>
        <v>47</v>
      </c>
    </row>
    <row r="17" spans="2:32" ht="23.1" customHeight="1" x14ac:dyDescent="0.25">
      <c r="B17" s="23" t="s">
        <v>44</v>
      </c>
      <c r="C17" s="50">
        <v>0</v>
      </c>
      <c r="D17" s="50">
        <v>1</v>
      </c>
      <c r="E17" s="50">
        <v>2</v>
      </c>
      <c r="F17" s="50">
        <v>2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3</v>
      </c>
      <c r="M17" s="50">
        <v>5</v>
      </c>
      <c r="N17" s="50">
        <v>0</v>
      </c>
      <c r="O17" s="15">
        <f t="shared" si="0"/>
        <v>9</v>
      </c>
      <c r="P17" s="15">
        <f t="shared" si="1"/>
        <v>14</v>
      </c>
      <c r="R17" s="1" t="s">
        <v>13</v>
      </c>
      <c r="S17" s="17">
        <f t="shared" ref="S17:AF17" si="9">SUM(C38:C41)</f>
        <v>2</v>
      </c>
      <c r="T17" s="17">
        <f t="shared" si="9"/>
        <v>1</v>
      </c>
      <c r="U17" s="17">
        <f t="shared" si="9"/>
        <v>4</v>
      </c>
      <c r="V17" s="17">
        <f t="shared" si="9"/>
        <v>8</v>
      </c>
      <c r="W17" s="17">
        <f t="shared" si="9"/>
        <v>0</v>
      </c>
      <c r="X17" s="17">
        <f t="shared" si="9"/>
        <v>2</v>
      </c>
      <c r="Y17" s="17">
        <f t="shared" si="9"/>
        <v>4</v>
      </c>
      <c r="Z17" s="17">
        <f t="shared" si="9"/>
        <v>1</v>
      </c>
      <c r="AA17" s="17">
        <f t="shared" si="9"/>
        <v>0</v>
      </c>
      <c r="AB17" s="17">
        <f t="shared" si="9"/>
        <v>7</v>
      </c>
      <c r="AC17" s="17">
        <f t="shared" si="9"/>
        <v>6</v>
      </c>
      <c r="AD17" s="17">
        <f t="shared" si="9"/>
        <v>0</v>
      </c>
      <c r="AE17" s="31">
        <f t="shared" si="9"/>
        <v>29</v>
      </c>
      <c r="AF17" s="31">
        <f t="shared" si="9"/>
        <v>35</v>
      </c>
    </row>
    <row r="18" spans="2:32" ht="23.1" customHeight="1" x14ac:dyDescent="0.25">
      <c r="B18" s="23" t="s">
        <v>45</v>
      </c>
      <c r="C18" s="50">
        <v>0</v>
      </c>
      <c r="D18" s="50">
        <v>2</v>
      </c>
      <c r="E18" s="50">
        <v>2</v>
      </c>
      <c r="F18" s="50">
        <v>2</v>
      </c>
      <c r="G18" s="50">
        <v>0</v>
      </c>
      <c r="H18" s="50">
        <v>1</v>
      </c>
      <c r="I18" s="50">
        <v>0</v>
      </c>
      <c r="J18" s="50">
        <v>1</v>
      </c>
      <c r="K18" s="50">
        <v>0</v>
      </c>
      <c r="L18" s="50">
        <v>0</v>
      </c>
      <c r="M18" s="50">
        <v>1</v>
      </c>
      <c r="N18" s="50">
        <v>0</v>
      </c>
      <c r="O18" s="15">
        <f t="shared" si="0"/>
        <v>8</v>
      </c>
      <c r="P18" s="15">
        <f t="shared" si="1"/>
        <v>9</v>
      </c>
      <c r="R18" s="1" t="s">
        <v>14</v>
      </c>
      <c r="S18" s="17">
        <f t="shared" ref="S18:AF18" si="10">SUM(C42:C45)</f>
        <v>8</v>
      </c>
      <c r="T18" s="17">
        <f t="shared" si="10"/>
        <v>5</v>
      </c>
      <c r="U18" s="17">
        <f t="shared" si="10"/>
        <v>8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0</v>
      </c>
      <c r="AB18" s="17">
        <f t="shared" si="10"/>
        <v>4</v>
      </c>
      <c r="AC18" s="17">
        <f t="shared" si="10"/>
        <v>17</v>
      </c>
      <c r="AD18" s="17">
        <f t="shared" si="10"/>
        <v>0</v>
      </c>
      <c r="AE18" s="31">
        <f t="shared" si="10"/>
        <v>36</v>
      </c>
      <c r="AF18" s="31">
        <f t="shared" si="10"/>
        <v>53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2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1</v>
      </c>
      <c r="M19" s="50">
        <v>8</v>
      </c>
      <c r="N19" s="50">
        <v>0</v>
      </c>
      <c r="O19" s="15">
        <f t="shared" si="0"/>
        <v>7</v>
      </c>
      <c r="P19" s="15">
        <f t="shared" si="1"/>
        <v>15</v>
      </c>
      <c r="R19" s="1" t="s">
        <v>15</v>
      </c>
      <c r="S19" s="17">
        <f t="shared" ref="S19:AF19" si="11">SUM(C46:C49)</f>
        <v>2</v>
      </c>
      <c r="T19" s="17">
        <f t="shared" si="11"/>
        <v>5</v>
      </c>
      <c r="U19" s="17">
        <f t="shared" si="11"/>
        <v>7</v>
      </c>
      <c r="V19" s="17">
        <f t="shared" si="11"/>
        <v>16</v>
      </c>
      <c r="W19" s="17">
        <f t="shared" si="11"/>
        <v>1</v>
      </c>
      <c r="X19" s="17">
        <f t="shared" si="11"/>
        <v>1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5</v>
      </c>
      <c r="AC19" s="17">
        <f t="shared" si="11"/>
        <v>19</v>
      </c>
      <c r="AD19" s="17">
        <f t="shared" si="11"/>
        <v>0</v>
      </c>
      <c r="AE19" s="31">
        <f t="shared" si="11"/>
        <v>41</v>
      </c>
      <c r="AF19" s="31">
        <f t="shared" si="11"/>
        <v>60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2</v>
      </c>
      <c r="F20" s="50">
        <v>2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3</v>
      </c>
      <c r="M20" s="50">
        <v>1</v>
      </c>
      <c r="N20" s="50">
        <v>0</v>
      </c>
      <c r="O20" s="15">
        <f t="shared" si="0"/>
        <v>10</v>
      </c>
      <c r="P20" s="15">
        <f t="shared" si="1"/>
        <v>11</v>
      </c>
      <c r="R20" s="1" t="s">
        <v>16</v>
      </c>
      <c r="S20" s="17">
        <f t="shared" ref="S20:AF20" si="12">SUM(C50:C53)</f>
        <v>2</v>
      </c>
      <c r="T20" s="17">
        <f t="shared" si="12"/>
        <v>4</v>
      </c>
      <c r="U20" s="17">
        <f t="shared" si="12"/>
        <v>6</v>
      </c>
      <c r="V20" s="17">
        <f t="shared" si="12"/>
        <v>17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2</v>
      </c>
      <c r="AA20" s="17">
        <f t="shared" si="12"/>
        <v>1</v>
      </c>
      <c r="AB20" s="17">
        <f t="shared" si="12"/>
        <v>15</v>
      </c>
      <c r="AC20" s="17">
        <f t="shared" si="12"/>
        <v>28</v>
      </c>
      <c r="AD20" s="17">
        <f t="shared" si="12"/>
        <v>0</v>
      </c>
      <c r="AE20" s="31">
        <f t="shared" si="12"/>
        <v>54</v>
      </c>
      <c r="AF20" s="31">
        <f t="shared" si="12"/>
        <v>82</v>
      </c>
    </row>
    <row r="21" spans="2:32" ht="23.1" customHeight="1" x14ac:dyDescent="0.25">
      <c r="B21" s="23" t="s">
        <v>48</v>
      </c>
      <c r="C21" s="50">
        <v>1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3</v>
      </c>
      <c r="M21" s="50">
        <v>5</v>
      </c>
      <c r="N21" s="50">
        <v>0</v>
      </c>
      <c r="O21" s="15">
        <f t="shared" si="0"/>
        <v>5</v>
      </c>
      <c r="P21" s="15">
        <f t="shared" si="1"/>
        <v>10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4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11</v>
      </c>
      <c r="Z21" s="17">
        <f t="shared" si="13"/>
        <v>4</v>
      </c>
      <c r="AA21" s="17">
        <f t="shared" si="13"/>
        <v>2</v>
      </c>
      <c r="AB21" s="17">
        <f t="shared" si="13"/>
        <v>5</v>
      </c>
      <c r="AC21" s="17">
        <f t="shared" si="13"/>
        <v>12</v>
      </c>
      <c r="AD21" s="17">
        <f t="shared" si="13"/>
        <v>0</v>
      </c>
      <c r="AE21" s="31">
        <f t="shared" si="13"/>
        <v>36</v>
      </c>
      <c r="AF21" s="31">
        <f t="shared" si="13"/>
        <v>48</v>
      </c>
    </row>
    <row r="22" spans="2:32" ht="23.1" customHeight="1" x14ac:dyDescent="0.25">
      <c r="B22" s="23" t="s">
        <v>49</v>
      </c>
      <c r="C22" s="50">
        <v>1</v>
      </c>
      <c r="D22" s="50">
        <v>3</v>
      </c>
      <c r="E22" s="50">
        <v>3</v>
      </c>
      <c r="F22" s="50">
        <v>4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1</v>
      </c>
      <c r="M22" s="50">
        <v>5</v>
      </c>
      <c r="N22" s="50">
        <v>0</v>
      </c>
      <c r="O22" s="15">
        <f t="shared" si="0"/>
        <v>12</v>
      </c>
      <c r="P22" s="15">
        <f t="shared" si="1"/>
        <v>17</v>
      </c>
      <c r="R22" s="38" t="s">
        <v>90</v>
      </c>
      <c r="S22" s="39">
        <f>MAX(S10:S12)</f>
        <v>4</v>
      </c>
      <c r="T22" s="39">
        <f t="shared" ref="T22:AF22" si="14">MAX(T10:T12)</f>
        <v>5</v>
      </c>
      <c r="U22" s="39">
        <f t="shared" si="14"/>
        <v>5</v>
      </c>
      <c r="V22" s="39">
        <f t="shared" si="14"/>
        <v>8</v>
      </c>
      <c r="W22" s="39">
        <f t="shared" si="14"/>
        <v>0</v>
      </c>
      <c r="X22" s="39">
        <f t="shared" si="14"/>
        <v>2</v>
      </c>
      <c r="Y22" s="39">
        <f t="shared" si="14"/>
        <v>6</v>
      </c>
      <c r="Z22" s="39">
        <f t="shared" si="14"/>
        <v>2</v>
      </c>
      <c r="AA22" s="39">
        <f t="shared" si="14"/>
        <v>0</v>
      </c>
      <c r="AB22" s="39">
        <f t="shared" si="14"/>
        <v>8</v>
      </c>
      <c r="AC22" s="39">
        <f t="shared" si="14"/>
        <v>18</v>
      </c>
      <c r="AD22" s="39">
        <f t="shared" si="14"/>
        <v>0</v>
      </c>
      <c r="AE22" s="40">
        <f t="shared" si="14"/>
        <v>32</v>
      </c>
      <c r="AF22" s="40">
        <f t="shared" si="14"/>
        <v>50</v>
      </c>
    </row>
    <row r="23" spans="2:32" ht="23.1" customHeight="1" x14ac:dyDescent="0.25">
      <c r="B23" s="23" t="s">
        <v>50</v>
      </c>
      <c r="C23" s="50">
        <v>0</v>
      </c>
      <c r="D23" s="50">
        <v>2</v>
      </c>
      <c r="E23" s="50">
        <v>2</v>
      </c>
      <c r="F23" s="50">
        <v>3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1</v>
      </c>
      <c r="M23" s="50">
        <v>7</v>
      </c>
      <c r="N23" s="50">
        <v>0</v>
      </c>
      <c r="O23" s="15">
        <f t="shared" si="0"/>
        <v>9</v>
      </c>
      <c r="P23" s="15">
        <f t="shared" si="1"/>
        <v>16</v>
      </c>
      <c r="R23" s="38" t="s">
        <v>91</v>
      </c>
      <c r="S23" s="39">
        <f>MAX(S13:S18)</f>
        <v>8</v>
      </c>
      <c r="T23" s="39">
        <f t="shared" ref="T23:AF23" si="15">MAX(T13:T18)</f>
        <v>8</v>
      </c>
      <c r="U23" s="39">
        <f t="shared" si="15"/>
        <v>9</v>
      </c>
      <c r="V23" s="39">
        <f t="shared" si="15"/>
        <v>13</v>
      </c>
      <c r="W23" s="39">
        <f t="shared" si="15"/>
        <v>0</v>
      </c>
      <c r="X23" s="39">
        <f t="shared" si="15"/>
        <v>4</v>
      </c>
      <c r="Y23" s="39">
        <f t="shared" si="15"/>
        <v>9</v>
      </c>
      <c r="Z23" s="39">
        <f t="shared" si="15"/>
        <v>3</v>
      </c>
      <c r="AA23" s="39">
        <f t="shared" si="15"/>
        <v>0</v>
      </c>
      <c r="AB23" s="39">
        <f t="shared" si="15"/>
        <v>7</v>
      </c>
      <c r="AC23" s="39">
        <f t="shared" si="15"/>
        <v>21</v>
      </c>
      <c r="AD23" s="39">
        <f t="shared" si="15"/>
        <v>0</v>
      </c>
      <c r="AE23" s="40">
        <f t="shared" si="15"/>
        <v>44</v>
      </c>
      <c r="AF23" s="40">
        <f t="shared" si="15"/>
        <v>65</v>
      </c>
    </row>
    <row r="24" spans="2:32" ht="23.1" customHeight="1" x14ac:dyDescent="0.25">
      <c r="B24" s="23" t="s">
        <v>51</v>
      </c>
      <c r="C24" s="50">
        <v>1</v>
      </c>
      <c r="D24" s="50">
        <v>2</v>
      </c>
      <c r="E24" s="50">
        <v>3</v>
      </c>
      <c r="F24" s="50">
        <v>4</v>
      </c>
      <c r="G24" s="50">
        <v>0</v>
      </c>
      <c r="H24" s="50">
        <v>2</v>
      </c>
      <c r="I24" s="50">
        <v>0</v>
      </c>
      <c r="J24" s="50">
        <v>0</v>
      </c>
      <c r="K24" s="50">
        <v>0</v>
      </c>
      <c r="L24" s="50">
        <v>2</v>
      </c>
      <c r="M24" s="50">
        <v>6</v>
      </c>
      <c r="N24" s="50">
        <v>0</v>
      </c>
      <c r="O24" s="15">
        <f t="shared" si="0"/>
        <v>14</v>
      </c>
      <c r="P24" s="15">
        <f t="shared" si="1"/>
        <v>20</v>
      </c>
      <c r="R24" s="38" t="s">
        <v>92</v>
      </c>
      <c r="S24" s="39">
        <f>MAX(S19:S21)</f>
        <v>3</v>
      </c>
      <c r="T24" s="39">
        <f t="shared" ref="T24:AF24" si="16">MAX(T19:T21)</f>
        <v>5</v>
      </c>
      <c r="U24" s="39">
        <f t="shared" si="16"/>
        <v>7</v>
      </c>
      <c r="V24" s="39">
        <f t="shared" si="16"/>
        <v>17</v>
      </c>
      <c r="W24" s="39">
        <f t="shared" si="16"/>
        <v>1</v>
      </c>
      <c r="X24" s="39">
        <f t="shared" si="16"/>
        <v>1</v>
      </c>
      <c r="Y24" s="39">
        <f t="shared" si="16"/>
        <v>11</v>
      </c>
      <c r="Z24" s="39">
        <f t="shared" si="16"/>
        <v>4</v>
      </c>
      <c r="AA24" s="39">
        <f t="shared" si="16"/>
        <v>2</v>
      </c>
      <c r="AB24" s="39">
        <f t="shared" si="16"/>
        <v>15</v>
      </c>
      <c r="AC24" s="39">
        <f t="shared" si="16"/>
        <v>28</v>
      </c>
      <c r="AD24" s="39">
        <f t="shared" si="16"/>
        <v>0</v>
      </c>
      <c r="AE24" s="40">
        <f t="shared" si="16"/>
        <v>54</v>
      </c>
      <c r="AF24" s="40">
        <f t="shared" si="16"/>
        <v>82</v>
      </c>
    </row>
    <row r="25" spans="2:32" ht="23.1" customHeight="1" x14ac:dyDescent="0.25">
      <c r="B25" s="23" t="s">
        <v>52</v>
      </c>
      <c r="C25" s="50">
        <v>3</v>
      </c>
      <c r="D25" s="50">
        <v>1</v>
      </c>
      <c r="E25" s="50">
        <v>1</v>
      </c>
      <c r="F25" s="50">
        <v>2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1</v>
      </c>
      <c r="M25" s="50">
        <v>3</v>
      </c>
      <c r="N25" s="50">
        <v>0</v>
      </c>
      <c r="O25" s="15">
        <f t="shared" si="0"/>
        <v>9</v>
      </c>
      <c r="P25" s="15">
        <f t="shared" si="1"/>
        <v>12</v>
      </c>
      <c r="R25" s="37" t="s">
        <v>85</v>
      </c>
      <c r="S25" s="35">
        <f t="shared" ref="S25:AF25" si="17">SUM(S10:S12)</f>
        <v>10</v>
      </c>
      <c r="T25" s="16">
        <f t="shared" si="17"/>
        <v>8</v>
      </c>
      <c r="U25" s="16">
        <f t="shared" si="17"/>
        <v>13</v>
      </c>
      <c r="V25" s="16">
        <f t="shared" si="17"/>
        <v>18</v>
      </c>
      <c r="W25" s="16">
        <f t="shared" si="17"/>
        <v>0</v>
      </c>
      <c r="X25" s="16">
        <f t="shared" si="17"/>
        <v>5</v>
      </c>
      <c r="Y25" s="16">
        <f t="shared" si="17"/>
        <v>9</v>
      </c>
      <c r="Z25" s="16">
        <f t="shared" si="17"/>
        <v>4</v>
      </c>
      <c r="AA25" s="16">
        <f t="shared" si="17"/>
        <v>0</v>
      </c>
      <c r="AB25" s="16">
        <f t="shared" si="17"/>
        <v>19</v>
      </c>
      <c r="AC25" s="16">
        <f t="shared" si="17"/>
        <v>42</v>
      </c>
      <c r="AD25" s="16">
        <f t="shared" si="17"/>
        <v>0</v>
      </c>
      <c r="AE25" s="32">
        <f t="shared" si="17"/>
        <v>86</v>
      </c>
      <c r="AF25" s="32">
        <f t="shared" si="17"/>
        <v>128</v>
      </c>
    </row>
    <row r="26" spans="2:32" ht="23.1" customHeight="1" x14ac:dyDescent="0.25">
      <c r="B26" s="23" t="s">
        <v>53</v>
      </c>
      <c r="C26" s="50">
        <v>1</v>
      </c>
      <c r="D26" s="50">
        <v>2</v>
      </c>
      <c r="E26" s="50">
        <v>2</v>
      </c>
      <c r="F26" s="50">
        <v>3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1</v>
      </c>
      <c r="M26" s="50">
        <v>1</v>
      </c>
      <c r="N26" s="50">
        <v>0</v>
      </c>
      <c r="O26" s="15">
        <f t="shared" si="0"/>
        <v>11</v>
      </c>
      <c r="P26" s="15">
        <f t="shared" si="1"/>
        <v>12</v>
      </c>
      <c r="R26" s="28" t="s">
        <v>86</v>
      </c>
      <c r="S26" s="16">
        <f t="shared" ref="S26:AF26" si="18">SUM(S13:S18)</f>
        <v>25</v>
      </c>
      <c r="T26" s="16">
        <f t="shared" si="18"/>
        <v>22</v>
      </c>
      <c r="U26" s="16">
        <f t="shared" si="18"/>
        <v>34</v>
      </c>
      <c r="V26" s="16">
        <f t="shared" si="18"/>
        <v>50</v>
      </c>
      <c r="W26" s="16">
        <f t="shared" si="18"/>
        <v>0</v>
      </c>
      <c r="X26" s="16">
        <f t="shared" si="18"/>
        <v>13</v>
      </c>
      <c r="Y26" s="16">
        <f t="shared" si="18"/>
        <v>30</v>
      </c>
      <c r="Z26" s="16">
        <f t="shared" si="18"/>
        <v>5</v>
      </c>
      <c r="AA26" s="16">
        <f t="shared" si="18"/>
        <v>0</v>
      </c>
      <c r="AB26" s="16">
        <f t="shared" si="18"/>
        <v>28</v>
      </c>
      <c r="AC26" s="16">
        <f t="shared" si="18"/>
        <v>88</v>
      </c>
      <c r="AD26" s="16">
        <f t="shared" si="18"/>
        <v>0</v>
      </c>
      <c r="AE26" s="32">
        <f t="shared" si="18"/>
        <v>207</v>
      </c>
      <c r="AF26" s="32">
        <f t="shared" si="18"/>
        <v>295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1</v>
      </c>
      <c r="F27" s="50">
        <v>0</v>
      </c>
      <c r="G27" s="50">
        <v>0</v>
      </c>
      <c r="H27" s="50">
        <v>2</v>
      </c>
      <c r="I27" s="50">
        <v>1</v>
      </c>
      <c r="J27" s="50">
        <v>0</v>
      </c>
      <c r="K27" s="50">
        <v>0</v>
      </c>
      <c r="L27" s="50">
        <v>3</v>
      </c>
      <c r="M27" s="50">
        <v>3</v>
      </c>
      <c r="N27" s="50">
        <v>0</v>
      </c>
      <c r="O27" s="15">
        <f t="shared" si="0"/>
        <v>8</v>
      </c>
      <c r="P27" s="15">
        <f t="shared" si="1"/>
        <v>11</v>
      </c>
      <c r="R27" s="29" t="s">
        <v>87</v>
      </c>
      <c r="S27" s="16">
        <f t="shared" ref="S27:AF27" si="19">SUM(S19:S21)</f>
        <v>7</v>
      </c>
      <c r="T27" s="16">
        <f t="shared" si="19"/>
        <v>9</v>
      </c>
      <c r="U27" s="16">
        <f t="shared" si="19"/>
        <v>17</v>
      </c>
      <c r="V27" s="16">
        <f t="shared" si="19"/>
        <v>40</v>
      </c>
      <c r="W27" s="16">
        <f t="shared" si="19"/>
        <v>1</v>
      </c>
      <c r="X27" s="16">
        <f t="shared" si="19"/>
        <v>1</v>
      </c>
      <c r="Y27" s="16">
        <f t="shared" si="19"/>
        <v>22</v>
      </c>
      <c r="Z27" s="16">
        <f t="shared" si="19"/>
        <v>6</v>
      </c>
      <c r="AA27" s="16">
        <f t="shared" si="19"/>
        <v>3</v>
      </c>
      <c r="AB27" s="16">
        <f t="shared" si="19"/>
        <v>25</v>
      </c>
      <c r="AC27" s="16">
        <f t="shared" si="19"/>
        <v>59</v>
      </c>
      <c r="AD27" s="16">
        <f t="shared" si="19"/>
        <v>0</v>
      </c>
      <c r="AE27" s="32">
        <f t="shared" si="19"/>
        <v>131</v>
      </c>
      <c r="AF27" s="32">
        <f t="shared" si="19"/>
        <v>190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2</v>
      </c>
      <c r="F28" s="50">
        <v>2</v>
      </c>
      <c r="G28" s="50">
        <v>0</v>
      </c>
      <c r="H28" s="50">
        <v>1</v>
      </c>
      <c r="I28" s="50">
        <v>0</v>
      </c>
      <c r="J28" s="50">
        <v>1</v>
      </c>
      <c r="K28" s="50">
        <v>0</v>
      </c>
      <c r="L28" s="50">
        <v>1</v>
      </c>
      <c r="M28" s="50">
        <v>7</v>
      </c>
      <c r="N28" s="50">
        <v>0</v>
      </c>
      <c r="O28" s="15">
        <f t="shared" si="0"/>
        <v>9</v>
      </c>
      <c r="P28" s="15">
        <f t="shared" si="1"/>
        <v>16</v>
      </c>
      <c r="R28" s="5" t="s">
        <v>17</v>
      </c>
      <c r="S28" s="16">
        <f t="shared" ref="S28:AF28" si="20">SUM(S10:S21)</f>
        <v>42</v>
      </c>
      <c r="T28" s="16">
        <f t="shared" si="20"/>
        <v>39</v>
      </c>
      <c r="U28" s="16">
        <f t="shared" si="20"/>
        <v>64</v>
      </c>
      <c r="V28" s="16">
        <f t="shared" si="20"/>
        <v>108</v>
      </c>
      <c r="W28" s="16">
        <f t="shared" si="20"/>
        <v>1</v>
      </c>
      <c r="X28" s="16">
        <f t="shared" si="20"/>
        <v>19</v>
      </c>
      <c r="Y28" s="16">
        <f t="shared" si="20"/>
        <v>61</v>
      </c>
      <c r="Z28" s="16">
        <f t="shared" si="20"/>
        <v>15</v>
      </c>
      <c r="AA28" s="16">
        <f t="shared" si="20"/>
        <v>3</v>
      </c>
      <c r="AB28" s="16">
        <f t="shared" si="20"/>
        <v>72</v>
      </c>
      <c r="AC28" s="16">
        <f t="shared" si="20"/>
        <v>189</v>
      </c>
      <c r="AD28" s="16">
        <f t="shared" si="20"/>
        <v>0</v>
      </c>
      <c r="AE28" s="32">
        <f t="shared" si="20"/>
        <v>424</v>
      </c>
      <c r="AF28" s="32">
        <f t="shared" si="20"/>
        <v>613</v>
      </c>
    </row>
    <row r="29" spans="2:32" ht="23.1" customHeight="1" x14ac:dyDescent="0.25">
      <c r="B29" s="23" t="s">
        <v>56</v>
      </c>
      <c r="C29" s="50">
        <v>1</v>
      </c>
      <c r="D29" s="50">
        <v>1</v>
      </c>
      <c r="E29" s="50">
        <v>2</v>
      </c>
      <c r="F29" s="50">
        <v>2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1</v>
      </c>
      <c r="N29" s="50">
        <v>0</v>
      </c>
      <c r="O29" s="15">
        <f t="shared" si="0"/>
        <v>8</v>
      </c>
      <c r="P29" s="15">
        <f t="shared" si="1"/>
        <v>9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1</v>
      </c>
      <c r="F30" s="50">
        <v>3</v>
      </c>
      <c r="G30" s="50">
        <v>0</v>
      </c>
      <c r="H30" s="50">
        <v>1</v>
      </c>
      <c r="I30" s="50">
        <v>2</v>
      </c>
      <c r="J30" s="50">
        <v>0</v>
      </c>
      <c r="K30" s="50">
        <v>0</v>
      </c>
      <c r="L30" s="50">
        <v>1</v>
      </c>
      <c r="M30" s="50">
        <v>4</v>
      </c>
      <c r="N30" s="50">
        <v>0</v>
      </c>
      <c r="O30" s="15">
        <f t="shared" si="0"/>
        <v>10</v>
      </c>
      <c r="P30" s="15">
        <f t="shared" si="1"/>
        <v>14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2</v>
      </c>
      <c r="G31" s="50">
        <v>0</v>
      </c>
      <c r="H31" s="50">
        <v>2</v>
      </c>
      <c r="I31" s="50">
        <v>3</v>
      </c>
      <c r="J31" s="50">
        <v>0</v>
      </c>
      <c r="K31" s="50">
        <v>0</v>
      </c>
      <c r="L31" s="50">
        <v>0</v>
      </c>
      <c r="M31" s="50">
        <v>1</v>
      </c>
      <c r="N31" s="50">
        <v>0</v>
      </c>
      <c r="O31" s="15">
        <f t="shared" si="0"/>
        <v>9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1</v>
      </c>
      <c r="M32" s="50">
        <v>6</v>
      </c>
      <c r="N32" s="50">
        <v>0</v>
      </c>
      <c r="O32" s="15">
        <f t="shared" si="0"/>
        <v>4</v>
      </c>
      <c r="P32" s="15">
        <f t="shared" si="1"/>
        <v>10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2</v>
      </c>
      <c r="G33" s="50">
        <v>0</v>
      </c>
      <c r="H33" s="50">
        <v>1</v>
      </c>
      <c r="I33" s="50">
        <v>3</v>
      </c>
      <c r="J33" s="50">
        <v>0</v>
      </c>
      <c r="K33" s="50">
        <v>0</v>
      </c>
      <c r="L33" s="50">
        <v>0</v>
      </c>
      <c r="M33" s="50">
        <v>5</v>
      </c>
      <c r="N33" s="50">
        <v>0</v>
      </c>
      <c r="O33" s="15">
        <f t="shared" si="0"/>
        <v>8</v>
      </c>
      <c r="P33" s="15">
        <f t="shared" si="1"/>
        <v>13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4</v>
      </c>
      <c r="G34" s="50">
        <v>0</v>
      </c>
      <c r="H34" s="50">
        <v>1</v>
      </c>
      <c r="I34" s="50">
        <v>2</v>
      </c>
      <c r="J34" s="50">
        <v>0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8</v>
      </c>
      <c r="P34" s="15">
        <f t="shared" si="1"/>
        <v>11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3</v>
      </c>
      <c r="J35" s="50">
        <v>1</v>
      </c>
      <c r="K35" s="50">
        <v>0</v>
      </c>
      <c r="L35" s="50">
        <v>2</v>
      </c>
      <c r="M35" s="50">
        <v>3</v>
      </c>
      <c r="N35" s="50">
        <v>0</v>
      </c>
      <c r="O35" s="15">
        <f t="shared" si="0"/>
        <v>8</v>
      </c>
      <c r="P35" s="15">
        <f t="shared" si="1"/>
        <v>11</v>
      </c>
    </row>
    <row r="36" spans="2:20" ht="23.1" customHeight="1" x14ac:dyDescent="0.25">
      <c r="B36" s="24" t="s">
        <v>63</v>
      </c>
      <c r="C36" s="50">
        <v>1</v>
      </c>
      <c r="D36" s="50">
        <v>2</v>
      </c>
      <c r="E36" s="50">
        <v>2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5">
        <f t="shared" si="0"/>
        <v>6</v>
      </c>
      <c r="P36" s="15">
        <f t="shared" si="1"/>
        <v>13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3</v>
      </c>
      <c r="G37" s="50">
        <v>0</v>
      </c>
      <c r="H37" s="50">
        <v>1</v>
      </c>
      <c r="I37" s="50">
        <v>0</v>
      </c>
      <c r="J37" s="50">
        <v>2</v>
      </c>
      <c r="K37" s="50">
        <v>0</v>
      </c>
      <c r="L37" s="50">
        <v>3</v>
      </c>
      <c r="M37" s="50">
        <v>3</v>
      </c>
      <c r="N37" s="50">
        <v>0</v>
      </c>
      <c r="O37" s="15">
        <f t="shared" si="0"/>
        <v>9</v>
      </c>
      <c r="P37" s="15">
        <f t="shared" si="1"/>
        <v>12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2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2</v>
      </c>
      <c r="M38" s="50">
        <v>3</v>
      </c>
      <c r="N38" s="50">
        <v>0</v>
      </c>
      <c r="O38" s="15">
        <f t="shared" si="0"/>
        <v>6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2</v>
      </c>
      <c r="F39" s="50">
        <v>1</v>
      </c>
      <c r="G39" s="50">
        <v>0</v>
      </c>
      <c r="H39" s="50">
        <v>1</v>
      </c>
      <c r="I39" s="50">
        <v>1</v>
      </c>
      <c r="J39" s="50">
        <v>0</v>
      </c>
      <c r="K39" s="50">
        <v>0</v>
      </c>
      <c r="L39" s="50">
        <v>1</v>
      </c>
      <c r="M39" s="50">
        <v>1</v>
      </c>
      <c r="N39" s="50">
        <v>0</v>
      </c>
      <c r="O39" s="15">
        <f t="shared" si="0"/>
        <v>7</v>
      </c>
      <c r="P39" s="15">
        <f t="shared" si="1"/>
        <v>8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2</v>
      </c>
      <c r="G40" s="50">
        <v>0</v>
      </c>
      <c r="H40" s="50">
        <v>1</v>
      </c>
      <c r="I40" s="50">
        <v>0</v>
      </c>
      <c r="J40" s="50">
        <v>1</v>
      </c>
      <c r="K40" s="50">
        <v>0</v>
      </c>
      <c r="L40" s="50">
        <v>3</v>
      </c>
      <c r="M40" s="50">
        <v>0</v>
      </c>
      <c r="N40" s="50">
        <v>0</v>
      </c>
      <c r="O40" s="15">
        <f t="shared" si="0"/>
        <v>8</v>
      </c>
      <c r="P40" s="15">
        <f t="shared" si="1"/>
        <v>8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3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1</v>
      </c>
      <c r="M41" s="50">
        <v>2</v>
      </c>
      <c r="N41" s="50">
        <v>0</v>
      </c>
      <c r="O41" s="15">
        <f t="shared" si="0"/>
        <v>8</v>
      </c>
      <c r="P41" s="15">
        <f t="shared" si="1"/>
        <v>10</v>
      </c>
    </row>
    <row r="42" spans="2:20" ht="23.1" customHeight="1" x14ac:dyDescent="0.25">
      <c r="B42" s="24" t="s">
        <v>69</v>
      </c>
      <c r="C42" s="50">
        <v>1</v>
      </c>
      <c r="D42" s="50">
        <v>2</v>
      </c>
      <c r="E42" s="50">
        <v>2</v>
      </c>
      <c r="F42" s="50">
        <v>3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</v>
      </c>
      <c r="N42" s="50">
        <v>0</v>
      </c>
      <c r="O42" s="15">
        <f t="shared" si="0"/>
        <v>9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3</v>
      </c>
      <c r="D43" s="50">
        <v>2</v>
      </c>
      <c r="E43" s="50">
        <v>3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1</v>
      </c>
      <c r="M43" s="50">
        <v>6</v>
      </c>
      <c r="N43" s="50">
        <v>0</v>
      </c>
      <c r="O43" s="15">
        <f t="shared" si="0"/>
        <v>10</v>
      </c>
      <c r="P43" s="15">
        <f t="shared" si="1"/>
        <v>16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3</v>
      </c>
      <c r="M44" s="50">
        <v>4</v>
      </c>
      <c r="N44" s="50">
        <v>0</v>
      </c>
      <c r="O44" s="15">
        <f t="shared" si="0"/>
        <v>10</v>
      </c>
      <c r="P44" s="15">
        <f t="shared" si="1"/>
        <v>14</v>
      </c>
    </row>
    <row r="45" spans="2:20" ht="23.1" customHeight="1" x14ac:dyDescent="0.25">
      <c r="B45" s="23" t="s">
        <v>72</v>
      </c>
      <c r="C45" s="50">
        <v>1</v>
      </c>
      <c r="D45" s="50">
        <v>1</v>
      </c>
      <c r="E45" s="50">
        <v>2</v>
      </c>
      <c r="F45" s="50">
        <v>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3</v>
      </c>
      <c r="N45" s="50">
        <v>0</v>
      </c>
      <c r="O45" s="15">
        <f t="shared" si="0"/>
        <v>7</v>
      </c>
      <c r="P45" s="15">
        <f t="shared" si="1"/>
        <v>10</v>
      </c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2</v>
      </c>
      <c r="F46" s="50">
        <v>3</v>
      </c>
      <c r="G46" s="50">
        <v>1</v>
      </c>
      <c r="H46" s="50">
        <v>1</v>
      </c>
      <c r="I46" s="50">
        <v>1</v>
      </c>
      <c r="J46" s="50">
        <v>0</v>
      </c>
      <c r="K46" s="50">
        <v>0</v>
      </c>
      <c r="L46" s="50">
        <v>1</v>
      </c>
      <c r="M46" s="50">
        <v>4</v>
      </c>
      <c r="N46" s="50">
        <v>0</v>
      </c>
      <c r="O46" s="15">
        <f t="shared" si="0"/>
        <v>10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1</v>
      </c>
      <c r="F47" s="50">
        <v>4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1</v>
      </c>
      <c r="M47" s="50">
        <v>6</v>
      </c>
      <c r="N47" s="50">
        <v>0</v>
      </c>
      <c r="O47" s="15">
        <f t="shared" si="0"/>
        <v>8</v>
      </c>
      <c r="P47" s="15">
        <f t="shared" si="1"/>
        <v>14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1</v>
      </c>
      <c r="E48" s="50">
        <v>2</v>
      </c>
      <c r="F48" s="50">
        <v>7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1</v>
      </c>
      <c r="M48" s="50">
        <v>4</v>
      </c>
      <c r="N48" s="50">
        <v>0</v>
      </c>
      <c r="O48" s="15">
        <f t="shared" si="0"/>
        <v>15</v>
      </c>
      <c r="P48" s="15">
        <f t="shared" si="1"/>
        <v>19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2</v>
      </c>
      <c r="E49" s="50">
        <v>2</v>
      </c>
      <c r="F49" s="50">
        <v>2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2</v>
      </c>
      <c r="M49" s="50">
        <v>5</v>
      </c>
      <c r="N49" s="50">
        <v>0</v>
      </c>
      <c r="O49" s="15">
        <f t="shared" si="0"/>
        <v>8</v>
      </c>
      <c r="P49" s="15">
        <f t="shared" si="1"/>
        <v>13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2</v>
      </c>
      <c r="E50" s="50">
        <v>2</v>
      </c>
      <c r="F50" s="50">
        <v>6</v>
      </c>
      <c r="G50" s="50">
        <v>0</v>
      </c>
      <c r="H50" s="50">
        <v>0</v>
      </c>
      <c r="I50" s="50">
        <v>0</v>
      </c>
      <c r="J50" s="50">
        <v>0</v>
      </c>
      <c r="K50" s="50">
        <v>1</v>
      </c>
      <c r="L50" s="50">
        <v>2</v>
      </c>
      <c r="M50" s="50">
        <v>6</v>
      </c>
      <c r="N50" s="50">
        <v>0</v>
      </c>
      <c r="O50" s="15">
        <f t="shared" si="0"/>
        <v>14</v>
      </c>
      <c r="P50" s="15">
        <f t="shared" si="1"/>
        <v>20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1</v>
      </c>
      <c r="F51" s="50">
        <v>4</v>
      </c>
      <c r="G51" s="50">
        <v>0</v>
      </c>
      <c r="H51" s="50">
        <v>0</v>
      </c>
      <c r="I51" s="50">
        <v>3</v>
      </c>
      <c r="J51" s="50">
        <v>2</v>
      </c>
      <c r="K51" s="50">
        <v>0</v>
      </c>
      <c r="L51" s="50">
        <v>7</v>
      </c>
      <c r="M51" s="50">
        <v>8</v>
      </c>
      <c r="N51" s="50">
        <v>0</v>
      </c>
      <c r="O51" s="15">
        <f t="shared" si="0"/>
        <v>18</v>
      </c>
      <c r="P51" s="15">
        <f t="shared" si="1"/>
        <v>26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1</v>
      </c>
      <c r="E52" s="50">
        <v>2</v>
      </c>
      <c r="F52" s="50">
        <v>3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3</v>
      </c>
      <c r="M52" s="50">
        <v>9</v>
      </c>
      <c r="N52" s="50">
        <v>0</v>
      </c>
      <c r="O52" s="15">
        <f t="shared" si="0"/>
        <v>11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4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3</v>
      </c>
      <c r="M53" s="50">
        <v>5</v>
      </c>
      <c r="N53" s="50">
        <v>0</v>
      </c>
      <c r="O53" s="15">
        <f t="shared" si="0"/>
        <v>11</v>
      </c>
      <c r="P53" s="15">
        <f t="shared" si="1"/>
        <v>16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2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5</v>
      </c>
      <c r="N54" s="50">
        <v>0</v>
      </c>
      <c r="O54" s="15">
        <f t="shared" si="0"/>
        <v>5</v>
      </c>
      <c r="P54" s="15">
        <f t="shared" si="1"/>
        <v>10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1</v>
      </c>
      <c r="F55" s="50">
        <v>3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1</v>
      </c>
      <c r="M55" s="50">
        <v>6</v>
      </c>
      <c r="N55" s="50">
        <v>0</v>
      </c>
      <c r="O55" s="15">
        <f t="shared" si="0"/>
        <v>12</v>
      </c>
      <c r="P55" s="15">
        <f t="shared" si="1"/>
        <v>18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1</v>
      </c>
      <c r="F56" s="50">
        <v>2</v>
      </c>
      <c r="G56" s="50">
        <v>0</v>
      </c>
      <c r="H56" s="50">
        <v>0</v>
      </c>
      <c r="I56" s="50">
        <v>2</v>
      </c>
      <c r="J56" s="50">
        <v>3</v>
      </c>
      <c r="K56" s="50">
        <v>1</v>
      </c>
      <c r="L56" s="50">
        <v>1</v>
      </c>
      <c r="M56" s="50">
        <v>1</v>
      </c>
      <c r="N56" s="50">
        <v>0</v>
      </c>
      <c r="O56" s="15">
        <f t="shared" si="0"/>
        <v>10</v>
      </c>
      <c r="P56" s="15">
        <f t="shared" si="1"/>
        <v>11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3</v>
      </c>
      <c r="J57" s="50">
        <v>1</v>
      </c>
      <c r="K57" s="50">
        <v>1</v>
      </c>
      <c r="L57" s="50">
        <v>3</v>
      </c>
      <c r="M57" s="50">
        <v>0</v>
      </c>
      <c r="N57" s="50">
        <v>0</v>
      </c>
      <c r="O57" s="15">
        <f t="shared" si="0"/>
        <v>9</v>
      </c>
      <c r="P57" s="15">
        <f t="shared" si="1"/>
        <v>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42</v>
      </c>
      <c r="D58" s="16">
        <f t="shared" si="21"/>
        <v>39</v>
      </c>
      <c r="E58" s="16">
        <f t="shared" si="21"/>
        <v>64</v>
      </c>
      <c r="F58" s="16">
        <f t="shared" si="21"/>
        <v>108</v>
      </c>
      <c r="G58" s="16">
        <f t="shared" si="21"/>
        <v>1</v>
      </c>
      <c r="H58" s="16">
        <f t="shared" si="21"/>
        <v>19</v>
      </c>
      <c r="I58" s="16">
        <f t="shared" si="21"/>
        <v>61</v>
      </c>
      <c r="J58" s="16">
        <f t="shared" si="21"/>
        <v>15</v>
      </c>
      <c r="K58" s="16">
        <f t="shared" si="21"/>
        <v>3</v>
      </c>
      <c r="L58" s="16">
        <f t="shared" si="21"/>
        <v>72</v>
      </c>
      <c r="M58" s="16">
        <f t="shared" si="21"/>
        <v>189</v>
      </c>
      <c r="N58" s="16">
        <f t="shared" si="21"/>
        <v>0</v>
      </c>
      <c r="O58" s="16">
        <f t="shared" si="21"/>
        <v>424</v>
      </c>
      <c r="P58" s="16">
        <f t="shared" si="21"/>
        <v>613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6.8515497553017946E-2</v>
      </c>
      <c r="D59" s="43">
        <f t="shared" si="22"/>
        <v>6.3621533442088096E-2</v>
      </c>
      <c r="E59" s="43">
        <f t="shared" si="22"/>
        <v>0.10440456769983687</v>
      </c>
      <c r="F59" s="43">
        <f t="shared" si="22"/>
        <v>0.17618270799347471</v>
      </c>
      <c r="G59" s="43">
        <f t="shared" si="22"/>
        <v>1.6313213703099511E-3</v>
      </c>
      <c r="H59" s="43">
        <f t="shared" si="22"/>
        <v>3.0995106035889071E-2</v>
      </c>
      <c r="I59" s="43">
        <f t="shared" si="22"/>
        <v>9.951060358890701E-2</v>
      </c>
      <c r="J59" s="43">
        <f t="shared" si="22"/>
        <v>2.4469820554649267E-2</v>
      </c>
      <c r="K59" s="43">
        <f t="shared" si="22"/>
        <v>4.8939641109298528E-3</v>
      </c>
      <c r="L59" s="43">
        <f t="shared" si="22"/>
        <v>0.11745513866231648</v>
      </c>
      <c r="M59" s="43">
        <f t="shared" si="22"/>
        <v>0.30831973898858073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9.9056603773584911E-2</v>
      </c>
      <c r="D60" s="44">
        <f t="shared" ref="D60:N60" si="23">D58/$O$58</f>
        <v>9.1981132075471692E-2</v>
      </c>
      <c r="E60" s="44">
        <f t="shared" si="23"/>
        <v>0.15094339622641509</v>
      </c>
      <c r="F60" s="44">
        <f t="shared" si="23"/>
        <v>0.25471698113207547</v>
      </c>
      <c r="G60" s="44">
        <f t="shared" si="23"/>
        <v>2.3584905660377358E-3</v>
      </c>
      <c r="H60" s="44">
        <f t="shared" si="23"/>
        <v>4.4811320754716978E-2</v>
      </c>
      <c r="I60" s="44">
        <f t="shared" si="23"/>
        <v>0.14386792452830188</v>
      </c>
      <c r="J60" s="44">
        <f t="shared" si="23"/>
        <v>3.5377358490566037E-2</v>
      </c>
      <c r="K60" s="44">
        <f t="shared" si="23"/>
        <v>7.0754716981132077E-3</v>
      </c>
      <c r="L60" s="44">
        <f t="shared" si="23"/>
        <v>0.16981132075471697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zoomScale="60" workbookViewId="0">
      <selection activeCell="L13" sqref="L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Kumi-Soroti'!C3:G3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6" t="str">
        <f>'12.08 Soroti-Kumi'!G5:H5</f>
        <v>Mukura</v>
      </c>
      <c r="H5" s="67"/>
      <c r="I5" s="14"/>
      <c r="J5" s="2" t="s">
        <v>5</v>
      </c>
      <c r="K5" s="66" t="str">
        <f>'12.08 Soroti-Kumi'!K5:L5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Kumi-Soroti'!D6:E6</f>
        <v>Kumi</v>
      </c>
      <c r="E6" s="67"/>
      <c r="F6" s="2" t="s">
        <v>2</v>
      </c>
      <c r="G6" s="66" t="str">
        <f>'08.08 Kumi-Soroti'!G6:H6</f>
        <v>Soroti</v>
      </c>
      <c r="H6" s="67"/>
      <c r="J6" s="2" t="s">
        <v>21</v>
      </c>
      <c r="K6" s="66" t="str">
        <f>'12.08 Soroti-Kumi'!K6:L6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3</v>
      </c>
      <c r="M10" s="50">
        <v>4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11</v>
      </c>
      <c r="R10" s="1" t="s">
        <v>6</v>
      </c>
      <c r="S10" s="17">
        <f t="shared" ref="S10:AF10" si="2">SUM(C10:C13)</f>
        <v>0</v>
      </c>
      <c r="T10" s="17">
        <f t="shared" si="2"/>
        <v>1</v>
      </c>
      <c r="U10" s="17">
        <f t="shared" si="2"/>
        <v>5</v>
      </c>
      <c r="V10" s="17">
        <f t="shared" si="2"/>
        <v>6</v>
      </c>
      <c r="W10" s="17">
        <f t="shared" si="2"/>
        <v>0</v>
      </c>
      <c r="X10" s="17">
        <f t="shared" si="2"/>
        <v>3</v>
      </c>
      <c r="Y10" s="17">
        <f t="shared" si="2"/>
        <v>6</v>
      </c>
      <c r="Z10" s="17">
        <f t="shared" si="2"/>
        <v>2</v>
      </c>
      <c r="AA10" s="17">
        <f t="shared" si="2"/>
        <v>0</v>
      </c>
      <c r="AB10" s="17">
        <f t="shared" si="2"/>
        <v>11</v>
      </c>
      <c r="AC10" s="17">
        <f t="shared" si="2"/>
        <v>32</v>
      </c>
      <c r="AD10" s="17">
        <f t="shared" si="2"/>
        <v>0</v>
      </c>
      <c r="AE10" s="31">
        <f t="shared" si="2"/>
        <v>34</v>
      </c>
      <c r="AF10" s="31">
        <f t="shared" si="2"/>
        <v>66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2</v>
      </c>
      <c r="G11" s="50">
        <v>0</v>
      </c>
      <c r="H11" s="50">
        <v>1</v>
      </c>
      <c r="I11" s="50">
        <v>2</v>
      </c>
      <c r="J11" s="50">
        <v>0</v>
      </c>
      <c r="K11" s="50">
        <v>0</v>
      </c>
      <c r="L11" s="50">
        <v>1</v>
      </c>
      <c r="M11" s="50">
        <v>10</v>
      </c>
      <c r="N11" s="50">
        <v>0</v>
      </c>
      <c r="O11" s="15">
        <f t="shared" si="0"/>
        <v>6</v>
      </c>
      <c r="P11" s="15">
        <f t="shared" si="1"/>
        <v>16</v>
      </c>
      <c r="R11" s="1" t="s">
        <v>7</v>
      </c>
      <c r="S11" s="17">
        <f t="shared" ref="S11:AF11" si="3">SUM(C14:C17)</f>
        <v>8</v>
      </c>
      <c r="T11" s="17">
        <f t="shared" si="3"/>
        <v>0</v>
      </c>
      <c r="U11" s="17">
        <f t="shared" si="3"/>
        <v>6</v>
      </c>
      <c r="V11" s="17">
        <f t="shared" si="3"/>
        <v>11</v>
      </c>
      <c r="W11" s="17">
        <f t="shared" si="3"/>
        <v>0</v>
      </c>
      <c r="X11" s="17">
        <f t="shared" si="3"/>
        <v>2</v>
      </c>
      <c r="Y11" s="17">
        <f t="shared" si="3"/>
        <v>4</v>
      </c>
      <c r="Z11" s="17">
        <f t="shared" si="3"/>
        <v>1</v>
      </c>
      <c r="AA11" s="17">
        <f t="shared" si="3"/>
        <v>0</v>
      </c>
      <c r="AB11" s="17">
        <f t="shared" si="3"/>
        <v>6</v>
      </c>
      <c r="AC11" s="17">
        <f t="shared" si="3"/>
        <v>24</v>
      </c>
      <c r="AD11" s="17">
        <f t="shared" si="3"/>
        <v>0</v>
      </c>
      <c r="AE11" s="31">
        <f t="shared" si="3"/>
        <v>38</v>
      </c>
      <c r="AF11" s="31">
        <f t="shared" si="3"/>
        <v>62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2</v>
      </c>
      <c r="F12" s="50">
        <v>1</v>
      </c>
      <c r="G12" s="50">
        <v>0</v>
      </c>
      <c r="H12" s="50">
        <v>1</v>
      </c>
      <c r="I12" s="50">
        <v>1</v>
      </c>
      <c r="J12" s="50">
        <v>1</v>
      </c>
      <c r="K12" s="50">
        <v>0</v>
      </c>
      <c r="L12" s="50">
        <v>5</v>
      </c>
      <c r="M12" s="50">
        <v>4</v>
      </c>
      <c r="N12" s="50">
        <v>0</v>
      </c>
      <c r="O12" s="15">
        <f t="shared" si="0"/>
        <v>12</v>
      </c>
      <c r="P12" s="15">
        <f t="shared" si="1"/>
        <v>16</v>
      </c>
      <c r="R12" s="1" t="s">
        <v>8</v>
      </c>
      <c r="S12" s="17">
        <f t="shared" ref="S12:AF12" si="4">SUM(C18:C21)</f>
        <v>1</v>
      </c>
      <c r="T12" s="17">
        <f t="shared" si="4"/>
        <v>2</v>
      </c>
      <c r="U12" s="17">
        <f t="shared" si="4"/>
        <v>8</v>
      </c>
      <c r="V12" s="17">
        <f t="shared" si="4"/>
        <v>6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2</v>
      </c>
      <c r="AA12" s="17">
        <f t="shared" si="4"/>
        <v>0</v>
      </c>
      <c r="AB12" s="17">
        <f t="shared" si="4"/>
        <v>11</v>
      </c>
      <c r="AC12" s="17">
        <f t="shared" si="4"/>
        <v>27</v>
      </c>
      <c r="AD12" s="17">
        <f t="shared" si="4"/>
        <v>0</v>
      </c>
      <c r="AE12" s="31">
        <f t="shared" si="4"/>
        <v>34</v>
      </c>
      <c r="AF12" s="31">
        <f t="shared" si="4"/>
        <v>61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2</v>
      </c>
      <c r="F13" s="50">
        <v>2</v>
      </c>
      <c r="G13" s="50">
        <v>0</v>
      </c>
      <c r="H13" s="50">
        <v>1</v>
      </c>
      <c r="I13" s="50">
        <v>1</v>
      </c>
      <c r="J13" s="50">
        <v>1</v>
      </c>
      <c r="K13" s="50">
        <v>0</v>
      </c>
      <c r="L13" s="50">
        <v>2</v>
      </c>
      <c r="M13" s="50">
        <v>14</v>
      </c>
      <c r="N13" s="50">
        <v>0</v>
      </c>
      <c r="O13" s="15">
        <f t="shared" si="0"/>
        <v>9</v>
      </c>
      <c r="P13" s="15">
        <f t="shared" si="1"/>
        <v>23</v>
      </c>
      <c r="R13" s="1" t="s">
        <v>9</v>
      </c>
      <c r="S13" s="17">
        <f t="shared" ref="S13:AF13" si="5">SUM(C22:C25)</f>
        <v>11</v>
      </c>
      <c r="T13" s="17">
        <f t="shared" si="5"/>
        <v>5</v>
      </c>
      <c r="U13" s="17">
        <f t="shared" si="5"/>
        <v>9</v>
      </c>
      <c r="V13" s="17">
        <f t="shared" si="5"/>
        <v>11</v>
      </c>
      <c r="W13" s="17">
        <f t="shared" si="5"/>
        <v>0</v>
      </c>
      <c r="X13" s="17">
        <f t="shared" si="5"/>
        <v>4</v>
      </c>
      <c r="Y13" s="17">
        <f t="shared" si="5"/>
        <v>7</v>
      </c>
      <c r="Z13" s="17">
        <f t="shared" si="5"/>
        <v>2</v>
      </c>
      <c r="AA13" s="17">
        <f t="shared" si="5"/>
        <v>2</v>
      </c>
      <c r="AB13" s="17">
        <f t="shared" si="5"/>
        <v>4</v>
      </c>
      <c r="AC13" s="17">
        <f t="shared" si="5"/>
        <v>26</v>
      </c>
      <c r="AD13" s="17">
        <f t="shared" si="5"/>
        <v>0</v>
      </c>
      <c r="AE13" s="31">
        <f t="shared" si="5"/>
        <v>55</v>
      </c>
      <c r="AF13" s="31">
        <f t="shared" si="5"/>
        <v>81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1</v>
      </c>
      <c r="F14" s="50">
        <v>3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1</v>
      </c>
      <c r="M14" s="50">
        <v>9</v>
      </c>
      <c r="N14" s="50">
        <v>0</v>
      </c>
      <c r="O14" s="15">
        <f t="shared" si="0"/>
        <v>10</v>
      </c>
      <c r="P14" s="15">
        <f t="shared" si="1"/>
        <v>19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5</v>
      </c>
      <c r="V14" s="17">
        <f t="shared" si="6"/>
        <v>10</v>
      </c>
      <c r="W14" s="17">
        <f t="shared" si="6"/>
        <v>2</v>
      </c>
      <c r="X14" s="17">
        <f t="shared" si="6"/>
        <v>1</v>
      </c>
      <c r="Y14" s="17">
        <f t="shared" si="6"/>
        <v>5</v>
      </c>
      <c r="Z14" s="17">
        <f t="shared" si="6"/>
        <v>2</v>
      </c>
      <c r="AA14" s="17">
        <f t="shared" si="6"/>
        <v>0</v>
      </c>
      <c r="AB14" s="17">
        <f t="shared" si="6"/>
        <v>6</v>
      </c>
      <c r="AC14" s="17">
        <f t="shared" si="6"/>
        <v>31</v>
      </c>
      <c r="AD14" s="17">
        <f t="shared" si="6"/>
        <v>0</v>
      </c>
      <c r="AE14" s="31">
        <f t="shared" si="6"/>
        <v>35</v>
      </c>
      <c r="AF14" s="31">
        <f t="shared" si="6"/>
        <v>66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2</v>
      </c>
      <c r="F15" s="50">
        <v>1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1</v>
      </c>
      <c r="M15" s="50">
        <v>4</v>
      </c>
      <c r="N15" s="50">
        <v>0</v>
      </c>
      <c r="O15" s="15">
        <f t="shared" si="0"/>
        <v>8</v>
      </c>
      <c r="P15" s="15">
        <f t="shared" si="1"/>
        <v>12</v>
      </c>
      <c r="R15" s="1" t="s">
        <v>11</v>
      </c>
      <c r="S15" s="17">
        <f t="shared" ref="S15:AF15" si="7">SUM(C30:C33)</f>
        <v>6</v>
      </c>
      <c r="T15" s="17">
        <f t="shared" si="7"/>
        <v>2</v>
      </c>
      <c r="U15" s="17">
        <f t="shared" si="7"/>
        <v>9</v>
      </c>
      <c r="V15" s="17">
        <f t="shared" si="7"/>
        <v>14</v>
      </c>
      <c r="W15" s="17">
        <f t="shared" si="7"/>
        <v>0</v>
      </c>
      <c r="X15" s="17">
        <f t="shared" si="7"/>
        <v>1</v>
      </c>
      <c r="Y15" s="17">
        <f t="shared" si="7"/>
        <v>6</v>
      </c>
      <c r="Z15" s="17">
        <f t="shared" si="7"/>
        <v>1</v>
      </c>
      <c r="AA15" s="17">
        <f t="shared" si="7"/>
        <v>1</v>
      </c>
      <c r="AB15" s="17">
        <f t="shared" si="7"/>
        <v>4</v>
      </c>
      <c r="AC15" s="17">
        <f t="shared" si="7"/>
        <v>23</v>
      </c>
      <c r="AD15" s="17">
        <f t="shared" si="7"/>
        <v>1</v>
      </c>
      <c r="AE15" s="31">
        <f t="shared" si="7"/>
        <v>45</v>
      </c>
      <c r="AF15" s="31">
        <f t="shared" si="7"/>
        <v>68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3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2</v>
      </c>
      <c r="M16" s="50">
        <v>6</v>
      </c>
      <c r="N16" s="50">
        <v>0</v>
      </c>
      <c r="O16" s="15">
        <f t="shared" si="0"/>
        <v>8</v>
      </c>
      <c r="P16" s="15">
        <f t="shared" si="1"/>
        <v>14</v>
      </c>
      <c r="R16" s="1" t="s">
        <v>12</v>
      </c>
      <c r="S16" s="17">
        <f t="shared" ref="S16:AF16" si="8">SUM(C34:C37)</f>
        <v>6</v>
      </c>
      <c r="T16" s="17">
        <f t="shared" si="8"/>
        <v>6</v>
      </c>
      <c r="U16" s="17">
        <f t="shared" si="8"/>
        <v>12</v>
      </c>
      <c r="V16" s="17">
        <f t="shared" si="8"/>
        <v>10</v>
      </c>
      <c r="W16" s="17">
        <f t="shared" si="8"/>
        <v>0</v>
      </c>
      <c r="X16" s="17">
        <f t="shared" si="8"/>
        <v>1</v>
      </c>
      <c r="Y16" s="17">
        <f t="shared" si="8"/>
        <v>9</v>
      </c>
      <c r="Z16" s="17">
        <f t="shared" si="8"/>
        <v>2</v>
      </c>
      <c r="AA16" s="17">
        <f t="shared" si="8"/>
        <v>0</v>
      </c>
      <c r="AB16" s="17">
        <f t="shared" si="8"/>
        <v>5</v>
      </c>
      <c r="AC16" s="17">
        <f t="shared" si="8"/>
        <v>33</v>
      </c>
      <c r="AD16" s="17">
        <f t="shared" si="8"/>
        <v>0</v>
      </c>
      <c r="AE16" s="31">
        <f t="shared" si="8"/>
        <v>51</v>
      </c>
      <c r="AF16" s="31">
        <f t="shared" si="8"/>
        <v>84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2</v>
      </c>
      <c r="F17" s="50">
        <v>4</v>
      </c>
      <c r="G17" s="50">
        <v>0</v>
      </c>
      <c r="H17" s="50">
        <v>1</v>
      </c>
      <c r="I17" s="50">
        <v>0</v>
      </c>
      <c r="J17" s="50">
        <v>0</v>
      </c>
      <c r="K17" s="50">
        <v>0</v>
      </c>
      <c r="L17" s="50">
        <v>2</v>
      </c>
      <c r="M17" s="50">
        <v>5</v>
      </c>
      <c r="N17" s="50">
        <v>0</v>
      </c>
      <c r="O17" s="15">
        <f t="shared" si="0"/>
        <v>12</v>
      </c>
      <c r="P17" s="15">
        <f t="shared" si="1"/>
        <v>17</v>
      </c>
      <c r="R17" s="1" t="s">
        <v>13</v>
      </c>
      <c r="S17" s="17">
        <f t="shared" ref="S17:AF17" si="9">SUM(C38:C41)</f>
        <v>7</v>
      </c>
      <c r="T17" s="17">
        <f t="shared" si="9"/>
        <v>4</v>
      </c>
      <c r="U17" s="17">
        <f t="shared" si="9"/>
        <v>8</v>
      </c>
      <c r="V17" s="17">
        <f t="shared" si="9"/>
        <v>9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1</v>
      </c>
      <c r="AA17" s="17">
        <f t="shared" si="9"/>
        <v>0</v>
      </c>
      <c r="AB17" s="17">
        <f t="shared" si="9"/>
        <v>9</v>
      </c>
      <c r="AC17" s="17">
        <f t="shared" si="9"/>
        <v>18</v>
      </c>
      <c r="AD17" s="17">
        <f t="shared" si="9"/>
        <v>0</v>
      </c>
      <c r="AE17" s="31">
        <f t="shared" si="9"/>
        <v>41</v>
      </c>
      <c r="AF17" s="31">
        <f t="shared" si="9"/>
        <v>59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1</v>
      </c>
      <c r="M18" s="50">
        <v>8</v>
      </c>
      <c r="N18" s="50">
        <v>0</v>
      </c>
      <c r="O18" s="15">
        <f t="shared" si="0"/>
        <v>3</v>
      </c>
      <c r="P18" s="15">
        <f t="shared" si="1"/>
        <v>11</v>
      </c>
      <c r="R18" s="1" t="s">
        <v>14</v>
      </c>
      <c r="S18" s="17">
        <f t="shared" ref="S18:AF18" si="10">SUM(C42:C45)</f>
        <v>4</v>
      </c>
      <c r="T18" s="17">
        <f t="shared" si="10"/>
        <v>5</v>
      </c>
      <c r="U18" s="17">
        <f t="shared" si="10"/>
        <v>10</v>
      </c>
      <c r="V18" s="17">
        <f t="shared" si="10"/>
        <v>10</v>
      </c>
      <c r="W18" s="17">
        <f t="shared" si="10"/>
        <v>0</v>
      </c>
      <c r="X18" s="17">
        <f t="shared" si="10"/>
        <v>2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5</v>
      </c>
      <c r="AC18" s="17">
        <f t="shared" si="10"/>
        <v>21</v>
      </c>
      <c r="AD18" s="17">
        <f t="shared" si="10"/>
        <v>0</v>
      </c>
      <c r="AE18" s="31">
        <f t="shared" si="10"/>
        <v>36</v>
      </c>
      <c r="AF18" s="31">
        <f t="shared" si="10"/>
        <v>57</v>
      </c>
    </row>
    <row r="19" spans="2:32" ht="23.1" customHeight="1" x14ac:dyDescent="0.25">
      <c r="B19" s="23" t="s">
        <v>46</v>
      </c>
      <c r="C19" s="50">
        <v>1</v>
      </c>
      <c r="D19" s="50">
        <v>1</v>
      </c>
      <c r="E19" s="50">
        <v>3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4</v>
      </c>
      <c r="M19" s="50">
        <v>8</v>
      </c>
      <c r="N19" s="50">
        <v>0</v>
      </c>
      <c r="O19" s="15">
        <f t="shared" si="0"/>
        <v>11</v>
      </c>
      <c r="P19" s="15">
        <f t="shared" si="1"/>
        <v>19</v>
      </c>
      <c r="R19" s="1" t="s">
        <v>15</v>
      </c>
      <c r="S19" s="17">
        <f t="shared" ref="S19:AF19" si="11">SUM(C46:C49)</f>
        <v>7</v>
      </c>
      <c r="T19" s="17">
        <f t="shared" si="11"/>
        <v>2</v>
      </c>
      <c r="U19" s="17">
        <f t="shared" si="11"/>
        <v>8</v>
      </c>
      <c r="V19" s="17">
        <f t="shared" si="11"/>
        <v>13</v>
      </c>
      <c r="W19" s="17">
        <f t="shared" si="11"/>
        <v>0</v>
      </c>
      <c r="X19" s="17">
        <f t="shared" si="11"/>
        <v>1</v>
      </c>
      <c r="Y19" s="17">
        <f t="shared" si="11"/>
        <v>5</v>
      </c>
      <c r="Z19" s="17">
        <f t="shared" si="11"/>
        <v>1</v>
      </c>
      <c r="AA19" s="17">
        <f t="shared" si="11"/>
        <v>0</v>
      </c>
      <c r="AB19" s="17">
        <f t="shared" si="11"/>
        <v>8</v>
      </c>
      <c r="AC19" s="17">
        <f t="shared" si="11"/>
        <v>32</v>
      </c>
      <c r="AD19" s="17">
        <f t="shared" si="11"/>
        <v>0</v>
      </c>
      <c r="AE19" s="31">
        <f t="shared" si="11"/>
        <v>45</v>
      </c>
      <c r="AF19" s="31">
        <f t="shared" si="11"/>
        <v>77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2</v>
      </c>
      <c r="F20" s="50">
        <v>1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6</v>
      </c>
      <c r="M20" s="50">
        <v>2</v>
      </c>
      <c r="N20" s="50">
        <v>0</v>
      </c>
      <c r="O20" s="15">
        <f t="shared" si="0"/>
        <v>12</v>
      </c>
      <c r="P20" s="15">
        <f t="shared" si="1"/>
        <v>14</v>
      </c>
      <c r="R20" s="1" t="s">
        <v>16</v>
      </c>
      <c r="S20" s="17">
        <f t="shared" ref="S20:AF20" si="12">SUM(C50:C53)</f>
        <v>4</v>
      </c>
      <c r="T20" s="17">
        <f t="shared" si="12"/>
        <v>7</v>
      </c>
      <c r="U20" s="17">
        <f t="shared" si="12"/>
        <v>17</v>
      </c>
      <c r="V20" s="17">
        <f t="shared" si="12"/>
        <v>15</v>
      </c>
      <c r="W20" s="17">
        <f t="shared" si="12"/>
        <v>1</v>
      </c>
      <c r="X20" s="17">
        <f t="shared" si="12"/>
        <v>1</v>
      </c>
      <c r="Y20" s="17">
        <f t="shared" si="12"/>
        <v>7</v>
      </c>
      <c r="Z20" s="17">
        <f t="shared" si="12"/>
        <v>1</v>
      </c>
      <c r="AA20" s="17">
        <f t="shared" si="12"/>
        <v>2</v>
      </c>
      <c r="AB20" s="17">
        <f t="shared" si="12"/>
        <v>4</v>
      </c>
      <c r="AC20" s="17">
        <f t="shared" si="12"/>
        <v>50</v>
      </c>
      <c r="AD20" s="17">
        <f t="shared" si="12"/>
        <v>0</v>
      </c>
      <c r="AE20" s="31">
        <f t="shared" si="12"/>
        <v>59</v>
      </c>
      <c r="AF20" s="31">
        <f t="shared" si="12"/>
        <v>109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2</v>
      </c>
      <c r="F21" s="50">
        <v>3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9</v>
      </c>
      <c r="N21" s="50">
        <v>0</v>
      </c>
      <c r="O21" s="15">
        <f t="shared" si="0"/>
        <v>8</v>
      </c>
      <c r="P21" s="15">
        <f t="shared" si="1"/>
        <v>17</v>
      </c>
      <c r="R21" s="36" t="s">
        <v>20</v>
      </c>
      <c r="S21" s="34">
        <f t="shared" ref="S21:AF21" si="13">SUM(C54:C57)</f>
        <v>2</v>
      </c>
      <c r="T21" s="17">
        <f t="shared" si="13"/>
        <v>6</v>
      </c>
      <c r="U21" s="17">
        <f t="shared" si="13"/>
        <v>14</v>
      </c>
      <c r="V21" s="17">
        <f t="shared" si="13"/>
        <v>3</v>
      </c>
      <c r="W21" s="17">
        <f t="shared" si="13"/>
        <v>0</v>
      </c>
      <c r="X21" s="17">
        <f t="shared" si="13"/>
        <v>4</v>
      </c>
      <c r="Y21" s="17">
        <f t="shared" si="13"/>
        <v>11</v>
      </c>
      <c r="Z21" s="17">
        <f t="shared" si="13"/>
        <v>3</v>
      </c>
      <c r="AA21" s="17">
        <f t="shared" si="13"/>
        <v>1</v>
      </c>
      <c r="AB21" s="17">
        <f t="shared" si="13"/>
        <v>6</v>
      </c>
      <c r="AC21" s="17">
        <f t="shared" si="13"/>
        <v>38</v>
      </c>
      <c r="AD21" s="17">
        <f t="shared" si="13"/>
        <v>0</v>
      </c>
      <c r="AE21" s="31">
        <f t="shared" si="13"/>
        <v>50</v>
      </c>
      <c r="AF21" s="31">
        <f t="shared" si="13"/>
        <v>88</v>
      </c>
    </row>
    <row r="22" spans="2:32" ht="23.1" customHeight="1" x14ac:dyDescent="0.25">
      <c r="B22" s="23" t="s">
        <v>49</v>
      </c>
      <c r="C22" s="50">
        <v>5</v>
      </c>
      <c r="D22" s="50">
        <v>1</v>
      </c>
      <c r="E22" s="50">
        <v>2</v>
      </c>
      <c r="F22" s="50">
        <v>1</v>
      </c>
      <c r="G22" s="50">
        <v>0</v>
      </c>
      <c r="H22" s="50">
        <v>1</v>
      </c>
      <c r="I22" s="50">
        <v>1</v>
      </c>
      <c r="J22" s="50">
        <v>0</v>
      </c>
      <c r="K22" s="50">
        <v>1</v>
      </c>
      <c r="L22" s="50">
        <v>0</v>
      </c>
      <c r="M22" s="50">
        <v>9</v>
      </c>
      <c r="N22" s="50">
        <v>0</v>
      </c>
      <c r="O22" s="15">
        <f t="shared" si="0"/>
        <v>12</v>
      </c>
      <c r="P22" s="15">
        <f t="shared" si="1"/>
        <v>21</v>
      </c>
      <c r="R22" s="38" t="s">
        <v>90</v>
      </c>
      <c r="S22" s="39">
        <f>MAX(S10:S12)</f>
        <v>8</v>
      </c>
      <c r="T22" s="39">
        <f t="shared" ref="T22:AF22" si="14">MAX(T10:T12)</f>
        <v>2</v>
      </c>
      <c r="U22" s="39">
        <f t="shared" si="14"/>
        <v>8</v>
      </c>
      <c r="V22" s="39">
        <f t="shared" si="14"/>
        <v>11</v>
      </c>
      <c r="W22" s="39">
        <f t="shared" si="14"/>
        <v>0</v>
      </c>
      <c r="X22" s="39">
        <f t="shared" si="14"/>
        <v>3</v>
      </c>
      <c r="Y22" s="39">
        <f t="shared" si="14"/>
        <v>6</v>
      </c>
      <c r="Z22" s="39">
        <f t="shared" si="14"/>
        <v>2</v>
      </c>
      <c r="AA22" s="39">
        <f t="shared" si="14"/>
        <v>0</v>
      </c>
      <c r="AB22" s="39">
        <f t="shared" si="14"/>
        <v>11</v>
      </c>
      <c r="AC22" s="39">
        <f t="shared" si="14"/>
        <v>32</v>
      </c>
      <c r="AD22" s="39">
        <f t="shared" si="14"/>
        <v>0</v>
      </c>
      <c r="AE22" s="40">
        <f t="shared" si="14"/>
        <v>38</v>
      </c>
      <c r="AF22" s="40">
        <f t="shared" si="14"/>
        <v>66</v>
      </c>
    </row>
    <row r="23" spans="2:32" ht="23.1" customHeight="1" x14ac:dyDescent="0.25">
      <c r="B23" s="23" t="s">
        <v>50</v>
      </c>
      <c r="C23" s="50">
        <v>3</v>
      </c>
      <c r="D23" s="50">
        <v>1</v>
      </c>
      <c r="E23" s="50">
        <v>2</v>
      </c>
      <c r="F23" s="50">
        <v>3</v>
      </c>
      <c r="G23" s="50">
        <v>0</v>
      </c>
      <c r="H23" s="50">
        <v>1</v>
      </c>
      <c r="I23" s="50">
        <v>5</v>
      </c>
      <c r="J23" s="50">
        <v>0</v>
      </c>
      <c r="K23" s="50">
        <v>0</v>
      </c>
      <c r="L23" s="50">
        <v>2</v>
      </c>
      <c r="M23" s="50">
        <v>6</v>
      </c>
      <c r="N23" s="50">
        <v>0</v>
      </c>
      <c r="O23" s="15">
        <f t="shared" si="0"/>
        <v>17</v>
      </c>
      <c r="P23" s="15">
        <f t="shared" si="1"/>
        <v>23</v>
      </c>
      <c r="R23" s="38" t="s">
        <v>91</v>
      </c>
      <c r="S23" s="39">
        <f>MAX(S13:S18)</f>
        <v>11</v>
      </c>
      <c r="T23" s="39">
        <f t="shared" ref="T23:AF23" si="15">MAX(T13:T18)</f>
        <v>6</v>
      </c>
      <c r="U23" s="39">
        <f t="shared" si="15"/>
        <v>12</v>
      </c>
      <c r="V23" s="39">
        <f t="shared" si="15"/>
        <v>14</v>
      </c>
      <c r="W23" s="39">
        <f t="shared" si="15"/>
        <v>2</v>
      </c>
      <c r="X23" s="39">
        <f t="shared" si="15"/>
        <v>4</v>
      </c>
      <c r="Y23" s="39">
        <f t="shared" si="15"/>
        <v>9</v>
      </c>
      <c r="Z23" s="39">
        <f t="shared" si="15"/>
        <v>2</v>
      </c>
      <c r="AA23" s="39">
        <f t="shared" si="15"/>
        <v>2</v>
      </c>
      <c r="AB23" s="39">
        <f t="shared" si="15"/>
        <v>9</v>
      </c>
      <c r="AC23" s="39">
        <f t="shared" si="15"/>
        <v>33</v>
      </c>
      <c r="AD23" s="39">
        <f t="shared" si="15"/>
        <v>1</v>
      </c>
      <c r="AE23" s="40">
        <f t="shared" si="15"/>
        <v>55</v>
      </c>
      <c r="AF23" s="40">
        <f t="shared" si="15"/>
        <v>84</v>
      </c>
    </row>
    <row r="24" spans="2:32" ht="23.1" customHeight="1" x14ac:dyDescent="0.25">
      <c r="B24" s="23" t="s">
        <v>51</v>
      </c>
      <c r="C24" s="50">
        <v>3</v>
      </c>
      <c r="D24" s="50">
        <v>2</v>
      </c>
      <c r="E24" s="50">
        <v>3</v>
      </c>
      <c r="F24" s="50">
        <v>3</v>
      </c>
      <c r="G24" s="50">
        <v>0</v>
      </c>
      <c r="H24" s="50">
        <v>1</v>
      </c>
      <c r="I24" s="50">
        <v>0</v>
      </c>
      <c r="J24" s="50">
        <v>2</v>
      </c>
      <c r="K24" s="50">
        <v>1</v>
      </c>
      <c r="L24" s="50">
        <v>0</v>
      </c>
      <c r="M24" s="50">
        <v>6</v>
      </c>
      <c r="N24" s="50">
        <v>0</v>
      </c>
      <c r="O24" s="15">
        <f t="shared" si="0"/>
        <v>15</v>
      </c>
      <c r="P24" s="15">
        <f t="shared" si="1"/>
        <v>21</v>
      </c>
      <c r="R24" s="38" t="s">
        <v>92</v>
      </c>
      <c r="S24" s="39">
        <f>MAX(S19:S21)</f>
        <v>7</v>
      </c>
      <c r="T24" s="39">
        <f t="shared" ref="T24:AF24" si="16">MAX(T19:T21)</f>
        <v>7</v>
      </c>
      <c r="U24" s="39">
        <f t="shared" si="16"/>
        <v>17</v>
      </c>
      <c r="V24" s="39">
        <f t="shared" si="16"/>
        <v>15</v>
      </c>
      <c r="W24" s="39">
        <f t="shared" si="16"/>
        <v>1</v>
      </c>
      <c r="X24" s="39">
        <f t="shared" si="16"/>
        <v>4</v>
      </c>
      <c r="Y24" s="39">
        <f t="shared" si="16"/>
        <v>11</v>
      </c>
      <c r="Z24" s="39">
        <f t="shared" si="16"/>
        <v>3</v>
      </c>
      <c r="AA24" s="39">
        <f t="shared" si="16"/>
        <v>2</v>
      </c>
      <c r="AB24" s="39">
        <f t="shared" si="16"/>
        <v>8</v>
      </c>
      <c r="AC24" s="39">
        <f t="shared" si="16"/>
        <v>50</v>
      </c>
      <c r="AD24" s="39">
        <f t="shared" si="16"/>
        <v>0</v>
      </c>
      <c r="AE24" s="40">
        <f t="shared" si="16"/>
        <v>59</v>
      </c>
      <c r="AF24" s="40">
        <f t="shared" si="16"/>
        <v>109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2</v>
      </c>
      <c r="F25" s="50">
        <v>4</v>
      </c>
      <c r="G25" s="50">
        <v>0</v>
      </c>
      <c r="H25" s="50">
        <v>1</v>
      </c>
      <c r="I25" s="50">
        <v>1</v>
      </c>
      <c r="J25" s="50">
        <v>0</v>
      </c>
      <c r="K25" s="50">
        <v>0</v>
      </c>
      <c r="L25" s="50">
        <v>2</v>
      </c>
      <c r="M25" s="50">
        <v>5</v>
      </c>
      <c r="N25" s="50">
        <v>0</v>
      </c>
      <c r="O25" s="15">
        <f t="shared" si="0"/>
        <v>11</v>
      </c>
      <c r="P25" s="15">
        <f t="shared" si="1"/>
        <v>16</v>
      </c>
      <c r="R25" s="37" t="s">
        <v>85</v>
      </c>
      <c r="S25" s="35">
        <f t="shared" ref="S25:AF25" si="17">SUM(S10:S12)</f>
        <v>9</v>
      </c>
      <c r="T25" s="16">
        <f t="shared" si="17"/>
        <v>3</v>
      </c>
      <c r="U25" s="16">
        <f t="shared" si="17"/>
        <v>19</v>
      </c>
      <c r="V25" s="16">
        <f t="shared" si="17"/>
        <v>23</v>
      </c>
      <c r="W25" s="16">
        <f t="shared" si="17"/>
        <v>0</v>
      </c>
      <c r="X25" s="16">
        <f t="shared" si="17"/>
        <v>5</v>
      </c>
      <c r="Y25" s="16">
        <f t="shared" si="17"/>
        <v>14</v>
      </c>
      <c r="Z25" s="16">
        <f t="shared" si="17"/>
        <v>5</v>
      </c>
      <c r="AA25" s="16">
        <f t="shared" si="17"/>
        <v>0</v>
      </c>
      <c r="AB25" s="16">
        <f t="shared" si="17"/>
        <v>28</v>
      </c>
      <c r="AC25" s="16">
        <f t="shared" si="17"/>
        <v>83</v>
      </c>
      <c r="AD25" s="16">
        <f t="shared" si="17"/>
        <v>0</v>
      </c>
      <c r="AE25" s="32">
        <f t="shared" si="17"/>
        <v>106</v>
      </c>
      <c r="AF25" s="32">
        <f t="shared" si="17"/>
        <v>189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2</v>
      </c>
      <c r="K26" s="50">
        <v>0</v>
      </c>
      <c r="L26" s="50">
        <v>2</v>
      </c>
      <c r="M26" s="50">
        <v>10</v>
      </c>
      <c r="N26" s="50">
        <v>0</v>
      </c>
      <c r="O26" s="15">
        <f t="shared" si="0"/>
        <v>8</v>
      </c>
      <c r="P26" s="15">
        <f t="shared" si="1"/>
        <v>18</v>
      </c>
      <c r="R26" s="28" t="s">
        <v>86</v>
      </c>
      <c r="S26" s="16">
        <f t="shared" ref="S26:AF26" si="18">SUM(S13:S18)</f>
        <v>38</v>
      </c>
      <c r="T26" s="16">
        <f t="shared" si="18"/>
        <v>22</v>
      </c>
      <c r="U26" s="16">
        <f t="shared" si="18"/>
        <v>53</v>
      </c>
      <c r="V26" s="16">
        <f t="shared" si="18"/>
        <v>64</v>
      </c>
      <c r="W26" s="16">
        <f t="shared" si="18"/>
        <v>2</v>
      </c>
      <c r="X26" s="16">
        <f t="shared" si="18"/>
        <v>9</v>
      </c>
      <c r="Y26" s="16">
        <f t="shared" si="18"/>
        <v>30</v>
      </c>
      <c r="Z26" s="16">
        <f t="shared" si="18"/>
        <v>8</v>
      </c>
      <c r="AA26" s="16">
        <f t="shared" si="18"/>
        <v>3</v>
      </c>
      <c r="AB26" s="16">
        <f t="shared" si="18"/>
        <v>33</v>
      </c>
      <c r="AC26" s="16">
        <f t="shared" si="18"/>
        <v>152</v>
      </c>
      <c r="AD26" s="16">
        <f t="shared" si="18"/>
        <v>1</v>
      </c>
      <c r="AE26" s="32">
        <f t="shared" si="18"/>
        <v>263</v>
      </c>
      <c r="AF26" s="32">
        <f t="shared" si="18"/>
        <v>415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2</v>
      </c>
      <c r="F27" s="50">
        <v>4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4</v>
      </c>
      <c r="M27" s="50">
        <v>11</v>
      </c>
      <c r="N27" s="50">
        <v>0</v>
      </c>
      <c r="O27" s="15">
        <f t="shared" si="0"/>
        <v>13</v>
      </c>
      <c r="P27" s="15">
        <f t="shared" si="1"/>
        <v>24</v>
      </c>
      <c r="R27" s="29" t="s">
        <v>87</v>
      </c>
      <c r="S27" s="16">
        <f t="shared" ref="S27:AF27" si="19">SUM(S19:S21)</f>
        <v>13</v>
      </c>
      <c r="T27" s="16">
        <f t="shared" si="19"/>
        <v>15</v>
      </c>
      <c r="U27" s="16">
        <f t="shared" si="19"/>
        <v>39</v>
      </c>
      <c r="V27" s="16">
        <f t="shared" si="19"/>
        <v>31</v>
      </c>
      <c r="W27" s="16">
        <f t="shared" si="19"/>
        <v>1</v>
      </c>
      <c r="X27" s="16">
        <f t="shared" si="19"/>
        <v>6</v>
      </c>
      <c r="Y27" s="16">
        <f t="shared" si="19"/>
        <v>23</v>
      </c>
      <c r="Z27" s="16">
        <f t="shared" si="19"/>
        <v>5</v>
      </c>
      <c r="AA27" s="16">
        <f t="shared" si="19"/>
        <v>3</v>
      </c>
      <c r="AB27" s="16">
        <f t="shared" si="19"/>
        <v>18</v>
      </c>
      <c r="AC27" s="16">
        <f t="shared" si="19"/>
        <v>120</v>
      </c>
      <c r="AD27" s="16">
        <f t="shared" si="19"/>
        <v>0</v>
      </c>
      <c r="AE27" s="32">
        <f t="shared" si="19"/>
        <v>154</v>
      </c>
      <c r="AF27" s="32">
        <f t="shared" si="19"/>
        <v>274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2</v>
      </c>
      <c r="F28" s="50">
        <v>0</v>
      </c>
      <c r="G28" s="50">
        <v>2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5</v>
      </c>
      <c r="P28" s="15">
        <f t="shared" si="1"/>
        <v>11</v>
      </c>
      <c r="R28" s="5" t="s">
        <v>17</v>
      </c>
      <c r="S28" s="16">
        <f t="shared" ref="S28:AF28" si="20">SUM(S10:S21)</f>
        <v>60</v>
      </c>
      <c r="T28" s="16">
        <f t="shared" si="20"/>
        <v>40</v>
      </c>
      <c r="U28" s="16">
        <f t="shared" si="20"/>
        <v>111</v>
      </c>
      <c r="V28" s="16">
        <f t="shared" si="20"/>
        <v>118</v>
      </c>
      <c r="W28" s="16">
        <f t="shared" si="20"/>
        <v>3</v>
      </c>
      <c r="X28" s="16">
        <f t="shared" si="20"/>
        <v>20</v>
      </c>
      <c r="Y28" s="16">
        <f t="shared" si="20"/>
        <v>67</v>
      </c>
      <c r="Z28" s="16">
        <f t="shared" si="20"/>
        <v>18</v>
      </c>
      <c r="AA28" s="16">
        <f t="shared" si="20"/>
        <v>6</v>
      </c>
      <c r="AB28" s="16">
        <f t="shared" si="20"/>
        <v>79</v>
      </c>
      <c r="AC28" s="16">
        <f t="shared" si="20"/>
        <v>355</v>
      </c>
      <c r="AD28" s="16">
        <f t="shared" si="20"/>
        <v>1</v>
      </c>
      <c r="AE28" s="32">
        <f t="shared" si="20"/>
        <v>523</v>
      </c>
      <c r="AF28" s="32">
        <f t="shared" si="20"/>
        <v>878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5</v>
      </c>
      <c r="G29" s="50">
        <v>0</v>
      </c>
      <c r="H29" s="50">
        <v>1</v>
      </c>
      <c r="I29" s="50">
        <v>2</v>
      </c>
      <c r="J29" s="50">
        <v>0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9</v>
      </c>
      <c r="P29" s="15">
        <f t="shared" si="1"/>
        <v>13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2</v>
      </c>
      <c r="F30" s="50">
        <v>5</v>
      </c>
      <c r="G30" s="50">
        <v>0</v>
      </c>
      <c r="H30" s="50">
        <v>0</v>
      </c>
      <c r="I30" s="50">
        <v>3</v>
      </c>
      <c r="J30" s="50">
        <v>0</v>
      </c>
      <c r="K30" s="50">
        <v>0</v>
      </c>
      <c r="L30" s="50">
        <v>2</v>
      </c>
      <c r="M30" s="50">
        <v>5</v>
      </c>
      <c r="N30" s="50">
        <v>0</v>
      </c>
      <c r="O30" s="15">
        <f t="shared" si="0"/>
        <v>16</v>
      </c>
      <c r="P30" s="15">
        <f t="shared" si="1"/>
        <v>21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2</v>
      </c>
      <c r="F31" s="50">
        <v>1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8</v>
      </c>
      <c r="N31" s="50">
        <v>1</v>
      </c>
      <c r="O31" s="15">
        <f t="shared" si="0"/>
        <v>6</v>
      </c>
      <c r="P31" s="15">
        <f t="shared" si="1"/>
        <v>14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2</v>
      </c>
      <c r="F32" s="50">
        <v>2</v>
      </c>
      <c r="G32" s="50">
        <v>0</v>
      </c>
      <c r="H32" s="50">
        <v>1</v>
      </c>
      <c r="I32" s="50">
        <v>2</v>
      </c>
      <c r="J32" s="50">
        <v>0</v>
      </c>
      <c r="K32" s="50">
        <v>0</v>
      </c>
      <c r="L32" s="50">
        <v>2</v>
      </c>
      <c r="M32" s="50">
        <v>5</v>
      </c>
      <c r="N32" s="50">
        <v>0</v>
      </c>
      <c r="O32" s="15">
        <f t="shared" si="0"/>
        <v>10</v>
      </c>
      <c r="P32" s="15">
        <f t="shared" si="1"/>
        <v>15</v>
      </c>
    </row>
    <row r="33" spans="2:20" ht="23.1" customHeight="1" x14ac:dyDescent="0.25">
      <c r="B33" s="23" t="s">
        <v>60</v>
      </c>
      <c r="C33" s="50">
        <v>2</v>
      </c>
      <c r="D33" s="50">
        <v>1</v>
      </c>
      <c r="E33" s="50">
        <v>3</v>
      </c>
      <c r="F33" s="50">
        <v>6</v>
      </c>
      <c r="G33" s="50">
        <v>0</v>
      </c>
      <c r="H33" s="50">
        <v>0</v>
      </c>
      <c r="I33" s="50">
        <v>0</v>
      </c>
      <c r="J33" s="50">
        <v>0</v>
      </c>
      <c r="K33" s="50">
        <v>1</v>
      </c>
      <c r="L33" s="50">
        <v>0</v>
      </c>
      <c r="M33" s="50">
        <v>5</v>
      </c>
      <c r="N33" s="50">
        <v>0</v>
      </c>
      <c r="O33" s="15">
        <f t="shared" si="0"/>
        <v>13</v>
      </c>
      <c r="P33" s="15">
        <f t="shared" si="1"/>
        <v>18</v>
      </c>
    </row>
    <row r="34" spans="2:20" ht="23.1" customHeight="1" x14ac:dyDescent="0.25">
      <c r="B34" s="24" t="s">
        <v>61</v>
      </c>
      <c r="C34" s="50">
        <v>1</v>
      </c>
      <c r="D34" s="50">
        <v>2</v>
      </c>
      <c r="E34" s="50">
        <v>3</v>
      </c>
      <c r="F34" s="50">
        <v>3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3</v>
      </c>
      <c r="M34" s="50">
        <v>5</v>
      </c>
      <c r="N34" s="50">
        <v>0</v>
      </c>
      <c r="O34" s="15">
        <f t="shared" si="0"/>
        <v>14</v>
      </c>
      <c r="P34" s="15">
        <f t="shared" si="1"/>
        <v>19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3</v>
      </c>
      <c r="F35" s="50">
        <v>2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1</v>
      </c>
      <c r="M35" s="50">
        <v>8</v>
      </c>
      <c r="N35" s="50">
        <v>0</v>
      </c>
      <c r="O35" s="15">
        <f t="shared" si="0"/>
        <v>9</v>
      </c>
      <c r="P35" s="15">
        <f t="shared" si="1"/>
        <v>17</v>
      </c>
    </row>
    <row r="36" spans="2:20" ht="23.1" customHeight="1" x14ac:dyDescent="0.25">
      <c r="B36" s="24" t="s">
        <v>63</v>
      </c>
      <c r="C36" s="50">
        <v>4</v>
      </c>
      <c r="D36" s="50">
        <v>1</v>
      </c>
      <c r="E36" s="50">
        <v>3</v>
      </c>
      <c r="F36" s="50">
        <v>2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11</v>
      </c>
      <c r="P36" s="15">
        <f t="shared" si="1"/>
        <v>22</v>
      </c>
    </row>
    <row r="37" spans="2:20" ht="23.1" customHeight="1" x14ac:dyDescent="0.25">
      <c r="B37" s="23" t="s">
        <v>64</v>
      </c>
      <c r="C37" s="50">
        <v>1</v>
      </c>
      <c r="D37" s="50">
        <v>2</v>
      </c>
      <c r="E37" s="50">
        <v>3</v>
      </c>
      <c r="F37" s="50">
        <v>3</v>
      </c>
      <c r="G37" s="50">
        <v>0</v>
      </c>
      <c r="H37" s="50">
        <v>1</v>
      </c>
      <c r="I37" s="50">
        <v>4</v>
      </c>
      <c r="J37" s="50">
        <v>2</v>
      </c>
      <c r="K37" s="50">
        <v>0</v>
      </c>
      <c r="L37" s="50">
        <v>1</v>
      </c>
      <c r="M37" s="50">
        <v>9</v>
      </c>
      <c r="N37" s="50">
        <v>0</v>
      </c>
      <c r="O37" s="15">
        <f t="shared" si="0"/>
        <v>17</v>
      </c>
      <c r="P37" s="15">
        <f t="shared" si="1"/>
        <v>26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</v>
      </c>
      <c r="N38" s="50">
        <v>0</v>
      </c>
      <c r="O38" s="15">
        <f t="shared" si="0"/>
        <v>4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1</v>
      </c>
      <c r="D39" s="50">
        <v>1</v>
      </c>
      <c r="E39" s="50">
        <v>3</v>
      </c>
      <c r="F39" s="50">
        <v>2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7</v>
      </c>
      <c r="P39" s="15">
        <f t="shared" si="1"/>
        <v>14</v>
      </c>
    </row>
    <row r="40" spans="2:20" ht="23.1" customHeight="1" x14ac:dyDescent="0.25">
      <c r="B40" s="24" t="s">
        <v>67</v>
      </c>
      <c r="C40" s="50">
        <v>3</v>
      </c>
      <c r="D40" s="50">
        <v>2</v>
      </c>
      <c r="E40" s="50">
        <v>3</v>
      </c>
      <c r="F40" s="50">
        <v>0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4</v>
      </c>
      <c r="M40" s="50">
        <v>7</v>
      </c>
      <c r="N40" s="50">
        <v>0</v>
      </c>
      <c r="O40" s="15">
        <f t="shared" si="0"/>
        <v>14</v>
      </c>
      <c r="P40" s="15">
        <f t="shared" si="1"/>
        <v>21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2</v>
      </c>
      <c r="F41" s="50">
        <v>5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5</v>
      </c>
      <c r="M41" s="50">
        <v>2</v>
      </c>
      <c r="N41" s="50">
        <v>0</v>
      </c>
      <c r="O41" s="15">
        <f t="shared" si="0"/>
        <v>16</v>
      </c>
      <c r="P41" s="15">
        <f t="shared" si="1"/>
        <v>18</v>
      </c>
    </row>
    <row r="42" spans="2:20" ht="23.1" customHeight="1" x14ac:dyDescent="0.25">
      <c r="B42" s="24" t="s">
        <v>69</v>
      </c>
      <c r="C42" s="50">
        <v>1</v>
      </c>
      <c r="D42" s="50">
        <v>1</v>
      </c>
      <c r="E42" s="50">
        <v>3</v>
      </c>
      <c r="F42" s="50">
        <v>2</v>
      </c>
      <c r="G42" s="50">
        <v>0</v>
      </c>
      <c r="H42" s="50">
        <v>1</v>
      </c>
      <c r="I42" s="50">
        <v>0</v>
      </c>
      <c r="J42" s="50">
        <v>0</v>
      </c>
      <c r="K42" s="50">
        <v>0</v>
      </c>
      <c r="L42" s="50">
        <v>1</v>
      </c>
      <c r="M42" s="50">
        <v>3</v>
      </c>
      <c r="N42" s="50">
        <v>0</v>
      </c>
      <c r="O42" s="15">
        <f t="shared" si="0"/>
        <v>9</v>
      </c>
      <c r="P42" s="15">
        <f t="shared" si="1"/>
        <v>12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2</v>
      </c>
      <c r="F43" s="50">
        <v>2</v>
      </c>
      <c r="G43" s="50">
        <v>0</v>
      </c>
      <c r="H43" s="50">
        <v>1</v>
      </c>
      <c r="I43" s="50">
        <v>0</v>
      </c>
      <c r="J43" s="50">
        <v>0</v>
      </c>
      <c r="K43" s="50">
        <v>0</v>
      </c>
      <c r="L43" s="50">
        <v>2</v>
      </c>
      <c r="M43" s="50">
        <v>4</v>
      </c>
      <c r="N43" s="50">
        <v>0</v>
      </c>
      <c r="O43" s="15">
        <f t="shared" si="0"/>
        <v>8</v>
      </c>
      <c r="P43" s="15">
        <f t="shared" si="1"/>
        <v>12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2</v>
      </c>
      <c r="F44" s="50">
        <v>4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7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3</v>
      </c>
      <c r="D45" s="50">
        <v>2</v>
      </c>
      <c r="E45" s="50">
        <v>3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2</v>
      </c>
      <c r="M45" s="50">
        <v>6</v>
      </c>
      <c r="N45" s="50">
        <v>0</v>
      </c>
      <c r="O45" s="15">
        <f t="shared" si="0"/>
        <v>12</v>
      </c>
      <c r="P45" s="15">
        <f t="shared" si="1"/>
        <v>18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4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4</v>
      </c>
      <c r="M46" s="50">
        <v>9</v>
      </c>
      <c r="N46" s="50">
        <v>0</v>
      </c>
      <c r="O46" s="15">
        <f t="shared" si="0"/>
        <v>12</v>
      </c>
      <c r="P46" s="15">
        <f t="shared" si="1"/>
        <v>21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3</v>
      </c>
      <c r="F47" s="50">
        <v>3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1</v>
      </c>
      <c r="M47" s="50">
        <v>6</v>
      </c>
      <c r="N47" s="50">
        <v>0</v>
      </c>
      <c r="O47" s="15">
        <f t="shared" si="0"/>
        <v>12</v>
      </c>
      <c r="P47" s="15">
        <f t="shared" si="1"/>
        <v>18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1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1</v>
      </c>
      <c r="M48" s="50">
        <v>13</v>
      </c>
      <c r="N48" s="50">
        <v>0</v>
      </c>
      <c r="O48" s="15">
        <f t="shared" si="0"/>
        <v>6</v>
      </c>
      <c r="P48" s="15">
        <f t="shared" si="1"/>
        <v>19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3</v>
      </c>
      <c r="F49" s="50">
        <v>5</v>
      </c>
      <c r="G49" s="50">
        <v>0</v>
      </c>
      <c r="H49" s="50">
        <v>1</v>
      </c>
      <c r="I49" s="50">
        <v>2</v>
      </c>
      <c r="J49" s="50">
        <v>0</v>
      </c>
      <c r="K49" s="50">
        <v>0</v>
      </c>
      <c r="L49" s="50">
        <v>2</v>
      </c>
      <c r="M49" s="50">
        <v>4</v>
      </c>
      <c r="N49" s="50">
        <v>0</v>
      </c>
      <c r="O49" s="15">
        <f t="shared" si="0"/>
        <v>15</v>
      </c>
      <c r="P49" s="15">
        <f t="shared" si="1"/>
        <v>19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2</v>
      </c>
      <c r="E50" s="50">
        <v>5</v>
      </c>
      <c r="F50" s="50">
        <v>4</v>
      </c>
      <c r="G50" s="50">
        <v>0</v>
      </c>
      <c r="H50" s="50">
        <v>1</v>
      </c>
      <c r="I50" s="50">
        <v>1</v>
      </c>
      <c r="J50" s="50">
        <v>0</v>
      </c>
      <c r="K50" s="50">
        <v>1</v>
      </c>
      <c r="L50" s="50">
        <v>1</v>
      </c>
      <c r="M50" s="50">
        <v>6</v>
      </c>
      <c r="N50" s="50">
        <v>0</v>
      </c>
      <c r="O50" s="15">
        <f t="shared" si="0"/>
        <v>16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3</v>
      </c>
      <c r="F51" s="50">
        <v>4</v>
      </c>
      <c r="G51" s="50">
        <v>0</v>
      </c>
      <c r="H51" s="50">
        <v>0</v>
      </c>
      <c r="I51" s="50">
        <v>3</v>
      </c>
      <c r="J51" s="50">
        <v>1</v>
      </c>
      <c r="K51" s="50">
        <v>1</v>
      </c>
      <c r="L51" s="50">
        <v>2</v>
      </c>
      <c r="M51" s="50">
        <v>16</v>
      </c>
      <c r="N51" s="50">
        <v>0</v>
      </c>
      <c r="O51" s="15">
        <f t="shared" si="0"/>
        <v>15</v>
      </c>
      <c r="P51" s="15">
        <f t="shared" si="1"/>
        <v>31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1</v>
      </c>
      <c r="E52" s="50">
        <v>3</v>
      </c>
      <c r="F52" s="50">
        <v>1</v>
      </c>
      <c r="G52" s="50">
        <v>1</v>
      </c>
      <c r="H52" s="50">
        <v>0</v>
      </c>
      <c r="I52" s="50">
        <v>2</v>
      </c>
      <c r="J52" s="50">
        <v>0</v>
      </c>
      <c r="K52" s="50">
        <v>0</v>
      </c>
      <c r="L52" s="50">
        <v>1</v>
      </c>
      <c r="M52" s="50">
        <v>15</v>
      </c>
      <c r="N52" s="50">
        <v>0</v>
      </c>
      <c r="O52" s="15">
        <f t="shared" si="0"/>
        <v>9</v>
      </c>
      <c r="P52" s="15">
        <f t="shared" si="1"/>
        <v>24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3</v>
      </c>
      <c r="E53" s="50">
        <v>6</v>
      </c>
      <c r="F53" s="50">
        <v>6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13</v>
      </c>
      <c r="N53" s="50">
        <v>0</v>
      </c>
      <c r="O53" s="15">
        <f t="shared" si="0"/>
        <v>19</v>
      </c>
      <c r="P53" s="15">
        <f t="shared" si="1"/>
        <v>32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3</v>
      </c>
      <c r="E54" s="50">
        <v>6</v>
      </c>
      <c r="F54" s="50">
        <v>0</v>
      </c>
      <c r="G54" s="50">
        <v>0</v>
      </c>
      <c r="H54" s="50">
        <v>0</v>
      </c>
      <c r="I54" s="50">
        <v>5</v>
      </c>
      <c r="J54" s="50">
        <v>1</v>
      </c>
      <c r="K54" s="50">
        <v>0</v>
      </c>
      <c r="L54" s="50">
        <v>2</v>
      </c>
      <c r="M54" s="50">
        <v>5</v>
      </c>
      <c r="N54" s="50">
        <v>0</v>
      </c>
      <c r="O54" s="15">
        <f t="shared" si="0"/>
        <v>17</v>
      </c>
      <c r="P54" s="15">
        <f t="shared" si="1"/>
        <v>22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1</v>
      </c>
      <c r="E55" s="50">
        <v>3</v>
      </c>
      <c r="F55" s="50">
        <v>0</v>
      </c>
      <c r="G55" s="50">
        <v>0</v>
      </c>
      <c r="H55" s="50">
        <v>1</v>
      </c>
      <c r="I55" s="50">
        <v>3</v>
      </c>
      <c r="J55" s="50">
        <v>0</v>
      </c>
      <c r="K55" s="50">
        <v>0</v>
      </c>
      <c r="L55" s="50">
        <v>1</v>
      </c>
      <c r="M55" s="50">
        <v>13</v>
      </c>
      <c r="N55" s="50">
        <v>0</v>
      </c>
      <c r="O55" s="15">
        <f t="shared" si="0"/>
        <v>10</v>
      </c>
      <c r="P55" s="15">
        <f t="shared" si="1"/>
        <v>23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1</v>
      </c>
      <c r="E56" s="50">
        <v>2</v>
      </c>
      <c r="F56" s="50">
        <v>3</v>
      </c>
      <c r="G56" s="50">
        <v>0</v>
      </c>
      <c r="H56" s="50">
        <v>1</v>
      </c>
      <c r="I56" s="50">
        <v>3</v>
      </c>
      <c r="J56" s="50">
        <v>2</v>
      </c>
      <c r="K56" s="50">
        <v>0</v>
      </c>
      <c r="L56" s="50">
        <v>2</v>
      </c>
      <c r="M56" s="50">
        <v>9</v>
      </c>
      <c r="N56" s="50">
        <v>0</v>
      </c>
      <c r="O56" s="15">
        <f t="shared" si="0"/>
        <v>15</v>
      </c>
      <c r="P56" s="15">
        <f t="shared" si="1"/>
        <v>24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3</v>
      </c>
      <c r="F57" s="50">
        <v>0</v>
      </c>
      <c r="G57" s="50">
        <v>0</v>
      </c>
      <c r="H57" s="50">
        <v>2</v>
      </c>
      <c r="I57" s="50">
        <v>0</v>
      </c>
      <c r="J57" s="50">
        <v>0</v>
      </c>
      <c r="K57" s="50">
        <v>1</v>
      </c>
      <c r="L57" s="50">
        <v>1</v>
      </c>
      <c r="M57" s="50">
        <v>11</v>
      </c>
      <c r="N57" s="50">
        <v>0</v>
      </c>
      <c r="O57" s="15">
        <f t="shared" si="0"/>
        <v>8</v>
      </c>
      <c r="P57" s="15">
        <f t="shared" si="1"/>
        <v>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60</v>
      </c>
      <c r="D58" s="16">
        <f t="shared" si="21"/>
        <v>40</v>
      </c>
      <c r="E58" s="16">
        <f t="shared" si="21"/>
        <v>111</v>
      </c>
      <c r="F58" s="16">
        <f t="shared" si="21"/>
        <v>118</v>
      </c>
      <c r="G58" s="16">
        <f t="shared" si="21"/>
        <v>3</v>
      </c>
      <c r="H58" s="16">
        <f t="shared" si="21"/>
        <v>20</v>
      </c>
      <c r="I58" s="16">
        <f t="shared" si="21"/>
        <v>67</v>
      </c>
      <c r="J58" s="16">
        <f t="shared" si="21"/>
        <v>18</v>
      </c>
      <c r="K58" s="16">
        <f t="shared" si="21"/>
        <v>6</v>
      </c>
      <c r="L58" s="16">
        <f t="shared" si="21"/>
        <v>79</v>
      </c>
      <c r="M58" s="16">
        <f t="shared" si="21"/>
        <v>355</v>
      </c>
      <c r="N58" s="16">
        <f t="shared" si="21"/>
        <v>1</v>
      </c>
      <c r="O58" s="16">
        <f t="shared" si="21"/>
        <v>523</v>
      </c>
      <c r="P58" s="16">
        <f t="shared" si="21"/>
        <v>878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6.8337129840546698E-2</v>
      </c>
      <c r="D59" s="43">
        <f t="shared" si="22"/>
        <v>4.5558086560364468E-2</v>
      </c>
      <c r="E59" s="43">
        <f t="shared" si="22"/>
        <v>0.1264236902050114</v>
      </c>
      <c r="F59" s="43">
        <f t="shared" si="22"/>
        <v>0.13439635535307518</v>
      </c>
      <c r="G59" s="43">
        <f t="shared" si="22"/>
        <v>3.4168564920273349E-3</v>
      </c>
      <c r="H59" s="43">
        <f t="shared" si="22"/>
        <v>2.2779043280182234E-2</v>
      </c>
      <c r="I59" s="43">
        <f t="shared" si="22"/>
        <v>7.6309794988610472E-2</v>
      </c>
      <c r="J59" s="43">
        <f t="shared" si="22"/>
        <v>2.0501138952164009E-2</v>
      </c>
      <c r="K59" s="43">
        <f t="shared" si="22"/>
        <v>6.8337129840546698E-3</v>
      </c>
      <c r="L59" s="43">
        <f t="shared" si="22"/>
        <v>8.9977220956719811E-2</v>
      </c>
      <c r="M59" s="43">
        <f t="shared" si="22"/>
        <v>0.40432801822323461</v>
      </c>
      <c r="N59" s="43">
        <f t="shared" si="22"/>
        <v>1.1389521640091116E-3</v>
      </c>
      <c r="R59" s="8"/>
      <c r="T59"/>
    </row>
    <row r="60" spans="2:20" ht="23.1" customHeight="1" x14ac:dyDescent="0.25">
      <c r="B60" s="42" t="s">
        <v>94</v>
      </c>
      <c r="C60" s="44">
        <f>C58/$O$58</f>
        <v>0.1147227533460803</v>
      </c>
      <c r="D60" s="44">
        <f t="shared" ref="D60:N60" si="23">D58/$O$58</f>
        <v>7.6481835564053538E-2</v>
      </c>
      <c r="E60" s="44">
        <f t="shared" si="23"/>
        <v>0.21223709369024857</v>
      </c>
      <c r="F60" s="44">
        <f t="shared" si="23"/>
        <v>0.22562141491395793</v>
      </c>
      <c r="G60" s="44">
        <f t="shared" si="23"/>
        <v>5.7361376673040155E-3</v>
      </c>
      <c r="H60" s="44">
        <f t="shared" si="23"/>
        <v>3.8240917782026769E-2</v>
      </c>
      <c r="I60" s="44">
        <f t="shared" si="23"/>
        <v>0.12810707456978968</v>
      </c>
      <c r="J60" s="44">
        <f t="shared" si="23"/>
        <v>3.4416826003824091E-2</v>
      </c>
      <c r="K60" s="44">
        <f t="shared" si="23"/>
        <v>1.1472275334608031E-2</v>
      </c>
      <c r="L60" s="44">
        <f t="shared" si="23"/>
        <v>0.15105162523900573</v>
      </c>
      <c r="M60" s="44"/>
      <c r="N60" s="44">
        <f t="shared" si="23"/>
        <v>1.9120458891013384E-3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Soroti-Kumi'!C3:G3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'13.08 Kumi-Soroti'!D5</f>
        <v>13.08.19</v>
      </c>
      <c r="E5" s="3"/>
      <c r="F5" s="41" t="s">
        <v>1</v>
      </c>
      <c r="G5" s="66" t="str">
        <f>'13.08 Kumi-Soroti'!G5:H5</f>
        <v>Mukura</v>
      </c>
      <c r="H5" s="67"/>
      <c r="I5" s="14"/>
      <c r="J5" s="2" t="s">
        <v>5</v>
      </c>
      <c r="K5" s="66" t="str">
        <f>'13.08 Kumi-Soroti'!K5:L5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Soroti-Kumi'!D6:E6</f>
        <v>Soroti</v>
      </c>
      <c r="E6" s="67"/>
      <c r="F6" s="2" t="s">
        <v>2</v>
      </c>
      <c r="G6" s="66" t="str">
        <f>'08.08 Soroti-Kumi'!G6:H6</f>
        <v>Kumi</v>
      </c>
      <c r="H6" s="67"/>
      <c r="J6" s="2" t="s">
        <v>21</v>
      </c>
      <c r="K6" s="66" t="str">
        <f>'13.08 Kumi-Soroti'!K6:L6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2</v>
      </c>
      <c r="F10" s="50">
        <v>1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1</v>
      </c>
      <c r="M10" s="50">
        <v>0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2</v>
      </c>
      <c r="T10" s="17">
        <f t="shared" si="2"/>
        <v>2</v>
      </c>
      <c r="U10" s="17">
        <f t="shared" si="2"/>
        <v>7</v>
      </c>
      <c r="V10" s="17">
        <f t="shared" si="2"/>
        <v>3</v>
      </c>
      <c r="W10" s="17">
        <f t="shared" si="2"/>
        <v>0</v>
      </c>
      <c r="X10" s="17">
        <f t="shared" si="2"/>
        <v>2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18</v>
      </c>
      <c r="AD10" s="17">
        <f t="shared" si="2"/>
        <v>0</v>
      </c>
      <c r="AE10" s="31">
        <f t="shared" si="2"/>
        <v>18</v>
      </c>
      <c r="AF10" s="31">
        <f t="shared" si="2"/>
        <v>36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1</v>
      </c>
      <c r="F11" s="50">
        <v>0</v>
      </c>
      <c r="G11" s="50">
        <v>0</v>
      </c>
      <c r="H11" s="50">
        <v>1</v>
      </c>
      <c r="I11" s="50">
        <v>0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3</v>
      </c>
      <c r="P11" s="15">
        <f t="shared" si="1"/>
        <v>6</v>
      </c>
      <c r="R11" s="1" t="s">
        <v>7</v>
      </c>
      <c r="S11" s="17">
        <f t="shared" ref="S11:AF11" si="3">SUM(C14:C17)</f>
        <v>5</v>
      </c>
      <c r="T11" s="17">
        <f t="shared" si="3"/>
        <v>4</v>
      </c>
      <c r="U11" s="17">
        <f t="shared" si="3"/>
        <v>11</v>
      </c>
      <c r="V11" s="17">
        <f t="shared" si="3"/>
        <v>7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15</v>
      </c>
      <c r="AD11" s="17">
        <f t="shared" si="3"/>
        <v>0</v>
      </c>
      <c r="AE11" s="31">
        <f t="shared" si="3"/>
        <v>35</v>
      </c>
      <c r="AF11" s="31">
        <f t="shared" si="3"/>
        <v>50</v>
      </c>
    </row>
    <row r="12" spans="2:32" ht="23.1" customHeight="1" x14ac:dyDescent="0.25">
      <c r="B12" s="23" t="s">
        <v>39</v>
      </c>
      <c r="C12" s="50">
        <v>1</v>
      </c>
      <c r="D12" s="50">
        <v>1</v>
      </c>
      <c r="E12" s="50">
        <v>3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6</v>
      </c>
      <c r="P12" s="15">
        <f t="shared" si="1"/>
        <v>14</v>
      </c>
      <c r="R12" s="1" t="s">
        <v>8</v>
      </c>
      <c r="S12" s="17">
        <f t="shared" ref="S12:AF12" si="4">SUM(C18:C21)</f>
        <v>5</v>
      </c>
      <c r="T12" s="17">
        <f t="shared" si="4"/>
        <v>2</v>
      </c>
      <c r="U12" s="17">
        <f t="shared" si="4"/>
        <v>6</v>
      </c>
      <c r="V12" s="17">
        <f t="shared" si="4"/>
        <v>7</v>
      </c>
      <c r="W12" s="17">
        <f t="shared" si="4"/>
        <v>0</v>
      </c>
      <c r="X12" s="17">
        <f t="shared" si="4"/>
        <v>3</v>
      </c>
      <c r="Y12" s="17">
        <f t="shared" si="4"/>
        <v>4</v>
      </c>
      <c r="Z12" s="17">
        <f t="shared" si="4"/>
        <v>1</v>
      </c>
      <c r="AA12" s="17">
        <f t="shared" si="4"/>
        <v>1</v>
      </c>
      <c r="AB12" s="17">
        <f t="shared" si="4"/>
        <v>3</v>
      </c>
      <c r="AC12" s="17">
        <f t="shared" si="4"/>
        <v>29</v>
      </c>
      <c r="AD12" s="17">
        <f t="shared" si="4"/>
        <v>0</v>
      </c>
      <c r="AE12" s="31">
        <f t="shared" si="4"/>
        <v>32</v>
      </c>
      <c r="AF12" s="31">
        <f t="shared" si="4"/>
        <v>61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3</v>
      </c>
      <c r="P13" s="15">
        <f t="shared" si="1"/>
        <v>10</v>
      </c>
      <c r="R13" s="1" t="s">
        <v>9</v>
      </c>
      <c r="S13" s="17">
        <f t="shared" ref="S13:AF13" si="5">SUM(C22:C25)</f>
        <v>2</v>
      </c>
      <c r="T13" s="17">
        <f t="shared" si="5"/>
        <v>4</v>
      </c>
      <c r="U13" s="17">
        <f t="shared" si="5"/>
        <v>9</v>
      </c>
      <c r="V13" s="17">
        <f t="shared" si="5"/>
        <v>6</v>
      </c>
      <c r="W13" s="17">
        <f t="shared" si="5"/>
        <v>0</v>
      </c>
      <c r="X13" s="17">
        <f t="shared" si="5"/>
        <v>2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12</v>
      </c>
      <c r="AC13" s="17">
        <f t="shared" si="5"/>
        <v>14</v>
      </c>
      <c r="AD13" s="17">
        <f t="shared" si="5"/>
        <v>0</v>
      </c>
      <c r="AE13" s="31">
        <f t="shared" si="5"/>
        <v>39</v>
      </c>
      <c r="AF13" s="31">
        <f t="shared" si="5"/>
        <v>53</v>
      </c>
    </row>
    <row r="14" spans="2:32" ht="23.1" customHeight="1" x14ac:dyDescent="0.25">
      <c r="B14" s="23" t="s">
        <v>41</v>
      </c>
      <c r="C14" s="50">
        <v>3</v>
      </c>
      <c r="D14" s="50">
        <v>2</v>
      </c>
      <c r="E14" s="50">
        <v>4</v>
      </c>
      <c r="F14" s="50">
        <v>1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12</v>
      </c>
      <c r="P14" s="15">
        <f t="shared" si="1"/>
        <v>20</v>
      </c>
      <c r="R14" s="1" t="s">
        <v>10</v>
      </c>
      <c r="S14" s="17">
        <f t="shared" ref="S14:AF14" si="6">SUM(C26:C29)</f>
        <v>2</v>
      </c>
      <c r="T14" s="17">
        <f t="shared" si="6"/>
        <v>3</v>
      </c>
      <c r="U14" s="17">
        <f t="shared" si="6"/>
        <v>7</v>
      </c>
      <c r="V14" s="17">
        <f t="shared" si="6"/>
        <v>9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7</v>
      </c>
      <c r="AC14" s="17">
        <f t="shared" si="6"/>
        <v>18</v>
      </c>
      <c r="AD14" s="17">
        <f t="shared" si="6"/>
        <v>0</v>
      </c>
      <c r="AE14" s="31">
        <f t="shared" si="6"/>
        <v>32</v>
      </c>
      <c r="AF14" s="31">
        <f t="shared" si="6"/>
        <v>50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5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9</v>
      </c>
      <c r="P15" s="15">
        <f t="shared" si="1"/>
        <v>9</v>
      </c>
      <c r="R15" s="1" t="s">
        <v>11</v>
      </c>
      <c r="S15" s="17">
        <f t="shared" ref="S15:AF15" si="7">SUM(C30:C33)</f>
        <v>5</v>
      </c>
      <c r="T15" s="17">
        <f t="shared" si="7"/>
        <v>4</v>
      </c>
      <c r="U15" s="17">
        <f t="shared" si="7"/>
        <v>10</v>
      </c>
      <c r="V15" s="17">
        <f t="shared" si="7"/>
        <v>10</v>
      </c>
      <c r="W15" s="17">
        <f t="shared" si="7"/>
        <v>0</v>
      </c>
      <c r="X15" s="17">
        <f t="shared" si="7"/>
        <v>5</v>
      </c>
      <c r="Y15" s="17">
        <f t="shared" si="7"/>
        <v>7</v>
      </c>
      <c r="Z15" s="17">
        <f t="shared" si="7"/>
        <v>0</v>
      </c>
      <c r="AA15" s="17">
        <f t="shared" si="7"/>
        <v>0</v>
      </c>
      <c r="AB15" s="17">
        <f t="shared" si="7"/>
        <v>8</v>
      </c>
      <c r="AC15" s="17">
        <f t="shared" si="7"/>
        <v>20</v>
      </c>
      <c r="AD15" s="17">
        <f t="shared" si="7"/>
        <v>1</v>
      </c>
      <c r="AE15" s="31">
        <f t="shared" si="7"/>
        <v>50</v>
      </c>
      <c r="AF15" s="31">
        <f t="shared" si="7"/>
        <v>70</v>
      </c>
    </row>
    <row r="16" spans="2:32" ht="23.1" customHeight="1" x14ac:dyDescent="0.25">
      <c r="B16" s="23" t="s">
        <v>43</v>
      </c>
      <c r="C16" s="50">
        <v>1</v>
      </c>
      <c r="D16" s="50">
        <v>1</v>
      </c>
      <c r="E16" s="50">
        <v>3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2</v>
      </c>
      <c r="M16" s="50">
        <v>5</v>
      </c>
      <c r="N16" s="50">
        <v>0</v>
      </c>
      <c r="O16" s="15">
        <f t="shared" si="0"/>
        <v>8</v>
      </c>
      <c r="P16" s="15">
        <f t="shared" si="1"/>
        <v>13</v>
      </c>
      <c r="R16" s="1" t="s">
        <v>12</v>
      </c>
      <c r="S16" s="17">
        <f t="shared" ref="S16:AF16" si="8">SUM(C34:C37)</f>
        <v>3</v>
      </c>
      <c r="T16" s="17">
        <f t="shared" si="8"/>
        <v>3</v>
      </c>
      <c r="U16" s="17">
        <f t="shared" si="8"/>
        <v>9</v>
      </c>
      <c r="V16" s="17">
        <f t="shared" si="8"/>
        <v>8</v>
      </c>
      <c r="W16" s="17">
        <f t="shared" si="8"/>
        <v>0</v>
      </c>
      <c r="X16" s="17">
        <f t="shared" si="8"/>
        <v>3</v>
      </c>
      <c r="Y16" s="17">
        <f t="shared" si="8"/>
        <v>4</v>
      </c>
      <c r="Z16" s="17">
        <f t="shared" si="8"/>
        <v>0</v>
      </c>
      <c r="AA16" s="17">
        <f t="shared" si="8"/>
        <v>1</v>
      </c>
      <c r="AB16" s="17">
        <f t="shared" si="8"/>
        <v>5</v>
      </c>
      <c r="AC16" s="17">
        <f t="shared" si="8"/>
        <v>23</v>
      </c>
      <c r="AD16" s="17">
        <f t="shared" si="8"/>
        <v>0</v>
      </c>
      <c r="AE16" s="31">
        <f t="shared" si="8"/>
        <v>36</v>
      </c>
      <c r="AF16" s="31">
        <f t="shared" si="8"/>
        <v>59</v>
      </c>
    </row>
    <row r="17" spans="2:32" ht="23.1" customHeight="1" x14ac:dyDescent="0.25">
      <c r="B17" s="23" t="s">
        <v>44</v>
      </c>
      <c r="C17" s="50">
        <v>1</v>
      </c>
      <c r="D17" s="50">
        <v>1</v>
      </c>
      <c r="E17" s="50">
        <v>3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</v>
      </c>
      <c r="N17" s="50">
        <v>0</v>
      </c>
      <c r="O17" s="15">
        <f t="shared" si="0"/>
        <v>6</v>
      </c>
      <c r="P17" s="15">
        <f t="shared" si="1"/>
        <v>8</v>
      </c>
      <c r="R17" s="1" t="s">
        <v>13</v>
      </c>
      <c r="S17" s="17">
        <f t="shared" ref="S17:AF17" si="9">SUM(C38:C41)</f>
        <v>5</v>
      </c>
      <c r="T17" s="17">
        <f t="shared" si="9"/>
        <v>3</v>
      </c>
      <c r="U17" s="17">
        <f t="shared" si="9"/>
        <v>8</v>
      </c>
      <c r="V17" s="17">
        <f t="shared" si="9"/>
        <v>10</v>
      </c>
      <c r="W17" s="17">
        <f t="shared" si="9"/>
        <v>0</v>
      </c>
      <c r="X17" s="17">
        <f t="shared" si="9"/>
        <v>1</v>
      </c>
      <c r="Y17" s="17">
        <f t="shared" si="9"/>
        <v>6</v>
      </c>
      <c r="Z17" s="17">
        <f t="shared" si="9"/>
        <v>2</v>
      </c>
      <c r="AA17" s="17">
        <f t="shared" si="9"/>
        <v>0</v>
      </c>
      <c r="AB17" s="17">
        <f t="shared" si="9"/>
        <v>5</v>
      </c>
      <c r="AC17" s="17">
        <f t="shared" si="9"/>
        <v>16</v>
      </c>
      <c r="AD17" s="17">
        <f t="shared" si="9"/>
        <v>0</v>
      </c>
      <c r="AE17" s="31">
        <f t="shared" si="9"/>
        <v>40</v>
      </c>
      <c r="AF17" s="31">
        <f t="shared" si="9"/>
        <v>56</v>
      </c>
    </row>
    <row r="18" spans="2:32" ht="23.1" customHeight="1" x14ac:dyDescent="0.25">
      <c r="B18" s="23" t="s">
        <v>45</v>
      </c>
      <c r="C18" s="50">
        <v>2</v>
      </c>
      <c r="D18" s="50">
        <v>1</v>
      </c>
      <c r="E18" s="50">
        <v>2</v>
      </c>
      <c r="F18" s="50">
        <v>3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10</v>
      </c>
      <c r="P18" s="15">
        <f t="shared" si="1"/>
        <v>17</v>
      </c>
      <c r="R18" s="1" t="s">
        <v>14</v>
      </c>
      <c r="S18" s="17">
        <f t="shared" ref="S18:AF18" si="10">SUM(C42:C45)</f>
        <v>4</v>
      </c>
      <c r="T18" s="17">
        <f t="shared" si="10"/>
        <v>5</v>
      </c>
      <c r="U18" s="17">
        <f t="shared" si="10"/>
        <v>14</v>
      </c>
      <c r="V18" s="17">
        <f t="shared" si="10"/>
        <v>4</v>
      </c>
      <c r="W18" s="17">
        <f t="shared" si="10"/>
        <v>0</v>
      </c>
      <c r="X18" s="17">
        <f t="shared" si="10"/>
        <v>1</v>
      </c>
      <c r="Y18" s="17">
        <f t="shared" si="10"/>
        <v>4</v>
      </c>
      <c r="Z18" s="17">
        <f t="shared" si="10"/>
        <v>2</v>
      </c>
      <c r="AA18" s="17">
        <f t="shared" si="10"/>
        <v>0</v>
      </c>
      <c r="AB18" s="17">
        <f t="shared" si="10"/>
        <v>3</v>
      </c>
      <c r="AC18" s="17">
        <f t="shared" si="10"/>
        <v>12</v>
      </c>
      <c r="AD18" s="17">
        <f t="shared" si="10"/>
        <v>0</v>
      </c>
      <c r="AE18" s="31">
        <f t="shared" si="10"/>
        <v>37</v>
      </c>
      <c r="AF18" s="31">
        <f t="shared" si="10"/>
        <v>49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2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8</v>
      </c>
      <c r="N19" s="50">
        <v>0</v>
      </c>
      <c r="O19" s="15">
        <f t="shared" si="0"/>
        <v>6</v>
      </c>
      <c r="P19" s="15">
        <f t="shared" si="1"/>
        <v>14</v>
      </c>
      <c r="R19" s="1" t="s">
        <v>15</v>
      </c>
      <c r="S19" s="17">
        <f t="shared" ref="S19:AF19" si="11">SUM(C46:C49)</f>
        <v>5</v>
      </c>
      <c r="T19" s="17">
        <f t="shared" si="11"/>
        <v>5</v>
      </c>
      <c r="U19" s="17">
        <f t="shared" si="11"/>
        <v>12</v>
      </c>
      <c r="V19" s="17">
        <f t="shared" si="11"/>
        <v>11</v>
      </c>
      <c r="W19" s="17">
        <f t="shared" si="11"/>
        <v>2</v>
      </c>
      <c r="X19" s="17">
        <f t="shared" si="11"/>
        <v>1</v>
      </c>
      <c r="Y19" s="17">
        <f t="shared" si="11"/>
        <v>7</v>
      </c>
      <c r="Z19" s="17">
        <f t="shared" si="11"/>
        <v>4</v>
      </c>
      <c r="AA19" s="17">
        <f t="shared" si="11"/>
        <v>1</v>
      </c>
      <c r="AB19" s="17">
        <f t="shared" si="11"/>
        <v>8</v>
      </c>
      <c r="AC19" s="17">
        <f t="shared" si="11"/>
        <v>6</v>
      </c>
      <c r="AD19" s="17">
        <f t="shared" si="11"/>
        <v>0</v>
      </c>
      <c r="AE19" s="31">
        <f t="shared" si="11"/>
        <v>56</v>
      </c>
      <c r="AF19" s="31">
        <f t="shared" si="11"/>
        <v>62</v>
      </c>
    </row>
    <row r="20" spans="2:32" ht="23.1" customHeight="1" x14ac:dyDescent="0.25">
      <c r="B20" s="23" t="s">
        <v>47</v>
      </c>
      <c r="C20" s="50">
        <v>2</v>
      </c>
      <c r="D20" s="50">
        <v>1</v>
      </c>
      <c r="E20" s="50">
        <v>2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1</v>
      </c>
      <c r="L20" s="50">
        <v>1</v>
      </c>
      <c r="M20" s="50">
        <v>5</v>
      </c>
      <c r="N20" s="50">
        <v>0</v>
      </c>
      <c r="O20" s="15">
        <f t="shared" si="0"/>
        <v>9</v>
      </c>
      <c r="P20" s="15">
        <f t="shared" si="1"/>
        <v>14</v>
      </c>
      <c r="R20" s="1" t="s">
        <v>16</v>
      </c>
      <c r="S20" s="17">
        <f t="shared" ref="S20:AF20" si="12">SUM(C50:C53)</f>
        <v>2</v>
      </c>
      <c r="T20" s="17">
        <f t="shared" si="12"/>
        <v>10</v>
      </c>
      <c r="U20" s="17">
        <f t="shared" si="12"/>
        <v>22</v>
      </c>
      <c r="V20" s="17">
        <f t="shared" si="12"/>
        <v>13</v>
      </c>
      <c r="W20" s="17">
        <f t="shared" si="12"/>
        <v>0</v>
      </c>
      <c r="X20" s="17">
        <f t="shared" si="12"/>
        <v>0</v>
      </c>
      <c r="Y20" s="17">
        <f t="shared" si="12"/>
        <v>10</v>
      </c>
      <c r="Z20" s="17">
        <f t="shared" si="12"/>
        <v>6</v>
      </c>
      <c r="AA20" s="17">
        <f t="shared" si="12"/>
        <v>1</v>
      </c>
      <c r="AB20" s="17">
        <f t="shared" si="12"/>
        <v>8</v>
      </c>
      <c r="AC20" s="17">
        <f t="shared" si="12"/>
        <v>8</v>
      </c>
      <c r="AD20" s="17">
        <f t="shared" si="12"/>
        <v>0</v>
      </c>
      <c r="AE20" s="31">
        <f t="shared" si="12"/>
        <v>72</v>
      </c>
      <c r="AF20" s="31">
        <f t="shared" si="12"/>
        <v>80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1</v>
      </c>
      <c r="G21" s="50">
        <v>0</v>
      </c>
      <c r="H21" s="50">
        <v>2</v>
      </c>
      <c r="I21" s="50">
        <v>0</v>
      </c>
      <c r="J21" s="50">
        <v>1</v>
      </c>
      <c r="K21" s="50">
        <v>0</v>
      </c>
      <c r="L21" s="50">
        <v>2</v>
      </c>
      <c r="M21" s="50">
        <v>9</v>
      </c>
      <c r="N21" s="50">
        <v>0</v>
      </c>
      <c r="O21" s="15">
        <f t="shared" si="0"/>
        <v>7</v>
      </c>
      <c r="P21" s="15">
        <f t="shared" si="1"/>
        <v>16</v>
      </c>
      <c r="R21" s="36" t="s">
        <v>20</v>
      </c>
      <c r="S21" s="34">
        <f t="shared" ref="S21:AF21" si="13">SUM(C54:C57)</f>
        <v>4</v>
      </c>
      <c r="T21" s="17">
        <f t="shared" si="13"/>
        <v>1</v>
      </c>
      <c r="U21" s="17">
        <f t="shared" si="13"/>
        <v>5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8</v>
      </c>
      <c r="Z21" s="17">
        <f t="shared" si="13"/>
        <v>5</v>
      </c>
      <c r="AA21" s="17">
        <f t="shared" si="13"/>
        <v>0</v>
      </c>
      <c r="AB21" s="17">
        <f t="shared" si="13"/>
        <v>17</v>
      </c>
      <c r="AC21" s="17">
        <f t="shared" si="13"/>
        <v>17</v>
      </c>
      <c r="AD21" s="17">
        <f t="shared" si="13"/>
        <v>0</v>
      </c>
      <c r="AE21" s="31">
        <f t="shared" si="13"/>
        <v>51</v>
      </c>
      <c r="AF21" s="31">
        <f t="shared" si="13"/>
        <v>68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2</v>
      </c>
      <c r="F22" s="50">
        <v>2</v>
      </c>
      <c r="G22" s="50">
        <v>0</v>
      </c>
      <c r="H22" s="50">
        <v>1</v>
      </c>
      <c r="I22" s="50">
        <v>2</v>
      </c>
      <c r="J22" s="50">
        <v>0</v>
      </c>
      <c r="K22" s="50">
        <v>0</v>
      </c>
      <c r="L22" s="50">
        <v>4</v>
      </c>
      <c r="M22" s="50">
        <v>4</v>
      </c>
      <c r="N22" s="50">
        <v>0</v>
      </c>
      <c r="O22" s="15">
        <f t="shared" si="0"/>
        <v>12</v>
      </c>
      <c r="P22" s="15">
        <f t="shared" si="1"/>
        <v>16</v>
      </c>
      <c r="R22" s="38" t="s">
        <v>90</v>
      </c>
      <c r="S22" s="39">
        <f>MAX(S10:S12)</f>
        <v>5</v>
      </c>
      <c r="T22" s="39">
        <f t="shared" ref="T22:AF22" si="14">MAX(T10:T12)</f>
        <v>4</v>
      </c>
      <c r="U22" s="39">
        <f t="shared" si="14"/>
        <v>11</v>
      </c>
      <c r="V22" s="39">
        <f t="shared" si="14"/>
        <v>7</v>
      </c>
      <c r="W22" s="39">
        <f t="shared" si="14"/>
        <v>0</v>
      </c>
      <c r="X22" s="39">
        <f t="shared" si="14"/>
        <v>3</v>
      </c>
      <c r="Y22" s="39">
        <f t="shared" si="14"/>
        <v>6</v>
      </c>
      <c r="Z22" s="39">
        <f t="shared" si="14"/>
        <v>1</v>
      </c>
      <c r="AA22" s="39">
        <f t="shared" si="14"/>
        <v>1</v>
      </c>
      <c r="AB22" s="39">
        <f t="shared" si="14"/>
        <v>3</v>
      </c>
      <c r="AC22" s="39">
        <f t="shared" si="14"/>
        <v>29</v>
      </c>
      <c r="AD22" s="39">
        <f t="shared" si="14"/>
        <v>0</v>
      </c>
      <c r="AE22" s="40">
        <f t="shared" si="14"/>
        <v>35</v>
      </c>
      <c r="AF22" s="40">
        <f t="shared" si="14"/>
        <v>61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3</v>
      </c>
      <c r="F23" s="50">
        <v>0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6</v>
      </c>
      <c r="P23" s="15">
        <f t="shared" si="1"/>
        <v>8</v>
      </c>
      <c r="R23" s="38" t="s">
        <v>91</v>
      </c>
      <c r="S23" s="39">
        <f>MAX(S13:S18)</f>
        <v>5</v>
      </c>
      <c r="T23" s="39">
        <f t="shared" ref="T23:AF23" si="15">MAX(T13:T18)</f>
        <v>5</v>
      </c>
      <c r="U23" s="39">
        <f t="shared" si="15"/>
        <v>14</v>
      </c>
      <c r="V23" s="39">
        <f t="shared" si="15"/>
        <v>10</v>
      </c>
      <c r="W23" s="39">
        <f t="shared" si="15"/>
        <v>0</v>
      </c>
      <c r="X23" s="39">
        <f t="shared" si="15"/>
        <v>5</v>
      </c>
      <c r="Y23" s="39">
        <f t="shared" si="15"/>
        <v>7</v>
      </c>
      <c r="Z23" s="39">
        <f t="shared" si="15"/>
        <v>2</v>
      </c>
      <c r="AA23" s="39">
        <f t="shared" si="15"/>
        <v>1</v>
      </c>
      <c r="AB23" s="39">
        <f t="shared" si="15"/>
        <v>12</v>
      </c>
      <c r="AC23" s="39">
        <f t="shared" si="15"/>
        <v>23</v>
      </c>
      <c r="AD23" s="39">
        <f t="shared" si="15"/>
        <v>1</v>
      </c>
      <c r="AE23" s="40">
        <f t="shared" si="15"/>
        <v>50</v>
      </c>
      <c r="AF23" s="40">
        <f t="shared" si="15"/>
        <v>70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3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4</v>
      </c>
      <c r="M24" s="50">
        <v>2</v>
      </c>
      <c r="N24" s="50">
        <v>0</v>
      </c>
      <c r="O24" s="15">
        <f t="shared" si="0"/>
        <v>8</v>
      </c>
      <c r="P24" s="15">
        <f t="shared" si="1"/>
        <v>10</v>
      </c>
      <c r="R24" s="38" t="s">
        <v>92</v>
      </c>
      <c r="S24" s="39">
        <f>MAX(S19:S21)</f>
        <v>5</v>
      </c>
      <c r="T24" s="39">
        <f t="shared" ref="T24:AF24" si="16">MAX(T19:T21)</f>
        <v>10</v>
      </c>
      <c r="U24" s="39">
        <f t="shared" si="16"/>
        <v>22</v>
      </c>
      <c r="V24" s="39">
        <f t="shared" si="16"/>
        <v>13</v>
      </c>
      <c r="W24" s="39">
        <f t="shared" si="16"/>
        <v>2</v>
      </c>
      <c r="X24" s="39">
        <f t="shared" si="16"/>
        <v>1</v>
      </c>
      <c r="Y24" s="39">
        <f t="shared" si="16"/>
        <v>10</v>
      </c>
      <c r="Z24" s="39">
        <f t="shared" si="16"/>
        <v>6</v>
      </c>
      <c r="AA24" s="39">
        <f t="shared" si="16"/>
        <v>1</v>
      </c>
      <c r="AB24" s="39">
        <f t="shared" si="16"/>
        <v>17</v>
      </c>
      <c r="AC24" s="39">
        <f t="shared" si="16"/>
        <v>17</v>
      </c>
      <c r="AD24" s="39">
        <f t="shared" si="16"/>
        <v>0</v>
      </c>
      <c r="AE24" s="40">
        <f t="shared" si="16"/>
        <v>72</v>
      </c>
      <c r="AF24" s="40">
        <f t="shared" si="16"/>
        <v>80</v>
      </c>
    </row>
    <row r="25" spans="2:32" ht="23.1" customHeight="1" x14ac:dyDescent="0.25">
      <c r="B25" s="23" t="s">
        <v>52</v>
      </c>
      <c r="C25" s="50">
        <v>1</v>
      </c>
      <c r="D25" s="50">
        <v>2</v>
      </c>
      <c r="E25" s="50">
        <v>4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4</v>
      </c>
      <c r="M25" s="50">
        <v>6</v>
      </c>
      <c r="N25" s="50">
        <v>0</v>
      </c>
      <c r="O25" s="15">
        <f t="shared" si="0"/>
        <v>13</v>
      </c>
      <c r="P25" s="15">
        <f t="shared" si="1"/>
        <v>19</v>
      </c>
      <c r="R25" s="37" t="s">
        <v>85</v>
      </c>
      <c r="S25" s="35">
        <f t="shared" ref="S25:AF25" si="17">SUM(S10:S12)</f>
        <v>12</v>
      </c>
      <c r="T25" s="16">
        <f t="shared" si="17"/>
        <v>8</v>
      </c>
      <c r="U25" s="16">
        <f t="shared" si="17"/>
        <v>24</v>
      </c>
      <c r="V25" s="16">
        <f t="shared" si="17"/>
        <v>17</v>
      </c>
      <c r="W25" s="16">
        <f t="shared" si="17"/>
        <v>0</v>
      </c>
      <c r="X25" s="16">
        <f t="shared" si="17"/>
        <v>5</v>
      </c>
      <c r="Y25" s="16">
        <f t="shared" si="17"/>
        <v>11</v>
      </c>
      <c r="Z25" s="16">
        <f t="shared" si="17"/>
        <v>1</v>
      </c>
      <c r="AA25" s="16">
        <f t="shared" si="17"/>
        <v>1</v>
      </c>
      <c r="AB25" s="16">
        <f t="shared" si="17"/>
        <v>6</v>
      </c>
      <c r="AC25" s="16">
        <f t="shared" si="17"/>
        <v>62</v>
      </c>
      <c r="AD25" s="16">
        <f t="shared" si="17"/>
        <v>0</v>
      </c>
      <c r="AE25" s="32">
        <f t="shared" si="17"/>
        <v>85</v>
      </c>
      <c r="AF25" s="32">
        <f t="shared" si="17"/>
        <v>147</v>
      </c>
    </row>
    <row r="26" spans="2:32" ht="23.1" customHeight="1" x14ac:dyDescent="0.25">
      <c r="B26" s="23" t="s">
        <v>53</v>
      </c>
      <c r="C26" s="50">
        <v>0</v>
      </c>
      <c r="D26" s="50">
        <v>2</v>
      </c>
      <c r="E26" s="50">
        <v>4</v>
      </c>
      <c r="F26" s="50">
        <v>1</v>
      </c>
      <c r="G26" s="50">
        <v>0</v>
      </c>
      <c r="H26" s="50">
        <v>1</v>
      </c>
      <c r="I26" s="50">
        <v>0</v>
      </c>
      <c r="J26" s="50">
        <v>0</v>
      </c>
      <c r="K26" s="50">
        <v>0</v>
      </c>
      <c r="L26" s="50">
        <v>1</v>
      </c>
      <c r="M26" s="50">
        <v>3</v>
      </c>
      <c r="N26" s="50">
        <v>0</v>
      </c>
      <c r="O26" s="15">
        <f t="shared" si="0"/>
        <v>9</v>
      </c>
      <c r="P26" s="15">
        <f t="shared" si="1"/>
        <v>12</v>
      </c>
      <c r="R26" s="28" t="s">
        <v>86</v>
      </c>
      <c r="S26" s="16">
        <f t="shared" ref="S26:AF26" si="18">SUM(S13:S18)</f>
        <v>21</v>
      </c>
      <c r="T26" s="16">
        <f t="shared" si="18"/>
        <v>22</v>
      </c>
      <c r="U26" s="16">
        <f t="shared" si="18"/>
        <v>57</v>
      </c>
      <c r="V26" s="16">
        <f t="shared" si="18"/>
        <v>47</v>
      </c>
      <c r="W26" s="16">
        <f t="shared" si="18"/>
        <v>0</v>
      </c>
      <c r="X26" s="16">
        <f t="shared" si="18"/>
        <v>13</v>
      </c>
      <c r="Y26" s="16">
        <f t="shared" si="18"/>
        <v>27</v>
      </c>
      <c r="Z26" s="16">
        <f t="shared" si="18"/>
        <v>5</v>
      </c>
      <c r="AA26" s="16">
        <f t="shared" si="18"/>
        <v>1</v>
      </c>
      <c r="AB26" s="16">
        <f t="shared" si="18"/>
        <v>40</v>
      </c>
      <c r="AC26" s="16">
        <f t="shared" si="18"/>
        <v>103</v>
      </c>
      <c r="AD26" s="16">
        <f t="shared" si="18"/>
        <v>1</v>
      </c>
      <c r="AE26" s="32">
        <f t="shared" si="18"/>
        <v>234</v>
      </c>
      <c r="AF26" s="32">
        <f t="shared" si="18"/>
        <v>337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2</v>
      </c>
      <c r="M27" s="50">
        <v>5</v>
      </c>
      <c r="N27" s="50">
        <v>0</v>
      </c>
      <c r="O27" s="15">
        <f t="shared" si="0"/>
        <v>5</v>
      </c>
      <c r="P27" s="15">
        <f t="shared" si="1"/>
        <v>10</v>
      </c>
      <c r="R27" s="29" t="s">
        <v>87</v>
      </c>
      <c r="S27" s="16">
        <f t="shared" ref="S27:AF27" si="19">SUM(S19:S21)</f>
        <v>11</v>
      </c>
      <c r="T27" s="16">
        <f t="shared" si="19"/>
        <v>16</v>
      </c>
      <c r="U27" s="16">
        <f t="shared" si="19"/>
        <v>39</v>
      </c>
      <c r="V27" s="16">
        <f t="shared" si="19"/>
        <v>35</v>
      </c>
      <c r="W27" s="16">
        <f t="shared" si="19"/>
        <v>2</v>
      </c>
      <c r="X27" s="16">
        <f t="shared" si="19"/>
        <v>1</v>
      </c>
      <c r="Y27" s="16">
        <f t="shared" si="19"/>
        <v>25</v>
      </c>
      <c r="Z27" s="16">
        <f t="shared" si="19"/>
        <v>15</v>
      </c>
      <c r="AA27" s="16">
        <f t="shared" si="19"/>
        <v>2</v>
      </c>
      <c r="AB27" s="16">
        <f t="shared" si="19"/>
        <v>33</v>
      </c>
      <c r="AC27" s="16">
        <f t="shared" si="19"/>
        <v>31</v>
      </c>
      <c r="AD27" s="16">
        <f t="shared" si="19"/>
        <v>0</v>
      </c>
      <c r="AE27" s="32">
        <f t="shared" si="19"/>
        <v>179</v>
      </c>
      <c r="AF27" s="32">
        <f t="shared" si="19"/>
        <v>210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2</v>
      </c>
      <c r="F28" s="50">
        <v>4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3</v>
      </c>
      <c r="M28" s="50">
        <v>4</v>
      </c>
      <c r="N28" s="50">
        <v>0</v>
      </c>
      <c r="O28" s="15">
        <f t="shared" si="0"/>
        <v>12</v>
      </c>
      <c r="P28" s="15">
        <f t="shared" si="1"/>
        <v>16</v>
      </c>
      <c r="R28" s="5" t="s">
        <v>17</v>
      </c>
      <c r="S28" s="16">
        <f t="shared" ref="S28:AF28" si="20">SUM(S10:S21)</f>
        <v>44</v>
      </c>
      <c r="T28" s="16">
        <f t="shared" si="20"/>
        <v>46</v>
      </c>
      <c r="U28" s="16">
        <f t="shared" si="20"/>
        <v>120</v>
      </c>
      <c r="V28" s="16">
        <f t="shared" si="20"/>
        <v>99</v>
      </c>
      <c r="W28" s="16">
        <f t="shared" si="20"/>
        <v>2</v>
      </c>
      <c r="X28" s="16">
        <f t="shared" si="20"/>
        <v>19</v>
      </c>
      <c r="Y28" s="16">
        <f t="shared" si="20"/>
        <v>63</v>
      </c>
      <c r="Z28" s="16">
        <f t="shared" si="20"/>
        <v>21</v>
      </c>
      <c r="AA28" s="16">
        <f t="shared" si="20"/>
        <v>4</v>
      </c>
      <c r="AB28" s="16">
        <f t="shared" si="20"/>
        <v>79</v>
      </c>
      <c r="AC28" s="16">
        <f t="shared" si="20"/>
        <v>196</v>
      </c>
      <c r="AD28" s="16">
        <f t="shared" si="20"/>
        <v>1</v>
      </c>
      <c r="AE28" s="32">
        <f t="shared" si="20"/>
        <v>498</v>
      </c>
      <c r="AF28" s="32">
        <f t="shared" si="20"/>
        <v>694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2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1</v>
      </c>
      <c r="M29" s="50">
        <v>6</v>
      </c>
      <c r="N29" s="50">
        <v>0</v>
      </c>
      <c r="O29" s="15">
        <f t="shared" si="0"/>
        <v>6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2</v>
      </c>
      <c r="F30" s="50">
        <v>4</v>
      </c>
      <c r="G30" s="50">
        <v>0</v>
      </c>
      <c r="H30" s="50">
        <v>1</v>
      </c>
      <c r="I30" s="50">
        <v>3</v>
      </c>
      <c r="J30" s="50">
        <v>0</v>
      </c>
      <c r="K30" s="50">
        <v>0</v>
      </c>
      <c r="L30" s="50">
        <v>4</v>
      </c>
      <c r="M30" s="50">
        <v>5</v>
      </c>
      <c r="N30" s="50">
        <v>1</v>
      </c>
      <c r="O30" s="15">
        <f t="shared" si="0"/>
        <v>16</v>
      </c>
      <c r="P30" s="15">
        <f t="shared" si="1"/>
        <v>21</v>
      </c>
    </row>
    <row r="31" spans="2:32" ht="23.1" customHeight="1" x14ac:dyDescent="0.25">
      <c r="B31" s="24" t="s">
        <v>58</v>
      </c>
      <c r="C31" s="50">
        <v>3</v>
      </c>
      <c r="D31" s="50">
        <v>2</v>
      </c>
      <c r="E31" s="50">
        <v>5</v>
      </c>
      <c r="F31" s="50">
        <v>2</v>
      </c>
      <c r="G31" s="50">
        <v>0</v>
      </c>
      <c r="H31" s="50">
        <v>3</v>
      </c>
      <c r="I31" s="50">
        <v>3</v>
      </c>
      <c r="J31" s="50">
        <v>0</v>
      </c>
      <c r="K31" s="50">
        <v>0</v>
      </c>
      <c r="L31" s="50">
        <v>0</v>
      </c>
      <c r="M31" s="50">
        <v>10</v>
      </c>
      <c r="N31" s="50">
        <v>0</v>
      </c>
      <c r="O31" s="15">
        <f t="shared" si="0"/>
        <v>18</v>
      </c>
      <c r="P31" s="15">
        <f t="shared" si="1"/>
        <v>28</v>
      </c>
    </row>
    <row r="32" spans="2:32" ht="23.1" customHeight="1" x14ac:dyDescent="0.25">
      <c r="B32" s="24" t="s">
        <v>59</v>
      </c>
      <c r="C32" s="50">
        <v>1</v>
      </c>
      <c r="D32" s="50">
        <v>1</v>
      </c>
      <c r="E32" s="50">
        <v>2</v>
      </c>
      <c r="F32" s="50">
        <v>3</v>
      </c>
      <c r="G32" s="50">
        <v>0</v>
      </c>
      <c r="H32" s="50">
        <v>1</v>
      </c>
      <c r="I32" s="50">
        <v>0</v>
      </c>
      <c r="J32" s="50">
        <v>0</v>
      </c>
      <c r="K32" s="50">
        <v>0</v>
      </c>
      <c r="L32" s="50">
        <v>1</v>
      </c>
      <c r="M32" s="50">
        <v>2</v>
      </c>
      <c r="N32" s="50">
        <v>0</v>
      </c>
      <c r="O32" s="15">
        <f t="shared" si="0"/>
        <v>9</v>
      </c>
      <c r="P32" s="15">
        <f t="shared" si="1"/>
        <v>11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3</v>
      </c>
      <c r="M33" s="50">
        <v>3</v>
      </c>
      <c r="N33" s="50">
        <v>0</v>
      </c>
      <c r="O33" s="15">
        <f t="shared" si="0"/>
        <v>7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3</v>
      </c>
      <c r="F34" s="50">
        <v>5</v>
      </c>
      <c r="G34" s="50">
        <v>0</v>
      </c>
      <c r="H34" s="50">
        <v>1</v>
      </c>
      <c r="I34" s="50">
        <v>2</v>
      </c>
      <c r="J34" s="50">
        <v>0</v>
      </c>
      <c r="K34" s="50">
        <v>0</v>
      </c>
      <c r="L34" s="50">
        <v>2</v>
      </c>
      <c r="M34" s="50">
        <v>9</v>
      </c>
      <c r="N34" s="50">
        <v>0</v>
      </c>
      <c r="O34" s="15">
        <f t="shared" si="0"/>
        <v>15</v>
      </c>
      <c r="P34" s="15">
        <f t="shared" si="1"/>
        <v>24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2</v>
      </c>
      <c r="F35" s="50">
        <v>0</v>
      </c>
      <c r="G35" s="50">
        <v>0</v>
      </c>
      <c r="H35" s="50">
        <v>1</v>
      </c>
      <c r="I35" s="50">
        <v>0</v>
      </c>
      <c r="J35" s="50">
        <v>0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6</v>
      </c>
      <c r="P35" s="15">
        <f t="shared" si="1"/>
        <v>10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1</v>
      </c>
      <c r="F36" s="50">
        <v>2</v>
      </c>
      <c r="G36" s="50">
        <v>0</v>
      </c>
      <c r="H36" s="50">
        <v>1</v>
      </c>
      <c r="I36" s="50">
        <v>1</v>
      </c>
      <c r="J36" s="50">
        <v>0</v>
      </c>
      <c r="K36" s="50">
        <v>1</v>
      </c>
      <c r="L36" s="50">
        <v>0</v>
      </c>
      <c r="M36" s="50">
        <v>6</v>
      </c>
      <c r="N36" s="50">
        <v>0</v>
      </c>
      <c r="O36" s="15">
        <f t="shared" si="0"/>
        <v>6</v>
      </c>
      <c r="P36" s="15">
        <f t="shared" si="1"/>
        <v>12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3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3</v>
      </c>
      <c r="M37" s="50">
        <v>4</v>
      </c>
      <c r="N37" s="50">
        <v>0</v>
      </c>
      <c r="O37" s="15">
        <f t="shared" si="0"/>
        <v>9</v>
      </c>
      <c r="P37" s="15">
        <f t="shared" si="1"/>
        <v>13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2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3</v>
      </c>
      <c r="M38" s="50">
        <v>3</v>
      </c>
      <c r="N38" s="50">
        <v>0</v>
      </c>
      <c r="O38" s="15">
        <f t="shared" si="0"/>
        <v>7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2</v>
      </c>
      <c r="D39" s="50">
        <v>1</v>
      </c>
      <c r="E39" s="50">
        <v>3</v>
      </c>
      <c r="F39" s="50">
        <v>6</v>
      </c>
      <c r="G39" s="50">
        <v>0</v>
      </c>
      <c r="H39" s="50">
        <v>1</v>
      </c>
      <c r="I39" s="50">
        <v>1</v>
      </c>
      <c r="J39" s="50">
        <v>1</v>
      </c>
      <c r="K39" s="50">
        <v>0</v>
      </c>
      <c r="L39" s="50">
        <v>2</v>
      </c>
      <c r="M39" s="50">
        <v>5</v>
      </c>
      <c r="N39" s="50">
        <v>0</v>
      </c>
      <c r="O39" s="15">
        <f t="shared" si="0"/>
        <v>17</v>
      </c>
      <c r="P39" s="15">
        <f t="shared" si="1"/>
        <v>22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1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4</v>
      </c>
      <c r="P40" s="15">
        <f t="shared" si="1"/>
        <v>9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2</v>
      </c>
      <c r="F41" s="50">
        <v>3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12</v>
      </c>
      <c r="P41" s="15">
        <f t="shared" si="1"/>
        <v>15</v>
      </c>
    </row>
    <row r="42" spans="2:20" ht="23.1" customHeight="1" x14ac:dyDescent="0.25">
      <c r="B42" s="24" t="s">
        <v>69</v>
      </c>
      <c r="C42" s="50">
        <v>1</v>
      </c>
      <c r="D42" s="50">
        <v>1</v>
      </c>
      <c r="E42" s="50">
        <v>3</v>
      </c>
      <c r="F42" s="50">
        <v>1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2</v>
      </c>
      <c r="M42" s="50">
        <v>3</v>
      </c>
      <c r="N42" s="50">
        <v>0</v>
      </c>
      <c r="O42" s="15">
        <f t="shared" si="0"/>
        <v>11</v>
      </c>
      <c r="P42" s="15">
        <f t="shared" si="1"/>
        <v>14</v>
      </c>
    </row>
    <row r="43" spans="2:20" ht="23.1" customHeight="1" x14ac:dyDescent="0.25">
      <c r="B43" s="23" t="s">
        <v>70</v>
      </c>
      <c r="C43" s="50">
        <v>0</v>
      </c>
      <c r="D43" s="50">
        <v>1</v>
      </c>
      <c r="E43" s="50">
        <v>3</v>
      </c>
      <c r="F43" s="50">
        <v>1</v>
      </c>
      <c r="G43" s="50">
        <v>0</v>
      </c>
      <c r="H43" s="50">
        <v>1</v>
      </c>
      <c r="I43" s="50">
        <v>0</v>
      </c>
      <c r="J43" s="50">
        <v>1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7</v>
      </c>
      <c r="P43" s="15">
        <f t="shared" si="1"/>
        <v>12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3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4</v>
      </c>
      <c r="N44" s="50">
        <v>0</v>
      </c>
      <c r="O44" s="15">
        <f t="shared" si="0"/>
        <v>5</v>
      </c>
      <c r="P44" s="15">
        <f t="shared" si="1"/>
        <v>9</v>
      </c>
    </row>
    <row r="45" spans="2:20" ht="23.1" customHeight="1" x14ac:dyDescent="0.25">
      <c r="B45" s="23" t="s">
        <v>72</v>
      </c>
      <c r="C45" s="50">
        <v>3</v>
      </c>
      <c r="D45" s="50">
        <v>2</v>
      </c>
      <c r="E45" s="50">
        <v>5</v>
      </c>
      <c r="F45" s="50">
        <v>2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1</v>
      </c>
      <c r="M45" s="50">
        <v>0</v>
      </c>
      <c r="N45" s="50">
        <v>0</v>
      </c>
      <c r="O45" s="15">
        <f t="shared" si="0"/>
        <v>14</v>
      </c>
      <c r="P45" s="15">
        <f t="shared" si="1"/>
        <v>14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5</v>
      </c>
      <c r="G46" s="50">
        <v>2</v>
      </c>
      <c r="H46" s="50">
        <v>0</v>
      </c>
      <c r="I46" s="50">
        <v>0</v>
      </c>
      <c r="J46" s="50">
        <v>2</v>
      </c>
      <c r="K46" s="50">
        <v>0</v>
      </c>
      <c r="L46" s="50">
        <v>3</v>
      </c>
      <c r="M46" s="50">
        <v>1</v>
      </c>
      <c r="N46" s="50">
        <v>0</v>
      </c>
      <c r="O46" s="15">
        <f t="shared" si="0"/>
        <v>14</v>
      </c>
      <c r="P46" s="15">
        <f t="shared" si="1"/>
        <v>15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3</v>
      </c>
      <c r="F47" s="50">
        <v>1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2</v>
      </c>
      <c r="M47" s="50">
        <v>1</v>
      </c>
      <c r="N47" s="50">
        <v>0</v>
      </c>
      <c r="O47" s="15">
        <f t="shared" si="0"/>
        <v>10</v>
      </c>
      <c r="P47" s="15">
        <f t="shared" si="1"/>
        <v>11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2</v>
      </c>
      <c r="E48" s="50">
        <v>4</v>
      </c>
      <c r="F48" s="50">
        <v>3</v>
      </c>
      <c r="G48" s="50">
        <v>0</v>
      </c>
      <c r="H48" s="50">
        <v>1</v>
      </c>
      <c r="I48" s="50">
        <v>4</v>
      </c>
      <c r="J48" s="50">
        <v>1</v>
      </c>
      <c r="K48" s="50">
        <v>0</v>
      </c>
      <c r="L48" s="50">
        <v>1</v>
      </c>
      <c r="M48" s="50">
        <v>4</v>
      </c>
      <c r="N48" s="50">
        <v>0</v>
      </c>
      <c r="O48" s="15">
        <f t="shared" si="0"/>
        <v>18</v>
      </c>
      <c r="P48" s="15">
        <f t="shared" si="1"/>
        <v>22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2</v>
      </c>
      <c r="E49" s="50">
        <v>4</v>
      </c>
      <c r="F49" s="50">
        <v>2</v>
      </c>
      <c r="G49" s="50">
        <v>0</v>
      </c>
      <c r="H49" s="50">
        <v>0</v>
      </c>
      <c r="I49" s="50">
        <v>3</v>
      </c>
      <c r="J49" s="50">
        <v>0</v>
      </c>
      <c r="K49" s="50">
        <v>1</v>
      </c>
      <c r="L49" s="50">
        <v>2</v>
      </c>
      <c r="M49" s="50">
        <v>0</v>
      </c>
      <c r="N49" s="50">
        <v>0</v>
      </c>
      <c r="O49" s="15">
        <f t="shared" si="0"/>
        <v>14</v>
      </c>
      <c r="P49" s="15">
        <f t="shared" si="1"/>
        <v>14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2</v>
      </c>
      <c r="E50" s="50">
        <v>4</v>
      </c>
      <c r="F50" s="50">
        <v>3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4</v>
      </c>
      <c r="M50" s="50">
        <v>3</v>
      </c>
      <c r="N50" s="50">
        <v>0</v>
      </c>
      <c r="O50" s="15">
        <f t="shared" si="0"/>
        <v>15</v>
      </c>
      <c r="P50" s="15">
        <f t="shared" si="1"/>
        <v>18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2</v>
      </c>
      <c r="E51" s="50">
        <v>5</v>
      </c>
      <c r="F51" s="50">
        <v>3</v>
      </c>
      <c r="G51" s="50">
        <v>0</v>
      </c>
      <c r="H51" s="50">
        <v>0</v>
      </c>
      <c r="I51" s="50">
        <v>5</v>
      </c>
      <c r="J51" s="50">
        <v>4</v>
      </c>
      <c r="K51" s="50">
        <v>0</v>
      </c>
      <c r="L51" s="50">
        <v>2</v>
      </c>
      <c r="M51" s="50">
        <v>0</v>
      </c>
      <c r="N51" s="50">
        <v>0</v>
      </c>
      <c r="O51" s="15">
        <f t="shared" si="0"/>
        <v>22</v>
      </c>
      <c r="P51" s="15">
        <f t="shared" si="1"/>
        <v>22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4</v>
      </c>
      <c r="E52" s="50">
        <v>8</v>
      </c>
      <c r="F52" s="50">
        <v>3</v>
      </c>
      <c r="G52" s="50">
        <v>0</v>
      </c>
      <c r="H52" s="50">
        <v>0</v>
      </c>
      <c r="I52" s="50">
        <v>1</v>
      </c>
      <c r="J52" s="50">
        <v>0</v>
      </c>
      <c r="K52" s="50">
        <v>1</v>
      </c>
      <c r="L52" s="50">
        <v>1</v>
      </c>
      <c r="M52" s="50">
        <v>1</v>
      </c>
      <c r="N52" s="50">
        <v>0</v>
      </c>
      <c r="O52" s="15">
        <f t="shared" si="0"/>
        <v>19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2</v>
      </c>
      <c r="E53" s="50">
        <v>5</v>
      </c>
      <c r="F53" s="50">
        <v>4</v>
      </c>
      <c r="G53" s="50">
        <v>0</v>
      </c>
      <c r="H53" s="50">
        <v>0</v>
      </c>
      <c r="I53" s="50">
        <v>3</v>
      </c>
      <c r="J53" s="50">
        <v>1</v>
      </c>
      <c r="K53" s="50">
        <v>0</v>
      </c>
      <c r="L53" s="50">
        <v>1</v>
      </c>
      <c r="M53" s="50">
        <v>4</v>
      </c>
      <c r="N53" s="50">
        <v>0</v>
      </c>
      <c r="O53" s="15">
        <f t="shared" si="0"/>
        <v>16</v>
      </c>
      <c r="P53" s="15">
        <f t="shared" si="1"/>
        <v>20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9</v>
      </c>
      <c r="M54" s="50">
        <v>1</v>
      </c>
      <c r="N54" s="50">
        <v>0</v>
      </c>
      <c r="O54" s="15">
        <f t="shared" si="0"/>
        <v>15</v>
      </c>
      <c r="P54" s="15">
        <f t="shared" si="1"/>
        <v>16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5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7</v>
      </c>
      <c r="P55" s="15">
        <f t="shared" si="1"/>
        <v>8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1</v>
      </c>
      <c r="E56" s="50">
        <v>2</v>
      </c>
      <c r="F56" s="50">
        <v>1</v>
      </c>
      <c r="G56" s="50">
        <v>0</v>
      </c>
      <c r="H56" s="50">
        <v>0</v>
      </c>
      <c r="I56" s="50">
        <v>3</v>
      </c>
      <c r="J56" s="50">
        <v>2</v>
      </c>
      <c r="K56" s="50">
        <v>0</v>
      </c>
      <c r="L56" s="50">
        <v>7</v>
      </c>
      <c r="M56" s="50">
        <v>8</v>
      </c>
      <c r="N56" s="50">
        <v>0</v>
      </c>
      <c r="O56" s="15">
        <f t="shared" si="0"/>
        <v>18</v>
      </c>
      <c r="P56" s="15">
        <f t="shared" si="1"/>
        <v>26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1</v>
      </c>
      <c r="F57" s="50">
        <v>4</v>
      </c>
      <c r="G57" s="50">
        <v>0</v>
      </c>
      <c r="H57" s="50">
        <v>0</v>
      </c>
      <c r="I57" s="50">
        <v>2</v>
      </c>
      <c r="J57" s="50">
        <v>2</v>
      </c>
      <c r="K57" s="50">
        <v>0</v>
      </c>
      <c r="L57" s="50">
        <v>1</v>
      </c>
      <c r="M57" s="50">
        <v>7</v>
      </c>
      <c r="N57" s="50">
        <v>0</v>
      </c>
      <c r="O57" s="15">
        <f t="shared" si="0"/>
        <v>11</v>
      </c>
      <c r="P57" s="15">
        <f t="shared" si="1"/>
        <v>18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44</v>
      </c>
      <c r="D58" s="16">
        <f t="shared" si="21"/>
        <v>46</v>
      </c>
      <c r="E58" s="16">
        <f t="shared" si="21"/>
        <v>120</v>
      </c>
      <c r="F58" s="16">
        <f t="shared" si="21"/>
        <v>99</v>
      </c>
      <c r="G58" s="16">
        <f t="shared" si="21"/>
        <v>2</v>
      </c>
      <c r="H58" s="16">
        <f t="shared" si="21"/>
        <v>19</v>
      </c>
      <c r="I58" s="16">
        <f t="shared" si="21"/>
        <v>63</v>
      </c>
      <c r="J58" s="16">
        <f t="shared" si="21"/>
        <v>21</v>
      </c>
      <c r="K58" s="16">
        <f t="shared" si="21"/>
        <v>4</v>
      </c>
      <c r="L58" s="16">
        <f t="shared" si="21"/>
        <v>79</v>
      </c>
      <c r="M58" s="16">
        <f t="shared" si="21"/>
        <v>196</v>
      </c>
      <c r="N58" s="16">
        <f t="shared" si="21"/>
        <v>1</v>
      </c>
      <c r="O58" s="16">
        <f t="shared" si="21"/>
        <v>498</v>
      </c>
      <c r="P58" s="16">
        <f t="shared" si="21"/>
        <v>694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6.3400576368876083E-2</v>
      </c>
      <c r="D59" s="43">
        <f t="shared" si="22"/>
        <v>6.6282420749279536E-2</v>
      </c>
      <c r="E59" s="43">
        <f t="shared" si="22"/>
        <v>0.1729106628242075</v>
      </c>
      <c r="F59" s="43">
        <f t="shared" si="22"/>
        <v>0.14265129682997119</v>
      </c>
      <c r="G59" s="43">
        <f t="shared" si="22"/>
        <v>2.881844380403458E-3</v>
      </c>
      <c r="H59" s="43">
        <f t="shared" si="22"/>
        <v>2.7377521613832854E-2</v>
      </c>
      <c r="I59" s="43">
        <f t="shared" si="22"/>
        <v>9.077809798270893E-2</v>
      </c>
      <c r="J59" s="43">
        <f t="shared" si="22"/>
        <v>3.0259365994236311E-2</v>
      </c>
      <c r="K59" s="43">
        <f t="shared" si="22"/>
        <v>5.763688760806916E-3</v>
      </c>
      <c r="L59" s="43">
        <f t="shared" si="22"/>
        <v>0.1138328530259366</v>
      </c>
      <c r="M59" s="43">
        <f t="shared" si="22"/>
        <v>0.28242074927953892</v>
      </c>
      <c r="N59" s="43">
        <f t="shared" si="22"/>
        <v>1.440922190201729E-3</v>
      </c>
      <c r="R59" s="8"/>
      <c r="T59"/>
    </row>
    <row r="60" spans="2:20" ht="23.1" customHeight="1" x14ac:dyDescent="0.25">
      <c r="B60" s="42" t="s">
        <v>94</v>
      </c>
      <c r="C60" s="44">
        <f>C58/$O$58</f>
        <v>8.8353413654618476E-2</v>
      </c>
      <c r="D60" s="44">
        <f t="shared" ref="D60:N60" si="23">D58/$O$58</f>
        <v>9.2369477911646583E-2</v>
      </c>
      <c r="E60" s="44">
        <f t="shared" si="23"/>
        <v>0.24096385542168675</v>
      </c>
      <c r="F60" s="44">
        <f t="shared" si="23"/>
        <v>0.19879518072289157</v>
      </c>
      <c r="G60" s="44">
        <f t="shared" si="23"/>
        <v>4.0160642570281121E-3</v>
      </c>
      <c r="H60" s="44">
        <f t="shared" si="23"/>
        <v>3.8152610441767071E-2</v>
      </c>
      <c r="I60" s="44">
        <f t="shared" si="23"/>
        <v>0.12650602409638553</v>
      </c>
      <c r="J60" s="44">
        <f t="shared" si="23"/>
        <v>4.2168674698795178E-2</v>
      </c>
      <c r="K60" s="44">
        <f t="shared" si="23"/>
        <v>8.0321285140562242E-3</v>
      </c>
      <c r="L60" s="44">
        <f t="shared" si="23"/>
        <v>0.15863453815261044</v>
      </c>
      <c r="M60" s="44"/>
      <c r="N60" s="44">
        <f t="shared" si="23"/>
        <v>2.008032128514056E-3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L10" sqref="L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Kumi-Soroti'!C3:G3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 t="str">
        <f>'10.08 Soroti-Kumi-24h'!G5:H5</f>
        <v>Mukura</v>
      </c>
      <c r="H5" s="67"/>
      <c r="I5" s="14"/>
      <c r="J5" s="2" t="s">
        <v>5</v>
      </c>
      <c r="K5" s="66" t="str">
        <f>'10.08 Soroti-Kumi-24h'!K5:L5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Kumi-Soroti'!D6:E6</f>
        <v>Kumi</v>
      </c>
      <c r="E6" s="67"/>
      <c r="F6" s="2" t="s">
        <v>2</v>
      </c>
      <c r="G6" s="66" t="str">
        <f>'08.08 Kumi-Soroti'!G6:H6</f>
        <v>Soroti</v>
      </c>
      <c r="H6" s="67"/>
      <c r="J6" s="2" t="s">
        <v>21</v>
      </c>
      <c r="K6" s="66" t="str">
        <f>'10.08 Soroti-Kumi-24h'!K6:L6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2</v>
      </c>
      <c r="F10" s="50">
        <v>2</v>
      </c>
      <c r="G10" s="50">
        <v>1</v>
      </c>
      <c r="H10" s="50">
        <v>0</v>
      </c>
      <c r="I10" s="50">
        <v>1</v>
      </c>
      <c r="J10" s="50">
        <v>0</v>
      </c>
      <c r="K10" s="50">
        <v>0</v>
      </c>
      <c r="L10" s="50">
        <v>3</v>
      </c>
      <c r="M10" s="50">
        <v>8</v>
      </c>
      <c r="N10" s="50">
        <v>0</v>
      </c>
      <c r="O10" s="15">
        <f t="shared" ref="O10:O57" si="0">SUM(C10:L10,N10)</f>
        <v>11</v>
      </c>
      <c r="P10" s="15">
        <f t="shared" ref="P10:P57" si="1">SUM(C10:N10)</f>
        <v>19</v>
      </c>
      <c r="R10" s="1" t="s">
        <v>6</v>
      </c>
      <c r="S10" s="17">
        <f t="shared" ref="S10:AF10" si="2">SUM(C10:C13)</f>
        <v>6</v>
      </c>
      <c r="T10" s="17">
        <f t="shared" si="2"/>
        <v>1</v>
      </c>
      <c r="U10" s="17">
        <f t="shared" si="2"/>
        <v>4</v>
      </c>
      <c r="V10" s="17">
        <f t="shared" si="2"/>
        <v>7</v>
      </c>
      <c r="W10" s="17">
        <f t="shared" si="2"/>
        <v>3</v>
      </c>
      <c r="X10" s="17">
        <f t="shared" si="2"/>
        <v>2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8</v>
      </c>
      <c r="AC10" s="17">
        <f t="shared" si="2"/>
        <v>34</v>
      </c>
      <c r="AD10" s="17">
        <f t="shared" si="2"/>
        <v>0</v>
      </c>
      <c r="AE10" s="31">
        <f t="shared" si="2"/>
        <v>34</v>
      </c>
      <c r="AF10" s="31">
        <f t="shared" si="2"/>
        <v>68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1</v>
      </c>
      <c r="F11" s="50">
        <v>1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2</v>
      </c>
      <c r="M11" s="50">
        <v>9</v>
      </c>
      <c r="N11" s="50">
        <v>0</v>
      </c>
      <c r="O11" s="15">
        <f t="shared" si="0"/>
        <v>9</v>
      </c>
      <c r="P11" s="15">
        <f t="shared" si="1"/>
        <v>18</v>
      </c>
      <c r="R11" s="1" t="s">
        <v>7</v>
      </c>
      <c r="S11" s="17">
        <f t="shared" ref="S11:AF11" si="3">SUM(C14:C17)</f>
        <v>4</v>
      </c>
      <c r="T11" s="17">
        <f t="shared" si="3"/>
        <v>2</v>
      </c>
      <c r="U11" s="17">
        <f t="shared" si="3"/>
        <v>6</v>
      </c>
      <c r="V11" s="17">
        <f t="shared" si="3"/>
        <v>9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3</v>
      </c>
      <c r="AA11" s="17">
        <f t="shared" si="3"/>
        <v>0</v>
      </c>
      <c r="AB11" s="17">
        <f t="shared" si="3"/>
        <v>12</v>
      </c>
      <c r="AC11" s="17">
        <f t="shared" si="3"/>
        <v>29</v>
      </c>
      <c r="AD11" s="17">
        <f t="shared" si="3"/>
        <v>0</v>
      </c>
      <c r="AE11" s="31">
        <f t="shared" si="3"/>
        <v>39</v>
      </c>
      <c r="AF11" s="31">
        <f t="shared" si="3"/>
        <v>68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2</v>
      </c>
      <c r="G12" s="50">
        <v>1</v>
      </c>
      <c r="H12" s="50">
        <v>2</v>
      </c>
      <c r="I12" s="50">
        <v>1</v>
      </c>
      <c r="J12" s="50">
        <v>0</v>
      </c>
      <c r="K12" s="50">
        <v>0</v>
      </c>
      <c r="L12" s="50">
        <v>2</v>
      </c>
      <c r="M12" s="50">
        <v>10</v>
      </c>
      <c r="N12" s="50">
        <v>0</v>
      </c>
      <c r="O12" s="15">
        <f t="shared" si="0"/>
        <v>8</v>
      </c>
      <c r="P12" s="15">
        <f t="shared" si="1"/>
        <v>18</v>
      </c>
      <c r="R12" s="1" t="s">
        <v>8</v>
      </c>
      <c r="S12" s="17">
        <f t="shared" ref="S12:AF12" si="4">SUM(C18:C21)</f>
        <v>2</v>
      </c>
      <c r="T12" s="17">
        <f t="shared" si="4"/>
        <v>2</v>
      </c>
      <c r="U12" s="17">
        <f t="shared" si="4"/>
        <v>6</v>
      </c>
      <c r="V12" s="17">
        <f t="shared" si="4"/>
        <v>10</v>
      </c>
      <c r="W12" s="17">
        <f t="shared" si="4"/>
        <v>2</v>
      </c>
      <c r="X12" s="17">
        <f t="shared" si="4"/>
        <v>1</v>
      </c>
      <c r="Y12" s="17">
        <f t="shared" si="4"/>
        <v>6</v>
      </c>
      <c r="Z12" s="17">
        <f t="shared" si="4"/>
        <v>1</v>
      </c>
      <c r="AA12" s="17">
        <f t="shared" si="4"/>
        <v>0</v>
      </c>
      <c r="AB12" s="17">
        <f t="shared" si="4"/>
        <v>9</v>
      </c>
      <c r="AC12" s="17">
        <f t="shared" si="4"/>
        <v>31</v>
      </c>
      <c r="AD12" s="17">
        <f t="shared" si="4"/>
        <v>0</v>
      </c>
      <c r="AE12" s="31">
        <f t="shared" si="4"/>
        <v>39</v>
      </c>
      <c r="AF12" s="31">
        <f t="shared" si="4"/>
        <v>70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2</v>
      </c>
      <c r="G13" s="50">
        <v>1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7</v>
      </c>
      <c r="N13" s="50">
        <v>0</v>
      </c>
      <c r="O13" s="15">
        <f t="shared" si="0"/>
        <v>6</v>
      </c>
      <c r="P13" s="15">
        <f t="shared" si="1"/>
        <v>13</v>
      </c>
      <c r="R13" s="1" t="s">
        <v>9</v>
      </c>
      <c r="S13" s="17">
        <f t="shared" ref="S13:AF13" si="5">SUM(C22:C25)</f>
        <v>8</v>
      </c>
      <c r="T13" s="17">
        <f t="shared" si="5"/>
        <v>5</v>
      </c>
      <c r="U13" s="17">
        <f t="shared" si="5"/>
        <v>12</v>
      </c>
      <c r="V13" s="17">
        <f t="shared" si="5"/>
        <v>12</v>
      </c>
      <c r="W13" s="17">
        <f t="shared" si="5"/>
        <v>0</v>
      </c>
      <c r="X13" s="17">
        <f t="shared" si="5"/>
        <v>5</v>
      </c>
      <c r="Y13" s="17">
        <f t="shared" si="5"/>
        <v>3</v>
      </c>
      <c r="Z13" s="17">
        <f t="shared" si="5"/>
        <v>0</v>
      </c>
      <c r="AA13" s="17">
        <f t="shared" si="5"/>
        <v>1</v>
      </c>
      <c r="AB13" s="17">
        <f t="shared" si="5"/>
        <v>5</v>
      </c>
      <c r="AC13" s="17">
        <f t="shared" si="5"/>
        <v>31</v>
      </c>
      <c r="AD13" s="17">
        <f t="shared" si="5"/>
        <v>0</v>
      </c>
      <c r="AE13" s="31">
        <f t="shared" si="5"/>
        <v>51</v>
      </c>
      <c r="AF13" s="31">
        <f t="shared" si="5"/>
        <v>82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1</v>
      </c>
      <c r="F14" s="50">
        <v>2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2</v>
      </c>
      <c r="M14" s="50">
        <v>7</v>
      </c>
      <c r="N14" s="50">
        <v>0</v>
      </c>
      <c r="O14" s="15">
        <f t="shared" si="0"/>
        <v>8</v>
      </c>
      <c r="P14" s="15">
        <f t="shared" si="1"/>
        <v>15</v>
      </c>
      <c r="R14" s="1" t="s">
        <v>10</v>
      </c>
      <c r="S14" s="17">
        <f t="shared" ref="S14:AF14" si="6">SUM(C26:C29)</f>
        <v>6</v>
      </c>
      <c r="T14" s="17">
        <f t="shared" si="6"/>
        <v>7</v>
      </c>
      <c r="U14" s="17">
        <f t="shared" si="6"/>
        <v>17</v>
      </c>
      <c r="V14" s="17">
        <f t="shared" si="6"/>
        <v>10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1</v>
      </c>
      <c r="AA14" s="17">
        <f t="shared" si="6"/>
        <v>0</v>
      </c>
      <c r="AB14" s="17">
        <f t="shared" si="6"/>
        <v>5</v>
      </c>
      <c r="AC14" s="17">
        <f t="shared" si="6"/>
        <v>37</v>
      </c>
      <c r="AD14" s="17">
        <f t="shared" si="6"/>
        <v>0</v>
      </c>
      <c r="AE14" s="31">
        <f t="shared" si="6"/>
        <v>54</v>
      </c>
      <c r="AF14" s="31">
        <f t="shared" si="6"/>
        <v>91</v>
      </c>
    </row>
    <row r="15" spans="2:32" ht="23.1" customHeight="1" x14ac:dyDescent="0.25">
      <c r="B15" s="23" t="s">
        <v>42</v>
      </c>
      <c r="C15" s="50">
        <v>1</v>
      </c>
      <c r="D15" s="50">
        <v>1</v>
      </c>
      <c r="E15" s="50">
        <v>2</v>
      </c>
      <c r="F15" s="50">
        <v>3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3</v>
      </c>
      <c r="M15" s="50">
        <v>10</v>
      </c>
      <c r="N15" s="50">
        <v>0</v>
      </c>
      <c r="O15" s="15">
        <f t="shared" si="0"/>
        <v>12</v>
      </c>
      <c r="P15" s="15">
        <f t="shared" si="1"/>
        <v>22</v>
      </c>
      <c r="R15" s="1" t="s">
        <v>11</v>
      </c>
      <c r="S15" s="17">
        <f t="shared" ref="S15:AF15" si="7">SUM(C30:C33)</f>
        <v>8</v>
      </c>
      <c r="T15" s="17">
        <f t="shared" si="7"/>
        <v>8</v>
      </c>
      <c r="U15" s="17">
        <f t="shared" si="7"/>
        <v>16</v>
      </c>
      <c r="V15" s="17">
        <f t="shared" si="7"/>
        <v>12</v>
      </c>
      <c r="W15" s="17">
        <f t="shared" si="7"/>
        <v>1</v>
      </c>
      <c r="X15" s="17">
        <f t="shared" si="7"/>
        <v>2</v>
      </c>
      <c r="Y15" s="17">
        <f t="shared" si="7"/>
        <v>4</v>
      </c>
      <c r="Z15" s="17">
        <f t="shared" si="7"/>
        <v>2</v>
      </c>
      <c r="AA15" s="17">
        <f t="shared" si="7"/>
        <v>1</v>
      </c>
      <c r="AB15" s="17">
        <f t="shared" si="7"/>
        <v>7</v>
      </c>
      <c r="AC15" s="17">
        <f t="shared" si="7"/>
        <v>34</v>
      </c>
      <c r="AD15" s="17">
        <f t="shared" si="7"/>
        <v>0</v>
      </c>
      <c r="AE15" s="31">
        <f t="shared" si="7"/>
        <v>61</v>
      </c>
      <c r="AF15" s="31">
        <f t="shared" si="7"/>
        <v>95</v>
      </c>
    </row>
    <row r="16" spans="2:32" ht="23.1" customHeight="1" x14ac:dyDescent="0.25">
      <c r="B16" s="23" t="s">
        <v>43</v>
      </c>
      <c r="C16" s="50">
        <v>2</v>
      </c>
      <c r="D16" s="50">
        <v>1</v>
      </c>
      <c r="E16" s="50">
        <v>2</v>
      </c>
      <c r="F16" s="50">
        <v>2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4</v>
      </c>
      <c r="M16" s="50">
        <v>6</v>
      </c>
      <c r="N16" s="50">
        <v>0</v>
      </c>
      <c r="O16" s="15">
        <f t="shared" si="0"/>
        <v>12</v>
      </c>
      <c r="P16" s="15">
        <f t="shared" si="1"/>
        <v>18</v>
      </c>
      <c r="R16" s="1" t="s">
        <v>12</v>
      </c>
      <c r="S16" s="17">
        <f t="shared" ref="S16:AF16" si="8">SUM(C34:C37)</f>
        <v>11</v>
      </c>
      <c r="T16" s="17">
        <f t="shared" si="8"/>
        <v>9</v>
      </c>
      <c r="U16" s="17">
        <f t="shared" si="8"/>
        <v>20</v>
      </c>
      <c r="V16" s="17">
        <f t="shared" si="8"/>
        <v>14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3</v>
      </c>
      <c r="AA16" s="17">
        <f t="shared" si="8"/>
        <v>0</v>
      </c>
      <c r="AB16" s="17">
        <f t="shared" si="8"/>
        <v>6</v>
      </c>
      <c r="AC16" s="17">
        <f t="shared" si="8"/>
        <v>30</v>
      </c>
      <c r="AD16" s="17">
        <f t="shared" si="8"/>
        <v>0</v>
      </c>
      <c r="AE16" s="31">
        <f t="shared" si="8"/>
        <v>72</v>
      </c>
      <c r="AF16" s="31">
        <f t="shared" si="8"/>
        <v>102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3</v>
      </c>
      <c r="M17" s="50">
        <v>6</v>
      </c>
      <c r="N17" s="50">
        <v>0</v>
      </c>
      <c r="O17" s="15">
        <f t="shared" si="0"/>
        <v>7</v>
      </c>
      <c r="P17" s="15">
        <f t="shared" si="1"/>
        <v>13</v>
      </c>
      <c r="R17" s="1" t="s">
        <v>13</v>
      </c>
      <c r="S17" s="17">
        <f t="shared" ref="S17:AF17" si="9">SUM(C38:C41)</f>
        <v>6</v>
      </c>
      <c r="T17" s="17">
        <f t="shared" si="9"/>
        <v>6</v>
      </c>
      <c r="U17" s="17">
        <f t="shared" si="9"/>
        <v>14</v>
      </c>
      <c r="V17" s="17">
        <f t="shared" si="9"/>
        <v>13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0</v>
      </c>
      <c r="AA17" s="17">
        <f t="shared" si="9"/>
        <v>1</v>
      </c>
      <c r="AB17" s="17">
        <f t="shared" si="9"/>
        <v>6</v>
      </c>
      <c r="AC17" s="17">
        <f t="shared" si="9"/>
        <v>33</v>
      </c>
      <c r="AD17" s="17">
        <f t="shared" si="9"/>
        <v>0</v>
      </c>
      <c r="AE17" s="31">
        <f t="shared" si="9"/>
        <v>55</v>
      </c>
      <c r="AF17" s="31">
        <f t="shared" si="9"/>
        <v>88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3</v>
      </c>
      <c r="F18" s="50">
        <v>3</v>
      </c>
      <c r="G18" s="50">
        <v>2</v>
      </c>
      <c r="H18" s="50">
        <v>1</v>
      </c>
      <c r="I18" s="50">
        <v>2</v>
      </c>
      <c r="J18" s="50">
        <v>0</v>
      </c>
      <c r="K18" s="50">
        <v>0</v>
      </c>
      <c r="L18" s="50">
        <v>0</v>
      </c>
      <c r="M18" s="50">
        <v>5</v>
      </c>
      <c r="N18" s="50">
        <v>0</v>
      </c>
      <c r="O18" s="15">
        <f t="shared" si="0"/>
        <v>12</v>
      </c>
      <c r="P18" s="15">
        <f t="shared" si="1"/>
        <v>17</v>
      </c>
      <c r="R18" s="1" t="s">
        <v>14</v>
      </c>
      <c r="S18" s="17">
        <f t="shared" ref="S18:AF18" si="10">SUM(C42:C45)</f>
        <v>4</v>
      </c>
      <c r="T18" s="17">
        <f t="shared" si="10"/>
        <v>10</v>
      </c>
      <c r="U18" s="17">
        <f t="shared" si="10"/>
        <v>22</v>
      </c>
      <c r="V18" s="17">
        <f t="shared" si="10"/>
        <v>15</v>
      </c>
      <c r="W18" s="17">
        <f t="shared" si="10"/>
        <v>1</v>
      </c>
      <c r="X18" s="17">
        <f t="shared" si="10"/>
        <v>4</v>
      </c>
      <c r="Y18" s="17">
        <f t="shared" si="10"/>
        <v>6</v>
      </c>
      <c r="Z18" s="17">
        <f t="shared" si="10"/>
        <v>1</v>
      </c>
      <c r="AA18" s="17">
        <f t="shared" si="10"/>
        <v>2</v>
      </c>
      <c r="AB18" s="17">
        <f t="shared" si="10"/>
        <v>15</v>
      </c>
      <c r="AC18" s="17">
        <f t="shared" si="10"/>
        <v>24</v>
      </c>
      <c r="AD18" s="17">
        <f t="shared" si="10"/>
        <v>0</v>
      </c>
      <c r="AE18" s="31">
        <f t="shared" si="10"/>
        <v>80</v>
      </c>
      <c r="AF18" s="31">
        <f t="shared" si="10"/>
        <v>104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3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3</v>
      </c>
      <c r="M19" s="50">
        <v>8</v>
      </c>
      <c r="N19" s="50">
        <v>0</v>
      </c>
      <c r="O19" s="15">
        <f t="shared" si="0"/>
        <v>8</v>
      </c>
      <c r="P19" s="15">
        <f t="shared" si="1"/>
        <v>16</v>
      </c>
      <c r="R19" s="1" t="s">
        <v>15</v>
      </c>
      <c r="S19" s="17">
        <f t="shared" ref="S19:AF19" si="11">SUM(C46:C49)</f>
        <v>5</v>
      </c>
      <c r="T19" s="17">
        <f t="shared" si="11"/>
        <v>4</v>
      </c>
      <c r="U19" s="17">
        <f t="shared" si="11"/>
        <v>8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2</v>
      </c>
      <c r="AA19" s="17">
        <f t="shared" si="11"/>
        <v>0</v>
      </c>
      <c r="AB19" s="17">
        <f t="shared" si="11"/>
        <v>9</v>
      </c>
      <c r="AC19" s="17">
        <f t="shared" si="11"/>
        <v>12</v>
      </c>
      <c r="AD19" s="17">
        <f t="shared" si="11"/>
        <v>0</v>
      </c>
      <c r="AE19" s="31">
        <f t="shared" si="11"/>
        <v>44</v>
      </c>
      <c r="AF19" s="31">
        <f t="shared" si="11"/>
        <v>56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3</v>
      </c>
      <c r="M20" s="50">
        <v>6</v>
      </c>
      <c r="N20" s="50">
        <v>0</v>
      </c>
      <c r="O20" s="15">
        <f t="shared" si="0"/>
        <v>8</v>
      </c>
      <c r="P20" s="15">
        <f t="shared" si="1"/>
        <v>14</v>
      </c>
      <c r="R20" s="1" t="s">
        <v>16</v>
      </c>
      <c r="S20" s="17">
        <f t="shared" ref="S20:AF20" si="12">SUM(C50:C53)</f>
        <v>2</v>
      </c>
      <c r="T20" s="17">
        <f t="shared" si="12"/>
        <v>6</v>
      </c>
      <c r="U20" s="17">
        <f t="shared" si="12"/>
        <v>14</v>
      </c>
      <c r="V20" s="17">
        <f t="shared" si="12"/>
        <v>10</v>
      </c>
      <c r="W20" s="17">
        <f t="shared" si="12"/>
        <v>0</v>
      </c>
      <c r="X20" s="17">
        <f t="shared" si="12"/>
        <v>3</v>
      </c>
      <c r="Y20" s="17">
        <f t="shared" si="12"/>
        <v>6</v>
      </c>
      <c r="Z20" s="17">
        <f t="shared" si="12"/>
        <v>1</v>
      </c>
      <c r="AA20" s="17">
        <f t="shared" si="12"/>
        <v>4</v>
      </c>
      <c r="AB20" s="17">
        <f t="shared" si="12"/>
        <v>12</v>
      </c>
      <c r="AC20" s="17">
        <f t="shared" si="12"/>
        <v>23</v>
      </c>
      <c r="AD20" s="17">
        <f t="shared" si="12"/>
        <v>0</v>
      </c>
      <c r="AE20" s="31">
        <f t="shared" si="12"/>
        <v>58</v>
      </c>
      <c r="AF20" s="31">
        <f t="shared" si="12"/>
        <v>81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2</v>
      </c>
      <c r="F21" s="50">
        <v>2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3</v>
      </c>
      <c r="M21" s="50">
        <v>12</v>
      </c>
      <c r="N21" s="50">
        <v>0</v>
      </c>
      <c r="O21" s="15">
        <f t="shared" si="0"/>
        <v>11</v>
      </c>
      <c r="P21" s="15">
        <f t="shared" si="1"/>
        <v>23</v>
      </c>
      <c r="R21" s="36" t="s">
        <v>20</v>
      </c>
      <c r="S21" s="34">
        <f t="shared" ref="S21:AF21" si="13">SUM(C54:C57)</f>
        <v>9</v>
      </c>
      <c r="T21" s="17">
        <f t="shared" si="13"/>
        <v>7</v>
      </c>
      <c r="U21" s="17">
        <f t="shared" si="13"/>
        <v>16</v>
      </c>
      <c r="V21" s="17">
        <f t="shared" si="13"/>
        <v>9</v>
      </c>
      <c r="W21" s="17">
        <f t="shared" si="13"/>
        <v>1</v>
      </c>
      <c r="X21" s="17">
        <f t="shared" si="13"/>
        <v>1</v>
      </c>
      <c r="Y21" s="17">
        <f t="shared" si="13"/>
        <v>7</v>
      </c>
      <c r="Z21" s="17">
        <f t="shared" si="13"/>
        <v>0</v>
      </c>
      <c r="AA21" s="17">
        <f t="shared" si="13"/>
        <v>0</v>
      </c>
      <c r="AB21" s="17">
        <f t="shared" si="13"/>
        <v>8</v>
      </c>
      <c r="AC21" s="17">
        <f t="shared" si="13"/>
        <v>56</v>
      </c>
      <c r="AD21" s="17">
        <f t="shared" si="13"/>
        <v>0</v>
      </c>
      <c r="AE21" s="31">
        <f t="shared" si="13"/>
        <v>58</v>
      </c>
      <c r="AF21" s="31">
        <f t="shared" si="13"/>
        <v>114</v>
      </c>
    </row>
    <row r="22" spans="2:32" ht="23.1" customHeight="1" x14ac:dyDescent="0.25">
      <c r="B22" s="23" t="s">
        <v>49</v>
      </c>
      <c r="C22" s="50">
        <v>4</v>
      </c>
      <c r="D22" s="50">
        <v>1</v>
      </c>
      <c r="E22" s="50">
        <v>2</v>
      </c>
      <c r="F22" s="50">
        <v>3</v>
      </c>
      <c r="G22" s="50">
        <v>0</v>
      </c>
      <c r="H22" s="50">
        <v>3</v>
      </c>
      <c r="I22" s="50">
        <v>1</v>
      </c>
      <c r="J22" s="50">
        <v>0</v>
      </c>
      <c r="K22" s="50">
        <v>0</v>
      </c>
      <c r="L22" s="50">
        <v>2</v>
      </c>
      <c r="M22" s="50">
        <v>9</v>
      </c>
      <c r="N22" s="50">
        <v>0</v>
      </c>
      <c r="O22" s="15">
        <f t="shared" si="0"/>
        <v>16</v>
      </c>
      <c r="P22" s="15">
        <f t="shared" si="1"/>
        <v>25</v>
      </c>
      <c r="R22" s="38" t="s">
        <v>90</v>
      </c>
      <c r="S22" s="39">
        <f>MAX(S10:S12)</f>
        <v>6</v>
      </c>
      <c r="T22" s="39">
        <f t="shared" ref="T22:AF22" si="14">MAX(T10:T12)</f>
        <v>2</v>
      </c>
      <c r="U22" s="39">
        <f t="shared" si="14"/>
        <v>6</v>
      </c>
      <c r="V22" s="39">
        <f t="shared" si="14"/>
        <v>10</v>
      </c>
      <c r="W22" s="39">
        <f t="shared" si="14"/>
        <v>3</v>
      </c>
      <c r="X22" s="39">
        <f t="shared" si="14"/>
        <v>2</v>
      </c>
      <c r="Y22" s="39">
        <f t="shared" si="14"/>
        <v>6</v>
      </c>
      <c r="Z22" s="39">
        <f t="shared" si="14"/>
        <v>3</v>
      </c>
      <c r="AA22" s="39">
        <f t="shared" si="14"/>
        <v>0</v>
      </c>
      <c r="AB22" s="39">
        <f t="shared" si="14"/>
        <v>12</v>
      </c>
      <c r="AC22" s="39">
        <f t="shared" si="14"/>
        <v>34</v>
      </c>
      <c r="AD22" s="39">
        <f t="shared" si="14"/>
        <v>0</v>
      </c>
      <c r="AE22" s="40">
        <f t="shared" si="14"/>
        <v>39</v>
      </c>
      <c r="AF22" s="40">
        <f t="shared" si="14"/>
        <v>70</v>
      </c>
    </row>
    <row r="23" spans="2:32" ht="23.1" customHeight="1" x14ac:dyDescent="0.25">
      <c r="B23" s="23" t="s">
        <v>50</v>
      </c>
      <c r="C23" s="50">
        <v>3</v>
      </c>
      <c r="D23" s="50">
        <v>1</v>
      </c>
      <c r="E23" s="50">
        <v>3</v>
      </c>
      <c r="F23" s="50">
        <v>2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5</v>
      </c>
      <c r="N23" s="50">
        <v>0</v>
      </c>
      <c r="O23" s="15">
        <f t="shared" si="0"/>
        <v>9</v>
      </c>
      <c r="P23" s="15">
        <f t="shared" si="1"/>
        <v>14</v>
      </c>
      <c r="R23" s="38" t="s">
        <v>91</v>
      </c>
      <c r="S23" s="39">
        <f>MAX(S13:S18)</f>
        <v>11</v>
      </c>
      <c r="T23" s="39">
        <f t="shared" ref="T23:AF23" si="15">MAX(T13:T18)</f>
        <v>10</v>
      </c>
      <c r="U23" s="39">
        <f t="shared" si="15"/>
        <v>22</v>
      </c>
      <c r="V23" s="39">
        <f t="shared" si="15"/>
        <v>15</v>
      </c>
      <c r="W23" s="39">
        <f t="shared" si="15"/>
        <v>1</v>
      </c>
      <c r="X23" s="39">
        <f t="shared" si="15"/>
        <v>5</v>
      </c>
      <c r="Y23" s="39">
        <f t="shared" si="15"/>
        <v>9</v>
      </c>
      <c r="Z23" s="39">
        <f t="shared" si="15"/>
        <v>3</v>
      </c>
      <c r="AA23" s="39">
        <f t="shared" si="15"/>
        <v>2</v>
      </c>
      <c r="AB23" s="39">
        <f t="shared" si="15"/>
        <v>15</v>
      </c>
      <c r="AC23" s="39">
        <f t="shared" si="15"/>
        <v>37</v>
      </c>
      <c r="AD23" s="39">
        <f t="shared" si="15"/>
        <v>0</v>
      </c>
      <c r="AE23" s="40">
        <f t="shared" si="15"/>
        <v>80</v>
      </c>
      <c r="AF23" s="40">
        <f t="shared" si="15"/>
        <v>104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2</v>
      </c>
      <c r="F24" s="50">
        <v>5</v>
      </c>
      <c r="G24" s="50">
        <v>0</v>
      </c>
      <c r="H24" s="50">
        <v>0</v>
      </c>
      <c r="I24" s="50">
        <v>2</v>
      </c>
      <c r="J24" s="50">
        <v>0</v>
      </c>
      <c r="K24" s="50">
        <v>1</v>
      </c>
      <c r="L24" s="50">
        <v>1</v>
      </c>
      <c r="M24" s="50">
        <v>11</v>
      </c>
      <c r="N24" s="50">
        <v>0</v>
      </c>
      <c r="O24" s="15">
        <f t="shared" si="0"/>
        <v>13</v>
      </c>
      <c r="P24" s="15">
        <f t="shared" si="1"/>
        <v>24</v>
      </c>
      <c r="R24" s="38" t="s">
        <v>92</v>
      </c>
      <c r="S24" s="39">
        <f>MAX(S19:S21)</f>
        <v>9</v>
      </c>
      <c r="T24" s="39">
        <f t="shared" ref="T24:AF24" si="16">MAX(T19:T21)</f>
        <v>7</v>
      </c>
      <c r="U24" s="39">
        <f t="shared" si="16"/>
        <v>16</v>
      </c>
      <c r="V24" s="39">
        <f t="shared" si="16"/>
        <v>10</v>
      </c>
      <c r="W24" s="39">
        <f t="shared" si="16"/>
        <v>1</v>
      </c>
      <c r="X24" s="39">
        <f t="shared" si="16"/>
        <v>3</v>
      </c>
      <c r="Y24" s="39">
        <f t="shared" si="16"/>
        <v>8</v>
      </c>
      <c r="Z24" s="39">
        <f t="shared" si="16"/>
        <v>2</v>
      </c>
      <c r="AA24" s="39">
        <f t="shared" si="16"/>
        <v>4</v>
      </c>
      <c r="AB24" s="39">
        <f t="shared" si="16"/>
        <v>12</v>
      </c>
      <c r="AC24" s="39">
        <f t="shared" si="16"/>
        <v>56</v>
      </c>
      <c r="AD24" s="39">
        <f t="shared" si="16"/>
        <v>0</v>
      </c>
      <c r="AE24" s="40">
        <f t="shared" si="16"/>
        <v>58</v>
      </c>
      <c r="AF24" s="40">
        <f t="shared" si="16"/>
        <v>114</v>
      </c>
    </row>
    <row r="25" spans="2:32" ht="23.1" customHeight="1" x14ac:dyDescent="0.25">
      <c r="B25" s="23" t="s">
        <v>52</v>
      </c>
      <c r="C25" s="50">
        <v>0</v>
      </c>
      <c r="D25" s="50">
        <v>2</v>
      </c>
      <c r="E25" s="50">
        <v>5</v>
      </c>
      <c r="F25" s="50">
        <v>2</v>
      </c>
      <c r="G25" s="50">
        <v>0</v>
      </c>
      <c r="H25" s="50">
        <v>2</v>
      </c>
      <c r="I25" s="50">
        <v>0</v>
      </c>
      <c r="J25" s="50">
        <v>0</v>
      </c>
      <c r="K25" s="50">
        <v>0</v>
      </c>
      <c r="L25" s="50">
        <v>2</v>
      </c>
      <c r="M25" s="50">
        <v>6</v>
      </c>
      <c r="N25" s="50">
        <v>0</v>
      </c>
      <c r="O25" s="15">
        <f t="shared" si="0"/>
        <v>13</v>
      </c>
      <c r="P25" s="15">
        <f t="shared" si="1"/>
        <v>19</v>
      </c>
      <c r="R25" s="37" t="s">
        <v>85</v>
      </c>
      <c r="S25" s="35">
        <f t="shared" ref="S25:AF25" si="17">SUM(S10:S12)</f>
        <v>12</v>
      </c>
      <c r="T25" s="16">
        <f t="shared" si="17"/>
        <v>5</v>
      </c>
      <c r="U25" s="16">
        <f t="shared" si="17"/>
        <v>16</v>
      </c>
      <c r="V25" s="16">
        <f t="shared" si="17"/>
        <v>26</v>
      </c>
      <c r="W25" s="16">
        <f t="shared" si="17"/>
        <v>5</v>
      </c>
      <c r="X25" s="16">
        <f t="shared" si="17"/>
        <v>3</v>
      </c>
      <c r="Y25" s="16">
        <f t="shared" si="17"/>
        <v>12</v>
      </c>
      <c r="Z25" s="16">
        <f t="shared" si="17"/>
        <v>4</v>
      </c>
      <c r="AA25" s="16">
        <f t="shared" si="17"/>
        <v>0</v>
      </c>
      <c r="AB25" s="16">
        <f t="shared" si="17"/>
        <v>29</v>
      </c>
      <c r="AC25" s="16">
        <f t="shared" si="17"/>
        <v>94</v>
      </c>
      <c r="AD25" s="16">
        <f t="shared" si="17"/>
        <v>0</v>
      </c>
      <c r="AE25" s="32">
        <f t="shared" si="17"/>
        <v>112</v>
      </c>
      <c r="AF25" s="32">
        <f t="shared" si="17"/>
        <v>206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3</v>
      </c>
      <c r="F26" s="50">
        <v>3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11</v>
      </c>
      <c r="N26" s="50">
        <v>0</v>
      </c>
      <c r="O26" s="15">
        <f t="shared" si="0"/>
        <v>8</v>
      </c>
      <c r="P26" s="15">
        <f t="shared" si="1"/>
        <v>19</v>
      </c>
      <c r="R26" s="28" t="s">
        <v>86</v>
      </c>
      <c r="S26" s="16">
        <f t="shared" ref="S26:AF26" si="18">SUM(S13:S18)</f>
        <v>43</v>
      </c>
      <c r="T26" s="16">
        <f t="shared" si="18"/>
        <v>45</v>
      </c>
      <c r="U26" s="16">
        <f t="shared" si="18"/>
        <v>101</v>
      </c>
      <c r="V26" s="16">
        <f t="shared" si="18"/>
        <v>76</v>
      </c>
      <c r="W26" s="16">
        <f t="shared" si="18"/>
        <v>2</v>
      </c>
      <c r="X26" s="16">
        <f t="shared" si="18"/>
        <v>11</v>
      </c>
      <c r="Y26" s="16">
        <f t="shared" si="18"/>
        <v>39</v>
      </c>
      <c r="Z26" s="16">
        <f t="shared" si="18"/>
        <v>7</v>
      </c>
      <c r="AA26" s="16">
        <f t="shared" si="18"/>
        <v>5</v>
      </c>
      <c r="AB26" s="16">
        <f t="shared" si="18"/>
        <v>44</v>
      </c>
      <c r="AC26" s="16">
        <f t="shared" si="18"/>
        <v>189</v>
      </c>
      <c r="AD26" s="16">
        <f t="shared" si="18"/>
        <v>0</v>
      </c>
      <c r="AE26" s="32">
        <f t="shared" si="18"/>
        <v>373</v>
      </c>
      <c r="AF26" s="32">
        <f t="shared" si="18"/>
        <v>562</v>
      </c>
    </row>
    <row r="27" spans="2:32" ht="23.1" customHeight="1" x14ac:dyDescent="0.25">
      <c r="B27" s="23" t="s">
        <v>54</v>
      </c>
      <c r="C27" s="50">
        <v>1</v>
      </c>
      <c r="D27" s="50">
        <v>3</v>
      </c>
      <c r="E27" s="50">
        <v>6</v>
      </c>
      <c r="F27" s="50">
        <v>3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14</v>
      </c>
      <c r="P27" s="15">
        <f t="shared" si="1"/>
        <v>24</v>
      </c>
      <c r="R27" s="29" t="s">
        <v>87</v>
      </c>
      <c r="S27" s="16">
        <f t="shared" ref="S27:AF27" si="19">SUM(S19:S21)</f>
        <v>16</v>
      </c>
      <c r="T27" s="16">
        <f t="shared" si="19"/>
        <v>17</v>
      </c>
      <c r="U27" s="16">
        <f t="shared" si="19"/>
        <v>38</v>
      </c>
      <c r="V27" s="16">
        <f t="shared" si="19"/>
        <v>27</v>
      </c>
      <c r="W27" s="16">
        <f t="shared" si="19"/>
        <v>1</v>
      </c>
      <c r="X27" s="16">
        <f t="shared" si="19"/>
        <v>4</v>
      </c>
      <c r="Y27" s="16">
        <f t="shared" si="19"/>
        <v>21</v>
      </c>
      <c r="Z27" s="16">
        <f t="shared" si="19"/>
        <v>3</v>
      </c>
      <c r="AA27" s="16">
        <f t="shared" si="19"/>
        <v>4</v>
      </c>
      <c r="AB27" s="16">
        <f t="shared" si="19"/>
        <v>29</v>
      </c>
      <c r="AC27" s="16">
        <f t="shared" si="19"/>
        <v>91</v>
      </c>
      <c r="AD27" s="16">
        <f t="shared" si="19"/>
        <v>0</v>
      </c>
      <c r="AE27" s="32">
        <f t="shared" si="19"/>
        <v>160</v>
      </c>
      <c r="AF27" s="32">
        <f t="shared" si="19"/>
        <v>251</v>
      </c>
    </row>
    <row r="28" spans="2:32" ht="23.1" customHeight="1" x14ac:dyDescent="0.25">
      <c r="B28" s="23" t="s">
        <v>55</v>
      </c>
      <c r="C28" s="50">
        <v>4</v>
      </c>
      <c r="D28" s="50">
        <v>1</v>
      </c>
      <c r="E28" s="50">
        <v>3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11</v>
      </c>
      <c r="P28" s="15">
        <f t="shared" si="1"/>
        <v>17</v>
      </c>
      <c r="R28" s="5" t="s">
        <v>17</v>
      </c>
      <c r="S28" s="16">
        <f t="shared" ref="S28:AF28" si="20">SUM(S10:S21)</f>
        <v>71</v>
      </c>
      <c r="T28" s="16">
        <f t="shared" si="20"/>
        <v>67</v>
      </c>
      <c r="U28" s="16">
        <f t="shared" si="20"/>
        <v>155</v>
      </c>
      <c r="V28" s="16">
        <f t="shared" si="20"/>
        <v>129</v>
      </c>
      <c r="W28" s="16">
        <f t="shared" si="20"/>
        <v>8</v>
      </c>
      <c r="X28" s="16">
        <f t="shared" si="20"/>
        <v>18</v>
      </c>
      <c r="Y28" s="16">
        <f t="shared" si="20"/>
        <v>72</v>
      </c>
      <c r="Z28" s="16">
        <f t="shared" si="20"/>
        <v>14</v>
      </c>
      <c r="AA28" s="16">
        <f t="shared" si="20"/>
        <v>9</v>
      </c>
      <c r="AB28" s="16">
        <f t="shared" si="20"/>
        <v>102</v>
      </c>
      <c r="AC28" s="16">
        <f t="shared" si="20"/>
        <v>374</v>
      </c>
      <c r="AD28" s="16">
        <f t="shared" si="20"/>
        <v>0</v>
      </c>
      <c r="AE28" s="32">
        <f t="shared" si="20"/>
        <v>645</v>
      </c>
      <c r="AF28" s="32">
        <f t="shared" si="20"/>
        <v>1019</v>
      </c>
    </row>
    <row r="29" spans="2:32" ht="23.1" customHeight="1" x14ac:dyDescent="0.25">
      <c r="B29" s="23" t="s">
        <v>56</v>
      </c>
      <c r="C29" s="50">
        <v>1</v>
      </c>
      <c r="D29" s="50">
        <v>2</v>
      </c>
      <c r="E29" s="50">
        <v>5</v>
      </c>
      <c r="F29" s="50">
        <v>2</v>
      </c>
      <c r="G29" s="50">
        <v>0</v>
      </c>
      <c r="H29" s="50">
        <v>0</v>
      </c>
      <c r="I29" s="50">
        <v>5</v>
      </c>
      <c r="J29" s="50">
        <v>1</v>
      </c>
      <c r="K29" s="50">
        <v>0</v>
      </c>
      <c r="L29" s="50">
        <v>5</v>
      </c>
      <c r="M29" s="50">
        <v>10</v>
      </c>
      <c r="N29" s="50">
        <v>0</v>
      </c>
      <c r="O29" s="15">
        <f t="shared" si="0"/>
        <v>21</v>
      </c>
      <c r="P29" s="15">
        <f t="shared" si="1"/>
        <v>31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3</v>
      </c>
      <c r="E30" s="50">
        <v>6</v>
      </c>
      <c r="F30" s="50">
        <v>4</v>
      </c>
      <c r="G30" s="50">
        <v>1</v>
      </c>
      <c r="H30" s="50">
        <v>0</v>
      </c>
      <c r="I30" s="50">
        <v>2</v>
      </c>
      <c r="J30" s="50">
        <v>1</v>
      </c>
      <c r="K30" s="50">
        <v>0</v>
      </c>
      <c r="L30" s="50">
        <v>1</v>
      </c>
      <c r="M30" s="50">
        <v>6</v>
      </c>
      <c r="N30" s="50">
        <v>0</v>
      </c>
      <c r="O30" s="15">
        <f t="shared" si="0"/>
        <v>19</v>
      </c>
      <c r="P30" s="15">
        <f t="shared" si="1"/>
        <v>25</v>
      </c>
    </row>
    <row r="31" spans="2:32" ht="23.1" customHeight="1" x14ac:dyDescent="0.25">
      <c r="B31" s="24" t="s">
        <v>58</v>
      </c>
      <c r="C31" s="50">
        <v>2</v>
      </c>
      <c r="D31" s="50">
        <v>2</v>
      </c>
      <c r="E31" s="50">
        <v>4</v>
      </c>
      <c r="F31" s="50">
        <v>3</v>
      </c>
      <c r="G31" s="50">
        <v>0</v>
      </c>
      <c r="H31" s="50">
        <v>0</v>
      </c>
      <c r="I31" s="50">
        <v>0</v>
      </c>
      <c r="J31" s="50">
        <v>1</v>
      </c>
      <c r="K31" s="50">
        <v>1</v>
      </c>
      <c r="L31" s="50">
        <v>1</v>
      </c>
      <c r="M31" s="50">
        <v>10</v>
      </c>
      <c r="N31" s="50">
        <v>0</v>
      </c>
      <c r="O31" s="15">
        <f t="shared" si="0"/>
        <v>14</v>
      </c>
      <c r="P31" s="15">
        <f t="shared" si="1"/>
        <v>24</v>
      </c>
    </row>
    <row r="32" spans="2:32" ht="23.1" customHeight="1" x14ac:dyDescent="0.25">
      <c r="B32" s="24" t="s">
        <v>59</v>
      </c>
      <c r="C32" s="50">
        <v>1</v>
      </c>
      <c r="D32" s="50">
        <v>2</v>
      </c>
      <c r="E32" s="50">
        <v>4</v>
      </c>
      <c r="F32" s="50">
        <v>1</v>
      </c>
      <c r="G32" s="50">
        <v>0</v>
      </c>
      <c r="H32" s="50">
        <v>1</v>
      </c>
      <c r="I32" s="50">
        <v>1</v>
      </c>
      <c r="J32" s="50">
        <v>0</v>
      </c>
      <c r="K32" s="50">
        <v>0</v>
      </c>
      <c r="L32" s="50">
        <v>1</v>
      </c>
      <c r="M32" s="50">
        <v>6</v>
      </c>
      <c r="N32" s="50">
        <v>0</v>
      </c>
      <c r="O32" s="15">
        <f t="shared" si="0"/>
        <v>11</v>
      </c>
      <c r="P32" s="15">
        <f t="shared" si="1"/>
        <v>17</v>
      </c>
    </row>
    <row r="33" spans="2:20" ht="23.1" customHeight="1" x14ac:dyDescent="0.25">
      <c r="B33" s="23" t="s">
        <v>60</v>
      </c>
      <c r="C33" s="50">
        <v>4</v>
      </c>
      <c r="D33" s="50">
        <v>1</v>
      </c>
      <c r="E33" s="50">
        <v>2</v>
      </c>
      <c r="F33" s="50">
        <v>4</v>
      </c>
      <c r="G33" s="50">
        <v>0</v>
      </c>
      <c r="H33" s="50">
        <v>1</v>
      </c>
      <c r="I33" s="50">
        <v>1</v>
      </c>
      <c r="J33" s="50">
        <v>0</v>
      </c>
      <c r="K33" s="50">
        <v>0</v>
      </c>
      <c r="L33" s="50">
        <v>4</v>
      </c>
      <c r="M33" s="50">
        <v>12</v>
      </c>
      <c r="N33" s="50">
        <v>0</v>
      </c>
      <c r="O33" s="15">
        <f t="shared" si="0"/>
        <v>17</v>
      </c>
      <c r="P33" s="15">
        <f t="shared" si="1"/>
        <v>29</v>
      </c>
    </row>
    <row r="34" spans="2:20" ht="23.1" customHeight="1" x14ac:dyDescent="0.25">
      <c r="B34" s="24" t="s">
        <v>61</v>
      </c>
      <c r="C34" s="50">
        <v>4</v>
      </c>
      <c r="D34" s="50">
        <v>2</v>
      </c>
      <c r="E34" s="50">
        <v>5</v>
      </c>
      <c r="F34" s="50">
        <v>4</v>
      </c>
      <c r="G34" s="50">
        <v>0</v>
      </c>
      <c r="H34" s="50">
        <v>0</v>
      </c>
      <c r="I34" s="50">
        <v>5</v>
      </c>
      <c r="J34" s="50">
        <v>0</v>
      </c>
      <c r="K34" s="50">
        <v>0</v>
      </c>
      <c r="L34" s="50">
        <v>3</v>
      </c>
      <c r="M34" s="50">
        <v>6</v>
      </c>
      <c r="N34" s="50">
        <v>0</v>
      </c>
      <c r="O34" s="15">
        <f t="shared" si="0"/>
        <v>23</v>
      </c>
      <c r="P34" s="15">
        <f t="shared" si="1"/>
        <v>29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3</v>
      </c>
      <c r="F35" s="50">
        <v>4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9</v>
      </c>
      <c r="P35" s="15">
        <f t="shared" si="1"/>
        <v>20</v>
      </c>
    </row>
    <row r="36" spans="2:20" ht="23.1" customHeight="1" x14ac:dyDescent="0.25">
      <c r="B36" s="24" t="s">
        <v>63</v>
      </c>
      <c r="C36" s="50">
        <v>6</v>
      </c>
      <c r="D36" s="50">
        <v>4</v>
      </c>
      <c r="E36" s="50">
        <v>8</v>
      </c>
      <c r="F36" s="50">
        <v>4</v>
      </c>
      <c r="G36" s="50">
        <v>0</v>
      </c>
      <c r="H36" s="50">
        <v>0</v>
      </c>
      <c r="I36" s="50">
        <v>1</v>
      </c>
      <c r="J36" s="50">
        <v>3</v>
      </c>
      <c r="K36" s="50">
        <v>0</v>
      </c>
      <c r="L36" s="50">
        <v>1</v>
      </c>
      <c r="M36" s="50">
        <v>4</v>
      </c>
      <c r="N36" s="50">
        <v>0</v>
      </c>
      <c r="O36" s="15">
        <f t="shared" si="0"/>
        <v>27</v>
      </c>
      <c r="P36" s="15">
        <f t="shared" si="1"/>
        <v>31</v>
      </c>
    </row>
    <row r="37" spans="2:20" ht="23.1" customHeight="1" x14ac:dyDescent="0.25">
      <c r="B37" s="23" t="s">
        <v>64</v>
      </c>
      <c r="C37" s="50">
        <v>1</v>
      </c>
      <c r="D37" s="50">
        <v>2</v>
      </c>
      <c r="E37" s="50">
        <v>4</v>
      </c>
      <c r="F37" s="50">
        <v>2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2</v>
      </c>
      <c r="M37" s="50">
        <v>9</v>
      </c>
      <c r="N37" s="50">
        <v>0</v>
      </c>
      <c r="O37" s="15">
        <f t="shared" si="0"/>
        <v>13</v>
      </c>
      <c r="P37" s="15">
        <f t="shared" si="1"/>
        <v>22</v>
      </c>
    </row>
    <row r="38" spans="2:20" ht="23.1" customHeight="1" x14ac:dyDescent="0.25">
      <c r="B38" s="24" t="s">
        <v>65</v>
      </c>
      <c r="C38" s="50">
        <v>1</v>
      </c>
      <c r="D38" s="50">
        <v>2</v>
      </c>
      <c r="E38" s="50">
        <v>4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2</v>
      </c>
      <c r="M38" s="50">
        <v>11</v>
      </c>
      <c r="N38" s="50">
        <v>0</v>
      </c>
      <c r="O38" s="15">
        <f t="shared" si="0"/>
        <v>12</v>
      </c>
      <c r="P38" s="15">
        <f t="shared" si="1"/>
        <v>23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1</v>
      </c>
      <c r="F39" s="50">
        <v>3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2</v>
      </c>
      <c r="M39" s="50">
        <v>10</v>
      </c>
      <c r="N39" s="50">
        <v>0</v>
      </c>
      <c r="O39" s="15">
        <f t="shared" si="0"/>
        <v>9</v>
      </c>
      <c r="P39" s="15">
        <f t="shared" si="1"/>
        <v>19</v>
      </c>
    </row>
    <row r="40" spans="2:20" ht="23.1" customHeight="1" x14ac:dyDescent="0.25">
      <c r="B40" s="24" t="s">
        <v>67</v>
      </c>
      <c r="C40" s="50">
        <v>2</v>
      </c>
      <c r="D40" s="50">
        <v>2</v>
      </c>
      <c r="E40" s="50">
        <v>4</v>
      </c>
      <c r="F40" s="50">
        <v>4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2</v>
      </c>
      <c r="M40" s="50">
        <v>7</v>
      </c>
      <c r="N40" s="50">
        <v>0</v>
      </c>
      <c r="O40" s="15">
        <f t="shared" si="0"/>
        <v>16</v>
      </c>
      <c r="P40" s="15">
        <f t="shared" si="1"/>
        <v>23</v>
      </c>
    </row>
    <row r="41" spans="2:20" ht="23.1" customHeight="1" x14ac:dyDescent="0.25">
      <c r="B41" s="23" t="s">
        <v>68</v>
      </c>
      <c r="C41" s="50">
        <v>2</v>
      </c>
      <c r="D41" s="50">
        <v>2</v>
      </c>
      <c r="E41" s="50">
        <v>5</v>
      </c>
      <c r="F41" s="50">
        <v>4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18</v>
      </c>
      <c r="P41" s="15">
        <f t="shared" si="1"/>
        <v>23</v>
      </c>
    </row>
    <row r="42" spans="2:20" ht="23.1" customHeight="1" x14ac:dyDescent="0.25">
      <c r="B42" s="24" t="s">
        <v>69</v>
      </c>
      <c r="C42" s="50">
        <v>1</v>
      </c>
      <c r="D42" s="50">
        <v>2</v>
      </c>
      <c r="E42" s="50">
        <v>4</v>
      </c>
      <c r="F42" s="50">
        <v>4</v>
      </c>
      <c r="G42" s="50">
        <v>0</v>
      </c>
      <c r="H42" s="50">
        <v>2</v>
      </c>
      <c r="I42" s="50">
        <v>0</v>
      </c>
      <c r="J42" s="50">
        <v>0</v>
      </c>
      <c r="K42" s="50">
        <v>0</v>
      </c>
      <c r="L42" s="50">
        <v>7</v>
      </c>
      <c r="M42" s="50">
        <v>3</v>
      </c>
      <c r="N42" s="50">
        <v>0</v>
      </c>
      <c r="O42" s="15">
        <f t="shared" si="0"/>
        <v>20</v>
      </c>
      <c r="P42" s="15">
        <f t="shared" si="1"/>
        <v>23</v>
      </c>
    </row>
    <row r="43" spans="2:20" ht="23.1" customHeight="1" x14ac:dyDescent="0.25">
      <c r="B43" s="23" t="s">
        <v>70</v>
      </c>
      <c r="C43" s="50">
        <v>2</v>
      </c>
      <c r="D43" s="50">
        <v>1</v>
      </c>
      <c r="E43" s="50">
        <v>3</v>
      </c>
      <c r="F43" s="50">
        <v>1</v>
      </c>
      <c r="G43" s="50">
        <v>0</v>
      </c>
      <c r="H43" s="50">
        <v>2</v>
      </c>
      <c r="I43" s="50">
        <v>2</v>
      </c>
      <c r="J43" s="50">
        <v>0</v>
      </c>
      <c r="K43" s="50">
        <v>0</v>
      </c>
      <c r="L43" s="50">
        <v>1</v>
      </c>
      <c r="M43" s="50">
        <v>8</v>
      </c>
      <c r="N43" s="50">
        <v>0</v>
      </c>
      <c r="O43" s="15">
        <f t="shared" si="0"/>
        <v>12</v>
      </c>
      <c r="P43" s="15">
        <f t="shared" si="1"/>
        <v>20</v>
      </c>
    </row>
    <row r="44" spans="2:20" ht="23.1" customHeight="1" x14ac:dyDescent="0.25">
      <c r="B44" s="25" t="s">
        <v>71</v>
      </c>
      <c r="C44" s="50">
        <v>0</v>
      </c>
      <c r="D44" s="50">
        <v>4</v>
      </c>
      <c r="E44" s="50">
        <v>8</v>
      </c>
      <c r="F44" s="50">
        <v>7</v>
      </c>
      <c r="G44" s="50">
        <v>0</v>
      </c>
      <c r="H44" s="50">
        <v>0</v>
      </c>
      <c r="I44" s="50">
        <v>4</v>
      </c>
      <c r="J44" s="50">
        <v>0</v>
      </c>
      <c r="K44" s="50">
        <v>1</v>
      </c>
      <c r="L44" s="50">
        <v>6</v>
      </c>
      <c r="M44" s="50">
        <v>6</v>
      </c>
      <c r="N44" s="50">
        <v>0</v>
      </c>
      <c r="O44" s="15">
        <f t="shared" si="0"/>
        <v>30</v>
      </c>
      <c r="P44" s="15">
        <f t="shared" si="1"/>
        <v>36</v>
      </c>
    </row>
    <row r="45" spans="2:20" ht="23.1" customHeight="1" x14ac:dyDescent="0.25">
      <c r="B45" s="23" t="s">
        <v>72</v>
      </c>
      <c r="C45" s="50">
        <v>1</v>
      </c>
      <c r="D45" s="50">
        <v>3</v>
      </c>
      <c r="E45" s="50">
        <v>7</v>
      </c>
      <c r="F45" s="50">
        <v>3</v>
      </c>
      <c r="G45" s="50">
        <v>1</v>
      </c>
      <c r="H45" s="50">
        <v>0</v>
      </c>
      <c r="I45" s="50">
        <v>0</v>
      </c>
      <c r="J45" s="50">
        <v>1</v>
      </c>
      <c r="K45" s="50">
        <v>1</v>
      </c>
      <c r="L45" s="50">
        <v>1</v>
      </c>
      <c r="M45" s="50">
        <v>7</v>
      </c>
      <c r="N45" s="50">
        <v>0</v>
      </c>
      <c r="O45" s="15">
        <f t="shared" si="0"/>
        <v>18</v>
      </c>
      <c r="P45" s="15">
        <f t="shared" si="1"/>
        <v>25</v>
      </c>
    </row>
    <row r="46" spans="2:20" ht="23.1" customHeight="1" x14ac:dyDescent="0.25">
      <c r="B46" s="24" t="s">
        <v>73</v>
      </c>
      <c r="C46" s="50">
        <v>1</v>
      </c>
      <c r="D46" s="50">
        <v>1</v>
      </c>
      <c r="E46" s="50">
        <v>2</v>
      </c>
      <c r="F46" s="50">
        <v>3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2</v>
      </c>
      <c r="M46" s="50">
        <v>7</v>
      </c>
      <c r="N46" s="50">
        <v>0</v>
      </c>
      <c r="O46" s="15">
        <f t="shared" si="0"/>
        <v>11</v>
      </c>
      <c r="P46" s="15">
        <f t="shared" si="1"/>
        <v>18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2</v>
      </c>
      <c r="F47" s="50">
        <v>1</v>
      </c>
      <c r="G47" s="50">
        <v>0</v>
      </c>
      <c r="H47" s="50">
        <v>0</v>
      </c>
      <c r="I47" s="50">
        <v>4</v>
      </c>
      <c r="J47" s="50">
        <v>1</v>
      </c>
      <c r="K47" s="50">
        <v>0</v>
      </c>
      <c r="L47" s="50">
        <v>2</v>
      </c>
      <c r="M47" s="50">
        <v>3</v>
      </c>
      <c r="N47" s="50">
        <v>0</v>
      </c>
      <c r="O47" s="15">
        <f t="shared" si="0"/>
        <v>12</v>
      </c>
      <c r="P47" s="15">
        <f t="shared" si="1"/>
        <v>15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1</v>
      </c>
      <c r="E48" s="50">
        <v>2</v>
      </c>
      <c r="F48" s="50">
        <v>3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10</v>
      </c>
      <c r="P48" s="15">
        <f t="shared" si="1"/>
        <v>11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1</v>
      </c>
      <c r="E49" s="50">
        <v>2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5</v>
      </c>
      <c r="M49" s="50">
        <v>1</v>
      </c>
      <c r="N49" s="50">
        <v>0</v>
      </c>
      <c r="O49" s="15">
        <f t="shared" si="0"/>
        <v>11</v>
      </c>
      <c r="P49" s="15">
        <f t="shared" si="1"/>
        <v>12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3</v>
      </c>
      <c r="F50" s="50">
        <v>1</v>
      </c>
      <c r="G50" s="50">
        <v>0</v>
      </c>
      <c r="H50" s="50">
        <v>1</v>
      </c>
      <c r="I50" s="50">
        <v>1</v>
      </c>
      <c r="J50" s="50">
        <v>0</v>
      </c>
      <c r="K50" s="50">
        <v>0</v>
      </c>
      <c r="L50" s="50">
        <v>3</v>
      </c>
      <c r="M50" s="50">
        <v>7</v>
      </c>
      <c r="N50" s="50">
        <v>0</v>
      </c>
      <c r="O50" s="15">
        <f t="shared" si="0"/>
        <v>10</v>
      </c>
      <c r="P50" s="15">
        <f t="shared" si="1"/>
        <v>17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1</v>
      </c>
      <c r="E51" s="50">
        <v>3</v>
      </c>
      <c r="F51" s="50">
        <v>4</v>
      </c>
      <c r="G51" s="50">
        <v>0</v>
      </c>
      <c r="H51" s="50">
        <v>0</v>
      </c>
      <c r="I51" s="50">
        <v>2</v>
      </c>
      <c r="J51" s="50">
        <v>1</v>
      </c>
      <c r="K51" s="50">
        <v>3</v>
      </c>
      <c r="L51" s="50">
        <v>2</v>
      </c>
      <c r="M51" s="50">
        <v>6</v>
      </c>
      <c r="N51" s="50">
        <v>0</v>
      </c>
      <c r="O51" s="15">
        <f t="shared" si="0"/>
        <v>17</v>
      </c>
      <c r="P51" s="15">
        <f t="shared" si="1"/>
        <v>23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2</v>
      </c>
      <c r="E52" s="50">
        <v>4</v>
      </c>
      <c r="F52" s="50">
        <v>3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3</v>
      </c>
      <c r="M52" s="50">
        <v>1</v>
      </c>
      <c r="N52" s="50">
        <v>0</v>
      </c>
      <c r="O52" s="15">
        <f t="shared" si="0"/>
        <v>15</v>
      </c>
      <c r="P52" s="15">
        <f t="shared" si="1"/>
        <v>16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2</v>
      </c>
      <c r="E53" s="50">
        <v>4</v>
      </c>
      <c r="F53" s="50">
        <v>2</v>
      </c>
      <c r="G53" s="50">
        <v>0</v>
      </c>
      <c r="H53" s="50">
        <v>2</v>
      </c>
      <c r="I53" s="50">
        <v>1</v>
      </c>
      <c r="J53" s="50">
        <v>0</v>
      </c>
      <c r="K53" s="50">
        <v>1</v>
      </c>
      <c r="L53" s="50">
        <v>4</v>
      </c>
      <c r="M53" s="50">
        <v>9</v>
      </c>
      <c r="N53" s="50">
        <v>0</v>
      </c>
      <c r="O53" s="15">
        <f t="shared" si="0"/>
        <v>16</v>
      </c>
      <c r="P53" s="15">
        <f t="shared" si="1"/>
        <v>25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5</v>
      </c>
      <c r="E54" s="50">
        <v>10</v>
      </c>
      <c r="F54" s="50">
        <v>3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4</v>
      </c>
      <c r="M54" s="50">
        <v>16</v>
      </c>
      <c r="N54" s="50">
        <v>0</v>
      </c>
      <c r="O54" s="15">
        <f t="shared" si="0"/>
        <v>27</v>
      </c>
      <c r="P54" s="15">
        <f t="shared" si="1"/>
        <v>43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1</v>
      </c>
      <c r="E55" s="50">
        <v>3</v>
      </c>
      <c r="F55" s="50">
        <v>4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21</v>
      </c>
      <c r="N55" s="50">
        <v>0</v>
      </c>
      <c r="O55" s="15">
        <f t="shared" si="0"/>
        <v>10</v>
      </c>
      <c r="P55" s="15">
        <f t="shared" si="1"/>
        <v>31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1</v>
      </c>
      <c r="E56" s="50">
        <v>2</v>
      </c>
      <c r="F56" s="50">
        <v>2</v>
      </c>
      <c r="G56" s="50">
        <v>1</v>
      </c>
      <c r="H56" s="50">
        <v>1</v>
      </c>
      <c r="I56" s="50">
        <v>5</v>
      </c>
      <c r="J56" s="50">
        <v>0</v>
      </c>
      <c r="K56" s="50">
        <v>0</v>
      </c>
      <c r="L56" s="50">
        <v>2</v>
      </c>
      <c r="M56" s="50">
        <v>15</v>
      </c>
      <c r="N56" s="50">
        <v>0</v>
      </c>
      <c r="O56" s="15">
        <f t="shared" si="0"/>
        <v>18</v>
      </c>
      <c r="P56" s="15">
        <f t="shared" si="1"/>
        <v>33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1</v>
      </c>
      <c r="M57" s="50">
        <v>4</v>
      </c>
      <c r="N57" s="50">
        <v>0</v>
      </c>
      <c r="O57" s="15">
        <f t="shared" si="0"/>
        <v>3</v>
      </c>
      <c r="P57" s="15">
        <f t="shared" si="1"/>
        <v>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71</v>
      </c>
      <c r="D58" s="16">
        <f t="shared" si="21"/>
        <v>67</v>
      </c>
      <c r="E58" s="16">
        <f t="shared" si="21"/>
        <v>155</v>
      </c>
      <c r="F58" s="16">
        <f t="shared" si="21"/>
        <v>129</v>
      </c>
      <c r="G58" s="16">
        <f t="shared" si="21"/>
        <v>8</v>
      </c>
      <c r="H58" s="16">
        <f t="shared" si="21"/>
        <v>18</v>
      </c>
      <c r="I58" s="16">
        <f t="shared" si="21"/>
        <v>72</v>
      </c>
      <c r="J58" s="16">
        <f t="shared" si="21"/>
        <v>14</v>
      </c>
      <c r="K58" s="16">
        <f t="shared" si="21"/>
        <v>9</v>
      </c>
      <c r="L58" s="16">
        <f t="shared" si="21"/>
        <v>102</v>
      </c>
      <c r="M58" s="16">
        <f t="shared" si="21"/>
        <v>374</v>
      </c>
      <c r="N58" s="16">
        <f t="shared" si="21"/>
        <v>0</v>
      </c>
      <c r="O58" s="16">
        <f t="shared" si="21"/>
        <v>645</v>
      </c>
      <c r="P58" s="16">
        <f t="shared" si="21"/>
        <v>1019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6.9676153091265944E-2</v>
      </c>
      <c r="D59" s="43">
        <f t="shared" si="22"/>
        <v>6.5750736015701666E-2</v>
      </c>
      <c r="E59" s="43">
        <f t="shared" si="22"/>
        <v>0.1521099116781158</v>
      </c>
      <c r="F59" s="43">
        <f t="shared" si="22"/>
        <v>0.12659470068694798</v>
      </c>
      <c r="G59" s="43">
        <f t="shared" si="22"/>
        <v>7.8508341511285568E-3</v>
      </c>
      <c r="H59" s="43">
        <f t="shared" si="22"/>
        <v>1.7664376840039256E-2</v>
      </c>
      <c r="I59" s="43">
        <f t="shared" si="22"/>
        <v>7.0657507360157024E-2</v>
      </c>
      <c r="J59" s="43">
        <f t="shared" si="22"/>
        <v>1.3738959764474975E-2</v>
      </c>
      <c r="K59" s="43">
        <f t="shared" si="22"/>
        <v>8.832188420019628E-3</v>
      </c>
      <c r="L59" s="43">
        <f t="shared" si="22"/>
        <v>0.10009813542688911</v>
      </c>
      <c r="M59" s="43">
        <f t="shared" si="22"/>
        <v>0.36702649656526004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0.11007751937984496</v>
      </c>
      <c r="D60" s="44">
        <f t="shared" ref="D60:N60" si="23">D58/$O$58</f>
        <v>0.10387596899224806</v>
      </c>
      <c r="E60" s="44">
        <f t="shared" si="23"/>
        <v>0.24031007751937986</v>
      </c>
      <c r="F60" s="44">
        <f t="shared" si="23"/>
        <v>0.2</v>
      </c>
      <c r="G60" s="44">
        <f t="shared" si="23"/>
        <v>1.2403100775193798E-2</v>
      </c>
      <c r="H60" s="44">
        <f t="shared" si="23"/>
        <v>2.7906976744186046E-2</v>
      </c>
      <c r="I60" s="44">
        <f t="shared" si="23"/>
        <v>0.11162790697674418</v>
      </c>
      <c r="J60" s="44">
        <f t="shared" si="23"/>
        <v>2.1705426356589147E-2</v>
      </c>
      <c r="K60" s="44">
        <f t="shared" si="23"/>
        <v>1.3953488372093023E-2</v>
      </c>
      <c r="L60" s="44">
        <f t="shared" si="23"/>
        <v>0.15813953488372093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19" zoomScale="60" workbookViewId="0">
      <selection activeCell="N10" sqref="N10: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'08.08 Soroti-Kumi'!C3:G3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'14.08 Kumi-Soroti'!D5</f>
        <v>14.08.19</v>
      </c>
      <c r="E5" s="3"/>
      <c r="F5" s="41" t="s">
        <v>1</v>
      </c>
      <c r="G5" s="66" t="str">
        <f>'14.08 Kumi-Soroti'!G5:H5</f>
        <v>Mukura</v>
      </c>
      <c r="H5" s="67"/>
      <c r="I5" s="14"/>
      <c r="J5" s="2" t="s">
        <v>5</v>
      </c>
      <c r="K5" s="66" t="str">
        <f>'14.08 Kumi-Soroti'!K5:L5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'08.08 Soroti-Kumi'!D6:E6</f>
        <v>Soroti</v>
      </c>
      <c r="E6" s="67"/>
      <c r="F6" s="2" t="s">
        <v>2</v>
      </c>
      <c r="G6" s="66" t="str">
        <f>'08.08 Soroti-Kumi'!G6:H6</f>
        <v>Kumi</v>
      </c>
      <c r="H6" s="67"/>
      <c r="J6" s="2" t="s">
        <v>21</v>
      </c>
      <c r="K6" s="66" t="str">
        <f>'14.08 Kumi-Soroti'!K6:L6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2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2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2</v>
      </c>
      <c r="T10" s="17">
        <f t="shared" si="2"/>
        <v>1</v>
      </c>
      <c r="U10" s="17">
        <f t="shared" si="2"/>
        <v>5</v>
      </c>
      <c r="V10" s="17">
        <f t="shared" si="2"/>
        <v>6</v>
      </c>
      <c r="W10" s="17">
        <f t="shared" si="2"/>
        <v>0</v>
      </c>
      <c r="X10" s="17">
        <f t="shared" si="2"/>
        <v>1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15</v>
      </c>
      <c r="AD10" s="17">
        <f t="shared" si="2"/>
        <v>0</v>
      </c>
      <c r="AE10" s="31">
        <f t="shared" si="2"/>
        <v>20</v>
      </c>
      <c r="AF10" s="31">
        <f t="shared" si="2"/>
        <v>35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2</v>
      </c>
      <c r="F11" s="50">
        <v>5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10</v>
      </c>
      <c r="P11" s="15">
        <f t="shared" si="1"/>
        <v>16</v>
      </c>
      <c r="R11" s="1" t="s">
        <v>7</v>
      </c>
      <c r="S11" s="17">
        <f t="shared" ref="S11:AF11" si="3">SUM(C14:C17)</f>
        <v>5</v>
      </c>
      <c r="T11" s="17">
        <f t="shared" si="3"/>
        <v>2</v>
      </c>
      <c r="U11" s="17">
        <f t="shared" si="3"/>
        <v>7</v>
      </c>
      <c r="V11" s="17">
        <f t="shared" si="3"/>
        <v>6</v>
      </c>
      <c r="W11" s="17">
        <f t="shared" si="3"/>
        <v>0</v>
      </c>
      <c r="X11" s="17">
        <f t="shared" si="3"/>
        <v>1</v>
      </c>
      <c r="Y11" s="17">
        <f t="shared" si="3"/>
        <v>5</v>
      </c>
      <c r="Z11" s="17">
        <f t="shared" si="3"/>
        <v>3</v>
      </c>
      <c r="AA11" s="17">
        <f t="shared" si="3"/>
        <v>1</v>
      </c>
      <c r="AB11" s="17">
        <f t="shared" si="3"/>
        <v>3</v>
      </c>
      <c r="AC11" s="17">
        <f t="shared" si="3"/>
        <v>47</v>
      </c>
      <c r="AD11" s="17">
        <f t="shared" si="3"/>
        <v>0</v>
      </c>
      <c r="AE11" s="31">
        <f t="shared" si="3"/>
        <v>33</v>
      </c>
      <c r="AF11" s="31">
        <f t="shared" si="3"/>
        <v>80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4</v>
      </c>
      <c r="N12" s="50">
        <v>0</v>
      </c>
      <c r="O12" s="15">
        <f t="shared" si="0"/>
        <v>3</v>
      </c>
      <c r="P12" s="15">
        <f t="shared" si="1"/>
        <v>7</v>
      </c>
      <c r="R12" s="1" t="s">
        <v>8</v>
      </c>
      <c r="S12" s="17">
        <f t="shared" ref="S12:AF12" si="4">SUM(C18:C21)</f>
        <v>3</v>
      </c>
      <c r="T12" s="17">
        <f t="shared" si="4"/>
        <v>4</v>
      </c>
      <c r="U12" s="17">
        <f t="shared" si="4"/>
        <v>10</v>
      </c>
      <c r="V12" s="17">
        <f t="shared" si="4"/>
        <v>6</v>
      </c>
      <c r="W12" s="17">
        <f t="shared" si="4"/>
        <v>0</v>
      </c>
      <c r="X12" s="17">
        <f t="shared" si="4"/>
        <v>2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20</v>
      </c>
      <c r="AD12" s="17">
        <f t="shared" si="4"/>
        <v>0</v>
      </c>
      <c r="AE12" s="31">
        <f t="shared" si="4"/>
        <v>31</v>
      </c>
      <c r="AF12" s="31">
        <f t="shared" si="4"/>
        <v>51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1</v>
      </c>
      <c r="I13" s="50">
        <v>0</v>
      </c>
      <c r="J13" s="50">
        <v>0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2</v>
      </c>
      <c r="P13" s="15">
        <f t="shared" si="1"/>
        <v>5</v>
      </c>
      <c r="R13" s="1" t="s">
        <v>9</v>
      </c>
      <c r="S13" s="17">
        <f t="shared" ref="S13:AF13" si="5">SUM(C22:C25)</f>
        <v>2</v>
      </c>
      <c r="T13" s="17">
        <f t="shared" si="5"/>
        <v>2</v>
      </c>
      <c r="U13" s="17">
        <f t="shared" si="5"/>
        <v>8</v>
      </c>
      <c r="V13" s="17">
        <f t="shared" si="5"/>
        <v>10</v>
      </c>
      <c r="W13" s="17">
        <f t="shared" si="5"/>
        <v>0</v>
      </c>
      <c r="X13" s="17">
        <f t="shared" si="5"/>
        <v>5</v>
      </c>
      <c r="Y13" s="17">
        <f t="shared" si="5"/>
        <v>5</v>
      </c>
      <c r="Z13" s="17">
        <f t="shared" si="5"/>
        <v>2</v>
      </c>
      <c r="AA13" s="17">
        <f t="shared" si="5"/>
        <v>0</v>
      </c>
      <c r="AB13" s="17">
        <f t="shared" si="5"/>
        <v>4</v>
      </c>
      <c r="AC13" s="17">
        <f t="shared" si="5"/>
        <v>24</v>
      </c>
      <c r="AD13" s="17">
        <f t="shared" si="5"/>
        <v>0</v>
      </c>
      <c r="AE13" s="31">
        <f t="shared" si="5"/>
        <v>38</v>
      </c>
      <c r="AF13" s="31">
        <f t="shared" si="5"/>
        <v>62</v>
      </c>
    </row>
    <row r="14" spans="2:32" ht="23.1" customHeight="1" x14ac:dyDescent="0.25">
      <c r="B14" s="23" t="s">
        <v>41</v>
      </c>
      <c r="C14" s="50">
        <v>4</v>
      </c>
      <c r="D14" s="50">
        <v>1</v>
      </c>
      <c r="E14" s="50">
        <v>3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2</v>
      </c>
      <c r="M14" s="50">
        <v>19</v>
      </c>
      <c r="N14" s="50">
        <v>0</v>
      </c>
      <c r="O14" s="15">
        <f t="shared" si="0"/>
        <v>12</v>
      </c>
      <c r="P14" s="15">
        <f t="shared" si="1"/>
        <v>31</v>
      </c>
      <c r="R14" s="1" t="s">
        <v>10</v>
      </c>
      <c r="S14" s="17">
        <f t="shared" ref="S14:AF14" si="6">SUM(C26:C29)</f>
        <v>9</v>
      </c>
      <c r="T14" s="17">
        <f t="shared" si="6"/>
        <v>2</v>
      </c>
      <c r="U14" s="17">
        <f t="shared" si="6"/>
        <v>5</v>
      </c>
      <c r="V14" s="17">
        <f t="shared" si="6"/>
        <v>10</v>
      </c>
      <c r="W14" s="17">
        <f t="shared" si="6"/>
        <v>0</v>
      </c>
      <c r="X14" s="17">
        <f t="shared" si="6"/>
        <v>2</v>
      </c>
      <c r="Y14" s="17">
        <f t="shared" si="6"/>
        <v>5</v>
      </c>
      <c r="Z14" s="17">
        <f t="shared" si="6"/>
        <v>1</v>
      </c>
      <c r="AA14" s="17">
        <f t="shared" si="6"/>
        <v>1</v>
      </c>
      <c r="AB14" s="17">
        <f t="shared" si="6"/>
        <v>3</v>
      </c>
      <c r="AC14" s="17">
        <f t="shared" si="6"/>
        <v>20</v>
      </c>
      <c r="AD14" s="17">
        <f t="shared" si="6"/>
        <v>0</v>
      </c>
      <c r="AE14" s="31">
        <f t="shared" si="6"/>
        <v>38</v>
      </c>
      <c r="AF14" s="31">
        <f t="shared" si="6"/>
        <v>58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2</v>
      </c>
      <c r="G15" s="50">
        <v>0</v>
      </c>
      <c r="H15" s="50">
        <v>0</v>
      </c>
      <c r="I15" s="50">
        <v>3</v>
      </c>
      <c r="J15" s="50">
        <v>0</v>
      </c>
      <c r="K15" s="50">
        <v>1</v>
      </c>
      <c r="L15" s="50">
        <v>1</v>
      </c>
      <c r="M15" s="50">
        <v>9</v>
      </c>
      <c r="N15" s="50">
        <v>0</v>
      </c>
      <c r="O15" s="15">
        <f t="shared" si="0"/>
        <v>7</v>
      </c>
      <c r="P15" s="15">
        <f t="shared" si="1"/>
        <v>16</v>
      </c>
      <c r="R15" s="1" t="s">
        <v>11</v>
      </c>
      <c r="S15" s="17">
        <f t="shared" ref="S15:AF15" si="7">SUM(C30:C33)</f>
        <v>6</v>
      </c>
      <c r="T15" s="17">
        <f t="shared" si="7"/>
        <v>1</v>
      </c>
      <c r="U15" s="17">
        <f t="shared" si="7"/>
        <v>6</v>
      </c>
      <c r="V15" s="17">
        <f t="shared" si="7"/>
        <v>9</v>
      </c>
      <c r="W15" s="17">
        <f t="shared" si="7"/>
        <v>1</v>
      </c>
      <c r="X15" s="17">
        <f t="shared" si="7"/>
        <v>1</v>
      </c>
      <c r="Y15" s="17">
        <f t="shared" si="7"/>
        <v>5</v>
      </c>
      <c r="Z15" s="17">
        <f t="shared" si="7"/>
        <v>0</v>
      </c>
      <c r="AA15" s="17">
        <f t="shared" si="7"/>
        <v>0</v>
      </c>
      <c r="AB15" s="17">
        <f t="shared" si="7"/>
        <v>4</v>
      </c>
      <c r="AC15" s="17">
        <f t="shared" si="7"/>
        <v>13</v>
      </c>
      <c r="AD15" s="17">
        <f t="shared" si="7"/>
        <v>0</v>
      </c>
      <c r="AE15" s="31">
        <f t="shared" si="7"/>
        <v>33</v>
      </c>
      <c r="AF15" s="31">
        <f t="shared" si="7"/>
        <v>46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2</v>
      </c>
      <c r="F16" s="50">
        <v>3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9</v>
      </c>
      <c r="N16" s="50">
        <v>0</v>
      </c>
      <c r="O16" s="15">
        <f t="shared" si="0"/>
        <v>7</v>
      </c>
      <c r="P16" s="15">
        <f t="shared" si="1"/>
        <v>16</v>
      </c>
      <c r="R16" s="1" t="s">
        <v>12</v>
      </c>
      <c r="S16" s="17">
        <f t="shared" ref="S16:AF16" si="8">SUM(C34:C37)</f>
        <v>8</v>
      </c>
      <c r="T16" s="17">
        <f t="shared" si="8"/>
        <v>2</v>
      </c>
      <c r="U16" s="17">
        <f t="shared" si="8"/>
        <v>4</v>
      </c>
      <c r="V16" s="17">
        <f t="shared" si="8"/>
        <v>8</v>
      </c>
      <c r="W16" s="17">
        <f t="shared" si="8"/>
        <v>3</v>
      </c>
      <c r="X16" s="17">
        <f t="shared" si="8"/>
        <v>1</v>
      </c>
      <c r="Y16" s="17">
        <f t="shared" si="8"/>
        <v>10</v>
      </c>
      <c r="Z16" s="17">
        <f t="shared" si="8"/>
        <v>2</v>
      </c>
      <c r="AA16" s="17">
        <f t="shared" si="8"/>
        <v>1</v>
      </c>
      <c r="AB16" s="17">
        <f t="shared" si="8"/>
        <v>4</v>
      </c>
      <c r="AC16" s="17">
        <f t="shared" si="8"/>
        <v>15</v>
      </c>
      <c r="AD16" s="17">
        <f t="shared" si="8"/>
        <v>0</v>
      </c>
      <c r="AE16" s="31">
        <f t="shared" si="8"/>
        <v>43</v>
      </c>
      <c r="AF16" s="31">
        <f t="shared" si="8"/>
        <v>58</v>
      </c>
    </row>
    <row r="17" spans="2:32" ht="23.1" customHeight="1" x14ac:dyDescent="0.25">
      <c r="B17" s="23" t="s">
        <v>44</v>
      </c>
      <c r="C17" s="50">
        <v>1</v>
      </c>
      <c r="D17" s="50">
        <v>1</v>
      </c>
      <c r="E17" s="50">
        <v>2</v>
      </c>
      <c r="F17" s="50">
        <v>0</v>
      </c>
      <c r="G17" s="50">
        <v>0</v>
      </c>
      <c r="H17" s="50">
        <v>1</v>
      </c>
      <c r="I17" s="50">
        <v>0</v>
      </c>
      <c r="J17" s="50">
        <v>2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7</v>
      </c>
      <c r="P17" s="15">
        <f t="shared" si="1"/>
        <v>17</v>
      </c>
      <c r="R17" s="1" t="s">
        <v>13</v>
      </c>
      <c r="S17" s="17">
        <f t="shared" ref="S17:AF17" si="9">SUM(C38:C41)</f>
        <v>2</v>
      </c>
      <c r="T17" s="17">
        <f t="shared" si="9"/>
        <v>3</v>
      </c>
      <c r="U17" s="17">
        <f t="shared" si="9"/>
        <v>8</v>
      </c>
      <c r="V17" s="17">
        <f t="shared" si="9"/>
        <v>10</v>
      </c>
      <c r="W17" s="17">
        <f t="shared" si="9"/>
        <v>1</v>
      </c>
      <c r="X17" s="17">
        <f t="shared" si="9"/>
        <v>2</v>
      </c>
      <c r="Y17" s="17">
        <f t="shared" si="9"/>
        <v>12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13</v>
      </c>
      <c r="AD17" s="17">
        <f t="shared" si="9"/>
        <v>0</v>
      </c>
      <c r="AE17" s="31">
        <f t="shared" si="9"/>
        <v>39</v>
      </c>
      <c r="AF17" s="31">
        <f t="shared" si="9"/>
        <v>52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2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4</v>
      </c>
      <c r="N18" s="50">
        <v>0</v>
      </c>
      <c r="O18" s="15">
        <f t="shared" si="0"/>
        <v>4</v>
      </c>
      <c r="P18" s="15">
        <f t="shared" si="1"/>
        <v>8</v>
      </c>
      <c r="R18" s="1" t="s">
        <v>14</v>
      </c>
      <c r="S18" s="17">
        <f t="shared" ref="S18:AF18" si="10">SUM(C42:C45)</f>
        <v>6</v>
      </c>
      <c r="T18" s="17">
        <f t="shared" si="10"/>
        <v>2</v>
      </c>
      <c r="U18" s="17">
        <f t="shared" si="10"/>
        <v>7</v>
      </c>
      <c r="V18" s="17">
        <f t="shared" si="10"/>
        <v>5</v>
      </c>
      <c r="W18" s="17">
        <f t="shared" si="10"/>
        <v>1</v>
      </c>
      <c r="X18" s="17">
        <f t="shared" si="10"/>
        <v>0</v>
      </c>
      <c r="Y18" s="17">
        <f t="shared" si="10"/>
        <v>5</v>
      </c>
      <c r="Z18" s="17">
        <f t="shared" si="10"/>
        <v>3</v>
      </c>
      <c r="AA18" s="17">
        <f t="shared" si="10"/>
        <v>0</v>
      </c>
      <c r="AB18" s="17">
        <f t="shared" si="10"/>
        <v>6</v>
      </c>
      <c r="AC18" s="17">
        <f t="shared" si="10"/>
        <v>15</v>
      </c>
      <c r="AD18" s="17">
        <f t="shared" si="10"/>
        <v>0</v>
      </c>
      <c r="AE18" s="31">
        <f t="shared" si="10"/>
        <v>35</v>
      </c>
      <c r="AF18" s="31">
        <f t="shared" si="10"/>
        <v>50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2</v>
      </c>
      <c r="F19" s="50">
        <v>1</v>
      </c>
      <c r="G19" s="50">
        <v>0</v>
      </c>
      <c r="H19" s="50">
        <v>1</v>
      </c>
      <c r="I19" s="50">
        <v>4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10</v>
      </c>
      <c r="P19" s="15">
        <f t="shared" si="1"/>
        <v>12</v>
      </c>
      <c r="R19" s="1" t="s">
        <v>15</v>
      </c>
      <c r="S19" s="17">
        <f t="shared" ref="S19:AF19" si="11">SUM(C46:C49)</f>
        <v>5</v>
      </c>
      <c r="T19" s="17">
        <f t="shared" si="11"/>
        <v>4</v>
      </c>
      <c r="U19" s="17">
        <f t="shared" si="11"/>
        <v>10</v>
      </c>
      <c r="V19" s="17">
        <f t="shared" si="11"/>
        <v>11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2</v>
      </c>
      <c r="AA19" s="17">
        <f t="shared" si="11"/>
        <v>0</v>
      </c>
      <c r="AB19" s="17">
        <f t="shared" si="11"/>
        <v>6</v>
      </c>
      <c r="AC19" s="17">
        <f t="shared" si="11"/>
        <v>4</v>
      </c>
      <c r="AD19" s="17">
        <f t="shared" si="11"/>
        <v>0</v>
      </c>
      <c r="AE19" s="31">
        <f t="shared" si="11"/>
        <v>43</v>
      </c>
      <c r="AF19" s="31">
        <f t="shared" si="11"/>
        <v>47</v>
      </c>
    </row>
    <row r="20" spans="2:32" ht="23.1" customHeight="1" x14ac:dyDescent="0.25">
      <c r="B20" s="23" t="s">
        <v>47</v>
      </c>
      <c r="C20" s="50">
        <v>1</v>
      </c>
      <c r="D20" s="50">
        <v>1</v>
      </c>
      <c r="E20" s="50">
        <v>3</v>
      </c>
      <c r="F20" s="50">
        <v>3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6</v>
      </c>
      <c r="N20" s="50">
        <v>0</v>
      </c>
      <c r="O20" s="15">
        <f t="shared" si="0"/>
        <v>8</v>
      </c>
      <c r="P20" s="15">
        <f t="shared" si="1"/>
        <v>14</v>
      </c>
      <c r="R20" s="1" t="s">
        <v>16</v>
      </c>
      <c r="S20" s="17">
        <f t="shared" ref="S20:AF20" si="12">SUM(C50:C53)</f>
        <v>10</v>
      </c>
      <c r="T20" s="17">
        <f t="shared" si="12"/>
        <v>3</v>
      </c>
      <c r="U20" s="17">
        <f t="shared" si="12"/>
        <v>8</v>
      </c>
      <c r="V20" s="17">
        <f t="shared" si="12"/>
        <v>12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2</v>
      </c>
      <c r="AA20" s="17">
        <f t="shared" si="12"/>
        <v>1</v>
      </c>
      <c r="AB20" s="17">
        <f t="shared" si="12"/>
        <v>11</v>
      </c>
      <c r="AC20" s="17">
        <f t="shared" si="12"/>
        <v>24</v>
      </c>
      <c r="AD20" s="17">
        <f t="shared" si="12"/>
        <v>1</v>
      </c>
      <c r="AE20" s="31">
        <f t="shared" si="12"/>
        <v>57</v>
      </c>
      <c r="AF20" s="31">
        <f t="shared" si="12"/>
        <v>81</v>
      </c>
    </row>
    <row r="21" spans="2:32" ht="23.1" customHeight="1" x14ac:dyDescent="0.25">
      <c r="B21" s="23" t="s">
        <v>48</v>
      </c>
      <c r="C21" s="50">
        <v>0</v>
      </c>
      <c r="D21" s="50">
        <v>2</v>
      </c>
      <c r="E21" s="50">
        <v>3</v>
      </c>
      <c r="F21" s="50">
        <v>1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v>2</v>
      </c>
      <c r="M21" s="50">
        <v>8</v>
      </c>
      <c r="N21" s="50">
        <v>0</v>
      </c>
      <c r="O21" s="15">
        <f t="shared" si="0"/>
        <v>9</v>
      </c>
      <c r="P21" s="15">
        <f t="shared" si="1"/>
        <v>17</v>
      </c>
      <c r="R21" s="36" t="s">
        <v>20</v>
      </c>
      <c r="S21" s="34">
        <f t="shared" ref="S21:AF21" si="13">SUM(C54:C57)</f>
        <v>6</v>
      </c>
      <c r="T21" s="17">
        <f t="shared" si="13"/>
        <v>5</v>
      </c>
      <c r="U21" s="17">
        <f t="shared" si="13"/>
        <v>9</v>
      </c>
      <c r="V21" s="17">
        <f t="shared" si="13"/>
        <v>10</v>
      </c>
      <c r="W21" s="17">
        <f t="shared" si="13"/>
        <v>0</v>
      </c>
      <c r="X21" s="17">
        <f t="shared" si="13"/>
        <v>1</v>
      </c>
      <c r="Y21" s="17">
        <f t="shared" si="13"/>
        <v>15</v>
      </c>
      <c r="Z21" s="17">
        <f t="shared" si="13"/>
        <v>3</v>
      </c>
      <c r="AA21" s="17">
        <f t="shared" si="13"/>
        <v>2</v>
      </c>
      <c r="AB21" s="17">
        <f t="shared" si="13"/>
        <v>15</v>
      </c>
      <c r="AC21" s="17">
        <f t="shared" si="13"/>
        <v>27</v>
      </c>
      <c r="AD21" s="17">
        <f t="shared" si="13"/>
        <v>0</v>
      </c>
      <c r="AE21" s="31">
        <f t="shared" si="13"/>
        <v>66</v>
      </c>
      <c r="AF21" s="31">
        <f t="shared" si="13"/>
        <v>93</v>
      </c>
    </row>
    <row r="22" spans="2:32" ht="23.1" customHeight="1" x14ac:dyDescent="0.25">
      <c r="B22" s="23" t="s">
        <v>49</v>
      </c>
      <c r="C22" s="50">
        <v>1</v>
      </c>
      <c r="D22" s="50">
        <v>1</v>
      </c>
      <c r="E22" s="50">
        <v>3</v>
      </c>
      <c r="F22" s="50">
        <v>2</v>
      </c>
      <c r="G22" s="50">
        <v>0</v>
      </c>
      <c r="H22" s="50">
        <v>1</v>
      </c>
      <c r="I22" s="50">
        <v>2</v>
      </c>
      <c r="J22" s="50">
        <v>0</v>
      </c>
      <c r="K22" s="50">
        <v>0</v>
      </c>
      <c r="L22" s="50">
        <v>0</v>
      </c>
      <c r="M22" s="50">
        <v>7</v>
      </c>
      <c r="N22" s="50">
        <v>0</v>
      </c>
      <c r="O22" s="15">
        <f t="shared" si="0"/>
        <v>10</v>
      </c>
      <c r="P22" s="15">
        <f t="shared" si="1"/>
        <v>17</v>
      </c>
      <c r="R22" s="38" t="s">
        <v>90</v>
      </c>
      <c r="S22" s="39">
        <f>MAX(S10:S12)</f>
        <v>5</v>
      </c>
      <c r="T22" s="39">
        <f t="shared" ref="T22:AF22" si="14">MAX(T10:T12)</f>
        <v>4</v>
      </c>
      <c r="U22" s="39">
        <f t="shared" si="14"/>
        <v>10</v>
      </c>
      <c r="V22" s="39">
        <f t="shared" si="14"/>
        <v>6</v>
      </c>
      <c r="W22" s="39">
        <f t="shared" si="14"/>
        <v>0</v>
      </c>
      <c r="X22" s="39">
        <f t="shared" si="14"/>
        <v>2</v>
      </c>
      <c r="Y22" s="39">
        <f t="shared" si="14"/>
        <v>5</v>
      </c>
      <c r="Z22" s="39">
        <f t="shared" si="14"/>
        <v>3</v>
      </c>
      <c r="AA22" s="39">
        <f t="shared" si="14"/>
        <v>1</v>
      </c>
      <c r="AB22" s="39">
        <f t="shared" si="14"/>
        <v>3</v>
      </c>
      <c r="AC22" s="39">
        <f t="shared" si="14"/>
        <v>47</v>
      </c>
      <c r="AD22" s="39">
        <f t="shared" si="14"/>
        <v>0</v>
      </c>
      <c r="AE22" s="40">
        <f t="shared" si="14"/>
        <v>33</v>
      </c>
      <c r="AF22" s="40">
        <f t="shared" si="14"/>
        <v>80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2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6</v>
      </c>
      <c r="N23" s="50">
        <v>0</v>
      </c>
      <c r="O23" s="15">
        <f t="shared" si="0"/>
        <v>4</v>
      </c>
      <c r="P23" s="15">
        <f t="shared" si="1"/>
        <v>10</v>
      </c>
      <c r="R23" s="38" t="s">
        <v>91</v>
      </c>
      <c r="S23" s="39">
        <f>MAX(S13:S18)</f>
        <v>9</v>
      </c>
      <c r="T23" s="39">
        <f t="shared" ref="T23:AF23" si="15">MAX(T13:T18)</f>
        <v>3</v>
      </c>
      <c r="U23" s="39">
        <f t="shared" si="15"/>
        <v>8</v>
      </c>
      <c r="V23" s="39">
        <f t="shared" si="15"/>
        <v>10</v>
      </c>
      <c r="W23" s="39">
        <f t="shared" si="15"/>
        <v>3</v>
      </c>
      <c r="X23" s="39">
        <f t="shared" si="15"/>
        <v>5</v>
      </c>
      <c r="Y23" s="39">
        <f t="shared" si="15"/>
        <v>12</v>
      </c>
      <c r="Z23" s="39">
        <f t="shared" si="15"/>
        <v>3</v>
      </c>
      <c r="AA23" s="39">
        <f t="shared" si="15"/>
        <v>1</v>
      </c>
      <c r="AB23" s="39">
        <f t="shared" si="15"/>
        <v>6</v>
      </c>
      <c r="AC23" s="39">
        <f t="shared" si="15"/>
        <v>24</v>
      </c>
      <c r="AD23" s="39">
        <f t="shared" si="15"/>
        <v>0</v>
      </c>
      <c r="AE23" s="40">
        <f t="shared" si="15"/>
        <v>43</v>
      </c>
      <c r="AF23" s="40">
        <f t="shared" si="15"/>
        <v>62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2</v>
      </c>
      <c r="F24" s="50">
        <v>3</v>
      </c>
      <c r="G24" s="50">
        <v>0</v>
      </c>
      <c r="H24" s="50">
        <v>1</v>
      </c>
      <c r="I24" s="50">
        <v>1</v>
      </c>
      <c r="J24" s="50">
        <v>2</v>
      </c>
      <c r="K24" s="50">
        <v>0</v>
      </c>
      <c r="L24" s="50">
        <v>2</v>
      </c>
      <c r="M24" s="50">
        <v>7</v>
      </c>
      <c r="N24" s="50">
        <v>0</v>
      </c>
      <c r="O24" s="15">
        <f t="shared" si="0"/>
        <v>11</v>
      </c>
      <c r="P24" s="15">
        <f t="shared" si="1"/>
        <v>18</v>
      </c>
      <c r="R24" s="38" t="s">
        <v>92</v>
      </c>
      <c r="S24" s="39">
        <f>MAX(S19:S21)</f>
        <v>10</v>
      </c>
      <c r="T24" s="39">
        <f t="shared" ref="T24:AF24" si="16">MAX(T19:T21)</f>
        <v>5</v>
      </c>
      <c r="U24" s="39">
        <f t="shared" si="16"/>
        <v>10</v>
      </c>
      <c r="V24" s="39">
        <f t="shared" si="16"/>
        <v>12</v>
      </c>
      <c r="W24" s="39">
        <f t="shared" si="16"/>
        <v>0</v>
      </c>
      <c r="X24" s="39">
        <f t="shared" si="16"/>
        <v>1</v>
      </c>
      <c r="Y24" s="39">
        <f t="shared" si="16"/>
        <v>15</v>
      </c>
      <c r="Z24" s="39">
        <f t="shared" si="16"/>
        <v>3</v>
      </c>
      <c r="AA24" s="39">
        <f t="shared" si="16"/>
        <v>2</v>
      </c>
      <c r="AB24" s="39">
        <f t="shared" si="16"/>
        <v>15</v>
      </c>
      <c r="AC24" s="39">
        <f t="shared" si="16"/>
        <v>27</v>
      </c>
      <c r="AD24" s="39">
        <f t="shared" si="16"/>
        <v>1</v>
      </c>
      <c r="AE24" s="40">
        <f t="shared" si="16"/>
        <v>66</v>
      </c>
      <c r="AF24" s="40">
        <f t="shared" si="16"/>
        <v>93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2</v>
      </c>
      <c r="F25" s="50">
        <v>3</v>
      </c>
      <c r="G25" s="50">
        <v>0</v>
      </c>
      <c r="H25" s="50">
        <v>3</v>
      </c>
      <c r="I25" s="50">
        <v>2</v>
      </c>
      <c r="J25" s="50">
        <v>0</v>
      </c>
      <c r="K25" s="50">
        <v>0</v>
      </c>
      <c r="L25" s="50">
        <v>2</v>
      </c>
      <c r="M25" s="50">
        <v>4</v>
      </c>
      <c r="N25" s="50">
        <v>0</v>
      </c>
      <c r="O25" s="15">
        <f t="shared" si="0"/>
        <v>13</v>
      </c>
      <c r="P25" s="15">
        <f t="shared" si="1"/>
        <v>17</v>
      </c>
      <c r="R25" s="37" t="s">
        <v>85</v>
      </c>
      <c r="S25" s="35">
        <f t="shared" ref="S25:AF25" si="17">SUM(S10:S12)</f>
        <v>10</v>
      </c>
      <c r="T25" s="16">
        <f t="shared" si="17"/>
        <v>7</v>
      </c>
      <c r="U25" s="16">
        <f t="shared" si="17"/>
        <v>22</v>
      </c>
      <c r="V25" s="16">
        <f t="shared" si="17"/>
        <v>18</v>
      </c>
      <c r="W25" s="16">
        <f t="shared" si="17"/>
        <v>0</v>
      </c>
      <c r="X25" s="16">
        <f t="shared" si="17"/>
        <v>4</v>
      </c>
      <c r="Y25" s="16">
        <f t="shared" si="17"/>
        <v>12</v>
      </c>
      <c r="Z25" s="16">
        <f t="shared" si="17"/>
        <v>4</v>
      </c>
      <c r="AA25" s="16">
        <f t="shared" si="17"/>
        <v>1</v>
      </c>
      <c r="AB25" s="16">
        <f t="shared" si="17"/>
        <v>6</v>
      </c>
      <c r="AC25" s="16">
        <f t="shared" si="17"/>
        <v>82</v>
      </c>
      <c r="AD25" s="16">
        <f t="shared" si="17"/>
        <v>0</v>
      </c>
      <c r="AE25" s="32">
        <f t="shared" si="17"/>
        <v>84</v>
      </c>
      <c r="AF25" s="32">
        <f t="shared" si="17"/>
        <v>166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3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3</v>
      </c>
      <c r="N26" s="50">
        <v>0</v>
      </c>
      <c r="O26" s="15">
        <f t="shared" si="0"/>
        <v>6</v>
      </c>
      <c r="P26" s="15">
        <f t="shared" si="1"/>
        <v>9</v>
      </c>
      <c r="R26" s="28" t="s">
        <v>86</v>
      </c>
      <c r="S26" s="16">
        <f t="shared" ref="S26:AF26" si="18">SUM(S13:S18)</f>
        <v>33</v>
      </c>
      <c r="T26" s="16">
        <f t="shared" si="18"/>
        <v>12</v>
      </c>
      <c r="U26" s="16">
        <f t="shared" si="18"/>
        <v>38</v>
      </c>
      <c r="V26" s="16">
        <f t="shared" si="18"/>
        <v>52</v>
      </c>
      <c r="W26" s="16">
        <f t="shared" si="18"/>
        <v>6</v>
      </c>
      <c r="X26" s="16">
        <f t="shared" si="18"/>
        <v>11</v>
      </c>
      <c r="Y26" s="16">
        <f t="shared" si="18"/>
        <v>42</v>
      </c>
      <c r="Z26" s="16">
        <f t="shared" si="18"/>
        <v>8</v>
      </c>
      <c r="AA26" s="16">
        <f t="shared" si="18"/>
        <v>2</v>
      </c>
      <c r="AB26" s="16">
        <f t="shared" si="18"/>
        <v>22</v>
      </c>
      <c r="AC26" s="16">
        <f t="shared" si="18"/>
        <v>100</v>
      </c>
      <c r="AD26" s="16">
        <f t="shared" si="18"/>
        <v>0</v>
      </c>
      <c r="AE26" s="32">
        <f t="shared" si="18"/>
        <v>226</v>
      </c>
      <c r="AF26" s="32">
        <f t="shared" si="18"/>
        <v>326</v>
      </c>
    </row>
    <row r="27" spans="2:32" ht="23.1" customHeight="1" x14ac:dyDescent="0.25">
      <c r="B27" s="23" t="s">
        <v>54</v>
      </c>
      <c r="C27" s="50">
        <v>6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4</v>
      </c>
      <c r="J27" s="50">
        <v>1</v>
      </c>
      <c r="K27" s="50">
        <v>1</v>
      </c>
      <c r="L27" s="50">
        <v>1</v>
      </c>
      <c r="M27" s="50">
        <v>7</v>
      </c>
      <c r="N27" s="50">
        <v>0</v>
      </c>
      <c r="O27" s="15">
        <f t="shared" si="0"/>
        <v>15</v>
      </c>
      <c r="P27" s="15">
        <f t="shared" si="1"/>
        <v>22</v>
      </c>
      <c r="R27" s="29" t="s">
        <v>87</v>
      </c>
      <c r="S27" s="16">
        <f t="shared" ref="S27:AF27" si="19">SUM(S19:S21)</f>
        <v>21</v>
      </c>
      <c r="T27" s="16">
        <f t="shared" si="19"/>
        <v>12</v>
      </c>
      <c r="U27" s="16">
        <f t="shared" si="19"/>
        <v>27</v>
      </c>
      <c r="V27" s="16">
        <f t="shared" si="19"/>
        <v>33</v>
      </c>
      <c r="W27" s="16">
        <f t="shared" si="19"/>
        <v>0</v>
      </c>
      <c r="X27" s="16">
        <f t="shared" si="19"/>
        <v>1</v>
      </c>
      <c r="Y27" s="16">
        <f t="shared" si="19"/>
        <v>29</v>
      </c>
      <c r="Z27" s="16">
        <f t="shared" si="19"/>
        <v>7</v>
      </c>
      <c r="AA27" s="16">
        <f t="shared" si="19"/>
        <v>3</v>
      </c>
      <c r="AB27" s="16">
        <f t="shared" si="19"/>
        <v>32</v>
      </c>
      <c r="AC27" s="16">
        <f t="shared" si="19"/>
        <v>55</v>
      </c>
      <c r="AD27" s="16">
        <f t="shared" si="19"/>
        <v>1</v>
      </c>
      <c r="AE27" s="32">
        <f t="shared" si="19"/>
        <v>166</v>
      </c>
      <c r="AF27" s="32">
        <f t="shared" si="19"/>
        <v>221</v>
      </c>
    </row>
    <row r="28" spans="2:32" ht="23.1" customHeight="1" x14ac:dyDescent="0.25">
      <c r="B28" s="23" t="s">
        <v>55</v>
      </c>
      <c r="C28" s="50">
        <v>2</v>
      </c>
      <c r="D28" s="50">
        <v>1</v>
      </c>
      <c r="E28" s="50">
        <v>2</v>
      </c>
      <c r="F28" s="50">
        <v>3</v>
      </c>
      <c r="G28" s="50">
        <v>0</v>
      </c>
      <c r="H28" s="50">
        <v>2</v>
      </c>
      <c r="I28" s="50">
        <v>0</v>
      </c>
      <c r="J28" s="50">
        <v>0</v>
      </c>
      <c r="K28" s="50">
        <v>0</v>
      </c>
      <c r="L28" s="50">
        <v>1</v>
      </c>
      <c r="M28" s="50">
        <v>7</v>
      </c>
      <c r="N28" s="50">
        <v>0</v>
      </c>
      <c r="O28" s="15">
        <f t="shared" si="0"/>
        <v>11</v>
      </c>
      <c r="P28" s="15">
        <f t="shared" si="1"/>
        <v>18</v>
      </c>
      <c r="R28" s="5" t="s">
        <v>17</v>
      </c>
      <c r="S28" s="16">
        <f t="shared" ref="S28:AF28" si="20">SUM(S10:S21)</f>
        <v>64</v>
      </c>
      <c r="T28" s="16">
        <f t="shared" si="20"/>
        <v>31</v>
      </c>
      <c r="U28" s="16">
        <f t="shared" si="20"/>
        <v>87</v>
      </c>
      <c r="V28" s="16">
        <f t="shared" si="20"/>
        <v>103</v>
      </c>
      <c r="W28" s="16">
        <f t="shared" si="20"/>
        <v>6</v>
      </c>
      <c r="X28" s="16">
        <f t="shared" si="20"/>
        <v>16</v>
      </c>
      <c r="Y28" s="16">
        <f t="shared" si="20"/>
        <v>83</v>
      </c>
      <c r="Z28" s="16">
        <f t="shared" si="20"/>
        <v>19</v>
      </c>
      <c r="AA28" s="16">
        <f t="shared" si="20"/>
        <v>6</v>
      </c>
      <c r="AB28" s="16">
        <f t="shared" si="20"/>
        <v>60</v>
      </c>
      <c r="AC28" s="16">
        <f t="shared" si="20"/>
        <v>237</v>
      </c>
      <c r="AD28" s="16">
        <f t="shared" si="20"/>
        <v>1</v>
      </c>
      <c r="AE28" s="32">
        <f t="shared" si="20"/>
        <v>476</v>
      </c>
      <c r="AF28" s="32">
        <f t="shared" si="20"/>
        <v>713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4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6</v>
      </c>
      <c r="P29" s="15">
        <f t="shared" si="1"/>
        <v>9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2</v>
      </c>
      <c r="F30" s="50">
        <v>2</v>
      </c>
      <c r="G30" s="50">
        <v>1</v>
      </c>
      <c r="H30" s="50">
        <v>1</v>
      </c>
      <c r="I30" s="50">
        <v>0</v>
      </c>
      <c r="J30" s="50">
        <v>0</v>
      </c>
      <c r="K30" s="50">
        <v>0</v>
      </c>
      <c r="L30" s="50">
        <v>1</v>
      </c>
      <c r="M30" s="50">
        <v>2</v>
      </c>
      <c r="N30" s="50">
        <v>0</v>
      </c>
      <c r="O30" s="15">
        <f t="shared" si="0"/>
        <v>9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2</v>
      </c>
      <c r="F31" s="50">
        <v>4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2</v>
      </c>
      <c r="M31" s="50">
        <v>3</v>
      </c>
      <c r="N31" s="50">
        <v>0</v>
      </c>
      <c r="O31" s="15">
        <f t="shared" si="0"/>
        <v>15</v>
      </c>
      <c r="P31" s="15">
        <f t="shared" si="1"/>
        <v>18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2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5</v>
      </c>
      <c r="N32" s="50">
        <v>0</v>
      </c>
      <c r="O32" s="15">
        <f t="shared" si="0"/>
        <v>4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3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5</v>
      </c>
      <c r="P33" s="15">
        <f t="shared" si="1"/>
        <v>8</v>
      </c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2</v>
      </c>
      <c r="F34" s="50">
        <v>1</v>
      </c>
      <c r="G34" s="50">
        <v>0</v>
      </c>
      <c r="H34" s="50">
        <v>0</v>
      </c>
      <c r="I34" s="50">
        <v>2</v>
      </c>
      <c r="J34" s="50">
        <v>1</v>
      </c>
      <c r="K34" s="50">
        <v>0</v>
      </c>
      <c r="L34" s="50">
        <v>1</v>
      </c>
      <c r="M34" s="50">
        <v>4</v>
      </c>
      <c r="N34" s="50">
        <v>0</v>
      </c>
      <c r="O34" s="15">
        <f t="shared" si="0"/>
        <v>9</v>
      </c>
      <c r="P34" s="15">
        <f t="shared" si="1"/>
        <v>13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2</v>
      </c>
      <c r="G35" s="50">
        <v>2</v>
      </c>
      <c r="H35" s="50">
        <v>1</v>
      </c>
      <c r="I35" s="50">
        <v>1</v>
      </c>
      <c r="J35" s="50">
        <v>0</v>
      </c>
      <c r="K35" s="50">
        <v>0</v>
      </c>
      <c r="L35" s="50">
        <v>2</v>
      </c>
      <c r="M35" s="50">
        <v>3</v>
      </c>
      <c r="N35" s="50">
        <v>0</v>
      </c>
      <c r="O35" s="15">
        <f t="shared" si="0"/>
        <v>10</v>
      </c>
      <c r="P35" s="15">
        <f t="shared" si="1"/>
        <v>13</v>
      </c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2</v>
      </c>
      <c r="F36" s="50">
        <v>0</v>
      </c>
      <c r="G36" s="50">
        <v>0</v>
      </c>
      <c r="H36" s="50">
        <v>0</v>
      </c>
      <c r="I36" s="50">
        <v>4</v>
      </c>
      <c r="J36" s="50">
        <v>0</v>
      </c>
      <c r="K36" s="50">
        <v>1</v>
      </c>
      <c r="L36" s="50">
        <v>0</v>
      </c>
      <c r="M36" s="50">
        <v>6</v>
      </c>
      <c r="N36" s="50">
        <v>0</v>
      </c>
      <c r="O36" s="15">
        <f t="shared" si="0"/>
        <v>10</v>
      </c>
      <c r="P36" s="15">
        <f t="shared" si="1"/>
        <v>16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0</v>
      </c>
      <c r="F37" s="50">
        <v>5</v>
      </c>
      <c r="G37" s="50">
        <v>1</v>
      </c>
      <c r="H37" s="50">
        <v>0</v>
      </c>
      <c r="I37" s="50">
        <v>3</v>
      </c>
      <c r="J37" s="50">
        <v>1</v>
      </c>
      <c r="K37" s="50">
        <v>0</v>
      </c>
      <c r="L37" s="50">
        <v>1</v>
      </c>
      <c r="M37" s="50">
        <v>2</v>
      </c>
      <c r="N37" s="50">
        <v>0</v>
      </c>
      <c r="O37" s="15">
        <f t="shared" si="0"/>
        <v>14</v>
      </c>
      <c r="P37" s="15">
        <f t="shared" si="1"/>
        <v>16</v>
      </c>
    </row>
    <row r="38" spans="2:20" ht="23.1" customHeight="1" x14ac:dyDescent="0.25">
      <c r="B38" s="24" t="s">
        <v>65</v>
      </c>
      <c r="C38" s="50">
        <v>1</v>
      </c>
      <c r="D38" s="50">
        <v>2</v>
      </c>
      <c r="E38" s="50">
        <v>3</v>
      </c>
      <c r="F38" s="50">
        <v>1</v>
      </c>
      <c r="G38" s="50">
        <v>0</v>
      </c>
      <c r="H38" s="50">
        <v>2</v>
      </c>
      <c r="I38" s="50">
        <v>5</v>
      </c>
      <c r="J38" s="50">
        <v>0</v>
      </c>
      <c r="K38" s="50">
        <v>0</v>
      </c>
      <c r="L38" s="50">
        <v>1</v>
      </c>
      <c r="M38" s="50">
        <v>5</v>
      </c>
      <c r="N38" s="50">
        <v>0</v>
      </c>
      <c r="O38" s="15">
        <f t="shared" si="0"/>
        <v>15</v>
      </c>
      <c r="P38" s="15">
        <f t="shared" si="1"/>
        <v>20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2</v>
      </c>
      <c r="F39" s="50">
        <v>1</v>
      </c>
      <c r="G39" s="50">
        <v>0</v>
      </c>
      <c r="H39" s="50">
        <v>0</v>
      </c>
      <c r="I39" s="50">
        <v>5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9</v>
      </c>
      <c r="P39" s="15">
        <f t="shared" si="1"/>
        <v>12</v>
      </c>
    </row>
    <row r="40" spans="2:20" ht="23.1" customHeight="1" x14ac:dyDescent="0.25">
      <c r="B40" s="24" t="s">
        <v>67</v>
      </c>
      <c r="C40" s="50">
        <v>0</v>
      </c>
      <c r="D40" s="50">
        <v>1</v>
      </c>
      <c r="E40" s="50">
        <v>2</v>
      </c>
      <c r="F40" s="50">
        <v>5</v>
      </c>
      <c r="G40" s="50">
        <v>1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9</v>
      </c>
      <c r="P40" s="15">
        <f t="shared" si="1"/>
        <v>12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3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6</v>
      </c>
      <c r="P41" s="15">
        <f t="shared" si="1"/>
        <v>8</v>
      </c>
    </row>
    <row r="42" spans="2:20" ht="23.1" customHeight="1" x14ac:dyDescent="0.25">
      <c r="B42" s="24" t="s">
        <v>69</v>
      </c>
      <c r="C42" s="50">
        <v>2</v>
      </c>
      <c r="D42" s="50">
        <v>2</v>
      </c>
      <c r="E42" s="50">
        <v>3</v>
      </c>
      <c r="F42" s="50">
        <v>3</v>
      </c>
      <c r="G42" s="50">
        <v>1</v>
      </c>
      <c r="H42" s="50">
        <v>0</v>
      </c>
      <c r="I42" s="50">
        <v>2</v>
      </c>
      <c r="J42" s="50">
        <v>0</v>
      </c>
      <c r="K42" s="50">
        <v>0</v>
      </c>
      <c r="L42" s="50">
        <v>3</v>
      </c>
      <c r="M42" s="50">
        <v>6</v>
      </c>
      <c r="N42" s="50">
        <v>0</v>
      </c>
      <c r="O42" s="15">
        <f t="shared" si="0"/>
        <v>16</v>
      </c>
      <c r="P42" s="15">
        <f t="shared" si="1"/>
        <v>22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1</v>
      </c>
      <c r="M43" s="50">
        <v>6</v>
      </c>
      <c r="N43" s="50">
        <v>0</v>
      </c>
      <c r="O43" s="15">
        <f t="shared" si="0"/>
        <v>5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1</v>
      </c>
      <c r="M44" s="50">
        <v>2</v>
      </c>
      <c r="N44" s="50">
        <v>0</v>
      </c>
      <c r="O44" s="15">
        <f t="shared" si="0"/>
        <v>4</v>
      </c>
      <c r="P44" s="15">
        <f t="shared" si="1"/>
        <v>6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2</v>
      </c>
      <c r="F45" s="50">
        <v>1</v>
      </c>
      <c r="G45" s="50">
        <v>0</v>
      </c>
      <c r="H45" s="50">
        <v>0</v>
      </c>
      <c r="I45" s="50">
        <v>1</v>
      </c>
      <c r="J45" s="50">
        <v>2</v>
      </c>
      <c r="K45" s="50">
        <v>0</v>
      </c>
      <c r="L45" s="50">
        <v>1</v>
      </c>
      <c r="M45" s="50">
        <v>1</v>
      </c>
      <c r="N45" s="50">
        <v>0</v>
      </c>
      <c r="O45" s="15">
        <f t="shared" si="0"/>
        <v>10</v>
      </c>
      <c r="P45" s="15">
        <f t="shared" si="1"/>
        <v>11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</v>
      </c>
      <c r="N46" s="50">
        <v>0</v>
      </c>
      <c r="O46" s="15">
        <f t="shared" si="0"/>
        <v>5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3</v>
      </c>
      <c r="F47" s="50">
        <v>2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2</v>
      </c>
      <c r="M47" s="50">
        <v>2</v>
      </c>
      <c r="N47" s="50">
        <v>0</v>
      </c>
      <c r="O47" s="15">
        <f t="shared" si="0"/>
        <v>9</v>
      </c>
      <c r="P47" s="15">
        <f t="shared" si="1"/>
        <v>11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1</v>
      </c>
      <c r="E48" s="50">
        <v>2</v>
      </c>
      <c r="F48" s="50">
        <v>3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1</v>
      </c>
      <c r="M48" s="50">
        <v>0</v>
      </c>
      <c r="N48" s="50">
        <v>0</v>
      </c>
      <c r="O48" s="15">
        <f t="shared" si="0"/>
        <v>11</v>
      </c>
      <c r="P48" s="15">
        <f t="shared" si="1"/>
        <v>11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2</v>
      </c>
      <c r="E49" s="50">
        <v>4</v>
      </c>
      <c r="F49" s="50">
        <v>5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3</v>
      </c>
      <c r="M49" s="50">
        <v>1</v>
      </c>
      <c r="N49" s="50">
        <v>0</v>
      </c>
      <c r="O49" s="15">
        <f t="shared" si="0"/>
        <v>18</v>
      </c>
      <c r="P49" s="15">
        <f t="shared" si="1"/>
        <v>19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2</v>
      </c>
      <c r="F50" s="50">
        <v>3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1</v>
      </c>
      <c r="M50" s="50">
        <v>6</v>
      </c>
      <c r="N50" s="50">
        <v>1</v>
      </c>
      <c r="O50" s="15">
        <f t="shared" si="0"/>
        <v>11</v>
      </c>
      <c r="P50" s="15">
        <f t="shared" si="1"/>
        <v>17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1</v>
      </c>
      <c r="E51" s="50">
        <v>2</v>
      </c>
      <c r="F51" s="50">
        <v>1</v>
      </c>
      <c r="G51" s="50">
        <v>0</v>
      </c>
      <c r="H51" s="50">
        <v>0</v>
      </c>
      <c r="I51" s="50">
        <v>1</v>
      </c>
      <c r="J51" s="50">
        <v>1</v>
      </c>
      <c r="K51" s="50">
        <v>1</v>
      </c>
      <c r="L51" s="50">
        <v>1</v>
      </c>
      <c r="M51" s="50">
        <v>4</v>
      </c>
      <c r="N51" s="50">
        <v>0</v>
      </c>
      <c r="O51" s="15">
        <f t="shared" si="0"/>
        <v>9</v>
      </c>
      <c r="P51" s="15">
        <f t="shared" si="1"/>
        <v>13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2</v>
      </c>
      <c r="E52" s="50">
        <v>3</v>
      </c>
      <c r="F52" s="50">
        <v>5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8</v>
      </c>
      <c r="M52" s="50">
        <v>6</v>
      </c>
      <c r="N52" s="50">
        <v>0</v>
      </c>
      <c r="O52" s="15">
        <f t="shared" si="0"/>
        <v>26</v>
      </c>
      <c r="P52" s="15">
        <f t="shared" si="1"/>
        <v>32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1</v>
      </c>
      <c r="F53" s="50">
        <v>3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1</v>
      </c>
      <c r="M53" s="50">
        <v>8</v>
      </c>
      <c r="N53" s="50">
        <v>0</v>
      </c>
      <c r="O53" s="15">
        <f t="shared" si="0"/>
        <v>11</v>
      </c>
      <c r="P53" s="15">
        <f t="shared" si="1"/>
        <v>19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2</v>
      </c>
      <c r="F54" s="50">
        <v>4</v>
      </c>
      <c r="G54" s="50">
        <v>0</v>
      </c>
      <c r="H54" s="50">
        <v>0</v>
      </c>
      <c r="I54" s="50">
        <v>4</v>
      </c>
      <c r="J54" s="50">
        <v>0</v>
      </c>
      <c r="K54" s="50">
        <v>1</v>
      </c>
      <c r="L54" s="50">
        <v>4</v>
      </c>
      <c r="M54" s="50">
        <v>9</v>
      </c>
      <c r="N54" s="50">
        <v>0</v>
      </c>
      <c r="O54" s="15">
        <f t="shared" si="0"/>
        <v>17</v>
      </c>
      <c r="P54" s="15">
        <f t="shared" si="1"/>
        <v>26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2</v>
      </c>
      <c r="F55" s="50">
        <v>1</v>
      </c>
      <c r="G55" s="50">
        <v>0</v>
      </c>
      <c r="H55" s="50">
        <v>0</v>
      </c>
      <c r="I55" s="50">
        <v>1</v>
      </c>
      <c r="J55" s="50">
        <v>0</v>
      </c>
      <c r="K55" s="50">
        <v>1</v>
      </c>
      <c r="L55" s="50">
        <v>9</v>
      </c>
      <c r="M55" s="50">
        <v>2</v>
      </c>
      <c r="N55" s="50">
        <v>0</v>
      </c>
      <c r="O55" s="15">
        <f t="shared" si="0"/>
        <v>18</v>
      </c>
      <c r="P55" s="15">
        <f t="shared" si="1"/>
        <v>20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2</v>
      </c>
      <c r="E56" s="50">
        <v>3</v>
      </c>
      <c r="F56" s="50">
        <v>3</v>
      </c>
      <c r="G56" s="50">
        <v>0</v>
      </c>
      <c r="H56" s="50">
        <v>1</v>
      </c>
      <c r="I56" s="50">
        <v>7</v>
      </c>
      <c r="J56" s="50">
        <v>1</v>
      </c>
      <c r="K56" s="50">
        <v>0</v>
      </c>
      <c r="L56" s="50">
        <v>0</v>
      </c>
      <c r="M56" s="50">
        <v>11</v>
      </c>
      <c r="N56" s="50">
        <v>0</v>
      </c>
      <c r="O56" s="15">
        <f t="shared" si="0"/>
        <v>19</v>
      </c>
      <c r="P56" s="15">
        <f t="shared" si="1"/>
        <v>30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2</v>
      </c>
      <c r="F57" s="50">
        <v>2</v>
      </c>
      <c r="G57" s="50">
        <v>0</v>
      </c>
      <c r="H57" s="50">
        <v>0</v>
      </c>
      <c r="I57" s="50">
        <v>3</v>
      </c>
      <c r="J57" s="50">
        <v>2</v>
      </c>
      <c r="K57" s="50">
        <v>0</v>
      </c>
      <c r="L57" s="50">
        <v>2</v>
      </c>
      <c r="M57" s="50">
        <v>5</v>
      </c>
      <c r="N57" s="50">
        <v>0</v>
      </c>
      <c r="O57" s="15">
        <f t="shared" si="0"/>
        <v>12</v>
      </c>
      <c r="P57" s="15">
        <f t="shared" si="1"/>
        <v>17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</v>
      </c>
      <c r="D58" s="16">
        <f t="shared" si="21"/>
        <v>31</v>
      </c>
      <c r="E58" s="16">
        <f t="shared" si="21"/>
        <v>87</v>
      </c>
      <c r="F58" s="16">
        <f t="shared" si="21"/>
        <v>103</v>
      </c>
      <c r="G58" s="16">
        <f t="shared" si="21"/>
        <v>6</v>
      </c>
      <c r="H58" s="16">
        <f t="shared" si="21"/>
        <v>16</v>
      </c>
      <c r="I58" s="16">
        <f t="shared" si="21"/>
        <v>83</v>
      </c>
      <c r="J58" s="16">
        <f t="shared" si="21"/>
        <v>19</v>
      </c>
      <c r="K58" s="16">
        <f t="shared" si="21"/>
        <v>6</v>
      </c>
      <c r="L58" s="16">
        <f t="shared" si="21"/>
        <v>60</v>
      </c>
      <c r="M58" s="16">
        <f t="shared" si="21"/>
        <v>237</v>
      </c>
      <c r="N58" s="16">
        <f t="shared" si="21"/>
        <v>1</v>
      </c>
      <c r="O58" s="16">
        <f t="shared" si="21"/>
        <v>476</v>
      </c>
      <c r="P58" s="16">
        <f t="shared" si="21"/>
        <v>713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8.9761570827489479E-2</v>
      </c>
      <c r="D59" s="43">
        <f t="shared" si="22"/>
        <v>4.3478260869565216E-2</v>
      </c>
      <c r="E59" s="43">
        <f t="shared" si="22"/>
        <v>0.12201963534361851</v>
      </c>
      <c r="F59" s="43">
        <f t="shared" si="22"/>
        <v>0.14446002805049088</v>
      </c>
      <c r="G59" s="43">
        <f t="shared" si="22"/>
        <v>8.4151472650771386E-3</v>
      </c>
      <c r="H59" s="43">
        <f t="shared" si="22"/>
        <v>2.244039270687237E-2</v>
      </c>
      <c r="I59" s="43">
        <f t="shared" si="22"/>
        <v>0.11640953716690042</v>
      </c>
      <c r="J59" s="43">
        <f t="shared" si="22"/>
        <v>2.6647966339410939E-2</v>
      </c>
      <c r="K59" s="43">
        <f t="shared" si="22"/>
        <v>8.4151472650771386E-3</v>
      </c>
      <c r="L59" s="43">
        <f t="shared" si="22"/>
        <v>8.4151472650771386E-2</v>
      </c>
      <c r="M59" s="43">
        <f t="shared" si="22"/>
        <v>0.332398316970547</v>
      </c>
      <c r="N59" s="43">
        <f t="shared" si="22"/>
        <v>1.4025245441795231E-3</v>
      </c>
      <c r="R59" s="8"/>
      <c r="T59"/>
    </row>
    <row r="60" spans="2:20" ht="23.1" customHeight="1" x14ac:dyDescent="0.25">
      <c r="B60" s="42" t="s">
        <v>94</v>
      </c>
      <c r="C60" s="44">
        <f>C58/$O$58</f>
        <v>0.13445378151260504</v>
      </c>
      <c r="D60" s="44">
        <f t="shared" ref="D60:N60" si="23">D58/$O$58</f>
        <v>6.5126050420168072E-2</v>
      </c>
      <c r="E60" s="44">
        <f t="shared" si="23"/>
        <v>0.18277310924369747</v>
      </c>
      <c r="F60" s="44">
        <f t="shared" si="23"/>
        <v>0.21638655462184875</v>
      </c>
      <c r="G60" s="44">
        <f t="shared" si="23"/>
        <v>1.2605042016806723E-2</v>
      </c>
      <c r="H60" s="44">
        <f t="shared" si="23"/>
        <v>3.3613445378151259E-2</v>
      </c>
      <c r="I60" s="44">
        <f t="shared" si="23"/>
        <v>0.17436974789915966</v>
      </c>
      <c r="J60" s="44">
        <f t="shared" si="23"/>
        <v>3.9915966386554619E-2</v>
      </c>
      <c r="K60" s="44">
        <f t="shared" si="23"/>
        <v>1.2605042016806723E-2</v>
      </c>
      <c r="L60" s="44">
        <f t="shared" si="23"/>
        <v>0.12605042016806722</v>
      </c>
      <c r="M60" s="44"/>
      <c r="N60" s="44">
        <f t="shared" si="23"/>
        <v>2.1008403361344537E-3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M46" zoomScale="60" zoomScaleNormal="100" workbookViewId="0">
      <selection activeCell="AF57" sqref="AF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'14.08 Soroti-Kumi'!C3:G3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'14.08 Kumi-Soroti'!G5:H5</f>
        <v>Mukura</v>
      </c>
      <c r="H5" s="67"/>
      <c r="I5" s="14"/>
      <c r="J5" s="2" t="s">
        <v>5</v>
      </c>
      <c r="K5" s="66" t="str">
        <f>'14.08 Kumi-Soroti'!K5:L5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'14.08 Kumi-Soroti'!D6:E6</f>
        <v>Kumi</v>
      </c>
      <c r="E6" s="67"/>
      <c r="F6" s="2" t="s">
        <v>2</v>
      </c>
      <c r="G6" s="66" t="str">
        <f>'14.08 Kumi-Soroti'!G6:H6</f>
        <v>Soroti</v>
      </c>
      <c r="H6" s="67"/>
      <c r="J6" s="2" t="s">
        <v>21</v>
      </c>
      <c r="K6" s="66" t="str">
        <f>'14.08 Kumi-Soroti'!K6:L6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AVERAGE('08.08 Kumi-Soroti'!C10,'11.08 Kumi-Soroti'!C10,'12.08 Kumi-Soroti'!C10,'13.08 Kumi-Soroti'!C10,'09.08 Kumi-Soroti-24h'!C10,'10.08 Kumi-Soroti-24h'!C10,'14.08 Kumi-Soroti'!C10)</f>
        <v>0.42857142857142855</v>
      </c>
      <c r="D10" s="49">
        <f>AVERAGE('08.08 Kumi-Soroti'!D10,'11.08 Kumi-Soroti'!D10,'12.08 Kumi-Soroti'!D10,'13.08 Kumi-Soroti'!D10,'09.08 Kumi-Soroti-24h'!D10,'10.08 Kumi-Soroti-24h'!D10,'14.08 Kumi-Soroti'!D10)</f>
        <v>0.2857142857142857</v>
      </c>
      <c r="E10" s="49">
        <f>AVERAGE('08.08 Kumi-Soroti'!E10,'11.08 Kumi-Soroti'!E10,'12.08 Kumi-Soroti'!E10,'13.08 Kumi-Soroti'!E10,'09.08 Kumi-Soroti-24h'!E10,'10.08 Kumi-Soroti-24h'!E10,'14.08 Kumi-Soroti'!E10)</f>
        <v>1</v>
      </c>
      <c r="F10" s="49">
        <f>AVERAGE('08.08 Kumi-Soroti'!F10,'11.08 Kumi-Soroti'!F10,'12.08 Kumi-Soroti'!F10,'13.08 Kumi-Soroti'!F10,'09.08 Kumi-Soroti-24h'!F10,'10.08 Kumi-Soroti-24h'!F10,'14.08 Kumi-Soroti'!F10)</f>
        <v>0.7142857142857143</v>
      </c>
      <c r="G10" s="49">
        <f>AVERAGE('08.08 Kumi-Soroti'!G10,'11.08 Kumi-Soroti'!G10,'12.08 Kumi-Soroti'!G10,'13.08 Kumi-Soroti'!G10,'09.08 Kumi-Soroti-24h'!G10,'10.08 Kumi-Soroti-24h'!G10,'14.08 Kumi-Soroti'!G10)</f>
        <v>0.14285714285714285</v>
      </c>
      <c r="H10" s="49">
        <f>AVERAGE('08.08 Kumi-Soroti'!H10,'11.08 Kumi-Soroti'!H10,'12.08 Kumi-Soroti'!H10,'13.08 Kumi-Soroti'!H10,'09.08 Kumi-Soroti-24h'!H10,'10.08 Kumi-Soroti-24h'!H10,'14.08 Kumi-Soroti'!H10)</f>
        <v>0.14285714285714285</v>
      </c>
      <c r="I10" s="49">
        <f>AVERAGE('08.08 Kumi-Soroti'!I10,'11.08 Kumi-Soroti'!I10,'12.08 Kumi-Soroti'!I10,'13.08 Kumi-Soroti'!I10,'09.08 Kumi-Soroti-24h'!I10,'10.08 Kumi-Soroti-24h'!I10,'14.08 Kumi-Soroti'!I10)</f>
        <v>1</v>
      </c>
      <c r="J10" s="49">
        <f>AVERAGE('08.08 Kumi-Soroti'!J10,'11.08 Kumi-Soroti'!J10,'12.08 Kumi-Soroti'!J10,'13.08 Kumi-Soroti'!J10,'09.08 Kumi-Soroti-24h'!J10,'10.08 Kumi-Soroti-24h'!J10,'14.08 Kumi-Soroti'!J10)</f>
        <v>0</v>
      </c>
      <c r="K10" s="49">
        <f>AVERAGE('08.08 Kumi-Soroti'!K10,'11.08 Kumi-Soroti'!K10,'12.08 Kumi-Soroti'!K10,'13.08 Kumi-Soroti'!K10,'09.08 Kumi-Soroti-24h'!K10,'10.08 Kumi-Soroti-24h'!K10,'14.08 Kumi-Soroti'!K10)</f>
        <v>0</v>
      </c>
      <c r="L10" s="49">
        <f>AVERAGE('08.08 Kumi-Soroti'!L10,'11.08 Kumi-Soroti'!L10,'12.08 Kumi-Soroti'!L10,'13.08 Kumi-Soroti'!L10,'09.08 Kumi-Soroti-24h'!L10,'10.08 Kumi-Soroti-24h'!L10,'14.08 Kumi-Soroti'!L10)</f>
        <v>1.4285714285714286</v>
      </c>
      <c r="M10" s="49">
        <f>AVERAGE('08.08 Kumi-Soroti'!M10,'11.08 Kumi-Soroti'!M10,'12.08 Kumi-Soroti'!M10,'13.08 Kumi-Soroti'!M10,'09.08 Kumi-Soroti-24h'!M10,'10.08 Kumi-Soroti-24h'!M10,'14.08 Kumi-Soroti'!M10)</f>
        <v>3.2857142857142856</v>
      </c>
      <c r="N10" s="49">
        <f>AVERAGE('08.08 Kumi-Soroti'!N10,'11.08 Kumi-Soroti'!N10,'12.08 Kumi-Soroti'!N10,'13.08 Kumi-Soroti'!N10,'09.08 Kumi-Soroti-24h'!N10,'10.08 Kumi-Soroti-24h'!N10,'14.08 Kumi-Soroti'!N10)</f>
        <v>0</v>
      </c>
      <c r="O10" s="15">
        <f t="shared" ref="O10:O73" si="0">SUM(C10:L10,N10)</f>
        <v>5.1428571428571423</v>
      </c>
      <c r="P10" s="15">
        <f t="shared" ref="P10:P73" si="1">SUM(C10:N10)</f>
        <v>8.428571428571427</v>
      </c>
      <c r="R10" s="1" t="s">
        <v>6</v>
      </c>
      <c r="S10" s="17">
        <f t="shared" ref="S10:AF10" si="2">SUM(C10:C13)</f>
        <v>3.1428571428571432</v>
      </c>
      <c r="T10" s="17">
        <f t="shared" si="2"/>
        <v>0.99999999999999989</v>
      </c>
      <c r="U10" s="17">
        <f t="shared" si="2"/>
        <v>4.2857142857142856</v>
      </c>
      <c r="V10" s="17">
        <f t="shared" si="2"/>
        <v>6.1428571428571423</v>
      </c>
      <c r="W10" s="17">
        <f t="shared" si="2"/>
        <v>0.5714285714285714</v>
      </c>
      <c r="X10" s="17">
        <f t="shared" si="2"/>
        <v>1.7142857142857144</v>
      </c>
      <c r="Y10" s="17">
        <f t="shared" si="2"/>
        <v>4.7142857142857144</v>
      </c>
      <c r="Z10" s="17">
        <f t="shared" si="2"/>
        <v>1.5714285714285714</v>
      </c>
      <c r="AA10" s="17">
        <f t="shared" si="2"/>
        <v>0</v>
      </c>
      <c r="AB10" s="17">
        <f t="shared" si="2"/>
        <v>6.1428571428571423</v>
      </c>
      <c r="AC10" s="17">
        <f t="shared" si="2"/>
        <v>20.857142857142858</v>
      </c>
      <c r="AD10" s="17">
        <f t="shared" si="2"/>
        <v>0</v>
      </c>
      <c r="AE10" s="31">
        <f t="shared" si="2"/>
        <v>29.285714285714285</v>
      </c>
      <c r="AF10" s="31">
        <f t="shared" si="2"/>
        <v>50.142857142857146</v>
      </c>
    </row>
    <row r="11" spans="2:32" s="6" customFormat="1" ht="23.1" customHeight="1" x14ac:dyDescent="0.25">
      <c r="B11" s="23" t="s">
        <v>38</v>
      </c>
      <c r="C11" s="49">
        <f>AVERAGE('08.08 Kumi-Soroti'!C11,'11.08 Kumi-Soroti'!C11,'12.08 Kumi-Soroti'!C11,'13.08 Kumi-Soroti'!C11,'09.08 Kumi-Soroti-24h'!C11,'10.08 Kumi-Soroti-24h'!C11,'14.08 Kumi-Soroti'!C11)</f>
        <v>1.1428571428571428</v>
      </c>
      <c r="D11" s="49">
        <f>AVERAGE('08.08 Kumi-Soroti'!D11,'11.08 Kumi-Soroti'!D11,'12.08 Kumi-Soroti'!D11,'13.08 Kumi-Soroti'!D11,'09.08 Kumi-Soroti-24h'!D11,'10.08 Kumi-Soroti-24h'!D11,'14.08 Kumi-Soroti'!D11)</f>
        <v>0</v>
      </c>
      <c r="E11" s="49">
        <f>AVERAGE('08.08 Kumi-Soroti'!E11,'11.08 Kumi-Soroti'!E11,'12.08 Kumi-Soroti'!E11,'13.08 Kumi-Soroti'!E11,'09.08 Kumi-Soroti-24h'!E11,'10.08 Kumi-Soroti-24h'!E11,'14.08 Kumi-Soroti'!E11)</f>
        <v>0.8571428571428571</v>
      </c>
      <c r="F11" s="49">
        <f>AVERAGE('08.08 Kumi-Soroti'!F11,'11.08 Kumi-Soroti'!F11,'12.08 Kumi-Soroti'!F11,'13.08 Kumi-Soroti'!F11,'09.08 Kumi-Soroti-24h'!F11,'10.08 Kumi-Soroti-24h'!F11,'14.08 Kumi-Soroti'!F11)</f>
        <v>1.4285714285714286</v>
      </c>
      <c r="G11" s="49">
        <f>AVERAGE('08.08 Kumi-Soroti'!G11,'11.08 Kumi-Soroti'!G11,'12.08 Kumi-Soroti'!G11,'13.08 Kumi-Soroti'!G11,'09.08 Kumi-Soroti-24h'!G11,'10.08 Kumi-Soroti-24h'!G11,'14.08 Kumi-Soroti'!G11)</f>
        <v>0.14285714285714285</v>
      </c>
      <c r="H11" s="49">
        <f>AVERAGE('08.08 Kumi-Soroti'!H11,'11.08 Kumi-Soroti'!H11,'12.08 Kumi-Soroti'!H11,'13.08 Kumi-Soroti'!H11,'09.08 Kumi-Soroti-24h'!H11,'10.08 Kumi-Soroti-24h'!H11,'14.08 Kumi-Soroti'!H11)</f>
        <v>0.7142857142857143</v>
      </c>
      <c r="I11" s="49">
        <f>AVERAGE('08.08 Kumi-Soroti'!I11,'11.08 Kumi-Soroti'!I11,'12.08 Kumi-Soroti'!I11,'13.08 Kumi-Soroti'!I11,'09.08 Kumi-Soroti-24h'!I11,'10.08 Kumi-Soroti-24h'!I11,'14.08 Kumi-Soroti'!I11)</f>
        <v>1.2857142857142858</v>
      </c>
      <c r="J11" s="49">
        <f>AVERAGE('08.08 Kumi-Soroti'!J11,'11.08 Kumi-Soroti'!J11,'12.08 Kumi-Soroti'!J11,'13.08 Kumi-Soroti'!J11,'09.08 Kumi-Soroti-24h'!J11,'10.08 Kumi-Soroti-24h'!J11,'14.08 Kumi-Soroti'!J11)</f>
        <v>0.5714285714285714</v>
      </c>
      <c r="K11" s="49">
        <f>AVERAGE('08.08 Kumi-Soroti'!K11,'11.08 Kumi-Soroti'!K11,'12.08 Kumi-Soroti'!K11,'13.08 Kumi-Soroti'!K11,'09.08 Kumi-Soroti-24h'!K11,'10.08 Kumi-Soroti-24h'!K11,'14.08 Kumi-Soroti'!K11)</f>
        <v>0</v>
      </c>
      <c r="L11" s="49">
        <f>AVERAGE('08.08 Kumi-Soroti'!L11,'11.08 Kumi-Soroti'!L11,'12.08 Kumi-Soroti'!L11,'13.08 Kumi-Soroti'!L11,'09.08 Kumi-Soroti-24h'!L11,'10.08 Kumi-Soroti-24h'!L11,'14.08 Kumi-Soroti'!L11)</f>
        <v>1.4285714285714286</v>
      </c>
      <c r="M11" s="49">
        <f>AVERAGE('08.08 Kumi-Soroti'!M11,'11.08 Kumi-Soroti'!M11,'12.08 Kumi-Soroti'!M11,'13.08 Kumi-Soroti'!M11,'09.08 Kumi-Soroti-24h'!M11,'10.08 Kumi-Soroti-24h'!M11,'14.08 Kumi-Soroti'!M11)</f>
        <v>5.5714285714285712</v>
      </c>
      <c r="N11" s="49">
        <f>AVERAGE('08.08 Kumi-Soroti'!N11,'11.08 Kumi-Soroti'!N11,'12.08 Kumi-Soroti'!N11,'13.08 Kumi-Soroti'!N11,'09.08 Kumi-Soroti-24h'!N11,'10.08 Kumi-Soroti-24h'!N11,'14.08 Kumi-Soroti'!N11)</f>
        <v>0</v>
      </c>
      <c r="O11" s="15">
        <f t="shared" si="0"/>
        <v>7.5714285714285712</v>
      </c>
      <c r="P11" s="15">
        <f t="shared" si="1"/>
        <v>13.142857142857142</v>
      </c>
      <c r="R11" s="1" t="s">
        <v>7</v>
      </c>
      <c r="S11" s="17">
        <f t="shared" ref="S11:AF11" si="3">SUM(C14:C17)</f>
        <v>4.2857142857142856</v>
      </c>
      <c r="T11" s="17">
        <f t="shared" si="3"/>
        <v>1.857142857142857</v>
      </c>
      <c r="U11" s="17">
        <f t="shared" si="3"/>
        <v>6.7142857142857135</v>
      </c>
      <c r="V11" s="17">
        <f t="shared" si="3"/>
        <v>8.7142857142857135</v>
      </c>
      <c r="W11" s="17">
        <f t="shared" si="3"/>
        <v>0.14285714285714285</v>
      </c>
      <c r="X11" s="17">
        <f t="shared" si="3"/>
        <v>1.4285714285714284</v>
      </c>
      <c r="Y11" s="17">
        <f t="shared" si="3"/>
        <v>3.7142857142857144</v>
      </c>
      <c r="Z11" s="17">
        <f t="shared" si="3"/>
        <v>1.4285714285714284</v>
      </c>
      <c r="AA11" s="17">
        <f t="shared" si="3"/>
        <v>0.2857142857142857</v>
      </c>
      <c r="AB11" s="17">
        <f t="shared" si="3"/>
        <v>6.1428571428571432</v>
      </c>
      <c r="AC11" s="17">
        <f t="shared" si="3"/>
        <v>30.571428571428569</v>
      </c>
      <c r="AD11" s="17">
        <f t="shared" si="3"/>
        <v>0</v>
      </c>
      <c r="AE11" s="31">
        <f t="shared" si="3"/>
        <v>34.714285714285708</v>
      </c>
      <c r="AF11" s="31">
        <f t="shared" si="3"/>
        <v>65.285714285714292</v>
      </c>
    </row>
    <row r="12" spans="2:32" ht="23.1" customHeight="1" x14ac:dyDescent="0.25">
      <c r="B12" s="23" t="s">
        <v>39</v>
      </c>
      <c r="C12" s="49">
        <f>AVERAGE('08.08 Kumi-Soroti'!C12,'11.08 Kumi-Soroti'!C12,'12.08 Kumi-Soroti'!C12,'13.08 Kumi-Soroti'!C12,'09.08 Kumi-Soroti-24h'!C12,'10.08 Kumi-Soroti-24h'!C12,'14.08 Kumi-Soroti'!C12)</f>
        <v>0.2857142857142857</v>
      </c>
      <c r="D12" s="49">
        <f>AVERAGE('08.08 Kumi-Soroti'!D12,'11.08 Kumi-Soroti'!D12,'12.08 Kumi-Soroti'!D12,'13.08 Kumi-Soroti'!D12,'09.08 Kumi-Soroti-24h'!D12,'10.08 Kumi-Soroti-24h'!D12,'14.08 Kumi-Soroti'!D12)</f>
        <v>0.42857142857142855</v>
      </c>
      <c r="E12" s="49">
        <f>AVERAGE('08.08 Kumi-Soroti'!E12,'11.08 Kumi-Soroti'!E12,'12.08 Kumi-Soroti'!E12,'13.08 Kumi-Soroti'!E12,'09.08 Kumi-Soroti-24h'!E12,'10.08 Kumi-Soroti-24h'!E12,'14.08 Kumi-Soroti'!E12)</f>
        <v>1.1428571428571428</v>
      </c>
      <c r="F12" s="49">
        <f>AVERAGE('08.08 Kumi-Soroti'!F12,'11.08 Kumi-Soroti'!F12,'12.08 Kumi-Soroti'!F12,'13.08 Kumi-Soroti'!F12,'09.08 Kumi-Soroti-24h'!F12,'10.08 Kumi-Soroti-24h'!F12,'14.08 Kumi-Soroti'!F12)</f>
        <v>1.8571428571428572</v>
      </c>
      <c r="G12" s="49">
        <f>AVERAGE('08.08 Kumi-Soroti'!G12,'11.08 Kumi-Soroti'!G12,'12.08 Kumi-Soroti'!G12,'13.08 Kumi-Soroti'!G12,'09.08 Kumi-Soroti-24h'!G12,'10.08 Kumi-Soroti-24h'!G12,'14.08 Kumi-Soroti'!G12)</f>
        <v>0.14285714285714285</v>
      </c>
      <c r="H12" s="49">
        <f>AVERAGE('08.08 Kumi-Soroti'!H12,'11.08 Kumi-Soroti'!H12,'12.08 Kumi-Soroti'!H12,'13.08 Kumi-Soroti'!H12,'09.08 Kumi-Soroti-24h'!H12,'10.08 Kumi-Soroti-24h'!H12,'14.08 Kumi-Soroti'!H12)</f>
        <v>0.7142857142857143</v>
      </c>
      <c r="I12" s="49">
        <f>AVERAGE('08.08 Kumi-Soroti'!I12,'11.08 Kumi-Soroti'!I12,'12.08 Kumi-Soroti'!I12,'13.08 Kumi-Soroti'!I12,'09.08 Kumi-Soroti-24h'!I12,'10.08 Kumi-Soroti-24h'!I12,'14.08 Kumi-Soroti'!I12)</f>
        <v>1.1428571428571428</v>
      </c>
      <c r="J12" s="49">
        <f>AVERAGE('08.08 Kumi-Soroti'!J12,'11.08 Kumi-Soroti'!J12,'12.08 Kumi-Soroti'!J12,'13.08 Kumi-Soroti'!J12,'09.08 Kumi-Soroti-24h'!J12,'10.08 Kumi-Soroti-24h'!J12,'14.08 Kumi-Soroti'!J12)</f>
        <v>0.42857142857142855</v>
      </c>
      <c r="K12" s="49">
        <f>AVERAGE('08.08 Kumi-Soroti'!K12,'11.08 Kumi-Soroti'!K12,'12.08 Kumi-Soroti'!K12,'13.08 Kumi-Soroti'!K12,'09.08 Kumi-Soroti-24h'!K12,'10.08 Kumi-Soroti-24h'!K12,'14.08 Kumi-Soroti'!K12)</f>
        <v>0</v>
      </c>
      <c r="L12" s="49">
        <f>AVERAGE('08.08 Kumi-Soroti'!L12,'11.08 Kumi-Soroti'!L12,'12.08 Kumi-Soroti'!L12,'13.08 Kumi-Soroti'!L12,'09.08 Kumi-Soroti-24h'!L12,'10.08 Kumi-Soroti-24h'!L12,'14.08 Kumi-Soroti'!L12)</f>
        <v>1.7142857142857142</v>
      </c>
      <c r="M12" s="49">
        <f>AVERAGE('08.08 Kumi-Soroti'!M12,'11.08 Kumi-Soroti'!M12,'12.08 Kumi-Soroti'!M12,'13.08 Kumi-Soroti'!M12,'09.08 Kumi-Soroti-24h'!M12,'10.08 Kumi-Soroti-24h'!M12,'14.08 Kumi-Soroti'!M12)</f>
        <v>5.5714285714285712</v>
      </c>
      <c r="N12" s="49">
        <f>AVERAGE('08.08 Kumi-Soroti'!N12,'11.08 Kumi-Soroti'!N12,'12.08 Kumi-Soroti'!N12,'13.08 Kumi-Soroti'!N12,'09.08 Kumi-Soroti-24h'!N12,'10.08 Kumi-Soroti-24h'!N12,'14.08 Kumi-Soroti'!N12)</f>
        <v>0</v>
      </c>
      <c r="O12" s="15">
        <f t="shared" si="0"/>
        <v>7.8571428571428568</v>
      </c>
      <c r="P12" s="15">
        <f t="shared" si="1"/>
        <v>13.428571428571427</v>
      </c>
      <c r="R12" s="1" t="s">
        <v>8</v>
      </c>
      <c r="S12" s="17">
        <f t="shared" ref="S12:AF12" si="4">SUM(C18:C21)</f>
        <v>4.1428571428571432</v>
      </c>
      <c r="T12" s="17">
        <f t="shared" si="4"/>
        <v>2</v>
      </c>
      <c r="U12" s="17">
        <f t="shared" si="4"/>
        <v>8</v>
      </c>
      <c r="V12" s="17">
        <f t="shared" si="4"/>
        <v>8.7142857142857135</v>
      </c>
      <c r="W12" s="17">
        <f t="shared" si="4"/>
        <v>0.2857142857142857</v>
      </c>
      <c r="X12" s="17">
        <f t="shared" si="4"/>
        <v>1.1428571428571428</v>
      </c>
      <c r="Y12" s="17">
        <f t="shared" si="4"/>
        <v>4.9999999999999991</v>
      </c>
      <c r="Z12" s="17">
        <f t="shared" si="4"/>
        <v>1.5714285714285714</v>
      </c>
      <c r="AA12" s="17">
        <f t="shared" si="4"/>
        <v>0.14285714285714285</v>
      </c>
      <c r="AB12" s="17">
        <f t="shared" si="4"/>
        <v>6.1428571428571432</v>
      </c>
      <c r="AC12" s="17">
        <f t="shared" si="4"/>
        <v>30.571428571428569</v>
      </c>
      <c r="AD12" s="17">
        <f t="shared" si="4"/>
        <v>0</v>
      </c>
      <c r="AE12" s="31">
        <f t="shared" si="4"/>
        <v>37.142857142857139</v>
      </c>
      <c r="AF12" s="31">
        <f t="shared" si="4"/>
        <v>67.714285714285722</v>
      </c>
    </row>
    <row r="13" spans="2:32" ht="23.1" customHeight="1" x14ac:dyDescent="0.25">
      <c r="B13" s="23" t="s">
        <v>40</v>
      </c>
      <c r="C13" s="49">
        <f>AVERAGE('08.08 Kumi-Soroti'!C13,'11.08 Kumi-Soroti'!C13,'12.08 Kumi-Soroti'!C13,'13.08 Kumi-Soroti'!C13,'09.08 Kumi-Soroti-24h'!C13,'10.08 Kumi-Soroti-24h'!C13,'14.08 Kumi-Soroti'!C13)</f>
        <v>1.2857142857142858</v>
      </c>
      <c r="D13" s="49">
        <f>AVERAGE('08.08 Kumi-Soroti'!D13,'11.08 Kumi-Soroti'!D13,'12.08 Kumi-Soroti'!D13,'13.08 Kumi-Soroti'!D13,'09.08 Kumi-Soroti-24h'!D13,'10.08 Kumi-Soroti-24h'!D13,'14.08 Kumi-Soroti'!D13)</f>
        <v>0.2857142857142857</v>
      </c>
      <c r="E13" s="49">
        <f>AVERAGE('08.08 Kumi-Soroti'!E13,'11.08 Kumi-Soroti'!E13,'12.08 Kumi-Soroti'!E13,'13.08 Kumi-Soroti'!E13,'09.08 Kumi-Soroti-24h'!E13,'10.08 Kumi-Soroti-24h'!E13,'14.08 Kumi-Soroti'!E13)</f>
        <v>1.2857142857142858</v>
      </c>
      <c r="F13" s="49">
        <f>AVERAGE('08.08 Kumi-Soroti'!F13,'11.08 Kumi-Soroti'!F13,'12.08 Kumi-Soroti'!F13,'13.08 Kumi-Soroti'!F13,'09.08 Kumi-Soroti-24h'!F13,'10.08 Kumi-Soroti-24h'!F13,'14.08 Kumi-Soroti'!F13)</f>
        <v>2.1428571428571428</v>
      </c>
      <c r="G13" s="49">
        <f>AVERAGE('08.08 Kumi-Soroti'!G13,'11.08 Kumi-Soroti'!G13,'12.08 Kumi-Soroti'!G13,'13.08 Kumi-Soroti'!G13,'09.08 Kumi-Soroti-24h'!G13,'10.08 Kumi-Soroti-24h'!G13,'14.08 Kumi-Soroti'!G13)</f>
        <v>0.14285714285714285</v>
      </c>
      <c r="H13" s="49">
        <f>AVERAGE('08.08 Kumi-Soroti'!H13,'11.08 Kumi-Soroti'!H13,'12.08 Kumi-Soroti'!H13,'13.08 Kumi-Soroti'!H13,'09.08 Kumi-Soroti-24h'!H13,'10.08 Kumi-Soroti-24h'!H13,'14.08 Kumi-Soroti'!H13)</f>
        <v>0.14285714285714285</v>
      </c>
      <c r="I13" s="49">
        <f>AVERAGE('08.08 Kumi-Soroti'!I13,'11.08 Kumi-Soroti'!I13,'12.08 Kumi-Soroti'!I13,'13.08 Kumi-Soroti'!I13,'09.08 Kumi-Soroti-24h'!I13,'10.08 Kumi-Soroti-24h'!I13,'14.08 Kumi-Soroti'!I13)</f>
        <v>1.2857142857142858</v>
      </c>
      <c r="J13" s="49">
        <f>AVERAGE('08.08 Kumi-Soroti'!J13,'11.08 Kumi-Soroti'!J13,'12.08 Kumi-Soroti'!J13,'13.08 Kumi-Soroti'!J13,'09.08 Kumi-Soroti-24h'!J13,'10.08 Kumi-Soroti-24h'!J13,'14.08 Kumi-Soroti'!J13)</f>
        <v>0.5714285714285714</v>
      </c>
      <c r="K13" s="49">
        <f>AVERAGE('08.08 Kumi-Soroti'!K13,'11.08 Kumi-Soroti'!K13,'12.08 Kumi-Soroti'!K13,'13.08 Kumi-Soroti'!K13,'09.08 Kumi-Soroti-24h'!K13,'10.08 Kumi-Soroti-24h'!K13,'14.08 Kumi-Soroti'!K13)</f>
        <v>0</v>
      </c>
      <c r="L13" s="49">
        <f>AVERAGE('08.08 Kumi-Soroti'!L13,'11.08 Kumi-Soroti'!L13,'12.08 Kumi-Soroti'!L13,'13.08 Kumi-Soroti'!L13,'09.08 Kumi-Soroti-24h'!L13,'10.08 Kumi-Soroti-24h'!L13,'14.08 Kumi-Soroti'!L13)</f>
        <v>1.5714285714285714</v>
      </c>
      <c r="M13" s="49">
        <f>AVERAGE('08.08 Kumi-Soroti'!M13,'11.08 Kumi-Soroti'!M13,'12.08 Kumi-Soroti'!M13,'13.08 Kumi-Soroti'!M13,'09.08 Kumi-Soroti-24h'!M13,'10.08 Kumi-Soroti-24h'!M13,'14.08 Kumi-Soroti'!M13)</f>
        <v>6.4285714285714288</v>
      </c>
      <c r="N13" s="49">
        <f>AVERAGE('08.08 Kumi-Soroti'!N13,'11.08 Kumi-Soroti'!N13,'12.08 Kumi-Soroti'!N13,'13.08 Kumi-Soroti'!N13,'09.08 Kumi-Soroti-24h'!N13,'10.08 Kumi-Soroti-24h'!N13,'14.08 Kumi-Soroti'!N13)</f>
        <v>0</v>
      </c>
      <c r="O13" s="15">
        <f t="shared" si="0"/>
        <v>8.7142857142857153</v>
      </c>
      <c r="P13" s="15">
        <f t="shared" si="1"/>
        <v>15.142857142857144</v>
      </c>
      <c r="R13" s="1" t="s">
        <v>9</v>
      </c>
      <c r="S13" s="17">
        <f t="shared" ref="S13:AF13" si="5">SUM(C22:C25)</f>
        <v>6.2857142857142856</v>
      </c>
      <c r="T13" s="17">
        <f t="shared" si="5"/>
        <v>2.8571428571428568</v>
      </c>
      <c r="U13" s="17">
        <f t="shared" si="5"/>
        <v>9.571428571428573</v>
      </c>
      <c r="V13" s="17">
        <f t="shared" si="5"/>
        <v>10.571428571428571</v>
      </c>
      <c r="W13" s="17">
        <f t="shared" si="5"/>
        <v>0.2857142857142857</v>
      </c>
      <c r="X13" s="17">
        <f t="shared" si="5"/>
        <v>2.8571428571428572</v>
      </c>
      <c r="Y13" s="17">
        <f t="shared" si="5"/>
        <v>4</v>
      </c>
      <c r="Z13" s="17">
        <f t="shared" si="5"/>
        <v>1.4285714285714284</v>
      </c>
      <c r="AA13" s="17">
        <f t="shared" si="5"/>
        <v>0.71428571428571419</v>
      </c>
      <c r="AB13" s="17">
        <f t="shared" si="5"/>
        <v>6</v>
      </c>
      <c r="AC13" s="17">
        <f t="shared" si="5"/>
        <v>31.857142857142854</v>
      </c>
      <c r="AD13" s="17">
        <f t="shared" si="5"/>
        <v>0</v>
      </c>
      <c r="AE13" s="31">
        <f t="shared" si="5"/>
        <v>44.571428571428569</v>
      </c>
      <c r="AF13" s="31">
        <f t="shared" si="5"/>
        <v>76.428571428571431</v>
      </c>
    </row>
    <row r="14" spans="2:32" ht="23.1" customHeight="1" x14ac:dyDescent="0.25">
      <c r="B14" s="23" t="s">
        <v>41</v>
      </c>
      <c r="C14" s="49">
        <f>AVERAGE('08.08 Kumi-Soroti'!C14,'11.08 Kumi-Soroti'!C14,'12.08 Kumi-Soroti'!C14,'13.08 Kumi-Soroti'!C14,'09.08 Kumi-Soroti-24h'!C14,'10.08 Kumi-Soroti-24h'!C14,'14.08 Kumi-Soroti'!C14)</f>
        <v>0.7142857142857143</v>
      </c>
      <c r="D14" s="49">
        <f>AVERAGE('08.08 Kumi-Soroti'!D14,'11.08 Kumi-Soroti'!D14,'12.08 Kumi-Soroti'!D14,'13.08 Kumi-Soroti'!D14,'09.08 Kumi-Soroti-24h'!D14,'10.08 Kumi-Soroti-24h'!D14,'14.08 Kumi-Soroti'!D14)</f>
        <v>0.2857142857142857</v>
      </c>
      <c r="E14" s="49">
        <f>AVERAGE('08.08 Kumi-Soroti'!E14,'11.08 Kumi-Soroti'!E14,'12.08 Kumi-Soroti'!E14,'13.08 Kumi-Soroti'!E14,'09.08 Kumi-Soroti-24h'!E14,'10.08 Kumi-Soroti-24h'!E14,'14.08 Kumi-Soroti'!E14)</f>
        <v>1.2857142857142858</v>
      </c>
      <c r="F14" s="49">
        <f>AVERAGE('08.08 Kumi-Soroti'!F14,'11.08 Kumi-Soroti'!F14,'12.08 Kumi-Soroti'!F14,'13.08 Kumi-Soroti'!F14,'09.08 Kumi-Soroti-24h'!F14,'10.08 Kumi-Soroti-24h'!F14,'14.08 Kumi-Soroti'!F14)</f>
        <v>2.5714285714285716</v>
      </c>
      <c r="G14" s="49">
        <f>AVERAGE('08.08 Kumi-Soroti'!G14,'11.08 Kumi-Soroti'!G14,'12.08 Kumi-Soroti'!G14,'13.08 Kumi-Soroti'!G14,'09.08 Kumi-Soroti-24h'!G14,'10.08 Kumi-Soroti-24h'!G14,'14.08 Kumi-Soroti'!G14)</f>
        <v>0.14285714285714285</v>
      </c>
      <c r="H14" s="49">
        <f>AVERAGE('08.08 Kumi-Soroti'!H14,'11.08 Kumi-Soroti'!H14,'12.08 Kumi-Soroti'!H14,'13.08 Kumi-Soroti'!H14,'09.08 Kumi-Soroti-24h'!H14,'10.08 Kumi-Soroti-24h'!H14,'14.08 Kumi-Soroti'!H14)</f>
        <v>0.2857142857142857</v>
      </c>
      <c r="I14" s="49">
        <f>AVERAGE('08.08 Kumi-Soroti'!I14,'11.08 Kumi-Soroti'!I14,'12.08 Kumi-Soroti'!I14,'13.08 Kumi-Soroti'!I14,'09.08 Kumi-Soroti-24h'!I14,'10.08 Kumi-Soroti-24h'!I14,'14.08 Kumi-Soroti'!I14)</f>
        <v>1.1428571428571428</v>
      </c>
      <c r="J14" s="49">
        <f>AVERAGE('08.08 Kumi-Soroti'!J14,'11.08 Kumi-Soroti'!J14,'12.08 Kumi-Soroti'!J14,'13.08 Kumi-Soroti'!J14,'09.08 Kumi-Soroti-24h'!J14,'10.08 Kumi-Soroti-24h'!J14,'14.08 Kumi-Soroti'!J14)</f>
        <v>0.14285714285714285</v>
      </c>
      <c r="K14" s="49">
        <f>AVERAGE('08.08 Kumi-Soroti'!K14,'11.08 Kumi-Soroti'!K14,'12.08 Kumi-Soroti'!K14,'13.08 Kumi-Soroti'!K14,'09.08 Kumi-Soroti-24h'!K14,'10.08 Kumi-Soroti-24h'!K14,'14.08 Kumi-Soroti'!K14)</f>
        <v>0</v>
      </c>
      <c r="L14" s="49">
        <f>AVERAGE('08.08 Kumi-Soroti'!L14,'11.08 Kumi-Soroti'!L14,'12.08 Kumi-Soroti'!L14,'13.08 Kumi-Soroti'!L14,'09.08 Kumi-Soroti-24h'!L14,'10.08 Kumi-Soroti-24h'!L14,'14.08 Kumi-Soroti'!L14)</f>
        <v>1.1428571428571428</v>
      </c>
      <c r="M14" s="49">
        <f>AVERAGE('08.08 Kumi-Soroti'!M14,'11.08 Kumi-Soroti'!M14,'12.08 Kumi-Soroti'!M14,'13.08 Kumi-Soroti'!M14,'09.08 Kumi-Soroti-24h'!M14,'10.08 Kumi-Soroti-24h'!M14,'14.08 Kumi-Soroti'!M14)</f>
        <v>9.1428571428571423</v>
      </c>
      <c r="N14" s="49">
        <f>AVERAGE('08.08 Kumi-Soroti'!N14,'11.08 Kumi-Soroti'!N14,'12.08 Kumi-Soroti'!N14,'13.08 Kumi-Soroti'!N14,'09.08 Kumi-Soroti-24h'!N14,'10.08 Kumi-Soroti-24h'!N14,'14.08 Kumi-Soroti'!N14)</f>
        <v>0</v>
      </c>
      <c r="O14" s="15">
        <f t="shared" si="0"/>
        <v>7.7142857142857153</v>
      </c>
      <c r="P14" s="15">
        <f t="shared" si="1"/>
        <v>16.857142857142858</v>
      </c>
      <c r="R14" s="1" t="s">
        <v>10</v>
      </c>
      <c r="S14" s="17">
        <f t="shared" ref="S14:AF14" si="6">SUM(C26:C29)</f>
        <v>6.4285714285714288</v>
      </c>
      <c r="T14" s="17">
        <f t="shared" si="6"/>
        <v>2</v>
      </c>
      <c r="U14" s="17">
        <f t="shared" si="6"/>
        <v>10.142857142857142</v>
      </c>
      <c r="V14" s="17">
        <f t="shared" si="6"/>
        <v>9.8571428571428577</v>
      </c>
      <c r="W14" s="17">
        <f t="shared" si="6"/>
        <v>0.42857142857142855</v>
      </c>
      <c r="X14" s="17">
        <f t="shared" si="6"/>
        <v>1.1428571428571428</v>
      </c>
      <c r="Y14" s="17">
        <f t="shared" si="6"/>
        <v>4.7142857142857144</v>
      </c>
      <c r="Z14" s="17">
        <f t="shared" si="6"/>
        <v>1.5714285714285712</v>
      </c>
      <c r="AA14" s="17">
        <f t="shared" si="6"/>
        <v>0</v>
      </c>
      <c r="AB14" s="17">
        <f t="shared" si="6"/>
        <v>6.5714285714285712</v>
      </c>
      <c r="AC14" s="17">
        <f t="shared" si="6"/>
        <v>31</v>
      </c>
      <c r="AD14" s="17">
        <f t="shared" si="6"/>
        <v>0</v>
      </c>
      <c r="AE14" s="31">
        <f t="shared" si="6"/>
        <v>42.857142857142854</v>
      </c>
      <c r="AF14" s="31">
        <f t="shared" si="6"/>
        <v>73.857142857142861</v>
      </c>
    </row>
    <row r="15" spans="2:32" ht="23.1" customHeight="1" x14ac:dyDescent="0.25">
      <c r="B15" s="23" t="s">
        <v>42</v>
      </c>
      <c r="C15" s="49">
        <f>AVERAGE('08.08 Kumi-Soroti'!C15,'11.08 Kumi-Soroti'!C15,'12.08 Kumi-Soroti'!C15,'13.08 Kumi-Soroti'!C15,'09.08 Kumi-Soroti-24h'!C15,'10.08 Kumi-Soroti-24h'!C15,'14.08 Kumi-Soroti'!C15)</f>
        <v>1</v>
      </c>
      <c r="D15" s="49">
        <f>AVERAGE('08.08 Kumi-Soroti'!D15,'11.08 Kumi-Soroti'!D15,'12.08 Kumi-Soroti'!D15,'13.08 Kumi-Soroti'!D15,'09.08 Kumi-Soroti-24h'!D15,'10.08 Kumi-Soroti-24h'!D15,'14.08 Kumi-Soroti'!D15)</f>
        <v>0.5714285714285714</v>
      </c>
      <c r="E15" s="49">
        <f>AVERAGE('08.08 Kumi-Soroti'!E15,'11.08 Kumi-Soroti'!E15,'12.08 Kumi-Soroti'!E15,'13.08 Kumi-Soroti'!E15,'09.08 Kumi-Soroti-24h'!E15,'10.08 Kumi-Soroti-24h'!E15,'14.08 Kumi-Soroti'!E15)</f>
        <v>1.5714285714285714</v>
      </c>
      <c r="F15" s="49">
        <f>AVERAGE('08.08 Kumi-Soroti'!F15,'11.08 Kumi-Soroti'!F15,'12.08 Kumi-Soroti'!F15,'13.08 Kumi-Soroti'!F15,'09.08 Kumi-Soroti-24h'!F15,'10.08 Kumi-Soroti-24h'!F15,'14.08 Kumi-Soroti'!F15)</f>
        <v>2.1428571428571428</v>
      </c>
      <c r="G15" s="49">
        <f>AVERAGE('08.08 Kumi-Soroti'!G15,'11.08 Kumi-Soroti'!G15,'12.08 Kumi-Soroti'!G15,'13.08 Kumi-Soroti'!G15,'09.08 Kumi-Soroti-24h'!G15,'10.08 Kumi-Soroti-24h'!G15,'14.08 Kumi-Soroti'!G15)</f>
        <v>0</v>
      </c>
      <c r="H15" s="49">
        <f>AVERAGE('08.08 Kumi-Soroti'!H15,'11.08 Kumi-Soroti'!H15,'12.08 Kumi-Soroti'!H15,'13.08 Kumi-Soroti'!H15,'09.08 Kumi-Soroti-24h'!H15,'10.08 Kumi-Soroti-24h'!H15,'14.08 Kumi-Soroti'!H15)</f>
        <v>0.14285714285714285</v>
      </c>
      <c r="I15" s="49">
        <f>AVERAGE('08.08 Kumi-Soroti'!I15,'11.08 Kumi-Soroti'!I15,'12.08 Kumi-Soroti'!I15,'13.08 Kumi-Soroti'!I15,'09.08 Kumi-Soroti-24h'!I15,'10.08 Kumi-Soroti-24h'!I15,'14.08 Kumi-Soroti'!I15)</f>
        <v>1</v>
      </c>
      <c r="J15" s="49">
        <f>AVERAGE('08.08 Kumi-Soroti'!J15,'11.08 Kumi-Soroti'!J15,'12.08 Kumi-Soroti'!J15,'13.08 Kumi-Soroti'!J15,'09.08 Kumi-Soroti-24h'!J15,'10.08 Kumi-Soroti-24h'!J15,'14.08 Kumi-Soroti'!J15)</f>
        <v>0.2857142857142857</v>
      </c>
      <c r="K15" s="49">
        <f>AVERAGE('08.08 Kumi-Soroti'!K15,'11.08 Kumi-Soroti'!K15,'12.08 Kumi-Soroti'!K15,'13.08 Kumi-Soroti'!K15,'09.08 Kumi-Soroti-24h'!K15,'10.08 Kumi-Soroti-24h'!K15,'14.08 Kumi-Soroti'!K15)</f>
        <v>0</v>
      </c>
      <c r="L15" s="49">
        <f>AVERAGE('08.08 Kumi-Soroti'!L15,'11.08 Kumi-Soroti'!L15,'12.08 Kumi-Soroti'!L15,'13.08 Kumi-Soroti'!L15,'09.08 Kumi-Soroti-24h'!L15,'10.08 Kumi-Soroti-24h'!L15,'14.08 Kumi-Soroti'!L15)</f>
        <v>1.8571428571428572</v>
      </c>
      <c r="M15" s="49">
        <f>AVERAGE('08.08 Kumi-Soroti'!M15,'11.08 Kumi-Soroti'!M15,'12.08 Kumi-Soroti'!M15,'13.08 Kumi-Soroti'!M15,'09.08 Kumi-Soroti-24h'!M15,'10.08 Kumi-Soroti-24h'!M15,'14.08 Kumi-Soroti'!M15)</f>
        <v>8.1428571428571423</v>
      </c>
      <c r="N15" s="49">
        <f>AVERAGE('08.08 Kumi-Soroti'!N15,'11.08 Kumi-Soroti'!N15,'12.08 Kumi-Soroti'!N15,'13.08 Kumi-Soroti'!N15,'09.08 Kumi-Soroti-24h'!N15,'10.08 Kumi-Soroti-24h'!N15,'14.08 Kumi-Soroti'!N15)</f>
        <v>0</v>
      </c>
      <c r="O15" s="15">
        <f t="shared" si="0"/>
        <v>8.5714285714285712</v>
      </c>
      <c r="P15" s="15">
        <f t="shared" si="1"/>
        <v>16.714285714285715</v>
      </c>
      <c r="R15" s="1" t="s">
        <v>11</v>
      </c>
      <c r="S15" s="17">
        <f t="shared" ref="S15:AF15" si="7">SUM(C30:C33)</f>
        <v>7.4285714285714288</v>
      </c>
      <c r="T15" s="17">
        <f t="shared" si="7"/>
        <v>2</v>
      </c>
      <c r="U15" s="17">
        <f t="shared" si="7"/>
        <v>9.428571428571427</v>
      </c>
      <c r="V15" s="17">
        <f t="shared" si="7"/>
        <v>11.857142857142858</v>
      </c>
      <c r="W15" s="17">
        <f t="shared" si="7"/>
        <v>0.14285714285714285</v>
      </c>
      <c r="X15" s="17">
        <f t="shared" si="7"/>
        <v>1.2857142857142856</v>
      </c>
      <c r="Y15" s="17">
        <f t="shared" si="7"/>
        <v>5</v>
      </c>
      <c r="Z15" s="17">
        <f t="shared" si="7"/>
        <v>1.7142857142857144</v>
      </c>
      <c r="AA15" s="17">
        <f t="shared" si="7"/>
        <v>0.42857142857142855</v>
      </c>
      <c r="AB15" s="17">
        <f t="shared" si="7"/>
        <v>6.2857142857142856</v>
      </c>
      <c r="AC15" s="17">
        <f t="shared" si="7"/>
        <v>34.285714285714285</v>
      </c>
      <c r="AD15" s="17">
        <f t="shared" si="7"/>
        <v>0.14285714285714285</v>
      </c>
      <c r="AE15" s="31">
        <f t="shared" si="7"/>
        <v>45.714285714285715</v>
      </c>
      <c r="AF15" s="31">
        <f t="shared" si="7"/>
        <v>80</v>
      </c>
    </row>
    <row r="16" spans="2:32" ht="23.1" customHeight="1" x14ac:dyDescent="0.25">
      <c r="B16" s="23" t="s">
        <v>43</v>
      </c>
      <c r="C16" s="49">
        <f>AVERAGE('08.08 Kumi-Soroti'!C16,'11.08 Kumi-Soroti'!C16,'12.08 Kumi-Soroti'!C16,'13.08 Kumi-Soroti'!C16,'09.08 Kumi-Soroti-24h'!C16,'10.08 Kumi-Soroti-24h'!C16,'14.08 Kumi-Soroti'!C16)</f>
        <v>1.2857142857142858</v>
      </c>
      <c r="D16" s="49">
        <f>AVERAGE('08.08 Kumi-Soroti'!D16,'11.08 Kumi-Soroti'!D16,'12.08 Kumi-Soroti'!D16,'13.08 Kumi-Soroti'!D16,'09.08 Kumi-Soroti-24h'!D16,'10.08 Kumi-Soroti-24h'!D16,'14.08 Kumi-Soroti'!D16)</f>
        <v>0.8571428571428571</v>
      </c>
      <c r="E16" s="49">
        <f>AVERAGE('08.08 Kumi-Soroti'!E16,'11.08 Kumi-Soroti'!E16,'12.08 Kumi-Soroti'!E16,'13.08 Kumi-Soroti'!E16,'09.08 Kumi-Soroti-24h'!E16,'10.08 Kumi-Soroti-24h'!E16,'14.08 Kumi-Soroti'!E16)</f>
        <v>2.2857142857142856</v>
      </c>
      <c r="F16" s="49">
        <f>AVERAGE('08.08 Kumi-Soroti'!F16,'11.08 Kumi-Soroti'!F16,'12.08 Kumi-Soroti'!F16,'13.08 Kumi-Soroti'!F16,'09.08 Kumi-Soroti-24h'!F16,'10.08 Kumi-Soroti-24h'!F16,'14.08 Kumi-Soroti'!F16)</f>
        <v>2.4285714285714284</v>
      </c>
      <c r="G16" s="49">
        <f>AVERAGE('08.08 Kumi-Soroti'!G16,'11.08 Kumi-Soroti'!G16,'12.08 Kumi-Soroti'!G16,'13.08 Kumi-Soroti'!G16,'09.08 Kumi-Soroti-24h'!G16,'10.08 Kumi-Soroti-24h'!G16,'14.08 Kumi-Soroti'!G16)</f>
        <v>0</v>
      </c>
      <c r="H16" s="49">
        <f>AVERAGE('08.08 Kumi-Soroti'!H16,'11.08 Kumi-Soroti'!H16,'12.08 Kumi-Soroti'!H16,'13.08 Kumi-Soroti'!H16,'09.08 Kumi-Soroti-24h'!H16,'10.08 Kumi-Soroti-24h'!H16,'14.08 Kumi-Soroti'!H16)</f>
        <v>0.42857142857142855</v>
      </c>
      <c r="I16" s="49">
        <f>AVERAGE('08.08 Kumi-Soroti'!I16,'11.08 Kumi-Soroti'!I16,'12.08 Kumi-Soroti'!I16,'13.08 Kumi-Soroti'!I16,'09.08 Kumi-Soroti-24h'!I16,'10.08 Kumi-Soroti-24h'!I16,'14.08 Kumi-Soroti'!I16)</f>
        <v>0.5714285714285714</v>
      </c>
      <c r="J16" s="49">
        <f>AVERAGE('08.08 Kumi-Soroti'!J16,'11.08 Kumi-Soroti'!J16,'12.08 Kumi-Soroti'!J16,'13.08 Kumi-Soroti'!J16,'09.08 Kumi-Soroti-24h'!J16,'10.08 Kumi-Soroti-24h'!J16,'14.08 Kumi-Soroti'!J16)</f>
        <v>0.7142857142857143</v>
      </c>
      <c r="K16" s="49">
        <f>AVERAGE('08.08 Kumi-Soroti'!K16,'11.08 Kumi-Soroti'!K16,'12.08 Kumi-Soroti'!K16,'13.08 Kumi-Soroti'!K16,'09.08 Kumi-Soroti-24h'!K16,'10.08 Kumi-Soroti-24h'!K16,'14.08 Kumi-Soroti'!K16)</f>
        <v>0</v>
      </c>
      <c r="L16" s="49">
        <f>AVERAGE('08.08 Kumi-Soroti'!L16,'11.08 Kumi-Soroti'!L16,'12.08 Kumi-Soroti'!L16,'13.08 Kumi-Soroti'!L16,'09.08 Kumi-Soroti-24h'!L16,'10.08 Kumi-Soroti-24h'!L16,'14.08 Kumi-Soroti'!L16)</f>
        <v>1.4285714285714286</v>
      </c>
      <c r="M16" s="49">
        <f>AVERAGE('08.08 Kumi-Soroti'!M16,'11.08 Kumi-Soroti'!M16,'12.08 Kumi-Soroti'!M16,'13.08 Kumi-Soroti'!M16,'09.08 Kumi-Soroti-24h'!M16,'10.08 Kumi-Soroti-24h'!M16,'14.08 Kumi-Soroti'!M16)</f>
        <v>6.8571428571428568</v>
      </c>
      <c r="N16" s="49">
        <f>AVERAGE('08.08 Kumi-Soroti'!N16,'11.08 Kumi-Soroti'!N16,'12.08 Kumi-Soroti'!N16,'13.08 Kumi-Soroti'!N16,'09.08 Kumi-Soroti-24h'!N16,'10.08 Kumi-Soroti-24h'!N16,'14.08 Kumi-Soroti'!N16)</f>
        <v>0</v>
      </c>
      <c r="O16" s="15">
        <f t="shared" si="0"/>
        <v>10</v>
      </c>
      <c r="P16" s="15">
        <f t="shared" si="1"/>
        <v>16.857142857142858</v>
      </c>
      <c r="R16" s="1" t="s">
        <v>12</v>
      </c>
      <c r="S16" s="17">
        <f t="shared" ref="S16:AF16" si="8">SUM(C34:C37)</f>
        <v>6.1428571428571432</v>
      </c>
      <c r="T16" s="17">
        <f t="shared" si="8"/>
        <v>3.8571428571428572</v>
      </c>
      <c r="U16" s="17">
        <f t="shared" si="8"/>
        <v>12.571428571428569</v>
      </c>
      <c r="V16" s="17">
        <f t="shared" si="8"/>
        <v>10.714285714285715</v>
      </c>
      <c r="W16" s="17">
        <f t="shared" si="8"/>
        <v>0.14285714285714285</v>
      </c>
      <c r="X16" s="17">
        <f t="shared" si="8"/>
        <v>0.8571428571428571</v>
      </c>
      <c r="Y16" s="17">
        <f t="shared" si="8"/>
        <v>7.1428571428571432</v>
      </c>
      <c r="Z16" s="17">
        <f t="shared" si="8"/>
        <v>1.4285714285714284</v>
      </c>
      <c r="AA16" s="17">
        <f t="shared" si="8"/>
        <v>0.14285714285714285</v>
      </c>
      <c r="AB16" s="17">
        <f t="shared" si="8"/>
        <v>9.7142857142857135</v>
      </c>
      <c r="AC16" s="17">
        <f t="shared" si="8"/>
        <v>33.857142857142854</v>
      </c>
      <c r="AD16" s="17">
        <f t="shared" si="8"/>
        <v>0</v>
      </c>
      <c r="AE16" s="31">
        <f t="shared" si="8"/>
        <v>52.714285714285715</v>
      </c>
      <c r="AF16" s="31">
        <f t="shared" si="8"/>
        <v>86.571428571428584</v>
      </c>
    </row>
    <row r="17" spans="2:32" ht="23.1" customHeight="1" x14ac:dyDescent="0.25">
      <c r="B17" s="23" t="s">
        <v>44</v>
      </c>
      <c r="C17" s="49">
        <f>AVERAGE('08.08 Kumi-Soroti'!C17,'11.08 Kumi-Soroti'!C17,'12.08 Kumi-Soroti'!C17,'13.08 Kumi-Soroti'!C17,'09.08 Kumi-Soroti-24h'!C17,'10.08 Kumi-Soroti-24h'!C17,'14.08 Kumi-Soroti'!C17)</f>
        <v>1.2857142857142858</v>
      </c>
      <c r="D17" s="49">
        <f>AVERAGE('08.08 Kumi-Soroti'!D17,'11.08 Kumi-Soroti'!D17,'12.08 Kumi-Soroti'!D17,'13.08 Kumi-Soroti'!D17,'09.08 Kumi-Soroti-24h'!D17,'10.08 Kumi-Soroti-24h'!D17,'14.08 Kumi-Soroti'!D17)</f>
        <v>0.14285714285714285</v>
      </c>
      <c r="E17" s="49">
        <f>AVERAGE('08.08 Kumi-Soroti'!E17,'11.08 Kumi-Soroti'!E17,'12.08 Kumi-Soroti'!E17,'13.08 Kumi-Soroti'!E17,'09.08 Kumi-Soroti-24h'!E17,'10.08 Kumi-Soroti-24h'!E17,'14.08 Kumi-Soroti'!E17)</f>
        <v>1.5714285714285714</v>
      </c>
      <c r="F17" s="49">
        <f>AVERAGE('08.08 Kumi-Soroti'!F17,'11.08 Kumi-Soroti'!F17,'12.08 Kumi-Soroti'!F17,'13.08 Kumi-Soroti'!F17,'09.08 Kumi-Soroti-24h'!F17,'10.08 Kumi-Soroti-24h'!F17,'14.08 Kumi-Soroti'!F17)</f>
        <v>1.5714285714285714</v>
      </c>
      <c r="G17" s="49">
        <f>AVERAGE('08.08 Kumi-Soroti'!G17,'11.08 Kumi-Soroti'!G17,'12.08 Kumi-Soroti'!G17,'13.08 Kumi-Soroti'!G17,'09.08 Kumi-Soroti-24h'!G17,'10.08 Kumi-Soroti-24h'!G17,'14.08 Kumi-Soroti'!G17)</f>
        <v>0</v>
      </c>
      <c r="H17" s="49">
        <f>AVERAGE('08.08 Kumi-Soroti'!H17,'11.08 Kumi-Soroti'!H17,'12.08 Kumi-Soroti'!H17,'13.08 Kumi-Soroti'!H17,'09.08 Kumi-Soroti-24h'!H17,'10.08 Kumi-Soroti-24h'!H17,'14.08 Kumi-Soroti'!H17)</f>
        <v>0.5714285714285714</v>
      </c>
      <c r="I17" s="49">
        <f>AVERAGE('08.08 Kumi-Soroti'!I17,'11.08 Kumi-Soroti'!I17,'12.08 Kumi-Soroti'!I17,'13.08 Kumi-Soroti'!I17,'09.08 Kumi-Soroti-24h'!I17,'10.08 Kumi-Soroti-24h'!I17,'14.08 Kumi-Soroti'!I17)</f>
        <v>1</v>
      </c>
      <c r="J17" s="49">
        <f>AVERAGE('08.08 Kumi-Soroti'!J17,'11.08 Kumi-Soroti'!J17,'12.08 Kumi-Soroti'!J17,'13.08 Kumi-Soroti'!J17,'09.08 Kumi-Soroti-24h'!J17,'10.08 Kumi-Soroti-24h'!J17,'14.08 Kumi-Soroti'!J17)</f>
        <v>0.2857142857142857</v>
      </c>
      <c r="K17" s="49">
        <f>AVERAGE('08.08 Kumi-Soroti'!K17,'11.08 Kumi-Soroti'!K17,'12.08 Kumi-Soroti'!K17,'13.08 Kumi-Soroti'!K17,'09.08 Kumi-Soroti-24h'!K17,'10.08 Kumi-Soroti-24h'!K17,'14.08 Kumi-Soroti'!K17)</f>
        <v>0.2857142857142857</v>
      </c>
      <c r="L17" s="49">
        <f>AVERAGE('08.08 Kumi-Soroti'!L17,'11.08 Kumi-Soroti'!L17,'12.08 Kumi-Soroti'!L17,'13.08 Kumi-Soroti'!L17,'09.08 Kumi-Soroti-24h'!L17,'10.08 Kumi-Soroti-24h'!L17,'14.08 Kumi-Soroti'!L17)</f>
        <v>1.7142857142857142</v>
      </c>
      <c r="M17" s="49">
        <f>AVERAGE('08.08 Kumi-Soroti'!M17,'11.08 Kumi-Soroti'!M17,'12.08 Kumi-Soroti'!M17,'13.08 Kumi-Soroti'!M17,'09.08 Kumi-Soroti-24h'!M17,'10.08 Kumi-Soroti-24h'!M17,'14.08 Kumi-Soroti'!M17)</f>
        <v>6.4285714285714288</v>
      </c>
      <c r="N17" s="49">
        <f>AVERAGE('08.08 Kumi-Soroti'!N17,'11.08 Kumi-Soroti'!N17,'12.08 Kumi-Soroti'!N17,'13.08 Kumi-Soroti'!N17,'09.08 Kumi-Soroti-24h'!N17,'10.08 Kumi-Soroti-24h'!N17,'14.08 Kumi-Soroti'!N17)</f>
        <v>0</v>
      </c>
      <c r="O17" s="15">
        <f t="shared" si="0"/>
        <v>8.428571428571427</v>
      </c>
      <c r="P17" s="15">
        <f t="shared" si="1"/>
        <v>14.857142857142856</v>
      </c>
      <c r="R17" s="1" t="s">
        <v>13</v>
      </c>
      <c r="S17" s="17">
        <f t="shared" ref="S17:AF17" si="9">SUM(C38:C41)</f>
        <v>5.8571428571428577</v>
      </c>
      <c r="T17" s="17">
        <f t="shared" si="9"/>
        <v>3.5714285714285716</v>
      </c>
      <c r="U17" s="17">
        <f t="shared" si="9"/>
        <v>10.857142857142858</v>
      </c>
      <c r="V17" s="17">
        <f t="shared" si="9"/>
        <v>11.857142857142858</v>
      </c>
      <c r="W17" s="17">
        <f t="shared" si="9"/>
        <v>0</v>
      </c>
      <c r="X17" s="17">
        <f t="shared" si="9"/>
        <v>0.5714285714285714</v>
      </c>
      <c r="Y17" s="17">
        <f t="shared" si="9"/>
        <v>5.5714285714285712</v>
      </c>
      <c r="Z17" s="17">
        <f t="shared" si="9"/>
        <v>0.8571428571428571</v>
      </c>
      <c r="AA17" s="17">
        <f t="shared" si="9"/>
        <v>0.14285714285714285</v>
      </c>
      <c r="AB17" s="17">
        <f t="shared" si="9"/>
        <v>9.2857142857142865</v>
      </c>
      <c r="AC17" s="17">
        <f t="shared" si="9"/>
        <v>25.428571428571431</v>
      </c>
      <c r="AD17" s="17">
        <f t="shared" si="9"/>
        <v>0</v>
      </c>
      <c r="AE17" s="31">
        <f t="shared" si="9"/>
        <v>48.571428571428569</v>
      </c>
      <c r="AF17" s="31">
        <f t="shared" si="9"/>
        <v>74</v>
      </c>
    </row>
    <row r="18" spans="2:32" ht="23.1" customHeight="1" x14ac:dyDescent="0.25">
      <c r="B18" s="23" t="s">
        <v>45</v>
      </c>
      <c r="C18" s="49">
        <f>AVERAGE('08.08 Kumi-Soroti'!C18,'11.08 Kumi-Soroti'!C18,'12.08 Kumi-Soroti'!C18,'13.08 Kumi-Soroti'!C18,'09.08 Kumi-Soroti-24h'!C18,'10.08 Kumi-Soroti-24h'!C18,'14.08 Kumi-Soroti'!C18)</f>
        <v>0.42857142857142855</v>
      </c>
      <c r="D18" s="49">
        <f>AVERAGE('08.08 Kumi-Soroti'!D18,'11.08 Kumi-Soroti'!D18,'12.08 Kumi-Soroti'!D18,'13.08 Kumi-Soroti'!D18,'09.08 Kumi-Soroti-24h'!D18,'10.08 Kumi-Soroti-24h'!D18,'14.08 Kumi-Soroti'!D18)</f>
        <v>0.42857142857142855</v>
      </c>
      <c r="E18" s="49">
        <f>AVERAGE('08.08 Kumi-Soroti'!E18,'11.08 Kumi-Soroti'!E18,'12.08 Kumi-Soroti'!E18,'13.08 Kumi-Soroti'!E18,'09.08 Kumi-Soroti-24h'!E18,'10.08 Kumi-Soroti-24h'!E18,'14.08 Kumi-Soroti'!E18)</f>
        <v>2.1428571428571428</v>
      </c>
      <c r="F18" s="49">
        <f>AVERAGE('08.08 Kumi-Soroti'!F18,'11.08 Kumi-Soroti'!F18,'12.08 Kumi-Soroti'!F18,'13.08 Kumi-Soroti'!F18,'09.08 Kumi-Soroti-24h'!F18,'10.08 Kumi-Soroti-24h'!F18,'14.08 Kumi-Soroti'!F18)</f>
        <v>2.2857142857142856</v>
      </c>
      <c r="G18" s="49">
        <f>AVERAGE('08.08 Kumi-Soroti'!G18,'11.08 Kumi-Soroti'!G18,'12.08 Kumi-Soroti'!G18,'13.08 Kumi-Soroti'!G18,'09.08 Kumi-Soroti-24h'!G18,'10.08 Kumi-Soroti-24h'!G18,'14.08 Kumi-Soroti'!G18)</f>
        <v>0.2857142857142857</v>
      </c>
      <c r="H18" s="49">
        <f>AVERAGE('08.08 Kumi-Soroti'!H18,'11.08 Kumi-Soroti'!H18,'12.08 Kumi-Soroti'!H18,'13.08 Kumi-Soroti'!H18,'09.08 Kumi-Soroti-24h'!H18,'10.08 Kumi-Soroti-24h'!H18,'14.08 Kumi-Soroti'!H18)</f>
        <v>0.42857142857142855</v>
      </c>
      <c r="I18" s="49">
        <f>AVERAGE('08.08 Kumi-Soroti'!I18,'11.08 Kumi-Soroti'!I18,'12.08 Kumi-Soroti'!I18,'13.08 Kumi-Soroti'!I18,'09.08 Kumi-Soroti-24h'!I18,'10.08 Kumi-Soroti-24h'!I18,'14.08 Kumi-Soroti'!I18)</f>
        <v>1.2857142857142858</v>
      </c>
      <c r="J18" s="49">
        <f>AVERAGE('08.08 Kumi-Soroti'!J18,'11.08 Kumi-Soroti'!J18,'12.08 Kumi-Soroti'!J18,'13.08 Kumi-Soroti'!J18,'09.08 Kumi-Soroti-24h'!J18,'10.08 Kumi-Soroti-24h'!J18,'14.08 Kumi-Soroti'!J18)</f>
        <v>0.5714285714285714</v>
      </c>
      <c r="K18" s="49">
        <f>AVERAGE('08.08 Kumi-Soroti'!K18,'11.08 Kumi-Soroti'!K18,'12.08 Kumi-Soroti'!K18,'13.08 Kumi-Soroti'!K18,'09.08 Kumi-Soroti-24h'!K18,'10.08 Kumi-Soroti-24h'!K18,'14.08 Kumi-Soroti'!K18)</f>
        <v>0</v>
      </c>
      <c r="L18" s="49">
        <f>AVERAGE('08.08 Kumi-Soroti'!L18,'11.08 Kumi-Soroti'!L18,'12.08 Kumi-Soroti'!L18,'13.08 Kumi-Soroti'!L18,'09.08 Kumi-Soroti-24h'!L18,'10.08 Kumi-Soroti-24h'!L18,'14.08 Kumi-Soroti'!L18)</f>
        <v>0.42857142857142855</v>
      </c>
      <c r="M18" s="49">
        <f>AVERAGE('08.08 Kumi-Soroti'!M18,'11.08 Kumi-Soroti'!M18,'12.08 Kumi-Soroti'!M18,'13.08 Kumi-Soroti'!M18,'09.08 Kumi-Soroti-24h'!M18,'10.08 Kumi-Soroti-24h'!M18,'14.08 Kumi-Soroti'!M18)</f>
        <v>7.5714285714285712</v>
      </c>
      <c r="N18" s="49">
        <f>AVERAGE('08.08 Kumi-Soroti'!N18,'11.08 Kumi-Soroti'!N18,'12.08 Kumi-Soroti'!N18,'13.08 Kumi-Soroti'!N18,'09.08 Kumi-Soroti-24h'!N18,'10.08 Kumi-Soroti-24h'!N18,'14.08 Kumi-Soroti'!N18)</f>
        <v>0</v>
      </c>
      <c r="O18" s="15">
        <f t="shared" si="0"/>
        <v>8.2857142857142847</v>
      </c>
      <c r="P18" s="15">
        <f t="shared" si="1"/>
        <v>15.857142857142856</v>
      </c>
      <c r="R18" s="1" t="s">
        <v>14</v>
      </c>
      <c r="S18" s="17">
        <f t="shared" ref="S18:AF18" si="10">SUM(C42:C45)</f>
        <v>5.7142857142857135</v>
      </c>
      <c r="T18" s="17">
        <f t="shared" si="10"/>
        <v>5</v>
      </c>
      <c r="U18" s="17">
        <f t="shared" si="10"/>
        <v>13</v>
      </c>
      <c r="V18" s="17">
        <f t="shared" si="10"/>
        <v>11</v>
      </c>
      <c r="W18" s="17">
        <f t="shared" si="10"/>
        <v>0.42857142857142855</v>
      </c>
      <c r="X18" s="17">
        <f t="shared" si="10"/>
        <v>1.5714285714285714</v>
      </c>
      <c r="Y18" s="17">
        <f t="shared" si="10"/>
        <v>5</v>
      </c>
      <c r="Z18" s="17">
        <f t="shared" si="10"/>
        <v>1</v>
      </c>
      <c r="AA18" s="17">
        <f t="shared" si="10"/>
        <v>0.42857142857142855</v>
      </c>
      <c r="AB18" s="17">
        <f t="shared" si="10"/>
        <v>9.2857142857142847</v>
      </c>
      <c r="AC18" s="17">
        <f t="shared" si="10"/>
        <v>26.857142857142858</v>
      </c>
      <c r="AD18" s="17">
        <f t="shared" si="10"/>
        <v>0</v>
      </c>
      <c r="AE18" s="31">
        <f t="shared" si="10"/>
        <v>52.428571428571431</v>
      </c>
      <c r="AF18" s="31">
        <f t="shared" si="10"/>
        <v>79.285714285714278</v>
      </c>
    </row>
    <row r="19" spans="2:32" ht="23.1" customHeight="1" x14ac:dyDescent="0.25">
      <c r="B19" s="23" t="s">
        <v>46</v>
      </c>
      <c r="C19" s="49">
        <f>AVERAGE('08.08 Kumi-Soroti'!C19,'11.08 Kumi-Soroti'!C19,'12.08 Kumi-Soroti'!C19,'13.08 Kumi-Soroti'!C19,'09.08 Kumi-Soroti-24h'!C19,'10.08 Kumi-Soroti-24h'!C19,'14.08 Kumi-Soroti'!C19)</f>
        <v>1.2857142857142858</v>
      </c>
      <c r="D19" s="49">
        <f>AVERAGE('08.08 Kumi-Soroti'!D19,'11.08 Kumi-Soroti'!D19,'12.08 Kumi-Soroti'!D19,'13.08 Kumi-Soroti'!D19,'09.08 Kumi-Soroti-24h'!D19,'10.08 Kumi-Soroti-24h'!D19,'14.08 Kumi-Soroti'!D19)</f>
        <v>0.5714285714285714</v>
      </c>
      <c r="E19" s="49">
        <f>AVERAGE('08.08 Kumi-Soroti'!E19,'11.08 Kumi-Soroti'!E19,'12.08 Kumi-Soroti'!E19,'13.08 Kumi-Soroti'!E19,'09.08 Kumi-Soroti-24h'!E19,'10.08 Kumi-Soroti-24h'!E19,'14.08 Kumi-Soroti'!E19)</f>
        <v>1.8571428571428572</v>
      </c>
      <c r="F19" s="49">
        <f>AVERAGE('08.08 Kumi-Soroti'!F19,'11.08 Kumi-Soroti'!F19,'12.08 Kumi-Soroti'!F19,'13.08 Kumi-Soroti'!F19,'09.08 Kumi-Soroti-24h'!F19,'10.08 Kumi-Soroti-24h'!F19,'14.08 Kumi-Soroti'!F19)</f>
        <v>2.2857142857142856</v>
      </c>
      <c r="G19" s="49">
        <f>AVERAGE('08.08 Kumi-Soroti'!G19,'11.08 Kumi-Soroti'!G19,'12.08 Kumi-Soroti'!G19,'13.08 Kumi-Soroti'!G19,'09.08 Kumi-Soroti-24h'!G19,'10.08 Kumi-Soroti-24h'!G19,'14.08 Kumi-Soroti'!G19)</f>
        <v>0</v>
      </c>
      <c r="H19" s="49">
        <f>AVERAGE('08.08 Kumi-Soroti'!H19,'11.08 Kumi-Soroti'!H19,'12.08 Kumi-Soroti'!H19,'13.08 Kumi-Soroti'!H19,'09.08 Kumi-Soroti-24h'!H19,'10.08 Kumi-Soroti-24h'!H19,'14.08 Kumi-Soroti'!H19)</f>
        <v>0.5714285714285714</v>
      </c>
      <c r="I19" s="49">
        <f>AVERAGE('08.08 Kumi-Soroti'!I19,'11.08 Kumi-Soroti'!I19,'12.08 Kumi-Soroti'!I19,'13.08 Kumi-Soroti'!I19,'09.08 Kumi-Soroti-24h'!I19,'10.08 Kumi-Soroti-24h'!I19,'14.08 Kumi-Soroti'!I19)</f>
        <v>1</v>
      </c>
      <c r="J19" s="49">
        <f>AVERAGE('08.08 Kumi-Soroti'!J19,'11.08 Kumi-Soroti'!J19,'12.08 Kumi-Soroti'!J19,'13.08 Kumi-Soroti'!J19,'09.08 Kumi-Soroti-24h'!J19,'10.08 Kumi-Soroti-24h'!J19,'14.08 Kumi-Soroti'!J19)</f>
        <v>0</v>
      </c>
      <c r="K19" s="49">
        <f>AVERAGE('08.08 Kumi-Soroti'!K19,'11.08 Kumi-Soroti'!K19,'12.08 Kumi-Soroti'!K19,'13.08 Kumi-Soroti'!K19,'09.08 Kumi-Soroti-24h'!K19,'10.08 Kumi-Soroti-24h'!K19,'14.08 Kumi-Soroti'!K19)</f>
        <v>0</v>
      </c>
      <c r="L19" s="49">
        <f>AVERAGE('08.08 Kumi-Soroti'!L19,'11.08 Kumi-Soroti'!L19,'12.08 Kumi-Soroti'!L19,'13.08 Kumi-Soroti'!L19,'09.08 Kumi-Soroti-24h'!L19,'10.08 Kumi-Soroti-24h'!L19,'14.08 Kumi-Soroti'!L19)</f>
        <v>2</v>
      </c>
      <c r="M19" s="49">
        <f>AVERAGE('08.08 Kumi-Soroti'!M19,'11.08 Kumi-Soroti'!M19,'12.08 Kumi-Soroti'!M19,'13.08 Kumi-Soroti'!M19,'09.08 Kumi-Soroti-24h'!M19,'10.08 Kumi-Soroti-24h'!M19,'14.08 Kumi-Soroti'!M19)</f>
        <v>8.2857142857142865</v>
      </c>
      <c r="N19" s="49">
        <f>AVERAGE('08.08 Kumi-Soroti'!N19,'11.08 Kumi-Soroti'!N19,'12.08 Kumi-Soroti'!N19,'13.08 Kumi-Soroti'!N19,'09.08 Kumi-Soroti-24h'!N19,'10.08 Kumi-Soroti-24h'!N19,'14.08 Kumi-Soroti'!N19)</f>
        <v>0</v>
      </c>
      <c r="O19" s="15">
        <f t="shared" si="0"/>
        <v>9.5714285714285712</v>
      </c>
      <c r="P19" s="15">
        <f t="shared" si="1"/>
        <v>17.857142857142858</v>
      </c>
      <c r="R19" s="1" t="s">
        <v>15</v>
      </c>
      <c r="S19" s="17">
        <f t="shared" ref="S19:AF19" si="11">SUM(C46:C49)</f>
        <v>5.7142857142857135</v>
      </c>
      <c r="T19" s="17">
        <f t="shared" si="11"/>
        <v>2.5714285714285712</v>
      </c>
      <c r="U19" s="17">
        <f t="shared" si="11"/>
        <v>9.5714285714285712</v>
      </c>
      <c r="V19" s="17">
        <f t="shared" si="11"/>
        <v>12.285714285714285</v>
      </c>
      <c r="W19" s="17">
        <f t="shared" si="11"/>
        <v>0.14285714285714285</v>
      </c>
      <c r="X19" s="17">
        <f t="shared" si="11"/>
        <v>1.1428571428571428</v>
      </c>
      <c r="Y19" s="17">
        <f t="shared" si="11"/>
        <v>6</v>
      </c>
      <c r="Z19" s="17">
        <f t="shared" si="11"/>
        <v>0.5714285714285714</v>
      </c>
      <c r="AA19" s="17">
        <f t="shared" si="11"/>
        <v>0.2857142857142857</v>
      </c>
      <c r="AB19" s="17">
        <f t="shared" si="11"/>
        <v>9.5714285714285712</v>
      </c>
      <c r="AC19" s="17">
        <f t="shared" si="11"/>
        <v>28.714285714285715</v>
      </c>
      <c r="AD19" s="17">
        <f t="shared" si="11"/>
        <v>0</v>
      </c>
      <c r="AE19" s="31">
        <f t="shared" si="11"/>
        <v>47.857142857142854</v>
      </c>
      <c r="AF19" s="31">
        <f t="shared" si="11"/>
        <v>76.571428571428569</v>
      </c>
    </row>
    <row r="20" spans="2:32" ht="23.1" customHeight="1" x14ac:dyDescent="0.25">
      <c r="B20" s="23" t="s">
        <v>47</v>
      </c>
      <c r="C20" s="49">
        <f>AVERAGE('08.08 Kumi-Soroti'!C20,'11.08 Kumi-Soroti'!C20,'12.08 Kumi-Soroti'!C20,'13.08 Kumi-Soroti'!C20,'09.08 Kumi-Soroti-24h'!C20,'10.08 Kumi-Soroti-24h'!C20,'14.08 Kumi-Soroti'!C20)</f>
        <v>1.1428571428571428</v>
      </c>
      <c r="D20" s="49">
        <f>AVERAGE('08.08 Kumi-Soroti'!D20,'11.08 Kumi-Soroti'!D20,'12.08 Kumi-Soroti'!D20,'13.08 Kumi-Soroti'!D20,'09.08 Kumi-Soroti-24h'!D20,'10.08 Kumi-Soroti-24h'!D20,'14.08 Kumi-Soroti'!D20)</f>
        <v>0.2857142857142857</v>
      </c>
      <c r="E20" s="49">
        <f>AVERAGE('08.08 Kumi-Soroti'!E20,'11.08 Kumi-Soroti'!E20,'12.08 Kumi-Soroti'!E20,'13.08 Kumi-Soroti'!E20,'09.08 Kumi-Soroti-24h'!E20,'10.08 Kumi-Soroti-24h'!E20,'14.08 Kumi-Soroti'!E20)</f>
        <v>1.5714285714285714</v>
      </c>
      <c r="F20" s="49">
        <f>AVERAGE('08.08 Kumi-Soroti'!F20,'11.08 Kumi-Soroti'!F20,'12.08 Kumi-Soroti'!F20,'13.08 Kumi-Soroti'!F20,'09.08 Kumi-Soroti-24h'!F20,'10.08 Kumi-Soroti-24h'!F20,'14.08 Kumi-Soroti'!F20)</f>
        <v>2</v>
      </c>
      <c r="G20" s="49">
        <f>AVERAGE('08.08 Kumi-Soroti'!G20,'11.08 Kumi-Soroti'!G20,'12.08 Kumi-Soroti'!G20,'13.08 Kumi-Soroti'!G20,'09.08 Kumi-Soroti-24h'!G20,'10.08 Kumi-Soroti-24h'!G20,'14.08 Kumi-Soroti'!G20)</f>
        <v>0</v>
      </c>
      <c r="H20" s="49">
        <f>AVERAGE('08.08 Kumi-Soroti'!H20,'11.08 Kumi-Soroti'!H20,'12.08 Kumi-Soroti'!H20,'13.08 Kumi-Soroti'!H20,'09.08 Kumi-Soroti-24h'!H20,'10.08 Kumi-Soroti-24h'!H20,'14.08 Kumi-Soroti'!H20)</f>
        <v>0</v>
      </c>
      <c r="I20" s="49">
        <f>AVERAGE('08.08 Kumi-Soroti'!I20,'11.08 Kumi-Soroti'!I20,'12.08 Kumi-Soroti'!I20,'13.08 Kumi-Soroti'!I20,'09.08 Kumi-Soroti-24h'!I20,'10.08 Kumi-Soroti-24h'!I20,'14.08 Kumi-Soroti'!I20)</f>
        <v>1.8571428571428572</v>
      </c>
      <c r="J20" s="49">
        <f>AVERAGE('08.08 Kumi-Soroti'!J20,'11.08 Kumi-Soroti'!J20,'12.08 Kumi-Soroti'!J20,'13.08 Kumi-Soroti'!J20,'09.08 Kumi-Soroti-24h'!J20,'10.08 Kumi-Soroti-24h'!J20,'14.08 Kumi-Soroti'!J20)</f>
        <v>0.42857142857142855</v>
      </c>
      <c r="K20" s="49">
        <f>AVERAGE('08.08 Kumi-Soroti'!K20,'11.08 Kumi-Soroti'!K20,'12.08 Kumi-Soroti'!K20,'13.08 Kumi-Soroti'!K20,'09.08 Kumi-Soroti-24h'!K20,'10.08 Kumi-Soroti-24h'!K20,'14.08 Kumi-Soroti'!K20)</f>
        <v>0.14285714285714285</v>
      </c>
      <c r="L20" s="49">
        <f>AVERAGE('08.08 Kumi-Soroti'!L20,'11.08 Kumi-Soroti'!L20,'12.08 Kumi-Soroti'!L20,'13.08 Kumi-Soroti'!L20,'09.08 Kumi-Soroti-24h'!L20,'10.08 Kumi-Soroti-24h'!L20,'14.08 Kumi-Soroti'!L20)</f>
        <v>2</v>
      </c>
      <c r="M20" s="49">
        <f>AVERAGE('08.08 Kumi-Soroti'!M20,'11.08 Kumi-Soroti'!M20,'12.08 Kumi-Soroti'!M20,'13.08 Kumi-Soroti'!M20,'09.08 Kumi-Soroti-24h'!M20,'10.08 Kumi-Soroti-24h'!M20,'14.08 Kumi-Soroti'!M20)</f>
        <v>6.2857142857142856</v>
      </c>
      <c r="N20" s="49">
        <f>AVERAGE('08.08 Kumi-Soroti'!N20,'11.08 Kumi-Soroti'!N20,'12.08 Kumi-Soroti'!N20,'13.08 Kumi-Soroti'!N20,'09.08 Kumi-Soroti-24h'!N20,'10.08 Kumi-Soroti-24h'!N20,'14.08 Kumi-Soroti'!N20)</f>
        <v>0</v>
      </c>
      <c r="O20" s="15">
        <f t="shared" si="0"/>
        <v>9.4285714285714306</v>
      </c>
      <c r="P20" s="15">
        <f t="shared" si="1"/>
        <v>15.714285714285715</v>
      </c>
      <c r="R20" s="1" t="s">
        <v>16</v>
      </c>
      <c r="S20" s="17">
        <f t="shared" ref="S20:AF20" si="12">SUM(C50:C53)</f>
        <v>6.8571428571428577</v>
      </c>
      <c r="T20" s="17">
        <f t="shared" si="12"/>
        <v>4.1428571428571432</v>
      </c>
      <c r="U20" s="17">
        <f t="shared" si="12"/>
        <v>12.571428571428571</v>
      </c>
      <c r="V20" s="17">
        <f t="shared" si="12"/>
        <v>10.714285714285714</v>
      </c>
      <c r="W20" s="17">
        <f t="shared" si="12"/>
        <v>0.14285714285714285</v>
      </c>
      <c r="X20" s="17">
        <f t="shared" si="12"/>
        <v>1.4285714285714286</v>
      </c>
      <c r="Y20" s="17">
        <f t="shared" si="12"/>
        <v>8.1428571428571423</v>
      </c>
      <c r="Z20" s="17">
        <f t="shared" si="12"/>
        <v>1.2857142857142856</v>
      </c>
      <c r="AA20" s="17">
        <f t="shared" si="12"/>
        <v>1.1428571428571428</v>
      </c>
      <c r="AB20" s="17">
        <f t="shared" si="12"/>
        <v>8.2857142857142847</v>
      </c>
      <c r="AC20" s="17">
        <f t="shared" si="12"/>
        <v>39.857142857142854</v>
      </c>
      <c r="AD20" s="17">
        <f t="shared" si="12"/>
        <v>0</v>
      </c>
      <c r="AE20" s="31">
        <f t="shared" si="12"/>
        <v>54.714285714285715</v>
      </c>
      <c r="AF20" s="31">
        <f t="shared" si="12"/>
        <v>94.571428571428569</v>
      </c>
    </row>
    <row r="21" spans="2:32" ht="23.1" customHeight="1" x14ac:dyDescent="0.25">
      <c r="B21" s="23" t="s">
        <v>48</v>
      </c>
      <c r="C21" s="49">
        <f>AVERAGE('08.08 Kumi-Soroti'!C21,'11.08 Kumi-Soroti'!C21,'12.08 Kumi-Soroti'!C21,'13.08 Kumi-Soroti'!C21,'09.08 Kumi-Soroti-24h'!C21,'10.08 Kumi-Soroti-24h'!C21,'14.08 Kumi-Soroti'!C21)</f>
        <v>1.2857142857142858</v>
      </c>
      <c r="D21" s="49">
        <f>AVERAGE('08.08 Kumi-Soroti'!D21,'11.08 Kumi-Soroti'!D21,'12.08 Kumi-Soroti'!D21,'13.08 Kumi-Soroti'!D21,'09.08 Kumi-Soroti-24h'!D21,'10.08 Kumi-Soroti-24h'!D21,'14.08 Kumi-Soroti'!D21)</f>
        <v>0.7142857142857143</v>
      </c>
      <c r="E21" s="49">
        <f>AVERAGE('08.08 Kumi-Soroti'!E21,'11.08 Kumi-Soroti'!E21,'12.08 Kumi-Soroti'!E21,'13.08 Kumi-Soroti'!E21,'09.08 Kumi-Soroti-24h'!E21,'10.08 Kumi-Soroti-24h'!E21,'14.08 Kumi-Soroti'!E21)</f>
        <v>2.4285714285714284</v>
      </c>
      <c r="F21" s="49">
        <f>AVERAGE('08.08 Kumi-Soroti'!F21,'11.08 Kumi-Soroti'!F21,'12.08 Kumi-Soroti'!F21,'13.08 Kumi-Soroti'!F21,'09.08 Kumi-Soroti-24h'!F21,'10.08 Kumi-Soroti-24h'!F21,'14.08 Kumi-Soroti'!F21)</f>
        <v>2.1428571428571428</v>
      </c>
      <c r="G21" s="49">
        <f>AVERAGE('08.08 Kumi-Soroti'!G21,'11.08 Kumi-Soroti'!G21,'12.08 Kumi-Soroti'!G21,'13.08 Kumi-Soroti'!G21,'09.08 Kumi-Soroti-24h'!G21,'10.08 Kumi-Soroti-24h'!G21,'14.08 Kumi-Soroti'!G21)</f>
        <v>0</v>
      </c>
      <c r="H21" s="49">
        <f>AVERAGE('08.08 Kumi-Soroti'!H21,'11.08 Kumi-Soroti'!H21,'12.08 Kumi-Soroti'!H21,'13.08 Kumi-Soroti'!H21,'09.08 Kumi-Soroti-24h'!H21,'10.08 Kumi-Soroti-24h'!H21,'14.08 Kumi-Soroti'!H21)</f>
        <v>0.14285714285714285</v>
      </c>
      <c r="I21" s="49">
        <f>AVERAGE('08.08 Kumi-Soroti'!I21,'11.08 Kumi-Soroti'!I21,'12.08 Kumi-Soroti'!I21,'13.08 Kumi-Soroti'!I21,'09.08 Kumi-Soroti-24h'!I21,'10.08 Kumi-Soroti-24h'!I21,'14.08 Kumi-Soroti'!I21)</f>
        <v>0.8571428571428571</v>
      </c>
      <c r="J21" s="49">
        <f>AVERAGE('08.08 Kumi-Soroti'!J21,'11.08 Kumi-Soroti'!J21,'12.08 Kumi-Soroti'!J21,'13.08 Kumi-Soroti'!J21,'09.08 Kumi-Soroti-24h'!J21,'10.08 Kumi-Soroti-24h'!J21,'14.08 Kumi-Soroti'!J21)</f>
        <v>0.5714285714285714</v>
      </c>
      <c r="K21" s="49">
        <f>AVERAGE('08.08 Kumi-Soroti'!K21,'11.08 Kumi-Soroti'!K21,'12.08 Kumi-Soroti'!K21,'13.08 Kumi-Soroti'!K21,'09.08 Kumi-Soroti-24h'!K21,'10.08 Kumi-Soroti-24h'!K21,'14.08 Kumi-Soroti'!K21)</f>
        <v>0</v>
      </c>
      <c r="L21" s="49">
        <f>AVERAGE('08.08 Kumi-Soroti'!L21,'11.08 Kumi-Soroti'!L21,'12.08 Kumi-Soroti'!L21,'13.08 Kumi-Soroti'!L21,'09.08 Kumi-Soroti-24h'!L21,'10.08 Kumi-Soroti-24h'!L21,'14.08 Kumi-Soroti'!L21)</f>
        <v>1.7142857142857142</v>
      </c>
      <c r="M21" s="49">
        <f>AVERAGE('08.08 Kumi-Soroti'!M21,'11.08 Kumi-Soroti'!M21,'12.08 Kumi-Soroti'!M21,'13.08 Kumi-Soroti'!M21,'09.08 Kumi-Soroti-24h'!M21,'10.08 Kumi-Soroti-24h'!M21,'14.08 Kumi-Soroti'!M21)</f>
        <v>8.4285714285714288</v>
      </c>
      <c r="N21" s="49">
        <f>AVERAGE('08.08 Kumi-Soroti'!N21,'11.08 Kumi-Soroti'!N21,'12.08 Kumi-Soroti'!N21,'13.08 Kumi-Soroti'!N21,'09.08 Kumi-Soroti-24h'!N21,'10.08 Kumi-Soroti-24h'!N21,'14.08 Kumi-Soroti'!N21)</f>
        <v>0</v>
      </c>
      <c r="O21" s="15">
        <f t="shared" si="0"/>
        <v>9.8571428571428559</v>
      </c>
      <c r="P21" s="15">
        <f t="shared" si="1"/>
        <v>18.285714285714285</v>
      </c>
      <c r="R21" s="36" t="s">
        <v>20</v>
      </c>
      <c r="S21" s="34">
        <f t="shared" ref="S21:AF21" si="13">SUM(C54:C57)</f>
        <v>4.7142857142857135</v>
      </c>
      <c r="T21" s="17">
        <f t="shared" si="13"/>
        <v>3</v>
      </c>
      <c r="U21" s="17">
        <f t="shared" si="13"/>
        <v>10.571428571428573</v>
      </c>
      <c r="V21" s="17">
        <f t="shared" si="13"/>
        <v>9.1428571428571441</v>
      </c>
      <c r="W21" s="17">
        <f t="shared" si="13"/>
        <v>0.71428571428571419</v>
      </c>
      <c r="X21" s="17">
        <f t="shared" si="13"/>
        <v>1.5714285714285714</v>
      </c>
      <c r="Y21" s="17">
        <f t="shared" si="13"/>
        <v>8.2857142857142865</v>
      </c>
      <c r="Z21" s="17">
        <f t="shared" si="13"/>
        <v>1.714285714285714</v>
      </c>
      <c r="AA21" s="17">
        <f t="shared" si="13"/>
        <v>0.14285714285714285</v>
      </c>
      <c r="AB21" s="17">
        <f t="shared" si="13"/>
        <v>8</v>
      </c>
      <c r="AC21" s="17">
        <f t="shared" si="13"/>
        <v>35.142857142857139</v>
      </c>
      <c r="AD21" s="17">
        <f t="shared" si="13"/>
        <v>0</v>
      </c>
      <c r="AE21" s="31">
        <f t="shared" si="13"/>
        <v>47.857142857142861</v>
      </c>
      <c r="AF21" s="31">
        <f t="shared" si="13"/>
        <v>83</v>
      </c>
    </row>
    <row r="22" spans="2:32" ht="23.1" customHeight="1" x14ac:dyDescent="0.25">
      <c r="B22" s="23" t="s">
        <v>49</v>
      </c>
      <c r="C22" s="49">
        <f>AVERAGE('08.08 Kumi-Soroti'!C22,'11.08 Kumi-Soroti'!C22,'12.08 Kumi-Soroti'!C22,'13.08 Kumi-Soroti'!C22,'09.08 Kumi-Soroti-24h'!C22,'10.08 Kumi-Soroti-24h'!C22,'14.08 Kumi-Soroti'!C22)</f>
        <v>1.7142857142857142</v>
      </c>
      <c r="D22" s="49">
        <f>AVERAGE('08.08 Kumi-Soroti'!D22,'11.08 Kumi-Soroti'!D22,'12.08 Kumi-Soroti'!D22,'13.08 Kumi-Soroti'!D22,'09.08 Kumi-Soroti-24h'!D22,'10.08 Kumi-Soroti-24h'!D22,'14.08 Kumi-Soroti'!D22)</f>
        <v>0.8571428571428571</v>
      </c>
      <c r="E22" s="49">
        <f>AVERAGE('08.08 Kumi-Soroti'!E22,'11.08 Kumi-Soroti'!E22,'12.08 Kumi-Soroti'!E22,'13.08 Kumi-Soroti'!E22,'09.08 Kumi-Soroti-24h'!E22,'10.08 Kumi-Soroti-24h'!E22,'14.08 Kumi-Soroti'!E22)</f>
        <v>2.7142857142857144</v>
      </c>
      <c r="F22" s="49">
        <f>AVERAGE('08.08 Kumi-Soroti'!F22,'11.08 Kumi-Soroti'!F22,'12.08 Kumi-Soroti'!F22,'13.08 Kumi-Soroti'!F22,'09.08 Kumi-Soroti-24h'!F22,'10.08 Kumi-Soroti-24h'!F22,'14.08 Kumi-Soroti'!F22)</f>
        <v>1.5714285714285714</v>
      </c>
      <c r="G22" s="49">
        <f>AVERAGE('08.08 Kumi-Soroti'!G22,'11.08 Kumi-Soroti'!G22,'12.08 Kumi-Soroti'!G22,'13.08 Kumi-Soroti'!G22,'09.08 Kumi-Soroti-24h'!G22,'10.08 Kumi-Soroti-24h'!G22,'14.08 Kumi-Soroti'!G22)</f>
        <v>0</v>
      </c>
      <c r="H22" s="49">
        <f>AVERAGE('08.08 Kumi-Soroti'!H22,'11.08 Kumi-Soroti'!H22,'12.08 Kumi-Soroti'!H22,'13.08 Kumi-Soroti'!H22,'09.08 Kumi-Soroti-24h'!H22,'10.08 Kumi-Soroti-24h'!H22,'14.08 Kumi-Soroti'!H22)</f>
        <v>1.4285714285714286</v>
      </c>
      <c r="I22" s="49">
        <f>AVERAGE('08.08 Kumi-Soroti'!I22,'11.08 Kumi-Soroti'!I22,'12.08 Kumi-Soroti'!I22,'13.08 Kumi-Soroti'!I22,'09.08 Kumi-Soroti-24h'!I22,'10.08 Kumi-Soroti-24h'!I22,'14.08 Kumi-Soroti'!I22)</f>
        <v>1</v>
      </c>
      <c r="J22" s="49">
        <f>AVERAGE('08.08 Kumi-Soroti'!J22,'11.08 Kumi-Soroti'!J22,'12.08 Kumi-Soroti'!J22,'13.08 Kumi-Soroti'!J22,'09.08 Kumi-Soroti-24h'!J22,'10.08 Kumi-Soroti-24h'!J22,'14.08 Kumi-Soroti'!J22)</f>
        <v>0.2857142857142857</v>
      </c>
      <c r="K22" s="49">
        <f>AVERAGE('08.08 Kumi-Soroti'!K22,'11.08 Kumi-Soroti'!K22,'12.08 Kumi-Soroti'!K22,'13.08 Kumi-Soroti'!K22,'09.08 Kumi-Soroti-24h'!K22,'10.08 Kumi-Soroti-24h'!K22,'14.08 Kumi-Soroti'!K22)</f>
        <v>0.42857142857142855</v>
      </c>
      <c r="L22" s="49">
        <f>AVERAGE('08.08 Kumi-Soroti'!L22,'11.08 Kumi-Soroti'!L22,'12.08 Kumi-Soroti'!L22,'13.08 Kumi-Soroti'!L22,'09.08 Kumi-Soroti-24h'!L22,'10.08 Kumi-Soroti-24h'!L22,'14.08 Kumi-Soroti'!L22)</f>
        <v>1</v>
      </c>
      <c r="M22" s="49">
        <f>AVERAGE('08.08 Kumi-Soroti'!M22,'11.08 Kumi-Soroti'!M22,'12.08 Kumi-Soroti'!M22,'13.08 Kumi-Soroti'!M22,'09.08 Kumi-Soroti-24h'!M22,'10.08 Kumi-Soroti-24h'!M22,'14.08 Kumi-Soroti'!M22)</f>
        <v>9.4285714285714288</v>
      </c>
      <c r="N22" s="49">
        <f>AVERAGE('08.08 Kumi-Soroti'!N22,'11.08 Kumi-Soroti'!N22,'12.08 Kumi-Soroti'!N22,'13.08 Kumi-Soroti'!N22,'09.08 Kumi-Soroti-24h'!N22,'10.08 Kumi-Soroti-24h'!N22,'14.08 Kumi-Soroti'!N22)</f>
        <v>0</v>
      </c>
      <c r="O22" s="15">
        <f t="shared" si="0"/>
        <v>11</v>
      </c>
      <c r="P22" s="15">
        <f t="shared" si="1"/>
        <v>20.428571428571431</v>
      </c>
      <c r="R22" s="1" t="s">
        <v>146</v>
      </c>
      <c r="S22" s="34">
        <f>SUM(C58:C61)</f>
        <v>2.5</v>
      </c>
      <c r="T22" s="34">
        <f t="shared" ref="T22:AF22" si="14">SUM(D58:D61)</f>
        <v>1.5</v>
      </c>
      <c r="U22" s="34">
        <f t="shared" si="14"/>
        <v>9.5</v>
      </c>
      <c r="V22" s="34">
        <f t="shared" si="14"/>
        <v>6.5</v>
      </c>
      <c r="W22" s="34">
        <f t="shared" si="14"/>
        <v>0</v>
      </c>
      <c r="X22" s="34">
        <f t="shared" si="14"/>
        <v>0</v>
      </c>
      <c r="Y22" s="34">
        <f t="shared" si="14"/>
        <v>6.5</v>
      </c>
      <c r="Z22" s="34">
        <f t="shared" si="14"/>
        <v>0</v>
      </c>
      <c r="AA22" s="34">
        <f t="shared" si="14"/>
        <v>0</v>
      </c>
      <c r="AB22" s="34">
        <f t="shared" si="14"/>
        <v>13.5</v>
      </c>
      <c r="AC22" s="34">
        <f t="shared" si="14"/>
        <v>33</v>
      </c>
      <c r="AD22" s="34">
        <f t="shared" si="14"/>
        <v>0</v>
      </c>
      <c r="AE22" s="31">
        <f t="shared" si="14"/>
        <v>40</v>
      </c>
      <c r="AF22" s="31">
        <f t="shared" si="14"/>
        <v>73</v>
      </c>
    </row>
    <row r="23" spans="2:32" ht="23.1" customHeight="1" x14ac:dyDescent="0.25">
      <c r="B23" s="23" t="s">
        <v>50</v>
      </c>
      <c r="C23" s="49">
        <f>AVERAGE('08.08 Kumi-Soroti'!C23,'11.08 Kumi-Soroti'!C23,'12.08 Kumi-Soroti'!C23,'13.08 Kumi-Soroti'!C23,'09.08 Kumi-Soroti-24h'!C23,'10.08 Kumi-Soroti-24h'!C23,'14.08 Kumi-Soroti'!C23)</f>
        <v>1.8571428571428572</v>
      </c>
      <c r="D23" s="49">
        <f>AVERAGE('08.08 Kumi-Soroti'!D23,'11.08 Kumi-Soroti'!D23,'12.08 Kumi-Soroti'!D23,'13.08 Kumi-Soroti'!D23,'09.08 Kumi-Soroti-24h'!D23,'10.08 Kumi-Soroti-24h'!D23,'14.08 Kumi-Soroti'!D23)</f>
        <v>0.5714285714285714</v>
      </c>
      <c r="E23" s="49">
        <f>AVERAGE('08.08 Kumi-Soroti'!E23,'11.08 Kumi-Soroti'!E23,'12.08 Kumi-Soroti'!E23,'13.08 Kumi-Soroti'!E23,'09.08 Kumi-Soroti-24h'!E23,'10.08 Kumi-Soroti-24h'!E23,'14.08 Kumi-Soroti'!E23)</f>
        <v>2.1428571428571428</v>
      </c>
      <c r="F23" s="49">
        <f>AVERAGE('08.08 Kumi-Soroti'!F23,'11.08 Kumi-Soroti'!F23,'12.08 Kumi-Soroti'!F23,'13.08 Kumi-Soroti'!F23,'09.08 Kumi-Soroti-24h'!F23,'10.08 Kumi-Soroti-24h'!F23,'14.08 Kumi-Soroti'!F23)</f>
        <v>2.5714285714285716</v>
      </c>
      <c r="G23" s="49">
        <f>AVERAGE('08.08 Kumi-Soroti'!G23,'11.08 Kumi-Soroti'!G23,'12.08 Kumi-Soroti'!G23,'13.08 Kumi-Soroti'!G23,'09.08 Kumi-Soroti-24h'!G23,'10.08 Kumi-Soroti-24h'!G23,'14.08 Kumi-Soroti'!G23)</f>
        <v>0.14285714285714285</v>
      </c>
      <c r="H23" s="49">
        <f>AVERAGE('08.08 Kumi-Soroti'!H23,'11.08 Kumi-Soroti'!H23,'12.08 Kumi-Soroti'!H23,'13.08 Kumi-Soroti'!H23,'09.08 Kumi-Soroti-24h'!H23,'10.08 Kumi-Soroti-24h'!H23,'14.08 Kumi-Soroti'!H23)</f>
        <v>0.14285714285714285</v>
      </c>
      <c r="I23" s="49">
        <f>AVERAGE('08.08 Kumi-Soroti'!I23,'11.08 Kumi-Soroti'!I23,'12.08 Kumi-Soroti'!I23,'13.08 Kumi-Soroti'!I23,'09.08 Kumi-Soroti-24h'!I23,'10.08 Kumi-Soroti-24h'!I23,'14.08 Kumi-Soroti'!I23)</f>
        <v>1.1428571428571428</v>
      </c>
      <c r="J23" s="49">
        <f>AVERAGE('08.08 Kumi-Soroti'!J23,'11.08 Kumi-Soroti'!J23,'12.08 Kumi-Soroti'!J23,'13.08 Kumi-Soroti'!J23,'09.08 Kumi-Soroti-24h'!J23,'10.08 Kumi-Soroti-24h'!J23,'14.08 Kumi-Soroti'!J23)</f>
        <v>0.2857142857142857</v>
      </c>
      <c r="K23" s="49">
        <f>AVERAGE('08.08 Kumi-Soroti'!K23,'11.08 Kumi-Soroti'!K23,'12.08 Kumi-Soroti'!K23,'13.08 Kumi-Soroti'!K23,'09.08 Kumi-Soroti-24h'!K23,'10.08 Kumi-Soroti-24h'!K23,'14.08 Kumi-Soroti'!K23)</f>
        <v>0</v>
      </c>
      <c r="L23" s="49">
        <f>AVERAGE('08.08 Kumi-Soroti'!L23,'11.08 Kumi-Soroti'!L23,'12.08 Kumi-Soroti'!L23,'13.08 Kumi-Soroti'!L23,'09.08 Kumi-Soroti-24h'!L23,'10.08 Kumi-Soroti-24h'!L23,'14.08 Kumi-Soroti'!L23)</f>
        <v>1.5714285714285714</v>
      </c>
      <c r="M23" s="49">
        <f>AVERAGE('08.08 Kumi-Soroti'!M23,'11.08 Kumi-Soroti'!M23,'12.08 Kumi-Soroti'!M23,'13.08 Kumi-Soroti'!M23,'09.08 Kumi-Soroti-24h'!M23,'10.08 Kumi-Soroti-24h'!M23,'14.08 Kumi-Soroti'!M23)</f>
        <v>8.1428571428571423</v>
      </c>
      <c r="N23" s="49">
        <f>AVERAGE('08.08 Kumi-Soroti'!N23,'11.08 Kumi-Soroti'!N23,'12.08 Kumi-Soroti'!N23,'13.08 Kumi-Soroti'!N23,'09.08 Kumi-Soroti-24h'!N23,'10.08 Kumi-Soroti-24h'!N23,'14.08 Kumi-Soroti'!N23)</f>
        <v>0</v>
      </c>
      <c r="O23" s="15">
        <f t="shared" si="0"/>
        <v>10.428571428571429</v>
      </c>
      <c r="P23" s="15">
        <f t="shared" si="1"/>
        <v>18.571428571428569</v>
      </c>
      <c r="R23" s="1" t="s">
        <v>147</v>
      </c>
      <c r="S23" s="34">
        <f>SUM(C62:C65)</f>
        <v>4.5</v>
      </c>
      <c r="T23" s="34">
        <f t="shared" ref="T23:AF23" si="15">SUM(D62:D65)</f>
        <v>2</v>
      </c>
      <c r="U23" s="34">
        <f t="shared" si="15"/>
        <v>7</v>
      </c>
      <c r="V23" s="34">
        <f t="shared" si="15"/>
        <v>6</v>
      </c>
      <c r="W23" s="34">
        <f t="shared" si="15"/>
        <v>0</v>
      </c>
      <c r="X23" s="34">
        <f t="shared" si="15"/>
        <v>1</v>
      </c>
      <c r="Y23" s="34">
        <f t="shared" si="15"/>
        <v>7</v>
      </c>
      <c r="Z23" s="34">
        <f t="shared" si="15"/>
        <v>0</v>
      </c>
      <c r="AA23" s="34">
        <f t="shared" si="15"/>
        <v>0</v>
      </c>
      <c r="AB23" s="34">
        <f t="shared" si="15"/>
        <v>13</v>
      </c>
      <c r="AC23" s="34">
        <f t="shared" si="15"/>
        <v>21</v>
      </c>
      <c r="AD23" s="34">
        <f t="shared" si="15"/>
        <v>0</v>
      </c>
      <c r="AE23" s="31">
        <f t="shared" si="15"/>
        <v>40.5</v>
      </c>
      <c r="AF23" s="31">
        <f t="shared" si="15"/>
        <v>61.5</v>
      </c>
    </row>
    <row r="24" spans="2:32" ht="23.1" customHeight="1" x14ac:dyDescent="0.25">
      <c r="B24" s="23" t="s">
        <v>51</v>
      </c>
      <c r="C24" s="49">
        <f>AVERAGE('08.08 Kumi-Soroti'!C24,'11.08 Kumi-Soroti'!C24,'12.08 Kumi-Soroti'!C24,'13.08 Kumi-Soroti'!C24,'09.08 Kumi-Soroti-24h'!C24,'10.08 Kumi-Soroti-24h'!C24,'14.08 Kumi-Soroti'!C24)</f>
        <v>1.2857142857142858</v>
      </c>
      <c r="D24" s="49">
        <f>AVERAGE('08.08 Kumi-Soroti'!D24,'11.08 Kumi-Soroti'!D24,'12.08 Kumi-Soroti'!D24,'13.08 Kumi-Soroti'!D24,'09.08 Kumi-Soroti-24h'!D24,'10.08 Kumi-Soroti-24h'!D24,'14.08 Kumi-Soroti'!D24)</f>
        <v>0.5714285714285714</v>
      </c>
      <c r="E24" s="49">
        <f>AVERAGE('08.08 Kumi-Soroti'!E24,'11.08 Kumi-Soroti'!E24,'12.08 Kumi-Soroti'!E24,'13.08 Kumi-Soroti'!E24,'09.08 Kumi-Soroti-24h'!E24,'10.08 Kumi-Soroti-24h'!E24,'14.08 Kumi-Soroti'!E24)</f>
        <v>1.8571428571428572</v>
      </c>
      <c r="F24" s="49">
        <f>AVERAGE('08.08 Kumi-Soroti'!F24,'11.08 Kumi-Soroti'!F24,'12.08 Kumi-Soroti'!F24,'13.08 Kumi-Soroti'!F24,'09.08 Kumi-Soroti-24h'!F24,'10.08 Kumi-Soroti-24h'!F24,'14.08 Kumi-Soroti'!F24)</f>
        <v>2.8571428571428572</v>
      </c>
      <c r="G24" s="49">
        <f>AVERAGE('08.08 Kumi-Soroti'!G24,'11.08 Kumi-Soroti'!G24,'12.08 Kumi-Soroti'!G24,'13.08 Kumi-Soroti'!G24,'09.08 Kumi-Soroti-24h'!G24,'10.08 Kumi-Soroti-24h'!G24,'14.08 Kumi-Soroti'!G24)</f>
        <v>0</v>
      </c>
      <c r="H24" s="49">
        <f>AVERAGE('08.08 Kumi-Soroti'!H24,'11.08 Kumi-Soroti'!H24,'12.08 Kumi-Soroti'!H24,'13.08 Kumi-Soroti'!H24,'09.08 Kumi-Soroti-24h'!H24,'10.08 Kumi-Soroti-24h'!H24,'14.08 Kumi-Soroti'!H24)</f>
        <v>0.5714285714285714</v>
      </c>
      <c r="I24" s="49">
        <f>AVERAGE('08.08 Kumi-Soroti'!I24,'11.08 Kumi-Soroti'!I24,'12.08 Kumi-Soroti'!I24,'13.08 Kumi-Soroti'!I24,'09.08 Kumi-Soroti-24h'!I24,'10.08 Kumi-Soroti-24h'!I24,'14.08 Kumi-Soroti'!I24)</f>
        <v>0.8571428571428571</v>
      </c>
      <c r="J24" s="49">
        <f>AVERAGE('08.08 Kumi-Soroti'!J24,'11.08 Kumi-Soroti'!J24,'12.08 Kumi-Soroti'!J24,'13.08 Kumi-Soroti'!J24,'09.08 Kumi-Soroti-24h'!J24,'10.08 Kumi-Soroti-24h'!J24,'14.08 Kumi-Soroti'!J24)</f>
        <v>0.2857142857142857</v>
      </c>
      <c r="K24" s="49">
        <f>AVERAGE('08.08 Kumi-Soroti'!K24,'11.08 Kumi-Soroti'!K24,'12.08 Kumi-Soroti'!K24,'13.08 Kumi-Soroti'!K24,'09.08 Kumi-Soroti-24h'!K24,'10.08 Kumi-Soroti-24h'!K24,'14.08 Kumi-Soroti'!K24)</f>
        <v>0.2857142857142857</v>
      </c>
      <c r="L24" s="49">
        <f>AVERAGE('08.08 Kumi-Soroti'!L24,'11.08 Kumi-Soroti'!L24,'12.08 Kumi-Soroti'!L24,'13.08 Kumi-Soroti'!L24,'09.08 Kumi-Soroti-24h'!L24,'10.08 Kumi-Soroti-24h'!L24,'14.08 Kumi-Soroti'!L24)</f>
        <v>1.4285714285714286</v>
      </c>
      <c r="M24" s="49">
        <f>AVERAGE('08.08 Kumi-Soroti'!M24,'11.08 Kumi-Soroti'!M24,'12.08 Kumi-Soroti'!M24,'13.08 Kumi-Soroti'!M24,'09.08 Kumi-Soroti-24h'!M24,'10.08 Kumi-Soroti-24h'!M24,'14.08 Kumi-Soroti'!M24)</f>
        <v>8</v>
      </c>
      <c r="N24" s="49">
        <f>AVERAGE('08.08 Kumi-Soroti'!N24,'11.08 Kumi-Soroti'!N24,'12.08 Kumi-Soroti'!N24,'13.08 Kumi-Soroti'!N24,'09.08 Kumi-Soroti-24h'!N24,'10.08 Kumi-Soroti-24h'!N24,'14.08 Kumi-Soroti'!N24)</f>
        <v>0</v>
      </c>
      <c r="O24" s="15">
        <f t="shared" si="0"/>
        <v>10</v>
      </c>
      <c r="P24" s="15">
        <f t="shared" si="1"/>
        <v>18</v>
      </c>
      <c r="R24" s="1" t="s">
        <v>148</v>
      </c>
      <c r="S24" s="34">
        <f>SUM(C66:C69)</f>
        <v>5</v>
      </c>
      <c r="T24" s="34">
        <f t="shared" ref="T24:AF24" si="16">SUM(D66:D69)</f>
        <v>0.5</v>
      </c>
      <c r="U24" s="34">
        <f t="shared" si="16"/>
        <v>6.5</v>
      </c>
      <c r="V24" s="34">
        <f t="shared" si="16"/>
        <v>3</v>
      </c>
      <c r="W24" s="34">
        <f t="shared" si="16"/>
        <v>0.5</v>
      </c>
      <c r="X24" s="34">
        <f t="shared" si="16"/>
        <v>1</v>
      </c>
      <c r="Y24" s="34">
        <f t="shared" si="16"/>
        <v>7.5</v>
      </c>
      <c r="Z24" s="34">
        <f t="shared" si="16"/>
        <v>0.5</v>
      </c>
      <c r="AA24" s="34">
        <f t="shared" si="16"/>
        <v>0</v>
      </c>
      <c r="AB24" s="34">
        <f t="shared" si="16"/>
        <v>12.5</v>
      </c>
      <c r="AC24" s="34">
        <f t="shared" si="16"/>
        <v>12.5</v>
      </c>
      <c r="AD24" s="34">
        <f t="shared" si="16"/>
        <v>0</v>
      </c>
      <c r="AE24" s="31">
        <f t="shared" si="16"/>
        <v>37</v>
      </c>
      <c r="AF24" s="31">
        <f t="shared" si="16"/>
        <v>49.5</v>
      </c>
    </row>
    <row r="25" spans="2:32" ht="23.1" customHeight="1" x14ac:dyDescent="0.25">
      <c r="B25" s="23" t="s">
        <v>52</v>
      </c>
      <c r="C25" s="49">
        <f>AVERAGE('08.08 Kumi-Soroti'!C25,'11.08 Kumi-Soroti'!C25,'12.08 Kumi-Soroti'!C25,'13.08 Kumi-Soroti'!C25,'09.08 Kumi-Soroti-24h'!C25,'10.08 Kumi-Soroti-24h'!C25,'14.08 Kumi-Soroti'!C25)</f>
        <v>1.4285714285714286</v>
      </c>
      <c r="D25" s="49">
        <f>AVERAGE('08.08 Kumi-Soroti'!D25,'11.08 Kumi-Soroti'!D25,'12.08 Kumi-Soroti'!D25,'13.08 Kumi-Soroti'!D25,'09.08 Kumi-Soroti-24h'!D25,'10.08 Kumi-Soroti-24h'!D25,'14.08 Kumi-Soroti'!D25)</f>
        <v>0.8571428571428571</v>
      </c>
      <c r="E25" s="49">
        <f>AVERAGE('08.08 Kumi-Soroti'!E25,'11.08 Kumi-Soroti'!E25,'12.08 Kumi-Soroti'!E25,'13.08 Kumi-Soroti'!E25,'09.08 Kumi-Soroti-24h'!E25,'10.08 Kumi-Soroti-24h'!E25,'14.08 Kumi-Soroti'!E25)</f>
        <v>2.8571428571428572</v>
      </c>
      <c r="F25" s="49">
        <f>AVERAGE('08.08 Kumi-Soroti'!F25,'11.08 Kumi-Soroti'!F25,'12.08 Kumi-Soroti'!F25,'13.08 Kumi-Soroti'!F25,'09.08 Kumi-Soroti-24h'!F25,'10.08 Kumi-Soroti-24h'!F25,'14.08 Kumi-Soroti'!F25)</f>
        <v>3.5714285714285716</v>
      </c>
      <c r="G25" s="49">
        <f>AVERAGE('08.08 Kumi-Soroti'!G25,'11.08 Kumi-Soroti'!G25,'12.08 Kumi-Soroti'!G25,'13.08 Kumi-Soroti'!G25,'09.08 Kumi-Soroti-24h'!G25,'10.08 Kumi-Soroti-24h'!G25,'14.08 Kumi-Soroti'!G25)</f>
        <v>0.14285714285714285</v>
      </c>
      <c r="H25" s="49">
        <f>AVERAGE('08.08 Kumi-Soroti'!H25,'11.08 Kumi-Soroti'!H25,'12.08 Kumi-Soroti'!H25,'13.08 Kumi-Soroti'!H25,'09.08 Kumi-Soroti-24h'!H25,'10.08 Kumi-Soroti-24h'!H25,'14.08 Kumi-Soroti'!H25)</f>
        <v>0.7142857142857143</v>
      </c>
      <c r="I25" s="49">
        <f>AVERAGE('08.08 Kumi-Soroti'!I25,'11.08 Kumi-Soroti'!I25,'12.08 Kumi-Soroti'!I25,'13.08 Kumi-Soroti'!I25,'09.08 Kumi-Soroti-24h'!I25,'10.08 Kumi-Soroti-24h'!I25,'14.08 Kumi-Soroti'!I25)</f>
        <v>1</v>
      </c>
      <c r="J25" s="49">
        <f>AVERAGE('08.08 Kumi-Soroti'!J25,'11.08 Kumi-Soroti'!J25,'12.08 Kumi-Soroti'!J25,'13.08 Kumi-Soroti'!J25,'09.08 Kumi-Soroti-24h'!J25,'10.08 Kumi-Soroti-24h'!J25,'14.08 Kumi-Soroti'!J25)</f>
        <v>0.5714285714285714</v>
      </c>
      <c r="K25" s="49">
        <f>AVERAGE('08.08 Kumi-Soroti'!K25,'11.08 Kumi-Soroti'!K25,'12.08 Kumi-Soroti'!K25,'13.08 Kumi-Soroti'!K25,'09.08 Kumi-Soroti-24h'!K25,'10.08 Kumi-Soroti-24h'!K25,'14.08 Kumi-Soroti'!K25)</f>
        <v>0</v>
      </c>
      <c r="L25" s="49">
        <f>AVERAGE('08.08 Kumi-Soroti'!L25,'11.08 Kumi-Soroti'!L25,'12.08 Kumi-Soroti'!L25,'13.08 Kumi-Soroti'!L25,'09.08 Kumi-Soroti-24h'!L25,'10.08 Kumi-Soroti-24h'!L25,'14.08 Kumi-Soroti'!L25)</f>
        <v>2</v>
      </c>
      <c r="M25" s="49">
        <f>AVERAGE('08.08 Kumi-Soroti'!M25,'11.08 Kumi-Soroti'!M25,'12.08 Kumi-Soroti'!M25,'13.08 Kumi-Soroti'!M25,'09.08 Kumi-Soroti-24h'!M25,'10.08 Kumi-Soroti-24h'!M25,'14.08 Kumi-Soroti'!M25)</f>
        <v>6.2857142857142856</v>
      </c>
      <c r="N25" s="49">
        <f>AVERAGE('08.08 Kumi-Soroti'!N25,'11.08 Kumi-Soroti'!N25,'12.08 Kumi-Soroti'!N25,'13.08 Kumi-Soroti'!N25,'09.08 Kumi-Soroti-24h'!N25,'10.08 Kumi-Soroti-24h'!N25,'14.08 Kumi-Soroti'!N25)</f>
        <v>0</v>
      </c>
      <c r="O25" s="15">
        <f t="shared" si="0"/>
        <v>13.142857142857141</v>
      </c>
      <c r="P25" s="15">
        <f t="shared" si="1"/>
        <v>19.428571428571427</v>
      </c>
      <c r="R25" s="1" t="s">
        <v>149</v>
      </c>
      <c r="S25" s="34">
        <f>SUM(C70:C73)</f>
        <v>3.5</v>
      </c>
      <c r="T25" s="34">
        <f t="shared" ref="T25:AF25" si="17">SUM(D70:D73)</f>
        <v>1</v>
      </c>
      <c r="U25" s="34">
        <f t="shared" si="17"/>
        <v>6.5</v>
      </c>
      <c r="V25" s="34">
        <f t="shared" si="17"/>
        <v>2.5</v>
      </c>
      <c r="W25" s="34">
        <f t="shared" si="17"/>
        <v>0</v>
      </c>
      <c r="X25" s="34">
        <f t="shared" si="17"/>
        <v>1</v>
      </c>
      <c r="Y25" s="34">
        <f t="shared" si="17"/>
        <v>3.5</v>
      </c>
      <c r="Z25" s="34">
        <f t="shared" si="17"/>
        <v>0.5</v>
      </c>
      <c r="AA25" s="34">
        <f t="shared" si="17"/>
        <v>0</v>
      </c>
      <c r="AB25" s="34">
        <f t="shared" si="17"/>
        <v>13</v>
      </c>
      <c r="AC25" s="34">
        <f t="shared" si="17"/>
        <v>12</v>
      </c>
      <c r="AD25" s="34">
        <f t="shared" si="17"/>
        <v>0</v>
      </c>
      <c r="AE25" s="31">
        <f t="shared" si="17"/>
        <v>31.5</v>
      </c>
      <c r="AF25" s="31">
        <f t="shared" si="17"/>
        <v>43.5</v>
      </c>
    </row>
    <row r="26" spans="2:32" ht="23.1" customHeight="1" x14ac:dyDescent="0.25">
      <c r="B26" s="23" t="s">
        <v>53</v>
      </c>
      <c r="C26" s="49">
        <f>AVERAGE('08.08 Kumi-Soroti'!C26,'11.08 Kumi-Soroti'!C26,'12.08 Kumi-Soroti'!C26,'13.08 Kumi-Soroti'!C26,'09.08 Kumi-Soroti-24h'!C26,'10.08 Kumi-Soroti-24h'!C26,'14.08 Kumi-Soroti'!C26)</f>
        <v>1.2857142857142858</v>
      </c>
      <c r="D26" s="49">
        <f>AVERAGE('08.08 Kumi-Soroti'!D26,'11.08 Kumi-Soroti'!D26,'12.08 Kumi-Soroti'!D26,'13.08 Kumi-Soroti'!D26,'09.08 Kumi-Soroti-24h'!D26,'10.08 Kumi-Soroti-24h'!D26,'14.08 Kumi-Soroti'!D26)</f>
        <v>0.5714285714285714</v>
      </c>
      <c r="E26" s="49">
        <f>AVERAGE('08.08 Kumi-Soroti'!E26,'11.08 Kumi-Soroti'!E26,'12.08 Kumi-Soroti'!E26,'13.08 Kumi-Soroti'!E26,'09.08 Kumi-Soroti-24h'!E26,'10.08 Kumi-Soroti-24h'!E26,'14.08 Kumi-Soroti'!E26)</f>
        <v>2.4285714285714284</v>
      </c>
      <c r="F26" s="49">
        <f>AVERAGE('08.08 Kumi-Soroti'!F26,'11.08 Kumi-Soroti'!F26,'12.08 Kumi-Soroti'!F26,'13.08 Kumi-Soroti'!F26,'09.08 Kumi-Soroti-24h'!F26,'10.08 Kumi-Soroti-24h'!F26,'14.08 Kumi-Soroti'!F26)</f>
        <v>2.4285714285714284</v>
      </c>
      <c r="G26" s="49">
        <f>AVERAGE('08.08 Kumi-Soroti'!G26,'11.08 Kumi-Soroti'!G26,'12.08 Kumi-Soroti'!G26,'13.08 Kumi-Soroti'!G26,'09.08 Kumi-Soroti-24h'!G26,'10.08 Kumi-Soroti-24h'!G26,'14.08 Kumi-Soroti'!G26)</f>
        <v>0.14285714285714285</v>
      </c>
      <c r="H26" s="49">
        <f>AVERAGE('08.08 Kumi-Soroti'!H26,'11.08 Kumi-Soroti'!H26,'12.08 Kumi-Soroti'!H26,'13.08 Kumi-Soroti'!H26,'09.08 Kumi-Soroti-24h'!H26,'10.08 Kumi-Soroti-24h'!H26,'14.08 Kumi-Soroti'!H26)</f>
        <v>0.2857142857142857</v>
      </c>
      <c r="I26" s="49">
        <f>AVERAGE('08.08 Kumi-Soroti'!I26,'11.08 Kumi-Soroti'!I26,'12.08 Kumi-Soroti'!I26,'13.08 Kumi-Soroti'!I26,'09.08 Kumi-Soroti-24h'!I26,'10.08 Kumi-Soroti-24h'!I26,'14.08 Kumi-Soroti'!I26)</f>
        <v>0.8571428571428571</v>
      </c>
      <c r="J26" s="49">
        <f>AVERAGE('08.08 Kumi-Soroti'!J26,'11.08 Kumi-Soroti'!J26,'12.08 Kumi-Soroti'!J26,'13.08 Kumi-Soroti'!J26,'09.08 Kumi-Soroti-24h'!J26,'10.08 Kumi-Soroti-24h'!J26,'14.08 Kumi-Soroti'!J26)</f>
        <v>0.5714285714285714</v>
      </c>
      <c r="K26" s="49">
        <f>AVERAGE('08.08 Kumi-Soroti'!K26,'11.08 Kumi-Soroti'!K26,'12.08 Kumi-Soroti'!K26,'13.08 Kumi-Soroti'!K26,'09.08 Kumi-Soroti-24h'!K26,'10.08 Kumi-Soroti-24h'!K26,'14.08 Kumi-Soroti'!K26)</f>
        <v>0</v>
      </c>
      <c r="L26" s="49">
        <f>AVERAGE('08.08 Kumi-Soroti'!L26,'11.08 Kumi-Soroti'!L26,'12.08 Kumi-Soroti'!L26,'13.08 Kumi-Soroti'!L26,'09.08 Kumi-Soroti-24h'!L26,'10.08 Kumi-Soroti-24h'!L26,'14.08 Kumi-Soroti'!L26)</f>
        <v>1.2857142857142858</v>
      </c>
      <c r="M26" s="49">
        <f>AVERAGE('08.08 Kumi-Soroti'!M26,'11.08 Kumi-Soroti'!M26,'12.08 Kumi-Soroti'!M26,'13.08 Kumi-Soroti'!M26,'09.08 Kumi-Soroti-24h'!M26,'10.08 Kumi-Soroti-24h'!M26,'14.08 Kumi-Soroti'!M26)</f>
        <v>8</v>
      </c>
      <c r="N26" s="49">
        <f>AVERAGE('08.08 Kumi-Soroti'!N26,'11.08 Kumi-Soroti'!N26,'12.08 Kumi-Soroti'!N26,'13.08 Kumi-Soroti'!N26,'09.08 Kumi-Soroti-24h'!N26,'10.08 Kumi-Soroti-24h'!N26,'14.08 Kumi-Soroti'!N26)</f>
        <v>0</v>
      </c>
      <c r="O26" s="15">
        <f t="shared" si="0"/>
        <v>9.8571428571428577</v>
      </c>
      <c r="P26" s="15">
        <f t="shared" si="1"/>
        <v>17.857142857142858</v>
      </c>
      <c r="R26" s="1" t="s">
        <v>150</v>
      </c>
      <c r="S26" s="34">
        <f>SUM(C74:C77)</f>
        <v>4</v>
      </c>
      <c r="T26" s="34">
        <f t="shared" ref="T26:AF26" si="18">SUM(D74:D77)</f>
        <v>0</v>
      </c>
      <c r="U26" s="34">
        <f t="shared" si="18"/>
        <v>2.5</v>
      </c>
      <c r="V26" s="34">
        <f t="shared" si="18"/>
        <v>2.5</v>
      </c>
      <c r="W26" s="34">
        <f t="shared" si="18"/>
        <v>0</v>
      </c>
      <c r="X26" s="34">
        <f t="shared" si="18"/>
        <v>0</v>
      </c>
      <c r="Y26" s="34">
        <f t="shared" si="18"/>
        <v>4.5</v>
      </c>
      <c r="Z26" s="34">
        <f t="shared" si="18"/>
        <v>2.5</v>
      </c>
      <c r="AA26" s="34">
        <f t="shared" si="18"/>
        <v>0</v>
      </c>
      <c r="AB26" s="34">
        <f t="shared" si="18"/>
        <v>9</v>
      </c>
      <c r="AC26" s="34">
        <f t="shared" si="18"/>
        <v>5</v>
      </c>
      <c r="AD26" s="34">
        <f t="shared" si="18"/>
        <v>0</v>
      </c>
      <c r="AE26" s="31">
        <f t="shared" si="18"/>
        <v>25</v>
      </c>
      <c r="AF26" s="31">
        <f t="shared" si="18"/>
        <v>30</v>
      </c>
    </row>
    <row r="27" spans="2:32" ht="23.1" customHeight="1" x14ac:dyDescent="0.25">
      <c r="B27" s="23" t="s">
        <v>54</v>
      </c>
      <c r="C27" s="49">
        <f>AVERAGE('08.08 Kumi-Soroti'!C27,'11.08 Kumi-Soroti'!C27,'12.08 Kumi-Soroti'!C27,'13.08 Kumi-Soroti'!C27,'09.08 Kumi-Soroti-24h'!C27,'10.08 Kumi-Soroti-24h'!C27,'14.08 Kumi-Soroti'!C27)</f>
        <v>1.2857142857142858</v>
      </c>
      <c r="D27" s="49">
        <f>AVERAGE('08.08 Kumi-Soroti'!D27,'11.08 Kumi-Soroti'!D27,'12.08 Kumi-Soroti'!D27,'13.08 Kumi-Soroti'!D27,'09.08 Kumi-Soroti-24h'!D27,'10.08 Kumi-Soroti-24h'!D27,'14.08 Kumi-Soroti'!D27)</f>
        <v>0.5714285714285714</v>
      </c>
      <c r="E27" s="49">
        <f>AVERAGE('08.08 Kumi-Soroti'!E27,'11.08 Kumi-Soroti'!E27,'12.08 Kumi-Soroti'!E27,'13.08 Kumi-Soroti'!E27,'09.08 Kumi-Soroti-24h'!E27,'10.08 Kumi-Soroti-24h'!E27,'14.08 Kumi-Soroti'!E27)</f>
        <v>3.1428571428571428</v>
      </c>
      <c r="F27" s="49">
        <f>AVERAGE('08.08 Kumi-Soroti'!F27,'11.08 Kumi-Soroti'!F27,'12.08 Kumi-Soroti'!F27,'13.08 Kumi-Soroti'!F27,'09.08 Kumi-Soroti-24h'!F27,'10.08 Kumi-Soroti-24h'!F27,'14.08 Kumi-Soroti'!F27)</f>
        <v>2.8571428571428572</v>
      </c>
      <c r="G27" s="49">
        <f>AVERAGE('08.08 Kumi-Soroti'!G27,'11.08 Kumi-Soroti'!G27,'12.08 Kumi-Soroti'!G27,'13.08 Kumi-Soroti'!G27,'09.08 Kumi-Soroti-24h'!G27,'10.08 Kumi-Soroti-24h'!G27,'14.08 Kumi-Soroti'!G27)</f>
        <v>0</v>
      </c>
      <c r="H27" s="49">
        <f>AVERAGE('08.08 Kumi-Soroti'!H27,'11.08 Kumi-Soroti'!H27,'12.08 Kumi-Soroti'!H27,'13.08 Kumi-Soroti'!H27,'09.08 Kumi-Soroti-24h'!H27,'10.08 Kumi-Soroti-24h'!H27,'14.08 Kumi-Soroti'!H27)</f>
        <v>0.42857142857142855</v>
      </c>
      <c r="I27" s="49">
        <f>AVERAGE('08.08 Kumi-Soroti'!I27,'11.08 Kumi-Soroti'!I27,'12.08 Kumi-Soroti'!I27,'13.08 Kumi-Soroti'!I27,'09.08 Kumi-Soroti-24h'!I27,'10.08 Kumi-Soroti-24h'!I27,'14.08 Kumi-Soroti'!I27)</f>
        <v>1.4285714285714286</v>
      </c>
      <c r="J27" s="49">
        <f>AVERAGE('08.08 Kumi-Soroti'!J27,'11.08 Kumi-Soroti'!J27,'12.08 Kumi-Soroti'!J27,'13.08 Kumi-Soroti'!J27,'09.08 Kumi-Soroti-24h'!J27,'10.08 Kumi-Soroti-24h'!J27,'14.08 Kumi-Soroti'!J27)</f>
        <v>0</v>
      </c>
      <c r="K27" s="49">
        <f>AVERAGE('08.08 Kumi-Soroti'!K27,'11.08 Kumi-Soroti'!K27,'12.08 Kumi-Soroti'!K27,'13.08 Kumi-Soroti'!K27,'09.08 Kumi-Soroti-24h'!K27,'10.08 Kumi-Soroti-24h'!K27,'14.08 Kumi-Soroti'!K27)</f>
        <v>0</v>
      </c>
      <c r="L27" s="49">
        <f>AVERAGE('08.08 Kumi-Soroti'!L27,'11.08 Kumi-Soroti'!L27,'12.08 Kumi-Soroti'!L27,'13.08 Kumi-Soroti'!L27,'09.08 Kumi-Soroti-24h'!L27,'10.08 Kumi-Soroti-24h'!L27,'14.08 Kumi-Soroti'!L27)</f>
        <v>2</v>
      </c>
      <c r="M27" s="49">
        <f>AVERAGE('08.08 Kumi-Soroti'!M27,'11.08 Kumi-Soroti'!M27,'12.08 Kumi-Soroti'!M27,'13.08 Kumi-Soroti'!M27,'09.08 Kumi-Soroti-24h'!M27,'10.08 Kumi-Soroti-24h'!M27,'14.08 Kumi-Soroti'!M27)</f>
        <v>8.5714285714285712</v>
      </c>
      <c r="N27" s="49">
        <f>AVERAGE('08.08 Kumi-Soroti'!N27,'11.08 Kumi-Soroti'!N27,'12.08 Kumi-Soroti'!N27,'13.08 Kumi-Soroti'!N27,'09.08 Kumi-Soroti-24h'!N27,'10.08 Kumi-Soroti-24h'!N27,'14.08 Kumi-Soroti'!N27)</f>
        <v>0</v>
      </c>
      <c r="O27" s="15">
        <f t="shared" si="0"/>
        <v>11.714285714285715</v>
      </c>
      <c r="P27" s="15">
        <f t="shared" si="1"/>
        <v>20.285714285714285</v>
      </c>
      <c r="R27" s="1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2.5</v>
      </c>
      <c r="V27" s="34">
        <f t="shared" si="19"/>
        <v>1.5</v>
      </c>
      <c r="W27" s="34">
        <f t="shared" si="19"/>
        <v>0</v>
      </c>
      <c r="X27" s="34">
        <f t="shared" si="19"/>
        <v>1</v>
      </c>
      <c r="Y27" s="34">
        <f t="shared" si="19"/>
        <v>7.5</v>
      </c>
      <c r="Z27" s="34">
        <f t="shared" si="19"/>
        <v>1.5</v>
      </c>
      <c r="AA27" s="34">
        <f t="shared" si="19"/>
        <v>1</v>
      </c>
      <c r="AB27" s="34">
        <f t="shared" si="19"/>
        <v>9.5</v>
      </c>
      <c r="AC27" s="34">
        <f t="shared" si="19"/>
        <v>2.5</v>
      </c>
      <c r="AD27" s="34">
        <f t="shared" si="19"/>
        <v>0</v>
      </c>
      <c r="AE27" s="31">
        <f t="shared" si="19"/>
        <v>25.5</v>
      </c>
      <c r="AF27" s="31">
        <f t="shared" si="19"/>
        <v>28</v>
      </c>
    </row>
    <row r="28" spans="2:32" ht="23.1" customHeight="1" x14ac:dyDescent="0.25">
      <c r="B28" s="23" t="s">
        <v>55</v>
      </c>
      <c r="C28" s="49">
        <f>AVERAGE('08.08 Kumi-Soroti'!C28,'11.08 Kumi-Soroti'!C28,'12.08 Kumi-Soroti'!C28,'13.08 Kumi-Soroti'!C28,'09.08 Kumi-Soroti-24h'!C28,'10.08 Kumi-Soroti-24h'!C28,'14.08 Kumi-Soroti'!C28)</f>
        <v>2.2857142857142856</v>
      </c>
      <c r="D28" s="49">
        <f>AVERAGE('08.08 Kumi-Soroti'!D28,'11.08 Kumi-Soroti'!D28,'12.08 Kumi-Soroti'!D28,'13.08 Kumi-Soroti'!D28,'09.08 Kumi-Soroti-24h'!D28,'10.08 Kumi-Soroti-24h'!D28,'14.08 Kumi-Soroti'!D28)</f>
        <v>0.5714285714285714</v>
      </c>
      <c r="E28" s="49">
        <f>AVERAGE('08.08 Kumi-Soroti'!E28,'11.08 Kumi-Soroti'!E28,'12.08 Kumi-Soroti'!E28,'13.08 Kumi-Soroti'!E28,'09.08 Kumi-Soroti-24h'!E28,'10.08 Kumi-Soroti-24h'!E28,'14.08 Kumi-Soroti'!E28)</f>
        <v>2.2857142857142856</v>
      </c>
      <c r="F28" s="49">
        <f>AVERAGE('08.08 Kumi-Soroti'!F28,'11.08 Kumi-Soroti'!F28,'12.08 Kumi-Soroti'!F28,'13.08 Kumi-Soroti'!F28,'09.08 Kumi-Soroti-24h'!F28,'10.08 Kumi-Soroti-24h'!F28,'14.08 Kumi-Soroti'!F28)</f>
        <v>2</v>
      </c>
      <c r="G28" s="49">
        <f>AVERAGE('08.08 Kumi-Soroti'!G28,'11.08 Kumi-Soroti'!G28,'12.08 Kumi-Soroti'!G28,'13.08 Kumi-Soroti'!G28,'09.08 Kumi-Soroti-24h'!G28,'10.08 Kumi-Soroti-24h'!G28,'14.08 Kumi-Soroti'!G28)</f>
        <v>0.2857142857142857</v>
      </c>
      <c r="H28" s="49">
        <f>AVERAGE('08.08 Kumi-Soroti'!H28,'11.08 Kumi-Soroti'!H28,'12.08 Kumi-Soroti'!H28,'13.08 Kumi-Soroti'!H28,'09.08 Kumi-Soroti-24h'!H28,'10.08 Kumi-Soroti-24h'!H28,'14.08 Kumi-Soroti'!H28)</f>
        <v>0.14285714285714285</v>
      </c>
      <c r="I28" s="49">
        <f>AVERAGE('08.08 Kumi-Soroti'!I28,'11.08 Kumi-Soroti'!I28,'12.08 Kumi-Soroti'!I28,'13.08 Kumi-Soroti'!I28,'09.08 Kumi-Soroti-24h'!I28,'10.08 Kumi-Soroti-24h'!I28,'14.08 Kumi-Soroti'!I28)</f>
        <v>1</v>
      </c>
      <c r="J28" s="49">
        <f>AVERAGE('08.08 Kumi-Soroti'!J28,'11.08 Kumi-Soroti'!J28,'12.08 Kumi-Soroti'!J28,'13.08 Kumi-Soroti'!J28,'09.08 Kumi-Soroti-24h'!J28,'10.08 Kumi-Soroti-24h'!J28,'14.08 Kumi-Soroti'!J28)</f>
        <v>0.7142857142857143</v>
      </c>
      <c r="K28" s="49">
        <f>AVERAGE('08.08 Kumi-Soroti'!K28,'11.08 Kumi-Soroti'!K28,'12.08 Kumi-Soroti'!K28,'13.08 Kumi-Soroti'!K28,'09.08 Kumi-Soroti-24h'!K28,'10.08 Kumi-Soroti-24h'!K28,'14.08 Kumi-Soroti'!K28)</f>
        <v>0</v>
      </c>
      <c r="L28" s="49">
        <f>AVERAGE('08.08 Kumi-Soroti'!L28,'11.08 Kumi-Soroti'!L28,'12.08 Kumi-Soroti'!L28,'13.08 Kumi-Soroti'!L28,'09.08 Kumi-Soroti-24h'!L28,'10.08 Kumi-Soroti-24h'!L28,'14.08 Kumi-Soroti'!L28)</f>
        <v>2.2857142857142856</v>
      </c>
      <c r="M28" s="49">
        <f>AVERAGE('08.08 Kumi-Soroti'!M28,'11.08 Kumi-Soroti'!M28,'12.08 Kumi-Soroti'!M28,'13.08 Kumi-Soroti'!M28,'09.08 Kumi-Soroti-24h'!M28,'10.08 Kumi-Soroti-24h'!M28,'14.08 Kumi-Soroti'!M28)</f>
        <v>6.4285714285714288</v>
      </c>
      <c r="N28" s="49">
        <f>AVERAGE('08.08 Kumi-Soroti'!N28,'11.08 Kumi-Soroti'!N28,'12.08 Kumi-Soroti'!N28,'13.08 Kumi-Soroti'!N28,'09.08 Kumi-Soroti-24h'!N28,'10.08 Kumi-Soroti-24h'!N28,'14.08 Kumi-Soroti'!N28)</f>
        <v>0</v>
      </c>
      <c r="O28" s="15">
        <f t="shared" si="0"/>
        <v>11.571428571428569</v>
      </c>
      <c r="P28" s="15">
        <f t="shared" si="1"/>
        <v>18</v>
      </c>
      <c r="R28" s="1" t="s">
        <v>152</v>
      </c>
      <c r="S28" s="34">
        <f>SUM(C82:C85)</f>
        <v>2.5</v>
      </c>
      <c r="T28" s="34">
        <f t="shared" ref="T28:AF28" si="20">SUM(D82:D85)</f>
        <v>0</v>
      </c>
      <c r="U28" s="34">
        <f t="shared" si="20"/>
        <v>0.5</v>
      </c>
      <c r="V28" s="34">
        <f t="shared" si="20"/>
        <v>1.5</v>
      </c>
      <c r="W28" s="34">
        <f t="shared" si="20"/>
        <v>0.5</v>
      </c>
      <c r="X28" s="34">
        <f t="shared" si="20"/>
        <v>0</v>
      </c>
      <c r="Y28" s="34">
        <f t="shared" si="20"/>
        <v>5</v>
      </c>
      <c r="Z28" s="34">
        <f t="shared" si="20"/>
        <v>0.5</v>
      </c>
      <c r="AA28" s="34">
        <f t="shared" si="20"/>
        <v>0.5</v>
      </c>
      <c r="AB28" s="34">
        <f t="shared" si="20"/>
        <v>9</v>
      </c>
      <c r="AC28" s="34">
        <f t="shared" si="20"/>
        <v>1</v>
      </c>
      <c r="AD28" s="34">
        <f t="shared" si="20"/>
        <v>0</v>
      </c>
      <c r="AE28" s="31">
        <f t="shared" si="20"/>
        <v>20</v>
      </c>
      <c r="AF28" s="31">
        <f t="shared" si="20"/>
        <v>21</v>
      </c>
    </row>
    <row r="29" spans="2:32" ht="23.1" customHeight="1" x14ac:dyDescent="0.25">
      <c r="B29" s="23" t="s">
        <v>56</v>
      </c>
      <c r="C29" s="49">
        <f>AVERAGE('08.08 Kumi-Soroti'!C29,'11.08 Kumi-Soroti'!C29,'12.08 Kumi-Soroti'!C29,'13.08 Kumi-Soroti'!C29,'09.08 Kumi-Soroti-24h'!C29,'10.08 Kumi-Soroti-24h'!C29,'14.08 Kumi-Soroti'!C29)</f>
        <v>1.5714285714285714</v>
      </c>
      <c r="D29" s="49">
        <f>AVERAGE('08.08 Kumi-Soroti'!D29,'11.08 Kumi-Soroti'!D29,'12.08 Kumi-Soroti'!D29,'13.08 Kumi-Soroti'!D29,'09.08 Kumi-Soroti-24h'!D29,'10.08 Kumi-Soroti-24h'!D29,'14.08 Kumi-Soroti'!D29)</f>
        <v>0.2857142857142857</v>
      </c>
      <c r="E29" s="49">
        <f>AVERAGE('08.08 Kumi-Soroti'!E29,'11.08 Kumi-Soroti'!E29,'12.08 Kumi-Soroti'!E29,'13.08 Kumi-Soroti'!E29,'09.08 Kumi-Soroti-24h'!E29,'10.08 Kumi-Soroti-24h'!E29,'14.08 Kumi-Soroti'!E29)</f>
        <v>2.2857142857142856</v>
      </c>
      <c r="F29" s="49">
        <f>AVERAGE('08.08 Kumi-Soroti'!F29,'11.08 Kumi-Soroti'!F29,'12.08 Kumi-Soroti'!F29,'13.08 Kumi-Soroti'!F29,'09.08 Kumi-Soroti-24h'!F29,'10.08 Kumi-Soroti-24h'!F29,'14.08 Kumi-Soroti'!F29)</f>
        <v>2.5714285714285716</v>
      </c>
      <c r="G29" s="49">
        <f>AVERAGE('08.08 Kumi-Soroti'!G29,'11.08 Kumi-Soroti'!G29,'12.08 Kumi-Soroti'!G29,'13.08 Kumi-Soroti'!G29,'09.08 Kumi-Soroti-24h'!G29,'10.08 Kumi-Soroti-24h'!G29,'14.08 Kumi-Soroti'!G29)</f>
        <v>0</v>
      </c>
      <c r="H29" s="49">
        <f>AVERAGE('08.08 Kumi-Soroti'!H29,'11.08 Kumi-Soroti'!H29,'12.08 Kumi-Soroti'!H29,'13.08 Kumi-Soroti'!H29,'09.08 Kumi-Soroti-24h'!H29,'10.08 Kumi-Soroti-24h'!H29,'14.08 Kumi-Soroti'!H29)</f>
        <v>0.2857142857142857</v>
      </c>
      <c r="I29" s="49">
        <f>AVERAGE('08.08 Kumi-Soroti'!I29,'11.08 Kumi-Soroti'!I29,'12.08 Kumi-Soroti'!I29,'13.08 Kumi-Soroti'!I29,'09.08 Kumi-Soroti-24h'!I29,'10.08 Kumi-Soroti-24h'!I29,'14.08 Kumi-Soroti'!I29)</f>
        <v>1.4285714285714286</v>
      </c>
      <c r="J29" s="49">
        <f>AVERAGE('08.08 Kumi-Soroti'!J29,'11.08 Kumi-Soroti'!J29,'12.08 Kumi-Soroti'!J29,'13.08 Kumi-Soroti'!J29,'09.08 Kumi-Soroti-24h'!J29,'10.08 Kumi-Soroti-24h'!J29,'14.08 Kumi-Soroti'!J29)</f>
        <v>0.2857142857142857</v>
      </c>
      <c r="K29" s="49">
        <f>AVERAGE('08.08 Kumi-Soroti'!K29,'11.08 Kumi-Soroti'!K29,'12.08 Kumi-Soroti'!K29,'13.08 Kumi-Soroti'!K29,'09.08 Kumi-Soroti-24h'!K29,'10.08 Kumi-Soroti-24h'!K29,'14.08 Kumi-Soroti'!K29)</f>
        <v>0</v>
      </c>
      <c r="L29" s="49">
        <f>AVERAGE('08.08 Kumi-Soroti'!L29,'11.08 Kumi-Soroti'!L29,'12.08 Kumi-Soroti'!L29,'13.08 Kumi-Soroti'!L29,'09.08 Kumi-Soroti-24h'!L29,'10.08 Kumi-Soroti-24h'!L29,'14.08 Kumi-Soroti'!L29)</f>
        <v>1</v>
      </c>
      <c r="M29" s="49">
        <f>AVERAGE('08.08 Kumi-Soroti'!M29,'11.08 Kumi-Soroti'!M29,'12.08 Kumi-Soroti'!M29,'13.08 Kumi-Soroti'!M29,'09.08 Kumi-Soroti-24h'!M29,'10.08 Kumi-Soroti-24h'!M29,'14.08 Kumi-Soroti'!M29)</f>
        <v>8</v>
      </c>
      <c r="N29" s="49">
        <f>AVERAGE('08.08 Kumi-Soroti'!N29,'11.08 Kumi-Soroti'!N29,'12.08 Kumi-Soroti'!N29,'13.08 Kumi-Soroti'!N29,'09.08 Kumi-Soroti-24h'!N29,'10.08 Kumi-Soroti-24h'!N29,'14.08 Kumi-Soroti'!N29)</f>
        <v>0</v>
      </c>
      <c r="O29" s="15">
        <f t="shared" si="0"/>
        <v>9.7142857142857135</v>
      </c>
      <c r="P29" s="15">
        <f t="shared" si="1"/>
        <v>17.714285714285715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3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2.5</v>
      </c>
      <c r="Z29" s="34">
        <f t="shared" si="21"/>
        <v>0</v>
      </c>
      <c r="AA29" s="34">
        <f t="shared" si="21"/>
        <v>0.5</v>
      </c>
      <c r="AB29" s="34">
        <f t="shared" si="21"/>
        <v>5.5</v>
      </c>
      <c r="AC29" s="34">
        <f t="shared" si="21"/>
        <v>0.5</v>
      </c>
      <c r="AD29" s="34">
        <f t="shared" si="21"/>
        <v>0</v>
      </c>
      <c r="AE29" s="31">
        <f t="shared" si="21"/>
        <v>12</v>
      </c>
      <c r="AF29" s="31">
        <f t="shared" si="21"/>
        <v>12.5</v>
      </c>
    </row>
    <row r="30" spans="2:32" ht="23.1" customHeight="1" x14ac:dyDescent="0.25">
      <c r="B30" s="23" t="s">
        <v>57</v>
      </c>
      <c r="C30" s="49">
        <f>AVERAGE('08.08 Kumi-Soroti'!C30,'11.08 Kumi-Soroti'!C30,'12.08 Kumi-Soroti'!C30,'13.08 Kumi-Soroti'!C30,'09.08 Kumi-Soroti-24h'!C30,'10.08 Kumi-Soroti-24h'!C30,'14.08 Kumi-Soroti'!C30)</f>
        <v>1.8571428571428572</v>
      </c>
      <c r="D30" s="49">
        <f>AVERAGE('08.08 Kumi-Soroti'!D30,'11.08 Kumi-Soroti'!D30,'12.08 Kumi-Soroti'!D30,'13.08 Kumi-Soroti'!D30,'09.08 Kumi-Soroti-24h'!D30,'10.08 Kumi-Soroti-24h'!D30,'14.08 Kumi-Soroti'!D30)</f>
        <v>0.5714285714285714</v>
      </c>
      <c r="E30" s="49">
        <f>AVERAGE('08.08 Kumi-Soroti'!E30,'11.08 Kumi-Soroti'!E30,'12.08 Kumi-Soroti'!E30,'13.08 Kumi-Soroti'!E30,'09.08 Kumi-Soroti-24h'!E30,'10.08 Kumi-Soroti-24h'!E30,'14.08 Kumi-Soroti'!E30)</f>
        <v>2.4285714285714284</v>
      </c>
      <c r="F30" s="49">
        <f>AVERAGE('08.08 Kumi-Soroti'!F30,'11.08 Kumi-Soroti'!F30,'12.08 Kumi-Soroti'!F30,'13.08 Kumi-Soroti'!F30,'09.08 Kumi-Soroti-24h'!F30,'10.08 Kumi-Soroti-24h'!F30,'14.08 Kumi-Soroti'!F30)</f>
        <v>3.5714285714285716</v>
      </c>
      <c r="G30" s="49">
        <f>AVERAGE('08.08 Kumi-Soroti'!G30,'11.08 Kumi-Soroti'!G30,'12.08 Kumi-Soroti'!G30,'13.08 Kumi-Soroti'!G30,'09.08 Kumi-Soroti-24h'!G30,'10.08 Kumi-Soroti-24h'!G30,'14.08 Kumi-Soroti'!G30)</f>
        <v>0.14285714285714285</v>
      </c>
      <c r="H30" s="49">
        <f>AVERAGE('08.08 Kumi-Soroti'!H30,'11.08 Kumi-Soroti'!H30,'12.08 Kumi-Soroti'!H30,'13.08 Kumi-Soroti'!H30,'09.08 Kumi-Soroti-24h'!H30,'10.08 Kumi-Soroti-24h'!H30,'14.08 Kumi-Soroti'!H30)</f>
        <v>0.2857142857142857</v>
      </c>
      <c r="I30" s="49">
        <f>AVERAGE('08.08 Kumi-Soroti'!I30,'11.08 Kumi-Soroti'!I30,'12.08 Kumi-Soroti'!I30,'13.08 Kumi-Soroti'!I30,'09.08 Kumi-Soroti-24h'!I30,'10.08 Kumi-Soroti-24h'!I30,'14.08 Kumi-Soroti'!I30)</f>
        <v>1.5714285714285714</v>
      </c>
      <c r="J30" s="49">
        <f>AVERAGE('08.08 Kumi-Soroti'!J30,'11.08 Kumi-Soroti'!J30,'12.08 Kumi-Soroti'!J30,'13.08 Kumi-Soroti'!J30,'09.08 Kumi-Soroti-24h'!J30,'10.08 Kumi-Soroti-24h'!J30,'14.08 Kumi-Soroti'!J30)</f>
        <v>0.42857142857142855</v>
      </c>
      <c r="K30" s="49">
        <f>AVERAGE('08.08 Kumi-Soroti'!K30,'11.08 Kumi-Soroti'!K30,'12.08 Kumi-Soroti'!K30,'13.08 Kumi-Soroti'!K30,'09.08 Kumi-Soroti-24h'!K30,'10.08 Kumi-Soroti-24h'!K30,'14.08 Kumi-Soroti'!K30)</f>
        <v>0</v>
      </c>
      <c r="L30" s="49">
        <f>AVERAGE('08.08 Kumi-Soroti'!L30,'11.08 Kumi-Soroti'!L30,'12.08 Kumi-Soroti'!L30,'13.08 Kumi-Soroti'!L30,'09.08 Kumi-Soroti-24h'!L30,'10.08 Kumi-Soroti-24h'!L30,'14.08 Kumi-Soroti'!L30)</f>
        <v>1.2857142857142858</v>
      </c>
      <c r="M30" s="49">
        <f>AVERAGE('08.08 Kumi-Soroti'!M30,'11.08 Kumi-Soroti'!M30,'12.08 Kumi-Soroti'!M30,'13.08 Kumi-Soroti'!M30,'09.08 Kumi-Soroti-24h'!M30,'10.08 Kumi-Soroti-24h'!M30,'14.08 Kumi-Soroti'!M30)</f>
        <v>9.5714285714285712</v>
      </c>
      <c r="N30" s="49">
        <f>AVERAGE('08.08 Kumi-Soroti'!N30,'11.08 Kumi-Soroti'!N30,'12.08 Kumi-Soroti'!N30,'13.08 Kumi-Soroti'!N30,'09.08 Kumi-Soroti-24h'!N30,'10.08 Kumi-Soroti-24h'!N30,'14.08 Kumi-Soroti'!N30)</f>
        <v>0</v>
      </c>
      <c r="O30" s="15">
        <f t="shared" si="0"/>
        <v>12.142857142857144</v>
      </c>
      <c r="P30" s="15">
        <f t="shared" si="1"/>
        <v>21.714285714285715</v>
      </c>
      <c r="R30" s="1" t="s">
        <v>154</v>
      </c>
      <c r="S30" s="34">
        <f>SUM(C90:C93)</f>
        <v>3.5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3.5</v>
      </c>
      <c r="Z30" s="34">
        <f t="shared" si="22"/>
        <v>0.5</v>
      </c>
      <c r="AA30" s="34">
        <f t="shared" si="22"/>
        <v>0</v>
      </c>
      <c r="AB30" s="34">
        <f t="shared" si="22"/>
        <v>6.5</v>
      </c>
      <c r="AC30" s="34">
        <f t="shared" si="22"/>
        <v>0</v>
      </c>
      <c r="AD30" s="34">
        <f t="shared" si="22"/>
        <v>0</v>
      </c>
      <c r="AE30" s="31">
        <f t="shared" si="22"/>
        <v>17</v>
      </c>
      <c r="AF30" s="31">
        <f t="shared" si="22"/>
        <v>17</v>
      </c>
    </row>
    <row r="31" spans="2:32" ht="23.1" customHeight="1" x14ac:dyDescent="0.25">
      <c r="B31" s="24" t="s">
        <v>58</v>
      </c>
      <c r="C31" s="49">
        <f>AVERAGE('08.08 Kumi-Soroti'!C31,'11.08 Kumi-Soroti'!C31,'12.08 Kumi-Soroti'!C31,'13.08 Kumi-Soroti'!C31,'09.08 Kumi-Soroti-24h'!C31,'10.08 Kumi-Soroti-24h'!C31,'14.08 Kumi-Soroti'!C31)</f>
        <v>1.1428571428571428</v>
      </c>
      <c r="D31" s="49">
        <f>AVERAGE('08.08 Kumi-Soroti'!D31,'11.08 Kumi-Soroti'!D31,'12.08 Kumi-Soroti'!D31,'13.08 Kumi-Soroti'!D31,'09.08 Kumi-Soroti-24h'!D31,'10.08 Kumi-Soroti-24h'!D31,'14.08 Kumi-Soroti'!D31)</f>
        <v>0.5714285714285714</v>
      </c>
      <c r="E31" s="49">
        <f>AVERAGE('08.08 Kumi-Soroti'!E31,'11.08 Kumi-Soroti'!E31,'12.08 Kumi-Soroti'!E31,'13.08 Kumi-Soroti'!E31,'09.08 Kumi-Soroti-24h'!E31,'10.08 Kumi-Soroti-24h'!E31,'14.08 Kumi-Soroti'!E31)</f>
        <v>2.2857142857142856</v>
      </c>
      <c r="F31" s="49">
        <f>AVERAGE('08.08 Kumi-Soroti'!F31,'11.08 Kumi-Soroti'!F31,'12.08 Kumi-Soroti'!F31,'13.08 Kumi-Soroti'!F31,'09.08 Kumi-Soroti-24h'!F31,'10.08 Kumi-Soroti-24h'!F31,'14.08 Kumi-Soroti'!F31)</f>
        <v>2.4285714285714284</v>
      </c>
      <c r="G31" s="49">
        <f>AVERAGE('08.08 Kumi-Soroti'!G31,'11.08 Kumi-Soroti'!G31,'12.08 Kumi-Soroti'!G31,'13.08 Kumi-Soroti'!G31,'09.08 Kumi-Soroti-24h'!G31,'10.08 Kumi-Soroti-24h'!G31,'14.08 Kumi-Soroti'!G31)</f>
        <v>0</v>
      </c>
      <c r="H31" s="49">
        <f>AVERAGE('08.08 Kumi-Soroti'!H31,'11.08 Kumi-Soroti'!H31,'12.08 Kumi-Soroti'!H31,'13.08 Kumi-Soroti'!H31,'09.08 Kumi-Soroti-24h'!H31,'10.08 Kumi-Soroti-24h'!H31,'14.08 Kumi-Soroti'!H31)</f>
        <v>0.14285714285714285</v>
      </c>
      <c r="I31" s="49">
        <f>AVERAGE('08.08 Kumi-Soroti'!I31,'11.08 Kumi-Soroti'!I31,'12.08 Kumi-Soroti'!I31,'13.08 Kumi-Soroti'!I31,'09.08 Kumi-Soroti-24h'!I31,'10.08 Kumi-Soroti-24h'!I31,'14.08 Kumi-Soroti'!I31)</f>
        <v>1.4285714285714286</v>
      </c>
      <c r="J31" s="49">
        <f>AVERAGE('08.08 Kumi-Soroti'!J31,'11.08 Kumi-Soroti'!J31,'12.08 Kumi-Soroti'!J31,'13.08 Kumi-Soroti'!J31,'09.08 Kumi-Soroti-24h'!J31,'10.08 Kumi-Soroti-24h'!J31,'14.08 Kumi-Soroti'!J31)</f>
        <v>0.5714285714285714</v>
      </c>
      <c r="K31" s="49">
        <f>AVERAGE('08.08 Kumi-Soroti'!K31,'11.08 Kumi-Soroti'!K31,'12.08 Kumi-Soroti'!K31,'13.08 Kumi-Soroti'!K31,'09.08 Kumi-Soroti-24h'!K31,'10.08 Kumi-Soroti-24h'!K31,'14.08 Kumi-Soroti'!K31)</f>
        <v>0.14285714285714285</v>
      </c>
      <c r="L31" s="49">
        <f>AVERAGE('08.08 Kumi-Soroti'!L31,'11.08 Kumi-Soroti'!L31,'12.08 Kumi-Soroti'!L31,'13.08 Kumi-Soroti'!L31,'09.08 Kumi-Soroti-24h'!L31,'10.08 Kumi-Soroti-24h'!L31,'14.08 Kumi-Soroti'!L31)</f>
        <v>1.4285714285714286</v>
      </c>
      <c r="M31" s="49">
        <f>AVERAGE('08.08 Kumi-Soroti'!M31,'11.08 Kumi-Soroti'!M31,'12.08 Kumi-Soroti'!M31,'13.08 Kumi-Soroti'!M31,'09.08 Kumi-Soroti-24h'!M31,'10.08 Kumi-Soroti-24h'!M31,'14.08 Kumi-Soroti'!M31)</f>
        <v>9.1428571428571423</v>
      </c>
      <c r="N31" s="49">
        <f>AVERAGE('08.08 Kumi-Soroti'!N31,'11.08 Kumi-Soroti'!N31,'12.08 Kumi-Soroti'!N31,'13.08 Kumi-Soroti'!N31,'09.08 Kumi-Soroti-24h'!N31,'10.08 Kumi-Soroti-24h'!N31,'14.08 Kumi-Soroti'!N31)</f>
        <v>0.14285714285714285</v>
      </c>
      <c r="O31" s="15">
        <f t="shared" si="0"/>
        <v>10.285714285714285</v>
      </c>
      <c r="P31" s="15">
        <f t="shared" si="1"/>
        <v>19.428571428571427</v>
      </c>
      <c r="R31" s="1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2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0.5</v>
      </c>
      <c r="AA31" s="34">
        <f t="shared" si="23"/>
        <v>0</v>
      </c>
      <c r="AB31" s="34">
        <f t="shared" si="23"/>
        <v>11.5</v>
      </c>
      <c r="AC31" s="34">
        <f t="shared" si="23"/>
        <v>0</v>
      </c>
      <c r="AD31" s="34">
        <f t="shared" si="23"/>
        <v>0</v>
      </c>
      <c r="AE31" s="31">
        <f t="shared" si="23"/>
        <v>18</v>
      </c>
      <c r="AF31" s="31">
        <f t="shared" si="23"/>
        <v>18</v>
      </c>
    </row>
    <row r="32" spans="2:32" ht="23.1" customHeight="1" x14ac:dyDescent="0.25">
      <c r="B32" s="24" t="s">
        <v>59</v>
      </c>
      <c r="C32" s="49">
        <f>AVERAGE('08.08 Kumi-Soroti'!C32,'11.08 Kumi-Soroti'!C32,'12.08 Kumi-Soroti'!C32,'13.08 Kumi-Soroti'!C32,'09.08 Kumi-Soroti-24h'!C32,'10.08 Kumi-Soroti-24h'!C32,'14.08 Kumi-Soroti'!C32)</f>
        <v>2.2857142857142856</v>
      </c>
      <c r="D32" s="49">
        <f>AVERAGE('08.08 Kumi-Soroti'!D32,'11.08 Kumi-Soroti'!D32,'12.08 Kumi-Soroti'!D32,'13.08 Kumi-Soroti'!D32,'09.08 Kumi-Soroti-24h'!D32,'10.08 Kumi-Soroti-24h'!D32,'14.08 Kumi-Soroti'!D32)</f>
        <v>0.42857142857142855</v>
      </c>
      <c r="E32" s="49">
        <f>AVERAGE('08.08 Kumi-Soroti'!E32,'11.08 Kumi-Soroti'!E32,'12.08 Kumi-Soroti'!E32,'13.08 Kumi-Soroti'!E32,'09.08 Kumi-Soroti-24h'!E32,'10.08 Kumi-Soroti-24h'!E32,'14.08 Kumi-Soroti'!E32)</f>
        <v>2.5714285714285716</v>
      </c>
      <c r="F32" s="49">
        <f>AVERAGE('08.08 Kumi-Soroti'!F32,'11.08 Kumi-Soroti'!F32,'12.08 Kumi-Soroti'!F32,'13.08 Kumi-Soroti'!F32,'09.08 Kumi-Soroti-24h'!F32,'10.08 Kumi-Soroti-24h'!F32,'14.08 Kumi-Soroti'!F32)</f>
        <v>2.4285714285714284</v>
      </c>
      <c r="G32" s="49">
        <f>AVERAGE('08.08 Kumi-Soroti'!G32,'11.08 Kumi-Soroti'!G32,'12.08 Kumi-Soroti'!G32,'13.08 Kumi-Soroti'!G32,'09.08 Kumi-Soroti-24h'!G32,'10.08 Kumi-Soroti-24h'!G32,'14.08 Kumi-Soroti'!G32)</f>
        <v>0</v>
      </c>
      <c r="H32" s="49">
        <f>AVERAGE('08.08 Kumi-Soroti'!H32,'11.08 Kumi-Soroti'!H32,'12.08 Kumi-Soroti'!H32,'13.08 Kumi-Soroti'!H32,'09.08 Kumi-Soroti-24h'!H32,'10.08 Kumi-Soroti-24h'!H32,'14.08 Kumi-Soroti'!H32)</f>
        <v>0.2857142857142857</v>
      </c>
      <c r="I32" s="49">
        <f>AVERAGE('08.08 Kumi-Soroti'!I32,'11.08 Kumi-Soroti'!I32,'12.08 Kumi-Soroti'!I32,'13.08 Kumi-Soroti'!I32,'09.08 Kumi-Soroti-24h'!I32,'10.08 Kumi-Soroti-24h'!I32,'14.08 Kumi-Soroti'!I32)</f>
        <v>1</v>
      </c>
      <c r="J32" s="49">
        <f>AVERAGE('08.08 Kumi-Soroti'!J32,'11.08 Kumi-Soroti'!J32,'12.08 Kumi-Soroti'!J32,'13.08 Kumi-Soroti'!J32,'09.08 Kumi-Soroti-24h'!J32,'10.08 Kumi-Soroti-24h'!J32,'14.08 Kumi-Soroti'!J32)</f>
        <v>0.7142857142857143</v>
      </c>
      <c r="K32" s="49">
        <f>AVERAGE('08.08 Kumi-Soroti'!K32,'11.08 Kumi-Soroti'!K32,'12.08 Kumi-Soroti'!K32,'13.08 Kumi-Soroti'!K32,'09.08 Kumi-Soroti-24h'!K32,'10.08 Kumi-Soroti-24h'!K32,'14.08 Kumi-Soroti'!K32)</f>
        <v>0</v>
      </c>
      <c r="L32" s="49">
        <f>AVERAGE('08.08 Kumi-Soroti'!L32,'11.08 Kumi-Soroti'!L32,'12.08 Kumi-Soroti'!L32,'13.08 Kumi-Soroti'!L32,'09.08 Kumi-Soroti-24h'!L32,'10.08 Kumi-Soroti-24h'!L32,'14.08 Kumi-Soroti'!L32)</f>
        <v>1.1428571428571428</v>
      </c>
      <c r="M32" s="49">
        <f>AVERAGE('08.08 Kumi-Soroti'!M32,'11.08 Kumi-Soroti'!M32,'12.08 Kumi-Soroti'!M32,'13.08 Kumi-Soroti'!M32,'09.08 Kumi-Soroti-24h'!M32,'10.08 Kumi-Soroti-24h'!M32,'14.08 Kumi-Soroti'!M32)</f>
        <v>8.5714285714285712</v>
      </c>
      <c r="N32" s="49">
        <f>AVERAGE('08.08 Kumi-Soroti'!N32,'11.08 Kumi-Soroti'!N32,'12.08 Kumi-Soroti'!N32,'13.08 Kumi-Soroti'!N32,'09.08 Kumi-Soroti-24h'!N32,'10.08 Kumi-Soroti-24h'!N32,'14.08 Kumi-Soroti'!N32)</f>
        <v>0</v>
      </c>
      <c r="O32" s="15">
        <f t="shared" si="0"/>
        <v>10.857142857142856</v>
      </c>
      <c r="P32" s="15">
        <f t="shared" si="1"/>
        <v>19.428571428571427</v>
      </c>
      <c r="R32" s="1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1.5</v>
      </c>
      <c r="V32" s="34">
        <f t="shared" si="24"/>
        <v>1</v>
      </c>
      <c r="W32" s="34">
        <f t="shared" si="24"/>
        <v>0</v>
      </c>
      <c r="X32" s="34">
        <f t="shared" si="24"/>
        <v>2</v>
      </c>
      <c r="Y32" s="34">
        <f t="shared" si="24"/>
        <v>2</v>
      </c>
      <c r="Z32" s="34">
        <f t="shared" si="24"/>
        <v>0.5</v>
      </c>
      <c r="AA32" s="34">
        <f t="shared" si="24"/>
        <v>0.5</v>
      </c>
      <c r="AB32" s="34">
        <f t="shared" si="24"/>
        <v>6</v>
      </c>
      <c r="AC32" s="34">
        <f t="shared" si="24"/>
        <v>1.5</v>
      </c>
      <c r="AD32" s="34">
        <f t="shared" si="24"/>
        <v>0</v>
      </c>
      <c r="AE32" s="31">
        <f t="shared" si="24"/>
        <v>15.5</v>
      </c>
      <c r="AF32" s="31">
        <f t="shared" si="24"/>
        <v>17</v>
      </c>
    </row>
    <row r="33" spans="2:32" ht="23.1" customHeight="1" x14ac:dyDescent="0.25">
      <c r="B33" s="23" t="s">
        <v>60</v>
      </c>
      <c r="C33" s="49">
        <f>AVERAGE('08.08 Kumi-Soroti'!C33,'11.08 Kumi-Soroti'!C33,'12.08 Kumi-Soroti'!C33,'13.08 Kumi-Soroti'!C33,'09.08 Kumi-Soroti-24h'!C33,'10.08 Kumi-Soroti-24h'!C33,'14.08 Kumi-Soroti'!C33)</f>
        <v>2.1428571428571428</v>
      </c>
      <c r="D33" s="49">
        <f>AVERAGE('08.08 Kumi-Soroti'!D33,'11.08 Kumi-Soroti'!D33,'12.08 Kumi-Soroti'!D33,'13.08 Kumi-Soroti'!D33,'09.08 Kumi-Soroti-24h'!D33,'10.08 Kumi-Soroti-24h'!D33,'14.08 Kumi-Soroti'!D33)</f>
        <v>0.42857142857142855</v>
      </c>
      <c r="E33" s="49">
        <f>AVERAGE('08.08 Kumi-Soroti'!E33,'11.08 Kumi-Soroti'!E33,'12.08 Kumi-Soroti'!E33,'13.08 Kumi-Soroti'!E33,'09.08 Kumi-Soroti-24h'!E33,'10.08 Kumi-Soroti-24h'!E33,'14.08 Kumi-Soroti'!E33)</f>
        <v>2.1428571428571428</v>
      </c>
      <c r="F33" s="49">
        <f>AVERAGE('08.08 Kumi-Soroti'!F33,'11.08 Kumi-Soroti'!F33,'12.08 Kumi-Soroti'!F33,'13.08 Kumi-Soroti'!F33,'09.08 Kumi-Soroti-24h'!F33,'10.08 Kumi-Soroti-24h'!F33,'14.08 Kumi-Soroti'!F33)</f>
        <v>3.4285714285714284</v>
      </c>
      <c r="G33" s="49">
        <f>AVERAGE('08.08 Kumi-Soroti'!G33,'11.08 Kumi-Soroti'!G33,'12.08 Kumi-Soroti'!G33,'13.08 Kumi-Soroti'!G33,'09.08 Kumi-Soroti-24h'!G33,'10.08 Kumi-Soroti-24h'!G33,'14.08 Kumi-Soroti'!G33)</f>
        <v>0</v>
      </c>
      <c r="H33" s="49">
        <f>AVERAGE('08.08 Kumi-Soroti'!H33,'11.08 Kumi-Soroti'!H33,'12.08 Kumi-Soroti'!H33,'13.08 Kumi-Soroti'!H33,'09.08 Kumi-Soroti-24h'!H33,'10.08 Kumi-Soroti-24h'!H33,'14.08 Kumi-Soroti'!H33)</f>
        <v>0.5714285714285714</v>
      </c>
      <c r="I33" s="49">
        <f>AVERAGE('08.08 Kumi-Soroti'!I33,'11.08 Kumi-Soroti'!I33,'12.08 Kumi-Soroti'!I33,'13.08 Kumi-Soroti'!I33,'09.08 Kumi-Soroti-24h'!I33,'10.08 Kumi-Soroti-24h'!I33,'14.08 Kumi-Soroti'!I33)</f>
        <v>1</v>
      </c>
      <c r="J33" s="49">
        <f>AVERAGE('08.08 Kumi-Soroti'!J33,'11.08 Kumi-Soroti'!J33,'12.08 Kumi-Soroti'!J33,'13.08 Kumi-Soroti'!J33,'09.08 Kumi-Soroti-24h'!J33,'10.08 Kumi-Soroti-24h'!J33,'14.08 Kumi-Soroti'!J33)</f>
        <v>0</v>
      </c>
      <c r="K33" s="49">
        <f>AVERAGE('08.08 Kumi-Soroti'!K33,'11.08 Kumi-Soroti'!K33,'12.08 Kumi-Soroti'!K33,'13.08 Kumi-Soroti'!K33,'09.08 Kumi-Soroti-24h'!K33,'10.08 Kumi-Soroti-24h'!K33,'14.08 Kumi-Soroti'!K33)</f>
        <v>0.2857142857142857</v>
      </c>
      <c r="L33" s="49">
        <f>AVERAGE('08.08 Kumi-Soroti'!L33,'11.08 Kumi-Soroti'!L33,'12.08 Kumi-Soroti'!L33,'13.08 Kumi-Soroti'!L33,'09.08 Kumi-Soroti-24h'!L33,'10.08 Kumi-Soroti-24h'!L33,'14.08 Kumi-Soroti'!L33)</f>
        <v>2.4285714285714284</v>
      </c>
      <c r="M33" s="49">
        <f>AVERAGE('08.08 Kumi-Soroti'!M33,'11.08 Kumi-Soroti'!M33,'12.08 Kumi-Soroti'!M33,'13.08 Kumi-Soroti'!M33,'09.08 Kumi-Soroti-24h'!M33,'10.08 Kumi-Soroti-24h'!M33,'14.08 Kumi-Soroti'!M33)</f>
        <v>7</v>
      </c>
      <c r="N33" s="49">
        <f>AVERAGE('08.08 Kumi-Soroti'!N33,'11.08 Kumi-Soroti'!N33,'12.08 Kumi-Soroti'!N33,'13.08 Kumi-Soroti'!N33,'09.08 Kumi-Soroti-24h'!N33,'10.08 Kumi-Soroti-24h'!N33,'14.08 Kumi-Soroti'!N33)</f>
        <v>0</v>
      </c>
      <c r="O33" s="15">
        <f t="shared" si="0"/>
        <v>12.428571428571429</v>
      </c>
      <c r="P33" s="15">
        <f t="shared" si="1"/>
        <v>19.428571428571431</v>
      </c>
      <c r="R33" s="1" t="s">
        <v>157</v>
      </c>
      <c r="S33" s="34">
        <f>SUM(C102:C105)</f>
        <v>5</v>
      </c>
      <c r="T33" s="34">
        <f t="shared" ref="T33:AF33" si="25">SUM(D102:D105)</f>
        <v>0.5</v>
      </c>
      <c r="U33" s="34">
        <f t="shared" si="25"/>
        <v>3.5</v>
      </c>
      <c r="V33" s="34">
        <f t="shared" si="25"/>
        <v>2.5</v>
      </c>
      <c r="W33" s="34">
        <f t="shared" si="25"/>
        <v>0.5</v>
      </c>
      <c r="X33" s="34">
        <f t="shared" si="25"/>
        <v>1.5</v>
      </c>
      <c r="Y33" s="34">
        <f t="shared" si="25"/>
        <v>5</v>
      </c>
      <c r="Z33" s="34">
        <f t="shared" si="25"/>
        <v>0.5</v>
      </c>
      <c r="AA33" s="34">
        <f t="shared" si="25"/>
        <v>0</v>
      </c>
      <c r="AB33" s="34">
        <f t="shared" si="25"/>
        <v>8.5</v>
      </c>
      <c r="AC33" s="34">
        <f t="shared" si="25"/>
        <v>2.5</v>
      </c>
      <c r="AD33" s="34">
        <f t="shared" si="25"/>
        <v>0</v>
      </c>
      <c r="AE33" s="31">
        <f t="shared" si="25"/>
        <v>27.5</v>
      </c>
      <c r="AF33" s="31">
        <f t="shared" si="25"/>
        <v>30</v>
      </c>
    </row>
    <row r="34" spans="2:32" ht="23.1" customHeight="1" x14ac:dyDescent="0.25">
      <c r="B34" s="24" t="s">
        <v>61</v>
      </c>
      <c r="C34" s="49">
        <f>AVERAGE('08.08 Kumi-Soroti'!C34,'11.08 Kumi-Soroti'!C34,'12.08 Kumi-Soroti'!C34,'13.08 Kumi-Soroti'!C34,'09.08 Kumi-Soroti-24h'!C34,'10.08 Kumi-Soroti-24h'!C34,'14.08 Kumi-Soroti'!C34)</f>
        <v>1.8571428571428572</v>
      </c>
      <c r="D34" s="49">
        <f>AVERAGE('08.08 Kumi-Soroti'!D34,'11.08 Kumi-Soroti'!D34,'12.08 Kumi-Soroti'!D34,'13.08 Kumi-Soroti'!D34,'09.08 Kumi-Soroti-24h'!D34,'10.08 Kumi-Soroti-24h'!D34,'14.08 Kumi-Soroti'!D34)</f>
        <v>0.7142857142857143</v>
      </c>
      <c r="E34" s="49">
        <f>AVERAGE('08.08 Kumi-Soroti'!E34,'11.08 Kumi-Soroti'!E34,'12.08 Kumi-Soroti'!E34,'13.08 Kumi-Soroti'!E34,'09.08 Kumi-Soroti-24h'!E34,'10.08 Kumi-Soroti-24h'!E34,'14.08 Kumi-Soroti'!E34)</f>
        <v>2.2857142857142856</v>
      </c>
      <c r="F34" s="49">
        <f>AVERAGE('08.08 Kumi-Soroti'!F34,'11.08 Kumi-Soroti'!F34,'12.08 Kumi-Soroti'!F34,'13.08 Kumi-Soroti'!F34,'09.08 Kumi-Soroti-24h'!F34,'10.08 Kumi-Soroti-24h'!F34,'14.08 Kumi-Soroti'!F34)</f>
        <v>2.8571428571428572</v>
      </c>
      <c r="G34" s="49">
        <f>AVERAGE('08.08 Kumi-Soroti'!G34,'11.08 Kumi-Soroti'!G34,'12.08 Kumi-Soroti'!G34,'13.08 Kumi-Soroti'!G34,'09.08 Kumi-Soroti-24h'!G34,'10.08 Kumi-Soroti-24h'!G34,'14.08 Kumi-Soroti'!G34)</f>
        <v>0</v>
      </c>
      <c r="H34" s="49">
        <f>AVERAGE('08.08 Kumi-Soroti'!H34,'11.08 Kumi-Soroti'!H34,'12.08 Kumi-Soroti'!H34,'13.08 Kumi-Soroti'!H34,'09.08 Kumi-Soroti-24h'!H34,'10.08 Kumi-Soroti-24h'!H34,'14.08 Kumi-Soroti'!H34)</f>
        <v>0</v>
      </c>
      <c r="I34" s="49">
        <f>AVERAGE('08.08 Kumi-Soroti'!I34,'11.08 Kumi-Soroti'!I34,'12.08 Kumi-Soroti'!I34,'13.08 Kumi-Soroti'!I34,'09.08 Kumi-Soroti-24h'!I34,'10.08 Kumi-Soroti-24h'!I34,'14.08 Kumi-Soroti'!I34)</f>
        <v>2.8571428571428572</v>
      </c>
      <c r="J34" s="49">
        <f>AVERAGE('08.08 Kumi-Soroti'!J34,'11.08 Kumi-Soroti'!J34,'12.08 Kumi-Soroti'!J34,'13.08 Kumi-Soroti'!J34,'09.08 Kumi-Soroti-24h'!J34,'10.08 Kumi-Soroti-24h'!J34,'14.08 Kumi-Soroti'!J34)</f>
        <v>0.14285714285714285</v>
      </c>
      <c r="K34" s="49">
        <f>AVERAGE('08.08 Kumi-Soroti'!K34,'11.08 Kumi-Soroti'!K34,'12.08 Kumi-Soroti'!K34,'13.08 Kumi-Soroti'!K34,'09.08 Kumi-Soroti-24h'!K34,'10.08 Kumi-Soroti-24h'!K34,'14.08 Kumi-Soroti'!K34)</f>
        <v>0.14285714285714285</v>
      </c>
      <c r="L34" s="49">
        <f>AVERAGE('08.08 Kumi-Soroti'!L34,'11.08 Kumi-Soroti'!L34,'12.08 Kumi-Soroti'!L34,'13.08 Kumi-Soroti'!L34,'09.08 Kumi-Soroti-24h'!L34,'10.08 Kumi-Soroti-24h'!L34,'14.08 Kumi-Soroti'!L34)</f>
        <v>3.7142857142857144</v>
      </c>
      <c r="M34" s="49">
        <f>AVERAGE('08.08 Kumi-Soroti'!M34,'11.08 Kumi-Soroti'!M34,'12.08 Kumi-Soroti'!M34,'13.08 Kumi-Soroti'!M34,'09.08 Kumi-Soroti-24h'!M34,'10.08 Kumi-Soroti-24h'!M34,'14.08 Kumi-Soroti'!M34)</f>
        <v>8.4285714285714288</v>
      </c>
      <c r="N34" s="49">
        <f>AVERAGE('08.08 Kumi-Soroti'!N34,'11.08 Kumi-Soroti'!N34,'12.08 Kumi-Soroti'!N34,'13.08 Kumi-Soroti'!N34,'09.08 Kumi-Soroti-24h'!N34,'10.08 Kumi-Soroti-24h'!N34,'14.08 Kumi-Soroti'!N34)</f>
        <v>0</v>
      </c>
      <c r="O34" s="15">
        <f t="shared" si="0"/>
        <v>14.571428571428573</v>
      </c>
      <c r="P34" s="15">
        <f t="shared" si="1"/>
        <v>23</v>
      </c>
      <c r="R34" s="51" t="s">
        <v>90</v>
      </c>
      <c r="S34" s="52">
        <f t="shared" ref="S34:AF34" si="26">MAX(S10:S12)</f>
        <v>4.2857142857142856</v>
      </c>
      <c r="T34" s="52">
        <f t="shared" si="26"/>
        <v>2</v>
      </c>
      <c r="U34" s="52">
        <f t="shared" si="26"/>
        <v>8</v>
      </c>
      <c r="V34" s="52">
        <f t="shared" si="26"/>
        <v>8.7142857142857135</v>
      </c>
      <c r="W34" s="52">
        <f t="shared" si="26"/>
        <v>0.5714285714285714</v>
      </c>
      <c r="X34" s="52">
        <f t="shared" si="26"/>
        <v>1.7142857142857144</v>
      </c>
      <c r="Y34" s="52">
        <f t="shared" si="26"/>
        <v>4.9999999999999991</v>
      </c>
      <c r="Z34" s="52">
        <f t="shared" si="26"/>
        <v>1.5714285714285714</v>
      </c>
      <c r="AA34" s="52">
        <f t="shared" si="26"/>
        <v>0.2857142857142857</v>
      </c>
      <c r="AB34" s="52">
        <f t="shared" si="26"/>
        <v>6.1428571428571432</v>
      </c>
      <c r="AC34" s="52">
        <f t="shared" si="26"/>
        <v>30.571428571428569</v>
      </c>
      <c r="AD34" s="52">
        <f t="shared" si="26"/>
        <v>0</v>
      </c>
      <c r="AE34" s="40">
        <f t="shared" si="26"/>
        <v>37.142857142857139</v>
      </c>
      <c r="AF34" s="40">
        <f t="shared" si="26"/>
        <v>67.714285714285722</v>
      </c>
    </row>
    <row r="35" spans="2:32" ht="23.1" customHeight="1" x14ac:dyDescent="0.25">
      <c r="B35" s="24" t="s">
        <v>62</v>
      </c>
      <c r="C35" s="49">
        <f>AVERAGE('08.08 Kumi-Soroti'!C35,'11.08 Kumi-Soroti'!C35,'12.08 Kumi-Soroti'!C35,'13.08 Kumi-Soroti'!C35,'09.08 Kumi-Soroti-24h'!C35,'10.08 Kumi-Soroti-24h'!C35,'14.08 Kumi-Soroti'!C35)</f>
        <v>1.2857142857142858</v>
      </c>
      <c r="D35" s="49">
        <f>AVERAGE('08.08 Kumi-Soroti'!D35,'11.08 Kumi-Soroti'!D35,'12.08 Kumi-Soroti'!D35,'13.08 Kumi-Soroti'!D35,'09.08 Kumi-Soroti-24h'!D35,'10.08 Kumi-Soroti-24h'!D35,'14.08 Kumi-Soroti'!D35)</f>
        <v>0.7142857142857143</v>
      </c>
      <c r="E35" s="49">
        <f>AVERAGE('08.08 Kumi-Soroti'!E35,'11.08 Kumi-Soroti'!E35,'12.08 Kumi-Soroti'!E35,'13.08 Kumi-Soroti'!E35,'09.08 Kumi-Soroti-24h'!E35,'10.08 Kumi-Soroti-24h'!E35,'14.08 Kumi-Soroti'!E35)</f>
        <v>3</v>
      </c>
      <c r="F35" s="49">
        <f>AVERAGE('08.08 Kumi-Soroti'!F35,'11.08 Kumi-Soroti'!F35,'12.08 Kumi-Soroti'!F35,'13.08 Kumi-Soroti'!F35,'09.08 Kumi-Soroti-24h'!F35,'10.08 Kumi-Soroti-24h'!F35,'14.08 Kumi-Soroti'!F35)</f>
        <v>3</v>
      </c>
      <c r="G35" s="49">
        <f>AVERAGE('08.08 Kumi-Soroti'!G35,'11.08 Kumi-Soroti'!G35,'12.08 Kumi-Soroti'!G35,'13.08 Kumi-Soroti'!G35,'09.08 Kumi-Soroti-24h'!G35,'10.08 Kumi-Soroti-24h'!G35,'14.08 Kumi-Soroti'!G35)</f>
        <v>0</v>
      </c>
      <c r="H35" s="49">
        <f>AVERAGE('08.08 Kumi-Soroti'!H35,'11.08 Kumi-Soroti'!H35,'12.08 Kumi-Soroti'!H35,'13.08 Kumi-Soroti'!H35,'09.08 Kumi-Soroti-24h'!H35,'10.08 Kumi-Soroti-24h'!H35,'14.08 Kumi-Soroti'!H35)</f>
        <v>0.14285714285714285</v>
      </c>
      <c r="I35" s="49">
        <f>AVERAGE('08.08 Kumi-Soroti'!I35,'11.08 Kumi-Soroti'!I35,'12.08 Kumi-Soroti'!I35,'13.08 Kumi-Soroti'!I35,'09.08 Kumi-Soroti-24h'!I35,'10.08 Kumi-Soroti-24h'!I35,'14.08 Kumi-Soroti'!I35)</f>
        <v>1.5714285714285714</v>
      </c>
      <c r="J35" s="49">
        <f>AVERAGE('08.08 Kumi-Soroti'!J35,'11.08 Kumi-Soroti'!J35,'12.08 Kumi-Soroti'!J35,'13.08 Kumi-Soroti'!J35,'09.08 Kumi-Soroti-24h'!J35,'10.08 Kumi-Soroti-24h'!J35,'14.08 Kumi-Soroti'!J35)</f>
        <v>0.14285714285714285</v>
      </c>
      <c r="K35" s="49">
        <f>AVERAGE('08.08 Kumi-Soroti'!K35,'11.08 Kumi-Soroti'!K35,'12.08 Kumi-Soroti'!K35,'13.08 Kumi-Soroti'!K35,'09.08 Kumi-Soroti-24h'!K35,'10.08 Kumi-Soroti-24h'!K35,'14.08 Kumi-Soroti'!K35)</f>
        <v>0</v>
      </c>
      <c r="L35" s="49">
        <f>AVERAGE('08.08 Kumi-Soroti'!L35,'11.08 Kumi-Soroti'!L35,'12.08 Kumi-Soroti'!L35,'13.08 Kumi-Soroti'!L35,'09.08 Kumi-Soroti-24h'!L35,'10.08 Kumi-Soroti-24h'!L35,'14.08 Kumi-Soroti'!L35)</f>
        <v>0.8571428571428571</v>
      </c>
      <c r="M35" s="49">
        <f>AVERAGE('08.08 Kumi-Soroti'!M35,'11.08 Kumi-Soroti'!M35,'12.08 Kumi-Soroti'!M35,'13.08 Kumi-Soroti'!M35,'09.08 Kumi-Soroti-24h'!M35,'10.08 Kumi-Soroti-24h'!M35,'14.08 Kumi-Soroti'!M35)</f>
        <v>11</v>
      </c>
      <c r="N35" s="49">
        <f>AVERAGE('08.08 Kumi-Soroti'!N35,'11.08 Kumi-Soroti'!N35,'12.08 Kumi-Soroti'!N35,'13.08 Kumi-Soroti'!N35,'09.08 Kumi-Soroti-24h'!N35,'10.08 Kumi-Soroti-24h'!N35,'14.08 Kumi-Soroti'!N35)</f>
        <v>0</v>
      </c>
      <c r="O35" s="15">
        <f t="shared" si="0"/>
        <v>10.714285714285714</v>
      </c>
      <c r="P35" s="15">
        <f t="shared" si="1"/>
        <v>21.714285714285715</v>
      </c>
      <c r="R35" s="51" t="s">
        <v>91</v>
      </c>
      <c r="S35" s="52">
        <f t="shared" ref="S35:AF35" si="27">MAX(S13:S18)</f>
        <v>7.4285714285714288</v>
      </c>
      <c r="T35" s="52">
        <f t="shared" si="27"/>
        <v>5</v>
      </c>
      <c r="U35" s="52">
        <f t="shared" si="27"/>
        <v>13</v>
      </c>
      <c r="V35" s="52">
        <f t="shared" si="27"/>
        <v>11.857142857142858</v>
      </c>
      <c r="W35" s="52">
        <f t="shared" si="27"/>
        <v>0.42857142857142855</v>
      </c>
      <c r="X35" s="52">
        <f t="shared" si="27"/>
        <v>2.8571428571428572</v>
      </c>
      <c r="Y35" s="52">
        <f t="shared" si="27"/>
        <v>7.1428571428571432</v>
      </c>
      <c r="Z35" s="52">
        <f t="shared" si="27"/>
        <v>1.7142857142857144</v>
      </c>
      <c r="AA35" s="52">
        <f t="shared" si="27"/>
        <v>0.71428571428571419</v>
      </c>
      <c r="AB35" s="52">
        <f t="shared" si="27"/>
        <v>9.7142857142857135</v>
      </c>
      <c r="AC35" s="52">
        <f t="shared" si="27"/>
        <v>34.285714285714285</v>
      </c>
      <c r="AD35" s="52">
        <f t="shared" si="27"/>
        <v>0.14285714285714285</v>
      </c>
      <c r="AE35" s="40">
        <f t="shared" si="27"/>
        <v>52.714285714285715</v>
      </c>
      <c r="AF35" s="40">
        <f t="shared" si="27"/>
        <v>86.571428571428584</v>
      </c>
    </row>
    <row r="36" spans="2:32" ht="23.1" customHeight="1" x14ac:dyDescent="0.25">
      <c r="B36" s="24" t="s">
        <v>63</v>
      </c>
      <c r="C36" s="49">
        <f>AVERAGE('08.08 Kumi-Soroti'!C36,'11.08 Kumi-Soroti'!C36,'12.08 Kumi-Soroti'!C36,'13.08 Kumi-Soroti'!C36,'09.08 Kumi-Soroti-24h'!C36,'10.08 Kumi-Soroti-24h'!C36,'14.08 Kumi-Soroti'!C36)</f>
        <v>2</v>
      </c>
      <c r="D36" s="49">
        <f>AVERAGE('08.08 Kumi-Soroti'!D36,'11.08 Kumi-Soroti'!D36,'12.08 Kumi-Soroti'!D36,'13.08 Kumi-Soroti'!D36,'09.08 Kumi-Soroti-24h'!D36,'10.08 Kumi-Soroti-24h'!D36,'14.08 Kumi-Soroti'!D36)</f>
        <v>1.4285714285714286</v>
      </c>
      <c r="E36" s="49">
        <f>AVERAGE('08.08 Kumi-Soroti'!E36,'11.08 Kumi-Soroti'!E36,'12.08 Kumi-Soroti'!E36,'13.08 Kumi-Soroti'!E36,'09.08 Kumi-Soroti-24h'!E36,'10.08 Kumi-Soroti-24h'!E36,'14.08 Kumi-Soroti'!E36)</f>
        <v>4</v>
      </c>
      <c r="F36" s="49">
        <f>AVERAGE('08.08 Kumi-Soroti'!F36,'11.08 Kumi-Soroti'!F36,'12.08 Kumi-Soroti'!F36,'13.08 Kumi-Soroti'!F36,'09.08 Kumi-Soroti-24h'!F36,'10.08 Kumi-Soroti-24h'!F36,'14.08 Kumi-Soroti'!F36)</f>
        <v>2.5714285714285716</v>
      </c>
      <c r="G36" s="49">
        <f>AVERAGE('08.08 Kumi-Soroti'!G36,'11.08 Kumi-Soroti'!G36,'12.08 Kumi-Soroti'!G36,'13.08 Kumi-Soroti'!G36,'09.08 Kumi-Soroti-24h'!G36,'10.08 Kumi-Soroti-24h'!G36,'14.08 Kumi-Soroti'!G36)</f>
        <v>0.14285714285714285</v>
      </c>
      <c r="H36" s="49">
        <f>AVERAGE('08.08 Kumi-Soroti'!H36,'11.08 Kumi-Soroti'!H36,'12.08 Kumi-Soroti'!H36,'13.08 Kumi-Soroti'!H36,'09.08 Kumi-Soroti-24h'!H36,'10.08 Kumi-Soroti-24h'!H36,'14.08 Kumi-Soroti'!H36)</f>
        <v>0.14285714285714285</v>
      </c>
      <c r="I36" s="49">
        <f>AVERAGE('08.08 Kumi-Soroti'!I36,'11.08 Kumi-Soroti'!I36,'12.08 Kumi-Soroti'!I36,'13.08 Kumi-Soroti'!I36,'09.08 Kumi-Soroti-24h'!I36,'10.08 Kumi-Soroti-24h'!I36,'14.08 Kumi-Soroti'!I36)</f>
        <v>1.2857142857142858</v>
      </c>
      <c r="J36" s="49">
        <f>AVERAGE('08.08 Kumi-Soroti'!J36,'11.08 Kumi-Soroti'!J36,'12.08 Kumi-Soroti'!J36,'13.08 Kumi-Soroti'!J36,'09.08 Kumi-Soroti-24h'!J36,'10.08 Kumi-Soroti-24h'!J36,'14.08 Kumi-Soroti'!J36)</f>
        <v>0.8571428571428571</v>
      </c>
      <c r="K36" s="49">
        <f>AVERAGE('08.08 Kumi-Soroti'!K36,'11.08 Kumi-Soroti'!K36,'12.08 Kumi-Soroti'!K36,'13.08 Kumi-Soroti'!K36,'09.08 Kumi-Soroti-24h'!K36,'10.08 Kumi-Soroti-24h'!K36,'14.08 Kumi-Soroti'!K36)</f>
        <v>0</v>
      </c>
      <c r="L36" s="49">
        <f>AVERAGE('08.08 Kumi-Soroti'!L36,'11.08 Kumi-Soroti'!L36,'12.08 Kumi-Soroti'!L36,'13.08 Kumi-Soroti'!L36,'09.08 Kumi-Soroti-24h'!L36,'10.08 Kumi-Soroti-24h'!L36,'14.08 Kumi-Soroti'!L36)</f>
        <v>2</v>
      </c>
      <c r="M36" s="49">
        <f>AVERAGE('08.08 Kumi-Soroti'!M36,'11.08 Kumi-Soroti'!M36,'12.08 Kumi-Soroti'!M36,'13.08 Kumi-Soroti'!M36,'09.08 Kumi-Soroti-24h'!M36,'10.08 Kumi-Soroti-24h'!M36,'14.08 Kumi-Soroti'!M36)</f>
        <v>8.5714285714285712</v>
      </c>
      <c r="N36" s="49">
        <f>AVERAGE('08.08 Kumi-Soroti'!N36,'11.08 Kumi-Soroti'!N36,'12.08 Kumi-Soroti'!N36,'13.08 Kumi-Soroti'!N36,'09.08 Kumi-Soroti-24h'!N36,'10.08 Kumi-Soroti-24h'!N36,'14.08 Kumi-Soroti'!N36)</f>
        <v>0</v>
      </c>
      <c r="O36" s="15">
        <f t="shared" si="0"/>
        <v>14.428571428571429</v>
      </c>
      <c r="P36" s="15">
        <f t="shared" si="1"/>
        <v>23</v>
      </c>
      <c r="R36" s="51" t="s">
        <v>92</v>
      </c>
      <c r="S36" s="52">
        <f t="shared" ref="S36:AF36" si="28">MAX(S19:S21)</f>
        <v>6.8571428571428577</v>
      </c>
      <c r="T36" s="52">
        <f t="shared" si="28"/>
        <v>4.1428571428571432</v>
      </c>
      <c r="U36" s="52">
        <f t="shared" si="28"/>
        <v>12.571428571428571</v>
      </c>
      <c r="V36" s="52">
        <f t="shared" si="28"/>
        <v>12.285714285714285</v>
      </c>
      <c r="W36" s="52">
        <f t="shared" si="28"/>
        <v>0.71428571428571419</v>
      </c>
      <c r="X36" s="52">
        <f t="shared" si="28"/>
        <v>1.5714285714285714</v>
      </c>
      <c r="Y36" s="52">
        <f t="shared" si="28"/>
        <v>8.2857142857142865</v>
      </c>
      <c r="Z36" s="52">
        <f t="shared" si="28"/>
        <v>1.714285714285714</v>
      </c>
      <c r="AA36" s="52">
        <f t="shared" si="28"/>
        <v>1.1428571428571428</v>
      </c>
      <c r="AB36" s="52">
        <f t="shared" si="28"/>
        <v>9.5714285714285712</v>
      </c>
      <c r="AC36" s="52">
        <f t="shared" si="28"/>
        <v>39.857142857142854</v>
      </c>
      <c r="AD36" s="52">
        <f t="shared" si="28"/>
        <v>0</v>
      </c>
      <c r="AE36" s="40">
        <f t="shared" si="28"/>
        <v>54.714285714285715</v>
      </c>
      <c r="AF36" s="40">
        <f t="shared" si="28"/>
        <v>94.571428571428569</v>
      </c>
    </row>
    <row r="37" spans="2:32" ht="23.1" customHeight="1" x14ac:dyDescent="0.25">
      <c r="B37" s="23" t="s">
        <v>64</v>
      </c>
      <c r="C37" s="49">
        <f>AVERAGE('08.08 Kumi-Soroti'!C37,'11.08 Kumi-Soroti'!C37,'12.08 Kumi-Soroti'!C37,'13.08 Kumi-Soroti'!C37,'09.08 Kumi-Soroti-24h'!C37,'10.08 Kumi-Soroti-24h'!C37,'14.08 Kumi-Soroti'!C37)</f>
        <v>1</v>
      </c>
      <c r="D37" s="49">
        <f>AVERAGE('08.08 Kumi-Soroti'!D37,'11.08 Kumi-Soroti'!D37,'12.08 Kumi-Soroti'!D37,'13.08 Kumi-Soroti'!D37,'09.08 Kumi-Soroti-24h'!D37,'10.08 Kumi-Soroti-24h'!D37,'14.08 Kumi-Soroti'!D37)</f>
        <v>1</v>
      </c>
      <c r="E37" s="49">
        <f>AVERAGE('08.08 Kumi-Soroti'!E37,'11.08 Kumi-Soroti'!E37,'12.08 Kumi-Soroti'!E37,'13.08 Kumi-Soroti'!E37,'09.08 Kumi-Soroti-24h'!E37,'10.08 Kumi-Soroti-24h'!E37,'14.08 Kumi-Soroti'!E37)</f>
        <v>3.2857142857142856</v>
      </c>
      <c r="F37" s="49">
        <f>AVERAGE('08.08 Kumi-Soroti'!F37,'11.08 Kumi-Soroti'!F37,'12.08 Kumi-Soroti'!F37,'13.08 Kumi-Soroti'!F37,'09.08 Kumi-Soroti-24h'!F37,'10.08 Kumi-Soroti-24h'!F37,'14.08 Kumi-Soroti'!F37)</f>
        <v>2.2857142857142856</v>
      </c>
      <c r="G37" s="49">
        <f>AVERAGE('08.08 Kumi-Soroti'!G37,'11.08 Kumi-Soroti'!G37,'12.08 Kumi-Soroti'!G37,'13.08 Kumi-Soroti'!G37,'09.08 Kumi-Soroti-24h'!G37,'10.08 Kumi-Soroti-24h'!G37,'14.08 Kumi-Soroti'!G37)</f>
        <v>0</v>
      </c>
      <c r="H37" s="49">
        <f>AVERAGE('08.08 Kumi-Soroti'!H37,'11.08 Kumi-Soroti'!H37,'12.08 Kumi-Soroti'!H37,'13.08 Kumi-Soroti'!H37,'09.08 Kumi-Soroti-24h'!H37,'10.08 Kumi-Soroti-24h'!H37,'14.08 Kumi-Soroti'!H37)</f>
        <v>0.5714285714285714</v>
      </c>
      <c r="I37" s="49">
        <f>AVERAGE('08.08 Kumi-Soroti'!I37,'11.08 Kumi-Soroti'!I37,'12.08 Kumi-Soroti'!I37,'13.08 Kumi-Soroti'!I37,'09.08 Kumi-Soroti-24h'!I37,'10.08 Kumi-Soroti-24h'!I37,'14.08 Kumi-Soroti'!I37)</f>
        <v>1.4285714285714286</v>
      </c>
      <c r="J37" s="49">
        <f>AVERAGE('08.08 Kumi-Soroti'!J37,'11.08 Kumi-Soroti'!J37,'12.08 Kumi-Soroti'!J37,'13.08 Kumi-Soroti'!J37,'09.08 Kumi-Soroti-24h'!J37,'10.08 Kumi-Soroti-24h'!J37,'14.08 Kumi-Soroti'!J37)</f>
        <v>0.2857142857142857</v>
      </c>
      <c r="K37" s="49">
        <f>AVERAGE('08.08 Kumi-Soroti'!K37,'11.08 Kumi-Soroti'!K37,'12.08 Kumi-Soroti'!K37,'13.08 Kumi-Soroti'!K37,'09.08 Kumi-Soroti-24h'!K37,'10.08 Kumi-Soroti-24h'!K37,'14.08 Kumi-Soroti'!K37)</f>
        <v>0</v>
      </c>
      <c r="L37" s="49">
        <f>AVERAGE('08.08 Kumi-Soroti'!L37,'11.08 Kumi-Soroti'!L37,'12.08 Kumi-Soroti'!L37,'13.08 Kumi-Soroti'!L37,'09.08 Kumi-Soroti-24h'!L37,'10.08 Kumi-Soroti-24h'!L37,'14.08 Kumi-Soroti'!L37)</f>
        <v>3.1428571428571428</v>
      </c>
      <c r="M37" s="49">
        <f>AVERAGE('08.08 Kumi-Soroti'!M37,'11.08 Kumi-Soroti'!M37,'12.08 Kumi-Soroti'!M37,'13.08 Kumi-Soroti'!M37,'09.08 Kumi-Soroti-24h'!M37,'10.08 Kumi-Soroti-24h'!M37,'14.08 Kumi-Soroti'!M37)</f>
        <v>5.8571428571428568</v>
      </c>
      <c r="N37" s="49">
        <f>AVERAGE('08.08 Kumi-Soroti'!N37,'11.08 Kumi-Soroti'!N37,'12.08 Kumi-Soroti'!N37,'13.08 Kumi-Soroti'!N37,'09.08 Kumi-Soroti-24h'!N37,'10.08 Kumi-Soroti-24h'!N37,'14.08 Kumi-Soroti'!N37)</f>
        <v>0</v>
      </c>
      <c r="O37" s="15">
        <f t="shared" si="0"/>
        <v>13</v>
      </c>
      <c r="P37" s="15">
        <f t="shared" si="1"/>
        <v>18.857142857142858</v>
      </c>
      <c r="R37" s="37" t="s">
        <v>85</v>
      </c>
      <c r="S37" s="53">
        <f t="shared" ref="S37:AF37" si="29">SUM(S10:S12)</f>
        <v>11.571428571428573</v>
      </c>
      <c r="T37" s="54">
        <f t="shared" si="29"/>
        <v>4.8571428571428568</v>
      </c>
      <c r="U37" s="54">
        <f t="shared" si="29"/>
        <v>19</v>
      </c>
      <c r="V37" s="54">
        <f t="shared" si="29"/>
        <v>23.571428571428569</v>
      </c>
      <c r="W37" s="54">
        <f t="shared" si="29"/>
        <v>0.99999999999999989</v>
      </c>
      <c r="X37" s="54">
        <f t="shared" si="29"/>
        <v>4.2857142857142856</v>
      </c>
      <c r="Y37" s="54">
        <f t="shared" si="29"/>
        <v>13.428571428571427</v>
      </c>
      <c r="Z37" s="54">
        <f t="shared" si="29"/>
        <v>4.5714285714285712</v>
      </c>
      <c r="AA37" s="54">
        <f t="shared" si="29"/>
        <v>0.42857142857142855</v>
      </c>
      <c r="AB37" s="54">
        <f t="shared" si="29"/>
        <v>18.428571428571427</v>
      </c>
      <c r="AC37" s="54">
        <f t="shared" si="29"/>
        <v>82</v>
      </c>
      <c r="AD37" s="54">
        <f t="shared" si="29"/>
        <v>0</v>
      </c>
      <c r="AE37" s="55">
        <f t="shared" si="29"/>
        <v>101.14285714285714</v>
      </c>
      <c r="AF37" s="55">
        <f t="shared" si="29"/>
        <v>183.14285714285717</v>
      </c>
    </row>
    <row r="38" spans="2:32" ht="23.1" customHeight="1" x14ac:dyDescent="0.25">
      <c r="B38" s="24" t="s">
        <v>65</v>
      </c>
      <c r="C38" s="49">
        <f>AVERAGE('08.08 Kumi-Soroti'!C38,'11.08 Kumi-Soroti'!C38,'12.08 Kumi-Soroti'!C38,'13.08 Kumi-Soroti'!C38,'09.08 Kumi-Soroti-24h'!C38,'10.08 Kumi-Soroti-24h'!C38,'14.08 Kumi-Soroti'!C38)</f>
        <v>1.4285714285714286</v>
      </c>
      <c r="D38" s="49">
        <f>AVERAGE('08.08 Kumi-Soroti'!D38,'11.08 Kumi-Soroti'!D38,'12.08 Kumi-Soroti'!D38,'13.08 Kumi-Soroti'!D38,'09.08 Kumi-Soroti-24h'!D38,'10.08 Kumi-Soroti-24h'!D38,'14.08 Kumi-Soroti'!D38)</f>
        <v>0.42857142857142855</v>
      </c>
      <c r="E38" s="49">
        <f>AVERAGE('08.08 Kumi-Soroti'!E38,'11.08 Kumi-Soroti'!E38,'12.08 Kumi-Soroti'!E38,'13.08 Kumi-Soroti'!E38,'09.08 Kumi-Soroti-24h'!E38,'10.08 Kumi-Soroti-24h'!E38,'14.08 Kumi-Soroti'!E38)</f>
        <v>1.8571428571428572</v>
      </c>
      <c r="F38" s="49">
        <f>AVERAGE('08.08 Kumi-Soroti'!F38,'11.08 Kumi-Soroti'!F38,'12.08 Kumi-Soroti'!F38,'13.08 Kumi-Soroti'!F38,'09.08 Kumi-Soroti-24h'!F38,'10.08 Kumi-Soroti-24h'!F38,'14.08 Kumi-Soroti'!F38)</f>
        <v>2.8571428571428572</v>
      </c>
      <c r="G38" s="49">
        <f>AVERAGE('08.08 Kumi-Soroti'!G38,'11.08 Kumi-Soroti'!G38,'12.08 Kumi-Soroti'!G38,'13.08 Kumi-Soroti'!G38,'09.08 Kumi-Soroti-24h'!G38,'10.08 Kumi-Soroti-24h'!G38,'14.08 Kumi-Soroti'!G38)</f>
        <v>0</v>
      </c>
      <c r="H38" s="49">
        <f>AVERAGE('08.08 Kumi-Soroti'!H38,'11.08 Kumi-Soroti'!H38,'12.08 Kumi-Soroti'!H38,'13.08 Kumi-Soroti'!H38,'09.08 Kumi-Soroti-24h'!H38,'10.08 Kumi-Soroti-24h'!H38,'14.08 Kumi-Soroti'!H38)</f>
        <v>0.14285714285714285</v>
      </c>
      <c r="I38" s="49">
        <f>AVERAGE('08.08 Kumi-Soroti'!I38,'11.08 Kumi-Soroti'!I38,'12.08 Kumi-Soroti'!I38,'13.08 Kumi-Soroti'!I38,'09.08 Kumi-Soroti-24h'!I38,'10.08 Kumi-Soroti-24h'!I38,'14.08 Kumi-Soroti'!I38)</f>
        <v>1.2857142857142858</v>
      </c>
      <c r="J38" s="49">
        <f>AVERAGE('08.08 Kumi-Soroti'!J38,'11.08 Kumi-Soroti'!J38,'12.08 Kumi-Soroti'!J38,'13.08 Kumi-Soroti'!J38,'09.08 Kumi-Soroti-24h'!J38,'10.08 Kumi-Soroti-24h'!J38,'14.08 Kumi-Soroti'!J38)</f>
        <v>0.14285714285714285</v>
      </c>
      <c r="K38" s="49">
        <f>AVERAGE('08.08 Kumi-Soroti'!K38,'11.08 Kumi-Soroti'!K38,'12.08 Kumi-Soroti'!K38,'13.08 Kumi-Soroti'!K38,'09.08 Kumi-Soroti-24h'!K38,'10.08 Kumi-Soroti-24h'!K38,'14.08 Kumi-Soroti'!K38)</f>
        <v>0.14285714285714285</v>
      </c>
      <c r="L38" s="49">
        <f>AVERAGE('08.08 Kumi-Soroti'!L38,'11.08 Kumi-Soroti'!L38,'12.08 Kumi-Soroti'!L38,'13.08 Kumi-Soroti'!L38,'09.08 Kumi-Soroti-24h'!L38,'10.08 Kumi-Soroti-24h'!L38,'14.08 Kumi-Soroti'!L38)</f>
        <v>3</v>
      </c>
      <c r="M38" s="49">
        <f>AVERAGE('08.08 Kumi-Soroti'!M38,'11.08 Kumi-Soroti'!M38,'12.08 Kumi-Soroti'!M38,'13.08 Kumi-Soroti'!M38,'09.08 Kumi-Soroti-24h'!M38,'10.08 Kumi-Soroti-24h'!M38,'14.08 Kumi-Soroti'!M38)</f>
        <v>6.8571428571428568</v>
      </c>
      <c r="N38" s="49">
        <f>AVERAGE('08.08 Kumi-Soroti'!N38,'11.08 Kumi-Soroti'!N38,'12.08 Kumi-Soroti'!N38,'13.08 Kumi-Soroti'!N38,'09.08 Kumi-Soroti-24h'!N38,'10.08 Kumi-Soroti-24h'!N38,'14.08 Kumi-Soroti'!N38)</f>
        <v>0</v>
      </c>
      <c r="O38" s="15">
        <f t="shared" si="0"/>
        <v>11.285714285714285</v>
      </c>
      <c r="P38" s="15">
        <f t="shared" si="1"/>
        <v>18.142857142857142</v>
      </c>
      <c r="R38" s="28" t="s">
        <v>86</v>
      </c>
      <c r="S38" s="54">
        <f t="shared" ref="S38:AF38" si="30">SUM(S13:S18)</f>
        <v>37.857142857142861</v>
      </c>
      <c r="T38" s="54">
        <f t="shared" si="30"/>
        <v>19.285714285714285</v>
      </c>
      <c r="U38" s="54">
        <f t="shared" si="30"/>
        <v>65.571428571428569</v>
      </c>
      <c r="V38" s="54">
        <f t="shared" si="30"/>
        <v>65.857142857142861</v>
      </c>
      <c r="W38" s="54">
        <f t="shared" si="30"/>
        <v>1.4285714285714284</v>
      </c>
      <c r="X38" s="54">
        <f t="shared" si="30"/>
        <v>8.2857142857142847</v>
      </c>
      <c r="Y38" s="54">
        <f t="shared" si="30"/>
        <v>31.428571428571431</v>
      </c>
      <c r="Z38" s="54">
        <f t="shared" si="30"/>
        <v>7.9999999999999991</v>
      </c>
      <c r="AA38" s="54">
        <f t="shared" si="30"/>
        <v>1.857142857142857</v>
      </c>
      <c r="AB38" s="54">
        <f t="shared" si="30"/>
        <v>47.142857142857139</v>
      </c>
      <c r="AC38" s="54">
        <f t="shared" si="30"/>
        <v>183.28571428571431</v>
      </c>
      <c r="AD38" s="54">
        <f t="shared" si="30"/>
        <v>0.14285714285714285</v>
      </c>
      <c r="AE38" s="55">
        <f t="shared" si="30"/>
        <v>286.85714285714289</v>
      </c>
      <c r="AF38" s="55">
        <f t="shared" si="30"/>
        <v>470.14285714285717</v>
      </c>
    </row>
    <row r="39" spans="2:32" ht="23.1" customHeight="1" x14ac:dyDescent="0.25">
      <c r="B39" s="24" t="s">
        <v>66</v>
      </c>
      <c r="C39" s="49">
        <f>AVERAGE('08.08 Kumi-Soroti'!C39,'11.08 Kumi-Soroti'!C39,'12.08 Kumi-Soroti'!C39,'13.08 Kumi-Soroti'!C39,'09.08 Kumi-Soroti-24h'!C39,'10.08 Kumi-Soroti-24h'!C39,'14.08 Kumi-Soroti'!C39)</f>
        <v>1.2857142857142858</v>
      </c>
      <c r="D39" s="49">
        <f>AVERAGE('08.08 Kumi-Soroti'!D39,'11.08 Kumi-Soroti'!D39,'12.08 Kumi-Soroti'!D39,'13.08 Kumi-Soroti'!D39,'09.08 Kumi-Soroti-24h'!D39,'10.08 Kumi-Soroti-24h'!D39,'14.08 Kumi-Soroti'!D39)</f>
        <v>0.42857142857142855</v>
      </c>
      <c r="E39" s="49">
        <f>AVERAGE('08.08 Kumi-Soroti'!E39,'11.08 Kumi-Soroti'!E39,'12.08 Kumi-Soroti'!E39,'13.08 Kumi-Soroti'!E39,'09.08 Kumi-Soroti-24h'!E39,'10.08 Kumi-Soroti-24h'!E39,'14.08 Kumi-Soroti'!E39)</f>
        <v>2.1428571428571428</v>
      </c>
      <c r="F39" s="49">
        <f>AVERAGE('08.08 Kumi-Soroti'!F39,'11.08 Kumi-Soroti'!F39,'12.08 Kumi-Soroti'!F39,'13.08 Kumi-Soroti'!F39,'09.08 Kumi-Soroti-24h'!F39,'10.08 Kumi-Soroti-24h'!F39,'14.08 Kumi-Soroti'!F39)</f>
        <v>2.8571428571428572</v>
      </c>
      <c r="G39" s="49">
        <f>AVERAGE('08.08 Kumi-Soroti'!G39,'11.08 Kumi-Soroti'!G39,'12.08 Kumi-Soroti'!G39,'13.08 Kumi-Soroti'!G39,'09.08 Kumi-Soroti-24h'!G39,'10.08 Kumi-Soroti-24h'!G39,'14.08 Kumi-Soroti'!G39)</f>
        <v>0</v>
      </c>
      <c r="H39" s="49">
        <f>AVERAGE('08.08 Kumi-Soroti'!H39,'11.08 Kumi-Soroti'!H39,'12.08 Kumi-Soroti'!H39,'13.08 Kumi-Soroti'!H39,'09.08 Kumi-Soroti-24h'!H39,'10.08 Kumi-Soroti-24h'!H39,'14.08 Kumi-Soroti'!H39)</f>
        <v>0.14285714285714285</v>
      </c>
      <c r="I39" s="49">
        <f>AVERAGE('08.08 Kumi-Soroti'!I39,'11.08 Kumi-Soroti'!I39,'12.08 Kumi-Soroti'!I39,'13.08 Kumi-Soroti'!I39,'09.08 Kumi-Soroti-24h'!I39,'10.08 Kumi-Soroti-24h'!I39,'14.08 Kumi-Soroti'!I39)</f>
        <v>1.1428571428571428</v>
      </c>
      <c r="J39" s="49">
        <f>AVERAGE('08.08 Kumi-Soroti'!J39,'11.08 Kumi-Soroti'!J39,'12.08 Kumi-Soroti'!J39,'13.08 Kumi-Soroti'!J39,'09.08 Kumi-Soroti-24h'!J39,'10.08 Kumi-Soroti-24h'!J39,'14.08 Kumi-Soroti'!J39)</f>
        <v>0.14285714285714285</v>
      </c>
      <c r="K39" s="49">
        <f>AVERAGE('08.08 Kumi-Soroti'!K39,'11.08 Kumi-Soroti'!K39,'12.08 Kumi-Soroti'!K39,'13.08 Kumi-Soroti'!K39,'09.08 Kumi-Soroti-24h'!K39,'10.08 Kumi-Soroti-24h'!K39,'14.08 Kumi-Soroti'!K39)</f>
        <v>0</v>
      </c>
      <c r="L39" s="49">
        <f>AVERAGE('08.08 Kumi-Soroti'!L39,'11.08 Kumi-Soroti'!L39,'12.08 Kumi-Soroti'!L39,'13.08 Kumi-Soroti'!L39,'09.08 Kumi-Soroti-24h'!L39,'10.08 Kumi-Soroti-24h'!L39,'14.08 Kumi-Soroti'!L39)</f>
        <v>2.4285714285714284</v>
      </c>
      <c r="M39" s="49">
        <f>AVERAGE('08.08 Kumi-Soroti'!M39,'11.08 Kumi-Soroti'!M39,'12.08 Kumi-Soroti'!M39,'13.08 Kumi-Soroti'!M39,'09.08 Kumi-Soroti-24h'!M39,'10.08 Kumi-Soroti-24h'!M39,'14.08 Kumi-Soroti'!M39)</f>
        <v>5.5714285714285712</v>
      </c>
      <c r="N39" s="49">
        <f>AVERAGE('08.08 Kumi-Soroti'!N39,'11.08 Kumi-Soroti'!N39,'12.08 Kumi-Soroti'!N39,'13.08 Kumi-Soroti'!N39,'09.08 Kumi-Soroti-24h'!N39,'10.08 Kumi-Soroti-24h'!N39,'14.08 Kumi-Soroti'!N39)</f>
        <v>0</v>
      </c>
      <c r="O39" s="15">
        <f t="shared" si="0"/>
        <v>10.571428571428571</v>
      </c>
      <c r="P39" s="15">
        <f t="shared" si="1"/>
        <v>16.142857142857142</v>
      </c>
      <c r="R39" s="29" t="s">
        <v>87</v>
      </c>
      <c r="S39" s="54">
        <f t="shared" ref="S39:AF39" si="31">SUM(S19:S21)</f>
        <v>17.285714285714285</v>
      </c>
      <c r="T39" s="54">
        <f t="shared" si="31"/>
        <v>9.7142857142857153</v>
      </c>
      <c r="U39" s="54">
        <f t="shared" si="31"/>
        <v>32.714285714285715</v>
      </c>
      <c r="V39" s="54">
        <f t="shared" si="31"/>
        <v>32.142857142857146</v>
      </c>
      <c r="W39" s="54">
        <f t="shared" si="31"/>
        <v>0.99999999999999989</v>
      </c>
      <c r="X39" s="54">
        <f t="shared" si="31"/>
        <v>4.1428571428571423</v>
      </c>
      <c r="Y39" s="54">
        <f t="shared" si="31"/>
        <v>22.428571428571431</v>
      </c>
      <c r="Z39" s="54">
        <f t="shared" si="31"/>
        <v>3.5714285714285712</v>
      </c>
      <c r="AA39" s="54">
        <f t="shared" si="31"/>
        <v>1.5714285714285712</v>
      </c>
      <c r="AB39" s="54">
        <f t="shared" si="31"/>
        <v>25.857142857142854</v>
      </c>
      <c r="AC39" s="54">
        <f t="shared" si="31"/>
        <v>103.71428571428571</v>
      </c>
      <c r="AD39" s="54">
        <f t="shared" si="31"/>
        <v>0</v>
      </c>
      <c r="AE39" s="55">
        <f t="shared" si="31"/>
        <v>150.42857142857144</v>
      </c>
      <c r="AF39" s="55">
        <f t="shared" si="31"/>
        <v>254.14285714285714</v>
      </c>
    </row>
    <row r="40" spans="2:32" ht="23.1" customHeight="1" x14ac:dyDescent="0.25">
      <c r="B40" s="24" t="s">
        <v>67</v>
      </c>
      <c r="C40" s="49">
        <f>AVERAGE('08.08 Kumi-Soroti'!C40,'11.08 Kumi-Soroti'!C40,'12.08 Kumi-Soroti'!C40,'13.08 Kumi-Soroti'!C40,'09.08 Kumi-Soroti-24h'!C40,'10.08 Kumi-Soroti-24h'!C40,'14.08 Kumi-Soroti'!C40)</f>
        <v>2</v>
      </c>
      <c r="D40" s="49">
        <f>AVERAGE('08.08 Kumi-Soroti'!D40,'11.08 Kumi-Soroti'!D40,'12.08 Kumi-Soroti'!D40,'13.08 Kumi-Soroti'!D40,'09.08 Kumi-Soroti-24h'!D40,'10.08 Kumi-Soroti-24h'!D40,'14.08 Kumi-Soroti'!D40)</f>
        <v>2</v>
      </c>
      <c r="E40" s="49">
        <f>AVERAGE('08.08 Kumi-Soroti'!E40,'11.08 Kumi-Soroti'!E40,'12.08 Kumi-Soroti'!E40,'13.08 Kumi-Soroti'!E40,'09.08 Kumi-Soroti-24h'!E40,'10.08 Kumi-Soroti-24h'!E40,'14.08 Kumi-Soroti'!E40)</f>
        <v>4.5714285714285712</v>
      </c>
      <c r="F40" s="49">
        <f>AVERAGE('08.08 Kumi-Soroti'!F40,'11.08 Kumi-Soroti'!F40,'12.08 Kumi-Soroti'!F40,'13.08 Kumi-Soroti'!F40,'09.08 Kumi-Soroti-24h'!F40,'10.08 Kumi-Soroti-24h'!F40,'14.08 Kumi-Soroti'!F40)</f>
        <v>3.2857142857142856</v>
      </c>
      <c r="G40" s="49">
        <f>AVERAGE('08.08 Kumi-Soroti'!G40,'11.08 Kumi-Soroti'!G40,'12.08 Kumi-Soroti'!G40,'13.08 Kumi-Soroti'!G40,'09.08 Kumi-Soroti-24h'!G40,'10.08 Kumi-Soroti-24h'!G40,'14.08 Kumi-Soroti'!G40)</f>
        <v>0</v>
      </c>
      <c r="H40" s="49">
        <f>AVERAGE('08.08 Kumi-Soroti'!H40,'11.08 Kumi-Soroti'!H40,'12.08 Kumi-Soroti'!H40,'13.08 Kumi-Soroti'!H40,'09.08 Kumi-Soroti-24h'!H40,'10.08 Kumi-Soroti-24h'!H40,'14.08 Kumi-Soroti'!H40)</f>
        <v>0.14285714285714285</v>
      </c>
      <c r="I40" s="49">
        <f>AVERAGE('08.08 Kumi-Soroti'!I40,'11.08 Kumi-Soroti'!I40,'12.08 Kumi-Soroti'!I40,'13.08 Kumi-Soroti'!I40,'09.08 Kumi-Soroti-24h'!I40,'10.08 Kumi-Soroti-24h'!I40,'14.08 Kumi-Soroti'!I40)</f>
        <v>1.5714285714285714</v>
      </c>
      <c r="J40" s="49">
        <f>AVERAGE('08.08 Kumi-Soroti'!J40,'11.08 Kumi-Soroti'!J40,'12.08 Kumi-Soroti'!J40,'13.08 Kumi-Soroti'!J40,'09.08 Kumi-Soroti-24h'!J40,'10.08 Kumi-Soroti-24h'!J40,'14.08 Kumi-Soroti'!J40)</f>
        <v>0.5714285714285714</v>
      </c>
      <c r="K40" s="49">
        <f>AVERAGE('08.08 Kumi-Soroti'!K40,'11.08 Kumi-Soroti'!K40,'12.08 Kumi-Soroti'!K40,'13.08 Kumi-Soroti'!K40,'09.08 Kumi-Soroti-24h'!K40,'10.08 Kumi-Soroti-24h'!K40,'14.08 Kumi-Soroti'!K40)</f>
        <v>0</v>
      </c>
      <c r="L40" s="49">
        <f>AVERAGE('08.08 Kumi-Soroti'!L40,'11.08 Kumi-Soroti'!L40,'12.08 Kumi-Soroti'!L40,'13.08 Kumi-Soroti'!L40,'09.08 Kumi-Soroti-24h'!L40,'10.08 Kumi-Soroti-24h'!L40,'14.08 Kumi-Soroti'!L40)</f>
        <v>2.4285714285714284</v>
      </c>
      <c r="M40" s="49">
        <f>AVERAGE('08.08 Kumi-Soroti'!M40,'11.08 Kumi-Soroti'!M40,'12.08 Kumi-Soroti'!M40,'13.08 Kumi-Soroti'!M40,'09.08 Kumi-Soroti-24h'!M40,'10.08 Kumi-Soroti-24h'!M40,'14.08 Kumi-Soroti'!M40)</f>
        <v>8.2857142857142865</v>
      </c>
      <c r="N40" s="49">
        <f>AVERAGE('08.08 Kumi-Soroti'!N40,'11.08 Kumi-Soroti'!N40,'12.08 Kumi-Soroti'!N40,'13.08 Kumi-Soroti'!N40,'09.08 Kumi-Soroti-24h'!N40,'10.08 Kumi-Soroti-24h'!N40,'14.08 Kumi-Soroti'!N40)</f>
        <v>0</v>
      </c>
      <c r="O40" s="15">
        <f t="shared" si="0"/>
        <v>16.571428571428569</v>
      </c>
      <c r="P40" s="15">
        <f t="shared" si="1"/>
        <v>24.857142857142854</v>
      </c>
      <c r="R40" s="5" t="s">
        <v>17</v>
      </c>
      <c r="S40" s="54">
        <f t="shared" ref="S40:AF40" si="32">SUM(S10:S21)</f>
        <v>66.714285714285722</v>
      </c>
      <c r="T40" s="54">
        <f t="shared" si="32"/>
        <v>33.857142857142861</v>
      </c>
      <c r="U40" s="54">
        <f t="shared" si="32"/>
        <v>117.28571428571428</v>
      </c>
      <c r="V40" s="54">
        <f t="shared" si="32"/>
        <v>121.57142857142857</v>
      </c>
      <c r="W40" s="54">
        <f t="shared" si="32"/>
        <v>3.4285714285714279</v>
      </c>
      <c r="X40" s="54">
        <f t="shared" si="32"/>
        <v>16.714285714285712</v>
      </c>
      <c r="Y40" s="54">
        <f t="shared" si="32"/>
        <v>67.285714285714292</v>
      </c>
      <c r="Z40" s="54">
        <f t="shared" si="32"/>
        <v>16.142857142857142</v>
      </c>
      <c r="AA40" s="54">
        <f t="shared" si="32"/>
        <v>3.8571428571428568</v>
      </c>
      <c r="AB40" s="54">
        <f t="shared" si="32"/>
        <v>91.428571428571416</v>
      </c>
      <c r="AC40" s="54">
        <f t="shared" si="32"/>
        <v>369</v>
      </c>
      <c r="AD40" s="54">
        <f t="shared" si="32"/>
        <v>0.14285714285714285</v>
      </c>
      <c r="AE40" s="55">
        <f t="shared" si="32"/>
        <v>538.42857142857144</v>
      </c>
      <c r="AF40" s="55">
        <f t="shared" si="32"/>
        <v>907.42857142857133</v>
      </c>
    </row>
    <row r="41" spans="2:32" ht="23.1" customHeight="1" x14ac:dyDescent="0.25">
      <c r="B41" s="23" t="s">
        <v>68</v>
      </c>
      <c r="C41" s="49">
        <f>AVERAGE('08.08 Kumi-Soroti'!C41,'11.08 Kumi-Soroti'!C41,'12.08 Kumi-Soroti'!C41,'13.08 Kumi-Soroti'!C41,'09.08 Kumi-Soroti-24h'!C41,'10.08 Kumi-Soroti-24h'!C41,'14.08 Kumi-Soroti'!C41)</f>
        <v>1.1428571428571428</v>
      </c>
      <c r="D41" s="49">
        <f>AVERAGE('08.08 Kumi-Soroti'!D41,'11.08 Kumi-Soroti'!D41,'12.08 Kumi-Soroti'!D41,'13.08 Kumi-Soroti'!D41,'09.08 Kumi-Soroti-24h'!D41,'10.08 Kumi-Soroti-24h'!D41,'14.08 Kumi-Soroti'!D41)</f>
        <v>0.7142857142857143</v>
      </c>
      <c r="E41" s="49">
        <f>AVERAGE('08.08 Kumi-Soroti'!E41,'11.08 Kumi-Soroti'!E41,'12.08 Kumi-Soroti'!E41,'13.08 Kumi-Soroti'!E41,'09.08 Kumi-Soroti-24h'!E41,'10.08 Kumi-Soroti-24h'!E41,'14.08 Kumi-Soroti'!E41)</f>
        <v>2.2857142857142856</v>
      </c>
      <c r="F41" s="49">
        <f>AVERAGE('08.08 Kumi-Soroti'!F41,'11.08 Kumi-Soroti'!F41,'12.08 Kumi-Soroti'!F41,'13.08 Kumi-Soroti'!F41,'09.08 Kumi-Soroti-24h'!F41,'10.08 Kumi-Soroti-24h'!F41,'14.08 Kumi-Soroti'!F41)</f>
        <v>2.8571428571428572</v>
      </c>
      <c r="G41" s="49">
        <f>AVERAGE('08.08 Kumi-Soroti'!G41,'11.08 Kumi-Soroti'!G41,'12.08 Kumi-Soroti'!G41,'13.08 Kumi-Soroti'!G41,'09.08 Kumi-Soroti-24h'!G41,'10.08 Kumi-Soroti-24h'!G41,'14.08 Kumi-Soroti'!G41)</f>
        <v>0</v>
      </c>
      <c r="H41" s="49">
        <f>AVERAGE('08.08 Kumi-Soroti'!H41,'11.08 Kumi-Soroti'!H41,'12.08 Kumi-Soroti'!H41,'13.08 Kumi-Soroti'!H41,'09.08 Kumi-Soroti-24h'!H41,'10.08 Kumi-Soroti-24h'!H41,'14.08 Kumi-Soroti'!H41)</f>
        <v>0.14285714285714285</v>
      </c>
      <c r="I41" s="49">
        <f>AVERAGE('08.08 Kumi-Soroti'!I41,'11.08 Kumi-Soroti'!I41,'12.08 Kumi-Soroti'!I41,'13.08 Kumi-Soroti'!I41,'09.08 Kumi-Soroti-24h'!I41,'10.08 Kumi-Soroti-24h'!I41,'14.08 Kumi-Soroti'!I41)</f>
        <v>1.5714285714285714</v>
      </c>
      <c r="J41" s="49">
        <f>AVERAGE('08.08 Kumi-Soroti'!J41,'11.08 Kumi-Soroti'!J41,'12.08 Kumi-Soroti'!J41,'13.08 Kumi-Soroti'!J41,'09.08 Kumi-Soroti-24h'!J41,'10.08 Kumi-Soroti-24h'!J41,'14.08 Kumi-Soroti'!J41)</f>
        <v>0</v>
      </c>
      <c r="K41" s="49">
        <f>AVERAGE('08.08 Kumi-Soroti'!K41,'11.08 Kumi-Soroti'!K41,'12.08 Kumi-Soroti'!K41,'13.08 Kumi-Soroti'!K41,'09.08 Kumi-Soroti-24h'!K41,'10.08 Kumi-Soroti-24h'!K41,'14.08 Kumi-Soroti'!K41)</f>
        <v>0</v>
      </c>
      <c r="L41" s="49">
        <f>AVERAGE('08.08 Kumi-Soroti'!L41,'11.08 Kumi-Soroti'!L41,'12.08 Kumi-Soroti'!L41,'13.08 Kumi-Soroti'!L41,'09.08 Kumi-Soroti-24h'!L41,'10.08 Kumi-Soroti-24h'!L41,'14.08 Kumi-Soroti'!L41)</f>
        <v>1.4285714285714286</v>
      </c>
      <c r="M41" s="49">
        <f>AVERAGE('08.08 Kumi-Soroti'!M41,'11.08 Kumi-Soroti'!M41,'12.08 Kumi-Soroti'!M41,'13.08 Kumi-Soroti'!M41,'09.08 Kumi-Soroti-24h'!M41,'10.08 Kumi-Soroti-24h'!M41,'14.08 Kumi-Soroti'!M41)</f>
        <v>4.7142857142857144</v>
      </c>
      <c r="N41" s="49">
        <f>AVERAGE('08.08 Kumi-Soroti'!N41,'11.08 Kumi-Soroti'!N41,'12.08 Kumi-Soroti'!N41,'13.08 Kumi-Soroti'!N41,'09.08 Kumi-Soroti-24h'!N41,'10.08 Kumi-Soroti-24h'!N41,'14.08 Kumi-Soroti'!N41)</f>
        <v>0</v>
      </c>
      <c r="O41" s="15">
        <f t="shared" si="0"/>
        <v>10.142857142857144</v>
      </c>
      <c r="P41" s="15">
        <f t="shared" si="1"/>
        <v>14.857142857142858</v>
      </c>
      <c r="R41" s="5" t="s">
        <v>175</v>
      </c>
      <c r="S41" s="54">
        <f>SUM(S10:S33)</f>
        <v>101.21428571428572</v>
      </c>
      <c r="T41" s="54">
        <f t="shared" ref="T41:AD41" si="33">SUM(T10:T33)</f>
        <v>39.357142857142861</v>
      </c>
      <c r="U41" s="54">
        <f t="shared" si="33"/>
        <v>163.28571428571428</v>
      </c>
      <c r="V41" s="54">
        <f t="shared" si="33"/>
        <v>153.07142857142856</v>
      </c>
      <c r="W41" s="54">
        <f t="shared" si="33"/>
        <v>4.9285714285714279</v>
      </c>
      <c r="X41" s="54">
        <f t="shared" si="33"/>
        <v>24.214285714285712</v>
      </c>
      <c r="Y41" s="54">
        <f t="shared" si="33"/>
        <v>122.78571428571429</v>
      </c>
      <c r="Z41" s="54">
        <f t="shared" si="33"/>
        <v>23.642857142857142</v>
      </c>
      <c r="AA41" s="54">
        <f t="shared" si="33"/>
        <v>6.3571428571428568</v>
      </c>
      <c r="AB41" s="54">
        <f t="shared" si="33"/>
        <v>208.92857142857142</v>
      </c>
      <c r="AC41" s="54">
        <f t="shared" si="33"/>
        <v>460.5</v>
      </c>
      <c r="AD41" s="54">
        <f t="shared" si="33"/>
        <v>0.14285714285714285</v>
      </c>
      <c r="AE41" s="55">
        <f>SUM(AE10:AE33)</f>
        <v>847.92857142857144</v>
      </c>
      <c r="AF41" s="55">
        <f>SUM(AF10:AF33)</f>
        <v>1308.4285714285713</v>
      </c>
    </row>
    <row r="42" spans="2:32" ht="23.1" customHeight="1" x14ac:dyDescent="0.25">
      <c r="B42" s="24" t="s">
        <v>69</v>
      </c>
      <c r="C42" s="49">
        <f>AVERAGE('08.08 Kumi-Soroti'!C42,'11.08 Kumi-Soroti'!C42,'12.08 Kumi-Soroti'!C42,'13.08 Kumi-Soroti'!C42,'09.08 Kumi-Soroti-24h'!C42,'10.08 Kumi-Soroti-24h'!C42,'14.08 Kumi-Soroti'!C42)</f>
        <v>1.4285714285714286</v>
      </c>
      <c r="D42" s="49">
        <f>AVERAGE('08.08 Kumi-Soroti'!D42,'11.08 Kumi-Soroti'!D42,'12.08 Kumi-Soroti'!D42,'13.08 Kumi-Soroti'!D42,'09.08 Kumi-Soroti-24h'!D42,'10.08 Kumi-Soroti-24h'!D42,'14.08 Kumi-Soroti'!D42)</f>
        <v>0.8571428571428571</v>
      </c>
      <c r="E42" s="49">
        <f>AVERAGE('08.08 Kumi-Soroti'!E42,'11.08 Kumi-Soroti'!E42,'12.08 Kumi-Soroti'!E42,'13.08 Kumi-Soroti'!E42,'09.08 Kumi-Soroti-24h'!E42,'10.08 Kumi-Soroti-24h'!E42,'14.08 Kumi-Soroti'!E42)</f>
        <v>2.4285714285714284</v>
      </c>
      <c r="F42" s="49">
        <f>AVERAGE('08.08 Kumi-Soroti'!F42,'11.08 Kumi-Soroti'!F42,'12.08 Kumi-Soroti'!F42,'13.08 Kumi-Soroti'!F42,'09.08 Kumi-Soroti-24h'!F42,'10.08 Kumi-Soroti-24h'!F42,'14.08 Kumi-Soroti'!F42)</f>
        <v>3</v>
      </c>
      <c r="G42" s="49">
        <f>AVERAGE('08.08 Kumi-Soroti'!G42,'11.08 Kumi-Soroti'!G42,'12.08 Kumi-Soroti'!G42,'13.08 Kumi-Soroti'!G42,'09.08 Kumi-Soroti-24h'!G42,'10.08 Kumi-Soroti-24h'!G42,'14.08 Kumi-Soroti'!G42)</f>
        <v>0</v>
      </c>
      <c r="H42" s="49">
        <f>AVERAGE('08.08 Kumi-Soroti'!H42,'11.08 Kumi-Soroti'!H42,'12.08 Kumi-Soroti'!H42,'13.08 Kumi-Soroti'!H42,'09.08 Kumi-Soroti-24h'!H42,'10.08 Kumi-Soroti-24h'!H42,'14.08 Kumi-Soroti'!H42)</f>
        <v>0.42857142857142855</v>
      </c>
      <c r="I42" s="49">
        <f>AVERAGE('08.08 Kumi-Soroti'!I42,'11.08 Kumi-Soroti'!I42,'12.08 Kumi-Soroti'!I42,'13.08 Kumi-Soroti'!I42,'09.08 Kumi-Soroti-24h'!I42,'10.08 Kumi-Soroti-24h'!I42,'14.08 Kumi-Soroti'!I42)</f>
        <v>0.42857142857142855</v>
      </c>
      <c r="J42" s="49">
        <f>AVERAGE('08.08 Kumi-Soroti'!J42,'11.08 Kumi-Soroti'!J42,'12.08 Kumi-Soroti'!J42,'13.08 Kumi-Soroti'!J42,'09.08 Kumi-Soroti-24h'!J42,'10.08 Kumi-Soroti-24h'!J42,'14.08 Kumi-Soroti'!J42)</f>
        <v>0.2857142857142857</v>
      </c>
      <c r="K42" s="49">
        <f>AVERAGE('08.08 Kumi-Soroti'!K42,'11.08 Kumi-Soroti'!K42,'12.08 Kumi-Soroti'!K42,'13.08 Kumi-Soroti'!K42,'09.08 Kumi-Soroti-24h'!K42,'10.08 Kumi-Soroti-24h'!K42,'14.08 Kumi-Soroti'!K42)</f>
        <v>0</v>
      </c>
      <c r="L42" s="49">
        <f>AVERAGE('08.08 Kumi-Soroti'!L42,'11.08 Kumi-Soroti'!L42,'12.08 Kumi-Soroti'!L42,'13.08 Kumi-Soroti'!L42,'09.08 Kumi-Soroti-24h'!L42,'10.08 Kumi-Soroti-24h'!L42,'14.08 Kumi-Soroti'!L42)</f>
        <v>2.2857142857142856</v>
      </c>
      <c r="M42" s="49">
        <f>AVERAGE('08.08 Kumi-Soroti'!M42,'11.08 Kumi-Soroti'!M42,'12.08 Kumi-Soroti'!M42,'13.08 Kumi-Soroti'!M42,'09.08 Kumi-Soroti-24h'!M42,'10.08 Kumi-Soroti-24h'!M42,'14.08 Kumi-Soroti'!M42)</f>
        <v>4.2857142857142856</v>
      </c>
      <c r="N42" s="49">
        <f>AVERAGE('08.08 Kumi-Soroti'!N42,'11.08 Kumi-Soroti'!N42,'12.08 Kumi-Soroti'!N42,'13.08 Kumi-Soroti'!N42,'09.08 Kumi-Soroti-24h'!N42,'10.08 Kumi-Soroti-24h'!N42,'14.08 Kumi-Soroti'!N42)</f>
        <v>0</v>
      </c>
      <c r="O42" s="15">
        <f t="shared" si="0"/>
        <v>11.142857142857142</v>
      </c>
      <c r="P42" s="15">
        <f t="shared" si="1"/>
        <v>15.428571428571427</v>
      </c>
      <c r="R42" s="5" t="s">
        <v>160</v>
      </c>
      <c r="S42" s="48">
        <f>S41/S40</f>
        <v>1.5171306209850106</v>
      </c>
      <c r="T42" s="48">
        <f t="shared" ref="T42:AF42" si="34">T41/T40</f>
        <v>1.1624472573839661</v>
      </c>
      <c r="U42" s="48">
        <f t="shared" si="34"/>
        <v>1.392204628501827</v>
      </c>
      <c r="V42" s="48">
        <f t="shared" si="34"/>
        <v>1.2591069330199764</v>
      </c>
      <c r="W42" s="48">
        <f t="shared" si="34"/>
        <v>1.4375</v>
      </c>
      <c r="X42" s="48">
        <f t="shared" si="34"/>
        <v>1.4487179487179487</v>
      </c>
      <c r="Y42" s="48">
        <f t="shared" si="34"/>
        <v>1.8248407643312101</v>
      </c>
      <c r="Z42" s="48">
        <f t="shared" si="34"/>
        <v>1.4646017699115044</v>
      </c>
      <c r="AA42" s="48">
        <f t="shared" si="34"/>
        <v>1.6481481481481481</v>
      </c>
      <c r="AB42" s="48">
        <f t="shared" si="34"/>
        <v>2.28515625</v>
      </c>
      <c r="AC42" s="48">
        <f t="shared" si="34"/>
        <v>1.2479674796747968</v>
      </c>
      <c r="AD42" s="48">
        <f t="shared" si="34"/>
        <v>1</v>
      </c>
      <c r="AE42" s="56">
        <f t="shared" si="34"/>
        <v>1.5748209074024939</v>
      </c>
      <c r="AF42" s="56">
        <f t="shared" si="34"/>
        <v>1.4419080604534005</v>
      </c>
    </row>
    <row r="43" spans="2:32" ht="23.1" customHeight="1" x14ac:dyDescent="0.25">
      <c r="B43" s="23" t="s">
        <v>70</v>
      </c>
      <c r="C43" s="49">
        <f>AVERAGE('08.08 Kumi-Soroti'!C43,'11.08 Kumi-Soroti'!C43,'12.08 Kumi-Soroti'!C43,'13.08 Kumi-Soroti'!C43,'09.08 Kumi-Soroti-24h'!C43,'10.08 Kumi-Soroti-24h'!C43,'14.08 Kumi-Soroti'!C43)</f>
        <v>1.5714285714285714</v>
      </c>
      <c r="D43" s="49">
        <f>AVERAGE('08.08 Kumi-Soroti'!D43,'11.08 Kumi-Soroti'!D43,'12.08 Kumi-Soroti'!D43,'13.08 Kumi-Soroti'!D43,'09.08 Kumi-Soroti-24h'!D43,'10.08 Kumi-Soroti-24h'!D43,'14.08 Kumi-Soroti'!D43)</f>
        <v>1.2857142857142858</v>
      </c>
      <c r="E43" s="49">
        <f>AVERAGE('08.08 Kumi-Soroti'!E43,'11.08 Kumi-Soroti'!E43,'12.08 Kumi-Soroti'!E43,'13.08 Kumi-Soroti'!E43,'09.08 Kumi-Soroti-24h'!E43,'10.08 Kumi-Soroti-24h'!E43,'14.08 Kumi-Soroti'!E43)</f>
        <v>3.4285714285714284</v>
      </c>
      <c r="F43" s="49">
        <f>AVERAGE('08.08 Kumi-Soroti'!F43,'11.08 Kumi-Soroti'!F43,'12.08 Kumi-Soroti'!F43,'13.08 Kumi-Soroti'!F43,'09.08 Kumi-Soroti-24h'!F43,'10.08 Kumi-Soroti-24h'!F43,'14.08 Kumi-Soroti'!F43)</f>
        <v>2.1428571428571428</v>
      </c>
      <c r="G43" s="49">
        <f>AVERAGE('08.08 Kumi-Soroti'!G43,'11.08 Kumi-Soroti'!G43,'12.08 Kumi-Soroti'!G43,'13.08 Kumi-Soroti'!G43,'09.08 Kumi-Soroti-24h'!G43,'10.08 Kumi-Soroti-24h'!G43,'14.08 Kumi-Soroti'!G43)</f>
        <v>0</v>
      </c>
      <c r="H43" s="49">
        <f>AVERAGE('08.08 Kumi-Soroti'!H43,'11.08 Kumi-Soroti'!H43,'12.08 Kumi-Soroti'!H43,'13.08 Kumi-Soroti'!H43,'09.08 Kumi-Soroti-24h'!H43,'10.08 Kumi-Soroti-24h'!H43,'14.08 Kumi-Soroti'!H43)</f>
        <v>0.7142857142857143</v>
      </c>
      <c r="I43" s="49">
        <f>AVERAGE('08.08 Kumi-Soroti'!I43,'11.08 Kumi-Soroti'!I43,'12.08 Kumi-Soroti'!I43,'13.08 Kumi-Soroti'!I43,'09.08 Kumi-Soroti-24h'!I43,'10.08 Kumi-Soroti-24h'!I43,'14.08 Kumi-Soroti'!I43)</f>
        <v>1.7142857142857142</v>
      </c>
      <c r="J43" s="49">
        <f>AVERAGE('08.08 Kumi-Soroti'!J43,'11.08 Kumi-Soroti'!J43,'12.08 Kumi-Soroti'!J43,'13.08 Kumi-Soroti'!J43,'09.08 Kumi-Soroti-24h'!J43,'10.08 Kumi-Soroti-24h'!J43,'14.08 Kumi-Soroti'!J43)</f>
        <v>0.14285714285714285</v>
      </c>
      <c r="K43" s="49">
        <f>AVERAGE('08.08 Kumi-Soroti'!K43,'11.08 Kumi-Soroti'!K43,'12.08 Kumi-Soroti'!K43,'13.08 Kumi-Soroti'!K43,'09.08 Kumi-Soroti-24h'!K43,'10.08 Kumi-Soroti-24h'!K43,'14.08 Kumi-Soroti'!K43)</f>
        <v>0</v>
      </c>
      <c r="L43" s="49">
        <f>AVERAGE('08.08 Kumi-Soroti'!L43,'11.08 Kumi-Soroti'!L43,'12.08 Kumi-Soroti'!L43,'13.08 Kumi-Soroti'!L43,'09.08 Kumi-Soroti-24h'!L43,'10.08 Kumi-Soroti-24h'!L43,'14.08 Kumi-Soroti'!L43)</f>
        <v>2.4285714285714284</v>
      </c>
      <c r="M43" s="49">
        <f>AVERAGE('08.08 Kumi-Soroti'!M43,'11.08 Kumi-Soroti'!M43,'12.08 Kumi-Soroti'!M43,'13.08 Kumi-Soroti'!M43,'09.08 Kumi-Soroti-24h'!M43,'10.08 Kumi-Soroti-24h'!M43,'14.08 Kumi-Soroti'!M43)</f>
        <v>6.8571428571428568</v>
      </c>
      <c r="N43" s="49">
        <f>AVERAGE('08.08 Kumi-Soroti'!N43,'11.08 Kumi-Soroti'!N43,'12.08 Kumi-Soroti'!N43,'13.08 Kumi-Soroti'!N43,'09.08 Kumi-Soroti-24h'!N43,'10.08 Kumi-Soroti-24h'!N43,'14.08 Kumi-Soroti'!N43)</f>
        <v>0</v>
      </c>
      <c r="O43" s="15">
        <f t="shared" si="0"/>
        <v>13.428571428571427</v>
      </c>
      <c r="P43" s="15">
        <f t="shared" si="1"/>
        <v>20.285714285714285</v>
      </c>
    </row>
    <row r="44" spans="2:32" ht="23.1" customHeight="1" x14ac:dyDescent="0.25">
      <c r="B44" s="25" t="s">
        <v>71</v>
      </c>
      <c r="C44" s="49">
        <f>AVERAGE('08.08 Kumi-Soroti'!C44,'11.08 Kumi-Soroti'!C44,'12.08 Kumi-Soroti'!C44,'13.08 Kumi-Soroti'!C44,'09.08 Kumi-Soroti-24h'!C44,'10.08 Kumi-Soroti-24h'!C44,'14.08 Kumi-Soroti'!C44)</f>
        <v>1.1428571428571428</v>
      </c>
      <c r="D44" s="49">
        <f>AVERAGE('08.08 Kumi-Soroti'!D44,'11.08 Kumi-Soroti'!D44,'12.08 Kumi-Soroti'!D44,'13.08 Kumi-Soroti'!D44,'09.08 Kumi-Soroti-24h'!D44,'10.08 Kumi-Soroti-24h'!D44,'14.08 Kumi-Soroti'!D44)</f>
        <v>1.7142857142857142</v>
      </c>
      <c r="E44" s="49">
        <f>AVERAGE('08.08 Kumi-Soroti'!E44,'11.08 Kumi-Soroti'!E44,'12.08 Kumi-Soroti'!E44,'13.08 Kumi-Soroti'!E44,'09.08 Kumi-Soroti-24h'!E44,'10.08 Kumi-Soroti-24h'!E44,'14.08 Kumi-Soroti'!E44)</f>
        <v>4.1428571428571432</v>
      </c>
      <c r="F44" s="49">
        <f>AVERAGE('08.08 Kumi-Soroti'!F44,'11.08 Kumi-Soroti'!F44,'12.08 Kumi-Soroti'!F44,'13.08 Kumi-Soroti'!F44,'09.08 Kumi-Soroti-24h'!F44,'10.08 Kumi-Soroti-24h'!F44,'14.08 Kumi-Soroti'!F44)</f>
        <v>3.4285714285714284</v>
      </c>
      <c r="G44" s="49">
        <f>AVERAGE('08.08 Kumi-Soroti'!G44,'11.08 Kumi-Soroti'!G44,'12.08 Kumi-Soroti'!G44,'13.08 Kumi-Soroti'!G44,'09.08 Kumi-Soroti-24h'!G44,'10.08 Kumi-Soroti-24h'!G44,'14.08 Kumi-Soroti'!G44)</f>
        <v>0.14285714285714285</v>
      </c>
      <c r="H44" s="49">
        <f>AVERAGE('08.08 Kumi-Soroti'!H44,'11.08 Kumi-Soroti'!H44,'12.08 Kumi-Soroti'!H44,'13.08 Kumi-Soroti'!H44,'09.08 Kumi-Soroti-24h'!H44,'10.08 Kumi-Soroti-24h'!H44,'14.08 Kumi-Soroti'!H44)</f>
        <v>0.42857142857142855</v>
      </c>
      <c r="I44" s="49">
        <f>AVERAGE('08.08 Kumi-Soroti'!I44,'11.08 Kumi-Soroti'!I44,'12.08 Kumi-Soroti'!I44,'13.08 Kumi-Soroti'!I44,'09.08 Kumi-Soroti-24h'!I44,'10.08 Kumi-Soroti-24h'!I44,'14.08 Kumi-Soroti'!I44)</f>
        <v>1.7142857142857142</v>
      </c>
      <c r="J44" s="49">
        <f>AVERAGE('08.08 Kumi-Soroti'!J44,'11.08 Kumi-Soroti'!J44,'12.08 Kumi-Soroti'!J44,'13.08 Kumi-Soroti'!J44,'09.08 Kumi-Soroti-24h'!J44,'10.08 Kumi-Soroti-24h'!J44,'14.08 Kumi-Soroti'!J44)</f>
        <v>0.14285714285714285</v>
      </c>
      <c r="K44" s="49">
        <f>AVERAGE('08.08 Kumi-Soroti'!K44,'11.08 Kumi-Soroti'!K44,'12.08 Kumi-Soroti'!K44,'13.08 Kumi-Soroti'!K44,'09.08 Kumi-Soroti-24h'!K44,'10.08 Kumi-Soroti-24h'!K44,'14.08 Kumi-Soroti'!K44)</f>
        <v>0.2857142857142857</v>
      </c>
      <c r="L44" s="49">
        <f>AVERAGE('08.08 Kumi-Soroti'!L44,'11.08 Kumi-Soroti'!L44,'12.08 Kumi-Soroti'!L44,'13.08 Kumi-Soroti'!L44,'09.08 Kumi-Soroti-24h'!L44,'10.08 Kumi-Soroti-24h'!L44,'14.08 Kumi-Soroti'!L44)</f>
        <v>2.5714285714285716</v>
      </c>
      <c r="M44" s="49">
        <f>AVERAGE('08.08 Kumi-Soroti'!M44,'11.08 Kumi-Soroti'!M44,'12.08 Kumi-Soroti'!M44,'13.08 Kumi-Soroti'!M44,'09.08 Kumi-Soroti-24h'!M44,'10.08 Kumi-Soroti-24h'!M44,'14.08 Kumi-Soroti'!M44)</f>
        <v>7.8571428571428568</v>
      </c>
      <c r="N44" s="49">
        <f>AVERAGE('08.08 Kumi-Soroti'!N44,'11.08 Kumi-Soroti'!N44,'12.08 Kumi-Soroti'!N44,'13.08 Kumi-Soroti'!N44,'09.08 Kumi-Soroti-24h'!N44,'10.08 Kumi-Soroti-24h'!N44,'14.08 Kumi-Soroti'!N44)</f>
        <v>0</v>
      </c>
      <c r="O44" s="15">
        <f t="shared" si="0"/>
        <v>15.714285714285714</v>
      </c>
      <c r="P44" s="15">
        <f t="shared" si="1"/>
        <v>23.571428571428569</v>
      </c>
    </row>
    <row r="45" spans="2:32" ht="23.1" customHeight="1" x14ac:dyDescent="0.25">
      <c r="B45" s="23" t="s">
        <v>72</v>
      </c>
      <c r="C45" s="49">
        <f>AVERAGE('08.08 Kumi-Soroti'!C45,'11.08 Kumi-Soroti'!C45,'12.08 Kumi-Soroti'!C45,'13.08 Kumi-Soroti'!C45,'09.08 Kumi-Soroti-24h'!C45,'10.08 Kumi-Soroti-24h'!C45,'14.08 Kumi-Soroti'!C45)</f>
        <v>1.5714285714285714</v>
      </c>
      <c r="D45" s="49">
        <f>AVERAGE('08.08 Kumi-Soroti'!D45,'11.08 Kumi-Soroti'!D45,'12.08 Kumi-Soroti'!D45,'13.08 Kumi-Soroti'!D45,'09.08 Kumi-Soroti-24h'!D45,'10.08 Kumi-Soroti-24h'!D45,'14.08 Kumi-Soroti'!D45)</f>
        <v>1.1428571428571428</v>
      </c>
      <c r="E45" s="49">
        <f>AVERAGE('08.08 Kumi-Soroti'!E45,'11.08 Kumi-Soroti'!E45,'12.08 Kumi-Soroti'!E45,'13.08 Kumi-Soroti'!E45,'09.08 Kumi-Soroti-24h'!E45,'10.08 Kumi-Soroti-24h'!E45,'14.08 Kumi-Soroti'!E45)</f>
        <v>3</v>
      </c>
      <c r="F45" s="49">
        <f>AVERAGE('08.08 Kumi-Soroti'!F45,'11.08 Kumi-Soroti'!F45,'12.08 Kumi-Soroti'!F45,'13.08 Kumi-Soroti'!F45,'09.08 Kumi-Soroti-24h'!F45,'10.08 Kumi-Soroti-24h'!F45,'14.08 Kumi-Soroti'!F45)</f>
        <v>2.4285714285714284</v>
      </c>
      <c r="G45" s="49">
        <f>AVERAGE('08.08 Kumi-Soroti'!G45,'11.08 Kumi-Soroti'!G45,'12.08 Kumi-Soroti'!G45,'13.08 Kumi-Soroti'!G45,'09.08 Kumi-Soroti-24h'!G45,'10.08 Kumi-Soroti-24h'!G45,'14.08 Kumi-Soroti'!G45)</f>
        <v>0.2857142857142857</v>
      </c>
      <c r="H45" s="49">
        <f>AVERAGE('08.08 Kumi-Soroti'!H45,'11.08 Kumi-Soroti'!H45,'12.08 Kumi-Soroti'!H45,'13.08 Kumi-Soroti'!H45,'09.08 Kumi-Soroti-24h'!H45,'10.08 Kumi-Soroti-24h'!H45,'14.08 Kumi-Soroti'!H45)</f>
        <v>0</v>
      </c>
      <c r="I45" s="49">
        <f>AVERAGE('08.08 Kumi-Soroti'!I45,'11.08 Kumi-Soroti'!I45,'12.08 Kumi-Soroti'!I45,'13.08 Kumi-Soroti'!I45,'09.08 Kumi-Soroti-24h'!I45,'10.08 Kumi-Soroti-24h'!I45,'14.08 Kumi-Soroti'!I45)</f>
        <v>1.1428571428571428</v>
      </c>
      <c r="J45" s="49">
        <f>AVERAGE('08.08 Kumi-Soroti'!J45,'11.08 Kumi-Soroti'!J45,'12.08 Kumi-Soroti'!J45,'13.08 Kumi-Soroti'!J45,'09.08 Kumi-Soroti-24h'!J45,'10.08 Kumi-Soroti-24h'!J45,'14.08 Kumi-Soroti'!J45)</f>
        <v>0.42857142857142855</v>
      </c>
      <c r="K45" s="49">
        <f>AVERAGE('08.08 Kumi-Soroti'!K45,'11.08 Kumi-Soroti'!K45,'12.08 Kumi-Soroti'!K45,'13.08 Kumi-Soroti'!K45,'09.08 Kumi-Soroti-24h'!K45,'10.08 Kumi-Soroti-24h'!K45,'14.08 Kumi-Soroti'!K45)</f>
        <v>0.14285714285714285</v>
      </c>
      <c r="L45" s="49">
        <f>AVERAGE('08.08 Kumi-Soroti'!L45,'11.08 Kumi-Soroti'!L45,'12.08 Kumi-Soroti'!L45,'13.08 Kumi-Soroti'!L45,'09.08 Kumi-Soroti-24h'!L45,'10.08 Kumi-Soroti-24h'!L45,'14.08 Kumi-Soroti'!L45)</f>
        <v>2</v>
      </c>
      <c r="M45" s="49">
        <f>AVERAGE('08.08 Kumi-Soroti'!M45,'11.08 Kumi-Soroti'!M45,'12.08 Kumi-Soroti'!M45,'13.08 Kumi-Soroti'!M45,'09.08 Kumi-Soroti-24h'!M45,'10.08 Kumi-Soroti-24h'!M45,'14.08 Kumi-Soroti'!M45)</f>
        <v>7.8571428571428568</v>
      </c>
      <c r="N45" s="49">
        <f>AVERAGE('08.08 Kumi-Soroti'!N45,'11.08 Kumi-Soroti'!N45,'12.08 Kumi-Soroti'!N45,'13.08 Kumi-Soroti'!N45,'09.08 Kumi-Soroti-24h'!N45,'10.08 Kumi-Soroti-24h'!N45,'14.08 Kumi-Soroti'!N45)</f>
        <v>0</v>
      </c>
      <c r="O45" s="15">
        <f t="shared" si="0"/>
        <v>12.142857142857142</v>
      </c>
      <c r="P45" s="15">
        <f t="shared" si="1"/>
        <v>20</v>
      </c>
    </row>
    <row r="46" spans="2:32" ht="23.1" customHeight="1" x14ac:dyDescent="0.25">
      <c r="B46" s="24" t="s">
        <v>73</v>
      </c>
      <c r="C46" s="49">
        <f>AVERAGE('08.08 Kumi-Soroti'!C46,'11.08 Kumi-Soroti'!C46,'12.08 Kumi-Soroti'!C46,'13.08 Kumi-Soroti'!C46,'09.08 Kumi-Soroti-24h'!C46,'10.08 Kumi-Soroti-24h'!C46,'14.08 Kumi-Soroti'!C46)</f>
        <v>0.8571428571428571</v>
      </c>
      <c r="D46" s="49">
        <f>AVERAGE('08.08 Kumi-Soroti'!D46,'11.08 Kumi-Soroti'!D46,'12.08 Kumi-Soroti'!D46,'13.08 Kumi-Soroti'!D46,'09.08 Kumi-Soroti-24h'!D46,'10.08 Kumi-Soroti-24h'!D46,'14.08 Kumi-Soroti'!D46)</f>
        <v>0.42857142857142855</v>
      </c>
      <c r="E46" s="49">
        <f>AVERAGE('08.08 Kumi-Soroti'!E46,'11.08 Kumi-Soroti'!E46,'12.08 Kumi-Soroti'!E46,'13.08 Kumi-Soroti'!E46,'09.08 Kumi-Soroti-24h'!E46,'10.08 Kumi-Soroti-24h'!E46,'14.08 Kumi-Soroti'!E46)</f>
        <v>1.8571428571428572</v>
      </c>
      <c r="F46" s="49">
        <f>AVERAGE('08.08 Kumi-Soroti'!F46,'11.08 Kumi-Soroti'!F46,'12.08 Kumi-Soroti'!F46,'13.08 Kumi-Soroti'!F46,'09.08 Kumi-Soroti-24h'!F46,'10.08 Kumi-Soroti-24h'!F46,'14.08 Kumi-Soroti'!F46)</f>
        <v>3.8571428571428572</v>
      </c>
      <c r="G46" s="49">
        <f>AVERAGE('08.08 Kumi-Soroti'!G46,'11.08 Kumi-Soroti'!G46,'12.08 Kumi-Soroti'!G46,'13.08 Kumi-Soroti'!G46,'09.08 Kumi-Soroti-24h'!G46,'10.08 Kumi-Soroti-24h'!G46,'14.08 Kumi-Soroti'!G46)</f>
        <v>0.14285714285714285</v>
      </c>
      <c r="H46" s="49">
        <f>AVERAGE('08.08 Kumi-Soroti'!H46,'11.08 Kumi-Soroti'!H46,'12.08 Kumi-Soroti'!H46,'13.08 Kumi-Soroti'!H46,'09.08 Kumi-Soroti-24h'!H46,'10.08 Kumi-Soroti-24h'!H46,'14.08 Kumi-Soroti'!H46)</f>
        <v>0.42857142857142855</v>
      </c>
      <c r="I46" s="49">
        <f>AVERAGE('08.08 Kumi-Soroti'!I46,'11.08 Kumi-Soroti'!I46,'12.08 Kumi-Soroti'!I46,'13.08 Kumi-Soroti'!I46,'09.08 Kumi-Soroti-24h'!I46,'10.08 Kumi-Soroti-24h'!I46,'14.08 Kumi-Soroti'!I46)</f>
        <v>1.8571428571428572</v>
      </c>
      <c r="J46" s="49">
        <f>AVERAGE('08.08 Kumi-Soroti'!J46,'11.08 Kumi-Soroti'!J46,'12.08 Kumi-Soroti'!J46,'13.08 Kumi-Soroti'!J46,'09.08 Kumi-Soroti-24h'!J46,'10.08 Kumi-Soroti-24h'!J46,'14.08 Kumi-Soroti'!J46)</f>
        <v>0</v>
      </c>
      <c r="K46" s="49">
        <f>AVERAGE('08.08 Kumi-Soroti'!K46,'11.08 Kumi-Soroti'!K46,'12.08 Kumi-Soroti'!K46,'13.08 Kumi-Soroti'!K46,'09.08 Kumi-Soroti-24h'!K46,'10.08 Kumi-Soroti-24h'!K46,'14.08 Kumi-Soroti'!K46)</f>
        <v>0.14285714285714285</v>
      </c>
      <c r="L46" s="49">
        <f>AVERAGE('08.08 Kumi-Soroti'!L46,'11.08 Kumi-Soroti'!L46,'12.08 Kumi-Soroti'!L46,'13.08 Kumi-Soroti'!L46,'09.08 Kumi-Soroti-24h'!L46,'10.08 Kumi-Soroti-24h'!L46,'14.08 Kumi-Soroti'!L46)</f>
        <v>3.1428571428571428</v>
      </c>
      <c r="M46" s="49">
        <f>AVERAGE('08.08 Kumi-Soroti'!M46,'11.08 Kumi-Soroti'!M46,'12.08 Kumi-Soroti'!M46,'13.08 Kumi-Soroti'!M46,'09.08 Kumi-Soroti-24h'!M46,'10.08 Kumi-Soroti-24h'!M46,'14.08 Kumi-Soroti'!M46)</f>
        <v>6.7142857142857144</v>
      </c>
      <c r="N46" s="49">
        <f>AVERAGE('08.08 Kumi-Soroti'!N46,'11.08 Kumi-Soroti'!N46,'12.08 Kumi-Soroti'!N46,'13.08 Kumi-Soroti'!N46,'09.08 Kumi-Soroti-24h'!N46,'10.08 Kumi-Soroti-24h'!N46,'14.08 Kumi-Soroti'!N46)</f>
        <v>0</v>
      </c>
      <c r="O46" s="15">
        <f t="shared" si="0"/>
        <v>12.714285714285714</v>
      </c>
      <c r="P46" s="15">
        <f t="shared" si="1"/>
        <v>19.428571428571427</v>
      </c>
      <c r="R46" s="8"/>
      <c r="T46"/>
    </row>
    <row r="47" spans="2:32" ht="23.1" customHeight="1" x14ac:dyDescent="0.25">
      <c r="B47" s="24" t="s">
        <v>74</v>
      </c>
      <c r="C47" s="49">
        <f>AVERAGE('08.08 Kumi-Soroti'!C47,'11.08 Kumi-Soroti'!C47,'12.08 Kumi-Soroti'!C47,'13.08 Kumi-Soroti'!C47,'09.08 Kumi-Soroti-24h'!C47,'10.08 Kumi-Soroti-24h'!C47,'14.08 Kumi-Soroti'!C47)</f>
        <v>1.2857142857142858</v>
      </c>
      <c r="D47" s="49">
        <f>AVERAGE('08.08 Kumi-Soroti'!D47,'11.08 Kumi-Soroti'!D47,'12.08 Kumi-Soroti'!D47,'13.08 Kumi-Soroti'!D47,'09.08 Kumi-Soroti-24h'!D47,'10.08 Kumi-Soroti-24h'!D47,'14.08 Kumi-Soroti'!D47)</f>
        <v>0.7142857142857143</v>
      </c>
      <c r="E47" s="49">
        <f>AVERAGE('08.08 Kumi-Soroti'!E47,'11.08 Kumi-Soroti'!E47,'12.08 Kumi-Soroti'!E47,'13.08 Kumi-Soroti'!E47,'09.08 Kumi-Soroti-24h'!E47,'10.08 Kumi-Soroti-24h'!E47,'14.08 Kumi-Soroti'!E47)</f>
        <v>2.5714285714285716</v>
      </c>
      <c r="F47" s="49">
        <f>AVERAGE('08.08 Kumi-Soroti'!F47,'11.08 Kumi-Soroti'!F47,'12.08 Kumi-Soroti'!F47,'13.08 Kumi-Soroti'!F47,'09.08 Kumi-Soroti-24h'!F47,'10.08 Kumi-Soroti-24h'!F47,'14.08 Kumi-Soroti'!F47)</f>
        <v>2.2857142857142856</v>
      </c>
      <c r="G47" s="49">
        <f>AVERAGE('08.08 Kumi-Soroti'!G47,'11.08 Kumi-Soroti'!G47,'12.08 Kumi-Soroti'!G47,'13.08 Kumi-Soroti'!G47,'09.08 Kumi-Soroti-24h'!G47,'10.08 Kumi-Soroti-24h'!G47,'14.08 Kumi-Soroti'!G47)</f>
        <v>0</v>
      </c>
      <c r="H47" s="49">
        <f>AVERAGE('08.08 Kumi-Soroti'!H47,'11.08 Kumi-Soroti'!H47,'12.08 Kumi-Soroti'!H47,'13.08 Kumi-Soroti'!H47,'09.08 Kumi-Soroti-24h'!H47,'10.08 Kumi-Soroti-24h'!H47,'14.08 Kumi-Soroti'!H47)</f>
        <v>0.2857142857142857</v>
      </c>
      <c r="I47" s="49">
        <f>AVERAGE('08.08 Kumi-Soroti'!I47,'11.08 Kumi-Soroti'!I47,'12.08 Kumi-Soroti'!I47,'13.08 Kumi-Soroti'!I47,'09.08 Kumi-Soroti-24h'!I47,'10.08 Kumi-Soroti-24h'!I47,'14.08 Kumi-Soroti'!I47)</f>
        <v>1.8571428571428572</v>
      </c>
      <c r="J47" s="49">
        <f>AVERAGE('08.08 Kumi-Soroti'!J47,'11.08 Kumi-Soroti'!J47,'12.08 Kumi-Soroti'!J47,'13.08 Kumi-Soroti'!J47,'09.08 Kumi-Soroti-24h'!J47,'10.08 Kumi-Soroti-24h'!J47,'14.08 Kumi-Soroti'!J47)</f>
        <v>0.2857142857142857</v>
      </c>
      <c r="K47" s="49">
        <f>AVERAGE('08.08 Kumi-Soroti'!K47,'11.08 Kumi-Soroti'!K47,'12.08 Kumi-Soroti'!K47,'13.08 Kumi-Soroti'!K47,'09.08 Kumi-Soroti-24h'!K47,'10.08 Kumi-Soroti-24h'!K47,'14.08 Kumi-Soroti'!K47)</f>
        <v>0</v>
      </c>
      <c r="L47" s="49">
        <f>AVERAGE('08.08 Kumi-Soroti'!L47,'11.08 Kumi-Soroti'!L47,'12.08 Kumi-Soroti'!L47,'13.08 Kumi-Soroti'!L47,'09.08 Kumi-Soroti-24h'!L47,'10.08 Kumi-Soroti-24h'!L47,'14.08 Kumi-Soroti'!L47)</f>
        <v>1.8571428571428572</v>
      </c>
      <c r="M47" s="49">
        <f>AVERAGE('08.08 Kumi-Soroti'!M47,'11.08 Kumi-Soroti'!M47,'12.08 Kumi-Soroti'!M47,'13.08 Kumi-Soroti'!M47,'09.08 Kumi-Soroti-24h'!M47,'10.08 Kumi-Soroti-24h'!M47,'14.08 Kumi-Soroti'!M47)</f>
        <v>6.1428571428571432</v>
      </c>
      <c r="N47" s="49">
        <f>AVERAGE('08.08 Kumi-Soroti'!N47,'11.08 Kumi-Soroti'!N47,'12.08 Kumi-Soroti'!N47,'13.08 Kumi-Soroti'!N47,'09.08 Kumi-Soroti-24h'!N47,'10.08 Kumi-Soroti-24h'!N47,'14.08 Kumi-Soroti'!N47)</f>
        <v>0</v>
      </c>
      <c r="O47" s="15">
        <f t="shared" si="0"/>
        <v>11.142857142857144</v>
      </c>
      <c r="P47" s="15">
        <f t="shared" si="1"/>
        <v>17.285714285714288</v>
      </c>
      <c r="R47" s="8"/>
      <c r="T47"/>
    </row>
    <row r="48" spans="2:32" ht="23.1" customHeight="1" x14ac:dyDescent="0.25">
      <c r="B48" s="24" t="s">
        <v>75</v>
      </c>
      <c r="C48" s="49">
        <f>AVERAGE('08.08 Kumi-Soroti'!C48,'11.08 Kumi-Soroti'!C48,'12.08 Kumi-Soroti'!C48,'13.08 Kumi-Soroti'!C48,'09.08 Kumi-Soroti-24h'!C48,'10.08 Kumi-Soroti-24h'!C48,'14.08 Kumi-Soroti'!C48)</f>
        <v>1.4285714285714286</v>
      </c>
      <c r="D48" s="49">
        <f>AVERAGE('08.08 Kumi-Soroti'!D48,'11.08 Kumi-Soroti'!D48,'12.08 Kumi-Soroti'!D48,'13.08 Kumi-Soroti'!D48,'09.08 Kumi-Soroti-24h'!D48,'10.08 Kumi-Soroti-24h'!D48,'14.08 Kumi-Soroti'!D48)</f>
        <v>0.5714285714285714</v>
      </c>
      <c r="E48" s="49">
        <f>AVERAGE('08.08 Kumi-Soroti'!E48,'11.08 Kumi-Soroti'!E48,'12.08 Kumi-Soroti'!E48,'13.08 Kumi-Soroti'!E48,'09.08 Kumi-Soroti-24h'!E48,'10.08 Kumi-Soroti-24h'!E48,'14.08 Kumi-Soroti'!E48)</f>
        <v>2.5714285714285716</v>
      </c>
      <c r="F48" s="49">
        <f>AVERAGE('08.08 Kumi-Soroti'!F48,'11.08 Kumi-Soroti'!F48,'12.08 Kumi-Soroti'!F48,'13.08 Kumi-Soroti'!F48,'09.08 Kumi-Soroti-24h'!F48,'10.08 Kumi-Soroti-24h'!F48,'14.08 Kumi-Soroti'!F48)</f>
        <v>2.4285714285714284</v>
      </c>
      <c r="G48" s="49">
        <f>AVERAGE('08.08 Kumi-Soroti'!G48,'11.08 Kumi-Soroti'!G48,'12.08 Kumi-Soroti'!G48,'13.08 Kumi-Soroti'!G48,'09.08 Kumi-Soroti-24h'!G48,'10.08 Kumi-Soroti-24h'!G48,'14.08 Kumi-Soroti'!G48)</f>
        <v>0</v>
      </c>
      <c r="H48" s="49">
        <f>AVERAGE('08.08 Kumi-Soroti'!H48,'11.08 Kumi-Soroti'!H48,'12.08 Kumi-Soroti'!H48,'13.08 Kumi-Soroti'!H48,'09.08 Kumi-Soroti-24h'!H48,'10.08 Kumi-Soroti-24h'!H48,'14.08 Kumi-Soroti'!H48)</f>
        <v>0.14285714285714285</v>
      </c>
      <c r="I48" s="49">
        <f>AVERAGE('08.08 Kumi-Soroti'!I48,'11.08 Kumi-Soroti'!I48,'12.08 Kumi-Soroti'!I48,'13.08 Kumi-Soroti'!I48,'09.08 Kumi-Soroti-24h'!I48,'10.08 Kumi-Soroti-24h'!I48,'14.08 Kumi-Soroti'!I48)</f>
        <v>1.1428571428571428</v>
      </c>
      <c r="J48" s="49">
        <f>AVERAGE('08.08 Kumi-Soroti'!J48,'11.08 Kumi-Soroti'!J48,'12.08 Kumi-Soroti'!J48,'13.08 Kumi-Soroti'!J48,'09.08 Kumi-Soroti-24h'!J48,'10.08 Kumi-Soroti-24h'!J48,'14.08 Kumi-Soroti'!J48)</f>
        <v>0.14285714285714285</v>
      </c>
      <c r="K48" s="49">
        <f>AVERAGE('08.08 Kumi-Soroti'!K48,'11.08 Kumi-Soroti'!K48,'12.08 Kumi-Soroti'!K48,'13.08 Kumi-Soroti'!K48,'09.08 Kumi-Soroti-24h'!K48,'10.08 Kumi-Soroti-24h'!K48,'14.08 Kumi-Soroti'!K48)</f>
        <v>0.14285714285714285</v>
      </c>
      <c r="L48" s="49">
        <f>AVERAGE('08.08 Kumi-Soroti'!L48,'11.08 Kumi-Soroti'!L48,'12.08 Kumi-Soroti'!L48,'13.08 Kumi-Soroti'!L48,'09.08 Kumi-Soroti-24h'!L48,'10.08 Kumi-Soroti-24h'!L48,'14.08 Kumi-Soroti'!L48)</f>
        <v>1.1428571428571428</v>
      </c>
      <c r="M48" s="49">
        <f>AVERAGE('08.08 Kumi-Soroti'!M48,'11.08 Kumi-Soroti'!M48,'12.08 Kumi-Soroti'!M48,'13.08 Kumi-Soroti'!M48,'09.08 Kumi-Soroti-24h'!M48,'10.08 Kumi-Soroti-24h'!M48,'14.08 Kumi-Soroti'!M48)</f>
        <v>8.8571428571428577</v>
      </c>
      <c r="N48" s="49">
        <f>AVERAGE('08.08 Kumi-Soroti'!N48,'11.08 Kumi-Soroti'!N48,'12.08 Kumi-Soroti'!N48,'13.08 Kumi-Soroti'!N48,'09.08 Kumi-Soroti-24h'!N48,'10.08 Kumi-Soroti-24h'!N48,'14.08 Kumi-Soroti'!N48)</f>
        <v>0</v>
      </c>
      <c r="O48" s="15">
        <f t="shared" si="0"/>
        <v>9.7142857142857135</v>
      </c>
      <c r="P48" s="15">
        <f t="shared" si="1"/>
        <v>18.571428571428569</v>
      </c>
      <c r="R48" s="8"/>
      <c r="T48"/>
    </row>
    <row r="49" spans="2:20" ht="23.1" customHeight="1" x14ac:dyDescent="0.25">
      <c r="B49" s="23" t="s">
        <v>76</v>
      </c>
      <c r="C49" s="49">
        <f>AVERAGE('08.08 Kumi-Soroti'!C49,'11.08 Kumi-Soroti'!C49,'12.08 Kumi-Soroti'!C49,'13.08 Kumi-Soroti'!C49,'09.08 Kumi-Soroti-24h'!C49,'10.08 Kumi-Soroti-24h'!C49,'14.08 Kumi-Soroti'!C49)</f>
        <v>2.1428571428571428</v>
      </c>
      <c r="D49" s="49">
        <f>AVERAGE('08.08 Kumi-Soroti'!D49,'11.08 Kumi-Soroti'!D49,'12.08 Kumi-Soroti'!D49,'13.08 Kumi-Soroti'!D49,'09.08 Kumi-Soroti-24h'!D49,'10.08 Kumi-Soroti-24h'!D49,'14.08 Kumi-Soroti'!D49)</f>
        <v>0.8571428571428571</v>
      </c>
      <c r="E49" s="49">
        <f>AVERAGE('08.08 Kumi-Soroti'!E49,'11.08 Kumi-Soroti'!E49,'12.08 Kumi-Soroti'!E49,'13.08 Kumi-Soroti'!E49,'09.08 Kumi-Soroti-24h'!E49,'10.08 Kumi-Soroti-24h'!E49,'14.08 Kumi-Soroti'!E49)</f>
        <v>2.5714285714285716</v>
      </c>
      <c r="F49" s="49">
        <f>AVERAGE('08.08 Kumi-Soroti'!F49,'11.08 Kumi-Soroti'!F49,'12.08 Kumi-Soroti'!F49,'13.08 Kumi-Soroti'!F49,'09.08 Kumi-Soroti-24h'!F49,'10.08 Kumi-Soroti-24h'!F49,'14.08 Kumi-Soroti'!F49)</f>
        <v>3.7142857142857144</v>
      </c>
      <c r="G49" s="49">
        <f>AVERAGE('08.08 Kumi-Soroti'!G49,'11.08 Kumi-Soroti'!G49,'12.08 Kumi-Soroti'!G49,'13.08 Kumi-Soroti'!G49,'09.08 Kumi-Soroti-24h'!G49,'10.08 Kumi-Soroti-24h'!G49,'14.08 Kumi-Soroti'!G49)</f>
        <v>0</v>
      </c>
      <c r="H49" s="49">
        <f>AVERAGE('08.08 Kumi-Soroti'!H49,'11.08 Kumi-Soroti'!H49,'12.08 Kumi-Soroti'!H49,'13.08 Kumi-Soroti'!H49,'09.08 Kumi-Soroti-24h'!H49,'10.08 Kumi-Soroti-24h'!H49,'14.08 Kumi-Soroti'!H49)</f>
        <v>0.2857142857142857</v>
      </c>
      <c r="I49" s="49">
        <f>AVERAGE('08.08 Kumi-Soroti'!I49,'11.08 Kumi-Soroti'!I49,'12.08 Kumi-Soroti'!I49,'13.08 Kumi-Soroti'!I49,'09.08 Kumi-Soroti-24h'!I49,'10.08 Kumi-Soroti-24h'!I49,'14.08 Kumi-Soroti'!I49)</f>
        <v>1.1428571428571428</v>
      </c>
      <c r="J49" s="49">
        <f>AVERAGE('08.08 Kumi-Soroti'!J49,'11.08 Kumi-Soroti'!J49,'12.08 Kumi-Soroti'!J49,'13.08 Kumi-Soroti'!J49,'09.08 Kumi-Soroti-24h'!J49,'10.08 Kumi-Soroti-24h'!J49,'14.08 Kumi-Soroti'!J49)</f>
        <v>0.14285714285714285</v>
      </c>
      <c r="K49" s="49">
        <f>AVERAGE('08.08 Kumi-Soroti'!K49,'11.08 Kumi-Soroti'!K49,'12.08 Kumi-Soroti'!K49,'13.08 Kumi-Soroti'!K49,'09.08 Kumi-Soroti-24h'!K49,'10.08 Kumi-Soroti-24h'!K49,'14.08 Kumi-Soroti'!K49)</f>
        <v>0</v>
      </c>
      <c r="L49" s="49">
        <f>AVERAGE('08.08 Kumi-Soroti'!L49,'11.08 Kumi-Soroti'!L49,'12.08 Kumi-Soroti'!L49,'13.08 Kumi-Soroti'!L49,'09.08 Kumi-Soroti-24h'!L49,'10.08 Kumi-Soroti-24h'!L49,'14.08 Kumi-Soroti'!L49)</f>
        <v>3.4285714285714284</v>
      </c>
      <c r="M49" s="49">
        <f>AVERAGE('08.08 Kumi-Soroti'!M49,'11.08 Kumi-Soroti'!M49,'12.08 Kumi-Soroti'!M49,'13.08 Kumi-Soroti'!M49,'09.08 Kumi-Soroti-24h'!M49,'10.08 Kumi-Soroti-24h'!M49,'14.08 Kumi-Soroti'!M49)</f>
        <v>7</v>
      </c>
      <c r="N49" s="49">
        <f>AVERAGE('08.08 Kumi-Soroti'!N49,'11.08 Kumi-Soroti'!N49,'12.08 Kumi-Soroti'!N49,'13.08 Kumi-Soroti'!N49,'09.08 Kumi-Soroti-24h'!N49,'10.08 Kumi-Soroti-24h'!N49,'14.08 Kumi-Soroti'!N49)</f>
        <v>0</v>
      </c>
      <c r="O49" s="15">
        <f t="shared" si="0"/>
        <v>14.285714285714285</v>
      </c>
      <c r="P49" s="15">
        <f t="shared" si="1"/>
        <v>21.285714285714285</v>
      </c>
      <c r="R49" s="8"/>
      <c r="T49"/>
    </row>
    <row r="50" spans="2:20" ht="23.1" customHeight="1" x14ac:dyDescent="0.25">
      <c r="B50" s="24" t="s">
        <v>77</v>
      </c>
      <c r="C50" s="49">
        <f>AVERAGE('08.08 Kumi-Soroti'!C50,'11.08 Kumi-Soroti'!C50,'12.08 Kumi-Soroti'!C50,'13.08 Kumi-Soroti'!C50,'09.08 Kumi-Soroti-24h'!C50,'10.08 Kumi-Soroti-24h'!C50,'14.08 Kumi-Soroti'!C50)</f>
        <v>1.7142857142857142</v>
      </c>
      <c r="D50" s="49">
        <f>AVERAGE('08.08 Kumi-Soroti'!D50,'11.08 Kumi-Soroti'!D50,'12.08 Kumi-Soroti'!D50,'13.08 Kumi-Soroti'!D50,'09.08 Kumi-Soroti-24h'!D50,'10.08 Kumi-Soroti-24h'!D50,'14.08 Kumi-Soroti'!D50)</f>
        <v>1</v>
      </c>
      <c r="E50" s="49">
        <f>AVERAGE('08.08 Kumi-Soroti'!E50,'11.08 Kumi-Soroti'!E50,'12.08 Kumi-Soroti'!E50,'13.08 Kumi-Soroti'!E50,'09.08 Kumi-Soroti-24h'!E50,'10.08 Kumi-Soroti-24h'!E50,'14.08 Kumi-Soroti'!E50)</f>
        <v>2.8571428571428572</v>
      </c>
      <c r="F50" s="49">
        <f>AVERAGE('08.08 Kumi-Soroti'!F50,'11.08 Kumi-Soroti'!F50,'12.08 Kumi-Soroti'!F50,'13.08 Kumi-Soroti'!F50,'09.08 Kumi-Soroti-24h'!F50,'10.08 Kumi-Soroti-24h'!F50,'14.08 Kumi-Soroti'!F50)</f>
        <v>3.1428571428571428</v>
      </c>
      <c r="G50" s="49">
        <f>AVERAGE('08.08 Kumi-Soroti'!G50,'11.08 Kumi-Soroti'!G50,'12.08 Kumi-Soroti'!G50,'13.08 Kumi-Soroti'!G50,'09.08 Kumi-Soroti-24h'!G50,'10.08 Kumi-Soroti-24h'!G50,'14.08 Kumi-Soroti'!G50)</f>
        <v>0</v>
      </c>
      <c r="H50" s="49">
        <f>AVERAGE('08.08 Kumi-Soroti'!H50,'11.08 Kumi-Soroti'!H50,'12.08 Kumi-Soroti'!H50,'13.08 Kumi-Soroti'!H50,'09.08 Kumi-Soroti-24h'!H50,'10.08 Kumi-Soroti-24h'!H50,'14.08 Kumi-Soroti'!H50)</f>
        <v>0.42857142857142855</v>
      </c>
      <c r="I50" s="49">
        <f>AVERAGE('08.08 Kumi-Soroti'!I50,'11.08 Kumi-Soroti'!I50,'12.08 Kumi-Soroti'!I50,'13.08 Kumi-Soroti'!I50,'09.08 Kumi-Soroti-24h'!I50,'10.08 Kumi-Soroti-24h'!I50,'14.08 Kumi-Soroti'!I50)</f>
        <v>2.1428571428571428</v>
      </c>
      <c r="J50" s="49">
        <f>AVERAGE('08.08 Kumi-Soroti'!J50,'11.08 Kumi-Soroti'!J50,'12.08 Kumi-Soroti'!J50,'13.08 Kumi-Soroti'!J50,'09.08 Kumi-Soroti-24h'!J50,'10.08 Kumi-Soroti-24h'!J50,'14.08 Kumi-Soroti'!J50)</f>
        <v>0</v>
      </c>
      <c r="K50" s="49">
        <f>AVERAGE('08.08 Kumi-Soroti'!K50,'11.08 Kumi-Soroti'!K50,'12.08 Kumi-Soroti'!K50,'13.08 Kumi-Soroti'!K50,'09.08 Kumi-Soroti-24h'!K50,'10.08 Kumi-Soroti-24h'!K50,'14.08 Kumi-Soroti'!K50)</f>
        <v>0.42857142857142855</v>
      </c>
      <c r="L50" s="49">
        <f>AVERAGE('08.08 Kumi-Soroti'!L50,'11.08 Kumi-Soroti'!L50,'12.08 Kumi-Soroti'!L50,'13.08 Kumi-Soroti'!L50,'09.08 Kumi-Soroti-24h'!L50,'10.08 Kumi-Soroti-24h'!L50,'14.08 Kumi-Soroti'!L50)</f>
        <v>1.8571428571428572</v>
      </c>
      <c r="M50" s="49">
        <f>AVERAGE('08.08 Kumi-Soroti'!M50,'11.08 Kumi-Soroti'!M50,'12.08 Kumi-Soroti'!M50,'13.08 Kumi-Soroti'!M50,'09.08 Kumi-Soroti-24h'!M50,'10.08 Kumi-Soroti-24h'!M50,'14.08 Kumi-Soroti'!M50)</f>
        <v>10.428571428571429</v>
      </c>
      <c r="N50" s="49">
        <f>AVERAGE('08.08 Kumi-Soroti'!N50,'11.08 Kumi-Soroti'!N50,'12.08 Kumi-Soroti'!N50,'13.08 Kumi-Soroti'!N50,'09.08 Kumi-Soroti-24h'!N50,'10.08 Kumi-Soroti-24h'!N50,'14.08 Kumi-Soroti'!N50)</f>
        <v>0</v>
      </c>
      <c r="O50" s="15">
        <f t="shared" si="0"/>
        <v>13.571428571428571</v>
      </c>
      <c r="P50" s="15">
        <f t="shared" si="1"/>
        <v>24</v>
      </c>
      <c r="R50" s="8"/>
      <c r="T50"/>
    </row>
    <row r="51" spans="2:20" ht="23.1" customHeight="1" x14ac:dyDescent="0.25">
      <c r="B51" s="24" t="s">
        <v>78</v>
      </c>
      <c r="C51" s="49">
        <f>AVERAGE('08.08 Kumi-Soroti'!C51,'11.08 Kumi-Soroti'!C51,'12.08 Kumi-Soroti'!C51,'13.08 Kumi-Soroti'!C51,'09.08 Kumi-Soroti-24h'!C51,'10.08 Kumi-Soroti-24h'!C51,'14.08 Kumi-Soroti'!C51)</f>
        <v>1.4285714285714286</v>
      </c>
      <c r="D51" s="49">
        <f>AVERAGE('08.08 Kumi-Soroti'!D51,'11.08 Kumi-Soroti'!D51,'12.08 Kumi-Soroti'!D51,'13.08 Kumi-Soroti'!D51,'09.08 Kumi-Soroti-24h'!D51,'10.08 Kumi-Soroti-24h'!D51,'14.08 Kumi-Soroti'!D51)</f>
        <v>0.8571428571428571</v>
      </c>
      <c r="E51" s="49">
        <f>AVERAGE('08.08 Kumi-Soroti'!E51,'11.08 Kumi-Soroti'!E51,'12.08 Kumi-Soroti'!E51,'13.08 Kumi-Soroti'!E51,'09.08 Kumi-Soroti-24h'!E51,'10.08 Kumi-Soroti-24h'!E51,'14.08 Kumi-Soroti'!E51)</f>
        <v>2.8571428571428572</v>
      </c>
      <c r="F51" s="49">
        <f>AVERAGE('08.08 Kumi-Soroti'!F51,'11.08 Kumi-Soroti'!F51,'12.08 Kumi-Soroti'!F51,'13.08 Kumi-Soroti'!F51,'09.08 Kumi-Soroti-24h'!F51,'10.08 Kumi-Soroti-24h'!F51,'14.08 Kumi-Soroti'!F51)</f>
        <v>3</v>
      </c>
      <c r="G51" s="49">
        <f>AVERAGE('08.08 Kumi-Soroti'!G51,'11.08 Kumi-Soroti'!G51,'12.08 Kumi-Soroti'!G51,'13.08 Kumi-Soroti'!G51,'09.08 Kumi-Soroti-24h'!G51,'10.08 Kumi-Soroti-24h'!G51,'14.08 Kumi-Soroti'!G51)</f>
        <v>0</v>
      </c>
      <c r="H51" s="49">
        <f>AVERAGE('08.08 Kumi-Soroti'!H51,'11.08 Kumi-Soroti'!H51,'12.08 Kumi-Soroti'!H51,'13.08 Kumi-Soroti'!H51,'09.08 Kumi-Soroti-24h'!H51,'10.08 Kumi-Soroti-24h'!H51,'14.08 Kumi-Soroti'!H51)</f>
        <v>0.5714285714285714</v>
      </c>
      <c r="I51" s="49">
        <f>AVERAGE('08.08 Kumi-Soroti'!I51,'11.08 Kumi-Soroti'!I51,'12.08 Kumi-Soroti'!I51,'13.08 Kumi-Soroti'!I51,'09.08 Kumi-Soroti-24h'!I51,'10.08 Kumi-Soroti-24h'!I51,'14.08 Kumi-Soroti'!I51)</f>
        <v>2.1428571428571428</v>
      </c>
      <c r="J51" s="49">
        <f>AVERAGE('08.08 Kumi-Soroti'!J51,'11.08 Kumi-Soroti'!J51,'12.08 Kumi-Soroti'!J51,'13.08 Kumi-Soroti'!J51,'09.08 Kumi-Soroti-24h'!J51,'10.08 Kumi-Soroti-24h'!J51,'14.08 Kumi-Soroti'!J51)</f>
        <v>1</v>
      </c>
      <c r="K51" s="49">
        <f>AVERAGE('08.08 Kumi-Soroti'!K51,'11.08 Kumi-Soroti'!K51,'12.08 Kumi-Soroti'!K51,'13.08 Kumi-Soroti'!K51,'09.08 Kumi-Soroti-24h'!K51,'10.08 Kumi-Soroti-24h'!K51,'14.08 Kumi-Soroti'!K51)</f>
        <v>0.5714285714285714</v>
      </c>
      <c r="L51" s="49">
        <f>AVERAGE('08.08 Kumi-Soroti'!L51,'11.08 Kumi-Soroti'!L51,'12.08 Kumi-Soroti'!L51,'13.08 Kumi-Soroti'!L51,'09.08 Kumi-Soroti-24h'!L51,'10.08 Kumi-Soroti-24h'!L51,'14.08 Kumi-Soroti'!L51)</f>
        <v>2</v>
      </c>
      <c r="M51" s="49">
        <f>AVERAGE('08.08 Kumi-Soroti'!M51,'11.08 Kumi-Soroti'!M51,'12.08 Kumi-Soroti'!M51,'13.08 Kumi-Soroti'!M51,'09.08 Kumi-Soroti-24h'!M51,'10.08 Kumi-Soroti-24h'!M51,'14.08 Kumi-Soroti'!M51)</f>
        <v>8.5714285714285712</v>
      </c>
      <c r="N51" s="49">
        <f>AVERAGE('08.08 Kumi-Soroti'!N51,'11.08 Kumi-Soroti'!N51,'12.08 Kumi-Soroti'!N51,'13.08 Kumi-Soroti'!N51,'09.08 Kumi-Soroti-24h'!N51,'10.08 Kumi-Soroti-24h'!N51,'14.08 Kumi-Soroti'!N51)</f>
        <v>0</v>
      </c>
      <c r="O51" s="15">
        <f t="shared" si="0"/>
        <v>14.428571428571427</v>
      </c>
      <c r="P51" s="15">
        <f t="shared" si="1"/>
        <v>23</v>
      </c>
      <c r="R51" s="8"/>
      <c r="T51"/>
    </row>
    <row r="52" spans="2:20" ht="23.1" customHeight="1" x14ac:dyDescent="0.25">
      <c r="B52" s="24" t="s">
        <v>79</v>
      </c>
      <c r="C52" s="49">
        <f>AVERAGE('08.08 Kumi-Soroti'!C52,'11.08 Kumi-Soroti'!C52,'12.08 Kumi-Soroti'!C52,'13.08 Kumi-Soroti'!C52,'09.08 Kumi-Soroti-24h'!C52,'10.08 Kumi-Soroti-24h'!C52,'14.08 Kumi-Soroti'!C52)</f>
        <v>1.8571428571428572</v>
      </c>
      <c r="D52" s="49">
        <f>AVERAGE('08.08 Kumi-Soroti'!D52,'11.08 Kumi-Soroti'!D52,'12.08 Kumi-Soroti'!D52,'13.08 Kumi-Soroti'!D52,'09.08 Kumi-Soroti-24h'!D52,'10.08 Kumi-Soroti-24h'!D52,'14.08 Kumi-Soroti'!D52)</f>
        <v>1</v>
      </c>
      <c r="E52" s="49">
        <f>AVERAGE('08.08 Kumi-Soroti'!E52,'11.08 Kumi-Soroti'!E52,'12.08 Kumi-Soroti'!E52,'13.08 Kumi-Soroti'!E52,'09.08 Kumi-Soroti-24h'!E52,'10.08 Kumi-Soroti-24h'!E52,'14.08 Kumi-Soroti'!E52)</f>
        <v>3.2857142857142856</v>
      </c>
      <c r="F52" s="49">
        <f>AVERAGE('08.08 Kumi-Soroti'!F52,'11.08 Kumi-Soroti'!F52,'12.08 Kumi-Soroti'!F52,'13.08 Kumi-Soroti'!F52,'09.08 Kumi-Soroti-24h'!F52,'10.08 Kumi-Soroti-24h'!F52,'14.08 Kumi-Soroti'!F52)</f>
        <v>2</v>
      </c>
      <c r="G52" s="49">
        <f>AVERAGE('08.08 Kumi-Soroti'!G52,'11.08 Kumi-Soroti'!G52,'12.08 Kumi-Soroti'!G52,'13.08 Kumi-Soroti'!G52,'09.08 Kumi-Soroti-24h'!G52,'10.08 Kumi-Soroti-24h'!G52,'14.08 Kumi-Soroti'!G52)</f>
        <v>0.14285714285714285</v>
      </c>
      <c r="H52" s="49">
        <f>AVERAGE('08.08 Kumi-Soroti'!H52,'11.08 Kumi-Soroti'!H52,'12.08 Kumi-Soroti'!H52,'13.08 Kumi-Soroti'!H52,'09.08 Kumi-Soroti-24h'!H52,'10.08 Kumi-Soroti-24h'!H52,'14.08 Kumi-Soroti'!H52)</f>
        <v>0</v>
      </c>
      <c r="I52" s="49">
        <f>AVERAGE('08.08 Kumi-Soroti'!I52,'11.08 Kumi-Soroti'!I52,'12.08 Kumi-Soroti'!I52,'13.08 Kumi-Soroti'!I52,'09.08 Kumi-Soroti-24h'!I52,'10.08 Kumi-Soroti-24h'!I52,'14.08 Kumi-Soroti'!I52)</f>
        <v>1.8571428571428572</v>
      </c>
      <c r="J52" s="49">
        <f>AVERAGE('08.08 Kumi-Soroti'!J52,'11.08 Kumi-Soroti'!J52,'12.08 Kumi-Soroti'!J52,'13.08 Kumi-Soroti'!J52,'09.08 Kumi-Soroti-24h'!J52,'10.08 Kumi-Soroti-24h'!J52,'14.08 Kumi-Soroti'!J52)</f>
        <v>0</v>
      </c>
      <c r="K52" s="49">
        <f>AVERAGE('08.08 Kumi-Soroti'!K52,'11.08 Kumi-Soroti'!K52,'12.08 Kumi-Soroti'!K52,'13.08 Kumi-Soroti'!K52,'09.08 Kumi-Soroti-24h'!K52,'10.08 Kumi-Soroti-24h'!K52,'14.08 Kumi-Soroti'!K52)</f>
        <v>0</v>
      </c>
      <c r="L52" s="49">
        <f>AVERAGE('08.08 Kumi-Soroti'!L52,'11.08 Kumi-Soroti'!L52,'12.08 Kumi-Soroti'!L52,'13.08 Kumi-Soroti'!L52,'09.08 Kumi-Soroti-24h'!L52,'10.08 Kumi-Soroti-24h'!L52,'14.08 Kumi-Soroti'!L52)</f>
        <v>1.4285714285714286</v>
      </c>
      <c r="M52" s="49">
        <f>AVERAGE('08.08 Kumi-Soroti'!M52,'11.08 Kumi-Soroti'!M52,'12.08 Kumi-Soroti'!M52,'13.08 Kumi-Soroti'!M52,'09.08 Kumi-Soroti-24h'!M52,'10.08 Kumi-Soroti-24h'!M52,'14.08 Kumi-Soroti'!M52)</f>
        <v>9.5714285714285712</v>
      </c>
      <c r="N52" s="49">
        <f>AVERAGE('08.08 Kumi-Soroti'!N52,'11.08 Kumi-Soroti'!N52,'12.08 Kumi-Soroti'!N52,'13.08 Kumi-Soroti'!N52,'09.08 Kumi-Soroti-24h'!N52,'10.08 Kumi-Soroti-24h'!N52,'14.08 Kumi-Soroti'!N52)</f>
        <v>0</v>
      </c>
      <c r="O52" s="15">
        <f t="shared" si="0"/>
        <v>11.571428571428571</v>
      </c>
      <c r="P52" s="15">
        <f t="shared" si="1"/>
        <v>21.142857142857142</v>
      </c>
      <c r="R52" s="8"/>
      <c r="T52"/>
    </row>
    <row r="53" spans="2:20" ht="23.1" customHeight="1" x14ac:dyDescent="0.25">
      <c r="B53" s="23" t="s">
        <v>80</v>
      </c>
      <c r="C53" s="49">
        <f>AVERAGE('08.08 Kumi-Soroti'!C53,'11.08 Kumi-Soroti'!C53,'12.08 Kumi-Soroti'!C53,'13.08 Kumi-Soroti'!C53,'09.08 Kumi-Soroti-24h'!C53,'10.08 Kumi-Soroti-24h'!C53,'14.08 Kumi-Soroti'!C53)</f>
        <v>1.8571428571428572</v>
      </c>
      <c r="D53" s="49">
        <f>AVERAGE('08.08 Kumi-Soroti'!D53,'11.08 Kumi-Soroti'!D53,'12.08 Kumi-Soroti'!D53,'13.08 Kumi-Soroti'!D53,'09.08 Kumi-Soroti-24h'!D53,'10.08 Kumi-Soroti-24h'!D53,'14.08 Kumi-Soroti'!D53)</f>
        <v>1.2857142857142858</v>
      </c>
      <c r="E53" s="49">
        <f>AVERAGE('08.08 Kumi-Soroti'!E53,'11.08 Kumi-Soroti'!E53,'12.08 Kumi-Soroti'!E53,'13.08 Kumi-Soroti'!E53,'09.08 Kumi-Soroti-24h'!E53,'10.08 Kumi-Soroti-24h'!E53,'14.08 Kumi-Soroti'!E53)</f>
        <v>3.5714285714285716</v>
      </c>
      <c r="F53" s="49">
        <f>AVERAGE('08.08 Kumi-Soroti'!F53,'11.08 Kumi-Soroti'!F53,'12.08 Kumi-Soroti'!F53,'13.08 Kumi-Soroti'!F53,'09.08 Kumi-Soroti-24h'!F53,'10.08 Kumi-Soroti-24h'!F53,'14.08 Kumi-Soroti'!F53)</f>
        <v>2.5714285714285716</v>
      </c>
      <c r="G53" s="49">
        <f>AVERAGE('08.08 Kumi-Soroti'!G53,'11.08 Kumi-Soroti'!G53,'12.08 Kumi-Soroti'!G53,'13.08 Kumi-Soroti'!G53,'09.08 Kumi-Soroti-24h'!G53,'10.08 Kumi-Soroti-24h'!G53,'14.08 Kumi-Soroti'!G53)</f>
        <v>0</v>
      </c>
      <c r="H53" s="49">
        <f>AVERAGE('08.08 Kumi-Soroti'!H53,'11.08 Kumi-Soroti'!H53,'12.08 Kumi-Soroti'!H53,'13.08 Kumi-Soroti'!H53,'09.08 Kumi-Soroti-24h'!H53,'10.08 Kumi-Soroti-24h'!H53,'14.08 Kumi-Soroti'!H53)</f>
        <v>0.42857142857142855</v>
      </c>
      <c r="I53" s="49">
        <f>AVERAGE('08.08 Kumi-Soroti'!I53,'11.08 Kumi-Soroti'!I53,'12.08 Kumi-Soroti'!I53,'13.08 Kumi-Soroti'!I53,'09.08 Kumi-Soroti-24h'!I53,'10.08 Kumi-Soroti-24h'!I53,'14.08 Kumi-Soroti'!I53)</f>
        <v>2</v>
      </c>
      <c r="J53" s="49">
        <f>AVERAGE('08.08 Kumi-Soroti'!J53,'11.08 Kumi-Soroti'!J53,'12.08 Kumi-Soroti'!J53,'13.08 Kumi-Soroti'!J53,'09.08 Kumi-Soroti-24h'!J53,'10.08 Kumi-Soroti-24h'!J53,'14.08 Kumi-Soroti'!J53)</f>
        <v>0.2857142857142857</v>
      </c>
      <c r="K53" s="49">
        <f>AVERAGE('08.08 Kumi-Soroti'!K53,'11.08 Kumi-Soroti'!K53,'12.08 Kumi-Soroti'!K53,'13.08 Kumi-Soroti'!K53,'09.08 Kumi-Soroti-24h'!K53,'10.08 Kumi-Soroti-24h'!K53,'14.08 Kumi-Soroti'!K53)</f>
        <v>0.14285714285714285</v>
      </c>
      <c r="L53" s="49">
        <f>AVERAGE('08.08 Kumi-Soroti'!L53,'11.08 Kumi-Soroti'!L53,'12.08 Kumi-Soroti'!L53,'13.08 Kumi-Soroti'!L53,'09.08 Kumi-Soroti-24h'!L53,'10.08 Kumi-Soroti-24h'!L53,'14.08 Kumi-Soroti'!L53)</f>
        <v>3</v>
      </c>
      <c r="M53" s="49">
        <f>AVERAGE('08.08 Kumi-Soroti'!M53,'11.08 Kumi-Soroti'!M53,'12.08 Kumi-Soroti'!M53,'13.08 Kumi-Soroti'!M53,'09.08 Kumi-Soroti-24h'!M53,'10.08 Kumi-Soroti-24h'!M53,'14.08 Kumi-Soroti'!M53)</f>
        <v>11.285714285714286</v>
      </c>
      <c r="N53" s="49">
        <f>AVERAGE('08.08 Kumi-Soroti'!N53,'11.08 Kumi-Soroti'!N53,'12.08 Kumi-Soroti'!N53,'13.08 Kumi-Soroti'!N53,'09.08 Kumi-Soroti-24h'!N53,'10.08 Kumi-Soroti-24h'!N53,'14.08 Kumi-Soroti'!N53)</f>
        <v>0</v>
      </c>
      <c r="O53" s="15">
        <f t="shared" si="0"/>
        <v>15.142857142857144</v>
      </c>
      <c r="P53" s="15">
        <f t="shared" si="1"/>
        <v>26.428571428571431</v>
      </c>
      <c r="R53" s="8"/>
      <c r="T53"/>
    </row>
    <row r="54" spans="2:20" ht="23.1" customHeight="1" x14ac:dyDescent="0.25">
      <c r="B54" s="23" t="s">
        <v>81</v>
      </c>
      <c r="C54" s="49">
        <f>AVERAGE('08.08 Kumi-Soroti'!C54,'11.08 Kumi-Soroti'!C54,'12.08 Kumi-Soroti'!C54,'13.08 Kumi-Soroti'!C54,'09.08 Kumi-Soroti-24h'!C54,'10.08 Kumi-Soroti-24h'!C54,'14.08 Kumi-Soroti'!C54)</f>
        <v>1.1428571428571428</v>
      </c>
      <c r="D54" s="49">
        <f>AVERAGE('08.08 Kumi-Soroti'!D54,'11.08 Kumi-Soroti'!D54,'12.08 Kumi-Soroti'!D54,'13.08 Kumi-Soroti'!D54,'09.08 Kumi-Soroti-24h'!D54,'10.08 Kumi-Soroti-24h'!D54,'14.08 Kumi-Soroti'!D54)</f>
        <v>1.4285714285714286</v>
      </c>
      <c r="E54" s="49">
        <f>AVERAGE('08.08 Kumi-Soroti'!E54,'11.08 Kumi-Soroti'!E54,'12.08 Kumi-Soroti'!E54,'13.08 Kumi-Soroti'!E54,'09.08 Kumi-Soroti-24h'!E54,'10.08 Kumi-Soroti-24h'!E54,'14.08 Kumi-Soroti'!E54)</f>
        <v>3.7142857142857144</v>
      </c>
      <c r="F54" s="49">
        <f>AVERAGE('08.08 Kumi-Soroti'!F54,'11.08 Kumi-Soroti'!F54,'12.08 Kumi-Soroti'!F54,'13.08 Kumi-Soroti'!F54,'09.08 Kumi-Soroti-24h'!F54,'10.08 Kumi-Soroti-24h'!F54,'14.08 Kumi-Soroti'!F54)</f>
        <v>3.2857142857142856</v>
      </c>
      <c r="G54" s="49">
        <f>AVERAGE('08.08 Kumi-Soroti'!G54,'11.08 Kumi-Soroti'!G54,'12.08 Kumi-Soroti'!G54,'13.08 Kumi-Soroti'!G54,'09.08 Kumi-Soroti-24h'!G54,'10.08 Kumi-Soroti-24h'!G54,'14.08 Kumi-Soroti'!G54)</f>
        <v>0</v>
      </c>
      <c r="H54" s="49">
        <f>AVERAGE('08.08 Kumi-Soroti'!H54,'11.08 Kumi-Soroti'!H54,'12.08 Kumi-Soroti'!H54,'13.08 Kumi-Soroti'!H54,'09.08 Kumi-Soroti-24h'!H54,'10.08 Kumi-Soroti-24h'!H54,'14.08 Kumi-Soroti'!H54)</f>
        <v>0.14285714285714285</v>
      </c>
      <c r="I54" s="49">
        <f>AVERAGE('08.08 Kumi-Soroti'!I54,'11.08 Kumi-Soroti'!I54,'12.08 Kumi-Soroti'!I54,'13.08 Kumi-Soroti'!I54,'09.08 Kumi-Soroti-24h'!I54,'10.08 Kumi-Soroti-24h'!I54,'14.08 Kumi-Soroti'!I54)</f>
        <v>1.4285714285714286</v>
      </c>
      <c r="J54" s="49">
        <f>AVERAGE('08.08 Kumi-Soroti'!J54,'11.08 Kumi-Soroti'!J54,'12.08 Kumi-Soroti'!J54,'13.08 Kumi-Soroti'!J54,'09.08 Kumi-Soroti-24h'!J54,'10.08 Kumi-Soroti-24h'!J54,'14.08 Kumi-Soroti'!J54)</f>
        <v>0.2857142857142857</v>
      </c>
      <c r="K54" s="49">
        <f>AVERAGE('08.08 Kumi-Soroti'!K54,'11.08 Kumi-Soroti'!K54,'12.08 Kumi-Soroti'!K54,'13.08 Kumi-Soroti'!K54,'09.08 Kumi-Soroti-24h'!K54,'10.08 Kumi-Soroti-24h'!K54,'14.08 Kumi-Soroti'!K54)</f>
        <v>0</v>
      </c>
      <c r="L54" s="49">
        <f>AVERAGE('08.08 Kumi-Soroti'!L54,'11.08 Kumi-Soroti'!L54,'12.08 Kumi-Soroti'!L54,'13.08 Kumi-Soroti'!L54,'09.08 Kumi-Soroti-24h'!L54,'10.08 Kumi-Soroti-24h'!L54,'14.08 Kumi-Soroti'!L54)</f>
        <v>2.1428571428571428</v>
      </c>
      <c r="M54" s="49">
        <f>AVERAGE('08.08 Kumi-Soroti'!M54,'11.08 Kumi-Soroti'!M54,'12.08 Kumi-Soroti'!M54,'13.08 Kumi-Soroti'!M54,'09.08 Kumi-Soroti-24h'!M54,'10.08 Kumi-Soroti-24h'!M54,'14.08 Kumi-Soroti'!M54)</f>
        <v>10.285714285714286</v>
      </c>
      <c r="N54" s="49">
        <f>AVERAGE('08.08 Kumi-Soroti'!N54,'11.08 Kumi-Soroti'!N54,'12.08 Kumi-Soroti'!N54,'13.08 Kumi-Soroti'!N54,'09.08 Kumi-Soroti-24h'!N54,'10.08 Kumi-Soroti-24h'!N54,'14.08 Kumi-Soroti'!N54)</f>
        <v>0</v>
      </c>
      <c r="O54" s="15">
        <f t="shared" si="0"/>
        <v>13.571428571428571</v>
      </c>
      <c r="P54" s="15">
        <f t="shared" si="1"/>
        <v>23.857142857142858</v>
      </c>
      <c r="R54" s="8"/>
      <c r="T54"/>
    </row>
    <row r="55" spans="2:20" ht="23.1" customHeight="1" x14ac:dyDescent="0.25">
      <c r="B55" s="23" t="s">
        <v>82</v>
      </c>
      <c r="C55" s="49">
        <f>AVERAGE('08.08 Kumi-Soroti'!C55,'11.08 Kumi-Soroti'!C55,'12.08 Kumi-Soroti'!C55,'13.08 Kumi-Soroti'!C55,'09.08 Kumi-Soroti-24h'!C55,'10.08 Kumi-Soroti-24h'!C55,'14.08 Kumi-Soroti'!C55)</f>
        <v>1</v>
      </c>
      <c r="D55" s="49">
        <f>AVERAGE('08.08 Kumi-Soroti'!D55,'11.08 Kumi-Soroti'!D55,'12.08 Kumi-Soroti'!D55,'13.08 Kumi-Soroti'!D55,'09.08 Kumi-Soroti-24h'!D55,'10.08 Kumi-Soroti-24h'!D55,'14.08 Kumi-Soroti'!D55)</f>
        <v>0.2857142857142857</v>
      </c>
      <c r="E55" s="49">
        <f>AVERAGE('08.08 Kumi-Soroti'!E55,'11.08 Kumi-Soroti'!E55,'12.08 Kumi-Soroti'!E55,'13.08 Kumi-Soroti'!E55,'09.08 Kumi-Soroti-24h'!E55,'10.08 Kumi-Soroti-24h'!E55,'14.08 Kumi-Soroti'!E55)</f>
        <v>2.2857142857142856</v>
      </c>
      <c r="F55" s="49">
        <f>AVERAGE('08.08 Kumi-Soroti'!F55,'11.08 Kumi-Soroti'!F55,'12.08 Kumi-Soroti'!F55,'13.08 Kumi-Soroti'!F55,'09.08 Kumi-Soroti-24h'!F55,'10.08 Kumi-Soroti-24h'!F55,'14.08 Kumi-Soroti'!F55)</f>
        <v>1.4285714285714286</v>
      </c>
      <c r="G55" s="49">
        <f>AVERAGE('08.08 Kumi-Soroti'!G55,'11.08 Kumi-Soroti'!G55,'12.08 Kumi-Soroti'!G55,'13.08 Kumi-Soroti'!G55,'09.08 Kumi-Soroti-24h'!G55,'10.08 Kumi-Soroti-24h'!G55,'14.08 Kumi-Soroti'!G55)</f>
        <v>0.14285714285714285</v>
      </c>
      <c r="H55" s="49">
        <f>AVERAGE('08.08 Kumi-Soroti'!H55,'11.08 Kumi-Soroti'!H55,'12.08 Kumi-Soroti'!H55,'13.08 Kumi-Soroti'!H55,'09.08 Kumi-Soroti-24h'!H55,'10.08 Kumi-Soroti-24h'!H55,'14.08 Kumi-Soroti'!H55)</f>
        <v>0.2857142857142857</v>
      </c>
      <c r="I55" s="49">
        <f>AVERAGE('08.08 Kumi-Soroti'!I55,'11.08 Kumi-Soroti'!I55,'12.08 Kumi-Soroti'!I55,'13.08 Kumi-Soroti'!I55,'09.08 Kumi-Soroti-24h'!I55,'10.08 Kumi-Soroti-24h'!I55,'14.08 Kumi-Soroti'!I55)</f>
        <v>1.8571428571428572</v>
      </c>
      <c r="J55" s="49">
        <f>AVERAGE('08.08 Kumi-Soroti'!J55,'11.08 Kumi-Soroti'!J55,'12.08 Kumi-Soroti'!J55,'13.08 Kumi-Soroti'!J55,'09.08 Kumi-Soroti-24h'!J55,'10.08 Kumi-Soroti-24h'!J55,'14.08 Kumi-Soroti'!J55)</f>
        <v>0.2857142857142857</v>
      </c>
      <c r="K55" s="49">
        <f>AVERAGE('08.08 Kumi-Soroti'!K55,'11.08 Kumi-Soroti'!K55,'12.08 Kumi-Soroti'!K55,'13.08 Kumi-Soroti'!K55,'09.08 Kumi-Soroti-24h'!K55,'10.08 Kumi-Soroti-24h'!K55,'14.08 Kumi-Soroti'!K55)</f>
        <v>0</v>
      </c>
      <c r="L55" s="49">
        <f>AVERAGE('08.08 Kumi-Soroti'!L55,'11.08 Kumi-Soroti'!L55,'12.08 Kumi-Soroti'!L55,'13.08 Kumi-Soroti'!L55,'09.08 Kumi-Soroti-24h'!L55,'10.08 Kumi-Soroti-24h'!L55,'14.08 Kumi-Soroti'!L55)</f>
        <v>1.5714285714285714</v>
      </c>
      <c r="M55" s="49">
        <f>AVERAGE('08.08 Kumi-Soroti'!M55,'11.08 Kumi-Soroti'!M55,'12.08 Kumi-Soroti'!M55,'13.08 Kumi-Soroti'!M55,'09.08 Kumi-Soroti-24h'!M55,'10.08 Kumi-Soroti-24h'!M55,'14.08 Kumi-Soroti'!M55)</f>
        <v>9.7142857142857135</v>
      </c>
      <c r="N55" s="49">
        <f>AVERAGE('08.08 Kumi-Soroti'!N55,'11.08 Kumi-Soroti'!N55,'12.08 Kumi-Soroti'!N55,'13.08 Kumi-Soroti'!N55,'09.08 Kumi-Soroti-24h'!N55,'10.08 Kumi-Soroti-24h'!N55,'14.08 Kumi-Soroti'!N55)</f>
        <v>0</v>
      </c>
      <c r="O55" s="15">
        <f t="shared" si="0"/>
        <v>9.1428571428571441</v>
      </c>
      <c r="P55" s="15">
        <f t="shared" si="1"/>
        <v>18.857142857142858</v>
      </c>
      <c r="R55" s="8"/>
      <c r="T55"/>
    </row>
    <row r="56" spans="2:20" ht="23.1" customHeight="1" x14ac:dyDescent="0.25">
      <c r="B56" s="23" t="s">
        <v>83</v>
      </c>
      <c r="C56" s="49">
        <f>AVERAGE('08.08 Kumi-Soroti'!C56,'11.08 Kumi-Soroti'!C56,'12.08 Kumi-Soroti'!C56,'13.08 Kumi-Soroti'!C56,'09.08 Kumi-Soroti-24h'!C56,'10.08 Kumi-Soroti-24h'!C56,'14.08 Kumi-Soroti'!C56)</f>
        <v>1.7142857142857142</v>
      </c>
      <c r="D56" s="49">
        <f>AVERAGE('08.08 Kumi-Soroti'!D56,'11.08 Kumi-Soroti'!D56,'12.08 Kumi-Soroti'!D56,'13.08 Kumi-Soroti'!D56,'09.08 Kumi-Soroti-24h'!D56,'10.08 Kumi-Soroti-24h'!D56,'14.08 Kumi-Soroti'!D56)</f>
        <v>0.8571428571428571</v>
      </c>
      <c r="E56" s="49">
        <f>AVERAGE('08.08 Kumi-Soroti'!E56,'11.08 Kumi-Soroti'!E56,'12.08 Kumi-Soroti'!E56,'13.08 Kumi-Soroti'!E56,'09.08 Kumi-Soroti-24h'!E56,'10.08 Kumi-Soroti-24h'!E56,'14.08 Kumi-Soroti'!E56)</f>
        <v>2.7142857142857144</v>
      </c>
      <c r="F56" s="49">
        <f>AVERAGE('08.08 Kumi-Soroti'!F56,'11.08 Kumi-Soroti'!F56,'12.08 Kumi-Soroti'!F56,'13.08 Kumi-Soroti'!F56,'09.08 Kumi-Soroti-24h'!F56,'10.08 Kumi-Soroti-24h'!F56,'14.08 Kumi-Soroti'!F56)</f>
        <v>2.5714285714285716</v>
      </c>
      <c r="G56" s="49">
        <f>AVERAGE('08.08 Kumi-Soroti'!G56,'11.08 Kumi-Soroti'!G56,'12.08 Kumi-Soroti'!G56,'13.08 Kumi-Soroti'!G56,'09.08 Kumi-Soroti-24h'!G56,'10.08 Kumi-Soroti-24h'!G56,'14.08 Kumi-Soroti'!G56)</f>
        <v>0.2857142857142857</v>
      </c>
      <c r="H56" s="49">
        <f>AVERAGE('08.08 Kumi-Soroti'!H56,'11.08 Kumi-Soroti'!H56,'12.08 Kumi-Soroti'!H56,'13.08 Kumi-Soroti'!H56,'09.08 Kumi-Soroti-24h'!H56,'10.08 Kumi-Soroti-24h'!H56,'14.08 Kumi-Soroti'!H56)</f>
        <v>0.7142857142857143</v>
      </c>
      <c r="I56" s="49">
        <f>AVERAGE('08.08 Kumi-Soroti'!I56,'11.08 Kumi-Soroti'!I56,'12.08 Kumi-Soroti'!I56,'13.08 Kumi-Soroti'!I56,'09.08 Kumi-Soroti-24h'!I56,'10.08 Kumi-Soroti-24h'!I56,'14.08 Kumi-Soroti'!I56)</f>
        <v>3.5714285714285716</v>
      </c>
      <c r="J56" s="49">
        <f>AVERAGE('08.08 Kumi-Soroti'!J56,'11.08 Kumi-Soroti'!J56,'12.08 Kumi-Soroti'!J56,'13.08 Kumi-Soroti'!J56,'09.08 Kumi-Soroti-24h'!J56,'10.08 Kumi-Soroti-24h'!J56,'14.08 Kumi-Soroti'!J56)</f>
        <v>0.8571428571428571</v>
      </c>
      <c r="K56" s="49">
        <f>AVERAGE('08.08 Kumi-Soroti'!K56,'11.08 Kumi-Soroti'!K56,'12.08 Kumi-Soroti'!K56,'13.08 Kumi-Soroti'!K56,'09.08 Kumi-Soroti-24h'!K56,'10.08 Kumi-Soroti-24h'!K56,'14.08 Kumi-Soroti'!K56)</f>
        <v>0</v>
      </c>
      <c r="L56" s="49">
        <f>AVERAGE('08.08 Kumi-Soroti'!L56,'11.08 Kumi-Soroti'!L56,'12.08 Kumi-Soroti'!L56,'13.08 Kumi-Soroti'!L56,'09.08 Kumi-Soroti-24h'!L56,'10.08 Kumi-Soroti-24h'!L56,'14.08 Kumi-Soroti'!L56)</f>
        <v>3</v>
      </c>
      <c r="M56" s="49">
        <f>AVERAGE('08.08 Kumi-Soroti'!M56,'11.08 Kumi-Soroti'!M56,'12.08 Kumi-Soroti'!M56,'13.08 Kumi-Soroti'!M56,'09.08 Kumi-Soroti-24h'!M56,'10.08 Kumi-Soroti-24h'!M56,'14.08 Kumi-Soroti'!M56)</f>
        <v>9.2857142857142865</v>
      </c>
      <c r="N56" s="49">
        <f>AVERAGE('08.08 Kumi-Soroti'!N56,'11.08 Kumi-Soroti'!N56,'12.08 Kumi-Soroti'!N56,'13.08 Kumi-Soroti'!N56,'09.08 Kumi-Soroti-24h'!N56,'10.08 Kumi-Soroti-24h'!N56,'14.08 Kumi-Soroti'!N56)</f>
        <v>0</v>
      </c>
      <c r="O56" s="15">
        <f t="shared" si="0"/>
        <v>16.285714285714285</v>
      </c>
      <c r="P56" s="15">
        <f t="shared" si="1"/>
        <v>25.571428571428569</v>
      </c>
      <c r="R56" s="8"/>
      <c r="T56"/>
    </row>
    <row r="57" spans="2:20" ht="23.1" customHeight="1" x14ac:dyDescent="0.25">
      <c r="B57" s="23" t="s">
        <v>84</v>
      </c>
      <c r="C57" s="49">
        <f>AVERAGE('08.08 Kumi-Soroti'!C57,'11.08 Kumi-Soroti'!C57,'12.08 Kumi-Soroti'!C57,'13.08 Kumi-Soroti'!C57,'09.08 Kumi-Soroti-24h'!C57,'10.08 Kumi-Soroti-24h'!C57,'14.08 Kumi-Soroti'!C57)</f>
        <v>0.8571428571428571</v>
      </c>
      <c r="D57" s="49">
        <f>AVERAGE('08.08 Kumi-Soroti'!D57,'11.08 Kumi-Soroti'!D57,'12.08 Kumi-Soroti'!D57,'13.08 Kumi-Soroti'!D57,'09.08 Kumi-Soroti-24h'!D57,'10.08 Kumi-Soroti-24h'!D57,'14.08 Kumi-Soroti'!D57)</f>
        <v>0.42857142857142855</v>
      </c>
      <c r="E57" s="49">
        <f>AVERAGE('08.08 Kumi-Soroti'!E57,'11.08 Kumi-Soroti'!E57,'12.08 Kumi-Soroti'!E57,'13.08 Kumi-Soroti'!E57,'09.08 Kumi-Soroti-24h'!E57,'10.08 Kumi-Soroti-24h'!E57,'14.08 Kumi-Soroti'!E57)</f>
        <v>1.8571428571428572</v>
      </c>
      <c r="F57" s="49">
        <f>AVERAGE('08.08 Kumi-Soroti'!F57,'11.08 Kumi-Soroti'!F57,'12.08 Kumi-Soroti'!F57,'13.08 Kumi-Soroti'!F57,'09.08 Kumi-Soroti-24h'!F57,'10.08 Kumi-Soroti-24h'!F57,'14.08 Kumi-Soroti'!F57)</f>
        <v>1.8571428571428572</v>
      </c>
      <c r="G57" s="49">
        <f>AVERAGE('08.08 Kumi-Soroti'!G57,'11.08 Kumi-Soroti'!G57,'12.08 Kumi-Soroti'!G57,'13.08 Kumi-Soroti'!G57,'09.08 Kumi-Soroti-24h'!G57,'10.08 Kumi-Soroti-24h'!G57,'14.08 Kumi-Soroti'!G57)</f>
        <v>0.2857142857142857</v>
      </c>
      <c r="H57" s="49">
        <f>AVERAGE('08.08 Kumi-Soroti'!H57,'11.08 Kumi-Soroti'!H57,'12.08 Kumi-Soroti'!H57,'13.08 Kumi-Soroti'!H57,'09.08 Kumi-Soroti-24h'!H57,'10.08 Kumi-Soroti-24h'!H57,'14.08 Kumi-Soroti'!H57)</f>
        <v>0.42857142857142855</v>
      </c>
      <c r="I57" s="49">
        <f>AVERAGE('08.08 Kumi-Soroti'!I57,'11.08 Kumi-Soroti'!I57,'12.08 Kumi-Soroti'!I57,'13.08 Kumi-Soroti'!I57,'09.08 Kumi-Soroti-24h'!I57,'10.08 Kumi-Soroti-24h'!I57,'14.08 Kumi-Soroti'!I57)</f>
        <v>1.4285714285714286</v>
      </c>
      <c r="J57" s="49">
        <f>AVERAGE('08.08 Kumi-Soroti'!J57,'11.08 Kumi-Soroti'!J57,'12.08 Kumi-Soroti'!J57,'13.08 Kumi-Soroti'!J57,'09.08 Kumi-Soroti-24h'!J57,'10.08 Kumi-Soroti-24h'!J57,'14.08 Kumi-Soroti'!J57)</f>
        <v>0.2857142857142857</v>
      </c>
      <c r="K57" s="49">
        <f>AVERAGE('08.08 Kumi-Soroti'!K57,'11.08 Kumi-Soroti'!K57,'12.08 Kumi-Soroti'!K57,'13.08 Kumi-Soroti'!K57,'09.08 Kumi-Soroti-24h'!K57,'10.08 Kumi-Soroti-24h'!K57,'14.08 Kumi-Soroti'!K57)</f>
        <v>0.14285714285714285</v>
      </c>
      <c r="L57" s="49">
        <f>AVERAGE('08.08 Kumi-Soroti'!L57,'11.08 Kumi-Soroti'!L57,'12.08 Kumi-Soroti'!L57,'13.08 Kumi-Soroti'!L57,'09.08 Kumi-Soroti-24h'!L57,'10.08 Kumi-Soroti-24h'!L57,'14.08 Kumi-Soroti'!L57)</f>
        <v>1.2857142857142858</v>
      </c>
      <c r="M57" s="49">
        <f>AVERAGE('08.08 Kumi-Soroti'!M57,'11.08 Kumi-Soroti'!M57,'12.08 Kumi-Soroti'!M57,'13.08 Kumi-Soroti'!M57,'09.08 Kumi-Soroti-24h'!M57,'10.08 Kumi-Soroti-24h'!M57,'14.08 Kumi-Soroti'!M57)</f>
        <v>5.8571428571428568</v>
      </c>
      <c r="N57" s="49">
        <f>AVERAGE('08.08 Kumi-Soroti'!N57,'11.08 Kumi-Soroti'!N57,'12.08 Kumi-Soroti'!N57,'13.08 Kumi-Soroti'!N57,'09.08 Kumi-Soroti-24h'!N57,'10.08 Kumi-Soroti-24h'!N57,'14.08 Kumi-Soroti'!N57)</f>
        <v>0</v>
      </c>
      <c r="O57" s="15">
        <f t="shared" si="0"/>
        <v>8.8571428571428577</v>
      </c>
      <c r="P57" s="15">
        <f t="shared" si="1"/>
        <v>14.714285714285715</v>
      </c>
      <c r="R57" s="8"/>
      <c r="T57"/>
    </row>
    <row r="58" spans="2:20" ht="23.1" customHeight="1" x14ac:dyDescent="0.25">
      <c r="B58" s="23" t="s">
        <v>99</v>
      </c>
      <c r="C58" s="49">
        <f>AVERAGE('09.08 Kumi-Soroti-24h'!C58,'10.08 Kumi-Soroti-24h'!C58)</f>
        <v>0</v>
      </c>
      <c r="D58" s="49">
        <f>AVERAGE('09.08 Kumi-Soroti-24h'!D58,'10.08 Kumi-Soroti-24h'!D58)</f>
        <v>0.5</v>
      </c>
      <c r="E58" s="49">
        <f>AVERAGE('09.08 Kumi-Soroti-24h'!E58,'10.08 Kumi-Soroti-24h'!E58)</f>
        <v>2.5</v>
      </c>
      <c r="F58" s="49">
        <f>AVERAGE('09.08 Kumi-Soroti-24h'!F58,'10.08 Kumi-Soroti-24h'!F58)</f>
        <v>1</v>
      </c>
      <c r="G58" s="49">
        <f>AVERAGE('09.08 Kumi-Soroti-24h'!G58,'10.08 Kumi-Soroti-24h'!G58)</f>
        <v>0</v>
      </c>
      <c r="H58" s="49">
        <f>AVERAGE('09.08 Kumi-Soroti-24h'!H58,'10.08 Kumi-Soroti-24h'!H58)</f>
        <v>0</v>
      </c>
      <c r="I58" s="49">
        <f>AVERAGE('09.08 Kumi-Soroti-24h'!I58,'10.08 Kumi-Soroti-24h'!I58)</f>
        <v>1</v>
      </c>
      <c r="J58" s="49">
        <f>AVERAGE('09.08 Kumi-Soroti-24h'!J58,'10.08 Kumi-Soroti-24h'!J58)</f>
        <v>0</v>
      </c>
      <c r="K58" s="49">
        <f>AVERAGE('09.08 Kumi-Soroti-24h'!K58,'10.08 Kumi-Soroti-24h'!K58)</f>
        <v>0</v>
      </c>
      <c r="L58" s="49">
        <f>AVERAGE('09.08 Kumi-Soroti-24h'!L58,'10.08 Kumi-Soroti-24h'!L58)</f>
        <v>2.5</v>
      </c>
      <c r="M58" s="49">
        <f>AVERAGE('09.08 Kumi-Soroti-24h'!M58,'10.08 Kumi-Soroti-24h'!M58)</f>
        <v>7.5</v>
      </c>
      <c r="N58" s="49">
        <f>AVERAGE('09.08 Kumi-Soroti-24h'!N58,'10.08 Kumi-Soroti-24h'!N58)</f>
        <v>0</v>
      </c>
      <c r="O58" s="15">
        <f t="shared" si="0"/>
        <v>7.5</v>
      </c>
      <c r="P58" s="15">
        <f t="shared" si="1"/>
        <v>15</v>
      </c>
      <c r="R58" s="8"/>
      <c r="T58"/>
    </row>
    <row r="59" spans="2:20" ht="23.1" customHeight="1" x14ac:dyDescent="0.25">
      <c r="B59" s="23" t="s">
        <v>100</v>
      </c>
      <c r="C59" s="49">
        <f>AVERAGE('09.08 Kumi-Soroti-24h'!C59,'10.08 Kumi-Soroti-24h'!C59)</f>
        <v>1.5</v>
      </c>
      <c r="D59" s="49">
        <f>AVERAGE('09.08 Kumi-Soroti-24h'!D59,'10.08 Kumi-Soroti-24h'!D59)</f>
        <v>0.5</v>
      </c>
      <c r="E59" s="49">
        <f>AVERAGE('09.08 Kumi-Soroti-24h'!E59,'10.08 Kumi-Soroti-24h'!E59)</f>
        <v>3</v>
      </c>
      <c r="F59" s="49">
        <f>AVERAGE('09.08 Kumi-Soroti-24h'!F59,'10.08 Kumi-Soroti-24h'!F59)</f>
        <v>2</v>
      </c>
      <c r="G59" s="49">
        <f>AVERAGE('09.08 Kumi-Soroti-24h'!G59,'10.08 Kumi-Soroti-24h'!G59)</f>
        <v>0</v>
      </c>
      <c r="H59" s="49">
        <f>AVERAGE('09.08 Kumi-Soroti-24h'!H59,'10.08 Kumi-Soroti-24h'!H59)</f>
        <v>0</v>
      </c>
      <c r="I59" s="49">
        <f>AVERAGE('09.08 Kumi-Soroti-24h'!I59,'10.08 Kumi-Soroti-24h'!I59)</f>
        <v>1</v>
      </c>
      <c r="J59" s="49">
        <f>AVERAGE('09.08 Kumi-Soroti-24h'!J59,'10.08 Kumi-Soroti-24h'!J59)</f>
        <v>0</v>
      </c>
      <c r="K59" s="49">
        <f>AVERAGE('09.08 Kumi-Soroti-24h'!K59,'10.08 Kumi-Soroti-24h'!K59)</f>
        <v>0</v>
      </c>
      <c r="L59" s="49">
        <f>AVERAGE('09.08 Kumi-Soroti-24h'!L59,'10.08 Kumi-Soroti-24h'!L59)</f>
        <v>5</v>
      </c>
      <c r="M59" s="49">
        <f>AVERAGE('09.08 Kumi-Soroti-24h'!M59,'10.08 Kumi-Soroti-24h'!M59)</f>
        <v>9</v>
      </c>
      <c r="N59" s="49">
        <f>AVERAGE('09.08 Kumi-Soroti-24h'!N59,'10.08 Kumi-Soroti-24h'!N59)</f>
        <v>0</v>
      </c>
      <c r="O59" s="15">
        <f t="shared" si="0"/>
        <v>13</v>
      </c>
      <c r="P59" s="15">
        <f t="shared" si="1"/>
        <v>22</v>
      </c>
      <c r="R59" s="8"/>
      <c r="T59"/>
    </row>
    <row r="60" spans="2:20" ht="23.1" customHeight="1" x14ac:dyDescent="0.25">
      <c r="B60" s="23" t="s">
        <v>101</v>
      </c>
      <c r="C60" s="49">
        <f>AVERAGE('09.08 Kumi-Soroti-24h'!C60,'10.08 Kumi-Soroti-24h'!C60)</f>
        <v>0.5</v>
      </c>
      <c r="D60" s="49">
        <f>AVERAGE('09.08 Kumi-Soroti-24h'!D60,'10.08 Kumi-Soroti-24h'!D60)</f>
        <v>0</v>
      </c>
      <c r="E60" s="49">
        <f>AVERAGE('09.08 Kumi-Soroti-24h'!E60,'10.08 Kumi-Soroti-24h'!E60)</f>
        <v>1.5</v>
      </c>
      <c r="F60" s="49">
        <f>AVERAGE('09.08 Kumi-Soroti-24h'!F60,'10.08 Kumi-Soroti-24h'!F60)</f>
        <v>1</v>
      </c>
      <c r="G60" s="49">
        <f>AVERAGE('09.08 Kumi-Soroti-24h'!G60,'10.08 Kumi-Soroti-24h'!G60)</f>
        <v>0</v>
      </c>
      <c r="H60" s="49">
        <f>AVERAGE('09.08 Kumi-Soroti-24h'!H60,'10.08 Kumi-Soroti-24h'!H60)</f>
        <v>0</v>
      </c>
      <c r="I60" s="49">
        <f>AVERAGE('09.08 Kumi-Soroti-24h'!I60,'10.08 Kumi-Soroti-24h'!I60)</f>
        <v>1.5</v>
      </c>
      <c r="J60" s="49">
        <f>AVERAGE('09.08 Kumi-Soroti-24h'!J60,'10.08 Kumi-Soroti-24h'!J60)</f>
        <v>0</v>
      </c>
      <c r="K60" s="49">
        <f>AVERAGE('09.08 Kumi-Soroti-24h'!K60,'10.08 Kumi-Soroti-24h'!K60)</f>
        <v>0</v>
      </c>
      <c r="L60" s="49">
        <f>AVERAGE('09.08 Kumi-Soroti-24h'!L60,'10.08 Kumi-Soroti-24h'!L60)</f>
        <v>3.5</v>
      </c>
      <c r="M60" s="49">
        <f>AVERAGE('09.08 Kumi-Soroti-24h'!M60,'10.08 Kumi-Soroti-24h'!M60)</f>
        <v>9.5</v>
      </c>
      <c r="N60" s="49">
        <f>AVERAGE('09.08 Kumi-Soroti-24h'!N60,'10.08 Kumi-Soroti-24h'!N60)</f>
        <v>0</v>
      </c>
      <c r="O60" s="15">
        <f t="shared" si="0"/>
        <v>8</v>
      </c>
      <c r="P60" s="15">
        <f t="shared" si="1"/>
        <v>17.5</v>
      </c>
      <c r="R60" s="8"/>
      <c r="T60"/>
    </row>
    <row r="61" spans="2:20" ht="23.1" customHeight="1" x14ac:dyDescent="0.25">
      <c r="B61" s="23" t="s">
        <v>102</v>
      </c>
      <c r="C61" s="49">
        <f>AVERAGE('09.08 Kumi-Soroti-24h'!C61,'10.08 Kumi-Soroti-24h'!C61)</f>
        <v>0.5</v>
      </c>
      <c r="D61" s="49">
        <f>AVERAGE('09.08 Kumi-Soroti-24h'!D61,'10.08 Kumi-Soroti-24h'!D61)</f>
        <v>0.5</v>
      </c>
      <c r="E61" s="49">
        <f>AVERAGE('09.08 Kumi-Soroti-24h'!E61,'10.08 Kumi-Soroti-24h'!E61)</f>
        <v>2.5</v>
      </c>
      <c r="F61" s="49">
        <f>AVERAGE('09.08 Kumi-Soroti-24h'!F61,'10.08 Kumi-Soroti-24h'!F61)</f>
        <v>2.5</v>
      </c>
      <c r="G61" s="49">
        <f>AVERAGE('09.08 Kumi-Soroti-24h'!G61,'10.08 Kumi-Soroti-24h'!G61)</f>
        <v>0</v>
      </c>
      <c r="H61" s="49">
        <f>AVERAGE('09.08 Kumi-Soroti-24h'!H61,'10.08 Kumi-Soroti-24h'!H61)</f>
        <v>0</v>
      </c>
      <c r="I61" s="49">
        <f>AVERAGE('09.08 Kumi-Soroti-24h'!I61,'10.08 Kumi-Soroti-24h'!I61)</f>
        <v>3</v>
      </c>
      <c r="J61" s="49">
        <f>AVERAGE('09.08 Kumi-Soroti-24h'!J61,'10.08 Kumi-Soroti-24h'!J61)</f>
        <v>0</v>
      </c>
      <c r="K61" s="49">
        <f>AVERAGE('09.08 Kumi-Soroti-24h'!K61,'10.08 Kumi-Soroti-24h'!K61)</f>
        <v>0</v>
      </c>
      <c r="L61" s="49">
        <f>AVERAGE('09.08 Kumi-Soroti-24h'!L61,'10.08 Kumi-Soroti-24h'!L61)</f>
        <v>2.5</v>
      </c>
      <c r="M61" s="49">
        <f>AVERAGE('09.08 Kumi-Soroti-24h'!M61,'10.08 Kumi-Soroti-24h'!M61)</f>
        <v>7</v>
      </c>
      <c r="N61" s="49">
        <f>AVERAGE('09.08 Kumi-Soroti-24h'!N61,'10.08 Kumi-Soroti-24h'!N61)</f>
        <v>0</v>
      </c>
      <c r="O61" s="15">
        <f t="shared" si="0"/>
        <v>11.5</v>
      </c>
      <c r="P61" s="15">
        <f t="shared" si="1"/>
        <v>18.5</v>
      </c>
      <c r="R61" s="8"/>
      <c r="T61"/>
    </row>
    <row r="62" spans="2:20" ht="23.1" customHeight="1" x14ac:dyDescent="0.25">
      <c r="B62" s="23" t="s">
        <v>107</v>
      </c>
      <c r="C62" s="49">
        <f>AVERAGE('09.08 Kumi-Soroti-24h'!C62,'10.08 Kumi-Soroti-24h'!C62)</f>
        <v>2</v>
      </c>
      <c r="D62" s="49">
        <f>AVERAGE('09.08 Kumi-Soroti-24h'!D62,'10.08 Kumi-Soroti-24h'!D62)</f>
        <v>0.5</v>
      </c>
      <c r="E62" s="49">
        <f>AVERAGE('09.08 Kumi-Soroti-24h'!E62,'10.08 Kumi-Soroti-24h'!E62)</f>
        <v>2.5</v>
      </c>
      <c r="F62" s="49">
        <f>AVERAGE('09.08 Kumi-Soroti-24h'!F62,'10.08 Kumi-Soroti-24h'!F62)</f>
        <v>1.5</v>
      </c>
      <c r="G62" s="49">
        <f>AVERAGE('09.08 Kumi-Soroti-24h'!G62,'10.08 Kumi-Soroti-24h'!G62)</f>
        <v>0</v>
      </c>
      <c r="H62" s="49">
        <f>AVERAGE('09.08 Kumi-Soroti-24h'!H62,'10.08 Kumi-Soroti-24h'!H62)</f>
        <v>0</v>
      </c>
      <c r="I62" s="49">
        <f>AVERAGE('09.08 Kumi-Soroti-24h'!I62,'10.08 Kumi-Soroti-24h'!I62)</f>
        <v>1</v>
      </c>
      <c r="J62" s="49">
        <f>AVERAGE('09.08 Kumi-Soroti-24h'!J62,'10.08 Kumi-Soroti-24h'!J62)</f>
        <v>0</v>
      </c>
      <c r="K62" s="49">
        <f>AVERAGE('09.08 Kumi-Soroti-24h'!K62,'10.08 Kumi-Soroti-24h'!K62)</f>
        <v>0</v>
      </c>
      <c r="L62" s="49">
        <f>AVERAGE('09.08 Kumi-Soroti-24h'!L62,'10.08 Kumi-Soroti-24h'!L62)</f>
        <v>3.5</v>
      </c>
      <c r="M62" s="49">
        <f>AVERAGE('09.08 Kumi-Soroti-24h'!M62,'10.08 Kumi-Soroti-24h'!M62)</f>
        <v>6.5</v>
      </c>
      <c r="N62" s="49">
        <f>AVERAGE('09.08 Kumi-Soroti-24h'!N62,'10.08 Kumi-Soroti-24h'!N62)</f>
        <v>0</v>
      </c>
      <c r="O62" s="15">
        <f t="shared" si="0"/>
        <v>11</v>
      </c>
      <c r="P62" s="15">
        <f t="shared" si="1"/>
        <v>17.5</v>
      </c>
      <c r="R62" s="8"/>
      <c r="T62"/>
    </row>
    <row r="63" spans="2:20" ht="23.1" customHeight="1" x14ac:dyDescent="0.25">
      <c r="B63" s="23" t="s">
        <v>108</v>
      </c>
      <c r="C63" s="49">
        <f>AVERAGE('09.08 Kumi-Soroti-24h'!C63,'10.08 Kumi-Soroti-24h'!C63)</f>
        <v>0.5</v>
      </c>
      <c r="D63" s="49">
        <f>AVERAGE('09.08 Kumi-Soroti-24h'!D63,'10.08 Kumi-Soroti-24h'!D63)</f>
        <v>0.5</v>
      </c>
      <c r="E63" s="49">
        <f>AVERAGE('09.08 Kumi-Soroti-24h'!E63,'10.08 Kumi-Soroti-24h'!E63)</f>
        <v>1.5</v>
      </c>
      <c r="F63" s="49">
        <f>AVERAGE('09.08 Kumi-Soroti-24h'!F63,'10.08 Kumi-Soroti-24h'!F63)</f>
        <v>1</v>
      </c>
      <c r="G63" s="49">
        <f>AVERAGE('09.08 Kumi-Soroti-24h'!G63,'10.08 Kumi-Soroti-24h'!G63)</f>
        <v>0</v>
      </c>
      <c r="H63" s="49">
        <f>AVERAGE('09.08 Kumi-Soroti-24h'!H63,'10.08 Kumi-Soroti-24h'!H63)</f>
        <v>0</v>
      </c>
      <c r="I63" s="49">
        <f>AVERAGE('09.08 Kumi-Soroti-24h'!I63,'10.08 Kumi-Soroti-24h'!I63)</f>
        <v>1.5</v>
      </c>
      <c r="J63" s="49">
        <f>AVERAGE('09.08 Kumi-Soroti-24h'!J63,'10.08 Kumi-Soroti-24h'!J63)</f>
        <v>0</v>
      </c>
      <c r="K63" s="49">
        <f>AVERAGE('09.08 Kumi-Soroti-24h'!K63,'10.08 Kumi-Soroti-24h'!K63)</f>
        <v>0</v>
      </c>
      <c r="L63" s="49">
        <f>AVERAGE('09.08 Kumi-Soroti-24h'!L63,'10.08 Kumi-Soroti-24h'!L63)</f>
        <v>4.5</v>
      </c>
      <c r="M63" s="49">
        <f>AVERAGE('09.08 Kumi-Soroti-24h'!M63,'10.08 Kumi-Soroti-24h'!M63)</f>
        <v>4</v>
      </c>
      <c r="N63" s="49">
        <f>AVERAGE('09.08 Kumi-Soroti-24h'!N63,'10.08 Kumi-Soroti-24h'!N63)</f>
        <v>0</v>
      </c>
      <c r="O63" s="15">
        <f t="shared" si="0"/>
        <v>9.5</v>
      </c>
      <c r="P63" s="15">
        <f t="shared" si="1"/>
        <v>13.5</v>
      </c>
      <c r="R63" s="8"/>
      <c r="T63"/>
    </row>
    <row r="64" spans="2:20" ht="23.1" customHeight="1" x14ac:dyDescent="0.25">
      <c r="B64" s="23" t="s">
        <v>109</v>
      </c>
      <c r="C64" s="49">
        <f>AVERAGE('09.08 Kumi-Soroti-24h'!C64,'10.08 Kumi-Soroti-24h'!C64)</f>
        <v>2</v>
      </c>
      <c r="D64" s="49">
        <f>AVERAGE('09.08 Kumi-Soroti-24h'!D64,'10.08 Kumi-Soroti-24h'!D64)</f>
        <v>1</v>
      </c>
      <c r="E64" s="49">
        <f>AVERAGE('09.08 Kumi-Soroti-24h'!E64,'10.08 Kumi-Soroti-24h'!E64)</f>
        <v>2.5</v>
      </c>
      <c r="F64" s="49">
        <f>AVERAGE('09.08 Kumi-Soroti-24h'!F64,'10.08 Kumi-Soroti-24h'!F64)</f>
        <v>2.5</v>
      </c>
      <c r="G64" s="49">
        <f>AVERAGE('09.08 Kumi-Soroti-24h'!G64,'10.08 Kumi-Soroti-24h'!G64)</f>
        <v>0</v>
      </c>
      <c r="H64" s="49">
        <f>AVERAGE('09.08 Kumi-Soroti-24h'!H64,'10.08 Kumi-Soroti-24h'!H64)</f>
        <v>0</v>
      </c>
      <c r="I64" s="49">
        <f>AVERAGE('09.08 Kumi-Soroti-24h'!I64,'10.08 Kumi-Soroti-24h'!I64)</f>
        <v>1.5</v>
      </c>
      <c r="J64" s="49">
        <f>AVERAGE('09.08 Kumi-Soroti-24h'!J64,'10.08 Kumi-Soroti-24h'!J64)</f>
        <v>0</v>
      </c>
      <c r="K64" s="49">
        <f>AVERAGE('09.08 Kumi-Soroti-24h'!K64,'10.08 Kumi-Soroti-24h'!K64)</f>
        <v>0</v>
      </c>
      <c r="L64" s="49">
        <f>AVERAGE('09.08 Kumi-Soroti-24h'!L64,'10.08 Kumi-Soroti-24h'!L64)</f>
        <v>1.5</v>
      </c>
      <c r="M64" s="49">
        <f>AVERAGE('09.08 Kumi-Soroti-24h'!M64,'10.08 Kumi-Soroti-24h'!M64)</f>
        <v>6</v>
      </c>
      <c r="N64" s="49">
        <f>AVERAGE('09.08 Kumi-Soroti-24h'!N64,'10.08 Kumi-Soroti-24h'!N64)</f>
        <v>0</v>
      </c>
      <c r="O64" s="15">
        <f t="shared" si="0"/>
        <v>11</v>
      </c>
      <c r="P64" s="15">
        <f t="shared" si="1"/>
        <v>17</v>
      </c>
      <c r="R64" s="8"/>
      <c r="T64"/>
    </row>
    <row r="65" spans="2:20" ht="23.1" customHeight="1" x14ac:dyDescent="0.25">
      <c r="B65" s="23" t="s">
        <v>158</v>
      </c>
      <c r="C65" s="49">
        <f>AVERAGE('09.08 Kumi-Soroti-24h'!C65,'10.08 Kumi-Soroti-24h'!C65)</f>
        <v>0</v>
      </c>
      <c r="D65" s="49">
        <f>AVERAGE('09.08 Kumi-Soroti-24h'!D65,'10.08 Kumi-Soroti-24h'!D65)</f>
        <v>0</v>
      </c>
      <c r="E65" s="49">
        <f>AVERAGE('09.08 Kumi-Soroti-24h'!E65,'10.08 Kumi-Soroti-24h'!E65)</f>
        <v>0.5</v>
      </c>
      <c r="F65" s="49">
        <f>AVERAGE('09.08 Kumi-Soroti-24h'!F65,'10.08 Kumi-Soroti-24h'!F65)</f>
        <v>1</v>
      </c>
      <c r="G65" s="49">
        <f>AVERAGE('09.08 Kumi-Soroti-24h'!G65,'10.08 Kumi-Soroti-24h'!G65)</f>
        <v>0</v>
      </c>
      <c r="H65" s="49">
        <f>AVERAGE('09.08 Kumi-Soroti-24h'!H65,'10.08 Kumi-Soroti-24h'!H65)</f>
        <v>1</v>
      </c>
      <c r="I65" s="49">
        <f>AVERAGE('09.08 Kumi-Soroti-24h'!I65,'10.08 Kumi-Soroti-24h'!I65)</f>
        <v>3</v>
      </c>
      <c r="J65" s="49">
        <f>AVERAGE('09.08 Kumi-Soroti-24h'!J65,'10.08 Kumi-Soroti-24h'!J65)</f>
        <v>0</v>
      </c>
      <c r="K65" s="49">
        <f>AVERAGE('09.08 Kumi-Soroti-24h'!K65,'10.08 Kumi-Soroti-24h'!K65)</f>
        <v>0</v>
      </c>
      <c r="L65" s="49">
        <f>AVERAGE('09.08 Kumi-Soroti-24h'!L65,'10.08 Kumi-Soroti-24h'!L65)</f>
        <v>3.5</v>
      </c>
      <c r="M65" s="49">
        <f>AVERAGE('09.08 Kumi-Soroti-24h'!M65,'10.08 Kumi-Soroti-24h'!M65)</f>
        <v>4.5</v>
      </c>
      <c r="N65" s="49">
        <f>AVERAGE('09.08 Kumi-Soroti-24h'!N65,'10.08 Kumi-Soroti-24h'!N65)</f>
        <v>0</v>
      </c>
      <c r="O65" s="15">
        <f t="shared" si="0"/>
        <v>9</v>
      </c>
      <c r="P65" s="15">
        <f t="shared" si="1"/>
        <v>13.5</v>
      </c>
      <c r="R65" s="8"/>
      <c r="T65"/>
    </row>
    <row r="66" spans="2:20" ht="23.1" customHeight="1" x14ac:dyDescent="0.25">
      <c r="B66" s="23" t="s">
        <v>103</v>
      </c>
      <c r="C66" s="49">
        <f>AVERAGE('09.08 Kumi-Soroti-24h'!C66,'10.08 Kumi-Soroti-24h'!C66)</f>
        <v>1</v>
      </c>
      <c r="D66" s="49">
        <f>AVERAGE('09.08 Kumi-Soroti-24h'!D66,'10.08 Kumi-Soroti-24h'!D66)</f>
        <v>0</v>
      </c>
      <c r="E66" s="49">
        <f>AVERAGE('09.08 Kumi-Soroti-24h'!E66,'10.08 Kumi-Soroti-24h'!E66)</f>
        <v>2</v>
      </c>
      <c r="F66" s="49">
        <f>AVERAGE('09.08 Kumi-Soroti-24h'!F66,'10.08 Kumi-Soroti-24h'!F66)</f>
        <v>0.5</v>
      </c>
      <c r="G66" s="49">
        <f>AVERAGE('09.08 Kumi-Soroti-24h'!G66,'10.08 Kumi-Soroti-24h'!G66)</f>
        <v>0.5</v>
      </c>
      <c r="H66" s="49">
        <f>AVERAGE('09.08 Kumi-Soroti-24h'!H66,'10.08 Kumi-Soroti-24h'!H66)</f>
        <v>0.5</v>
      </c>
      <c r="I66" s="49">
        <f>AVERAGE('09.08 Kumi-Soroti-24h'!I66,'10.08 Kumi-Soroti-24h'!I66)</f>
        <v>1.5</v>
      </c>
      <c r="J66" s="49">
        <f>AVERAGE('09.08 Kumi-Soroti-24h'!J66,'10.08 Kumi-Soroti-24h'!J66)</f>
        <v>0.5</v>
      </c>
      <c r="K66" s="49">
        <f>AVERAGE('09.08 Kumi-Soroti-24h'!K66,'10.08 Kumi-Soroti-24h'!K66)</f>
        <v>0</v>
      </c>
      <c r="L66" s="49">
        <f>AVERAGE('09.08 Kumi-Soroti-24h'!L66,'10.08 Kumi-Soroti-24h'!L66)</f>
        <v>3</v>
      </c>
      <c r="M66" s="49">
        <f>AVERAGE('09.08 Kumi-Soroti-24h'!M66,'10.08 Kumi-Soroti-24h'!M66)</f>
        <v>5</v>
      </c>
      <c r="N66" s="49">
        <f>AVERAGE('09.08 Kumi-Soroti-24h'!N66,'10.08 Kumi-Soroti-24h'!N66)</f>
        <v>0</v>
      </c>
      <c r="O66" s="15">
        <f t="shared" si="0"/>
        <v>9.5</v>
      </c>
      <c r="P66" s="15">
        <f t="shared" si="1"/>
        <v>14.5</v>
      </c>
      <c r="R66" s="8"/>
      <c r="T66"/>
    </row>
    <row r="67" spans="2:20" ht="23.1" customHeight="1" x14ac:dyDescent="0.25">
      <c r="B67" s="23" t="s">
        <v>104</v>
      </c>
      <c r="C67" s="49">
        <f>AVERAGE('09.08 Kumi-Soroti-24h'!C67,'10.08 Kumi-Soroti-24h'!C67)</f>
        <v>2.5</v>
      </c>
      <c r="D67" s="49">
        <f>AVERAGE('09.08 Kumi-Soroti-24h'!D67,'10.08 Kumi-Soroti-24h'!D67)</f>
        <v>0</v>
      </c>
      <c r="E67" s="49">
        <f>AVERAGE('09.08 Kumi-Soroti-24h'!E67,'10.08 Kumi-Soroti-24h'!E67)</f>
        <v>1</v>
      </c>
      <c r="F67" s="49">
        <f>AVERAGE('09.08 Kumi-Soroti-24h'!F67,'10.08 Kumi-Soroti-24h'!F67)</f>
        <v>0.5</v>
      </c>
      <c r="G67" s="49">
        <f>AVERAGE('09.08 Kumi-Soroti-24h'!G67,'10.08 Kumi-Soroti-24h'!G67)</f>
        <v>0</v>
      </c>
      <c r="H67" s="49">
        <f>AVERAGE('09.08 Kumi-Soroti-24h'!H67,'10.08 Kumi-Soroti-24h'!H67)</f>
        <v>0</v>
      </c>
      <c r="I67" s="49">
        <f>AVERAGE('09.08 Kumi-Soroti-24h'!I67,'10.08 Kumi-Soroti-24h'!I67)</f>
        <v>2</v>
      </c>
      <c r="J67" s="49">
        <f>AVERAGE('09.08 Kumi-Soroti-24h'!J67,'10.08 Kumi-Soroti-24h'!J67)</f>
        <v>0</v>
      </c>
      <c r="K67" s="49">
        <f>AVERAGE('09.08 Kumi-Soroti-24h'!K67,'10.08 Kumi-Soroti-24h'!K67)</f>
        <v>0</v>
      </c>
      <c r="L67" s="49">
        <f>AVERAGE('09.08 Kumi-Soroti-24h'!L67,'10.08 Kumi-Soroti-24h'!L67)</f>
        <v>2</v>
      </c>
      <c r="M67" s="49">
        <f>AVERAGE('09.08 Kumi-Soroti-24h'!M67,'10.08 Kumi-Soroti-24h'!M67)</f>
        <v>3</v>
      </c>
      <c r="N67" s="49">
        <f>AVERAGE('09.08 Kumi-Soroti-24h'!N67,'10.08 Kumi-Soroti-24h'!N67)</f>
        <v>0</v>
      </c>
      <c r="O67" s="15">
        <f t="shared" si="0"/>
        <v>8</v>
      </c>
      <c r="P67" s="15">
        <f t="shared" si="1"/>
        <v>11</v>
      </c>
      <c r="R67" s="8"/>
      <c r="T67"/>
    </row>
    <row r="68" spans="2:20" ht="23.1" customHeight="1" x14ac:dyDescent="0.25">
      <c r="B68" s="23" t="s">
        <v>105</v>
      </c>
      <c r="C68" s="49">
        <f>AVERAGE('09.08 Kumi-Soroti-24h'!C68,'10.08 Kumi-Soroti-24h'!C68)</f>
        <v>0.5</v>
      </c>
      <c r="D68" s="49">
        <f>AVERAGE('09.08 Kumi-Soroti-24h'!D68,'10.08 Kumi-Soroti-24h'!D68)</f>
        <v>0.5</v>
      </c>
      <c r="E68" s="49">
        <f>AVERAGE('09.08 Kumi-Soroti-24h'!E68,'10.08 Kumi-Soroti-24h'!E68)</f>
        <v>2</v>
      </c>
      <c r="F68" s="49">
        <f>AVERAGE('09.08 Kumi-Soroti-24h'!F68,'10.08 Kumi-Soroti-24h'!F68)</f>
        <v>2</v>
      </c>
      <c r="G68" s="49">
        <f>AVERAGE('09.08 Kumi-Soroti-24h'!G68,'10.08 Kumi-Soroti-24h'!G68)</f>
        <v>0</v>
      </c>
      <c r="H68" s="49">
        <f>AVERAGE('09.08 Kumi-Soroti-24h'!H68,'10.08 Kumi-Soroti-24h'!H68)</f>
        <v>0</v>
      </c>
      <c r="I68" s="49">
        <f>AVERAGE('09.08 Kumi-Soroti-24h'!I68,'10.08 Kumi-Soroti-24h'!I68)</f>
        <v>2</v>
      </c>
      <c r="J68" s="49">
        <f>AVERAGE('09.08 Kumi-Soroti-24h'!J68,'10.08 Kumi-Soroti-24h'!J68)</f>
        <v>0</v>
      </c>
      <c r="K68" s="49">
        <f>AVERAGE('09.08 Kumi-Soroti-24h'!K68,'10.08 Kumi-Soroti-24h'!K68)</f>
        <v>0</v>
      </c>
      <c r="L68" s="49">
        <f>AVERAGE('09.08 Kumi-Soroti-24h'!L68,'10.08 Kumi-Soroti-24h'!L68)</f>
        <v>1</v>
      </c>
      <c r="M68" s="49">
        <f>AVERAGE('09.08 Kumi-Soroti-24h'!M68,'10.08 Kumi-Soroti-24h'!M68)</f>
        <v>2.5</v>
      </c>
      <c r="N68" s="49">
        <f>AVERAGE('09.08 Kumi-Soroti-24h'!N68,'10.08 Kumi-Soroti-24h'!N68)</f>
        <v>0</v>
      </c>
      <c r="O68" s="15">
        <f t="shared" si="0"/>
        <v>8</v>
      </c>
      <c r="P68" s="15">
        <f t="shared" si="1"/>
        <v>10.5</v>
      </c>
      <c r="R68" s="8"/>
      <c r="T68"/>
    </row>
    <row r="69" spans="2:20" ht="23.1" customHeight="1" x14ac:dyDescent="0.25">
      <c r="B69" s="23" t="s">
        <v>106</v>
      </c>
      <c r="C69" s="49">
        <f>AVERAGE('09.08 Kumi-Soroti-24h'!C69,'10.08 Kumi-Soroti-24h'!C69)</f>
        <v>1</v>
      </c>
      <c r="D69" s="49">
        <f>AVERAGE('09.08 Kumi-Soroti-24h'!D69,'10.08 Kumi-Soroti-24h'!D69)</f>
        <v>0</v>
      </c>
      <c r="E69" s="49">
        <f>AVERAGE('09.08 Kumi-Soroti-24h'!E69,'10.08 Kumi-Soroti-24h'!E69)</f>
        <v>1.5</v>
      </c>
      <c r="F69" s="49">
        <f>AVERAGE('09.08 Kumi-Soroti-24h'!F69,'10.08 Kumi-Soroti-24h'!F69)</f>
        <v>0</v>
      </c>
      <c r="G69" s="49">
        <f>AVERAGE('09.08 Kumi-Soroti-24h'!G69,'10.08 Kumi-Soroti-24h'!G69)</f>
        <v>0</v>
      </c>
      <c r="H69" s="49">
        <f>AVERAGE('09.08 Kumi-Soroti-24h'!H69,'10.08 Kumi-Soroti-24h'!H69)</f>
        <v>0.5</v>
      </c>
      <c r="I69" s="49">
        <f>AVERAGE('09.08 Kumi-Soroti-24h'!I69,'10.08 Kumi-Soroti-24h'!I69)</f>
        <v>2</v>
      </c>
      <c r="J69" s="49">
        <f>AVERAGE('09.08 Kumi-Soroti-24h'!J69,'10.08 Kumi-Soroti-24h'!J69)</f>
        <v>0</v>
      </c>
      <c r="K69" s="49">
        <f>AVERAGE('09.08 Kumi-Soroti-24h'!K69,'10.08 Kumi-Soroti-24h'!K69)</f>
        <v>0</v>
      </c>
      <c r="L69" s="49">
        <f>AVERAGE('09.08 Kumi-Soroti-24h'!L69,'10.08 Kumi-Soroti-24h'!L69)</f>
        <v>6.5</v>
      </c>
      <c r="M69" s="49">
        <f>AVERAGE('09.08 Kumi-Soroti-24h'!M69,'10.08 Kumi-Soroti-24h'!M69)</f>
        <v>2</v>
      </c>
      <c r="N69" s="49">
        <f>AVERAGE('09.08 Kumi-Soroti-24h'!N69,'10.08 Kumi-Soroti-24h'!N69)</f>
        <v>0</v>
      </c>
      <c r="O69" s="15">
        <f t="shared" si="0"/>
        <v>11.5</v>
      </c>
      <c r="P69" s="15">
        <f t="shared" si="1"/>
        <v>13.5</v>
      </c>
      <c r="R69" s="8"/>
      <c r="T69"/>
    </row>
    <row r="70" spans="2:20" ht="23.1" customHeight="1" x14ac:dyDescent="0.25">
      <c r="B70" s="23" t="s">
        <v>110</v>
      </c>
      <c r="C70" s="49">
        <f>AVERAGE('09.08 Kumi-Soroti-24h'!C70,'10.08 Kumi-Soroti-24h'!C70)</f>
        <v>2</v>
      </c>
      <c r="D70" s="49">
        <f>AVERAGE('09.08 Kumi-Soroti-24h'!D70,'10.08 Kumi-Soroti-24h'!D70)</f>
        <v>0</v>
      </c>
      <c r="E70" s="49">
        <f>AVERAGE('09.08 Kumi-Soroti-24h'!E70,'10.08 Kumi-Soroti-24h'!E70)</f>
        <v>0.5</v>
      </c>
      <c r="F70" s="49">
        <f>AVERAGE('09.08 Kumi-Soroti-24h'!F70,'10.08 Kumi-Soroti-24h'!F70)</f>
        <v>0.5</v>
      </c>
      <c r="G70" s="49">
        <f>AVERAGE('09.08 Kumi-Soroti-24h'!G70,'10.08 Kumi-Soroti-24h'!G70)</f>
        <v>0</v>
      </c>
      <c r="H70" s="49">
        <f>AVERAGE('09.08 Kumi-Soroti-24h'!H70,'10.08 Kumi-Soroti-24h'!H70)</f>
        <v>1</v>
      </c>
      <c r="I70" s="49">
        <f>AVERAGE('09.08 Kumi-Soroti-24h'!I70,'10.08 Kumi-Soroti-24h'!I70)</f>
        <v>1.5</v>
      </c>
      <c r="J70" s="49">
        <f>AVERAGE('09.08 Kumi-Soroti-24h'!J70,'10.08 Kumi-Soroti-24h'!J70)</f>
        <v>0</v>
      </c>
      <c r="K70" s="49">
        <f>AVERAGE('09.08 Kumi-Soroti-24h'!K70,'10.08 Kumi-Soroti-24h'!K70)</f>
        <v>0</v>
      </c>
      <c r="L70" s="49">
        <f>AVERAGE('09.08 Kumi-Soroti-24h'!L70,'10.08 Kumi-Soroti-24h'!L70)</f>
        <v>3.5</v>
      </c>
      <c r="M70" s="49">
        <f>AVERAGE('09.08 Kumi-Soroti-24h'!M70,'10.08 Kumi-Soroti-24h'!M70)</f>
        <v>4</v>
      </c>
      <c r="N70" s="49">
        <f>AVERAGE('09.08 Kumi-Soroti-24h'!N70,'10.08 Kumi-Soroti-24h'!N70)</f>
        <v>0</v>
      </c>
      <c r="O70" s="15">
        <f t="shared" si="0"/>
        <v>9</v>
      </c>
      <c r="P70" s="15">
        <f t="shared" si="1"/>
        <v>13</v>
      </c>
      <c r="R70" s="8"/>
      <c r="T70"/>
    </row>
    <row r="71" spans="2:20" ht="23.1" customHeight="1" x14ac:dyDescent="0.25">
      <c r="B71" s="23" t="s">
        <v>111</v>
      </c>
      <c r="C71" s="49">
        <f>AVERAGE('09.08 Kumi-Soroti-24h'!C71,'10.08 Kumi-Soroti-24h'!C71)</f>
        <v>0.5</v>
      </c>
      <c r="D71" s="49">
        <f>AVERAGE('09.08 Kumi-Soroti-24h'!D71,'10.08 Kumi-Soroti-24h'!D71)</f>
        <v>0.5</v>
      </c>
      <c r="E71" s="49">
        <f>AVERAGE('09.08 Kumi-Soroti-24h'!E71,'10.08 Kumi-Soroti-24h'!E71)</f>
        <v>2</v>
      </c>
      <c r="F71" s="49">
        <f>AVERAGE('09.08 Kumi-Soroti-24h'!F71,'10.08 Kumi-Soroti-24h'!F71)</f>
        <v>0</v>
      </c>
      <c r="G71" s="49">
        <f>AVERAGE('09.08 Kumi-Soroti-24h'!G71,'10.08 Kumi-Soroti-24h'!G71)</f>
        <v>0</v>
      </c>
      <c r="H71" s="49">
        <f>AVERAGE('09.08 Kumi-Soroti-24h'!H71,'10.08 Kumi-Soroti-24h'!H71)</f>
        <v>0</v>
      </c>
      <c r="I71" s="49">
        <f>AVERAGE('09.08 Kumi-Soroti-24h'!I71,'10.08 Kumi-Soroti-24h'!I71)</f>
        <v>0.5</v>
      </c>
      <c r="J71" s="49">
        <f>AVERAGE('09.08 Kumi-Soroti-24h'!J71,'10.08 Kumi-Soroti-24h'!J71)</f>
        <v>0</v>
      </c>
      <c r="K71" s="49">
        <f>AVERAGE('09.08 Kumi-Soroti-24h'!K71,'10.08 Kumi-Soroti-24h'!K71)</f>
        <v>0</v>
      </c>
      <c r="L71" s="49">
        <f>AVERAGE('09.08 Kumi-Soroti-24h'!L71,'10.08 Kumi-Soroti-24h'!L71)</f>
        <v>1.5</v>
      </c>
      <c r="M71" s="49">
        <f>AVERAGE('09.08 Kumi-Soroti-24h'!M71,'10.08 Kumi-Soroti-24h'!M71)</f>
        <v>3.5</v>
      </c>
      <c r="N71" s="49">
        <f>AVERAGE('09.08 Kumi-Soroti-24h'!N71,'10.08 Kumi-Soroti-24h'!N71)</f>
        <v>0</v>
      </c>
      <c r="O71" s="15">
        <f t="shared" si="0"/>
        <v>5</v>
      </c>
      <c r="P71" s="15">
        <f t="shared" si="1"/>
        <v>8.5</v>
      </c>
      <c r="R71" s="8"/>
      <c r="T71"/>
    </row>
    <row r="72" spans="2:20" ht="23.1" customHeight="1" x14ac:dyDescent="0.25">
      <c r="B72" s="23" t="s">
        <v>112</v>
      </c>
      <c r="C72" s="49">
        <f>AVERAGE('09.08 Kumi-Soroti-24h'!C72,'10.08 Kumi-Soroti-24h'!C72)</f>
        <v>1</v>
      </c>
      <c r="D72" s="49">
        <f>AVERAGE('09.08 Kumi-Soroti-24h'!D72,'10.08 Kumi-Soroti-24h'!D72)</f>
        <v>0.5</v>
      </c>
      <c r="E72" s="49">
        <f>AVERAGE('09.08 Kumi-Soroti-24h'!E72,'10.08 Kumi-Soroti-24h'!E72)</f>
        <v>2.5</v>
      </c>
      <c r="F72" s="49">
        <f>AVERAGE('09.08 Kumi-Soroti-24h'!F72,'10.08 Kumi-Soroti-24h'!F72)</f>
        <v>1</v>
      </c>
      <c r="G72" s="49">
        <f>AVERAGE('09.08 Kumi-Soroti-24h'!G72,'10.08 Kumi-Soroti-24h'!G72)</f>
        <v>0</v>
      </c>
      <c r="H72" s="49">
        <f>AVERAGE('09.08 Kumi-Soroti-24h'!H72,'10.08 Kumi-Soroti-24h'!H72)</f>
        <v>0</v>
      </c>
      <c r="I72" s="49">
        <f>AVERAGE('09.08 Kumi-Soroti-24h'!I72,'10.08 Kumi-Soroti-24h'!I72)</f>
        <v>0.5</v>
      </c>
      <c r="J72" s="49">
        <f>AVERAGE('09.08 Kumi-Soroti-24h'!J72,'10.08 Kumi-Soroti-24h'!J72)</f>
        <v>0.5</v>
      </c>
      <c r="K72" s="49">
        <f>AVERAGE('09.08 Kumi-Soroti-24h'!K72,'10.08 Kumi-Soroti-24h'!K72)</f>
        <v>0</v>
      </c>
      <c r="L72" s="49">
        <f>AVERAGE('09.08 Kumi-Soroti-24h'!L72,'10.08 Kumi-Soroti-24h'!L72)</f>
        <v>4</v>
      </c>
      <c r="M72" s="49">
        <f>AVERAGE('09.08 Kumi-Soroti-24h'!M72,'10.08 Kumi-Soroti-24h'!M72)</f>
        <v>2</v>
      </c>
      <c r="N72" s="49">
        <f>AVERAGE('09.08 Kumi-Soroti-24h'!N72,'10.08 Kumi-Soroti-24h'!N72)</f>
        <v>0</v>
      </c>
      <c r="O72" s="15">
        <f t="shared" si="0"/>
        <v>10</v>
      </c>
      <c r="P72" s="15">
        <f t="shared" si="1"/>
        <v>12</v>
      </c>
      <c r="R72" s="8"/>
      <c r="T72"/>
    </row>
    <row r="73" spans="2:20" ht="23.1" customHeight="1" x14ac:dyDescent="0.25">
      <c r="B73" s="23" t="s">
        <v>113</v>
      </c>
      <c r="C73" s="49">
        <f>AVERAGE('09.08 Kumi-Soroti-24h'!C73,'10.08 Kumi-Soroti-24h'!C73)</f>
        <v>0</v>
      </c>
      <c r="D73" s="49">
        <f>AVERAGE('09.08 Kumi-Soroti-24h'!D73,'10.08 Kumi-Soroti-24h'!D73)</f>
        <v>0</v>
      </c>
      <c r="E73" s="49">
        <f>AVERAGE('09.08 Kumi-Soroti-24h'!E73,'10.08 Kumi-Soroti-24h'!E73)</f>
        <v>1.5</v>
      </c>
      <c r="F73" s="49">
        <f>AVERAGE('09.08 Kumi-Soroti-24h'!F73,'10.08 Kumi-Soroti-24h'!F73)</f>
        <v>1</v>
      </c>
      <c r="G73" s="49">
        <f>AVERAGE('09.08 Kumi-Soroti-24h'!G73,'10.08 Kumi-Soroti-24h'!G73)</f>
        <v>0</v>
      </c>
      <c r="H73" s="49">
        <f>AVERAGE('09.08 Kumi-Soroti-24h'!H73,'10.08 Kumi-Soroti-24h'!H73)</f>
        <v>0</v>
      </c>
      <c r="I73" s="49">
        <f>AVERAGE('09.08 Kumi-Soroti-24h'!I73,'10.08 Kumi-Soroti-24h'!I73)</f>
        <v>1</v>
      </c>
      <c r="J73" s="49">
        <f>AVERAGE('09.08 Kumi-Soroti-24h'!J73,'10.08 Kumi-Soroti-24h'!J73)</f>
        <v>0</v>
      </c>
      <c r="K73" s="49">
        <f>AVERAGE('09.08 Kumi-Soroti-24h'!K73,'10.08 Kumi-Soroti-24h'!K73)</f>
        <v>0</v>
      </c>
      <c r="L73" s="49">
        <f>AVERAGE('09.08 Kumi-Soroti-24h'!L73,'10.08 Kumi-Soroti-24h'!L73)</f>
        <v>4</v>
      </c>
      <c r="M73" s="49">
        <f>AVERAGE('09.08 Kumi-Soroti-24h'!M73,'10.08 Kumi-Soroti-24h'!M73)</f>
        <v>2.5</v>
      </c>
      <c r="N73" s="49">
        <f>AVERAGE('09.08 Kumi-Soroti-24h'!N73,'10.08 Kumi-Soroti-24h'!N73)</f>
        <v>0</v>
      </c>
      <c r="O73" s="15">
        <f t="shared" si="0"/>
        <v>7.5</v>
      </c>
      <c r="P73" s="15">
        <f t="shared" si="1"/>
        <v>10</v>
      </c>
      <c r="R73" s="8"/>
      <c r="T73"/>
    </row>
    <row r="74" spans="2:20" ht="23.1" customHeight="1" x14ac:dyDescent="0.25">
      <c r="B74" s="23" t="s">
        <v>114</v>
      </c>
      <c r="C74" s="49">
        <f>AVERAGE('09.08 Kumi-Soroti-24h'!C74,'10.08 Kumi-Soroti-24h'!C74)</f>
        <v>0</v>
      </c>
      <c r="D74" s="49">
        <f>AVERAGE('09.08 Kumi-Soroti-24h'!D74,'10.08 Kumi-Soroti-24h'!D74)</f>
        <v>0</v>
      </c>
      <c r="E74" s="49">
        <f>AVERAGE('09.08 Kumi-Soroti-24h'!E74,'10.08 Kumi-Soroti-24h'!E74)</f>
        <v>1</v>
      </c>
      <c r="F74" s="49">
        <f>AVERAGE('09.08 Kumi-Soroti-24h'!F74,'10.08 Kumi-Soroti-24h'!F74)</f>
        <v>1</v>
      </c>
      <c r="G74" s="49">
        <f>AVERAGE('09.08 Kumi-Soroti-24h'!G74,'10.08 Kumi-Soroti-24h'!G74)</f>
        <v>0</v>
      </c>
      <c r="H74" s="49">
        <f>AVERAGE('09.08 Kumi-Soroti-24h'!H74,'10.08 Kumi-Soroti-24h'!H74)</f>
        <v>0</v>
      </c>
      <c r="I74" s="49">
        <f>AVERAGE('09.08 Kumi-Soroti-24h'!I74,'10.08 Kumi-Soroti-24h'!I74)</f>
        <v>1.5</v>
      </c>
      <c r="J74" s="49">
        <f>AVERAGE('09.08 Kumi-Soroti-24h'!J74,'10.08 Kumi-Soroti-24h'!J74)</f>
        <v>0.5</v>
      </c>
      <c r="K74" s="49">
        <f>AVERAGE('09.08 Kumi-Soroti-24h'!K74,'10.08 Kumi-Soroti-24h'!K74)</f>
        <v>0</v>
      </c>
      <c r="L74" s="49">
        <f>AVERAGE('09.08 Kumi-Soroti-24h'!L74,'10.08 Kumi-Soroti-24h'!L74)</f>
        <v>3</v>
      </c>
      <c r="M74" s="49">
        <f>AVERAGE('09.08 Kumi-Soroti-24h'!M74,'10.08 Kumi-Soroti-24h'!M74)</f>
        <v>2</v>
      </c>
      <c r="N74" s="49">
        <f>AVERAGE('09.08 Kumi-Soroti-24h'!N74,'10.08 Kumi-Soroti-24h'!N74)</f>
        <v>0</v>
      </c>
      <c r="O74" s="15">
        <f t="shared" ref="O74:O105" si="35">SUM(C74:L74,N74)</f>
        <v>7</v>
      </c>
      <c r="P74" s="15">
        <f t="shared" ref="P74:P105" si="36">SUM(C74:N74)</f>
        <v>9</v>
      </c>
      <c r="R74" s="8"/>
      <c r="T74"/>
    </row>
    <row r="75" spans="2:20" ht="23.1" customHeight="1" x14ac:dyDescent="0.25">
      <c r="B75" s="23" t="s">
        <v>115</v>
      </c>
      <c r="C75" s="49">
        <f>AVERAGE('09.08 Kumi-Soroti-24h'!C75,'10.08 Kumi-Soroti-24h'!C75)</f>
        <v>1.5</v>
      </c>
      <c r="D75" s="49">
        <f>AVERAGE('09.08 Kumi-Soroti-24h'!D75,'10.08 Kumi-Soroti-24h'!D75)</f>
        <v>0</v>
      </c>
      <c r="E75" s="49">
        <f>AVERAGE('09.08 Kumi-Soroti-24h'!E75,'10.08 Kumi-Soroti-24h'!E75)</f>
        <v>0</v>
      </c>
      <c r="F75" s="49">
        <f>AVERAGE('09.08 Kumi-Soroti-24h'!F75,'10.08 Kumi-Soroti-24h'!F75)</f>
        <v>1</v>
      </c>
      <c r="G75" s="49">
        <f>AVERAGE('09.08 Kumi-Soroti-24h'!G75,'10.08 Kumi-Soroti-24h'!G75)</f>
        <v>0</v>
      </c>
      <c r="H75" s="49">
        <f>AVERAGE('09.08 Kumi-Soroti-24h'!H75,'10.08 Kumi-Soroti-24h'!H75)</f>
        <v>0</v>
      </c>
      <c r="I75" s="49">
        <f>AVERAGE('09.08 Kumi-Soroti-24h'!I75,'10.08 Kumi-Soroti-24h'!I75)</f>
        <v>1</v>
      </c>
      <c r="J75" s="49">
        <f>AVERAGE('09.08 Kumi-Soroti-24h'!J75,'10.08 Kumi-Soroti-24h'!J75)</f>
        <v>1</v>
      </c>
      <c r="K75" s="49">
        <f>AVERAGE('09.08 Kumi-Soroti-24h'!K75,'10.08 Kumi-Soroti-24h'!K75)</f>
        <v>0</v>
      </c>
      <c r="L75" s="49">
        <f>AVERAGE('09.08 Kumi-Soroti-24h'!L75,'10.08 Kumi-Soroti-24h'!L75)</f>
        <v>0.5</v>
      </c>
      <c r="M75" s="49">
        <f>AVERAGE('09.08 Kumi-Soroti-24h'!M75,'10.08 Kumi-Soroti-24h'!M75)</f>
        <v>1</v>
      </c>
      <c r="N75" s="49">
        <f>AVERAGE('09.08 Kumi-Soroti-24h'!N75,'10.08 Kumi-Soroti-24h'!N75)</f>
        <v>0</v>
      </c>
      <c r="O75" s="15">
        <f t="shared" si="35"/>
        <v>5</v>
      </c>
      <c r="P75" s="15">
        <f t="shared" si="36"/>
        <v>6</v>
      </c>
      <c r="R75" s="8"/>
      <c r="T75"/>
    </row>
    <row r="76" spans="2:20" ht="23.1" customHeight="1" x14ac:dyDescent="0.25">
      <c r="B76" s="23" t="s">
        <v>116</v>
      </c>
      <c r="C76" s="49">
        <f>AVERAGE('09.08 Kumi-Soroti-24h'!C76,'10.08 Kumi-Soroti-24h'!C76)</f>
        <v>1.5</v>
      </c>
      <c r="D76" s="49">
        <f>AVERAGE('09.08 Kumi-Soroti-24h'!D76,'10.08 Kumi-Soroti-24h'!D76)</f>
        <v>0</v>
      </c>
      <c r="E76" s="49">
        <f>AVERAGE('09.08 Kumi-Soroti-24h'!E76,'10.08 Kumi-Soroti-24h'!E76)</f>
        <v>0</v>
      </c>
      <c r="F76" s="49">
        <f>AVERAGE('09.08 Kumi-Soroti-24h'!F76,'10.08 Kumi-Soroti-24h'!F76)</f>
        <v>0</v>
      </c>
      <c r="G76" s="49">
        <f>AVERAGE('09.08 Kumi-Soroti-24h'!G76,'10.08 Kumi-Soroti-24h'!G76)</f>
        <v>0</v>
      </c>
      <c r="H76" s="49">
        <f>AVERAGE('09.08 Kumi-Soroti-24h'!H76,'10.08 Kumi-Soroti-24h'!H76)</f>
        <v>0</v>
      </c>
      <c r="I76" s="49">
        <f>AVERAGE('09.08 Kumi-Soroti-24h'!I76,'10.08 Kumi-Soroti-24h'!I76)</f>
        <v>0.5</v>
      </c>
      <c r="J76" s="49">
        <f>AVERAGE('09.08 Kumi-Soroti-24h'!J76,'10.08 Kumi-Soroti-24h'!J76)</f>
        <v>0.5</v>
      </c>
      <c r="K76" s="49">
        <f>AVERAGE('09.08 Kumi-Soroti-24h'!K76,'10.08 Kumi-Soroti-24h'!K76)</f>
        <v>0</v>
      </c>
      <c r="L76" s="49">
        <f>AVERAGE('09.08 Kumi-Soroti-24h'!L76,'10.08 Kumi-Soroti-24h'!L76)</f>
        <v>2</v>
      </c>
      <c r="M76" s="49">
        <f>AVERAGE('09.08 Kumi-Soroti-24h'!M76,'10.08 Kumi-Soroti-24h'!M76)</f>
        <v>0</v>
      </c>
      <c r="N76" s="49">
        <f>AVERAGE('09.08 Kumi-Soroti-24h'!N76,'10.08 Kumi-Soroti-24h'!N76)</f>
        <v>0</v>
      </c>
      <c r="O76" s="15">
        <f t="shared" si="35"/>
        <v>4.5</v>
      </c>
      <c r="P76" s="15">
        <f t="shared" si="36"/>
        <v>4.5</v>
      </c>
      <c r="R76" s="8"/>
      <c r="T76"/>
    </row>
    <row r="77" spans="2:20" ht="23.1" customHeight="1" x14ac:dyDescent="0.25">
      <c r="B77" s="23" t="s">
        <v>117</v>
      </c>
      <c r="C77" s="49">
        <f>AVERAGE('09.08 Kumi-Soroti-24h'!C77,'10.08 Kumi-Soroti-24h'!C77)</f>
        <v>1</v>
      </c>
      <c r="D77" s="49">
        <f>AVERAGE('09.08 Kumi-Soroti-24h'!D77,'10.08 Kumi-Soroti-24h'!D77)</f>
        <v>0</v>
      </c>
      <c r="E77" s="49">
        <f>AVERAGE('09.08 Kumi-Soroti-24h'!E77,'10.08 Kumi-Soroti-24h'!E77)</f>
        <v>1.5</v>
      </c>
      <c r="F77" s="49">
        <f>AVERAGE('09.08 Kumi-Soroti-24h'!F77,'10.08 Kumi-Soroti-24h'!F77)</f>
        <v>0.5</v>
      </c>
      <c r="G77" s="49">
        <f>AVERAGE('09.08 Kumi-Soroti-24h'!G77,'10.08 Kumi-Soroti-24h'!G77)</f>
        <v>0</v>
      </c>
      <c r="H77" s="49">
        <f>AVERAGE('09.08 Kumi-Soroti-24h'!H77,'10.08 Kumi-Soroti-24h'!H77)</f>
        <v>0</v>
      </c>
      <c r="I77" s="49">
        <f>AVERAGE('09.08 Kumi-Soroti-24h'!I77,'10.08 Kumi-Soroti-24h'!I77)</f>
        <v>1.5</v>
      </c>
      <c r="J77" s="49">
        <f>AVERAGE('09.08 Kumi-Soroti-24h'!J77,'10.08 Kumi-Soroti-24h'!J77)</f>
        <v>0.5</v>
      </c>
      <c r="K77" s="49">
        <f>AVERAGE('09.08 Kumi-Soroti-24h'!K77,'10.08 Kumi-Soroti-24h'!K77)</f>
        <v>0</v>
      </c>
      <c r="L77" s="49">
        <f>AVERAGE('09.08 Kumi-Soroti-24h'!L77,'10.08 Kumi-Soroti-24h'!L77)</f>
        <v>3.5</v>
      </c>
      <c r="M77" s="49">
        <f>AVERAGE('09.08 Kumi-Soroti-24h'!M77,'10.08 Kumi-Soroti-24h'!M77)</f>
        <v>2</v>
      </c>
      <c r="N77" s="49">
        <f>AVERAGE('09.08 Kumi-Soroti-24h'!N77,'10.08 Kumi-Soroti-24h'!N77)</f>
        <v>0</v>
      </c>
      <c r="O77" s="15">
        <f t="shared" si="35"/>
        <v>8.5</v>
      </c>
      <c r="P77" s="15">
        <f t="shared" si="36"/>
        <v>10.5</v>
      </c>
      <c r="R77" s="8"/>
      <c r="T77"/>
    </row>
    <row r="78" spans="2:20" ht="23.1" customHeight="1" x14ac:dyDescent="0.25">
      <c r="B78" s="24" t="s">
        <v>118</v>
      </c>
      <c r="C78" s="49">
        <f>AVERAGE('09.08 Kumi-Soroti-24h'!C78,'10.08 Kumi-Soroti-24h'!C78)</f>
        <v>0</v>
      </c>
      <c r="D78" s="49">
        <f>AVERAGE('09.08 Kumi-Soroti-24h'!D78,'10.08 Kumi-Soroti-24h'!D78)</f>
        <v>0</v>
      </c>
      <c r="E78" s="49">
        <f>AVERAGE('09.08 Kumi-Soroti-24h'!E78,'10.08 Kumi-Soroti-24h'!E78)</f>
        <v>0.5</v>
      </c>
      <c r="F78" s="49">
        <f>AVERAGE('09.08 Kumi-Soroti-24h'!F78,'10.08 Kumi-Soroti-24h'!F78)</f>
        <v>1</v>
      </c>
      <c r="G78" s="49">
        <f>AVERAGE('09.08 Kumi-Soroti-24h'!G78,'10.08 Kumi-Soroti-24h'!G78)</f>
        <v>0</v>
      </c>
      <c r="H78" s="49">
        <f>AVERAGE('09.08 Kumi-Soroti-24h'!H78,'10.08 Kumi-Soroti-24h'!H78)</f>
        <v>0.5</v>
      </c>
      <c r="I78" s="49">
        <f>AVERAGE('09.08 Kumi-Soroti-24h'!I78,'10.08 Kumi-Soroti-24h'!I78)</f>
        <v>2</v>
      </c>
      <c r="J78" s="49">
        <f>AVERAGE('09.08 Kumi-Soroti-24h'!J78,'10.08 Kumi-Soroti-24h'!J78)</f>
        <v>0</v>
      </c>
      <c r="K78" s="49">
        <f>AVERAGE('09.08 Kumi-Soroti-24h'!K78,'10.08 Kumi-Soroti-24h'!K78)</f>
        <v>1</v>
      </c>
      <c r="L78" s="49">
        <f>AVERAGE('09.08 Kumi-Soroti-24h'!L78,'10.08 Kumi-Soroti-24h'!L78)</f>
        <v>1</v>
      </c>
      <c r="M78" s="49">
        <f>AVERAGE('09.08 Kumi-Soroti-24h'!M78,'10.08 Kumi-Soroti-24h'!M78)</f>
        <v>0</v>
      </c>
      <c r="N78" s="49">
        <f>AVERAGE('09.08 Kumi-Soroti-24h'!N78,'10.08 Kumi-Soroti-24h'!N78)</f>
        <v>0</v>
      </c>
      <c r="O78" s="15">
        <f t="shared" si="35"/>
        <v>6</v>
      </c>
      <c r="P78" s="15">
        <f t="shared" si="36"/>
        <v>6</v>
      </c>
      <c r="R78" s="8"/>
      <c r="T78"/>
    </row>
    <row r="79" spans="2:20" ht="23.1" customHeight="1" x14ac:dyDescent="0.25">
      <c r="B79" s="23" t="s">
        <v>119</v>
      </c>
      <c r="C79" s="49">
        <f>AVERAGE('09.08 Kumi-Soroti-24h'!C79,'10.08 Kumi-Soroti-24h'!C79)</f>
        <v>0.5</v>
      </c>
      <c r="D79" s="49">
        <f>AVERAGE('09.08 Kumi-Soroti-24h'!D79,'10.08 Kumi-Soroti-24h'!D79)</f>
        <v>0</v>
      </c>
      <c r="E79" s="49">
        <f>AVERAGE('09.08 Kumi-Soroti-24h'!E79,'10.08 Kumi-Soroti-24h'!E79)</f>
        <v>0.5</v>
      </c>
      <c r="F79" s="49">
        <f>AVERAGE('09.08 Kumi-Soroti-24h'!F79,'10.08 Kumi-Soroti-24h'!F79)</f>
        <v>0</v>
      </c>
      <c r="G79" s="49">
        <f>AVERAGE('09.08 Kumi-Soroti-24h'!G79,'10.08 Kumi-Soroti-24h'!G79)</f>
        <v>0</v>
      </c>
      <c r="H79" s="49">
        <f>AVERAGE('09.08 Kumi-Soroti-24h'!H79,'10.08 Kumi-Soroti-24h'!H79)</f>
        <v>0</v>
      </c>
      <c r="I79" s="49">
        <f>AVERAGE('09.08 Kumi-Soroti-24h'!I79,'10.08 Kumi-Soroti-24h'!I79)</f>
        <v>2.5</v>
      </c>
      <c r="J79" s="49">
        <f>AVERAGE('09.08 Kumi-Soroti-24h'!J79,'10.08 Kumi-Soroti-24h'!J79)</f>
        <v>0</v>
      </c>
      <c r="K79" s="49">
        <f>AVERAGE('09.08 Kumi-Soroti-24h'!K79,'10.08 Kumi-Soroti-24h'!K79)</f>
        <v>0</v>
      </c>
      <c r="L79" s="49">
        <f>AVERAGE('09.08 Kumi-Soroti-24h'!L79,'10.08 Kumi-Soroti-24h'!L79)</f>
        <v>3.5</v>
      </c>
      <c r="M79" s="49">
        <f>AVERAGE('09.08 Kumi-Soroti-24h'!M79,'10.08 Kumi-Soroti-24h'!M79)</f>
        <v>0.5</v>
      </c>
      <c r="N79" s="49">
        <f>AVERAGE('09.08 Kumi-Soroti-24h'!N79,'10.08 Kumi-Soroti-24h'!N79)</f>
        <v>0</v>
      </c>
      <c r="O79" s="15">
        <f t="shared" si="35"/>
        <v>7</v>
      </c>
      <c r="P79" s="15">
        <f t="shared" si="36"/>
        <v>7.5</v>
      </c>
      <c r="R79" s="8"/>
      <c r="T79"/>
    </row>
    <row r="80" spans="2:20" ht="23.1" customHeight="1" x14ac:dyDescent="0.25">
      <c r="B80" s="25" t="s">
        <v>120</v>
      </c>
      <c r="C80" s="49">
        <f>AVERAGE('09.08 Kumi-Soroti-24h'!C80,'10.08 Kumi-Soroti-24h'!C80)</f>
        <v>0.5</v>
      </c>
      <c r="D80" s="49">
        <f>AVERAGE('09.08 Kumi-Soroti-24h'!D80,'10.08 Kumi-Soroti-24h'!D80)</f>
        <v>0</v>
      </c>
      <c r="E80" s="49">
        <f>AVERAGE('09.08 Kumi-Soroti-24h'!E80,'10.08 Kumi-Soroti-24h'!E80)</f>
        <v>1</v>
      </c>
      <c r="F80" s="49">
        <f>AVERAGE('09.08 Kumi-Soroti-24h'!F80,'10.08 Kumi-Soroti-24h'!F80)</f>
        <v>0.5</v>
      </c>
      <c r="G80" s="49">
        <f>AVERAGE('09.08 Kumi-Soroti-24h'!G80,'10.08 Kumi-Soroti-24h'!G80)</f>
        <v>0</v>
      </c>
      <c r="H80" s="49">
        <f>AVERAGE('09.08 Kumi-Soroti-24h'!H80,'10.08 Kumi-Soroti-24h'!H80)</f>
        <v>0</v>
      </c>
      <c r="I80" s="49">
        <f>AVERAGE('09.08 Kumi-Soroti-24h'!I80,'10.08 Kumi-Soroti-24h'!I80)</f>
        <v>1</v>
      </c>
      <c r="J80" s="49">
        <f>AVERAGE('09.08 Kumi-Soroti-24h'!J80,'10.08 Kumi-Soroti-24h'!J80)</f>
        <v>0.5</v>
      </c>
      <c r="K80" s="49">
        <f>AVERAGE('09.08 Kumi-Soroti-24h'!K80,'10.08 Kumi-Soroti-24h'!K80)</f>
        <v>0</v>
      </c>
      <c r="L80" s="49">
        <f>AVERAGE('09.08 Kumi-Soroti-24h'!L80,'10.08 Kumi-Soroti-24h'!L80)</f>
        <v>2.5</v>
      </c>
      <c r="M80" s="49">
        <f>AVERAGE('09.08 Kumi-Soroti-24h'!M80,'10.08 Kumi-Soroti-24h'!M80)</f>
        <v>0.5</v>
      </c>
      <c r="N80" s="49">
        <f>AVERAGE('09.08 Kumi-Soroti-24h'!N80,'10.08 Kumi-Soroti-24h'!N80)</f>
        <v>0</v>
      </c>
      <c r="O80" s="15">
        <f t="shared" si="35"/>
        <v>6</v>
      </c>
      <c r="P80" s="15">
        <f t="shared" si="36"/>
        <v>6.5</v>
      </c>
      <c r="R80" s="8"/>
      <c r="T80"/>
    </row>
    <row r="81" spans="2:20" ht="23.1" customHeight="1" x14ac:dyDescent="0.25">
      <c r="B81" s="23" t="s">
        <v>121</v>
      </c>
      <c r="C81" s="49">
        <f>AVERAGE('09.08 Kumi-Soroti-24h'!C81,'10.08 Kumi-Soroti-24h'!C81)</f>
        <v>0</v>
      </c>
      <c r="D81" s="49">
        <f>AVERAGE('09.08 Kumi-Soroti-24h'!D81,'10.08 Kumi-Soroti-24h'!D81)</f>
        <v>0</v>
      </c>
      <c r="E81" s="49">
        <f>AVERAGE('09.08 Kumi-Soroti-24h'!E81,'10.08 Kumi-Soroti-24h'!E81)</f>
        <v>0.5</v>
      </c>
      <c r="F81" s="49">
        <f>AVERAGE('09.08 Kumi-Soroti-24h'!F81,'10.08 Kumi-Soroti-24h'!F81)</f>
        <v>0</v>
      </c>
      <c r="G81" s="49">
        <f>AVERAGE('09.08 Kumi-Soroti-24h'!G81,'10.08 Kumi-Soroti-24h'!G81)</f>
        <v>0</v>
      </c>
      <c r="H81" s="49">
        <f>AVERAGE('09.08 Kumi-Soroti-24h'!H81,'10.08 Kumi-Soroti-24h'!H81)</f>
        <v>0.5</v>
      </c>
      <c r="I81" s="49">
        <f>AVERAGE('09.08 Kumi-Soroti-24h'!I81,'10.08 Kumi-Soroti-24h'!I81)</f>
        <v>2</v>
      </c>
      <c r="J81" s="49">
        <f>AVERAGE('09.08 Kumi-Soroti-24h'!J81,'10.08 Kumi-Soroti-24h'!J81)</f>
        <v>1</v>
      </c>
      <c r="K81" s="49">
        <f>AVERAGE('09.08 Kumi-Soroti-24h'!K81,'10.08 Kumi-Soroti-24h'!K81)</f>
        <v>0</v>
      </c>
      <c r="L81" s="49">
        <f>AVERAGE('09.08 Kumi-Soroti-24h'!L81,'10.08 Kumi-Soroti-24h'!L81)</f>
        <v>2.5</v>
      </c>
      <c r="M81" s="49">
        <f>AVERAGE('09.08 Kumi-Soroti-24h'!M81,'10.08 Kumi-Soroti-24h'!M81)</f>
        <v>1.5</v>
      </c>
      <c r="N81" s="49">
        <f>AVERAGE('09.08 Kumi-Soroti-24h'!N81,'10.08 Kumi-Soroti-24h'!N81)</f>
        <v>0</v>
      </c>
      <c r="O81" s="15">
        <f t="shared" si="35"/>
        <v>6.5</v>
      </c>
      <c r="P81" s="15">
        <f t="shared" si="36"/>
        <v>8</v>
      </c>
      <c r="R81" s="8"/>
      <c r="T81"/>
    </row>
    <row r="82" spans="2:20" ht="23.1" customHeight="1" x14ac:dyDescent="0.25">
      <c r="B82" s="24" t="s">
        <v>122</v>
      </c>
      <c r="C82" s="49">
        <f>AVERAGE('09.08 Kumi-Soroti-24h'!C82,'10.08 Kumi-Soroti-24h'!C82)</f>
        <v>0.5</v>
      </c>
      <c r="D82" s="49">
        <f>AVERAGE('09.08 Kumi-Soroti-24h'!D82,'10.08 Kumi-Soroti-24h'!D82)</f>
        <v>0</v>
      </c>
      <c r="E82" s="49">
        <f>AVERAGE('09.08 Kumi-Soroti-24h'!E82,'10.08 Kumi-Soroti-24h'!E82)</f>
        <v>0</v>
      </c>
      <c r="F82" s="49">
        <f>AVERAGE('09.08 Kumi-Soroti-24h'!F82,'10.08 Kumi-Soroti-24h'!F82)</f>
        <v>0.5</v>
      </c>
      <c r="G82" s="49">
        <f>AVERAGE('09.08 Kumi-Soroti-24h'!G82,'10.08 Kumi-Soroti-24h'!G82)</f>
        <v>0.5</v>
      </c>
      <c r="H82" s="49">
        <f>AVERAGE('09.08 Kumi-Soroti-24h'!H82,'10.08 Kumi-Soroti-24h'!H82)</f>
        <v>0</v>
      </c>
      <c r="I82" s="49">
        <f>AVERAGE('09.08 Kumi-Soroti-24h'!I82,'10.08 Kumi-Soroti-24h'!I82)</f>
        <v>0.5</v>
      </c>
      <c r="J82" s="49">
        <f>AVERAGE('09.08 Kumi-Soroti-24h'!J82,'10.08 Kumi-Soroti-24h'!J82)</f>
        <v>0</v>
      </c>
      <c r="K82" s="49">
        <f>AVERAGE('09.08 Kumi-Soroti-24h'!K82,'10.08 Kumi-Soroti-24h'!K82)</f>
        <v>0</v>
      </c>
      <c r="L82" s="49">
        <f>AVERAGE('09.08 Kumi-Soroti-24h'!L82,'10.08 Kumi-Soroti-24h'!L82)</f>
        <v>2</v>
      </c>
      <c r="M82" s="49">
        <f>AVERAGE('09.08 Kumi-Soroti-24h'!M82,'10.08 Kumi-Soroti-24h'!M82)</f>
        <v>0.5</v>
      </c>
      <c r="N82" s="49">
        <f>AVERAGE('09.08 Kumi-Soroti-24h'!N82,'10.08 Kumi-Soroti-24h'!N82)</f>
        <v>0</v>
      </c>
      <c r="O82" s="15">
        <f t="shared" si="35"/>
        <v>4</v>
      </c>
      <c r="P82" s="15">
        <f t="shared" si="36"/>
        <v>4.5</v>
      </c>
      <c r="R82" s="8"/>
      <c r="T82"/>
    </row>
    <row r="83" spans="2:20" ht="23.1" customHeight="1" x14ac:dyDescent="0.25">
      <c r="B83" s="23" t="s">
        <v>123</v>
      </c>
      <c r="C83" s="49">
        <f>AVERAGE('09.08 Kumi-Soroti-24h'!C83,'10.08 Kumi-Soroti-24h'!C83)</f>
        <v>1.5</v>
      </c>
      <c r="D83" s="49">
        <f>AVERAGE('09.08 Kumi-Soroti-24h'!D83,'10.08 Kumi-Soroti-24h'!D83)</f>
        <v>0</v>
      </c>
      <c r="E83" s="49">
        <f>AVERAGE('09.08 Kumi-Soroti-24h'!E83,'10.08 Kumi-Soroti-24h'!E83)</f>
        <v>0.5</v>
      </c>
      <c r="F83" s="49">
        <f>AVERAGE('09.08 Kumi-Soroti-24h'!F83,'10.08 Kumi-Soroti-24h'!F83)</f>
        <v>0.5</v>
      </c>
      <c r="G83" s="49">
        <f>AVERAGE('09.08 Kumi-Soroti-24h'!G83,'10.08 Kumi-Soroti-24h'!G83)</f>
        <v>0</v>
      </c>
      <c r="H83" s="49">
        <f>AVERAGE('09.08 Kumi-Soroti-24h'!H83,'10.08 Kumi-Soroti-24h'!H83)</f>
        <v>0</v>
      </c>
      <c r="I83" s="49">
        <f>AVERAGE('09.08 Kumi-Soroti-24h'!I83,'10.08 Kumi-Soroti-24h'!I83)</f>
        <v>2.5</v>
      </c>
      <c r="J83" s="49">
        <f>AVERAGE('09.08 Kumi-Soroti-24h'!J83,'10.08 Kumi-Soroti-24h'!J83)</f>
        <v>0.5</v>
      </c>
      <c r="K83" s="49">
        <f>AVERAGE('09.08 Kumi-Soroti-24h'!K83,'10.08 Kumi-Soroti-24h'!K83)</f>
        <v>0</v>
      </c>
      <c r="L83" s="49">
        <f>AVERAGE('09.08 Kumi-Soroti-24h'!L83,'10.08 Kumi-Soroti-24h'!L83)</f>
        <v>2.5</v>
      </c>
      <c r="M83" s="49">
        <f>AVERAGE('09.08 Kumi-Soroti-24h'!M83,'10.08 Kumi-Soroti-24h'!M83)</f>
        <v>0.5</v>
      </c>
      <c r="N83" s="49">
        <f>AVERAGE('09.08 Kumi-Soroti-24h'!N83,'10.08 Kumi-Soroti-24h'!N83)</f>
        <v>0</v>
      </c>
      <c r="O83" s="15">
        <f t="shared" si="35"/>
        <v>8</v>
      </c>
      <c r="P83" s="15">
        <f t="shared" si="36"/>
        <v>8.5</v>
      </c>
      <c r="R83" s="8"/>
      <c r="T83"/>
    </row>
    <row r="84" spans="2:20" ht="23.1" customHeight="1" x14ac:dyDescent="0.25">
      <c r="B84" s="25" t="s">
        <v>124</v>
      </c>
      <c r="C84" s="49">
        <f>AVERAGE('09.08 Kumi-Soroti-24h'!C84,'10.08 Kumi-Soroti-24h'!C84)</f>
        <v>0</v>
      </c>
      <c r="D84" s="49">
        <f>AVERAGE('09.08 Kumi-Soroti-24h'!D84,'10.08 Kumi-Soroti-24h'!D84)</f>
        <v>0</v>
      </c>
      <c r="E84" s="49">
        <f>AVERAGE('09.08 Kumi-Soroti-24h'!E84,'10.08 Kumi-Soroti-24h'!E84)</f>
        <v>0</v>
      </c>
      <c r="F84" s="49">
        <f>AVERAGE('09.08 Kumi-Soroti-24h'!F84,'10.08 Kumi-Soroti-24h'!F84)</f>
        <v>0.5</v>
      </c>
      <c r="G84" s="49">
        <f>AVERAGE('09.08 Kumi-Soroti-24h'!G84,'10.08 Kumi-Soroti-24h'!G84)</f>
        <v>0</v>
      </c>
      <c r="H84" s="49">
        <f>AVERAGE('09.08 Kumi-Soroti-24h'!H84,'10.08 Kumi-Soroti-24h'!H84)</f>
        <v>0</v>
      </c>
      <c r="I84" s="49">
        <f>AVERAGE('09.08 Kumi-Soroti-24h'!I84,'10.08 Kumi-Soroti-24h'!I84)</f>
        <v>1</v>
      </c>
      <c r="J84" s="49">
        <f>AVERAGE('09.08 Kumi-Soroti-24h'!J84,'10.08 Kumi-Soroti-24h'!J84)</f>
        <v>0</v>
      </c>
      <c r="K84" s="49">
        <f>AVERAGE('09.08 Kumi-Soroti-24h'!K84,'10.08 Kumi-Soroti-24h'!K84)</f>
        <v>0</v>
      </c>
      <c r="L84" s="49">
        <f>AVERAGE('09.08 Kumi-Soroti-24h'!L84,'10.08 Kumi-Soroti-24h'!L84)</f>
        <v>3.5</v>
      </c>
      <c r="M84" s="49">
        <f>AVERAGE('09.08 Kumi-Soroti-24h'!M84,'10.08 Kumi-Soroti-24h'!M84)</f>
        <v>0</v>
      </c>
      <c r="N84" s="49">
        <f>AVERAGE('09.08 Kumi-Soroti-24h'!N84,'10.08 Kumi-Soroti-24h'!N84)</f>
        <v>0</v>
      </c>
      <c r="O84" s="15">
        <f t="shared" si="35"/>
        <v>5</v>
      </c>
      <c r="P84" s="15">
        <f t="shared" si="36"/>
        <v>5</v>
      </c>
      <c r="R84" s="8"/>
      <c r="T84"/>
    </row>
    <row r="85" spans="2:20" ht="23.1" customHeight="1" x14ac:dyDescent="0.25">
      <c r="B85" s="23" t="s">
        <v>125</v>
      </c>
      <c r="C85" s="49">
        <f>AVERAGE('09.08 Kumi-Soroti-24h'!C85,'10.08 Kumi-Soroti-24h'!C85)</f>
        <v>0.5</v>
      </c>
      <c r="D85" s="49">
        <f>AVERAGE('09.08 Kumi-Soroti-24h'!D85,'10.08 Kumi-Soroti-24h'!D85)</f>
        <v>0</v>
      </c>
      <c r="E85" s="49">
        <f>AVERAGE('09.08 Kumi-Soroti-24h'!E85,'10.08 Kumi-Soroti-24h'!E85)</f>
        <v>0</v>
      </c>
      <c r="F85" s="49">
        <f>AVERAGE('09.08 Kumi-Soroti-24h'!F85,'10.08 Kumi-Soroti-24h'!F85)</f>
        <v>0</v>
      </c>
      <c r="G85" s="49">
        <f>AVERAGE('09.08 Kumi-Soroti-24h'!G85,'10.08 Kumi-Soroti-24h'!G85)</f>
        <v>0</v>
      </c>
      <c r="H85" s="49">
        <f>AVERAGE('09.08 Kumi-Soroti-24h'!H85,'10.08 Kumi-Soroti-24h'!H85)</f>
        <v>0</v>
      </c>
      <c r="I85" s="49">
        <f>AVERAGE('09.08 Kumi-Soroti-24h'!I85,'10.08 Kumi-Soroti-24h'!I85)</f>
        <v>1</v>
      </c>
      <c r="J85" s="49">
        <f>AVERAGE('09.08 Kumi-Soroti-24h'!J85,'10.08 Kumi-Soroti-24h'!J85)</f>
        <v>0</v>
      </c>
      <c r="K85" s="49">
        <f>AVERAGE('09.08 Kumi-Soroti-24h'!K85,'10.08 Kumi-Soroti-24h'!K85)</f>
        <v>0.5</v>
      </c>
      <c r="L85" s="49">
        <f>AVERAGE('09.08 Kumi-Soroti-24h'!L85,'10.08 Kumi-Soroti-24h'!L85)</f>
        <v>1</v>
      </c>
      <c r="M85" s="49">
        <f>AVERAGE('09.08 Kumi-Soroti-24h'!M85,'10.08 Kumi-Soroti-24h'!M85)</f>
        <v>0</v>
      </c>
      <c r="N85" s="49">
        <f>AVERAGE('09.08 Kumi-Soroti-24h'!N85,'10.08 Kumi-Soroti-24h'!N85)</f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AVERAGE('09.08 Kumi-Soroti-24h'!C86,'10.08 Kumi-Soroti-24h'!C86)</f>
        <v>0</v>
      </c>
      <c r="D86" s="49">
        <f>AVERAGE('09.08 Kumi-Soroti-24h'!D86,'10.08 Kumi-Soroti-24h'!D86)</f>
        <v>0</v>
      </c>
      <c r="E86" s="49">
        <f>AVERAGE('09.08 Kumi-Soroti-24h'!E86,'10.08 Kumi-Soroti-24h'!E86)</f>
        <v>0.5</v>
      </c>
      <c r="F86" s="49">
        <f>AVERAGE('09.08 Kumi-Soroti-24h'!F86,'10.08 Kumi-Soroti-24h'!F86)</f>
        <v>0</v>
      </c>
      <c r="G86" s="49">
        <f>AVERAGE('09.08 Kumi-Soroti-24h'!G86,'10.08 Kumi-Soroti-24h'!G86)</f>
        <v>0</v>
      </c>
      <c r="H86" s="49">
        <f>AVERAGE('09.08 Kumi-Soroti-24h'!H86,'10.08 Kumi-Soroti-24h'!H86)</f>
        <v>0</v>
      </c>
      <c r="I86" s="49">
        <f>AVERAGE('09.08 Kumi-Soroti-24h'!I86,'10.08 Kumi-Soroti-24h'!I86)</f>
        <v>2</v>
      </c>
      <c r="J86" s="49">
        <f>AVERAGE('09.08 Kumi-Soroti-24h'!J86,'10.08 Kumi-Soroti-24h'!J86)</f>
        <v>0</v>
      </c>
      <c r="K86" s="49">
        <f>AVERAGE('09.08 Kumi-Soroti-24h'!K86,'10.08 Kumi-Soroti-24h'!K86)</f>
        <v>0.5</v>
      </c>
      <c r="L86" s="49">
        <f>AVERAGE('09.08 Kumi-Soroti-24h'!L86,'10.08 Kumi-Soroti-24h'!L86)</f>
        <v>3.5</v>
      </c>
      <c r="M86" s="49">
        <f>AVERAGE('09.08 Kumi-Soroti-24h'!M86,'10.08 Kumi-Soroti-24h'!M86)</f>
        <v>0.5</v>
      </c>
      <c r="N86" s="49">
        <f>AVERAGE('09.08 Kumi-Soroti-24h'!N86,'10.08 Kumi-Soroti-24h'!N86)</f>
        <v>0</v>
      </c>
      <c r="O86" s="15">
        <f t="shared" si="35"/>
        <v>6.5</v>
      </c>
      <c r="P86" s="15">
        <f t="shared" si="36"/>
        <v>7</v>
      </c>
      <c r="R86" s="8"/>
      <c r="T86"/>
    </row>
    <row r="87" spans="2:20" ht="23.1" customHeight="1" x14ac:dyDescent="0.25">
      <c r="B87" s="23" t="s">
        <v>127</v>
      </c>
      <c r="C87" s="49">
        <f>AVERAGE('09.08 Kumi-Soroti-24h'!C87,'10.08 Kumi-Soroti-24h'!C87)</f>
        <v>0</v>
      </c>
      <c r="D87" s="49">
        <f>AVERAGE('09.08 Kumi-Soroti-24h'!D87,'10.08 Kumi-Soroti-24h'!D87)</f>
        <v>0</v>
      </c>
      <c r="E87" s="49">
        <f>AVERAGE('09.08 Kumi-Soroti-24h'!E87,'10.08 Kumi-Soroti-24h'!E87)</f>
        <v>1.5</v>
      </c>
      <c r="F87" s="49">
        <f>AVERAGE('09.08 Kumi-Soroti-24h'!F87,'10.08 Kumi-Soroti-24h'!F87)</f>
        <v>0.5</v>
      </c>
      <c r="G87" s="49">
        <f>AVERAGE('09.08 Kumi-Soroti-24h'!G87,'10.08 Kumi-Soroti-24h'!G87)</f>
        <v>0</v>
      </c>
      <c r="H87" s="49">
        <f>AVERAGE('09.08 Kumi-Soroti-24h'!H87,'10.08 Kumi-Soroti-24h'!H87)</f>
        <v>0</v>
      </c>
      <c r="I87" s="49">
        <f>AVERAGE('09.08 Kumi-Soroti-24h'!I87,'10.08 Kumi-Soroti-24h'!I87)</f>
        <v>0</v>
      </c>
      <c r="J87" s="49">
        <f>AVERAGE('09.08 Kumi-Soroti-24h'!J87,'10.08 Kumi-Soroti-24h'!J87)</f>
        <v>0</v>
      </c>
      <c r="K87" s="49">
        <f>AVERAGE('09.08 Kumi-Soroti-24h'!K87,'10.08 Kumi-Soroti-24h'!K87)</f>
        <v>0</v>
      </c>
      <c r="L87" s="49">
        <f>AVERAGE('09.08 Kumi-Soroti-24h'!L87,'10.08 Kumi-Soroti-24h'!L87)</f>
        <v>1</v>
      </c>
      <c r="M87" s="49">
        <f>AVERAGE('09.08 Kumi-Soroti-24h'!M87,'10.08 Kumi-Soroti-24h'!M87)</f>
        <v>0</v>
      </c>
      <c r="N87" s="49">
        <f>AVERAGE('09.08 Kumi-Soroti-24h'!N87,'10.08 Kumi-Soroti-24h'!N87)</f>
        <v>0</v>
      </c>
      <c r="O87" s="15">
        <f t="shared" si="35"/>
        <v>3</v>
      </c>
      <c r="P87" s="15">
        <f t="shared" si="36"/>
        <v>3</v>
      </c>
      <c r="R87" s="8"/>
      <c r="T87"/>
    </row>
    <row r="88" spans="2:20" ht="23.1" customHeight="1" x14ac:dyDescent="0.25">
      <c r="B88" s="25" t="s">
        <v>128</v>
      </c>
      <c r="C88" s="49">
        <f>AVERAGE('09.08 Kumi-Soroti-24h'!C88,'10.08 Kumi-Soroti-24h'!C88)</f>
        <v>0</v>
      </c>
      <c r="D88" s="49">
        <f>AVERAGE('09.08 Kumi-Soroti-24h'!D88,'10.08 Kumi-Soroti-24h'!D88)</f>
        <v>0</v>
      </c>
      <c r="E88" s="49">
        <f>AVERAGE('09.08 Kumi-Soroti-24h'!E88,'10.08 Kumi-Soroti-24h'!E88)</f>
        <v>0</v>
      </c>
      <c r="F88" s="49">
        <f>AVERAGE('09.08 Kumi-Soroti-24h'!F88,'10.08 Kumi-Soroti-24h'!F88)</f>
        <v>0</v>
      </c>
      <c r="G88" s="49">
        <f>AVERAGE('09.08 Kumi-Soroti-24h'!G88,'10.08 Kumi-Soroti-24h'!G88)</f>
        <v>0</v>
      </c>
      <c r="H88" s="49">
        <f>AVERAGE('09.08 Kumi-Soroti-24h'!H88,'10.08 Kumi-Soroti-24h'!H88)</f>
        <v>0</v>
      </c>
      <c r="I88" s="49">
        <f>AVERAGE('09.08 Kumi-Soroti-24h'!I88,'10.08 Kumi-Soroti-24h'!I88)</f>
        <v>0</v>
      </c>
      <c r="J88" s="49">
        <f>AVERAGE('09.08 Kumi-Soroti-24h'!J88,'10.08 Kumi-Soroti-24h'!J88)</f>
        <v>0</v>
      </c>
      <c r="K88" s="49">
        <f>AVERAGE('09.08 Kumi-Soroti-24h'!K88,'10.08 Kumi-Soroti-24h'!K88)</f>
        <v>0</v>
      </c>
      <c r="L88" s="49">
        <f>AVERAGE('09.08 Kumi-Soroti-24h'!L88,'10.08 Kumi-Soroti-24h'!L88)</f>
        <v>0</v>
      </c>
      <c r="M88" s="49">
        <f>AVERAGE('09.08 Kumi-Soroti-24h'!M88,'10.08 Kumi-Soroti-24h'!M88)</f>
        <v>0</v>
      </c>
      <c r="N88" s="49">
        <f>AVERAGE('09.08 Kumi-Soroti-24h'!N88,'10.08 Kumi-Soroti-24h'!N88)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AVERAGE('09.08 Kumi-Soroti-24h'!C89,'10.08 Kumi-Soroti-24h'!C89)</f>
        <v>0</v>
      </c>
      <c r="D89" s="49">
        <f>AVERAGE('09.08 Kumi-Soroti-24h'!D89,'10.08 Kumi-Soroti-24h'!D89)</f>
        <v>0</v>
      </c>
      <c r="E89" s="49">
        <f>AVERAGE('09.08 Kumi-Soroti-24h'!E89,'10.08 Kumi-Soroti-24h'!E89)</f>
        <v>1</v>
      </c>
      <c r="F89" s="49">
        <f>AVERAGE('09.08 Kumi-Soroti-24h'!F89,'10.08 Kumi-Soroti-24h'!F89)</f>
        <v>0</v>
      </c>
      <c r="G89" s="49">
        <f>AVERAGE('09.08 Kumi-Soroti-24h'!G89,'10.08 Kumi-Soroti-24h'!G89)</f>
        <v>0</v>
      </c>
      <c r="H89" s="49">
        <f>AVERAGE('09.08 Kumi-Soroti-24h'!H89,'10.08 Kumi-Soroti-24h'!H89)</f>
        <v>0</v>
      </c>
      <c r="I89" s="49">
        <f>AVERAGE('09.08 Kumi-Soroti-24h'!I89,'10.08 Kumi-Soroti-24h'!I89)</f>
        <v>0.5</v>
      </c>
      <c r="J89" s="49">
        <f>AVERAGE('09.08 Kumi-Soroti-24h'!J89,'10.08 Kumi-Soroti-24h'!J89)</f>
        <v>0</v>
      </c>
      <c r="K89" s="49">
        <f>AVERAGE('09.08 Kumi-Soroti-24h'!K89,'10.08 Kumi-Soroti-24h'!K89)</f>
        <v>0</v>
      </c>
      <c r="L89" s="49">
        <f>AVERAGE('09.08 Kumi-Soroti-24h'!L89,'10.08 Kumi-Soroti-24h'!L89)</f>
        <v>1</v>
      </c>
      <c r="M89" s="49">
        <f>AVERAGE('09.08 Kumi-Soroti-24h'!M89,'10.08 Kumi-Soroti-24h'!M89)</f>
        <v>0</v>
      </c>
      <c r="N89" s="49">
        <f>AVERAGE('09.08 Kumi-Soroti-24h'!N89,'10.08 Kumi-Soroti-24h'!N89)</f>
        <v>0</v>
      </c>
      <c r="O89" s="15">
        <f t="shared" si="35"/>
        <v>2.5</v>
      </c>
      <c r="P89" s="15">
        <f t="shared" si="36"/>
        <v>2.5</v>
      </c>
      <c r="R89" s="8"/>
      <c r="T89"/>
    </row>
    <row r="90" spans="2:20" ht="23.1" customHeight="1" x14ac:dyDescent="0.25">
      <c r="B90" s="24" t="s">
        <v>130</v>
      </c>
      <c r="C90" s="49">
        <f>AVERAGE('09.08 Kumi-Soroti-24h'!C90,'10.08 Kumi-Soroti-24h'!C90)</f>
        <v>1.5</v>
      </c>
      <c r="D90" s="49">
        <f>AVERAGE('09.08 Kumi-Soroti-24h'!D90,'10.08 Kumi-Soroti-24h'!D90)</f>
        <v>0</v>
      </c>
      <c r="E90" s="49">
        <f>AVERAGE('09.08 Kumi-Soroti-24h'!E90,'10.08 Kumi-Soroti-24h'!E90)</f>
        <v>0</v>
      </c>
      <c r="F90" s="49">
        <f>AVERAGE('09.08 Kumi-Soroti-24h'!F90,'10.08 Kumi-Soroti-24h'!F90)</f>
        <v>0</v>
      </c>
      <c r="G90" s="49">
        <f>AVERAGE('09.08 Kumi-Soroti-24h'!G90,'10.08 Kumi-Soroti-24h'!G90)</f>
        <v>0</v>
      </c>
      <c r="H90" s="49">
        <f>AVERAGE('09.08 Kumi-Soroti-24h'!H90,'10.08 Kumi-Soroti-24h'!H90)</f>
        <v>0</v>
      </c>
      <c r="I90" s="49">
        <f>AVERAGE('09.08 Kumi-Soroti-24h'!I90,'10.08 Kumi-Soroti-24h'!I90)</f>
        <v>1.5</v>
      </c>
      <c r="J90" s="49">
        <f>AVERAGE('09.08 Kumi-Soroti-24h'!J90,'10.08 Kumi-Soroti-24h'!J90)</f>
        <v>0</v>
      </c>
      <c r="K90" s="49">
        <f>AVERAGE('09.08 Kumi-Soroti-24h'!K90,'10.08 Kumi-Soroti-24h'!K90)</f>
        <v>0</v>
      </c>
      <c r="L90" s="49">
        <f>AVERAGE('09.08 Kumi-Soroti-24h'!L90,'10.08 Kumi-Soroti-24h'!L90)</f>
        <v>1.5</v>
      </c>
      <c r="M90" s="49">
        <f>AVERAGE('09.08 Kumi-Soroti-24h'!M90,'10.08 Kumi-Soroti-24h'!M90)</f>
        <v>0</v>
      </c>
      <c r="N90" s="49">
        <f>AVERAGE('09.08 Kumi-Soroti-24h'!N90,'10.08 Kumi-Soroti-24h'!N90)</f>
        <v>0</v>
      </c>
      <c r="O90" s="15">
        <f t="shared" si="35"/>
        <v>4.5</v>
      </c>
      <c r="P90" s="15">
        <f t="shared" si="36"/>
        <v>4.5</v>
      </c>
      <c r="R90" s="8"/>
      <c r="T90"/>
    </row>
    <row r="91" spans="2:20" ht="23.1" customHeight="1" x14ac:dyDescent="0.25">
      <c r="B91" s="23" t="s">
        <v>131</v>
      </c>
      <c r="C91" s="49">
        <f>AVERAGE('09.08 Kumi-Soroti-24h'!C91,'10.08 Kumi-Soroti-24h'!C91)</f>
        <v>1</v>
      </c>
      <c r="D91" s="49">
        <f>AVERAGE('09.08 Kumi-Soroti-24h'!D91,'10.08 Kumi-Soroti-24h'!D91)</f>
        <v>0</v>
      </c>
      <c r="E91" s="49">
        <f>AVERAGE('09.08 Kumi-Soroti-24h'!E91,'10.08 Kumi-Soroti-24h'!E91)</f>
        <v>0</v>
      </c>
      <c r="F91" s="49">
        <f>AVERAGE('09.08 Kumi-Soroti-24h'!F91,'10.08 Kumi-Soroti-24h'!F91)</f>
        <v>1</v>
      </c>
      <c r="G91" s="49">
        <f>AVERAGE('09.08 Kumi-Soroti-24h'!G91,'10.08 Kumi-Soroti-24h'!G91)</f>
        <v>0</v>
      </c>
      <c r="H91" s="49">
        <f>AVERAGE('09.08 Kumi-Soroti-24h'!H91,'10.08 Kumi-Soroti-24h'!H91)</f>
        <v>0</v>
      </c>
      <c r="I91" s="49">
        <f>AVERAGE('09.08 Kumi-Soroti-24h'!I91,'10.08 Kumi-Soroti-24h'!I91)</f>
        <v>0.5</v>
      </c>
      <c r="J91" s="49">
        <f>AVERAGE('09.08 Kumi-Soroti-24h'!J91,'10.08 Kumi-Soroti-24h'!J91)</f>
        <v>0.5</v>
      </c>
      <c r="K91" s="49">
        <f>AVERAGE('09.08 Kumi-Soroti-24h'!K91,'10.08 Kumi-Soroti-24h'!K91)</f>
        <v>0</v>
      </c>
      <c r="L91" s="49">
        <f>AVERAGE('09.08 Kumi-Soroti-24h'!L91,'10.08 Kumi-Soroti-24h'!L91)</f>
        <v>4</v>
      </c>
      <c r="M91" s="49">
        <f>AVERAGE('09.08 Kumi-Soroti-24h'!M91,'10.08 Kumi-Soroti-24h'!M91)</f>
        <v>0</v>
      </c>
      <c r="N91" s="49">
        <f>AVERAGE('09.08 Kumi-Soroti-24h'!N91,'10.08 Kumi-Soroti-24h'!N91)</f>
        <v>0</v>
      </c>
      <c r="O91" s="15">
        <f t="shared" si="35"/>
        <v>7</v>
      </c>
      <c r="P91" s="15">
        <f t="shared" si="36"/>
        <v>7</v>
      </c>
      <c r="R91" s="8"/>
      <c r="T91"/>
    </row>
    <row r="92" spans="2:20" ht="23.1" customHeight="1" x14ac:dyDescent="0.25">
      <c r="B92" s="25" t="s">
        <v>132</v>
      </c>
      <c r="C92" s="49">
        <f>AVERAGE('09.08 Kumi-Soroti-24h'!C92,'10.08 Kumi-Soroti-24h'!C92)</f>
        <v>1</v>
      </c>
      <c r="D92" s="49">
        <f>AVERAGE('09.08 Kumi-Soroti-24h'!D92,'10.08 Kumi-Soroti-24h'!D92)</f>
        <v>0</v>
      </c>
      <c r="E92" s="49">
        <f>AVERAGE('09.08 Kumi-Soroti-24h'!E92,'10.08 Kumi-Soroti-24h'!E92)</f>
        <v>0</v>
      </c>
      <c r="F92" s="49">
        <f>AVERAGE('09.08 Kumi-Soroti-24h'!F92,'10.08 Kumi-Soroti-24h'!F92)</f>
        <v>0</v>
      </c>
      <c r="G92" s="49">
        <f>AVERAGE('09.08 Kumi-Soroti-24h'!G92,'10.08 Kumi-Soroti-24h'!G92)</f>
        <v>0</v>
      </c>
      <c r="H92" s="49">
        <f>AVERAGE('09.08 Kumi-Soroti-24h'!H92,'10.08 Kumi-Soroti-24h'!H92)</f>
        <v>0</v>
      </c>
      <c r="I92" s="49">
        <f>AVERAGE('09.08 Kumi-Soroti-24h'!I92,'10.08 Kumi-Soroti-24h'!I92)</f>
        <v>0</v>
      </c>
      <c r="J92" s="49">
        <f>AVERAGE('09.08 Kumi-Soroti-24h'!J92,'10.08 Kumi-Soroti-24h'!J92)</f>
        <v>0</v>
      </c>
      <c r="K92" s="49">
        <f>AVERAGE('09.08 Kumi-Soroti-24h'!K92,'10.08 Kumi-Soroti-24h'!K92)</f>
        <v>0</v>
      </c>
      <c r="L92" s="49">
        <f>AVERAGE('09.08 Kumi-Soroti-24h'!L92,'10.08 Kumi-Soroti-24h'!L92)</f>
        <v>0</v>
      </c>
      <c r="M92" s="49">
        <f>AVERAGE('09.08 Kumi-Soroti-24h'!M92,'10.08 Kumi-Soroti-24h'!M92)</f>
        <v>0</v>
      </c>
      <c r="N92" s="49">
        <f>AVERAGE('09.08 Kumi-Soroti-24h'!N92,'10.08 Kumi-Soroti-24h'!N92)</f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AVERAGE('09.08 Kumi-Soroti-24h'!C93,'10.08 Kumi-Soroti-24h'!C93)</f>
        <v>0</v>
      </c>
      <c r="D93" s="49">
        <f>AVERAGE('09.08 Kumi-Soroti-24h'!D93,'10.08 Kumi-Soroti-24h'!D93)</f>
        <v>0</v>
      </c>
      <c r="E93" s="49">
        <f>AVERAGE('09.08 Kumi-Soroti-24h'!E93,'10.08 Kumi-Soroti-24h'!E93)</f>
        <v>1</v>
      </c>
      <c r="F93" s="49">
        <f>AVERAGE('09.08 Kumi-Soroti-24h'!F93,'10.08 Kumi-Soroti-24h'!F93)</f>
        <v>1</v>
      </c>
      <c r="G93" s="49">
        <f>AVERAGE('09.08 Kumi-Soroti-24h'!G93,'10.08 Kumi-Soroti-24h'!G93)</f>
        <v>0</v>
      </c>
      <c r="H93" s="49">
        <f>AVERAGE('09.08 Kumi-Soroti-24h'!H93,'10.08 Kumi-Soroti-24h'!H93)</f>
        <v>0</v>
      </c>
      <c r="I93" s="49">
        <f>AVERAGE('09.08 Kumi-Soroti-24h'!I93,'10.08 Kumi-Soroti-24h'!I93)</f>
        <v>1.5</v>
      </c>
      <c r="J93" s="49">
        <f>AVERAGE('09.08 Kumi-Soroti-24h'!J93,'10.08 Kumi-Soroti-24h'!J93)</f>
        <v>0</v>
      </c>
      <c r="K93" s="49">
        <f>AVERAGE('09.08 Kumi-Soroti-24h'!K93,'10.08 Kumi-Soroti-24h'!K93)</f>
        <v>0</v>
      </c>
      <c r="L93" s="49">
        <f>AVERAGE('09.08 Kumi-Soroti-24h'!L93,'10.08 Kumi-Soroti-24h'!L93)</f>
        <v>1</v>
      </c>
      <c r="M93" s="49">
        <f>AVERAGE('09.08 Kumi-Soroti-24h'!M93,'10.08 Kumi-Soroti-24h'!M93)</f>
        <v>0</v>
      </c>
      <c r="N93" s="49">
        <f>AVERAGE('09.08 Kumi-Soroti-24h'!N93,'10.08 Kumi-Soroti-24h'!N93)</f>
        <v>0</v>
      </c>
      <c r="O93" s="15">
        <f t="shared" si="35"/>
        <v>4.5</v>
      </c>
      <c r="P93" s="15">
        <f t="shared" si="36"/>
        <v>4.5</v>
      </c>
      <c r="R93" s="8"/>
      <c r="T93"/>
    </row>
    <row r="94" spans="2:20" ht="23.1" customHeight="1" x14ac:dyDescent="0.25">
      <c r="B94" s="24" t="s">
        <v>134</v>
      </c>
      <c r="C94" s="49">
        <f>AVERAGE('09.08 Kumi-Soroti-24h'!C94,'10.08 Kumi-Soroti-24h'!C94)</f>
        <v>0</v>
      </c>
      <c r="D94" s="49">
        <f>AVERAGE('09.08 Kumi-Soroti-24h'!D94,'10.08 Kumi-Soroti-24h'!D94)</f>
        <v>0</v>
      </c>
      <c r="E94" s="49">
        <f>AVERAGE('09.08 Kumi-Soroti-24h'!E94,'10.08 Kumi-Soroti-24h'!E94)</f>
        <v>1</v>
      </c>
      <c r="F94" s="49">
        <f>AVERAGE('09.08 Kumi-Soroti-24h'!F94,'10.08 Kumi-Soroti-24h'!F94)</f>
        <v>0.5</v>
      </c>
      <c r="G94" s="49">
        <f>AVERAGE('09.08 Kumi-Soroti-24h'!G94,'10.08 Kumi-Soroti-24h'!G94)</f>
        <v>0</v>
      </c>
      <c r="H94" s="49">
        <f>AVERAGE('09.08 Kumi-Soroti-24h'!H94,'10.08 Kumi-Soroti-24h'!H94)</f>
        <v>0</v>
      </c>
      <c r="I94" s="49">
        <f>AVERAGE('09.08 Kumi-Soroti-24h'!I94,'10.08 Kumi-Soroti-24h'!I94)</f>
        <v>0</v>
      </c>
      <c r="J94" s="49">
        <f>AVERAGE('09.08 Kumi-Soroti-24h'!J94,'10.08 Kumi-Soroti-24h'!J94)</f>
        <v>0</v>
      </c>
      <c r="K94" s="49">
        <f>AVERAGE('09.08 Kumi-Soroti-24h'!K94,'10.08 Kumi-Soroti-24h'!K94)</f>
        <v>0</v>
      </c>
      <c r="L94" s="49">
        <f>AVERAGE('09.08 Kumi-Soroti-24h'!L94,'10.08 Kumi-Soroti-24h'!L94)</f>
        <v>4</v>
      </c>
      <c r="M94" s="49">
        <f>AVERAGE('09.08 Kumi-Soroti-24h'!M94,'10.08 Kumi-Soroti-24h'!M94)</f>
        <v>0</v>
      </c>
      <c r="N94" s="49">
        <f>AVERAGE('09.08 Kumi-Soroti-24h'!N94,'10.08 Kumi-Soroti-24h'!N94)</f>
        <v>0</v>
      </c>
      <c r="O94" s="15">
        <f t="shared" si="35"/>
        <v>5.5</v>
      </c>
      <c r="P94" s="15">
        <f t="shared" si="36"/>
        <v>5.5</v>
      </c>
      <c r="R94" s="8"/>
      <c r="T94"/>
    </row>
    <row r="95" spans="2:20" ht="23.1" customHeight="1" x14ac:dyDescent="0.25">
      <c r="B95" s="23" t="s">
        <v>135</v>
      </c>
      <c r="C95" s="49">
        <f>AVERAGE('09.08 Kumi-Soroti-24h'!C95,'10.08 Kumi-Soroti-24h'!C95)</f>
        <v>1</v>
      </c>
      <c r="D95" s="49">
        <f>AVERAGE('09.08 Kumi-Soroti-24h'!D95,'10.08 Kumi-Soroti-24h'!D95)</f>
        <v>0</v>
      </c>
      <c r="E95" s="49">
        <f>AVERAGE('09.08 Kumi-Soroti-24h'!E95,'10.08 Kumi-Soroti-24h'!E95)</f>
        <v>0</v>
      </c>
      <c r="F95" s="49">
        <f>AVERAGE('09.08 Kumi-Soroti-24h'!F95,'10.08 Kumi-Soroti-24h'!F95)</f>
        <v>1.5</v>
      </c>
      <c r="G95" s="49">
        <f>AVERAGE('09.08 Kumi-Soroti-24h'!G95,'10.08 Kumi-Soroti-24h'!G95)</f>
        <v>0</v>
      </c>
      <c r="H95" s="49">
        <f>AVERAGE('09.08 Kumi-Soroti-24h'!H95,'10.08 Kumi-Soroti-24h'!H95)</f>
        <v>0</v>
      </c>
      <c r="I95" s="49">
        <f>AVERAGE('09.08 Kumi-Soroti-24h'!I95,'10.08 Kumi-Soroti-24h'!I95)</f>
        <v>0</v>
      </c>
      <c r="J95" s="49">
        <f>AVERAGE('09.08 Kumi-Soroti-24h'!J95,'10.08 Kumi-Soroti-24h'!J95)</f>
        <v>0</v>
      </c>
      <c r="K95" s="49">
        <f>AVERAGE('09.08 Kumi-Soroti-24h'!K95,'10.08 Kumi-Soroti-24h'!K95)</f>
        <v>0</v>
      </c>
      <c r="L95" s="49">
        <f>AVERAGE('09.08 Kumi-Soroti-24h'!L95,'10.08 Kumi-Soroti-24h'!L95)</f>
        <v>1.5</v>
      </c>
      <c r="M95" s="49">
        <f>AVERAGE('09.08 Kumi-Soroti-24h'!M95,'10.08 Kumi-Soroti-24h'!M95)</f>
        <v>0</v>
      </c>
      <c r="N95" s="49">
        <f>AVERAGE('09.08 Kumi-Soroti-24h'!N95,'10.08 Kumi-Soroti-24h'!N95)</f>
        <v>0</v>
      </c>
      <c r="O95" s="15">
        <f t="shared" si="35"/>
        <v>4</v>
      </c>
      <c r="P95" s="15">
        <f t="shared" si="36"/>
        <v>4</v>
      </c>
      <c r="R95" s="8"/>
      <c r="T95"/>
    </row>
    <row r="96" spans="2:20" ht="23.1" customHeight="1" x14ac:dyDescent="0.25">
      <c r="B96" s="25" t="s">
        <v>136</v>
      </c>
      <c r="C96" s="49">
        <f>AVERAGE('09.08 Kumi-Soroti-24h'!C96,'10.08 Kumi-Soroti-24h'!C96)</f>
        <v>0</v>
      </c>
      <c r="D96" s="49">
        <f>AVERAGE('09.08 Kumi-Soroti-24h'!D96,'10.08 Kumi-Soroti-24h'!D96)</f>
        <v>0</v>
      </c>
      <c r="E96" s="49">
        <f>AVERAGE('09.08 Kumi-Soroti-24h'!E96,'10.08 Kumi-Soroti-24h'!E96)</f>
        <v>0</v>
      </c>
      <c r="F96" s="49">
        <f>AVERAGE('09.08 Kumi-Soroti-24h'!F96,'10.08 Kumi-Soroti-24h'!F96)</f>
        <v>0</v>
      </c>
      <c r="G96" s="49">
        <f>AVERAGE('09.08 Kumi-Soroti-24h'!G96,'10.08 Kumi-Soroti-24h'!G96)</f>
        <v>0</v>
      </c>
      <c r="H96" s="49">
        <f>AVERAGE('09.08 Kumi-Soroti-24h'!H96,'10.08 Kumi-Soroti-24h'!H96)</f>
        <v>0</v>
      </c>
      <c r="I96" s="49">
        <f>AVERAGE('09.08 Kumi-Soroti-24h'!I96,'10.08 Kumi-Soroti-24h'!I96)</f>
        <v>0</v>
      </c>
      <c r="J96" s="49">
        <f>AVERAGE('09.08 Kumi-Soroti-24h'!J96,'10.08 Kumi-Soroti-24h'!J96)</f>
        <v>0</v>
      </c>
      <c r="K96" s="49">
        <f>AVERAGE('09.08 Kumi-Soroti-24h'!K96,'10.08 Kumi-Soroti-24h'!K96)</f>
        <v>0</v>
      </c>
      <c r="L96" s="49">
        <f>AVERAGE('09.08 Kumi-Soroti-24h'!L96,'10.08 Kumi-Soroti-24h'!L96)</f>
        <v>2.5</v>
      </c>
      <c r="M96" s="49">
        <f>AVERAGE('09.08 Kumi-Soroti-24h'!M96,'10.08 Kumi-Soroti-24h'!M96)</f>
        <v>0</v>
      </c>
      <c r="N96" s="49">
        <f>AVERAGE('09.08 Kumi-Soroti-24h'!N96,'10.08 Kumi-Soroti-24h'!N96)</f>
        <v>0</v>
      </c>
      <c r="O96" s="15">
        <f t="shared" si="35"/>
        <v>2.5</v>
      </c>
      <c r="P96" s="15">
        <f t="shared" si="36"/>
        <v>2.5</v>
      </c>
      <c r="R96" s="8"/>
      <c r="T96"/>
    </row>
    <row r="97" spans="2:20" ht="23.1" customHeight="1" x14ac:dyDescent="0.25">
      <c r="B97" s="23" t="s">
        <v>137</v>
      </c>
      <c r="C97" s="49">
        <f>AVERAGE('09.08 Kumi-Soroti-24h'!C97,'10.08 Kumi-Soroti-24h'!C97)</f>
        <v>0</v>
      </c>
      <c r="D97" s="49">
        <f>AVERAGE('09.08 Kumi-Soroti-24h'!D97,'10.08 Kumi-Soroti-24h'!D97)</f>
        <v>0</v>
      </c>
      <c r="E97" s="49">
        <f>AVERAGE('09.08 Kumi-Soroti-24h'!E97,'10.08 Kumi-Soroti-24h'!E97)</f>
        <v>1</v>
      </c>
      <c r="F97" s="49">
        <f>AVERAGE('09.08 Kumi-Soroti-24h'!F97,'10.08 Kumi-Soroti-24h'!F97)</f>
        <v>0</v>
      </c>
      <c r="G97" s="49">
        <f>AVERAGE('09.08 Kumi-Soroti-24h'!G97,'10.08 Kumi-Soroti-24h'!G97)</f>
        <v>0</v>
      </c>
      <c r="H97" s="49">
        <f>AVERAGE('09.08 Kumi-Soroti-24h'!H97,'10.08 Kumi-Soroti-24h'!H97)</f>
        <v>0</v>
      </c>
      <c r="I97" s="49">
        <f>AVERAGE('09.08 Kumi-Soroti-24h'!I97,'10.08 Kumi-Soroti-24h'!I97)</f>
        <v>1</v>
      </c>
      <c r="J97" s="49">
        <f>AVERAGE('09.08 Kumi-Soroti-24h'!J97,'10.08 Kumi-Soroti-24h'!J97)</f>
        <v>0.5</v>
      </c>
      <c r="K97" s="49">
        <f>AVERAGE('09.08 Kumi-Soroti-24h'!K97,'10.08 Kumi-Soroti-24h'!K97)</f>
        <v>0</v>
      </c>
      <c r="L97" s="49">
        <f>AVERAGE('09.08 Kumi-Soroti-24h'!L97,'10.08 Kumi-Soroti-24h'!L97)</f>
        <v>3.5</v>
      </c>
      <c r="M97" s="49">
        <f>AVERAGE('09.08 Kumi-Soroti-24h'!M97,'10.08 Kumi-Soroti-24h'!M97)</f>
        <v>0</v>
      </c>
      <c r="N97" s="49">
        <f>AVERAGE('09.08 Kumi-Soroti-24h'!N97,'10.08 Kumi-Soroti-24h'!N97)</f>
        <v>0</v>
      </c>
      <c r="O97" s="15">
        <f t="shared" si="35"/>
        <v>6</v>
      </c>
      <c r="P97" s="15">
        <f t="shared" si="36"/>
        <v>6</v>
      </c>
      <c r="R97" s="8"/>
      <c r="T97"/>
    </row>
    <row r="98" spans="2:20" ht="23.1" customHeight="1" x14ac:dyDescent="0.25">
      <c r="B98" s="24" t="s">
        <v>138</v>
      </c>
      <c r="C98" s="49">
        <f>AVERAGE('09.08 Kumi-Soroti-24h'!C98,'10.08 Kumi-Soroti-24h'!C98)</f>
        <v>0.5</v>
      </c>
      <c r="D98" s="49">
        <f>AVERAGE('09.08 Kumi-Soroti-24h'!D98,'10.08 Kumi-Soroti-24h'!D98)</f>
        <v>0</v>
      </c>
      <c r="E98" s="49">
        <f>AVERAGE('09.08 Kumi-Soroti-24h'!E98,'10.08 Kumi-Soroti-24h'!E98)</f>
        <v>0</v>
      </c>
      <c r="F98" s="49">
        <f>AVERAGE('09.08 Kumi-Soroti-24h'!F98,'10.08 Kumi-Soroti-24h'!F98)</f>
        <v>0</v>
      </c>
      <c r="G98" s="49">
        <f>AVERAGE('09.08 Kumi-Soroti-24h'!G98,'10.08 Kumi-Soroti-24h'!G98)</f>
        <v>0</v>
      </c>
      <c r="H98" s="49">
        <f>AVERAGE('09.08 Kumi-Soroti-24h'!H98,'10.08 Kumi-Soroti-24h'!H98)</f>
        <v>0</v>
      </c>
      <c r="I98" s="49">
        <f>AVERAGE('09.08 Kumi-Soroti-24h'!I98,'10.08 Kumi-Soroti-24h'!I98)</f>
        <v>1</v>
      </c>
      <c r="J98" s="49">
        <f>AVERAGE('09.08 Kumi-Soroti-24h'!J98,'10.08 Kumi-Soroti-24h'!J98)</f>
        <v>0.5</v>
      </c>
      <c r="K98" s="49">
        <f>AVERAGE('09.08 Kumi-Soroti-24h'!K98,'10.08 Kumi-Soroti-24h'!K98)</f>
        <v>0</v>
      </c>
      <c r="L98" s="49">
        <f>AVERAGE('09.08 Kumi-Soroti-24h'!L98,'10.08 Kumi-Soroti-24h'!L98)</f>
        <v>1.5</v>
      </c>
      <c r="M98" s="49">
        <f>AVERAGE('09.08 Kumi-Soroti-24h'!M98,'10.08 Kumi-Soroti-24h'!M98)</f>
        <v>0</v>
      </c>
      <c r="N98" s="49">
        <f>AVERAGE('09.08 Kumi-Soroti-24h'!N98,'10.08 Kumi-Soroti-24h'!N98)</f>
        <v>0</v>
      </c>
      <c r="O98" s="15">
        <f t="shared" si="35"/>
        <v>3.5</v>
      </c>
      <c r="P98" s="15">
        <f t="shared" si="36"/>
        <v>3.5</v>
      </c>
      <c r="R98" s="8"/>
      <c r="T98"/>
    </row>
    <row r="99" spans="2:20" ht="23.1" customHeight="1" x14ac:dyDescent="0.25">
      <c r="B99" s="23" t="s">
        <v>139</v>
      </c>
      <c r="C99" s="49">
        <f>AVERAGE('09.08 Kumi-Soroti-24h'!C99,'10.08 Kumi-Soroti-24h'!C99)</f>
        <v>0.5</v>
      </c>
      <c r="D99" s="49">
        <f>AVERAGE('09.08 Kumi-Soroti-24h'!D99,'10.08 Kumi-Soroti-24h'!D99)</f>
        <v>0</v>
      </c>
      <c r="E99" s="49">
        <f>AVERAGE('09.08 Kumi-Soroti-24h'!E99,'10.08 Kumi-Soroti-24h'!E99)</f>
        <v>0</v>
      </c>
      <c r="F99" s="49">
        <f>AVERAGE('09.08 Kumi-Soroti-24h'!F99,'10.08 Kumi-Soroti-24h'!F99)</f>
        <v>0.5</v>
      </c>
      <c r="G99" s="49">
        <f>AVERAGE('09.08 Kumi-Soroti-24h'!G99,'10.08 Kumi-Soroti-24h'!G99)</f>
        <v>0</v>
      </c>
      <c r="H99" s="49">
        <f>AVERAGE('09.08 Kumi-Soroti-24h'!H99,'10.08 Kumi-Soroti-24h'!H99)</f>
        <v>1</v>
      </c>
      <c r="I99" s="49">
        <f>AVERAGE('09.08 Kumi-Soroti-24h'!I99,'10.08 Kumi-Soroti-24h'!I99)</f>
        <v>0</v>
      </c>
      <c r="J99" s="49">
        <f>AVERAGE('09.08 Kumi-Soroti-24h'!J99,'10.08 Kumi-Soroti-24h'!J99)</f>
        <v>0</v>
      </c>
      <c r="K99" s="49">
        <f>AVERAGE('09.08 Kumi-Soroti-24h'!K99,'10.08 Kumi-Soroti-24h'!K99)</f>
        <v>0</v>
      </c>
      <c r="L99" s="49">
        <f>AVERAGE('09.08 Kumi-Soroti-24h'!L99,'10.08 Kumi-Soroti-24h'!L99)</f>
        <v>1.5</v>
      </c>
      <c r="M99" s="49">
        <f>AVERAGE('09.08 Kumi-Soroti-24h'!M99,'10.08 Kumi-Soroti-24h'!M99)</f>
        <v>0.5</v>
      </c>
      <c r="N99" s="49">
        <f>AVERAGE('09.08 Kumi-Soroti-24h'!N99,'10.08 Kumi-Soroti-24h'!N99)</f>
        <v>0</v>
      </c>
      <c r="O99" s="15">
        <f t="shared" si="35"/>
        <v>3.5</v>
      </c>
      <c r="P99" s="15">
        <f t="shared" si="36"/>
        <v>4</v>
      </c>
      <c r="R99" s="8"/>
      <c r="T99"/>
    </row>
    <row r="100" spans="2:20" ht="23.1" customHeight="1" x14ac:dyDescent="0.25">
      <c r="B100" s="25" t="s">
        <v>140</v>
      </c>
      <c r="C100" s="49">
        <f>AVERAGE('09.08 Kumi-Soroti-24h'!C100,'10.08 Kumi-Soroti-24h'!C100)</f>
        <v>0.5</v>
      </c>
      <c r="D100" s="49">
        <f>AVERAGE('09.08 Kumi-Soroti-24h'!D100,'10.08 Kumi-Soroti-24h'!D100)</f>
        <v>0</v>
      </c>
      <c r="E100" s="49">
        <f>AVERAGE('09.08 Kumi-Soroti-24h'!E100,'10.08 Kumi-Soroti-24h'!E100)</f>
        <v>0.5</v>
      </c>
      <c r="F100" s="49">
        <f>AVERAGE('09.08 Kumi-Soroti-24h'!F100,'10.08 Kumi-Soroti-24h'!F100)</f>
        <v>0</v>
      </c>
      <c r="G100" s="49">
        <f>AVERAGE('09.08 Kumi-Soroti-24h'!G100,'10.08 Kumi-Soroti-24h'!G100)</f>
        <v>0</v>
      </c>
      <c r="H100" s="49">
        <f>AVERAGE('09.08 Kumi-Soroti-24h'!H100,'10.08 Kumi-Soroti-24h'!H100)</f>
        <v>1</v>
      </c>
      <c r="I100" s="49">
        <f>AVERAGE('09.08 Kumi-Soroti-24h'!I100,'10.08 Kumi-Soroti-24h'!I100)</f>
        <v>1</v>
      </c>
      <c r="J100" s="49">
        <f>AVERAGE('09.08 Kumi-Soroti-24h'!J100,'10.08 Kumi-Soroti-24h'!J100)</f>
        <v>0</v>
      </c>
      <c r="K100" s="49">
        <f>AVERAGE('09.08 Kumi-Soroti-24h'!K100,'10.08 Kumi-Soroti-24h'!K100)</f>
        <v>0.5</v>
      </c>
      <c r="L100" s="49">
        <f>AVERAGE('09.08 Kumi-Soroti-24h'!L100,'10.08 Kumi-Soroti-24h'!L100)</f>
        <v>0</v>
      </c>
      <c r="M100" s="49">
        <f>AVERAGE('09.08 Kumi-Soroti-24h'!M100,'10.08 Kumi-Soroti-24h'!M100)</f>
        <v>0.5</v>
      </c>
      <c r="N100" s="49">
        <f>AVERAGE('09.08 Kumi-Soroti-24h'!N100,'10.08 Kumi-Soroti-24h'!N100)</f>
        <v>0</v>
      </c>
      <c r="O100" s="15">
        <f t="shared" si="35"/>
        <v>3.5</v>
      </c>
      <c r="P100" s="15">
        <f t="shared" si="36"/>
        <v>4</v>
      </c>
      <c r="R100" s="8"/>
      <c r="T100"/>
    </row>
    <row r="101" spans="2:20" ht="23.1" customHeight="1" x14ac:dyDescent="0.25">
      <c r="B101" s="23" t="s">
        <v>141</v>
      </c>
      <c r="C101" s="49">
        <f>AVERAGE('09.08 Kumi-Soroti-24h'!C101,'10.08 Kumi-Soroti-24h'!C101)</f>
        <v>0.5</v>
      </c>
      <c r="D101" s="49">
        <f>AVERAGE('09.08 Kumi-Soroti-24h'!D101,'10.08 Kumi-Soroti-24h'!D101)</f>
        <v>0</v>
      </c>
      <c r="E101" s="49">
        <f>AVERAGE('09.08 Kumi-Soroti-24h'!E101,'10.08 Kumi-Soroti-24h'!E101)</f>
        <v>1</v>
      </c>
      <c r="F101" s="49">
        <f>AVERAGE('09.08 Kumi-Soroti-24h'!F101,'10.08 Kumi-Soroti-24h'!F101)</f>
        <v>0.5</v>
      </c>
      <c r="G101" s="49">
        <f>AVERAGE('09.08 Kumi-Soroti-24h'!G101,'10.08 Kumi-Soroti-24h'!G101)</f>
        <v>0</v>
      </c>
      <c r="H101" s="49">
        <f>AVERAGE('09.08 Kumi-Soroti-24h'!H101,'10.08 Kumi-Soroti-24h'!H101)</f>
        <v>0</v>
      </c>
      <c r="I101" s="49">
        <f>AVERAGE('09.08 Kumi-Soroti-24h'!I101,'10.08 Kumi-Soroti-24h'!I101)</f>
        <v>0</v>
      </c>
      <c r="J101" s="49">
        <f>AVERAGE('09.08 Kumi-Soroti-24h'!J101,'10.08 Kumi-Soroti-24h'!J101)</f>
        <v>0</v>
      </c>
      <c r="K101" s="49">
        <f>AVERAGE('09.08 Kumi-Soroti-24h'!K101,'10.08 Kumi-Soroti-24h'!K101)</f>
        <v>0</v>
      </c>
      <c r="L101" s="49">
        <f>AVERAGE('09.08 Kumi-Soroti-24h'!L101,'10.08 Kumi-Soroti-24h'!L101)</f>
        <v>3</v>
      </c>
      <c r="M101" s="49">
        <f>AVERAGE('09.08 Kumi-Soroti-24h'!M101,'10.08 Kumi-Soroti-24h'!M101)</f>
        <v>0.5</v>
      </c>
      <c r="N101" s="49">
        <f>AVERAGE('09.08 Kumi-Soroti-24h'!N101,'10.08 Kumi-Soroti-24h'!N101)</f>
        <v>0</v>
      </c>
      <c r="O101" s="15">
        <f t="shared" si="35"/>
        <v>5</v>
      </c>
      <c r="P101" s="15">
        <f t="shared" si="36"/>
        <v>5.5</v>
      </c>
      <c r="R101" s="8"/>
      <c r="T101"/>
    </row>
    <row r="102" spans="2:20" ht="23.1" customHeight="1" x14ac:dyDescent="0.25">
      <c r="B102" s="24" t="s">
        <v>142</v>
      </c>
      <c r="C102" s="49">
        <f>AVERAGE('09.08 Kumi-Soroti-24h'!C102,'10.08 Kumi-Soroti-24h'!C102)</f>
        <v>1.5</v>
      </c>
      <c r="D102" s="49">
        <f>AVERAGE('09.08 Kumi-Soroti-24h'!D102,'10.08 Kumi-Soroti-24h'!D102)</f>
        <v>0</v>
      </c>
      <c r="E102" s="49">
        <f>AVERAGE('09.08 Kumi-Soroti-24h'!E102,'10.08 Kumi-Soroti-24h'!E102)</f>
        <v>0.5</v>
      </c>
      <c r="F102" s="49">
        <f>AVERAGE('09.08 Kumi-Soroti-24h'!F102,'10.08 Kumi-Soroti-24h'!F102)</f>
        <v>0.5</v>
      </c>
      <c r="G102" s="49">
        <f>AVERAGE('09.08 Kumi-Soroti-24h'!G102,'10.08 Kumi-Soroti-24h'!G102)</f>
        <v>0</v>
      </c>
      <c r="H102" s="49">
        <f>AVERAGE('09.08 Kumi-Soroti-24h'!H102,'10.08 Kumi-Soroti-24h'!H102)</f>
        <v>0.5</v>
      </c>
      <c r="I102" s="49">
        <f>AVERAGE('09.08 Kumi-Soroti-24h'!I102,'10.08 Kumi-Soroti-24h'!I102)</f>
        <v>0</v>
      </c>
      <c r="J102" s="49">
        <f>AVERAGE('09.08 Kumi-Soroti-24h'!J102,'10.08 Kumi-Soroti-24h'!J102)</f>
        <v>0</v>
      </c>
      <c r="K102" s="49">
        <f>AVERAGE('09.08 Kumi-Soroti-24h'!K102,'10.08 Kumi-Soroti-24h'!K102)</f>
        <v>0</v>
      </c>
      <c r="L102" s="49">
        <f>AVERAGE('09.08 Kumi-Soroti-24h'!L102,'10.08 Kumi-Soroti-24h'!L102)</f>
        <v>4.5</v>
      </c>
      <c r="M102" s="49">
        <f>AVERAGE('09.08 Kumi-Soroti-24h'!M102,'10.08 Kumi-Soroti-24h'!M102)</f>
        <v>0</v>
      </c>
      <c r="N102" s="49">
        <f>AVERAGE('09.08 Kumi-Soroti-24h'!N102,'10.08 Kumi-Soroti-24h'!N102)</f>
        <v>0</v>
      </c>
      <c r="O102" s="15">
        <f t="shared" si="35"/>
        <v>7.5</v>
      </c>
      <c r="P102" s="15">
        <f t="shared" si="36"/>
        <v>7.5</v>
      </c>
      <c r="R102" s="8"/>
      <c r="T102"/>
    </row>
    <row r="103" spans="2:20" ht="23.1" customHeight="1" x14ac:dyDescent="0.25">
      <c r="B103" s="23" t="s">
        <v>143</v>
      </c>
      <c r="C103" s="49">
        <f>AVERAGE('09.08 Kumi-Soroti-24h'!C103,'10.08 Kumi-Soroti-24h'!C103)</f>
        <v>2.5</v>
      </c>
      <c r="D103" s="49">
        <f>AVERAGE('09.08 Kumi-Soroti-24h'!D103,'10.08 Kumi-Soroti-24h'!D103)</f>
        <v>0</v>
      </c>
      <c r="E103" s="49">
        <f>AVERAGE('09.08 Kumi-Soroti-24h'!E103,'10.08 Kumi-Soroti-24h'!E103)</f>
        <v>0</v>
      </c>
      <c r="F103" s="49">
        <f>AVERAGE('09.08 Kumi-Soroti-24h'!F103,'10.08 Kumi-Soroti-24h'!F103)</f>
        <v>1</v>
      </c>
      <c r="G103" s="49">
        <f>AVERAGE('09.08 Kumi-Soroti-24h'!G103,'10.08 Kumi-Soroti-24h'!G103)</f>
        <v>0.5</v>
      </c>
      <c r="H103" s="49">
        <f>AVERAGE('09.08 Kumi-Soroti-24h'!H103,'10.08 Kumi-Soroti-24h'!H103)</f>
        <v>1</v>
      </c>
      <c r="I103" s="49">
        <f>AVERAGE('09.08 Kumi-Soroti-24h'!I103,'10.08 Kumi-Soroti-24h'!I103)</f>
        <v>2</v>
      </c>
      <c r="J103" s="49">
        <f>AVERAGE('09.08 Kumi-Soroti-24h'!J103,'10.08 Kumi-Soroti-24h'!J103)</f>
        <v>0</v>
      </c>
      <c r="K103" s="49">
        <f>AVERAGE('09.08 Kumi-Soroti-24h'!K103,'10.08 Kumi-Soroti-24h'!K103)</f>
        <v>0</v>
      </c>
      <c r="L103" s="49">
        <f>AVERAGE('09.08 Kumi-Soroti-24h'!L103,'10.08 Kumi-Soroti-24h'!L103)</f>
        <v>1</v>
      </c>
      <c r="M103" s="49">
        <f>AVERAGE('09.08 Kumi-Soroti-24h'!M103,'10.08 Kumi-Soroti-24h'!M103)</f>
        <v>0.5</v>
      </c>
      <c r="N103" s="49">
        <f>AVERAGE('09.08 Kumi-Soroti-24h'!N103,'10.08 Kumi-Soroti-24h'!N103)</f>
        <v>0</v>
      </c>
      <c r="O103" s="15">
        <f t="shared" si="35"/>
        <v>8</v>
      </c>
      <c r="P103" s="15">
        <f t="shared" si="36"/>
        <v>8.5</v>
      </c>
      <c r="R103" s="8"/>
      <c r="T103"/>
    </row>
    <row r="104" spans="2:20" ht="23.1" customHeight="1" x14ac:dyDescent="0.25">
      <c r="B104" s="25" t="s">
        <v>144</v>
      </c>
      <c r="C104" s="49">
        <f>AVERAGE('09.08 Kumi-Soroti-24h'!C104,'10.08 Kumi-Soroti-24h'!C104)</f>
        <v>0.5</v>
      </c>
      <c r="D104" s="49">
        <f>AVERAGE('09.08 Kumi-Soroti-24h'!D104,'10.08 Kumi-Soroti-24h'!D104)</f>
        <v>0</v>
      </c>
      <c r="E104" s="49">
        <f>AVERAGE('09.08 Kumi-Soroti-24h'!E104,'10.08 Kumi-Soroti-24h'!E104)</f>
        <v>2</v>
      </c>
      <c r="F104" s="49">
        <f>AVERAGE('09.08 Kumi-Soroti-24h'!F104,'10.08 Kumi-Soroti-24h'!F104)</f>
        <v>0.5</v>
      </c>
      <c r="G104" s="49">
        <f>AVERAGE('09.08 Kumi-Soroti-24h'!G104,'10.08 Kumi-Soroti-24h'!G104)</f>
        <v>0</v>
      </c>
      <c r="H104" s="49">
        <f>AVERAGE('09.08 Kumi-Soroti-24h'!H104,'10.08 Kumi-Soroti-24h'!H104)</f>
        <v>0</v>
      </c>
      <c r="I104" s="49">
        <f>AVERAGE('09.08 Kumi-Soroti-24h'!I104,'10.08 Kumi-Soroti-24h'!I104)</f>
        <v>3</v>
      </c>
      <c r="J104" s="49">
        <f>AVERAGE('09.08 Kumi-Soroti-24h'!J104,'10.08 Kumi-Soroti-24h'!J104)</f>
        <v>0.5</v>
      </c>
      <c r="K104" s="49">
        <f>AVERAGE('09.08 Kumi-Soroti-24h'!K104,'10.08 Kumi-Soroti-24h'!K104)</f>
        <v>0</v>
      </c>
      <c r="L104" s="49">
        <f>AVERAGE('09.08 Kumi-Soroti-24h'!L104,'10.08 Kumi-Soroti-24h'!L104)</f>
        <v>2</v>
      </c>
      <c r="M104" s="49">
        <f>AVERAGE('09.08 Kumi-Soroti-24h'!M104,'10.08 Kumi-Soroti-24h'!M104)</f>
        <v>0.5</v>
      </c>
      <c r="N104" s="49">
        <f>AVERAGE('09.08 Kumi-Soroti-24h'!N104,'10.08 Kumi-Soroti-24h'!N104)</f>
        <v>0</v>
      </c>
      <c r="O104" s="15">
        <f t="shared" si="35"/>
        <v>8.5</v>
      </c>
      <c r="P104" s="15">
        <f t="shared" si="36"/>
        <v>9</v>
      </c>
      <c r="R104" s="8"/>
      <c r="T104"/>
    </row>
    <row r="105" spans="2:20" ht="23.1" customHeight="1" x14ac:dyDescent="0.25">
      <c r="B105" s="23" t="s">
        <v>145</v>
      </c>
      <c r="C105" s="49">
        <f>AVERAGE('09.08 Kumi-Soroti-24h'!C105,'10.08 Kumi-Soroti-24h'!C105)</f>
        <v>0.5</v>
      </c>
      <c r="D105" s="49">
        <f>AVERAGE('09.08 Kumi-Soroti-24h'!D105,'10.08 Kumi-Soroti-24h'!D105)</f>
        <v>0.5</v>
      </c>
      <c r="E105" s="49">
        <f>AVERAGE('09.08 Kumi-Soroti-24h'!E105,'10.08 Kumi-Soroti-24h'!E105)</f>
        <v>1</v>
      </c>
      <c r="F105" s="49">
        <f>AVERAGE('09.08 Kumi-Soroti-24h'!F105,'10.08 Kumi-Soroti-24h'!F105)</f>
        <v>0.5</v>
      </c>
      <c r="G105" s="49">
        <f>AVERAGE('09.08 Kumi-Soroti-24h'!G105,'10.08 Kumi-Soroti-24h'!G105)</f>
        <v>0</v>
      </c>
      <c r="H105" s="49">
        <f>AVERAGE('09.08 Kumi-Soroti-24h'!H105,'10.08 Kumi-Soroti-24h'!H105)</f>
        <v>0</v>
      </c>
      <c r="I105" s="49">
        <f>AVERAGE('09.08 Kumi-Soroti-24h'!I105,'10.08 Kumi-Soroti-24h'!I105)</f>
        <v>0</v>
      </c>
      <c r="J105" s="49">
        <f>AVERAGE('09.08 Kumi-Soroti-24h'!J105,'10.08 Kumi-Soroti-24h'!J105)</f>
        <v>0</v>
      </c>
      <c r="K105" s="49">
        <f>AVERAGE('09.08 Kumi-Soroti-24h'!K105,'10.08 Kumi-Soroti-24h'!K105)</f>
        <v>0</v>
      </c>
      <c r="L105" s="49">
        <f>AVERAGE('09.08 Kumi-Soroti-24h'!L105,'10.08 Kumi-Soroti-24h'!L105)</f>
        <v>1</v>
      </c>
      <c r="M105" s="49">
        <f>AVERAGE('09.08 Kumi-Soroti-24h'!M105,'10.08 Kumi-Soroti-24h'!M105)</f>
        <v>1.5</v>
      </c>
      <c r="N105" s="49">
        <f>AVERAGE('09.08 Kumi-Soroti-24h'!N105,'10.08 Kumi-Soroti-24h'!N105)</f>
        <v>0</v>
      </c>
      <c r="O105" s="15">
        <f t="shared" si="35"/>
        <v>3.5</v>
      </c>
      <c r="P105" s="15">
        <f t="shared" si="36"/>
        <v>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101.21428571428571</v>
      </c>
      <c r="D106" s="16">
        <f t="shared" ref="D106:P106" si="37">SUM(D10:D105)</f>
        <v>39.357142857142854</v>
      </c>
      <c r="E106" s="16">
        <f t="shared" si="37"/>
        <v>163.28571428571428</v>
      </c>
      <c r="F106" s="16">
        <f t="shared" si="37"/>
        <v>153.07142857142861</v>
      </c>
      <c r="G106" s="16">
        <f t="shared" si="37"/>
        <v>4.928571428571427</v>
      </c>
      <c r="H106" s="16">
        <f t="shared" si="37"/>
        <v>24.214285714285712</v>
      </c>
      <c r="I106" s="16">
        <f t="shared" si="37"/>
        <v>122.78571428571431</v>
      </c>
      <c r="J106" s="16">
        <f t="shared" si="37"/>
        <v>23.642857142857142</v>
      </c>
      <c r="K106" s="16">
        <f t="shared" si="37"/>
        <v>6.3571428571428559</v>
      </c>
      <c r="L106" s="16">
        <f t="shared" si="37"/>
        <v>208.92857142857144</v>
      </c>
      <c r="M106" s="16">
        <f t="shared" si="37"/>
        <v>460.49999999999994</v>
      </c>
      <c r="N106" s="16">
        <f t="shared" si="37"/>
        <v>0.14285714285714285</v>
      </c>
      <c r="O106" s="16">
        <f t="shared" si="37"/>
        <v>847.92857142857156</v>
      </c>
      <c r="P106" s="16">
        <f t="shared" si="37"/>
        <v>1308.4285714285716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7.7355606507260602E-2</v>
      </c>
      <c r="D107" s="43">
        <f t="shared" si="38"/>
        <v>3.0079703024347631E-2</v>
      </c>
      <c r="E107" s="43">
        <f t="shared" si="38"/>
        <v>0.12479528332787421</v>
      </c>
      <c r="F107" s="43">
        <f t="shared" si="38"/>
        <v>0.11698875423081125</v>
      </c>
      <c r="G107" s="43">
        <f t="shared" si="38"/>
        <v>3.7667867671143124E-3</v>
      </c>
      <c r="H107" s="43">
        <f t="shared" si="38"/>
        <v>1.8506387160170321E-2</v>
      </c>
      <c r="I107" s="43">
        <f t="shared" si="38"/>
        <v>9.3842122502456604E-2</v>
      </c>
      <c r="J107" s="43">
        <f t="shared" si="38"/>
        <v>1.8069658259635329E-2</v>
      </c>
      <c r="K107" s="43">
        <f t="shared" si="38"/>
        <v>4.8586090184517946E-3</v>
      </c>
      <c r="L107" s="43">
        <f t="shared" si="38"/>
        <v>0.15967900425810677</v>
      </c>
      <c r="M107" s="43">
        <f t="shared" si="38"/>
        <v>0.35194890271863732</v>
      </c>
      <c r="N107" s="43">
        <f t="shared" si="38"/>
        <v>1.091822251337482E-4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0.11936652346053404</v>
      </c>
      <c r="D108" s="44">
        <f t="shared" ref="D108:N108" si="39">D106/$O$106</f>
        <v>4.6415634740122981E-2</v>
      </c>
      <c r="E108" s="44">
        <f t="shared" si="39"/>
        <v>0.1925701288855193</v>
      </c>
      <c r="F108" s="44">
        <f t="shared" si="39"/>
        <v>0.1805239659674838</v>
      </c>
      <c r="G108" s="44">
        <f t="shared" si="39"/>
        <v>5.8124842052059613E-3</v>
      </c>
      <c r="H108" s="44">
        <f t="shared" si="39"/>
        <v>2.8556987616881468E-2</v>
      </c>
      <c r="I108" s="44">
        <f t="shared" si="39"/>
        <v>0.14480667172100076</v>
      </c>
      <c r="J108" s="44">
        <f t="shared" si="39"/>
        <v>2.7883076404683679E-2</v>
      </c>
      <c r="K108" s="44">
        <f t="shared" si="39"/>
        <v>7.4972622357004437E-3</v>
      </c>
      <c r="L108" s="44">
        <f t="shared" si="39"/>
        <v>0.24639878695981804</v>
      </c>
      <c r="M108" s="44"/>
      <c r="N108" s="44">
        <f t="shared" si="39"/>
        <v>1.6847780304944819E-4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N31" zoomScale="60" workbookViewId="0">
      <selection activeCell="AD49" sqref="AD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'14.08 Soroti-Kumi'!C3:G3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'14.08 Soroti-Kumi'!G5:H5</f>
        <v>Mukura</v>
      </c>
      <c r="H5" s="67"/>
      <c r="I5" s="14"/>
      <c r="J5" s="2" t="s">
        <v>5</v>
      </c>
      <c r="K5" s="66" t="str">
        <f>'14.08 Soroti-Kumi'!K5:L5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'14.08 Soroti-Kumi'!D6:E6</f>
        <v>Soroti</v>
      </c>
      <c r="E6" s="67"/>
      <c r="F6" s="2" t="s">
        <v>2</v>
      </c>
      <c r="G6" s="66" t="str">
        <f>'14.08 Soroti-Kumi'!G6:H6</f>
        <v>Kumi</v>
      </c>
      <c r="H6" s="67"/>
      <c r="J6" s="2" t="s">
        <v>21</v>
      </c>
      <c r="K6" s="66" t="str">
        <f>'14.08 Soroti-Kumi'!K6:L6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AVERAGE('08.08 Soroti-Kumi'!C10,'11.08 Soroti-Kumi'!C10,'12.08 Soroti-Kumi'!C10,'13.08 Soroti-Kumi'!C10,'09.08 Soroti-Kumi-24h'!C10,'10.08 Soroti-Kumi-24h'!C10,'14.08 Soroti-Kumi'!C10)</f>
        <v>0.42857142857142855</v>
      </c>
      <c r="D10" s="49">
        <f>AVERAGE('08.08 Soroti-Kumi'!D10,'11.08 Soroti-Kumi'!D10,'12.08 Soroti-Kumi'!D10,'13.08 Soroti-Kumi'!D10,'09.08 Soroti-Kumi-24h'!D10,'10.08 Soroti-Kumi-24h'!D10,'14.08 Soroti-Kumi'!D10)</f>
        <v>0.2857142857142857</v>
      </c>
      <c r="E10" s="49">
        <f>AVERAGE('08.08 Soroti-Kumi'!E10,'11.08 Soroti-Kumi'!E10,'12.08 Soroti-Kumi'!E10,'13.08 Soroti-Kumi'!E10,'09.08 Soroti-Kumi-24h'!E10,'10.08 Soroti-Kumi-24h'!E10,'14.08 Soroti-Kumi'!E10)</f>
        <v>1.1428571428571428</v>
      </c>
      <c r="F10" s="49">
        <f>AVERAGE('08.08 Soroti-Kumi'!F10,'11.08 Soroti-Kumi'!F10,'12.08 Soroti-Kumi'!F10,'13.08 Soroti-Kumi'!F10,'09.08 Soroti-Kumi-24h'!F10,'10.08 Soroti-Kumi-24h'!F10,'14.08 Soroti-Kumi'!F10)</f>
        <v>0.5714285714285714</v>
      </c>
      <c r="G10" s="49">
        <f>AVERAGE('08.08 Soroti-Kumi'!G10,'11.08 Soroti-Kumi'!G10,'12.08 Soroti-Kumi'!G10,'13.08 Soroti-Kumi'!G10,'09.08 Soroti-Kumi-24h'!G10,'10.08 Soroti-Kumi-24h'!G10,'14.08 Soroti-Kumi'!G10)</f>
        <v>0</v>
      </c>
      <c r="H10" s="49">
        <f>AVERAGE('08.08 Soroti-Kumi'!H10,'11.08 Soroti-Kumi'!H10,'12.08 Soroti-Kumi'!H10,'13.08 Soroti-Kumi'!H10,'09.08 Soroti-Kumi-24h'!H10,'10.08 Soroti-Kumi-24h'!H10,'14.08 Soroti-Kumi'!H10)</f>
        <v>0.2857142857142857</v>
      </c>
      <c r="I10" s="49">
        <f>AVERAGE('08.08 Soroti-Kumi'!I10,'11.08 Soroti-Kumi'!I10,'12.08 Soroti-Kumi'!I10,'13.08 Soroti-Kumi'!I10,'09.08 Soroti-Kumi-24h'!I10,'10.08 Soroti-Kumi-24h'!I10,'14.08 Soroti-Kumi'!I10)</f>
        <v>0.2857142857142857</v>
      </c>
      <c r="J10" s="49">
        <f>AVERAGE('08.08 Soroti-Kumi'!J10,'11.08 Soroti-Kumi'!J10,'12.08 Soroti-Kumi'!J10,'13.08 Soroti-Kumi'!J10,'09.08 Soroti-Kumi-24h'!J10,'10.08 Soroti-Kumi-24h'!J10,'14.08 Soroti-Kumi'!J10)</f>
        <v>0.2857142857142857</v>
      </c>
      <c r="K10" s="49">
        <f>AVERAGE('08.08 Soroti-Kumi'!K10,'11.08 Soroti-Kumi'!K10,'12.08 Soroti-Kumi'!K10,'13.08 Soroti-Kumi'!K10,'09.08 Soroti-Kumi-24h'!K10,'10.08 Soroti-Kumi-24h'!K10,'14.08 Soroti-Kumi'!K10)</f>
        <v>0.14285714285714285</v>
      </c>
      <c r="L10" s="49">
        <f>AVERAGE('08.08 Soroti-Kumi'!L10,'11.08 Soroti-Kumi'!L10,'12.08 Soroti-Kumi'!L10,'13.08 Soroti-Kumi'!L10,'09.08 Soroti-Kumi-24h'!L10,'10.08 Soroti-Kumi-24h'!L10,'14.08 Soroti-Kumi'!L10)</f>
        <v>0.5714285714285714</v>
      </c>
      <c r="M10" s="49">
        <f>AVERAGE('08.08 Soroti-Kumi'!M10,'11.08 Soroti-Kumi'!M10,'12.08 Soroti-Kumi'!M10,'13.08 Soroti-Kumi'!M10,'09.08 Soroti-Kumi-24h'!M10,'10.08 Soroti-Kumi-24h'!M10,'14.08 Soroti-Kumi'!M10)</f>
        <v>2.5714285714285716</v>
      </c>
      <c r="N10" s="49">
        <f>AVERAGE('08.08 Soroti-Kumi'!N10,'11.08 Soroti-Kumi'!N10,'12.08 Soroti-Kumi'!N10,'13.08 Soroti-Kumi'!N10,'09.08 Soroti-Kumi-24h'!N10,'10.08 Soroti-Kumi-24h'!N10,'14.08 Soroti-Kumi'!N10)</f>
        <v>0</v>
      </c>
      <c r="O10" s="15">
        <f t="shared" ref="O10:O73" si="0">SUM(C10:L10,N10)</f>
        <v>3.9999999999999991</v>
      </c>
      <c r="P10" s="15">
        <f t="shared" ref="P10:P73" si="1">SUM(C10:N10)</f>
        <v>6.5714285714285712</v>
      </c>
      <c r="R10" s="1" t="s">
        <v>6</v>
      </c>
      <c r="S10" s="17">
        <f t="shared" ref="S10:AF10" si="2">SUM(C10:C13)</f>
        <v>3.1428571428571428</v>
      </c>
      <c r="T10" s="17">
        <f t="shared" si="2"/>
        <v>1</v>
      </c>
      <c r="U10" s="17">
        <f t="shared" si="2"/>
        <v>4.7142857142857144</v>
      </c>
      <c r="V10" s="17">
        <f t="shared" si="2"/>
        <v>4</v>
      </c>
      <c r="W10" s="17">
        <f t="shared" si="2"/>
        <v>0.14285714285714285</v>
      </c>
      <c r="X10" s="17">
        <f t="shared" si="2"/>
        <v>1.2857142857142856</v>
      </c>
      <c r="Y10" s="17">
        <f t="shared" si="2"/>
        <v>3.4285714285714288</v>
      </c>
      <c r="Z10" s="17">
        <f t="shared" si="2"/>
        <v>1.2857142857142856</v>
      </c>
      <c r="AA10" s="17">
        <f t="shared" si="2"/>
        <v>0.14285714285714285</v>
      </c>
      <c r="AB10" s="17">
        <f t="shared" si="2"/>
        <v>3.2857142857142856</v>
      </c>
      <c r="AC10" s="17">
        <f t="shared" si="2"/>
        <v>19</v>
      </c>
      <c r="AD10" s="17">
        <f t="shared" si="2"/>
        <v>0</v>
      </c>
      <c r="AE10" s="31">
        <f t="shared" si="2"/>
        <v>22.428571428571427</v>
      </c>
      <c r="AF10" s="31">
        <f t="shared" si="2"/>
        <v>41.428571428571423</v>
      </c>
    </row>
    <row r="11" spans="2:32" s="6" customFormat="1" ht="23.1" customHeight="1" x14ac:dyDescent="0.25">
      <c r="B11" s="23" t="s">
        <v>38</v>
      </c>
      <c r="C11" s="49">
        <f>AVERAGE('08.08 Soroti-Kumi'!C11,'11.08 Soroti-Kumi'!C11,'12.08 Soroti-Kumi'!C11,'13.08 Soroti-Kumi'!C11,'09.08 Soroti-Kumi-24h'!C11,'10.08 Soroti-Kumi-24h'!C11,'14.08 Soroti-Kumi'!C11)</f>
        <v>1.5714285714285714</v>
      </c>
      <c r="D11" s="49">
        <f>AVERAGE('08.08 Soroti-Kumi'!D11,'11.08 Soroti-Kumi'!D11,'12.08 Soroti-Kumi'!D11,'13.08 Soroti-Kumi'!D11,'09.08 Soroti-Kumi-24h'!D11,'10.08 Soroti-Kumi-24h'!D11,'14.08 Soroti-Kumi'!D11)</f>
        <v>0.14285714285714285</v>
      </c>
      <c r="E11" s="49">
        <f>AVERAGE('08.08 Soroti-Kumi'!E11,'11.08 Soroti-Kumi'!E11,'12.08 Soroti-Kumi'!E11,'13.08 Soroti-Kumi'!E11,'09.08 Soroti-Kumi-24h'!E11,'10.08 Soroti-Kumi-24h'!E11,'14.08 Soroti-Kumi'!E11)</f>
        <v>0.8571428571428571</v>
      </c>
      <c r="F11" s="49">
        <f>AVERAGE('08.08 Soroti-Kumi'!F11,'11.08 Soroti-Kumi'!F11,'12.08 Soroti-Kumi'!F11,'13.08 Soroti-Kumi'!F11,'09.08 Soroti-Kumi-24h'!F11,'10.08 Soroti-Kumi-24h'!F11,'14.08 Soroti-Kumi'!F11)</f>
        <v>1.5714285714285714</v>
      </c>
      <c r="G11" s="49">
        <f>AVERAGE('08.08 Soroti-Kumi'!G11,'11.08 Soroti-Kumi'!G11,'12.08 Soroti-Kumi'!G11,'13.08 Soroti-Kumi'!G11,'09.08 Soroti-Kumi-24h'!G11,'10.08 Soroti-Kumi-24h'!G11,'14.08 Soroti-Kumi'!G11)</f>
        <v>0</v>
      </c>
      <c r="H11" s="49">
        <f>AVERAGE('08.08 Soroti-Kumi'!H11,'11.08 Soroti-Kumi'!H11,'12.08 Soroti-Kumi'!H11,'13.08 Soroti-Kumi'!H11,'09.08 Soroti-Kumi-24h'!H11,'10.08 Soroti-Kumi-24h'!H11,'14.08 Soroti-Kumi'!H11)</f>
        <v>0.5714285714285714</v>
      </c>
      <c r="I11" s="49">
        <f>AVERAGE('08.08 Soroti-Kumi'!I11,'11.08 Soroti-Kumi'!I11,'12.08 Soroti-Kumi'!I11,'13.08 Soroti-Kumi'!I11,'09.08 Soroti-Kumi-24h'!I11,'10.08 Soroti-Kumi-24h'!I11,'14.08 Soroti-Kumi'!I11)</f>
        <v>1.2857142857142858</v>
      </c>
      <c r="J11" s="49">
        <f>AVERAGE('08.08 Soroti-Kumi'!J11,'11.08 Soroti-Kumi'!J11,'12.08 Soroti-Kumi'!J11,'13.08 Soroti-Kumi'!J11,'09.08 Soroti-Kumi-24h'!J11,'10.08 Soroti-Kumi-24h'!J11,'14.08 Soroti-Kumi'!J11)</f>
        <v>0.7142857142857143</v>
      </c>
      <c r="K11" s="49">
        <f>AVERAGE('08.08 Soroti-Kumi'!K11,'11.08 Soroti-Kumi'!K11,'12.08 Soroti-Kumi'!K11,'13.08 Soroti-Kumi'!K11,'09.08 Soroti-Kumi-24h'!K11,'10.08 Soroti-Kumi-24h'!K11,'14.08 Soroti-Kumi'!K11)</f>
        <v>0</v>
      </c>
      <c r="L11" s="49">
        <f>AVERAGE('08.08 Soroti-Kumi'!L11,'11.08 Soroti-Kumi'!L11,'12.08 Soroti-Kumi'!L11,'13.08 Soroti-Kumi'!L11,'09.08 Soroti-Kumi-24h'!L11,'10.08 Soroti-Kumi-24h'!L11,'14.08 Soroti-Kumi'!L11)</f>
        <v>0.42857142857142855</v>
      </c>
      <c r="M11" s="49">
        <f>AVERAGE('08.08 Soroti-Kumi'!M11,'11.08 Soroti-Kumi'!M11,'12.08 Soroti-Kumi'!M11,'13.08 Soroti-Kumi'!M11,'09.08 Soroti-Kumi-24h'!M11,'10.08 Soroti-Kumi-24h'!M11,'14.08 Soroti-Kumi'!M11)</f>
        <v>5.1428571428571432</v>
      </c>
      <c r="N11" s="49">
        <f>AVERAGE('08.08 Soroti-Kumi'!N11,'11.08 Soroti-Kumi'!N11,'12.08 Soroti-Kumi'!N11,'13.08 Soroti-Kumi'!N11,'09.08 Soroti-Kumi-24h'!N11,'10.08 Soroti-Kumi-24h'!N11,'14.08 Soroti-Kumi'!N11)</f>
        <v>0</v>
      </c>
      <c r="O11" s="15">
        <f t="shared" si="0"/>
        <v>7.1428571428571423</v>
      </c>
      <c r="P11" s="15">
        <f t="shared" si="1"/>
        <v>12.285714285714285</v>
      </c>
      <c r="R11" s="1" t="s">
        <v>7</v>
      </c>
      <c r="S11" s="17">
        <f t="shared" ref="S11:AF11" si="3">SUM(C14:C17)</f>
        <v>2.9999999999999996</v>
      </c>
      <c r="T11" s="17">
        <f t="shared" si="3"/>
        <v>2</v>
      </c>
      <c r="U11" s="17">
        <f t="shared" si="3"/>
        <v>6.5714285714285721</v>
      </c>
      <c r="V11" s="17">
        <f t="shared" si="3"/>
        <v>5.8571428571428577</v>
      </c>
      <c r="W11" s="17">
        <f t="shared" si="3"/>
        <v>0</v>
      </c>
      <c r="X11" s="17">
        <f t="shared" si="3"/>
        <v>0.42857142857142855</v>
      </c>
      <c r="Y11" s="17">
        <f t="shared" si="3"/>
        <v>2.714285714285714</v>
      </c>
      <c r="Z11" s="17">
        <f t="shared" si="3"/>
        <v>0.5714285714285714</v>
      </c>
      <c r="AA11" s="17">
        <f t="shared" si="3"/>
        <v>0.14285714285714285</v>
      </c>
      <c r="AB11" s="17">
        <f t="shared" si="3"/>
        <v>7.8571428571428577</v>
      </c>
      <c r="AC11" s="17">
        <f t="shared" si="3"/>
        <v>25.571428571428569</v>
      </c>
      <c r="AD11" s="17">
        <f t="shared" si="3"/>
        <v>0</v>
      </c>
      <c r="AE11" s="31">
        <f t="shared" si="3"/>
        <v>29.142857142857146</v>
      </c>
      <c r="AF11" s="31">
        <f t="shared" si="3"/>
        <v>54.714285714285715</v>
      </c>
    </row>
    <row r="12" spans="2:32" ht="23.1" customHeight="1" x14ac:dyDescent="0.25">
      <c r="B12" s="23" t="s">
        <v>39</v>
      </c>
      <c r="C12" s="49">
        <f>AVERAGE('08.08 Soroti-Kumi'!C12,'11.08 Soroti-Kumi'!C12,'12.08 Soroti-Kumi'!C12,'13.08 Soroti-Kumi'!C12,'09.08 Soroti-Kumi-24h'!C12,'10.08 Soroti-Kumi-24h'!C12,'14.08 Soroti-Kumi'!C12)</f>
        <v>0.7142857142857143</v>
      </c>
      <c r="D12" s="49">
        <f>AVERAGE('08.08 Soroti-Kumi'!D12,'11.08 Soroti-Kumi'!D12,'12.08 Soroti-Kumi'!D12,'13.08 Soroti-Kumi'!D12,'09.08 Soroti-Kumi-24h'!D12,'10.08 Soroti-Kumi-24h'!D12,'14.08 Soroti-Kumi'!D12)</f>
        <v>0.14285714285714285</v>
      </c>
      <c r="E12" s="49">
        <f>AVERAGE('08.08 Soroti-Kumi'!E12,'11.08 Soroti-Kumi'!E12,'12.08 Soroti-Kumi'!E12,'13.08 Soroti-Kumi'!E12,'09.08 Soroti-Kumi-24h'!E12,'10.08 Soroti-Kumi-24h'!E12,'14.08 Soroti-Kumi'!E12)</f>
        <v>1.1428571428571428</v>
      </c>
      <c r="F12" s="49">
        <f>AVERAGE('08.08 Soroti-Kumi'!F12,'11.08 Soroti-Kumi'!F12,'12.08 Soroti-Kumi'!F12,'13.08 Soroti-Kumi'!F12,'09.08 Soroti-Kumi-24h'!F12,'10.08 Soroti-Kumi-24h'!F12,'14.08 Soroti-Kumi'!F12)</f>
        <v>0.5714285714285714</v>
      </c>
      <c r="G12" s="49">
        <f>AVERAGE('08.08 Soroti-Kumi'!G12,'11.08 Soroti-Kumi'!G12,'12.08 Soroti-Kumi'!G12,'13.08 Soroti-Kumi'!G12,'09.08 Soroti-Kumi-24h'!G12,'10.08 Soroti-Kumi-24h'!G12,'14.08 Soroti-Kumi'!G12)</f>
        <v>0</v>
      </c>
      <c r="H12" s="49">
        <f>AVERAGE('08.08 Soroti-Kumi'!H12,'11.08 Soroti-Kumi'!H12,'12.08 Soroti-Kumi'!H12,'13.08 Soroti-Kumi'!H12,'09.08 Soroti-Kumi-24h'!H12,'10.08 Soroti-Kumi-24h'!H12,'14.08 Soroti-Kumi'!H12)</f>
        <v>0.2857142857142857</v>
      </c>
      <c r="I12" s="49">
        <f>AVERAGE('08.08 Soroti-Kumi'!I12,'11.08 Soroti-Kumi'!I12,'12.08 Soroti-Kumi'!I12,'13.08 Soroti-Kumi'!I12,'09.08 Soroti-Kumi-24h'!I12,'10.08 Soroti-Kumi-24h'!I12,'14.08 Soroti-Kumi'!I12)</f>
        <v>1.1428571428571428</v>
      </c>
      <c r="J12" s="49">
        <f>AVERAGE('08.08 Soroti-Kumi'!J12,'11.08 Soroti-Kumi'!J12,'12.08 Soroti-Kumi'!J12,'13.08 Soroti-Kumi'!J12,'09.08 Soroti-Kumi-24h'!J12,'10.08 Soroti-Kumi-24h'!J12,'14.08 Soroti-Kumi'!J12)</f>
        <v>0.14285714285714285</v>
      </c>
      <c r="K12" s="49">
        <f>AVERAGE('08.08 Soroti-Kumi'!K12,'11.08 Soroti-Kumi'!K12,'12.08 Soroti-Kumi'!K12,'13.08 Soroti-Kumi'!K12,'09.08 Soroti-Kumi-24h'!K12,'10.08 Soroti-Kumi-24h'!K12,'14.08 Soroti-Kumi'!K12)</f>
        <v>0</v>
      </c>
      <c r="L12" s="49">
        <f>AVERAGE('08.08 Soroti-Kumi'!L12,'11.08 Soroti-Kumi'!L12,'12.08 Soroti-Kumi'!L12,'13.08 Soroti-Kumi'!L12,'09.08 Soroti-Kumi-24h'!L12,'10.08 Soroti-Kumi-24h'!L12,'14.08 Soroti-Kumi'!L12)</f>
        <v>1</v>
      </c>
      <c r="M12" s="49">
        <f>AVERAGE('08.08 Soroti-Kumi'!M12,'11.08 Soroti-Kumi'!M12,'12.08 Soroti-Kumi'!M12,'13.08 Soroti-Kumi'!M12,'09.08 Soroti-Kumi-24h'!M12,'10.08 Soroti-Kumi-24h'!M12,'14.08 Soroti-Kumi'!M12)</f>
        <v>6.1428571428571432</v>
      </c>
      <c r="N12" s="49">
        <f>AVERAGE('08.08 Soroti-Kumi'!N12,'11.08 Soroti-Kumi'!N12,'12.08 Soroti-Kumi'!N12,'13.08 Soroti-Kumi'!N12,'09.08 Soroti-Kumi-24h'!N12,'10.08 Soroti-Kumi-24h'!N12,'14.08 Soroti-Kumi'!N12)</f>
        <v>0</v>
      </c>
      <c r="O12" s="15">
        <f t="shared" si="0"/>
        <v>5.1428571428571423</v>
      </c>
      <c r="P12" s="15">
        <f t="shared" si="1"/>
        <v>11.285714285714285</v>
      </c>
      <c r="R12" s="1" t="s">
        <v>8</v>
      </c>
      <c r="S12" s="17">
        <f t="shared" ref="S12:AF12" si="4">SUM(C18:C21)</f>
        <v>4.5714285714285712</v>
      </c>
      <c r="T12" s="17">
        <f t="shared" si="4"/>
        <v>2.8571428571428572</v>
      </c>
      <c r="U12" s="17">
        <f t="shared" si="4"/>
        <v>8</v>
      </c>
      <c r="V12" s="17">
        <f t="shared" si="4"/>
        <v>6.2857142857142847</v>
      </c>
      <c r="W12" s="17">
        <f t="shared" si="4"/>
        <v>0.14285714285714285</v>
      </c>
      <c r="X12" s="17">
        <f t="shared" si="4"/>
        <v>2.2857142857142856</v>
      </c>
      <c r="Y12" s="17">
        <f t="shared" si="4"/>
        <v>3.2857142857142856</v>
      </c>
      <c r="Z12" s="17">
        <f t="shared" si="4"/>
        <v>0.71428571428571419</v>
      </c>
      <c r="AA12" s="17">
        <f t="shared" si="4"/>
        <v>0.2857142857142857</v>
      </c>
      <c r="AB12" s="17">
        <f t="shared" si="4"/>
        <v>5.2857142857142856</v>
      </c>
      <c r="AC12" s="17">
        <f t="shared" si="4"/>
        <v>18.714285714285715</v>
      </c>
      <c r="AD12" s="17">
        <f t="shared" si="4"/>
        <v>0</v>
      </c>
      <c r="AE12" s="31">
        <f t="shared" si="4"/>
        <v>33.714285714285708</v>
      </c>
      <c r="AF12" s="31">
        <f t="shared" si="4"/>
        <v>52.428571428571431</v>
      </c>
    </row>
    <row r="13" spans="2:32" ht="23.1" customHeight="1" x14ac:dyDescent="0.25">
      <c r="B13" s="23" t="s">
        <v>40</v>
      </c>
      <c r="C13" s="49">
        <f>AVERAGE('08.08 Soroti-Kumi'!C13,'11.08 Soroti-Kumi'!C13,'12.08 Soroti-Kumi'!C13,'13.08 Soroti-Kumi'!C13,'09.08 Soroti-Kumi-24h'!C13,'10.08 Soroti-Kumi-24h'!C13,'14.08 Soroti-Kumi'!C13)</f>
        <v>0.42857142857142855</v>
      </c>
      <c r="D13" s="49">
        <f>AVERAGE('08.08 Soroti-Kumi'!D13,'11.08 Soroti-Kumi'!D13,'12.08 Soroti-Kumi'!D13,'13.08 Soroti-Kumi'!D13,'09.08 Soroti-Kumi-24h'!D13,'10.08 Soroti-Kumi-24h'!D13,'14.08 Soroti-Kumi'!D13)</f>
        <v>0.42857142857142855</v>
      </c>
      <c r="E13" s="49">
        <f>AVERAGE('08.08 Soroti-Kumi'!E13,'11.08 Soroti-Kumi'!E13,'12.08 Soroti-Kumi'!E13,'13.08 Soroti-Kumi'!E13,'09.08 Soroti-Kumi-24h'!E13,'10.08 Soroti-Kumi-24h'!E13,'14.08 Soroti-Kumi'!E13)</f>
        <v>1.5714285714285714</v>
      </c>
      <c r="F13" s="49">
        <f>AVERAGE('08.08 Soroti-Kumi'!F13,'11.08 Soroti-Kumi'!F13,'12.08 Soroti-Kumi'!F13,'13.08 Soroti-Kumi'!F13,'09.08 Soroti-Kumi-24h'!F13,'10.08 Soroti-Kumi-24h'!F13,'14.08 Soroti-Kumi'!F13)</f>
        <v>1.2857142857142858</v>
      </c>
      <c r="G13" s="49">
        <f>AVERAGE('08.08 Soroti-Kumi'!G13,'11.08 Soroti-Kumi'!G13,'12.08 Soroti-Kumi'!G13,'13.08 Soroti-Kumi'!G13,'09.08 Soroti-Kumi-24h'!G13,'10.08 Soroti-Kumi-24h'!G13,'14.08 Soroti-Kumi'!G13)</f>
        <v>0.14285714285714285</v>
      </c>
      <c r="H13" s="49">
        <f>AVERAGE('08.08 Soroti-Kumi'!H13,'11.08 Soroti-Kumi'!H13,'12.08 Soroti-Kumi'!H13,'13.08 Soroti-Kumi'!H13,'09.08 Soroti-Kumi-24h'!H13,'10.08 Soroti-Kumi-24h'!H13,'14.08 Soroti-Kumi'!H13)</f>
        <v>0.14285714285714285</v>
      </c>
      <c r="I13" s="49">
        <f>AVERAGE('08.08 Soroti-Kumi'!I13,'11.08 Soroti-Kumi'!I13,'12.08 Soroti-Kumi'!I13,'13.08 Soroti-Kumi'!I13,'09.08 Soroti-Kumi-24h'!I13,'10.08 Soroti-Kumi-24h'!I13,'14.08 Soroti-Kumi'!I13)</f>
        <v>0.7142857142857143</v>
      </c>
      <c r="J13" s="49">
        <f>AVERAGE('08.08 Soroti-Kumi'!J13,'11.08 Soroti-Kumi'!J13,'12.08 Soroti-Kumi'!J13,'13.08 Soroti-Kumi'!J13,'09.08 Soroti-Kumi-24h'!J13,'10.08 Soroti-Kumi-24h'!J13,'14.08 Soroti-Kumi'!J13)</f>
        <v>0.14285714285714285</v>
      </c>
      <c r="K13" s="49">
        <f>AVERAGE('08.08 Soroti-Kumi'!K13,'11.08 Soroti-Kumi'!K13,'12.08 Soroti-Kumi'!K13,'13.08 Soroti-Kumi'!K13,'09.08 Soroti-Kumi-24h'!K13,'10.08 Soroti-Kumi-24h'!K13,'14.08 Soroti-Kumi'!K13)</f>
        <v>0</v>
      </c>
      <c r="L13" s="49">
        <f>AVERAGE('08.08 Soroti-Kumi'!L13,'11.08 Soroti-Kumi'!L13,'12.08 Soroti-Kumi'!L13,'13.08 Soroti-Kumi'!L13,'09.08 Soroti-Kumi-24h'!L13,'10.08 Soroti-Kumi-24h'!L13,'14.08 Soroti-Kumi'!L13)</f>
        <v>1.2857142857142858</v>
      </c>
      <c r="M13" s="49">
        <f>AVERAGE('08.08 Soroti-Kumi'!M13,'11.08 Soroti-Kumi'!M13,'12.08 Soroti-Kumi'!M13,'13.08 Soroti-Kumi'!M13,'09.08 Soroti-Kumi-24h'!M13,'10.08 Soroti-Kumi-24h'!M13,'14.08 Soroti-Kumi'!M13)</f>
        <v>5.1428571428571432</v>
      </c>
      <c r="N13" s="49">
        <f>AVERAGE('08.08 Soroti-Kumi'!N13,'11.08 Soroti-Kumi'!N13,'12.08 Soroti-Kumi'!N13,'13.08 Soroti-Kumi'!N13,'09.08 Soroti-Kumi-24h'!N13,'10.08 Soroti-Kumi-24h'!N13,'14.08 Soroti-Kumi'!N13)</f>
        <v>0</v>
      </c>
      <c r="O13" s="15">
        <f t="shared" si="0"/>
        <v>6.1428571428571432</v>
      </c>
      <c r="P13" s="15">
        <f t="shared" si="1"/>
        <v>11.285714285714286</v>
      </c>
      <c r="R13" s="1" t="s">
        <v>9</v>
      </c>
      <c r="S13" s="17">
        <f t="shared" ref="S13:AF13" si="5">SUM(C22:C25)</f>
        <v>4.5714285714285712</v>
      </c>
      <c r="T13" s="17">
        <f t="shared" si="5"/>
        <v>4.5714285714285712</v>
      </c>
      <c r="U13" s="17">
        <f t="shared" si="5"/>
        <v>11</v>
      </c>
      <c r="V13" s="17">
        <f t="shared" si="5"/>
        <v>8.7142857142857135</v>
      </c>
      <c r="W13" s="17">
        <f t="shared" si="5"/>
        <v>0.14285714285714285</v>
      </c>
      <c r="X13" s="17">
        <f t="shared" si="5"/>
        <v>3.2857142857142856</v>
      </c>
      <c r="Y13" s="17">
        <f t="shared" si="5"/>
        <v>3.8571428571428577</v>
      </c>
      <c r="Z13" s="17">
        <f t="shared" si="5"/>
        <v>0.71428571428571419</v>
      </c>
      <c r="AA13" s="17">
        <f t="shared" si="5"/>
        <v>0.14285714285714285</v>
      </c>
      <c r="AB13" s="17">
        <f t="shared" si="5"/>
        <v>6.2857142857142856</v>
      </c>
      <c r="AC13" s="17">
        <f t="shared" si="5"/>
        <v>19.571428571428573</v>
      </c>
      <c r="AD13" s="17">
        <f t="shared" si="5"/>
        <v>0</v>
      </c>
      <c r="AE13" s="31">
        <f t="shared" si="5"/>
        <v>43.285714285714285</v>
      </c>
      <c r="AF13" s="31">
        <f t="shared" si="5"/>
        <v>62.857142857142847</v>
      </c>
    </row>
    <row r="14" spans="2:32" ht="23.1" customHeight="1" x14ac:dyDescent="0.25">
      <c r="B14" s="23" t="s">
        <v>41</v>
      </c>
      <c r="C14" s="49">
        <f>AVERAGE('08.08 Soroti-Kumi'!C14,'11.08 Soroti-Kumi'!C14,'12.08 Soroti-Kumi'!C14,'13.08 Soroti-Kumi'!C14,'09.08 Soroti-Kumi-24h'!C14,'10.08 Soroti-Kumi-24h'!C14,'14.08 Soroti-Kumi'!C14)</f>
        <v>1.4285714285714286</v>
      </c>
      <c r="D14" s="49">
        <f>AVERAGE('08.08 Soroti-Kumi'!D14,'11.08 Soroti-Kumi'!D14,'12.08 Soroti-Kumi'!D14,'13.08 Soroti-Kumi'!D14,'09.08 Soroti-Kumi-24h'!D14,'10.08 Soroti-Kumi-24h'!D14,'14.08 Soroti-Kumi'!D14)</f>
        <v>0.7142857142857143</v>
      </c>
      <c r="E14" s="49">
        <f>AVERAGE('08.08 Soroti-Kumi'!E14,'11.08 Soroti-Kumi'!E14,'12.08 Soroti-Kumi'!E14,'13.08 Soroti-Kumi'!E14,'09.08 Soroti-Kumi-24h'!E14,'10.08 Soroti-Kumi-24h'!E14,'14.08 Soroti-Kumi'!E14)</f>
        <v>2.1428571428571428</v>
      </c>
      <c r="F14" s="49">
        <f>AVERAGE('08.08 Soroti-Kumi'!F14,'11.08 Soroti-Kumi'!F14,'12.08 Soroti-Kumi'!F14,'13.08 Soroti-Kumi'!F14,'09.08 Soroti-Kumi-24h'!F14,'10.08 Soroti-Kumi-24h'!F14,'14.08 Soroti-Kumi'!F14)</f>
        <v>1.2857142857142858</v>
      </c>
      <c r="G14" s="49">
        <f>AVERAGE('08.08 Soroti-Kumi'!G14,'11.08 Soroti-Kumi'!G14,'12.08 Soroti-Kumi'!G14,'13.08 Soroti-Kumi'!G14,'09.08 Soroti-Kumi-24h'!G14,'10.08 Soroti-Kumi-24h'!G14,'14.08 Soroti-Kumi'!G14)</f>
        <v>0</v>
      </c>
      <c r="H14" s="49">
        <f>AVERAGE('08.08 Soroti-Kumi'!H14,'11.08 Soroti-Kumi'!H14,'12.08 Soroti-Kumi'!H14,'13.08 Soroti-Kumi'!H14,'09.08 Soroti-Kumi-24h'!H14,'10.08 Soroti-Kumi-24h'!H14,'14.08 Soroti-Kumi'!H14)</f>
        <v>0.14285714285714285</v>
      </c>
      <c r="I14" s="49">
        <f>AVERAGE('08.08 Soroti-Kumi'!I14,'11.08 Soroti-Kumi'!I14,'12.08 Soroti-Kumi'!I14,'13.08 Soroti-Kumi'!I14,'09.08 Soroti-Kumi-24h'!I14,'10.08 Soroti-Kumi-24h'!I14,'14.08 Soroti-Kumi'!I14)</f>
        <v>1.2857142857142858</v>
      </c>
      <c r="J14" s="49">
        <f>AVERAGE('08.08 Soroti-Kumi'!J14,'11.08 Soroti-Kumi'!J14,'12.08 Soroti-Kumi'!J14,'13.08 Soroti-Kumi'!J14,'09.08 Soroti-Kumi-24h'!J14,'10.08 Soroti-Kumi-24h'!J14,'14.08 Soroti-Kumi'!J14)</f>
        <v>0</v>
      </c>
      <c r="K14" s="49">
        <f>AVERAGE('08.08 Soroti-Kumi'!K14,'11.08 Soroti-Kumi'!K14,'12.08 Soroti-Kumi'!K14,'13.08 Soroti-Kumi'!K14,'09.08 Soroti-Kumi-24h'!K14,'10.08 Soroti-Kumi-24h'!K14,'14.08 Soroti-Kumi'!K14)</f>
        <v>0</v>
      </c>
      <c r="L14" s="49">
        <f>AVERAGE('08.08 Soroti-Kumi'!L14,'11.08 Soroti-Kumi'!L14,'12.08 Soroti-Kumi'!L14,'13.08 Soroti-Kumi'!L14,'09.08 Soroti-Kumi-24h'!L14,'10.08 Soroti-Kumi-24h'!L14,'14.08 Soroti-Kumi'!L14)</f>
        <v>1.8571428571428572</v>
      </c>
      <c r="M14" s="49">
        <f>AVERAGE('08.08 Soroti-Kumi'!M14,'11.08 Soroti-Kumi'!M14,'12.08 Soroti-Kumi'!M14,'13.08 Soroti-Kumi'!M14,'09.08 Soroti-Kumi-24h'!M14,'10.08 Soroti-Kumi-24h'!M14,'14.08 Soroti-Kumi'!M14)</f>
        <v>8.1428571428571423</v>
      </c>
      <c r="N14" s="49">
        <f>AVERAGE('08.08 Soroti-Kumi'!N14,'11.08 Soroti-Kumi'!N14,'12.08 Soroti-Kumi'!N14,'13.08 Soroti-Kumi'!N14,'09.08 Soroti-Kumi-24h'!N14,'10.08 Soroti-Kumi-24h'!N14,'14.08 Soroti-Kumi'!N14)</f>
        <v>0</v>
      </c>
      <c r="O14" s="15">
        <f t="shared" si="0"/>
        <v>8.8571428571428577</v>
      </c>
      <c r="P14" s="15">
        <f t="shared" si="1"/>
        <v>17</v>
      </c>
      <c r="R14" s="1" t="s">
        <v>10</v>
      </c>
      <c r="S14" s="17">
        <f t="shared" ref="S14:AF14" si="6">SUM(C26:C29)</f>
        <v>4.7142857142857144</v>
      </c>
      <c r="T14" s="17">
        <f t="shared" si="6"/>
        <v>3.7142857142857144</v>
      </c>
      <c r="U14" s="17">
        <f t="shared" si="6"/>
        <v>9</v>
      </c>
      <c r="V14" s="17">
        <f t="shared" si="6"/>
        <v>8.1428571428571423</v>
      </c>
      <c r="W14" s="17">
        <f t="shared" si="6"/>
        <v>0</v>
      </c>
      <c r="X14" s="17">
        <f t="shared" si="6"/>
        <v>2.1428571428571428</v>
      </c>
      <c r="Y14" s="17">
        <f t="shared" si="6"/>
        <v>4.4285714285714288</v>
      </c>
      <c r="Z14" s="17">
        <f t="shared" si="6"/>
        <v>1.1428571428571428</v>
      </c>
      <c r="AA14" s="17">
        <f t="shared" si="6"/>
        <v>0.42857142857142855</v>
      </c>
      <c r="AB14" s="17">
        <f t="shared" si="6"/>
        <v>6.5714285714285721</v>
      </c>
      <c r="AC14" s="17">
        <f t="shared" si="6"/>
        <v>19</v>
      </c>
      <c r="AD14" s="17">
        <f t="shared" si="6"/>
        <v>0</v>
      </c>
      <c r="AE14" s="31">
        <f t="shared" si="6"/>
        <v>40.285714285714285</v>
      </c>
      <c r="AF14" s="31">
        <f t="shared" si="6"/>
        <v>59.285714285714292</v>
      </c>
    </row>
    <row r="15" spans="2:32" ht="23.1" customHeight="1" x14ac:dyDescent="0.25">
      <c r="B15" s="23" t="s">
        <v>42</v>
      </c>
      <c r="C15" s="49">
        <f>AVERAGE('08.08 Soroti-Kumi'!C15,'11.08 Soroti-Kumi'!C15,'12.08 Soroti-Kumi'!C15,'13.08 Soroti-Kumi'!C15,'09.08 Soroti-Kumi-24h'!C15,'10.08 Soroti-Kumi-24h'!C15,'14.08 Soroti-Kumi'!C15)</f>
        <v>0.5714285714285714</v>
      </c>
      <c r="D15" s="49">
        <f>AVERAGE('08.08 Soroti-Kumi'!D15,'11.08 Soroti-Kumi'!D15,'12.08 Soroti-Kumi'!D15,'13.08 Soroti-Kumi'!D15,'09.08 Soroti-Kumi-24h'!D15,'10.08 Soroti-Kumi-24h'!D15,'14.08 Soroti-Kumi'!D15)</f>
        <v>0.14285714285714285</v>
      </c>
      <c r="E15" s="49">
        <f>AVERAGE('08.08 Soroti-Kumi'!E15,'11.08 Soroti-Kumi'!E15,'12.08 Soroti-Kumi'!E15,'13.08 Soroti-Kumi'!E15,'09.08 Soroti-Kumi-24h'!E15,'10.08 Soroti-Kumi-24h'!E15,'14.08 Soroti-Kumi'!E15)</f>
        <v>0.7142857142857143</v>
      </c>
      <c r="F15" s="49">
        <f>AVERAGE('08.08 Soroti-Kumi'!F15,'11.08 Soroti-Kumi'!F15,'12.08 Soroti-Kumi'!F15,'13.08 Soroti-Kumi'!F15,'09.08 Soroti-Kumi-24h'!F15,'10.08 Soroti-Kumi-24h'!F15,'14.08 Soroti-Kumi'!F15)</f>
        <v>1.8571428571428572</v>
      </c>
      <c r="G15" s="49">
        <f>AVERAGE('08.08 Soroti-Kumi'!G15,'11.08 Soroti-Kumi'!G15,'12.08 Soroti-Kumi'!G15,'13.08 Soroti-Kumi'!G15,'09.08 Soroti-Kumi-24h'!G15,'10.08 Soroti-Kumi-24h'!G15,'14.08 Soroti-Kumi'!G15)</f>
        <v>0</v>
      </c>
      <c r="H15" s="49">
        <f>AVERAGE('08.08 Soroti-Kumi'!H15,'11.08 Soroti-Kumi'!H15,'12.08 Soroti-Kumi'!H15,'13.08 Soroti-Kumi'!H15,'09.08 Soroti-Kumi-24h'!H15,'10.08 Soroti-Kumi-24h'!H15,'14.08 Soroti-Kumi'!H15)</f>
        <v>0</v>
      </c>
      <c r="I15" s="49">
        <f>AVERAGE('08.08 Soroti-Kumi'!I15,'11.08 Soroti-Kumi'!I15,'12.08 Soroti-Kumi'!I15,'13.08 Soroti-Kumi'!I15,'09.08 Soroti-Kumi-24h'!I15,'10.08 Soroti-Kumi-24h'!I15,'14.08 Soroti-Kumi'!I15)</f>
        <v>1</v>
      </c>
      <c r="J15" s="49">
        <f>AVERAGE('08.08 Soroti-Kumi'!J15,'11.08 Soroti-Kumi'!J15,'12.08 Soroti-Kumi'!J15,'13.08 Soroti-Kumi'!J15,'09.08 Soroti-Kumi-24h'!J15,'10.08 Soroti-Kumi-24h'!J15,'14.08 Soroti-Kumi'!J15)</f>
        <v>0</v>
      </c>
      <c r="K15" s="49">
        <f>AVERAGE('08.08 Soroti-Kumi'!K15,'11.08 Soroti-Kumi'!K15,'12.08 Soroti-Kumi'!K15,'13.08 Soroti-Kumi'!K15,'09.08 Soroti-Kumi-24h'!K15,'10.08 Soroti-Kumi-24h'!K15,'14.08 Soroti-Kumi'!K15)</f>
        <v>0.14285714285714285</v>
      </c>
      <c r="L15" s="49">
        <f>AVERAGE('08.08 Soroti-Kumi'!L15,'11.08 Soroti-Kumi'!L15,'12.08 Soroti-Kumi'!L15,'13.08 Soroti-Kumi'!L15,'09.08 Soroti-Kumi-24h'!L15,'10.08 Soroti-Kumi-24h'!L15,'14.08 Soroti-Kumi'!L15)</f>
        <v>1.4285714285714286</v>
      </c>
      <c r="M15" s="49">
        <f>AVERAGE('08.08 Soroti-Kumi'!M15,'11.08 Soroti-Kumi'!M15,'12.08 Soroti-Kumi'!M15,'13.08 Soroti-Kumi'!M15,'09.08 Soroti-Kumi-24h'!M15,'10.08 Soroti-Kumi-24h'!M15,'14.08 Soroti-Kumi'!M15)</f>
        <v>6.2857142857142856</v>
      </c>
      <c r="N15" s="49">
        <f>AVERAGE('08.08 Soroti-Kumi'!N15,'11.08 Soroti-Kumi'!N15,'12.08 Soroti-Kumi'!N15,'13.08 Soroti-Kumi'!N15,'09.08 Soroti-Kumi-24h'!N15,'10.08 Soroti-Kumi-24h'!N15,'14.08 Soroti-Kumi'!N15)</f>
        <v>0</v>
      </c>
      <c r="O15" s="15">
        <f t="shared" si="0"/>
        <v>5.8571428571428577</v>
      </c>
      <c r="P15" s="15">
        <f t="shared" si="1"/>
        <v>12.142857142857142</v>
      </c>
      <c r="R15" s="1" t="s">
        <v>11</v>
      </c>
      <c r="S15" s="17">
        <f t="shared" ref="S15:AF15" si="7">SUM(C30:C33)</f>
        <v>5.1428571428571423</v>
      </c>
      <c r="T15" s="17">
        <f t="shared" si="7"/>
        <v>2.8571428571428568</v>
      </c>
      <c r="U15" s="17">
        <f t="shared" si="7"/>
        <v>8.7142857142857153</v>
      </c>
      <c r="V15" s="17">
        <f t="shared" si="7"/>
        <v>8.2857142857142847</v>
      </c>
      <c r="W15" s="17">
        <f t="shared" si="7"/>
        <v>0.14285714285714285</v>
      </c>
      <c r="X15" s="17">
        <f t="shared" si="7"/>
        <v>2.4285714285714284</v>
      </c>
      <c r="Y15" s="17">
        <f t="shared" si="7"/>
        <v>6.4285714285714288</v>
      </c>
      <c r="Z15" s="17">
        <f t="shared" si="7"/>
        <v>0.14285714285714285</v>
      </c>
      <c r="AA15" s="17">
        <f t="shared" si="7"/>
        <v>0.14285714285714285</v>
      </c>
      <c r="AB15" s="17">
        <f t="shared" si="7"/>
        <v>4.8571428571428568</v>
      </c>
      <c r="AC15" s="17">
        <f t="shared" si="7"/>
        <v>16.571428571428573</v>
      </c>
      <c r="AD15" s="17">
        <f t="shared" si="7"/>
        <v>0.14285714285714285</v>
      </c>
      <c r="AE15" s="31">
        <f t="shared" si="7"/>
        <v>39.285714285714285</v>
      </c>
      <c r="AF15" s="31">
        <f t="shared" si="7"/>
        <v>55.857142857142854</v>
      </c>
    </row>
    <row r="16" spans="2:32" ht="23.1" customHeight="1" x14ac:dyDescent="0.25">
      <c r="B16" s="23" t="s">
        <v>43</v>
      </c>
      <c r="C16" s="49">
        <f>AVERAGE('08.08 Soroti-Kumi'!C16,'11.08 Soroti-Kumi'!C16,'12.08 Soroti-Kumi'!C16,'13.08 Soroti-Kumi'!C16,'09.08 Soroti-Kumi-24h'!C16,'10.08 Soroti-Kumi-24h'!C16,'14.08 Soroti-Kumi'!C16)</f>
        <v>0.5714285714285714</v>
      </c>
      <c r="D16" s="49">
        <f>AVERAGE('08.08 Soroti-Kumi'!D16,'11.08 Soroti-Kumi'!D16,'12.08 Soroti-Kumi'!D16,'13.08 Soroti-Kumi'!D16,'09.08 Soroti-Kumi-24h'!D16,'10.08 Soroti-Kumi-24h'!D16,'14.08 Soroti-Kumi'!D16)</f>
        <v>0.5714285714285714</v>
      </c>
      <c r="E16" s="49">
        <f>AVERAGE('08.08 Soroti-Kumi'!E16,'11.08 Soroti-Kumi'!E16,'12.08 Soroti-Kumi'!E16,'13.08 Soroti-Kumi'!E16,'09.08 Soroti-Kumi-24h'!E16,'10.08 Soroti-Kumi-24h'!E16,'14.08 Soroti-Kumi'!E16)</f>
        <v>2</v>
      </c>
      <c r="F16" s="49">
        <f>AVERAGE('08.08 Soroti-Kumi'!F16,'11.08 Soroti-Kumi'!F16,'12.08 Soroti-Kumi'!F16,'13.08 Soroti-Kumi'!F16,'09.08 Soroti-Kumi-24h'!F16,'10.08 Soroti-Kumi-24h'!F16,'14.08 Soroti-Kumi'!F16)</f>
        <v>1.5714285714285714</v>
      </c>
      <c r="G16" s="49">
        <f>AVERAGE('08.08 Soroti-Kumi'!G16,'11.08 Soroti-Kumi'!G16,'12.08 Soroti-Kumi'!G16,'13.08 Soroti-Kumi'!G16,'09.08 Soroti-Kumi-24h'!G16,'10.08 Soroti-Kumi-24h'!G16,'14.08 Soroti-Kumi'!G16)</f>
        <v>0</v>
      </c>
      <c r="H16" s="49">
        <f>AVERAGE('08.08 Soroti-Kumi'!H16,'11.08 Soroti-Kumi'!H16,'12.08 Soroti-Kumi'!H16,'13.08 Soroti-Kumi'!H16,'09.08 Soroti-Kumi-24h'!H16,'10.08 Soroti-Kumi-24h'!H16,'14.08 Soroti-Kumi'!H16)</f>
        <v>0</v>
      </c>
      <c r="I16" s="49">
        <f>AVERAGE('08.08 Soroti-Kumi'!I16,'11.08 Soroti-Kumi'!I16,'12.08 Soroti-Kumi'!I16,'13.08 Soroti-Kumi'!I16,'09.08 Soroti-Kumi-24h'!I16,'10.08 Soroti-Kumi-24h'!I16,'14.08 Soroti-Kumi'!I16)</f>
        <v>0.2857142857142857</v>
      </c>
      <c r="J16" s="49">
        <f>AVERAGE('08.08 Soroti-Kumi'!J16,'11.08 Soroti-Kumi'!J16,'12.08 Soroti-Kumi'!J16,'13.08 Soroti-Kumi'!J16,'09.08 Soroti-Kumi-24h'!J16,'10.08 Soroti-Kumi-24h'!J16,'14.08 Soroti-Kumi'!J16)</f>
        <v>0.14285714285714285</v>
      </c>
      <c r="K16" s="49">
        <f>AVERAGE('08.08 Soroti-Kumi'!K16,'11.08 Soroti-Kumi'!K16,'12.08 Soroti-Kumi'!K16,'13.08 Soroti-Kumi'!K16,'09.08 Soroti-Kumi-24h'!K16,'10.08 Soroti-Kumi-24h'!K16,'14.08 Soroti-Kumi'!K16)</f>
        <v>0</v>
      </c>
      <c r="L16" s="49">
        <f>AVERAGE('08.08 Soroti-Kumi'!L16,'11.08 Soroti-Kumi'!L16,'12.08 Soroti-Kumi'!L16,'13.08 Soroti-Kumi'!L16,'09.08 Soroti-Kumi-24h'!L16,'10.08 Soroti-Kumi-24h'!L16,'14.08 Soroti-Kumi'!L16)</f>
        <v>2.7142857142857144</v>
      </c>
      <c r="M16" s="49">
        <f>AVERAGE('08.08 Soroti-Kumi'!M16,'11.08 Soroti-Kumi'!M16,'12.08 Soroti-Kumi'!M16,'13.08 Soroti-Kumi'!M16,'09.08 Soroti-Kumi-24h'!M16,'10.08 Soroti-Kumi-24h'!M16,'14.08 Soroti-Kumi'!M16)</f>
        <v>6</v>
      </c>
      <c r="N16" s="49">
        <f>AVERAGE('08.08 Soroti-Kumi'!N16,'11.08 Soroti-Kumi'!N16,'12.08 Soroti-Kumi'!N16,'13.08 Soroti-Kumi'!N16,'09.08 Soroti-Kumi-24h'!N16,'10.08 Soroti-Kumi-24h'!N16,'14.08 Soroti-Kumi'!N16)</f>
        <v>0</v>
      </c>
      <c r="O16" s="15">
        <f t="shared" si="0"/>
        <v>7.8571428571428577</v>
      </c>
      <c r="P16" s="15">
        <f t="shared" si="1"/>
        <v>13.857142857142858</v>
      </c>
      <c r="R16" s="1" t="s">
        <v>12</v>
      </c>
      <c r="S16" s="17">
        <f t="shared" ref="S16:AF16" si="8">SUM(C34:C37)</f>
        <v>3.2857142857142856</v>
      </c>
      <c r="T16" s="17">
        <f t="shared" si="8"/>
        <v>2.2857142857142856</v>
      </c>
      <c r="U16" s="17">
        <f t="shared" si="8"/>
        <v>6.7142857142857144</v>
      </c>
      <c r="V16" s="17">
        <f t="shared" si="8"/>
        <v>8.7142857142857135</v>
      </c>
      <c r="W16" s="17">
        <f t="shared" si="8"/>
        <v>0.71428571428571419</v>
      </c>
      <c r="X16" s="17">
        <f t="shared" si="8"/>
        <v>1.8571428571428572</v>
      </c>
      <c r="Y16" s="17">
        <f t="shared" si="8"/>
        <v>6.4285714285714288</v>
      </c>
      <c r="Z16" s="17">
        <f t="shared" si="8"/>
        <v>1.1428571428571428</v>
      </c>
      <c r="AA16" s="17">
        <f t="shared" si="8"/>
        <v>0.5714285714285714</v>
      </c>
      <c r="AB16" s="17">
        <f t="shared" si="8"/>
        <v>5.4285714285714279</v>
      </c>
      <c r="AC16" s="17">
        <f t="shared" si="8"/>
        <v>19.142857142857146</v>
      </c>
      <c r="AD16" s="17">
        <f t="shared" si="8"/>
        <v>0</v>
      </c>
      <c r="AE16" s="31">
        <f t="shared" si="8"/>
        <v>37.142857142857139</v>
      </c>
      <c r="AF16" s="31">
        <f t="shared" si="8"/>
        <v>56.285714285714292</v>
      </c>
    </row>
    <row r="17" spans="2:32" ht="23.1" customHeight="1" x14ac:dyDescent="0.25">
      <c r="B17" s="23" t="s">
        <v>44</v>
      </c>
      <c r="C17" s="49">
        <f>AVERAGE('08.08 Soroti-Kumi'!C17,'11.08 Soroti-Kumi'!C17,'12.08 Soroti-Kumi'!C17,'13.08 Soroti-Kumi'!C17,'09.08 Soroti-Kumi-24h'!C17,'10.08 Soroti-Kumi-24h'!C17,'14.08 Soroti-Kumi'!C17)</f>
        <v>0.42857142857142855</v>
      </c>
      <c r="D17" s="49">
        <f>AVERAGE('08.08 Soroti-Kumi'!D17,'11.08 Soroti-Kumi'!D17,'12.08 Soroti-Kumi'!D17,'13.08 Soroti-Kumi'!D17,'09.08 Soroti-Kumi-24h'!D17,'10.08 Soroti-Kumi-24h'!D17,'14.08 Soroti-Kumi'!D17)</f>
        <v>0.5714285714285714</v>
      </c>
      <c r="E17" s="49">
        <f>AVERAGE('08.08 Soroti-Kumi'!E17,'11.08 Soroti-Kumi'!E17,'12.08 Soroti-Kumi'!E17,'13.08 Soroti-Kumi'!E17,'09.08 Soroti-Kumi-24h'!E17,'10.08 Soroti-Kumi-24h'!E17,'14.08 Soroti-Kumi'!E17)</f>
        <v>1.7142857142857142</v>
      </c>
      <c r="F17" s="49">
        <f>AVERAGE('08.08 Soroti-Kumi'!F17,'11.08 Soroti-Kumi'!F17,'12.08 Soroti-Kumi'!F17,'13.08 Soroti-Kumi'!F17,'09.08 Soroti-Kumi-24h'!F17,'10.08 Soroti-Kumi-24h'!F17,'14.08 Soroti-Kumi'!F17)</f>
        <v>1.1428571428571428</v>
      </c>
      <c r="G17" s="49">
        <f>AVERAGE('08.08 Soroti-Kumi'!G17,'11.08 Soroti-Kumi'!G17,'12.08 Soroti-Kumi'!G17,'13.08 Soroti-Kumi'!G17,'09.08 Soroti-Kumi-24h'!G17,'10.08 Soroti-Kumi-24h'!G17,'14.08 Soroti-Kumi'!G17)</f>
        <v>0</v>
      </c>
      <c r="H17" s="49">
        <f>AVERAGE('08.08 Soroti-Kumi'!H17,'11.08 Soroti-Kumi'!H17,'12.08 Soroti-Kumi'!H17,'13.08 Soroti-Kumi'!H17,'09.08 Soroti-Kumi-24h'!H17,'10.08 Soroti-Kumi-24h'!H17,'14.08 Soroti-Kumi'!H17)</f>
        <v>0.2857142857142857</v>
      </c>
      <c r="I17" s="49">
        <f>AVERAGE('08.08 Soroti-Kumi'!I17,'11.08 Soroti-Kumi'!I17,'12.08 Soroti-Kumi'!I17,'13.08 Soroti-Kumi'!I17,'09.08 Soroti-Kumi-24h'!I17,'10.08 Soroti-Kumi-24h'!I17,'14.08 Soroti-Kumi'!I17)</f>
        <v>0.14285714285714285</v>
      </c>
      <c r="J17" s="49">
        <f>AVERAGE('08.08 Soroti-Kumi'!J17,'11.08 Soroti-Kumi'!J17,'12.08 Soroti-Kumi'!J17,'13.08 Soroti-Kumi'!J17,'09.08 Soroti-Kumi-24h'!J17,'10.08 Soroti-Kumi-24h'!J17,'14.08 Soroti-Kumi'!J17)</f>
        <v>0.42857142857142855</v>
      </c>
      <c r="K17" s="49">
        <f>AVERAGE('08.08 Soroti-Kumi'!K17,'11.08 Soroti-Kumi'!K17,'12.08 Soroti-Kumi'!K17,'13.08 Soroti-Kumi'!K17,'09.08 Soroti-Kumi-24h'!K17,'10.08 Soroti-Kumi-24h'!K17,'14.08 Soroti-Kumi'!K17)</f>
        <v>0</v>
      </c>
      <c r="L17" s="49">
        <f>AVERAGE('08.08 Soroti-Kumi'!L17,'11.08 Soroti-Kumi'!L17,'12.08 Soroti-Kumi'!L17,'13.08 Soroti-Kumi'!L17,'09.08 Soroti-Kumi-24h'!L17,'10.08 Soroti-Kumi-24h'!L17,'14.08 Soroti-Kumi'!L17)</f>
        <v>1.8571428571428572</v>
      </c>
      <c r="M17" s="49">
        <f>AVERAGE('08.08 Soroti-Kumi'!M17,'11.08 Soroti-Kumi'!M17,'12.08 Soroti-Kumi'!M17,'13.08 Soroti-Kumi'!M17,'09.08 Soroti-Kumi-24h'!M17,'10.08 Soroti-Kumi-24h'!M17,'14.08 Soroti-Kumi'!M17)</f>
        <v>5.1428571428571432</v>
      </c>
      <c r="N17" s="49">
        <f>AVERAGE('08.08 Soroti-Kumi'!N17,'11.08 Soroti-Kumi'!N17,'12.08 Soroti-Kumi'!N17,'13.08 Soroti-Kumi'!N17,'09.08 Soroti-Kumi-24h'!N17,'10.08 Soroti-Kumi-24h'!N17,'14.08 Soroti-Kumi'!N17)</f>
        <v>0</v>
      </c>
      <c r="O17" s="15">
        <f t="shared" si="0"/>
        <v>6.571428571428573</v>
      </c>
      <c r="P17" s="15">
        <f t="shared" si="1"/>
        <v>11.714285714285715</v>
      </c>
      <c r="R17" s="1" t="s">
        <v>13</v>
      </c>
      <c r="S17" s="17">
        <f t="shared" ref="S17:AF17" si="9">SUM(C38:C41)</f>
        <v>3.5714285714285712</v>
      </c>
      <c r="T17" s="17">
        <f t="shared" si="9"/>
        <v>3</v>
      </c>
      <c r="U17" s="17">
        <f t="shared" si="9"/>
        <v>8.2857142857142847</v>
      </c>
      <c r="V17" s="17">
        <f t="shared" si="9"/>
        <v>8.2857142857142847</v>
      </c>
      <c r="W17" s="17">
        <f t="shared" si="9"/>
        <v>0.42857142857142855</v>
      </c>
      <c r="X17" s="17">
        <f t="shared" si="9"/>
        <v>1.2857142857142856</v>
      </c>
      <c r="Y17" s="17">
        <f t="shared" si="9"/>
        <v>7.7142857142857144</v>
      </c>
      <c r="Z17" s="17">
        <f t="shared" si="9"/>
        <v>0.8571428571428571</v>
      </c>
      <c r="AA17" s="17">
        <f t="shared" si="9"/>
        <v>0</v>
      </c>
      <c r="AB17" s="17">
        <f t="shared" si="9"/>
        <v>5.4285714285714288</v>
      </c>
      <c r="AC17" s="17">
        <f t="shared" si="9"/>
        <v>11.714285714285715</v>
      </c>
      <c r="AD17" s="17">
        <f t="shared" si="9"/>
        <v>0.14285714285714285</v>
      </c>
      <c r="AE17" s="31">
        <f t="shared" si="9"/>
        <v>39</v>
      </c>
      <c r="AF17" s="31">
        <f t="shared" si="9"/>
        <v>50.714285714285708</v>
      </c>
    </row>
    <row r="18" spans="2:32" ht="23.1" customHeight="1" x14ac:dyDescent="0.25">
      <c r="B18" s="23" t="s">
        <v>45</v>
      </c>
      <c r="C18" s="49">
        <f>AVERAGE('08.08 Soroti-Kumi'!C18,'11.08 Soroti-Kumi'!C18,'12.08 Soroti-Kumi'!C18,'13.08 Soroti-Kumi'!C18,'09.08 Soroti-Kumi-24h'!C18,'10.08 Soroti-Kumi-24h'!C18,'14.08 Soroti-Kumi'!C18)</f>
        <v>1.1428571428571428</v>
      </c>
      <c r="D18" s="49">
        <f>AVERAGE('08.08 Soroti-Kumi'!D18,'11.08 Soroti-Kumi'!D18,'12.08 Soroti-Kumi'!D18,'13.08 Soroti-Kumi'!D18,'09.08 Soroti-Kumi-24h'!D18,'10.08 Soroti-Kumi-24h'!D18,'14.08 Soroti-Kumi'!D18)</f>
        <v>0.8571428571428571</v>
      </c>
      <c r="E18" s="49">
        <f>AVERAGE('08.08 Soroti-Kumi'!E18,'11.08 Soroti-Kumi'!E18,'12.08 Soroti-Kumi'!E18,'13.08 Soroti-Kumi'!E18,'09.08 Soroti-Kumi-24h'!E18,'10.08 Soroti-Kumi-24h'!E18,'14.08 Soroti-Kumi'!E18)</f>
        <v>2</v>
      </c>
      <c r="F18" s="49">
        <f>AVERAGE('08.08 Soroti-Kumi'!F18,'11.08 Soroti-Kumi'!F18,'12.08 Soroti-Kumi'!F18,'13.08 Soroti-Kumi'!F18,'09.08 Soroti-Kumi-24h'!F18,'10.08 Soroti-Kumi-24h'!F18,'14.08 Soroti-Kumi'!F18)</f>
        <v>1.8571428571428572</v>
      </c>
      <c r="G18" s="49">
        <f>AVERAGE('08.08 Soroti-Kumi'!G18,'11.08 Soroti-Kumi'!G18,'12.08 Soroti-Kumi'!G18,'13.08 Soroti-Kumi'!G18,'09.08 Soroti-Kumi-24h'!G18,'10.08 Soroti-Kumi-24h'!G18,'14.08 Soroti-Kumi'!G18)</f>
        <v>0.14285714285714285</v>
      </c>
      <c r="H18" s="49">
        <f>AVERAGE('08.08 Soroti-Kumi'!H18,'11.08 Soroti-Kumi'!H18,'12.08 Soroti-Kumi'!H18,'13.08 Soroti-Kumi'!H18,'09.08 Soroti-Kumi-24h'!H18,'10.08 Soroti-Kumi-24h'!H18,'14.08 Soroti-Kumi'!H18)</f>
        <v>0.7142857142857143</v>
      </c>
      <c r="I18" s="49">
        <f>AVERAGE('08.08 Soroti-Kumi'!I18,'11.08 Soroti-Kumi'!I18,'12.08 Soroti-Kumi'!I18,'13.08 Soroti-Kumi'!I18,'09.08 Soroti-Kumi-24h'!I18,'10.08 Soroti-Kumi-24h'!I18,'14.08 Soroti-Kumi'!I18)</f>
        <v>0.8571428571428571</v>
      </c>
      <c r="J18" s="49">
        <f>AVERAGE('08.08 Soroti-Kumi'!J18,'11.08 Soroti-Kumi'!J18,'12.08 Soroti-Kumi'!J18,'13.08 Soroti-Kumi'!J18,'09.08 Soroti-Kumi-24h'!J18,'10.08 Soroti-Kumi-24h'!J18,'14.08 Soroti-Kumi'!J18)</f>
        <v>0.14285714285714285</v>
      </c>
      <c r="K18" s="49">
        <f>AVERAGE('08.08 Soroti-Kumi'!K18,'11.08 Soroti-Kumi'!K18,'12.08 Soroti-Kumi'!K18,'13.08 Soroti-Kumi'!K18,'09.08 Soroti-Kumi-24h'!K18,'10.08 Soroti-Kumi-24h'!K18,'14.08 Soroti-Kumi'!K18)</f>
        <v>0</v>
      </c>
      <c r="L18" s="49">
        <f>AVERAGE('08.08 Soroti-Kumi'!L18,'11.08 Soroti-Kumi'!L18,'12.08 Soroti-Kumi'!L18,'13.08 Soroti-Kumi'!L18,'09.08 Soroti-Kumi-24h'!L18,'10.08 Soroti-Kumi-24h'!L18,'14.08 Soroti-Kumi'!L18)</f>
        <v>1.4285714285714286</v>
      </c>
      <c r="M18" s="49">
        <f>AVERAGE('08.08 Soroti-Kumi'!M18,'11.08 Soroti-Kumi'!M18,'12.08 Soroti-Kumi'!M18,'13.08 Soroti-Kumi'!M18,'09.08 Soroti-Kumi-24h'!M18,'10.08 Soroti-Kumi-24h'!M18,'14.08 Soroti-Kumi'!M18)</f>
        <v>3.7142857142857144</v>
      </c>
      <c r="N18" s="49">
        <f>AVERAGE('08.08 Soroti-Kumi'!N18,'11.08 Soroti-Kumi'!N18,'12.08 Soroti-Kumi'!N18,'13.08 Soroti-Kumi'!N18,'09.08 Soroti-Kumi-24h'!N18,'10.08 Soroti-Kumi-24h'!N18,'14.08 Soroti-Kumi'!N18)</f>
        <v>0</v>
      </c>
      <c r="O18" s="15">
        <f t="shared" si="0"/>
        <v>9.1428571428571441</v>
      </c>
      <c r="P18" s="15">
        <f t="shared" si="1"/>
        <v>12.857142857142858</v>
      </c>
      <c r="R18" s="1" t="s">
        <v>14</v>
      </c>
      <c r="S18" s="17">
        <f t="shared" ref="S18:AF18" si="10">SUM(C42:C45)</f>
        <v>6</v>
      </c>
      <c r="T18" s="17">
        <f t="shared" si="10"/>
        <v>4.2857142857142865</v>
      </c>
      <c r="U18" s="17">
        <f t="shared" si="10"/>
        <v>11.142857142857142</v>
      </c>
      <c r="V18" s="17">
        <f t="shared" si="10"/>
        <v>8.8571428571428577</v>
      </c>
      <c r="W18" s="17">
        <f t="shared" si="10"/>
        <v>0.2857142857142857</v>
      </c>
      <c r="X18" s="17">
        <f t="shared" si="10"/>
        <v>0.42857142857142855</v>
      </c>
      <c r="Y18" s="17">
        <f t="shared" si="10"/>
        <v>6.8571428571428568</v>
      </c>
      <c r="Z18" s="17">
        <f t="shared" si="10"/>
        <v>1.7142857142857142</v>
      </c>
      <c r="AA18" s="17">
        <f t="shared" si="10"/>
        <v>0.2857142857142857</v>
      </c>
      <c r="AB18" s="17">
        <f t="shared" si="10"/>
        <v>7.4285714285714288</v>
      </c>
      <c r="AC18" s="17">
        <f t="shared" si="10"/>
        <v>17.142857142857142</v>
      </c>
      <c r="AD18" s="17">
        <f t="shared" si="10"/>
        <v>0</v>
      </c>
      <c r="AE18" s="31">
        <f t="shared" si="10"/>
        <v>47.285714285714292</v>
      </c>
      <c r="AF18" s="31">
        <f t="shared" si="10"/>
        <v>64.428571428571431</v>
      </c>
    </row>
    <row r="19" spans="2:32" ht="23.1" customHeight="1" x14ac:dyDescent="0.25">
      <c r="B19" s="23" t="s">
        <v>46</v>
      </c>
      <c r="C19" s="49">
        <f>AVERAGE('08.08 Soroti-Kumi'!C19,'11.08 Soroti-Kumi'!C19,'12.08 Soroti-Kumi'!C19,'13.08 Soroti-Kumi'!C19,'09.08 Soroti-Kumi-24h'!C19,'10.08 Soroti-Kumi-24h'!C19,'14.08 Soroti-Kumi'!C19)</f>
        <v>1.2857142857142858</v>
      </c>
      <c r="D19" s="49">
        <f>AVERAGE('08.08 Soroti-Kumi'!D19,'11.08 Soroti-Kumi'!D19,'12.08 Soroti-Kumi'!D19,'13.08 Soroti-Kumi'!D19,'09.08 Soroti-Kumi-24h'!D19,'10.08 Soroti-Kumi-24h'!D19,'14.08 Soroti-Kumi'!D19)</f>
        <v>0.42857142857142855</v>
      </c>
      <c r="E19" s="49">
        <f>AVERAGE('08.08 Soroti-Kumi'!E19,'11.08 Soroti-Kumi'!E19,'12.08 Soroti-Kumi'!E19,'13.08 Soroti-Kumi'!E19,'09.08 Soroti-Kumi-24h'!E19,'10.08 Soroti-Kumi-24h'!E19,'14.08 Soroti-Kumi'!E19)</f>
        <v>2.2857142857142856</v>
      </c>
      <c r="F19" s="49">
        <f>AVERAGE('08.08 Soroti-Kumi'!F19,'11.08 Soroti-Kumi'!F19,'12.08 Soroti-Kumi'!F19,'13.08 Soroti-Kumi'!F19,'09.08 Soroti-Kumi-24h'!F19,'10.08 Soroti-Kumi-24h'!F19,'14.08 Soroti-Kumi'!F19)</f>
        <v>1.7142857142857142</v>
      </c>
      <c r="G19" s="49">
        <f>AVERAGE('08.08 Soroti-Kumi'!G19,'11.08 Soroti-Kumi'!G19,'12.08 Soroti-Kumi'!G19,'13.08 Soroti-Kumi'!G19,'09.08 Soroti-Kumi-24h'!G19,'10.08 Soroti-Kumi-24h'!G19,'14.08 Soroti-Kumi'!G19)</f>
        <v>0</v>
      </c>
      <c r="H19" s="49">
        <f>AVERAGE('08.08 Soroti-Kumi'!H19,'11.08 Soroti-Kumi'!H19,'12.08 Soroti-Kumi'!H19,'13.08 Soroti-Kumi'!H19,'09.08 Soroti-Kumi-24h'!H19,'10.08 Soroti-Kumi-24h'!H19,'14.08 Soroti-Kumi'!H19)</f>
        <v>0.2857142857142857</v>
      </c>
      <c r="I19" s="49">
        <f>AVERAGE('08.08 Soroti-Kumi'!I19,'11.08 Soroti-Kumi'!I19,'12.08 Soroti-Kumi'!I19,'13.08 Soroti-Kumi'!I19,'09.08 Soroti-Kumi-24h'!I19,'10.08 Soroti-Kumi-24h'!I19,'14.08 Soroti-Kumi'!I19)</f>
        <v>1.2857142857142858</v>
      </c>
      <c r="J19" s="49">
        <f>AVERAGE('08.08 Soroti-Kumi'!J19,'11.08 Soroti-Kumi'!J19,'12.08 Soroti-Kumi'!J19,'13.08 Soroti-Kumi'!J19,'09.08 Soroti-Kumi-24h'!J19,'10.08 Soroti-Kumi-24h'!J19,'14.08 Soroti-Kumi'!J19)</f>
        <v>0.14285714285714285</v>
      </c>
      <c r="K19" s="49">
        <f>AVERAGE('08.08 Soroti-Kumi'!K19,'11.08 Soroti-Kumi'!K19,'12.08 Soroti-Kumi'!K19,'13.08 Soroti-Kumi'!K19,'09.08 Soroti-Kumi-24h'!K19,'10.08 Soroti-Kumi-24h'!K19,'14.08 Soroti-Kumi'!K19)</f>
        <v>0</v>
      </c>
      <c r="L19" s="49">
        <f>AVERAGE('08.08 Soroti-Kumi'!L19,'11.08 Soroti-Kumi'!L19,'12.08 Soroti-Kumi'!L19,'13.08 Soroti-Kumi'!L19,'09.08 Soroti-Kumi-24h'!L19,'10.08 Soroti-Kumi-24h'!L19,'14.08 Soroti-Kumi'!L19)</f>
        <v>0.7142857142857143</v>
      </c>
      <c r="M19" s="49">
        <f>AVERAGE('08.08 Soroti-Kumi'!M19,'11.08 Soroti-Kumi'!M19,'12.08 Soroti-Kumi'!M19,'13.08 Soroti-Kumi'!M19,'09.08 Soroti-Kumi-24h'!M19,'10.08 Soroti-Kumi-24h'!M19,'14.08 Soroti-Kumi'!M19)</f>
        <v>5.2857142857142856</v>
      </c>
      <c r="N19" s="49">
        <f>AVERAGE('08.08 Soroti-Kumi'!N19,'11.08 Soroti-Kumi'!N19,'12.08 Soroti-Kumi'!N19,'13.08 Soroti-Kumi'!N19,'09.08 Soroti-Kumi-24h'!N19,'10.08 Soroti-Kumi-24h'!N19,'14.08 Soroti-Kumi'!N19)</f>
        <v>0</v>
      </c>
      <c r="O19" s="15">
        <f t="shared" si="0"/>
        <v>8.1428571428571423</v>
      </c>
      <c r="P19" s="15">
        <f t="shared" si="1"/>
        <v>13.428571428571427</v>
      </c>
      <c r="R19" s="1" t="s">
        <v>15</v>
      </c>
      <c r="S19" s="17">
        <f t="shared" ref="S19:AF19" si="11">SUM(C46:C49)</f>
        <v>6.4285714285714288</v>
      </c>
      <c r="T19" s="17">
        <f t="shared" si="11"/>
        <v>4.5714285714285712</v>
      </c>
      <c r="U19" s="17">
        <f t="shared" si="11"/>
        <v>11.285714285714285</v>
      </c>
      <c r="V19" s="17">
        <f t="shared" si="11"/>
        <v>12.428571428571429</v>
      </c>
      <c r="W19" s="17">
        <f t="shared" si="11"/>
        <v>0.5714285714285714</v>
      </c>
      <c r="X19" s="17">
        <f t="shared" si="11"/>
        <v>1.1428571428571428</v>
      </c>
      <c r="Y19" s="17">
        <f t="shared" si="11"/>
        <v>7.5714285714285721</v>
      </c>
      <c r="Z19" s="17">
        <f t="shared" si="11"/>
        <v>1.5714285714285714</v>
      </c>
      <c r="AA19" s="17">
        <f t="shared" si="11"/>
        <v>0.14285714285714285</v>
      </c>
      <c r="AB19" s="17">
        <f t="shared" si="11"/>
        <v>7</v>
      </c>
      <c r="AC19" s="17">
        <f t="shared" si="11"/>
        <v>14.571428571428573</v>
      </c>
      <c r="AD19" s="17">
        <f t="shared" si="11"/>
        <v>0</v>
      </c>
      <c r="AE19" s="31">
        <f t="shared" si="11"/>
        <v>52.714285714285715</v>
      </c>
      <c r="AF19" s="31">
        <f t="shared" si="11"/>
        <v>67.285714285714292</v>
      </c>
    </row>
    <row r="20" spans="2:32" ht="23.1" customHeight="1" x14ac:dyDescent="0.25">
      <c r="B20" s="23" t="s">
        <v>47</v>
      </c>
      <c r="C20" s="49">
        <f>AVERAGE('08.08 Soroti-Kumi'!C20,'11.08 Soroti-Kumi'!C20,'12.08 Soroti-Kumi'!C20,'13.08 Soroti-Kumi'!C20,'09.08 Soroti-Kumi-24h'!C20,'10.08 Soroti-Kumi-24h'!C20,'14.08 Soroti-Kumi'!C20)</f>
        <v>1.1428571428571428</v>
      </c>
      <c r="D20" s="49">
        <f>AVERAGE('08.08 Soroti-Kumi'!D20,'11.08 Soroti-Kumi'!D20,'12.08 Soroti-Kumi'!D20,'13.08 Soroti-Kumi'!D20,'09.08 Soroti-Kumi-24h'!D20,'10.08 Soroti-Kumi-24h'!D20,'14.08 Soroti-Kumi'!D20)</f>
        <v>0.7142857142857143</v>
      </c>
      <c r="E20" s="49">
        <f>AVERAGE('08.08 Soroti-Kumi'!E20,'11.08 Soroti-Kumi'!E20,'12.08 Soroti-Kumi'!E20,'13.08 Soroti-Kumi'!E20,'09.08 Soroti-Kumi-24h'!E20,'10.08 Soroti-Kumi-24h'!E20,'14.08 Soroti-Kumi'!E20)</f>
        <v>1.7142857142857142</v>
      </c>
      <c r="F20" s="49">
        <f>AVERAGE('08.08 Soroti-Kumi'!F20,'11.08 Soroti-Kumi'!F20,'12.08 Soroti-Kumi'!F20,'13.08 Soroti-Kumi'!F20,'09.08 Soroti-Kumi-24h'!F20,'10.08 Soroti-Kumi-24h'!F20,'14.08 Soroti-Kumi'!F20)</f>
        <v>1.5714285714285714</v>
      </c>
      <c r="G20" s="49">
        <f>AVERAGE('08.08 Soroti-Kumi'!G20,'11.08 Soroti-Kumi'!G20,'12.08 Soroti-Kumi'!G20,'13.08 Soroti-Kumi'!G20,'09.08 Soroti-Kumi-24h'!G20,'10.08 Soroti-Kumi-24h'!G20,'14.08 Soroti-Kumi'!G20)</f>
        <v>0</v>
      </c>
      <c r="H20" s="49">
        <f>AVERAGE('08.08 Soroti-Kumi'!H20,'11.08 Soroti-Kumi'!H20,'12.08 Soroti-Kumi'!H20,'13.08 Soroti-Kumi'!H20,'09.08 Soroti-Kumi-24h'!H20,'10.08 Soroti-Kumi-24h'!H20,'14.08 Soroti-Kumi'!H20)</f>
        <v>0.5714285714285714</v>
      </c>
      <c r="I20" s="49">
        <f>AVERAGE('08.08 Soroti-Kumi'!I20,'11.08 Soroti-Kumi'!I20,'12.08 Soroti-Kumi'!I20,'13.08 Soroti-Kumi'!I20,'09.08 Soroti-Kumi-24h'!I20,'10.08 Soroti-Kumi-24h'!I20,'14.08 Soroti-Kumi'!I20)</f>
        <v>0.8571428571428571</v>
      </c>
      <c r="J20" s="49">
        <f>AVERAGE('08.08 Soroti-Kumi'!J20,'11.08 Soroti-Kumi'!J20,'12.08 Soroti-Kumi'!J20,'13.08 Soroti-Kumi'!J20,'09.08 Soroti-Kumi-24h'!J20,'10.08 Soroti-Kumi-24h'!J20,'14.08 Soroti-Kumi'!J20)</f>
        <v>0</v>
      </c>
      <c r="K20" s="49">
        <f>AVERAGE('08.08 Soroti-Kumi'!K20,'11.08 Soroti-Kumi'!K20,'12.08 Soroti-Kumi'!K20,'13.08 Soroti-Kumi'!K20,'09.08 Soroti-Kumi-24h'!K20,'10.08 Soroti-Kumi-24h'!K20,'14.08 Soroti-Kumi'!K20)</f>
        <v>0.14285714285714285</v>
      </c>
      <c r="L20" s="49">
        <f>AVERAGE('08.08 Soroti-Kumi'!L20,'11.08 Soroti-Kumi'!L20,'12.08 Soroti-Kumi'!L20,'13.08 Soroti-Kumi'!L20,'09.08 Soroti-Kumi-24h'!L20,'10.08 Soroti-Kumi-24h'!L20,'14.08 Soroti-Kumi'!L20)</f>
        <v>0.8571428571428571</v>
      </c>
      <c r="M20" s="49">
        <f>AVERAGE('08.08 Soroti-Kumi'!M20,'11.08 Soroti-Kumi'!M20,'12.08 Soroti-Kumi'!M20,'13.08 Soroti-Kumi'!M20,'09.08 Soroti-Kumi-24h'!M20,'10.08 Soroti-Kumi-24h'!M20,'14.08 Soroti-Kumi'!M20)</f>
        <v>4.5714285714285712</v>
      </c>
      <c r="N20" s="49">
        <f>AVERAGE('08.08 Soroti-Kumi'!N20,'11.08 Soroti-Kumi'!N20,'12.08 Soroti-Kumi'!N20,'13.08 Soroti-Kumi'!N20,'09.08 Soroti-Kumi-24h'!N20,'10.08 Soroti-Kumi-24h'!N20,'14.08 Soroti-Kumi'!N20)</f>
        <v>0</v>
      </c>
      <c r="O20" s="15">
        <f t="shared" si="0"/>
        <v>7.5714285714285703</v>
      </c>
      <c r="P20" s="15">
        <f t="shared" si="1"/>
        <v>12.142857142857142</v>
      </c>
      <c r="R20" s="1" t="s">
        <v>16</v>
      </c>
      <c r="S20" s="17">
        <f t="shared" ref="S20:AF20" si="12">SUM(C50:C53)</f>
        <v>5.5714285714285712</v>
      </c>
      <c r="T20" s="17">
        <f t="shared" si="12"/>
        <v>4.5714285714285712</v>
      </c>
      <c r="U20" s="17">
        <f t="shared" si="12"/>
        <v>10.857142857142858</v>
      </c>
      <c r="V20" s="17">
        <f t="shared" si="12"/>
        <v>11.285714285714286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2.2857142857142856</v>
      </c>
      <c r="AA20" s="17">
        <f t="shared" si="12"/>
        <v>0.85714285714285698</v>
      </c>
      <c r="AB20" s="17">
        <f t="shared" si="12"/>
        <v>9.8571428571428559</v>
      </c>
      <c r="AC20" s="17">
        <f t="shared" si="12"/>
        <v>18.571428571428569</v>
      </c>
      <c r="AD20" s="17">
        <f t="shared" si="12"/>
        <v>0.14285714285714285</v>
      </c>
      <c r="AE20" s="31">
        <f t="shared" si="12"/>
        <v>54.428571428571431</v>
      </c>
      <c r="AF20" s="31">
        <f t="shared" si="12"/>
        <v>72.999999999999986</v>
      </c>
    </row>
    <row r="21" spans="2:32" ht="23.1" customHeight="1" x14ac:dyDescent="0.25">
      <c r="B21" s="23" t="s">
        <v>48</v>
      </c>
      <c r="C21" s="49">
        <f>AVERAGE('08.08 Soroti-Kumi'!C21,'11.08 Soroti-Kumi'!C21,'12.08 Soroti-Kumi'!C21,'13.08 Soroti-Kumi'!C21,'09.08 Soroti-Kumi-24h'!C21,'10.08 Soroti-Kumi-24h'!C21,'14.08 Soroti-Kumi'!C21)</f>
        <v>1</v>
      </c>
      <c r="D21" s="49">
        <f>AVERAGE('08.08 Soroti-Kumi'!D21,'11.08 Soroti-Kumi'!D21,'12.08 Soroti-Kumi'!D21,'13.08 Soroti-Kumi'!D21,'09.08 Soroti-Kumi-24h'!D21,'10.08 Soroti-Kumi-24h'!D21,'14.08 Soroti-Kumi'!D21)</f>
        <v>0.8571428571428571</v>
      </c>
      <c r="E21" s="49">
        <f>AVERAGE('08.08 Soroti-Kumi'!E21,'11.08 Soroti-Kumi'!E21,'12.08 Soroti-Kumi'!E21,'13.08 Soroti-Kumi'!E21,'09.08 Soroti-Kumi-24h'!E21,'10.08 Soroti-Kumi-24h'!E21,'14.08 Soroti-Kumi'!E21)</f>
        <v>2</v>
      </c>
      <c r="F21" s="49">
        <f>AVERAGE('08.08 Soroti-Kumi'!F21,'11.08 Soroti-Kumi'!F21,'12.08 Soroti-Kumi'!F21,'13.08 Soroti-Kumi'!F21,'09.08 Soroti-Kumi-24h'!F21,'10.08 Soroti-Kumi-24h'!F21,'14.08 Soroti-Kumi'!F21)</f>
        <v>1.1428571428571428</v>
      </c>
      <c r="G21" s="49">
        <f>AVERAGE('08.08 Soroti-Kumi'!G21,'11.08 Soroti-Kumi'!G21,'12.08 Soroti-Kumi'!G21,'13.08 Soroti-Kumi'!G21,'09.08 Soroti-Kumi-24h'!G21,'10.08 Soroti-Kumi-24h'!G21,'14.08 Soroti-Kumi'!G21)</f>
        <v>0</v>
      </c>
      <c r="H21" s="49">
        <f>AVERAGE('08.08 Soroti-Kumi'!H21,'11.08 Soroti-Kumi'!H21,'12.08 Soroti-Kumi'!H21,'13.08 Soroti-Kumi'!H21,'09.08 Soroti-Kumi-24h'!H21,'10.08 Soroti-Kumi-24h'!H21,'14.08 Soroti-Kumi'!H21)</f>
        <v>0.7142857142857143</v>
      </c>
      <c r="I21" s="49">
        <f>AVERAGE('08.08 Soroti-Kumi'!I21,'11.08 Soroti-Kumi'!I21,'12.08 Soroti-Kumi'!I21,'13.08 Soroti-Kumi'!I21,'09.08 Soroti-Kumi-24h'!I21,'10.08 Soroti-Kumi-24h'!I21,'14.08 Soroti-Kumi'!I21)</f>
        <v>0.2857142857142857</v>
      </c>
      <c r="J21" s="49">
        <f>AVERAGE('08.08 Soroti-Kumi'!J21,'11.08 Soroti-Kumi'!J21,'12.08 Soroti-Kumi'!J21,'13.08 Soroti-Kumi'!J21,'09.08 Soroti-Kumi-24h'!J21,'10.08 Soroti-Kumi-24h'!J21,'14.08 Soroti-Kumi'!J21)</f>
        <v>0.42857142857142855</v>
      </c>
      <c r="K21" s="49">
        <f>AVERAGE('08.08 Soroti-Kumi'!K21,'11.08 Soroti-Kumi'!K21,'12.08 Soroti-Kumi'!K21,'13.08 Soroti-Kumi'!K21,'09.08 Soroti-Kumi-24h'!K21,'10.08 Soroti-Kumi-24h'!K21,'14.08 Soroti-Kumi'!K21)</f>
        <v>0.14285714285714285</v>
      </c>
      <c r="L21" s="49">
        <f>AVERAGE('08.08 Soroti-Kumi'!L21,'11.08 Soroti-Kumi'!L21,'12.08 Soroti-Kumi'!L21,'13.08 Soroti-Kumi'!L21,'09.08 Soroti-Kumi-24h'!L21,'10.08 Soroti-Kumi-24h'!L21,'14.08 Soroti-Kumi'!L21)</f>
        <v>2.2857142857142856</v>
      </c>
      <c r="M21" s="49">
        <f>AVERAGE('08.08 Soroti-Kumi'!M21,'11.08 Soroti-Kumi'!M21,'12.08 Soroti-Kumi'!M21,'13.08 Soroti-Kumi'!M21,'09.08 Soroti-Kumi-24h'!M21,'10.08 Soroti-Kumi-24h'!M21,'14.08 Soroti-Kumi'!M21)</f>
        <v>5.1428571428571432</v>
      </c>
      <c r="N21" s="49">
        <f>AVERAGE('08.08 Soroti-Kumi'!N21,'11.08 Soroti-Kumi'!N21,'12.08 Soroti-Kumi'!N21,'13.08 Soroti-Kumi'!N21,'09.08 Soroti-Kumi-24h'!N21,'10.08 Soroti-Kumi-24h'!N21,'14.08 Soroti-Kumi'!N21)</f>
        <v>0</v>
      </c>
      <c r="O21" s="15">
        <f t="shared" si="0"/>
        <v>8.8571428571428577</v>
      </c>
      <c r="P21" s="15">
        <f t="shared" si="1"/>
        <v>14</v>
      </c>
      <c r="R21" s="36" t="s">
        <v>20</v>
      </c>
      <c r="S21" s="34">
        <f t="shared" ref="S21:AF21" si="13">SUM(C54:C57)</f>
        <v>6.4285714285714288</v>
      </c>
      <c r="T21" s="17">
        <f t="shared" si="13"/>
        <v>4.5714285714285712</v>
      </c>
      <c r="U21" s="17">
        <f t="shared" si="13"/>
        <v>9.8571428571428577</v>
      </c>
      <c r="V21" s="17">
        <f t="shared" si="13"/>
        <v>8.7142857142857153</v>
      </c>
      <c r="W21" s="17">
        <f t="shared" si="13"/>
        <v>0</v>
      </c>
      <c r="X21" s="17">
        <f t="shared" si="13"/>
        <v>0.2857142857142857</v>
      </c>
      <c r="Y21" s="17">
        <f t="shared" si="13"/>
        <v>8.428571428571427</v>
      </c>
      <c r="Z21" s="17">
        <f t="shared" si="13"/>
        <v>2.2857142857142856</v>
      </c>
      <c r="AA21" s="17">
        <f t="shared" si="13"/>
        <v>1</v>
      </c>
      <c r="AB21" s="17">
        <f t="shared" si="13"/>
        <v>11.714285714285712</v>
      </c>
      <c r="AC21" s="17">
        <f t="shared" si="13"/>
        <v>17.857142857142858</v>
      </c>
      <c r="AD21" s="17">
        <f t="shared" si="13"/>
        <v>0</v>
      </c>
      <c r="AE21" s="31">
        <f t="shared" si="13"/>
        <v>53.285714285714285</v>
      </c>
      <c r="AF21" s="31">
        <f t="shared" si="13"/>
        <v>71.142857142857139</v>
      </c>
    </row>
    <row r="22" spans="2:32" ht="23.1" customHeight="1" x14ac:dyDescent="0.25">
      <c r="B22" s="23" t="s">
        <v>49</v>
      </c>
      <c r="C22" s="49">
        <f>AVERAGE('08.08 Soroti-Kumi'!C22,'11.08 Soroti-Kumi'!C22,'12.08 Soroti-Kumi'!C22,'13.08 Soroti-Kumi'!C22,'09.08 Soroti-Kumi-24h'!C22,'10.08 Soroti-Kumi-24h'!C22,'14.08 Soroti-Kumi'!C22)</f>
        <v>1.1428571428571428</v>
      </c>
      <c r="D22" s="49">
        <f>AVERAGE('08.08 Soroti-Kumi'!D22,'11.08 Soroti-Kumi'!D22,'12.08 Soroti-Kumi'!D22,'13.08 Soroti-Kumi'!D22,'09.08 Soroti-Kumi-24h'!D22,'10.08 Soroti-Kumi-24h'!D22,'14.08 Soroti-Kumi'!D22)</f>
        <v>1.5714285714285714</v>
      </c>
      <c r="E22" s="49">
        <f>AVERAGE('08.08 Soroti-Kumi'!E22,'11.08 Soroti-Kumi'!E22,'12.08 Soroti-Kumi'!E22,'13.08 Soroti-Kumi'!E22,'09.08 Soroti-Kumi-24h'!E22,'10.08 Soroti-Kumi-24h'!E22,'14.08 Soroti-Kumi'!E22)</f>
        <v>3.2857142857142856</v>
      </c>
      <c r="F22" s="49">
        <f>AVERAGE('08.08 Soroti-Kumi'!F22,'11.08 Soroti-Kumi'!F22,'12.08 Soroti-Kumi'!F22,'13.08 Soroti-Kumi'!F22,'09.08 Soroti-Kumi-24h'!F22,'10.08 Soroti-Kumi-24h'!F22,'14.08 Soroti-Kumi'!F22)</f>
        <v>3.4285714285714284</v>
      </c>
      <c r="G22" s="49">
        <f>AVERAGE('08.08 Soroti-Kumi'!G22,'11.08 Soroti-Kumi'!G22,'12.08 Soroti-Kumi'!G22,'13.08 Soroti-Kumi'!G22,'09.08 Soroti-Kumi-24h'!G22,'10.08 Soroti-Kumi-24h'!G22,'14.08 Soroti-Kumi'!G22)</f>
        <v>0</v>
      </c>
      <c r="H22" s="49">
        <f>AVERAGE('08.08 Soroti-Kumi'!H22,'11.08 Soroti-Kumi'!H22,'12.08 Soroti-Kumi'!H22,'13.08 Soroti-Kumi'!H22,'09.08 Soroti-Kumi-24h'!H22,'10.08 Soroti-Kumi-24h'!H22,'14.08 Soroti-Kumi'!H22)</f>
        <v>0.5714285714285714</v>
      </c>
      <c r="I22" s="49">
        <f>AVERAGE('08.08 Soroti-Kumi'!I22,'11.08 Soroti-Kumi'!I22,'12.08 Soroti-Kumi'!I22,'13.08 Soroti-Kumi'!I22,'09.08 Soroti-Kumi-24h'!I22,'10.08 Soroti-Kumi-24h'!I22,'14.08 Soroti-Kumi'!I22)</f>
        <v>1.2857142857142858</v>
      </c>
      <c r="J22" s="49">
        <f>AVERAGE('08.08 Soroti-Kumi'!J22,'11.08 Soroti-Kumi'!J22,'12.08 Soroti-Kumi'!J22,'13.08 Soroti-Kumi'!J22,'09.08 Soroti-Kumi-24h'!J22,'10.08 Soroti-Kumi-24h'!J22,'14.08 Soroti-Kumi'!J22)</f>
        <v>0</v>
      </c>
      <c r="K22" s="49">
        <f>AVERAGE('08.08 Soroti-Kumi'!K22,'11.08 Soroti-Kumi'!K22,'12.08 Soroti-Kumi'!K22,'13.08 Soroti-Kumi'!K22,'09.08 Soroti-Kumi-24h'!K22,'10.08 Soroti-Kumi-24h'!K22,'14.08 Soroti-Kumi'!K22)</f>
        <v>0</v>
      </c>
      <c r="L22" s="49">
        <f>AVERAGE('08.08 Soroti-Kumi'!L22,'11.08 Soroti-Kumi'!L22,'12.08 Soroti-Kumi'!L22,'13.08 Soroti-Kumi'!L22,'09.08 Soroti-Kumi-24h'!L22,'10.08 Soroti-Kumi-24h'!L22,'14.08 Soroti-Kumi'!L22)</f>
        <v>2</v>
      </c>
      <c r="M22" s="49">
        <f>AVERAGE('08.08 Soroti-Kumi'!M22,'11.08 Soroti-Kumi'!M22,'12.08 Soroti-Kumi'!M22,'13.08 Soroti-Kumi'!M22,'09.08 Soroti-Kumi-24h'!M22,'10.08 Soroti-Kumi-24h'!M22,'14.08 Soroti-Kumi'!M22)</f>
        <v>4.5714285714285712</v>
      </c>
      <c r="N22" s="49">
        <f>AVERAGE('08.08 Soroti-Kumi'!N22,'11.08 Soroti-Kumi'!N22,'12.08 Soroti-Kumi'!N22,'13.08 Soroti-Kumi'!N22,'09.08 Soroti-Kumi-24h'!N22,'10.08 Soroti-Kumi-24h'!N22,'14.08 Soroti-Kumi'!N22)</f>
        <v>0</v>
      </c>
      <c r="O22" s="15">
        <f t="shared" si="0"/>
        <v>13.285714285714286</v>
      </c>
      <c r="P22" s="15">
        <f t="shared" si="1"/>
        <v>17.857142857142858</v>
      </c>
      <c r="R22" s="1" t="s">
        <v>146</v>
      </c>
      <c r="S22" s="34">
        <f>SUM(C58:C61)</f>
        <v>7.5</v>
      </c>
      <c r="T22" s="34">
        <f t="shared" ref="T22:AF22" si="14">SUM(D58:D61)</f>
        <v>4</v>
      </c>
      <c r="U22" s="34">
        <f t="shared" si="14"/>
        <v>8.5</v>
      </c>
      <c r="V22" s="34">
        <f t="shared" si="14"/>
        <v>7.5</v>
      </c>
      <c r="W22" s="34">
        <f t="shared" si="14"/>
        <v>0.5</v>
      </c>
      <c r="X22" s="34">
        <f t="shared" si="14"/>
        <v>0.5</v>
      </c>
      <c r="Y22" s="34">
        <f t="shared" si="14"/>
        <v>4.5</v>
      </c>
      <c r="Z22" s="34">
        <f t="shared" si="14"/>
        <v>3.5</v>
      </c>
      <c r="AA22" s="34">
        <f t="shared" si="14"/>
        <v>0.5</v>
      </c>
      <c r="AB22" s="34">
        <f t="shared" si="14"/>
        <v>8.5</v>
      </c>
      <c r="AC22" s="34">
        <f t="shared" si="14"/>
        <v>19</v>
      </c>
      <c r="AD22" s="34">
        <f t="shared" si="14"/>
        <v>0</v>
      </c>
      <c r="AE22" s="31">
        <f t="shared" si="14"/>
        <v>45.5</v>
      </c>
      <c r="AF22" s="31">
        <f t="shared" si="14"/>
        <v>64.5</v>
      </c>
    </row>
    <row r="23" spans="2:32" ht="23.1" customHeight="1" x14ac:dyDescent="0.25">
      <c r="B23" s="23" t="s">
        <v>50</v>
      </c>
      <c r="C23" s="49">
        <f>AVERAGE('08.08 Soroti-Kumi'!C23,'11.08 Soroti-Kumi'!C23,'12.08 Soroti-Kumi'!C23,'13.08 Soroti-Kumi'!C23,'09.08 Soroti-Kumi-24h'!C23,'10.08 Soroti-Kumi-24h'!C23,'14.08 Soroti-Kumi'!C23)</f>
        <v>0.5714285714285714</v>
      </c>
      <c r="D23" s="49">
        <f>AVERAGE('08.08 Soroti-Kumi'!D23,'11.08 Soroti-Kumi'!D23,'12.08 Soroti-Kumi'!D23,'13.08 Soroti-Kumi'!D23,'09.08 Soroti-Kumi-24h'!D23,'10.08 Soroti-Kumi-24h'!D23,'14.08 Soroti-Kumi'!D23)</f>
        <v>1.1428571428571428</v>
      </c>
      <c r="E23" s="49">
        <f>AVERAGE('08.08 Soroti-Kumi'!E23,'11.08 Soroti-Kumi'!E23,'12.08 Soroti-Kumi'!E23,'13.08 Soroti-Kumi'!E23,'09.08 Soroti-Kumi-24h'!E23,'10.08 Soroti-Kumi-24h'!E23,'14.08 Soroti-Kumi'!E23)</f>
        <v>3.1428571428571428</v>
      </c>
      <c r="F23" s="49">
        <f>AVERAGE('08.08 Soroti-Kumi'!F23,'11.08 Soroti-Kumi'!F23,'12.08 Soroti-Kumi'!F23,'13.08 Soroti-Kumi'!F23,'09.08 Soroti-Kumi-24h'!F23,'10.08 Soroti-Kumi-24h'!F23,'14.08 Soroti-Kumi'!F23)</f>
        <v>1.1428571428571428</v>
      </c>
      <c r="G23" s="49">
        <f>AVERAGE('08.08 Soroti-Kumi'!G23,'11.08 Soroti-Kumi'!G23,'12.08 Soroti-Kumi'!G23,'13.08 Soroti-Kumi'!G23,'09.08 Soroti-Kumi-24h'!G23,'10.08 Soroti-Kumi-24h'!G23,'14.08 Soroti-Kumi'!G23)</f>
        <v>0</v>
      </c>
      <c r="H23" s="49">
        <f>AVERAGE('08.08 Soroti-Kumi'!H23,'11.08 Soroti-Kumi'!H23,'12.08 Soroti-Kumi'!H23,'13.08 Soroti-Kumi'!H23,'09.08 Soroti-Kumi-24h'!H23,'10.08 Soroti-Kumi-24h'!H23,'14.08 Soroti-Kumi'!H23)</f>
        <v>0.7142857142857143</v>
      </c>
      <c r="I23" s="49">
        <f>AVERAGE('08.08 Soroti-Kumi'!I23,'11.08 Soroti-Kumi'!I23,'12.08 Soroti-Kumi'!I23,'13.08 Soroti-Kumi'!I23,'09.08 Soroti-Kumi-24h'!I23,'10.08 Soroti-Kumi-24h'!I23,'14.08 Soroti-Kumi'!I23)</f>
        <v>0.42857142857142855</v>
      </c>
      <c r="J23" s="49">
        <f>AVERAGE('08.08 Soroti-Kumi'!J23,'11.08 Soroti-Kumi'!J23,'12.08 Soroti-Kumi'!J23,'13.08 Soroti-Kumi'!J23,'09.08 Soroti-Kumi-24h'!J23,'10.08 Soroti-Kumi-24h'!J23,'14.08 Soroti-Kumi'!J23)</f>
        <v>0</v>
      </c>
      <c r="K23" s="49">
        <f>AVERAGE('08.08 Soroti-Kumi'!K23,'11.08 Soroti-Kumi'!K23,'12.08 Soroti-Kumi'!K23,'13.08 Soroti-Kumi'!K23,'09.08 Soroti-Kumi-24h'!K23,'10.08 Soroti-Kumi-24h'!K23,'14.08 Soroti-Kumi'!K23)</f>
        <v>0</v>
      </c>
      <c r="L23" s="49">
        <f>AVERAGE('08.08 Soroti-Kumi'!L23,'11.08 Soroti-Kumi'!L23,'12.08 Soroti-Kumi'!L23,'13.08 Soroti-Kumi'!L23,'09.08 Soroti-Kumi-24h'!L23,'10.08 Soroti-Kumi-24h'!L23,'14.08 Soroti-Kumi'!L23)</f>
        <v>0.5714285714285714</v>
      </c>
      <c r="M23" s="49">
        <f>AVERAGE('08.08 Soroti-Kumi'!M23,'11.08 Soroti-Kumi'!M23,'12.08 Soroti-Kumi'!M23,'13.08 Soroti-Kumi'!M23,'09.08 Soroti-Kumi-24h'!M23,'10.08 Soroti-Kumi-24h'!M23,'14.08 Soroti-Kumi'!M23)</f>
        <v>4.4285714285714288</v>
      </c>
      <c r="N23" s="49">
        <f>AVERAGE('08.08 Soroti-Kumi'!N23,'11.08 Soroti-Kumi'!N23,'12.08 Soroti-Kumi'!N23,'13.08 Soroti-Kumi'!N23,'09.08 Soroti-Kumi-24h'!N23,'10.08 Soroti-Kumi-24h'!N23,'14.08 Soroti-Kumi'!N23)</f>
        <v>0</v>
      </c>
      <c r="O23" s="15">
        <f t="shared" si="0"/>
        <v>7.7142857142857144</v>
      </c>
      <c r="P23" s="15">
        <f t="shared" si="1"/>
        <v>12.142857142857142</v>
      </c>
      <c r="R23" s="1" t="s">
        <v>147</v>
      </c>
      <c r="S23" s="34">
        <f>SUM(C62:C65)</f>
        <v>2.5</v>
      </c>
      <c r="T23" s="34">
        <f t="shared" ref="T23:AF23" si="15">SUM(D62:D65)</f>
        <v>4</v>
      </c>
      <c r="U23" s="34">
        <f t="shared" si="15"/>
        <v>8</v>
      </c>
      <c r="V23" s="34">
        <f t="shared" si="15"/>
        <v>3.5</v>
      </c>
      <c r="W23" s="34">
        <f t="shared" si="15"/>
        <v>0</v>
      </c>
      <c r="X23" s="34">
        <f t="shared" si="15"/>
        <v>0.5</v>
      </c>
      <c r="Y23" s="34">
        <f t="shared" si="15"/>
        <v>4.5</v>
      </c>
      <c r="Z23" s="34">
        <f t="shared" si="15"/>
        <v>4</v>
      </c>
      <c r="AA23" s="34">
        <f t="shared" si="15"/>
        <v>0.5</v>
      </c>
      <c r="AB23" s="34">
        <f t="shared" si="15"/>
        <v>7.5</v>
      </c>
      <c r="AC23" s="34">
        <f t="shared" si="15"/>
        <v>13</v>
      </c>
      <c r="AD23" s="34">
        <f t="shared" si="15"/>
        <v>0</v>
      </c>
      <c r="AE23" s="31">
        <f t="shared" si="15"/>
        <v>35</v>
      </c>
      <c r="AF23" s="31">
        <f t="shared" si="15"/>
        <v>48</v>
      </c>
    </row>
    <row r="24" spans="2:32" ht="23.1" customHeight="1" x14ac:dyDescent="0.25">
      <c r="B24" s="23" t="s">
        <v>51</v>
      </c>
      <c r="C24" s="49">
        <f>AVERAGE('08.08 Soroti-Kumi'!C24,'11.08 Soroti-Kumi'!C24,'12.08 Soroti-Kumi'!C24,'13.08 Soroti-Kumi'!C24,'09.08 Soroti-Kumi-24h'!C24,'10.08 Soroti-Kumi-24h'!C24,'14.08 Soroti-Kumi'!C24)</f>
        <v>1.2857142857142858</v>
      </c>
      <c r="D24" s="49">
        <f>AVERAGE('08.08 Soroti-Kumi'!D24,'11.08 Soroti-Kumi'!D24,'12.08 Soroti-Kumi'!D24,'13.08 Soroti-Kumi'!D24,'09.08 Soroti-Kumi-24h'!D24,'10.08 Soroti-Kumi-24h'!D24,'14.08 Soroti-Kumi'!D24)</f>
        <v>1</v>
      </c>
      <c r="E24" s="49">
        <f>AVERAGE('08.08 Soroti-Kumi'!E24,'11.08 Soroti-Kumi'!E24,'12.08 Soroti-Kumi'!E24,'13.08 Soroti-Kumi'!E24,'09.08 Soroti-Kumi-24h'!E24,'10.08 Soroti-Kumi-24h'!E24,'14.08 Soroti-Kumi'!E24)</f>
        <v>2.4285714285714284</v>
      </c>
      <c r="F24" s="49">
        <f>AVERAGE('08.08 Soroti-Kumi'!F24,'11.08 Soroti-Kumi'!F24,'12.08 Soroti-Kumi'!F24,'13.08 Soroti-Kumi'!F24,'09.08 Soroti-Kumi-24h'!F24,'10.08 Soroti-Kumi-24h'!F24,'14.08 Soroti-Kumi'!F24)</f>
        <v>2.1428571428571428</v>
      </c>
      <c r="G24" s="49">
        <f>AVERAGE('08.08 Soroti-Kumi'!G24,'11.08 Soroti-Kumi'!G24,'12.08 Soroti-Kumi'!G24,'13.08 Soroti-Kumi'!G24,'09.08 Soroti-Kumi-24h'!G24,'10.08 Soroti-Kumi-24h'!G24,'14.08 Soroti-Kumi'!G24)</f>
        <v>0</v>
      </c>
      <c r="H24" s="49">
        <f>AVERAGE('08.08 Soroti-Kumi'!H24,'11.08 Soroti-Kumi'!H24,'12.08 Soroti-Kumi'!H24,'13.08 Soroti-Kumi'!H24,'09.08 Soroti-Kumi-24h'!H24,'10.08 Soroti-Kumi-24h'!H24,'14.08 Soroti-Kumi'!H24)</f>
        <v>0.5714285714285714</v>
      </c>
      <c r="I24" s="49">
        <f>AVERAGE('08.08 Soroti-Kumi'!I24,'11.08 Soroti-Kumi'!I24,'12.08 Soroti-Kumi'!I24,'13.08 Soroti-Kumi'!I24,'09.08 Soroti-Kumi-24h'!I24,'10.08 Soroti-Kumi-24h'!I24,'14.08 Soroti-Kumi'!I24)</f>
        <v>0.7142857142857143</v>
      </c>
      <c r="J24" s="49">
        <f>AVERAGE('08.08 Soroti-Kumi'!J24,'11.08 Soroti-Kumi'!J24,'12.08 Soroti-Kumi'!J24,'13.08 Soroti-Kumi'!J24,'09.08 Soroti-Kumi-24h'!J24,'10.08 Soroti-Kumi-24h'!J24,'14.08 Soroti-Kumi'!J24)</f>
        <v>0.42857142857142855</v>
      </c>
      <c r="K24" s="49">
        <f>AVERAGE('08.08 Soroti-Kumi'!K24,'11.08 Soroti-Kumi'!K24,'12.08 Soroti-Kumi'!K24,'13.08 Soroti-Kumi'!K24,'09.08 Soroti-Kumi-24h'!K24,'10.08 Soroti-Kumi-24h'!K24,'14.08 Soroti-Kumi'!K24)</f>
        <v>0.14285714285714285</v>
      </c>
      <c r="L24" s="49">
        <f>AVERAGE('08.08 Soroti-Kumi'!L24,'11.08 Soroti-Kumi'!L24,'12.08 Soroti-Kumi'!L24,'13.08 Soroti-Kumi'!L24,'09.08 Soroti-Kumi-24h'!L24,'10.08 Soroti-Kumi-24h'!L24,'14.08 Soroti-Kumi'!L24)</f>
        <v>2.2857142857142856</v>
      </c>
      <c r="M24" s="49">
        <f>AVERAGE('08.08 Soroti-Kumi'!M24,'11.08 Soroti-Kumi'!M24,'12.08 Soroti-Kumi'!M24,'13.08 Soroti-Kumi'!M24,'09.08 Soroti-Kumi-24h'!M24,'10.08 Soroti-Kumi-24h'!M24,'14.08 Soroti-Kumi'!M24)</f>
        <v>4.7142857142857144</v>
      </c>
      <c r="N24" s="49">
        <f>AVERAGE('08.08 Soroti-Kumi'!N24,'11.08 Soroti-Kumi'!N24,'12.08 Soroti-Kumi'!N24,'13.08 Soroti-Kumi'!N24,'09.08 Soroti-Kumi-24h'!N24,'10.08 Soroti-Kumi-24h'!N24,'14.08 Soroti-Kumi'!N24)</f>
        <v>0</v>
      </c>
      <c r="O24" s="15">
        <f t="shared" si="0"/>
        <v>10.999999999999996</v>
      </c>
      <c r="P24" s="15">
        <f t="shared" si="1"/>
        <v>15.714285714285712</v>
      </c>
      <c r="R24" s="1" t="s">
        <v>148</v>
      </c>
      <c r="S24" s="34">
        <f>SUM(C66:C69)</f>
        <v>3</v>
      </c>
      <c r="T24" s="34">
        <f t="shared" ref="T24:AF24" si="16">SUM(D66:D69)</f>
        <v>1.5</v>
      </c>
      <c r="U24" s="34">
        <f t="shared" si="16"/>
        <v>3</v>
      </c>
      <c r="V24" s="34">
        <f t="shared" si="16"/>
        <v>3.5</v>
      </c>
      <c r="W24" s="34">
        <f t="shared" si="16"/>
        <v>0</v>
      </c>
      <c r="X24" s="34">
        <f t="shared" si="16"/>
        <v>2.5</v>
      </c>
      <c r="Y24" s="34">
        <f t="shared" si="16"/>
        <v>5.5</v>
      </c>
      <c r="Z24" s="34">
        <f t="shared" si="16"/>
        <v>1</v>
      </c>
      <c r="AA24" s="34">
        <f t="shared" si="16"/>
        <v>0.5</v>
      </c>
      <c r="AB24" s="34">
        <f t="shared" si="16"/>
        <v>14.5</v>
      </c>
      <c r="AC24" s="34">
        <f t="shared" si="16"/>
        <v>5.5</v>
      </c>
      <c r="AD24" s="34">
        <f t="shared" si="16"/>
        <v>0</v>
      </c>
      <c r="AE24" s="31">
        <f t="shared" si="16"/>
        <v>35</v>
      </c>
      <c r="AF24" s="31">
        <f t="shared" si="16"/>
        <v>40.5</v>
      </c>
    </row>
    <row r="25" spans="2:32" ht="23.1" customHeight="1" x14ac:dyDescent="0.25">
      <c r="B25" s="23" t="s">
        <v>52</v>
      </c>
      <c r="C25" s="49">
        <f>AVERAGE('08.08 Soroti-Kumi'!C25,'11.08 Soroti-Kumi'!C25,'12.08 Soroti-Kumi'!C25,'13.08 Soroti-Kumi'!C25,'09.08 Soroti-Kumi-24h'!C25,'10.08 Soroti-Kumi-24h'!C25,'14.08 Soroti-Kumi'!C25)</f>
        <v>1.5714285714285714</v>
      </c>
      <c r="D25" s="49">
        <f>AVERAGE('08.08 Soroti-Kumi'!D25,'11.08 Soroti-Kumi'!D25,'12.08 Soroti-Kumi'!D25,'13.08 Soroti-Kumi'!D25,'09.08 Soroti-Kumi-24h'!D25,'10.08 Soroti-Kumi-24h'!D25,'14.08 Soroti-Kumi'!D25)</f>
        <v>0.8571428571428571</v>
      </c>
      <c r="E25" s="49">
        <f>AVERAGE('08.08 Soroti-Kumi'!E25,'11.08 Soroti-Kumi'!E25,'12.08 Soroti-Kumi'!E25,'13.08 Soroti-Kumi'!E25,'09.08 Soroti-Kumi-24h'!E25,'10.08 Soroti-Kumi-24h'!E25,'14.08 Soroti-Kumi'!E25)</f>
        <v>2.1428571428571428</v>
      </c>
      <c r="F25" s="49">
        <f>AVERAGE('08.08 Soroti-Kumi'!F25,'11.08 Soroti-Kumi'!F25,'12.08 Soroti-Kumi'!F25,'13.08 Soroti-Kumi'!F25,'09.08 Soroti-Kumi-24h'!F25,'10.08 Soroti-Kumi-24h'!F25,'14.08 Soroti-Kumi'!F25)</f>
        <v>2</v>
      </c>
      <c r="G25" s="49">
        <f>AVERAGE('08.08 Soroti-Kumi'!G25,'11.08 Soroti-Kumi'!G25,'12.08 Soroti-Kumi'!G25,'13.08 Soroti-Kumi'!G25,'09.08 Soroti-Kumi-24h'!G25,'10.08 Soroti-Kumi-24h'!G25,'14.08 Soroti-Kumi'!G25)</f>
        <v>0.14285714285714285</v>
      </c>
      <c r="H25" s="49">
        <f>AVERAGE('08.08 Soroti-Kumi'!H25,'11.08 Soroti-Kumi'!H25,'12.08 Soroti-Kumi'!H25,'13.08 Soroti-Kumi'!H25,'09.08 Soroti-Kumi-24h'!H25,'10.08 Soroti-Kumi-24h'!H25,'14.08 Soroti-Kumi'!H25)</f>
        <v>1.4285714285714286</v>
      </c>
      <c r="I25" s="49">
        <f>AVERAGE('08.08 Soroti-Kumi'!I25,'11.08 Soroti-Kumi'!I25,'12.08 Soroti-Kumi'!I25,'13.08 Soroti-Kumi'!I25,'09.08 Soroti-Kumi-24h'!I25,'10.08 Soroti-Kumi-24h'!I25,'14.08 Soroti-Kumi'!I25)</f>
        <v>1.4285714285714286</v>
      </c>
      <c r="J25" s="49">
        <f>AVERAGE('08.08 Soroti-Kumi'!J25,'11.08 Soroti-Kumi'!J25,'12.08 Soroti-Kumi'!J25,'13.08 Soroti-Kumi'!J25,'09.08 Soroti-Kumi-24h'!J25,'10.08 Soroti-Kumi-24h'!J25,'14.08 Soroti-Kumi'!J25)</f>
        <v>0.2857142857142857</v>
      </c>
      <c r="K25" s="49">
        <f>AVERAGE('08.08 Soroti-Kumi'!K25,'11.08 Soroti-Kumi'!K25,'12.08 Soroti-Kumi'!K25,'13.08 Soroti-Kumi'!K25,'09.08 Soroti-Kumi-24h'!K25,'10.08 Soroti-Kumi-24h'!K25,'14.08 Soroti-Kumi'!K25)</f>
        <v>0</v>
      </c>
      <c r="L25" s="49">
        <f>AVERAGE('08.08 Soroti-Kumi'!L25,'11.08 Soroti-Kumi'!L25,'12.08 Soroti-Kumi'!L25,'13.08 Soroti-Kumi'!L25,'09.08 Soroti-Kumi-24h'!L25,'10.08 Soroti-Kumi-24h'!L25,'14.08 Soroti-Kumi'!L25)</f>
        <v>1.4285714285714286</v>
      </c>
      <c r="M25" s="49">
        <f>AVERAGE('08.08 Soroti-Kumi'!M25,'11.08 Soroti-Kumi'!M25,'12.08 Soroti-Kumi'!M25,'13.08 Soroti-Kumi'!M25,'09.08 Soroti-Kumi-24h'!M25,'10.08 Soroti-Kumi-24h'!M25,'14.08 Soroti-Kumi'!M25)</f>
        <v>5.8571428571428568</v>
      </c>
      <c r="N25" s="49">
        <f>AVERAGE('08.08 Soroti-Kumi'!N25,'11.08 Soroti-Kumi'!N25,'12.08 Soroti-Kumi'!N25,'13.08 Soroti-Kumi'!N25,'09.08 Soroti-Kumi-24h'!N25,'10.08 Soroti-Kumi-24h'!N25,'14.08 Soroti-Kumi'!N25)</f>
        <v>0</v>
      </c>
      <c r="O25" s="15">
        <f t="shared" si="0"/>
        <v>11.285714285714286</v>
      </c>
      <c r="P25" s="15">
        <f t="shared" si="1"/>
        <v>17.142857142857142</v>
      </c>
      <c r="R25" s="1" t="s">
        <v>149</v>
      </c>
      <c r="S25" s="34">
        <f>SUM(C70:C73)</f>
        <v>4.5</v>
      </c>
      <c r="T25" s="34">
        <f t="shared" ref="T25:AF25" si="17">SUM(D70:D73)</f>
        <v>0</v>
      </c>
      <c r="U25" s="34">
        <f t="shared" si="17"/>
        <v>2.5</v>
      </c>
      <c r="V25" s="34">
        <f t="shared" si="17"/>
        <v>3.5</v>
      </c>
      <c r="W25" s="34">
        <f t="shared" si="17"/>
        <v>0</v>
      </c>
      <c r="X25" s="34">
        <f t="shared" si="17"/>
        <v>1.5</v>
      </c>
      <c r="Y25" s="34">
        <f t="shared" si="17"/>
        <v>5.5</v>
      </c>
      <c r="Z25" s="34">
        <f t="shared" si="17"/>
        <v>1</v>
      </c>
      <c r="AA25" s="34">
        <f t="shared" si="17"/>
        <v>0</v>
      </c>
      <c r="AB25" s="34">
        <f t="shared" si="17"/>
        <v>16</v>
      </c>
      <c r="AC25" s="34">
        <f t="shared" si="17"/>
        <v>6</v>
      </c>
      <c r="AD25" s="34">
        <f t="shared" si="17"/>
        <v>0</v>
      </c>
      <c r="AE25" s="31">
        <f t="shared" si="17"/>
        <v>34.5</v>
      </c>
      <c r="AF25" s="31">
        <f t="shared" si="17"/>
        <v>40.5</v>
      </c>
    </row>
    <row r="26" spans="2:32" ht="23.1" customHeight="1" x14ac:dyDescent="0.25">
      <c r="B26" s="23" t="s">
        <v>53</v>
      </c>
      <c r="C26" s="49">
        <f>AVERAGE('08.08 Soroti-Kumi'!C26,'11.08 Soroti-Kumi'!C26,'12.08 Soroti-Kumi'!C26,'13.08 Soroti-Kumi'!C26,'09.08 Soroti-Kumi-24h'!C26,'10.08 Soroti-Kumi-24h'!C26,'14.08 Soroti-Kumi'!C26)</f>
        <v>0.8571428571428571</v>
      </c>
      <c r="D26" s="49">
        <f>AVERAGE('08.08 Soroti-Kumi'!D26,'11.08 Soroti-Kumi'!D26,'12.08 Soroti-Kumi'!D26,'13.08 Soroti-Kumi'!D26,'09.08 Soroti-Kumi-24h'!D26,'10.08 Soroti-Kumi-24h'!D26,'14.08 Soroti-Kumi'!D26)</f>
        <v>1</v>
      </c>
      <c r="E26" s="49">
        <f>AVERAGE('08.08 Soroti-Kumi'!E26,'11.08 Soroti-Kumi'!E26,'12.08 Soroti-Kumi'!E26,'13.08 Soroti-Kumi'!E26,'09.08 Soroti-Kumi-24h'!E26,'10.08 Soroti-Kumi-24h'!E26,'14.08 Soroti-Kumi'!E26)</f>
        <v>2</v>
      </c>
      <c r="F26" s="49">
        <f>AVERAGE('08.08 Soroti-Kumi'!F26,'11.08 Soroti-Kumi'!F26,'12.08 Soroti-Kumi'!F26,'13.08 Soroti-Kumi'!F26,'09.08 Soroti-Kumi-24h'!F26,'10.08 Soroti-Kumi-24h'!F26,'14.08 Soroti-Kumi'!F26)</f>
        <v>1.2857142857142858</v>
      </c>
      <c r="G26" s="49">
        <f>AVERAGE('08.08 Soroti-Kumi'!G26,'11.08 Soroti-Kumi'!G26,'12.08 Soroti-Kumi'!G26,'13.08 Soroti-Kumi'!G26,'09.08 Soroti-Kumi-24h'!G26,'10.08 Soroti-Kumi-24h'!G26,'14.08 Soroti-Kumi'!G26)</f>
        <v>0</v>
      </c>
      <c r="H26" s="49">
        <f>AVERAGE('08.08 Soroti-Kumi'!H26,'11.08 Soroti-Kumi'!H26,'12.08 Soroti-Kumi'!H26,'13.08 Soroti-Kumi'!H26,'09.08 Soroti-Kumi-24h'!H26,'10.08 Soroti-Kumi-24h'!H26,'14.08 Soroti-Kumi'!H26)</f>
        <v>0.42857142857142855</v>
      </c>
      <c r="I26" s="49">
        <f>AVERAGE('08.08 Soroti-Kumi'!I26,'11.08 Soroti-Kumi'!I26,'12.08 Soroti-Kumi'!I26,'13.08 Soroti-Kumi'!I26,'09.08 Soroti-Kumi-24h'!I26,'10.08 Soroti-Kumi-24h'!I26,'14.08 Soroti-Kumi'!I26)</f>
        <v>1</v>
      </c>
      <c r="J26" s="49">
        <f>AVERAGE('08.08 Soroti-Kumi'!J26,'11.08 Soroti-Kumi'!J26,'12.08 Soroti-Kumi'!J26,'13.08 Soroti-Kumi'!J26,'09.08 Soroti-Kumi-24h'!J26,'10.08 Soroti-Kumi-24h'!J26,'14.08 Soroti-Kumi'!J26)</f>
        <v>0</v>
      </c>
      <c r="K26" s="49">
        <f>AVERAGE('08.08 Soroti-Kumi'!K26,'11.08 Soroti-Kumi'!K26,'12.08 Soroti-Kumi'!K26,'13.08 Soroti-Kumi'!K26,'09.08 Soroti-Kumi-24h'!K26,'10.08 Soroti-Kumi-24h'!K26,'14.08 Soroti-Kumi'!K26)</f>
        <v>0</v>
      </c>
      <c r="L26" s="49">
        <f>AVERAGE('08.08 Soroti-Kumi'!L26,'11.08 Soroti-Kumi'!L26,'12.08 Soroti-Kumi'!L26,'13.08 Soroti-Kumi'!L26,'09.08 Soroti-Kumi-24h'!L26,'10.08 Soroti-Kumi-24h'!L26,'14.08 Soroti-Kumi'!L26)</f>
        <v>1.8571428571428572</v>
      </c>
      <c r="M26" s="49">
        <f>AVERAGE('08.08 Soroti-Kumi'!M26,'11.08 Soroti-Kumi'!M26,'12.08 Soroti-Kumi'!M26,'13.08 Soroti-Kumi'!M26,'09.08 Soroti-Kumi-24h'!M26,'10.08 Soroti-Kumi-24h'!M26,'14.08 Soroti-Kumi'!M26)</f>
        <v>3.2857142857142856</v>
      </c>
      <c r="N26" s="49">
        <f>AVERAGE('08.08 Soroti-Kumi'!N26,'11.08 Soroti-Kumi'!N26,'12.08 Soroti-Kumi'!N26,'13.08 Soroti-Kumi'!N26,'09.08 Soroti-Kumi-24h'!N26,'10.08 Soroti-Kumi-24h'!N26,'14.08 Soroti-Kumi'!N26)</f>
        <v>0</v>
      </c>
      <c r="O26" s="15">
        <f t="shared" si="0"/>
        <v>8.4285714285714288</v>
      </c>
      <c r="P26" s="15">
        <f t="shared" si="1"/>
        <v>11.714285714285715</v>
      </c>
      <c r="R26" s="1" t="s">
        <v>150</v>
      </c>
      <c r="S26" s="34">
        <f>SUM(C74:C77)</f>
        <v>1.5</v>
      </c>
      <c r="T26" s="34">
        <f t="shared" ref="T26:AF26" si="18">SUM(D74:D77)</f>
        <v>0</v>
      </c>
      <c r="U26" s="34">
        <f t="shared" si="18"/>
        <v>0.5</v>
      </c>
      <c r="V26" s="34">
        <f t="shared" si="18"/>
        <v>3.5</v>
      </c>
      <c r="W26" s="34">
        <f t="shared" si="18"/>
        <v>0</v>
      </c>
      <c r="X26" s="34">
        <f t="shared" si="18"/>
        <v>0.5</v>
      </c>
      <c r="Y26" s="34">
        <f t="shared" si="18"/>
        <v>6.5</v>
      </c>
      <c r="Z26" s="34">
        <f t="shared" si="18"/>
        <v>1.5</v>
      </c>
      <c r="AA26" s="34">
        <f t="shared" si="18"/>
        <v>1</v>
      </c>
      <c r="AB26" s="34">
        <f t="shared" si="18"/>
        <v>6</v>
      </c>
      <c r="AC26" s="34">
        <f t="shared" si="18"/>
        <v>2</v>
      </c>
      <c r="AD26" s="34">
        <f t="shared" si="18"/>
        <v>0</v>
      </c>
      <c r="AE26" s="31">
        <f t="shared" si="18"/>
        <v>21</v>
      </c>
      <c r="AF26" s="31">
        <f t="shared" si="18"/>
        <v>23</v>
      </c>
    </row>
    <row r="27" spans="2:32" ht="23.1" customHeight="1" x14ac:dyDescent="0.25">
      <c r="B27" s="23" t="s">
        <v>54</v>
      </c>
      <c r="C27" s="49">
        <f>AVERAGE('08.08 Soroti-Kumi'!C27,'11.08 Soroti-Kumi'!C27,'12.08 Soroti-Kumi'!C27,'13.08 Soroti-Kumi'!C27,'09.08 Soroti-Kumi-24h'!C27,'10.08 Soroti-Kumi-24h'!C27,'14.08 Soroti-Kumi'!C27)</f>
        <v>1.5714285714285714</v>
      </c>
      <c r="D27" s="49">
        <f>AVERAGE('08.08 Soroti-Kumi'!D27,'11.08 Soroti-Kumi'!D27,'12.08 Soroti-Kumi'!D27,'13.08 Soroti-Kumi'!D27,'09.08 Soroti-Kumi-24h'!D27,'10.08 Soroti-Kumi-24h'!D27,'14.08 Soroti-Kumi'!D27)</f>
        <v>0.5714285714285714</v>
      </c>
      <c r="E27" s="49">
        <f>AVERAGE('08.08 Soroti-Kumi'!E27,'11.08 Soroti-Kumi'!E27,'12.08 Soroti-Kumi'!E27,'13.08 Soroti-Kumi'!E27,'09.08 Soroti-Kumi-24h'!E27,'10.08 Soroti-Kumi-24h'!E27,'14.08 Soroti-Kumi'!E27)</f>
        <v>1.5714285714285714</v>
      </c>
      <c r="F27" s="49">
        <f>AVERAGE('08.08 Soroti-Kumi'!F27,'11.08 Soroti-Kumi'!F27,'12.08 Soroti-Kumi'!F27,'13.08 Soroti-Kumi'!F27,'09.08 Soroti-Kumi-24h'!F27,'10.08 Soroti-Kumi-24h'!F27,'14.08 Soroti-Kumi'!F27)</f>
        <v>2.1428571428571428</v>
      </c>
      <c r="G27" s="49">
        <f>AVERAGE('08.08 Soroti-Kumi'!G27,'11.08 Soroti-Kumi'!G27,'12.08 Soroti-Kumi'!G27,'13.08 Soroti-Kumi'!G27,'09.08 Soroti-Kumi-24h'!G27,'10.08 Soroti-Kumi-24h'!G27,'14.08 Soroti-Kumi'!G27)</f>
        <v>0</v>
      </c>
      <c r="H27" s="49">
        <f>AVERAGE('08.08 Soroti-Kumi'!H27,'11.08 Soroti-Kumi'!H27,'12.08 Soroti-Kumi'!H27,'13.08 Soroti-Kumi'!H27,'09.08 Soroti-Kumi-24h'!H27,'10.08 Soroti-Kumi-24h'!H27,'14.08 Soroti-Kumi'!H27)</f>
        <v>0.2857142857142857</v>
      </c>
      <c r="I27" s="49">
        <f>AVERAGE('08.08 Soroti-Kumi'!I27,'11.08 Soroti-Kumi'!I27,'12.08 Soroti-Kumi'!I27,'13.08 Soroti-Kumi'!I27,'09.08 Soroti-Kumi-24h'!I27,'10.08 Soroti-Kumi-24h'!I27,'14.08 Soroti-Kumi'!I27)</f>
        <v>1.7142857142857142</v>
      </c>
      <c r="J27" s="49">
        <f>AVERAGE('08.08 Soroti-Kumi'!J27,'11.08 Soroti-Kumi'!J27,'12.08 Soroti-Kumi'!J27,'13.08 Soroti-Kumi'!J27,'09.08 Soroti-Kumi-24h'!J27,'10.08 Soroti-Kumi-24h'!J27,'14.08 Soroti-Kumi'!J27)</f>
        <v>0.42857142857142855</v>
      </c>
      <c r="K27" s="49">
        <f>AVERAGE('08.08 Soroti-Kumi'!K27,'11.08 Soroti-Kumi'!K27,'12.08 Soroti-Kumi'!K27,'13.08 Soroti-Kumi'!K27,'09.08 Soroti-Kumi-24h'!K27,'10.08 Soroti-Kumi-24h'!K27,'14.08 Soroti-Kumi'!K27)</f>
        <v>0.42857142857142855</v>
      </c>
      <c r="L27" s="49">
        <f>AVERAGE('08.08 Soroti-Kumi'!L27,'11.08 Soroti-Kumi'!L27,'12.08 Soroti-Kumi'!L27,'13.08 Soroti-Kumi'!L27,'09.08 Soroti-Kumi-24h'!L27,'10.08 Soroti-Kumi-24h'!L27,'14.08 Soroti-Kumi'!L27)</f>
        <v>1.2857142857142858</v>
      </c>
      <c r="M27" s="49">
        <f>AVERAGE('08.08 Soroti-Kumi'!M27,'11.08 Soroti-Kumi'!M27,'12.08 Soroti-Kumi'!M27,'13.08 Soroti-Kumi'!M27,'09.08 Soroti-Kumi-24h'!M27,'10.08 Soroti-Kumi-24h'!M27,'14.08 Soroti-Kumi'!M27)</f>
        <v>5.4285714285714288</v>
      </c>
      <c r="N27" s="49">
        <f>AVERAGE('08.08 Soroti-Kumi'!N27,'11.08 Soroti-Kumi'!N27,'12.08 Soroti-Kumi'!N27,'13.08 Soroti-Kumi'!N27,'09.08 Soroti-Kumi-24h'!N27,'10.08 Soroti-Kumi-24h'!N27,'14.08 Soroti-Kumi'!N27)</f>
        <v>0</v>
      </c>
      <c r="O27" s="15">
        <f t="shared" si="0"/>
        <v>10.000000000000002</v>
      </c>
      <c r="P27" s="15">
        <f t="shared" si="1"/>
        <v>15.428571428571431</v>
      </c>
      <c r="R27" s="1" t="s">
        <v>151</v>
      </c>
      <c r="S27" s="34">
        <f>SUM(C78:C81)</f>
        <v>0.5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1.5</v>
      </c>
      <c r="W27" s="34">
        <f t="shared" si="19"/>
        <v>0</v>
      </c>
      <c r="X27" s="34">
        <f t="shared" si="19"/>
        <v>2.5</v>
      </c>
      <c r="Y27" s="34">
        <f t="shared" si="19"/>
        <v>2.5</v>
      </c>
      <c r="Z27" s="34">
        <f t="shared" si="19"/>
        <v>1</v>
      </c>
      <c r="AA27" s="34">
        <f t="shared" si="19"/>
        <v>0</v>
      </c>
      <c r="AB27" s="34">
        <f t="shared" si="19"/>
        <v>5.5</v>
      </c>
      <c r="AC27" s="34">
        <f t="shared" si="19"/>
        <v>0</v>
      </c>
      <c r="AD27" s="34">
        <f t="shared" si="19"/>
        <v>0</v>
      </c>
      <c r="AE27" s="31">
        <f t="shared" si="19"/>
        <v>14.5</v>
      </c>
      <c r="AF27" s="31">
        <f t="shared" si="19"/>
        <v>14.5</v>
      </c>
    </row>
    <row r="28" spans="2:32" ht="23.1" customHeight="1" x14ac:dyDescent="0.25">
      <c r="B28" s="23" t="s">
        <v>55</v>
      </c>
      <c r="C28" s="49">
        <f>AVERAGE('08.08 Soroti-Kumi'!C28,'11.08 Soroti-Kumi'!C28,'12.08 Soroti-Kumi'!C28,'13.08 Soroti-Kumi'!C28,'09.08 Soroti-Kumi-24h'!C28,'10.08 Soroti-Kumi-24h'!C28,'14.08 Soroti-Kumi'!C28)</f>
        <v>1</v>
      </c>
      <c r="D28" s="49">
        <f>AVERAGE('08.08 Soroti-Kumi'!D28,'11.08 Soroti-Kumi'!D28,'12.08 Soroti-Kumi'!D28,'13.08 Soroti-Kumi'!D28,'09.08 Soroti-Kumi-24h'!D28,'10.08 Soroti-Kumi-24h'!D28,'14.08 Soroti-Kumi'!D28)</f>
        <v>1.5714285714285714</v>
      </c>
      <c r="E28" s="49">
        <f>AVERAGE('08.08 Soroti-Kumi'!E28,'11.08 Soroti-Kumi'!E28,'12.08 Soroti-Kumi'!E28,'13.08 Soroti-Kumi'!E28,'09.08 Soroti-Kumi-24h'!E28,'10.08 Soroti-Kumi-24h'!E28,'14.08 Soroti-Kumi'!E28)</f>
        <v>3.2857142857142856</v>
      </c>
      <c r="F28" s="49">
        <f>AVERAGE('08.08 Soroti-Kumi'!F28,'11.08 Soroti-Kumi'!F28,'12.08 Soroti-Kumi'!F28,'13.08 Soroti-Kumi'!F28,'09.08 Soroti-Kumi-24h'!F28,'10.08 Soroti-Kumi-24h'!F28,'14.08 Soroti-Kumi'!F28)</f>
        <v>2.2857142857142856</v>
      </c>
      <c r="G28" s="49">
        <f>AVERAGE('08.08 Soroti-Kumi'!G28,'11.08 Soroti-Kumi'!G28,'12.08 Soroti-Kumi'!G28,'13.08 Soroti-Kumi'!G28,'09.08 Soroti-Kumi-24h'!G28,'10.08 Soroti-Kumi-24h'!G28,'14.08 Soroti-Kumi'!G28)</f>
        <v>0</v>
      </c>
      <c r="H28" s="49">
        <f>AVERAGE('08.08 Soroti-Kumi'!H28,'11.08 Soroti-Kumi'!H28,'12.08 Soroti-Kumi'!H28,'13.08 Soroti-Kumi'!H28,'09.08 Soroti-Kumi-24h'!H28,'10.08 Soroti-Kumi-24h'!H28,'14.08 Soroti-Kumi'!H28)</f>
        <v>0.7142857142857143</v>
      </c>
      <c r="I28" s="49">
        <f>AVERAGE('08.08 Soroti-Kumi'!I28,'11.08 Soroti-Kumi'!I28,'12.08 Soroti-Kumi'!I28,'13.08 Soroti-Kumi'!I28,'09.08 Soroti-Kumi-24h'!I28,'10.08 Soroti-Kumi-24h'!I28,'14.08 Soroti-Kumi'!I28)</f>
        <v>0.42857142857142855</v>
      </c>
      <c r="J28" s="49">
        <f>AVERAGE('08.08 Soroti-Kumi'!J28,'11.08 Soroti-Kumi'!J28,'12.08 Soroti-Kumi'!J28,'13.08 Soroti-Kumi'!J28,'09.08 Soroti-Kumi-24h'!J28,'10.08 Soroti-Kumi-24h'!J28,'14.08 Soroti-Kumi'!J28)</f>
        <v>0.42857142857142855</v>
      </c>
      <c r="K28" s="49">
        <f>AVERAGE('08.08 Soroti-Kumi'!K28,'11.08 Soroti-Kumi'!K28,'12.08 Soroti-Kumi'!K28,'13.08 Soroti-Kumi'!K28,'09.08 Soroti-Kumi-24h'!K28,'10.08 Soroti-Kumi-24h'!K28,'14.08 Soroti-Kumi'!K28)</f>
        <v>0</v>
      </c>
      <c r="L28" s="49">
        <f>AVERAGE('08.08 Soroti-Kumi'!L28,'11.08 Soroti-Kumi'!L28,'12.08 Soroti-Kumi'!L28,'13.08 Soroti-Kumi'!L28,'09.08 Soroti-Kumi-24h'!L28,'10.08 Soroti-Kumi-24h'!L28,'14.08 Soroti-Kumi'!L28)</f>
        <v>1.7142857142857142</v>
      </c>
      <c r="M28" s="49">
        <f>AVERAGE('08.08 Soroti-Kumi'!M28,'11.08 Soroti-Kumi'!M28,'12.08 Soroti-Kumi'!M28,'13.08 Soroti-Kumi'!M28,'09.08 Soroti-Kumi-24h'!M28,'10.08 Soroti-Kumi-24h'!M28,'14.08 Soroti-Kumi'!M28)</f>
        <v>4.8571428571428568</v>
      </c>
      <c r="N28" s="49">
        <f>AVERAGE('08.08 Soroti-Kumi'!N28,'11.08 Soroti-Kumi'!N28,'12.08 Soroti-Kumi'!N28,'13.08 Soroti-Kumi'!N28,'09.08 Soroti-Kumi-24h'!N28,'10.08 Soroti-Kumi-24h'!N28,'14.08 Soroti-Kumi'!N28)</f>
        <v>0</v>
      </c>
      <c r="O28" s="15">
        <f t="shared" si="0"/>
        <v>11.428571428571427</v>
      </c>
      <c r="P28" s="15">
        <f t="shared" si="1"/>
        <v>16.285714285714285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2.5</v>
      </c>
      <c r="Y28" s="34">
        <f t="shared" si="20"/>
        <v>3</v>
      </c>
      <c r="Z28" s="34">
        <f t="shared" si="20"/>
        <v>1</v>
      </c>
      <c r="AA28" s="34">
        <f t="shared" si="20"/>
        <v>1</v>
      </c>
      <c r="AB28" s="34">
        <f t="shared" si="20"/>
        <v>6.5</v>
      </c>
      <c r="AC28" s="34">
        <f t="shared" si="20"/>
        <v>1</v>
      </c>
      <c r="AD28" s="34">
        <f t="shared" si="20"/>
        <v>0</v>
      </c>
      <c r="AE28" s="31">
        <f t="shared" si="20"/>
        <v>15</v>
      </c>
      <c r="AF28" s="31">
        <f t="shared" si="20"/>
        <v>16</v>
      </c>
    </row>
    <row r="29" spans="2:32" ht="23.1" customHeight="1" x14ac:dyDescent="0.25">
      <c r="B29" s="23" t="s">
        <v>56</v>
      </c>
      <c r="C29" s="49">
        <f>AVERAGE('08.08 Soroti-Kumi'!C29,'11.08 Soroti-Kumi'!C29,'12.08 Soroti-Kumi'!C29,'13.08 Soroti-Kumi'!C29,'09.08 Soroti-Kumi-24h'!C29,'10.08 Soroti-Kumi-24h'!C29,'14.08 Soroti-Kumi'!C29)</f>
        <v>1.2857142857142858</v>
      </c>
      <c r="D29" s="49">
        <f>AVERAGE('08.08 Soroti-Kumi'!D29,'11.08 Soroti-Kumi'!D29,'12.08 Soroti-Kumi'!D29,'13.08 Soroti-Kumi'!D29,'09.08 Soroti-Kumi-24h'!D29,'10.08 Soroti-Kumi-24h'!D29,'14.08 Soroti-Kumi'!D29)</f>
        <v>0.5714285714285714</v>
      </c>
      <c r="E29" s="49">
        <f>AVERAGE('08.08 Soroti-Kumi'!E29,'11.08 Soroti-Kumi'!E29,'12.08 Soroti-Kumi'!E29,'13.08 Soroti-Kumi'!E29,'09.08 Soroti-Kumi-24h'!E29,'10.08 Soroti-Kumi-24h'!E29,'14.08 Soroti-Kumi'!E29)</f>
        <v>2.1428571428571428</v>
      </c>
      <c r="F29" s="49">
        <f>AVERAGE('08.08 Soroti-Kumi'!F29,'11.08 Soroti-Kumi'!F29,'12.08 Soroti-Kumi'!F29,'13.08 Soroti-Kumi'!F29,'09.08 Soroti-Kumi-24h'!F29,'10.08 Soroti-Kumi-24h'!F29,'14.08 Soroti-Kumi'!F29)</f>
        <v>2.4285714285714284</v>
      </c>
      <c r="G29" s="49">
        <f>AVERAGE('08.08 Soroti-Kumi'!G29,'11.08 Soroti-Kumi'!G29,'12.08 Soroti-Kumi'!G29,'13.08 Soroti-Kumi'!G29,'09.08 Soroti-Kumi-24h'!G29,'10.08 Soroti-Kumi-24h'!G29,'14.08 Soroti-Kumi'!G29)</f>
        <v>0</v>
      </c>
      <c r="H29" s="49">
        <f>AVERAGE('08.08 Soroti-Kumi'!H29,'11.08 Soroti-Kumi'!H29,'12.08 Soroti-Kumi'!H29,'13.08 Soroti-Kumi'!H29,'09.08 Soroti-Kumi-24h'!H29,'10.08 Soroti-Kumi-24h'!H29,'14.08 Soroti-Kumi'!H29)</f>
        <v>0.7142857142857143</v>
      </c>
      <c r="I29" s="49">
        <f>AVERAGE('08.08 Soroti-Kumi'!I29,'11.08 Soroti-Kumi'!I29,'12.08 Soroti-Kumi'!I29,'13.08 Soroti-Kumi'!I29,'09.08 Soroti-Kumi-24h'!I29,'10.08 Soroti-Kumi-24h'!I29,'14.08 Soroti-Kumi'!I29)</f>
        <v>1.2857142857142858</v>
      </c>
      <c r="J29" s="49">
        <f>AVERAGE('08.08 Soroti-Kumi'!J29,'11.08 Soroti-Kumi'!J29,'12.08 Soroti-Kumi'!J29,'13.08 Soroti-Kumi'!J29,'09.08 Soroti-Kumi-24h'!J29,'10.08 Soroti-Kumi-24h'!J29,'14.08 Soroti-Kumi'!J29)</f>
        <v>0.2857142857142857</v>
      </c>
      <c r="K29" s="49">
        <f>AVERAGE('08.08 Soroti-Kumi'!K29,'11.08 Soroti-Kumi'!K29,'12.08 Soroti-Kumi'!K29,'13.08 Soroti-Kumi'!K29,'09.08 Soroti-Kumi-24h'!K29,'10.08 Soroti-Kumi-24h'!K29,'14.08 Soroti-Kumi'!K29)</f>
        <v>0</v>
      </c>
      <c r="L29" s="49">
        <f>AVERAGE('08.08 Soroti-Kumi'!L29,'11.08 Soroti-Kumi'!L29,'12.08 Soroti-Kumi'!L29,'13.08 Soroti-Kumi'!L29,'09.08 Soroti-Kumi-24h'!L29,'10.08 Soroti-Kumi-24h'!L29,'14.08 Soroti-Kumi'!L29)</f>
        <v>1.7142857142857142</v>
      </c>
      <c r="M29" s="49">
        <f>AVERAGE('08.08 Soroti-Kumi'!M29,'11.08 Soroti-Kumi'!M29,'12.08 Soroti-Kumi'!M29,'13.08 Soroti-Kumi'!M29,'09.08 Soroti-Kumi-24h'!M29,'10.08 Soroti-Kumi-24h'!M29,'14.08 Soroti-Kumi'!M29)</f>
        <v>5.4285714285714288</v>
      </c>
      <c r="N29" s="49">
        <f>AVERAGE('08.08 Soroti-Kumi'!N29,'11.08 Soroti-Kumi'!N29,'12.08 Soroti-Kumi'!N29,'13.08 Soroti-Kumi'!N29,'09.08 Soroti-Kumi-24h'!N29,'10.08 Soroti-Kumi-24h'!N29,'14.08 Soroti-Kumi'!N29)</f>
        <v>0</v>
      </c>
      <c r="O29" s="15">
        <f t="shared" si="0"/>
        <v>10.428571428571429</v>
      </c>
      <c r="P29" s="15">
        <f t="shared" si="1"/>
        <v>15.857142857142858</v>
      </c>
      <c r="R29" s="1" t="s">
        <v>153</v>
      </c>
      <c r="S29" s="34">
        <f>SUM(C86:C89)</f>
        <v>0.5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0.5</v>
      </c>
      <c r="W29" s="34">
        <f t="shared" si="21"/>
        <v>0</v>
      </c>
      <c r="X29" s="34">
        <f t="shared" si="21"/>
        <v>1.5</v>
      </c>
      <c r="Y29" s="34">
        <f t="shared" si="21"/>
        <v>1.5</v>
      </c>
      <c r="Z29" s="34">
        <f t="shared" si="21"/>
        <v>0.5</v>
      </c>
      <c r="AA29" s="34">
        <f t="shared" si="21"/>
        <v>1.5</v>
      </c>
      <c r="AB29" s="34">
        <f t="shared" si="21"/>
        <v>4</v>
      </c>
      <c r="AC29" s="34">
        <f t="shared" si="21"/>
        <v>0.5</v>
      </c>
      <c r="AD29" s="34">
        <f t="shared" si="21"/>
        <v>0</v>
      </c>
      <c r="AE29" s="31">
        <f t="shared" si="21"/>
        <v>11</v>
      </c>
      <c r="AF29" s="31">
        <f t="shared" si="21"/>
        <v>11.5</v>
      </c>
    </row>
    <row r="30" spans="2:32" ht="23.1" customHeight="1" x14ac:dyDescent="0.25">
      <c r="B30" s="23" t="s">
        <v>57</v>
      </c>
      <c r="C30" s="49">
        <f>AVERAGE('08.08 Soroti-Kumi'!C30,'11.08 Soroti-Kumi'!C30,'12.08 Soroti-Kumi'!C30,'13.08 Soroti-Kumi'!C30,'09.08 Soroti-Kumi-24h'!C30,'10.08 Soroti-Kumi-24h'!C30,'14.08 Soroti-Kumi'!C30)</f>
        <v>1.1428571428571428</v>
      </c>
      <c r="D30" s="49">
        <f>AVERAGE('08.08 Soroti-Kumi'!D30,'11.08 Soroti-Kumi'!D30,'12.08 Soroti-Kumi'!D30,'13.08 Soroti-Kumi'!D30,'09.08 Soroti-Kumi-24h'!D30,'10.08 Soroti-Kumi-24h'!D30,'14.08 Soroti-Kumi'!D30)</f>
        <v>1</v>
      </c>
      <c r="E30" s="49">
        <f>AVERAGE('08.08 Soroti-Kumi'!E30,'11.08 Soroti-Kumi'!E30,'12.08 Soroti-Kumi'!E30,'13.08 Soroti-Kumi'!E30,'09.08 Soroti-Kumi-24h'!E30,'10.08 Soroti-Kumi-24h'!E30,'14.08 Soroti-Kumi'!E30)</f>
        <v>3</v>
      </c>
      <c r="F30" s="49">
        <f>AVERAGE('08.08 Soroti-Kumi'!F30,'11.08 Soroti-Kumi'!F30,'12.08 Soroti-Kumi'!F30,'13.08 Soroti-Kumi'!F30,'09.08 Soroti-Kumi-24h'!F30,'10.08 Soroti-Kumi-24h'!F30,'14.08 Soroti-Kumi'!F30)</f>
        <v>2.7142857142857144</v>
      </c>
      <c r="G30" s="49">
        <f>AVERAGE('08.08 Soroti-Kumi'!G30,'11.08 Soroti-Kumi'!G30,'12.08 Soroti-Kumi'!G30,'13.08 Soroti-Kumi'!G30,'09.08 Soroti-Kumi-24h'!G30,'10.08 Soroti-Kumi-24h'!G30,'14.08 Soroti-Kumi'!G30)</f>
        <v>0.14285714285714285</v>
      </c>
      <c r="H30" s="49">
        <f>AVERAGE('08.08 Soroti-Kumi'!H30,'11.08 Soroti-Kumi'!H30,'12.08 Soroti-Kumi'!H30,'13.08 Soroti-Kumi'!H30,'09.08 Soroti-Kumi-24h'!H30,'10.08 Soroti-Kumi-24h'!H30,'14.08 Soroti-Kumi'!H30)</f>
        <v>1</v>
      </c>
      <c r="I30" s="49">
        <f>AVERAGE('08.08 Soroti-Kumi'!I30,'11.08 Soroti-Kumi'!I30,'12.08 Soroti-Kumi'!I30,'13.08 Soroti-Kumi'!I30,'09.08 Soroti-Kumi-24h'!I30,'10.08 Soroti-Kumi-24h'!I30,'14.08 Soroti-Kumi'!I30)</f>
        <v>1.8571428571428572</v>
      </c>
      <c r="J30" s="49">
        <f>AVERAGE('08.08 Soroti-Kumi'!J30,'11.08 Soroti-Kumi'!J30,'12.08 Soroti-Kumi'!J30,'13.08 Soroti-Kumi'!J30,'09.08 Soroti-Kumi-24h'!J30,'10.08 Soroti-Kumi-24h'!J30,'14.08 Soroti-Kumi'!J30)</f>
        <v>0</v>
      </c>
      <c r="K30" s="49">
        <f>AVERAGE('08.08 Soroti-Kumi'!K30,'11.08 Soroti-Kumi'!K30,'12.08 Soroti-Kumi'!K30,'13.08 Soroti-Kumi'!K30,'09.08 Soroti-Kumi-24h'!K30,'10.08 Soroti-Kumi-24h'!K30,'14.08 Soroti-Kumi'!K30)</f>
        <v>0</v>
      </c>
      <c r="L30" s="49">
        <f>AVERAGE('08.08 Soroti-Kumi'!L30,'11.08 Soroti-Kumi'!L30,'12.08 Soroti-Kumi'!L30,'13.08 Soroti-Kumi'!L30,'09.08 Soroti-Kumi-24h'!L30,'10.08 Soroti-Kumi-24h'!L30,'14.08 Soroti-Kumi'!L30)</f>
        <v>1.4285714285714286</v>
      </c>
      <c r="M30" s="49">
        <f>AVERAGE('08.08 Soroti-Kumi'!M30,'11.08 Soroti-Kumi'!M30,'12.08 Soroti-Kumi'!M30,'13.08 Soroti-Kumi'!M30,'09.08 Soroti-Kumi-24h'!M30,'10.08 Soroti-Kumi-24h'!M30,'14.08 Soroti-Kumi'!M30)</f>
        <v>3.5714285714285716</v>
      </c>
      <c r="N30" s="49">
        <f>AVERAGE('08.08 Soroti-Kumi'!N30,'11.08 Soroti-Kumi'!N30,'12.08 Soroti-Kumi'!N30,'13.08 Soroti-Kumi'!N30,'09.08 Soroti-Kumi-24h'!N30,'10.08 Soroti-Kumi-24h'!N30,'14.08 Soroti-Kumi'!N30)</f>
        <v>0.14285714285714285</v>
      </c>
      <c r="O30" s="15">
        <f t="shared" si="0"/>
        <v>12.428571428571429</v>
      </c>
      <c r="P30" s="15">
        <f t="shared" si="1"/>
        <v>16</v>
      </c>
      <c r="R30" s="1" t="s">
        <v>154</v>
      </c>
      <c r="S30" s="34">
        <f>SUM(C90:C93)</f>
        <v>0</v>
      </c>
      <c r="T30" s="34">
        <f t="shared" ref="T30:AF30" si="22">SUM(D90:D93)</f>
        <v>0.5</v>
      </c>
      <c r="U30" s="34">
        <f t="shared" si="22"/>
        <v>2.5</v>
      </c>
      <c r="V30" s="34">
        <f t="shared" si="22"/>
        <v>1.5</v>
      </c>
      <c r="W30" s="34">
        <f t="shared" si="22"/>
        <v>0</v>
      </c>
      <c r="X30" s="34">
        <f t="shared" si="22"/>
        <v>2.5</v>
      </c>
      <c r="Y30" s="34">
        <f t="shared" si="22"/>
        <v>2</v>
      </c>
      <c r="Z30" s="34">
        <f t="shared" si="22"/>
        <v>0</v>
      </c>
      <c r="AA30" s="34">
        <f t="shared" si="22"/>
        <v>0.5</v>
      </c>
      <c r="AB30" s="34">
        <f t="shared" si="22"/>
        <v>5.5</v>
      </c>
      <c r="AC30" s="34">
        <f t="shared" si="22"/>
        <v>0.5</v>
      </c>
      <c r="AD30" s="34">
        <f t="shared" si="22"/>
        <v>0</v>
      </c>
      <c r="AE30" s="31">
        <f t="shared" si="22"/>
        <v>15</v>
      </c>
      <c r="AF30" s="31">
        <f t="shared" si="22"/>
        <v>15.5</v>
      </c>
    </row>
    <row r="31" spans="2:32" ht="23.1" customHeight="1" x14ac:dyDescent="0.25">
      <c r="B31" s="24" t="s">
        <v>58</v>
      </c>
      <c r="C31" s="49">
        <f>AVERAGE('08.08 Soroti-Kumi'!C31,'11.08 Soroti-Kumi'!C31,'12.08 Soroti-Kumi'!C31,'13.08 Soroti-Kumi'!C31,'09.08 Soroti-Kumi-24h'!C31,'10.08 Soroti-Kumi-24h'!C31,'14.08 Soroti-Kumi'!C31)</f>
        <v>2.1428571428571428</v>
      </c>
      <c r="D31" s="49">
        <f>AVERAGE('08.08 Soroti-Kumi'!D31,'11.08 Soroti-Kumi'!D31,'12.08 Soroti-Kumi'!D31,'13.08 Soroti-Kumi'!D31,'09.08 Soroti-Kumi-24h'!D31,'10.08 Soroti-Kumi-24h'!D31,'14.08 Soroti-Kumi'!D31)</f>
        <v>0.8571428571428571</v>
      </c>
      <c r="E31" s="49">
        <f>AVERAGE('08.08 Soroti-Kumi'!E31,'11.08 Soroti-Kumi'!E31,'12.08 Soroti-Kumi'!E31,'13.08 Soroti-Kumi'!E31,'09.08 Soroti-Kumi-24h'!E31,'10.08 Soroti-Kumi-24h'!E31,'14.08 Soroti-Kumi'!E31)</f>
        <v>2.7142857142857144</v>
      </c>
      <c r="F31" s="49">
        <f>AVERAGE('08.08 Soroti-Kumi'!F31,'11.08 Soroti-Kumi'!F31,'12.08 Soroti-Kumi'!F31,'13.08 Soroti-Kumi'!F31,'09.08 Soroti-Kumi-24h'!F31,'10.08 Soroti-Kumi-24h'!F31,'14.08 Soroti-Kumi'!F31)</f>
        <v>2.4285714285714284</v>
      </c>
      <c r="G31" s="49">
        <f>AVERAGE('08.08 Soroti-Kumi'!G31,'11.08 Soroti-Kumi'!G31,'12.08 Soroti-Kumi'!G31,'13.08 Soroti-Kumi'!G31,'09.08 Soroti-Kumi-24h'!G31,'10.08 Soroti-Kumi-24h'!G31,'14.08 Soroti-Kumi'!G31)</f>
        <v>0</v>
      </c>
      <c r="H31" s="49">
        <f>AVERAGE('08.08 Soroti-Kumi'!H31,'11.08 Soroti-Kumi'!H31,'12.08 Soroti-Kumi'!H31,'13.08 Soroti-Kumi'!H31,'09.08 Soroti-Kumi-24h'!H31,'10.08 Soroti-Kumi-24h'!H31,'14.08 Soroti-Kumi'!H31)</f>
        <v>1.1428571428571428</v>
      </c>
      <c r="I31" s="49">
        <f>AVERAGE('08.08 Soroti-Kumi'!I31,'11.08 Soroti-Kumi'!I31,'12.08 Soroti-Kumi'!I31,'13.08 Soroti-Kumi'!I31,'09.08 Soroti-Kumi-24h'!I31,'10.08 Soroti-Kumi-24h'!I31,'14.08 Soroti-Kumi'!I31)</f>
        <v>1.8571428571428572</v>
      </c>
      <c r="J31" s="49">
        <f>AVERAGE('08.08 Soroti-Kumi'!J31,'11.08 Soroti-Kumi'!J31,'12.08 Soroti-Kumi'!J31,'13.08 Soroti-Kumi'!J31,'09.08 Soroti-Kumi-24h'!J31,'10.08 Soroti-Kumi-24h'!J31,'14.08 Soroti-Kumi'!J31)</f>
        <v>0.14285714285714285</v>
      </c>
      <c r="K31" s="49">
        <f>AVERAGE('08.08 Soroti-Kumi'!K31,'11.08 Soroti-Kumi'!K31,'12.08 Soroti-Kumi'!K31,'13.08 Soroti-Kumi'!K31,'09.08 Soroti-Kumi-24h'!K31,'10.08 Soroti-Kumi-24h'!K31,'14.08 Soroti-Kumi'!K31)</f>
        <v>0</v>
      </c>
      <c r="L31" s="49">
        <f>AVERAGE('08.08 Soroti-Kumi'!L31,'11.08 Soroti-Kumi'!L31,'12.08 Soroti-Kumi'!L31,'13.08 Soroti-Kumi'!L31,'09.08 Soroti-Kumi-24h'!L31,'10.08 Soroti-Kumi-24h'!L31,'14.08 Soroti-Kumi'!L31)</f>
        <v>0.7142857142857143</v>
      </c>
      <c r="M31" s="49">
        <f>AVERAGE('08.08 Soroti-Kumi'!M31,'11.08 Soroti-Kumi'!M31,'12.08 Soroti-Kumi'!M31,'13.08 Soroti-Kumi'!M31,'09.08 Soroti-Kumi-24h'!M31,'10.08 Soroti-Kumi-24h'!M31,'14.08 Soroti-Kumi'!M31)</f>
        <v>5.1428571428571432</v>
      </c>
      <c r="N31" s="49">
        <f>AVERAGE('08.08 Soroti-Kumi'!N31,'11.08 Soroti-Kumi'!N31,'12.08 Soroti-Kumi'!N31,'13.08 Soroti-Kumi'!N31,'09.08 Soroti-Kumi-24h'!N31,'10.08 Soroti-Kumi-24h'!N31,'14.08 Soroti-Kumi'!N31)</f>
        <v>0</v>
      </c>
      <c r="O31" s="15">
        <f t="shared" si="0"/>
        <v>11.999999999999998</v>
      </c>
      <c r="P31" s="15">
        <f t="shared" si="1"/>
        <v>17.142857142857142</v>
      </c>
      <c r="R31" s="1" t="s">
        <v>155</v>
      </c>
      <c r="S31" s="34">
        <f>SUM(C94:C97)</f>
        <v>1.5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</v>
      </c>
      <c r="W31" s="34">
        <f t="shared" si="23"/>
        <v>0</v>
      </c>
      <c r="X31" s="34">
        <f t="shared" si="23"/>
        <v>0.5</v>
      </c>
      <c r="Y31" s="34">
        <f t="shared" si="23"/>
        <v>1.5</v>
      </c>
      <c r="Z31" s="34">
        <f t="shared" si="23"/>
        <v>0</v>
      </c>
      <c r="AA31" s="34">
        <f t="shared" si="23"/>
        <v>1</v>
      </c>
      <c r="AB31" s="34">
        <f t="shared" si="23"/>
        <v>1.5</v>
      </c>
      <c r="AC31" s="34">
        <f t="shared" si="23"/>
        <v>0</v>
      </c>
      <c r="AD31" s="34">
        <f t="shared" si="23"/>
        <v>0</v>
      </c>
      <c r="AE31" s="31">
        <f t="shared" si="23"/>
        <v>6.5</v>
      </c>
      <c r="AF31" s="31">
        <f t="shared" si="23"/>
        <v>6.5</v>
      </c>
    </row>
    <row r="32" spans="2:32" ht="23.1" customHeight="1" x14ac:dyDescent="0.25">
      <c r="B32" s="24" t="s">
        <v>59</v>
      </c>
      <c r="C32" s="49">
        <f>AVERAGE('08.08 Soroti-Kumi'!C32,'11.08 Soroti-Kumi'!C32,'12.08 Soroti-Kumi'!C32,'13.08 Soroti-Kumi'!C32,'09.08 Soroti-Kumi-24h'!C32,'10.08 Soroti-Kumi-24h'!C32,'14.08 Soroti-Kumi'!C32)</f>
        <v>0.5714285714285714</v>
      </c>
      <c r="D32" s="49">
        <f>AVERAGE('08.08 Soroti-Kumi'!D32,'11.08 Soroti-Kumi'!D32,'12.08 Soroti-Kumi'!D32,'13.08 Soroti-Kumi'!D32,'09.08 Soroti-Kumi-24h'!D32,'10.08 Soroti-Kumi-24h'!D32,'14.08 Soroti-Kumi'!D32)</f>
        <v>0.42857142857142855</v>
      </c>
      <c r="E32" s="49">
        <f>AVERAGE('08.08 Soroti-Kumi'!E32,'11.08 Soroti-Kumi'!E32,'12.08 Soroti-Kumi'!E32,'13.08 Soroti-Kumi'!E32,'09.08 Soroti-Kumi-24h'!E32,'10.08 Soroti-Kumi-24h'!E32,'14.08 Soroti-Kumi'!E32)</f>
        <v>1.7142857142857142</v>
      </c>
      <c r="F32" s="49">
        <f>AVERAGE('08.08 Soroti-Kumi'!F32,'11.08 Soroti-Kumi'!F32,'12.08 Soroti-Kumi'!F32,'13.08 Soroti-Kumi'!F32,'09.08 Soroti-Kumi-24h'!F32,'10.08 Soroti-Kumi-24h'!F32,'14.08 Soroti-Kumi'!F32)</f>
        <v>1.1428571428571428</v>
      </c>
      <c r="G32" s="49">
        <f>AVERAGE('08.08 Soroti-Kumi'!G32,'11.08 Soroti-Kumi'!G32,'12.08 Soroti-Kumi'!G32,'13.08 Soroti-Kumi'!G32,'09.08 Soroti-Kumi-24h'!G32,'10.08 Soroti-Kumi-24h'!G32,'14.08 Soroti-Kumi'!G32)</f>
        <v>0</v>
      </c>
      <c r="H32" s="49">
        <f>AVERAGE('08.08 Soroti-Kumi'!H32,'11.08 Soroti-Kumi'!H32,'12.08 Soroti-Kumi'!H32,'13.08 Soroti-Kumi'!H32,'09.08 Soroti-Kumi-24h'!H32,'10.08 Soroti-Kumi-24h'!H32,'14.08 Soroti-Kumi'!H32)</f>
        <v>0.14285714285714285</v>
      </c>
      <c r="I32" s="49">
        <f>AVERAGE('08.08 Soroti-Kumi'!I32,'11.08 Soroti-Kumi'!I32,'12.08 Soroti-Kumi'!I32,'13.08 Soroti-Kumi'!I32,'09.08 Soroti-Kumi-24h'!I32,'10.08 Soroti-Kumi-24h'!I32,'14.08 Soroti-Kumi'!I32)</f>
        <v>0.5714285714285714</v>
      </c>
      <c r="J32" s="49">
        <f>AVERAGE('08.08 Soroti-Kumi'!J32,'11.08 Soroti-Kumi'!J32,'12.08 Soroti-Kumi'!J32,'13.08 Soroti-Kumi'!J32,'09.08 Soroti-Kumi-24h'!J32,'10.08 Soroti-Kumi-24h'!J32,'14.08 Soroti-Kumi'!J32)</f>
        <v>0</v>
      </c>
      <c r="K32" s="49">
        <f>AVERAGE('08.08 Soroti-Kumi'!K32,'11.08 Soroti-Kumi'!K32,'12.08 Soroti-Kumi'!K32,'13.08 Soroti-Kumi'!K32,'09.08 Soroti-Kumi-24h'!K32,'10.08 Soroti-Kumi-24h'!K32,'14.08 Soroti-Kumi'!K32)</f>
        <v>0</v>
      </c>
      <c r="L32" s="49">
        <f>AVERAGE('08.08 Soroti-Kumi'!L32,'11.08 Soroti-Kumi'!L32,'12.08 Soroti-Kumi'!L32,'13.08 Soroti-Kumi'!L32,'09.08 Soroti-Kumi-24h'!L32,'10.08 Soroti-Kumi-24h'!L32,'14.08 Soroti-Kumi'!L32)</f>
        <v>1.4285714285714286</v>
      </c>
      <c r="M32" s="49">
        <f>AVERAGE('08.08 Soroti-Kumi'!M32,'11.08 Soroti-Kumi'!M32,'12.08 Soroti-Kumi'!M32,'13.08 Soroti-Kumi'!M32,'09.08 Soroti-Kumi-24h'!M32,'10.08 Soroti-Kumi-24h'!M32,'14.08 Soroti-Kumi'!M32)</f>
        <v>3.7142857142857144</v>
      </c>
      <c r="N32" s="49">
        <f>AVERAGE('08.08 Soroti-Kumi'!N32,'11.08 Soroti-Kumi'!N32,'12.08 Soroti-Kumi'!N32,'13.08 Soroti-Kumi'!N32,'09.08 Soroti-Kumi-24h'!N32,'10.08 Soroti-Kumi-24h'!N32,'14.08 Soroti-Kumi'!N32)</f>
        <v>0</v>
      </c>
      <c r="O32" s="15">
        <f t="shared" si="0"/>
        <v>6</v>
      </c>
      <c r="P32" s="15">
        <f t="shared" si="1"/>
        <v>9.7142857142857153</v>
      </c>
      <c r="R32" s="1" t="s">
        <v>156</v>
      </c>
      <c r="S32" s="34">
        <f>SUM(C98:C101)</f>
        <v>0</v>
      </c>
      <c r="T32" s="34">
        <f t="shared" ref="T32:AF32" si="24">SUM(D98:D101)</f>
        <v>0.5</v>
      </c>
      <c r="U32" s="34">
        <f t="shared" si="24"/>
        <v>3</v>
      </c>
      <c r="V32" s="34">
        <f t="shared" si="24"/>
        <v>0.5</v>
      </c>
      <c r="W32" s="34">
        <f t="shared" si="24"/>
        <v>0</v>
      </c>
      <c r="X32" s="34">
        <f t="shared" si="24"/>
        <v>1</v>
      </c>
      <c r="Y32" s="34">
        <f t="shared" si="24"/>
        <v>1.5</v>
      </c>
      <c r="Z32" s="34">
        <f t="shared" si="24"/>
        <v>0.5</v>
      </c>
      <c r="AA32" s="34">
        <f t="shared" si="24"/>
        <v>1</v>
      </c>
      <c r="AB32" s="34">
        <f t="shared" si="24"/>
        <v>3.5</v>
      </c>
      <c r="AC32" s="34">
        <f t="shared" si="24"/>
        <v>1.5</v>
      </c>
      <c r="AD32" s="34">
        <f t="shared" si="24"/>
        <v>0</v>
      </c>
      <c r="AE32" s="31">
        <f t="shared" si="24"/>
        <v>11.5</v>
      </c>
      <c r="AF32" s="31">
        <f t="shared" si="24"/>
        <v>13</v>
      </c>
    </row>
    <row r="33" spans="2:32" ht="23.1" customHeight="1" x14ac:dyDescent="0.25">
      <c r="B33" s="23" t="s">
        <v>60</v>
      </c>
      <c r="C33" s="49">
        <f>AVERAGE('08.08 Soroti-Kumi'!C33,'11.08 Soroti-Kumi'!C33,'12.08 Soroti-Kumi'!C33,'13.08 Soroti-Kumi'!C33,'09.08 Soroti-Kumi-24h'!C33,'10.08 Soroti-Kumi-24h'!C33,'14.08 Soroti-Kumi'!C33)</f>
        <v>1.2857142857142858</v>
      </c>
      <c r="D33" s="49">
        <f>AVERAGE('08.08 Soroti-Kumi'!D33,'11.08 Soroti-Kumi'!D33,'12.08 Soroti-Kumi'!D33,'13.08 Soroti-Kumi'!D33,'09.08 Soroti-Kumi-24h'!D33,'10.08 Soroti-Kumi-24h'!D33,'14.08 Soroti-Kumi'!D33)</f>
        <v>0.5714285714285714</v>
      </c>
      <c r="E33" s="49">
        <f>AVERAGE('08.08 Soroti-Kumi'!E33,'11.08 Soroti-Kumi'!E33,'12.08 Soroti-Kumi'!E33,'13.08 Soroti-Kumi'!E33,'09.08 Soroti-Kumi-24h'!E33,'10.08 Soroti-Kumi-24h'!E33,'14.08 Soroti-Kumi'!E33)</f>
        <v>1.2857142857142858</v>
      </c>
      <c r="F33" s="49">
        <f>AVERAGE('08.08 Soroti-Kumi'!F33,'11.08 Soroti-Kumi'!F33,'12.08 Soroti-Kumi'!F33,'13.08 Soroti-Kumi'!F33,'09.08 Soroti-Kumi-24h'!F33,'10.08 Soroti-Kumi-24h'!F33,'14.08 Soroti-Kumi'!F33)</f>
        <v>2</v>
      </c>
      <c r="G33" s="49">
        <f>AVERAGE('08.08 Soroti-Kumi'!G33,'11.08 Soroti-Kumi'!G33,'12.08 Soroti-Kumi'!G33,'13.08 Soroti-Kumi'!G33,'09.08 Soroti-Kumi-24h'!G33,'10.08 Soroti-Kumi-24h'!G33,'14.08 Soroti-Kumi'!G33)</f>
        <v>0</v>
      </c>
      <c r="H33" s="49">
        <f>AVERAGE('08.08 Soroti-Kumi'!H33,'11.08 Soroti-Kumi'!H33,'12.08 Soroti-Kumi'!H33,'13.08 Soroti-Kumi'!H33,'09.08 Soroti-Kumi-24h'!H33,'10.08 Soroti-Kumi-24h'!H33,'14.08 Soroti-Kumi'!H33)</f>
        <v>0.14285714285714285</v>
      </c>
      <c r="I33" s="49">
        <f>AVERAGE('08.08 Soroti-Kumi'!I33,'11.08 Soroti-Kumi'!I33,'12.08 Soroti-Kumi'!I33,'13.08 Soroti-Kumi'!I33,'09.08 Soroti-Kumi-24h'!I33,'10.08 Soroti-Kumi-24h'!I33,'14.08 Soroti-Kumi'!I33)</f>
        <v>2.1428571428571428</v>
      </c>
      <c r="J33" s="49">
        <f>AVERAGE('08.08 Soroti-Kumi'!J33,'11.08 Soroti-Kumi'!J33,'12.08 Soroti-Kumi'!J33,'13.08 Soroti-Kumi'!J33,'09.08 Soroti-Kumi-24h'!J33,'10.08 Soroti-Kumi-24h'!J33,'14.08 Soroti-Kumi'!J33)</f>
        <v>0</v>
      </c>
      <c r="K33" s="49">
        <f>AVERAGE('08.08 Soroti-Kumi'!K33,'11.08 Soroti-Kumi'!K33,'12.08 Soroti-Kumi'!K33,'13.08 Soroti-Kumi'!K33,'09.08 Soroti-Kumi-24h'!K33,'10.08 Soroti-Kumi-24h'!K33,'14.08 Soroti-Kumi'!K33)</f>
        <v>0.14285714285714285</v>
      </c>
      <c r="L33" s="49">
        <f>AVERAGE('08.08 Soroti-Kumi'!L33,'11.08 Soroti-Kumi'!L33,'12.08 Soroti-Kumi'!L33,'13.08 Soroti-Kumi'!L33,'09.08 Soroti-Kumi-24h'!L33,'10.08 Soroti-Kumi-24h'!L33,'14.08 Soroti-Kumi'!L33)</f>
        <v>1.2857142857142858</v>
      </c>
      <c r="M33" s="49">
        <f>AVERAGE('08.08 Soroti-Kumi'!M33,'11.08 Soroti-Kumi'!M33,'12.08 Soroti-Kumi'!M33,'13.08 Soroti-Kumi'!M33,'09.08 Soroti-Kumi-24h'!M33,'10.08 Soroti-Kumi-24h'!M33,'14.08 Soroti-Kumi'!M33)</f>
        <v>4.1428571428571432</v>
      </c>
      <c r="N33" s="49">
        <f>AVERAGE('08.08 Soroti-Kumi'!N33,'11.08 Soroti-Kumi'!N33,'12.08 Soroti-Kumi'!N33,'13.08 Soroti-Kumi'!N33,'09.08 Soroti-Kumi-24h'!N33,'10.08 Soroti-Kumi-24h'!N33,'14.08 Soroti-Kumi'!N33)</f>
        <v>0</v>
      </c>
      <c r="O33" s="15">
        <f t="shared" si="0"/>
        <v>8.8571428571428577</v>
      </c>
      <c r="P33" s="15">
        <f t="shared" si="1"/>
        <v>13</v>
      </c>
      <c r="R33" s="1" t="s">
        <v>157</v>
      </c>
      <c r="S33" s="34">
        <f>SUM(C102:C105)</f>
        <v>3</v>
      </c>
      <c r="T33" s="34">
        <f t="shared" ref="T33:AF33" si="25">SUM(D102:D105)</f>
        <v>0.5</v>
      </c>
      <c r="U33" s="34">
        <f t="shared" si="25"/>
        <v>3</v>
      </c>
      <c r="V33" s="34">
        <f t="shared" si="25"/>
        <v>3.5</v>
      </c>
      <c r="W33" s="34">
        <f t="shared" si="25"/>
        <v>0</v>
      </c>
      <c r="X33" s="34">
        <f t="shared" si="25"/>
        <v>0</v>
      </c>
      <c r="Y33" s="34">
        <f t="shared" si="25"/>
        <v>3.5</v>
      </c>
      <c r="Z33" s="34">
        <f t="shared" si="25"/>
        <v>1</v>
      </c>
      <c r="AA33" s="34">
        <f t="shared" si="25"/>
        <v>0.5</v>
      </c>
      <c r="AB33" s="34">
        <f t="shared" si="25"/>
        <v>6.5</v>
      </c>
      <c r="AC33" s="34">
        <f t="shared" si="25"/>
        <v>10</v>
      </c>
      <c r="AD33" s="34">
        <f t="shared" si="25"/>
        <v>0</v>
      </c>
      <c r="AE33" s="31">
        <f t="shared" si="25"/>
        <v>21.5</v>
      </c>
      <c r="AF33" s="31">
        <f t="shared" si="25"/>
        <v>31.5</v>
      </c>
    </row>
    <row r="34" spans="2:32" ht="23.1" customHeight="1" x14ac:dyDescent="0.25">
      <c r="B34" s="24" t="s">
        <v>61</v>
      </c>
      <c r="C34" s="49">
        <f>AVERAGE('08.08 Soroti-Kumi'!C34,'11.08 Soroti-Kumi'!C34,'12.08 Soroti-Kumi'!C34,'13.08 Soroti-Kumi'!C34,'09.08 Soroti-Kumi-24h'!C34,'10.08 Soroti-Kumi-24h'!C34,'14.08 Soroti-Kumi'!C34)</f>
        <v>0.8571428571428571</v>
      </c>
      <c r="D34" s="49">
        <f>AVERAGE('08.08 Soroti-Kumi'!D34,'11.08 Soroti-Kumi'!D34,'12.08 Soroti-Kumi'!D34,'13.08 Soroti-Kumi'!D34,'09.08 Soroti-Kumi-24h'!D34,'10.08 Soroti-Kumi-24h'!D34,'14.08 Soroti-Kumi'!D34)</f>
        <v>0.42857142857142855</v>
      </c>
      <c r="E34" s="49">
        <f>AVERAGE('08.08 Soroti-Kumi'!E34,'11.08 Soroti-Kumi'!E34,'12.08 Soroti-Kumi'!E34,'13.08 Soroti-Kumi'!E34,'09.08 Soroti-Kumi-24h'!E34,'10.08 Soroti-Kumi-24h'!E34,'14.08 Soroti-Kumi'!E34)</f>
        <v>1.5714285714285714</v>
      </c>
      <c r="F34" s="49">
        <f>AVERAGE('08.08 Soroti-Kumi'!F34,'11.08 Soroti-Kumi'!F34,'12.08 Soroti-Kumi'!F34,'13.08 Soroti-Kumi'!F34,'09.08 Soroti-Kumi-24h'!F34,'10.08 Soroti-Kumi-24h'!F34,'14.08 Soroti-Kumi'!F34)</f>
        <v>3.1428571428571428</v>
      </c>
      <c r="G34" s="49">
        <f>AVERAGE('08.08 Soroti-Kumi'!G34,'11.08 Soroti-Kumi'!G34,'12.08 Soroti-Kumi'!G34,'13.08 Soroti-Kumi'!G34,'09.08 Soroti-Kumi-24h'!G34,'10.08 Soroti-Kumi-24h'!G34,'14.08 Soroti-Kumi'!G34)</f>
        <v>0</v>
      </c>
      <c r="H34" s="49">
        <f>AVERAGE('08.08 Soroti-Kumi'!H34,'11.08 Soroti-Kumi'!H34,'12.08 Soroti-Kumi'!H34,'13.08 Soroti-Kumi'!H34,'09.08 Soroti-Kumi-24h'!H34,'10.08 Soroti-Kumi-24h'!H34,'14.08 Soroti-Kumi'!H34)</f>
        <v>0.42857142857142855</v>
      </c>
      <c r="I34" s="49">
        <f>AVERAGE('08.08 Soroti-Kumi'!I34,'11.08 Soroti-Kumi'!I34,'12.08 Soroti-Kumi'!I34,'13.08 Soroti-Kumi'!I34,'09.08 Soroti-Kumi-24h'!I34,'10.08 Soroti-Kumi-24h'!I34,'14.08 Soroti-Kumi'!I34)</f>
        <v>2</v>
      </c>
      <c r="J34" s="49">
        <f>AVERAGE('08.08 Soroti-Kumi'!J34,'11.08 Soroti-Kumi'!J34,'12.08 Soroti-Kumi'!J34,'13.08 Soroti-Kumi'!J34,'09.08 Soroti-Kumi-24h'!J34,'10.08 Soroti-Kumi-24h'!J34,'14.08 Soroti-Kumi'!J34)</f>
        <v>0.2857142857142857</v>
      </c>
      <c r="K34" s="49">
        <f>AVERAGE('08.08 Soroti-Kumi'!K34,'11.08 Soroti-Kumi'!K34,'12.08 Soroti-Kumi'!K34,'13.08 Soroti-Kumi'!K34,'09.08 Soroti-Kumi-24h'!K34,'10.08 Soroti-Kumi-24h'!K34,'14.08 Soroti-Kumi'!K34)</f>
        <v>0</v>
      </c>
      <c r="L34" s="49">
        <f>AVERAGE('08.08 Soroti-Kumi'!L34,'11.08 Soroti-Kumi'!L34,'12.08 Soroti-Kumi'!L34,'13.08 Soroti-Kumi'!L34,'09.08 Soroti-Kumi-24h'!L34,'10.08 Soroti-Kumi-24h'!L34,'14.08 Soroti-Kumi'!L34)</f>
        <v>1.4285714285714286</v>
      </c>
      <c r="M34" s="49">
        <f>AVERAGE('08.08 Soroti-Kumi'!M34,'11.08 Soroti-Kumi'!M34,'12.08 Soroti-Kumi'!M34,'13.08 Soroti-Kumi'!M34,'09.08 Soroti-Kumi-24h'!M34,'10.08 Soroti-Kumi-24h'!M34,'14.08 Soroti-Kumi'!M34)</f>
        <v>6.2857142857142856</v>
      </c>
      <c r="N34" s="49">
        <f>AVERAGE('08.08 Soroti-Kumi'!N34,'11.08 Soroti-Kumi'!N34,'12.08 Soroti-Kumi'!N34,'13.08 Soroti-Kumi'!N34,'09.08 Soroti-Kumi-24h'!N34,'10.08 Soroti-Kumi-24h'!N34,'14.08 Soroti-Kumi'!N34)</f>
        <v>0</v>
      </c>
      <c r="O34" s="15">
        <f t="shared" si="0"/>
        <v>10.142857142857144</v>
      </c>
      <c r="P34" s="15">
        <f t="shared" si="1"/>
        <v>16.428571428571431</v>
      </c>
      <c r="R34" s="51" t="s">
        <v>90</v>
      </c>
      <c r="S34" s="52">
        <f t="shared" ref="S34:AF34" si="26">MAX(S10:S12)</f>
        <v>4.5714285714285712</v>
      </c>
      <c r="T34" s="52">
        <f t="shared" si="26"/>
        <v>2.8571428571428572</v>
      </c>
      <c r="U34" s="52">
        <f t="shared" si="26"/>
        <v>8</v>
      </c>
      <c r="V34" s="52">
        <f t="shared" si="26"/>
        <v>6.2857142857142847</v>
      </c>
      <c r="W34" s="52">
        <f t="shared" si="26"/>
        <v>0.14285714285714285</v>
      </c>
      <c r="X34" s="52">
        <f t="shared" si="26"/>
        <v>2.2857142857142856</v>
      </c>
      <c r="Y34" s="52">
        <f t="shared" si="26"/>
        <v>3.4285714285714288</v>
      </c>
      <c r="Z34" s="52">
        <f t="shared" si="26"/>
        <v>1.2857142857142856</v>
      </c>
      <c r="AA34" s="52">
        <f t="shared" si="26"/>
        <v>0.2857142857142857</v>
      </c>
      <c r="AB34" s="52">
        <f t="shared" si="26"/>
        <v>7.8571428571428577</v>
      </c>
      <c r="AC34" s="52">
        <f t="shared" si="26"/>
        <v>25.571428571428569</v>
      </c>
      <c r="AD34" s="52">
        <f t="shared" si="26"/>
        <v>0</v>
      </c>
      <c r="AE34" s="40">
        <f t="shared" si="26"/>
        <v>33.714285714285708</v>
      </c>
      <c r="AF34" s="40">
        <f t="shared" si="26"/>
        <v>54.714285714285715</v>
      </c>
    </row>
    <row r="35" spans="2:32" ht="23.1" customHeight="1" x14ac:dyDescent="0.25">
      <c r="B35" s="24" t="s">
        <v>62</v>
      </c>
      <c r="C35" s="49">
        <f>AVERAGE('08.08 Soroti-Kumi'!C35,'11.08 Soroti-Kumi'!C35,'12.08 Soroti-Kumi'!C35,'13.08 Soroti-Kumi'!C35,'09.08 Soroti-Kumi-24h'!C35,'10.08 Soroti-Kumi-24h'!C35,'14.08 Soroti-Kumi'!C35)</f>
        <v>1</v>
      </c>
      <c r="D35" s="49">
        <f>AVERAGE('08.08 Soroti-Kumi'!D35,'11.08 Soroti-Kumi'!D35,'12.08 Soroti-Kumi'!D35,'13.08 Soroti-Kumi'!D35,'09.08 Soroti-Kumi-24h'!D35,'10.08 Soroti-Kumi-24h'!D35,'14.08 Soroti-Kumi'!D35)</f>
        <v>0.7142857142857143</v>
      </c>
      <c r="E35" s="49">
        <f>AVERAGE('08.08 Soroti-Kumi'!E35,'11.08 Soroti-Kumi'!E35,'12.08 Soroti-Kumi'!E35,'13.08 Soroti-Kumi'!E35,'09.08 Soroti-Kumi-24h'!E35,'10.08 Soroti-Kumi-24h'!E35,'14.08 Soroti-Kumi'!E35)</f>
        <v>1.7142857142857142</v>
      </c>
      <c r="F35" s="49">
        <f>AVERAGE('08.08 Soroti-Kumi'!F35,'11.08 Soroti-Kumi'!F35,'12.08 Soroti-Kumi'!F35,'13.08 Soroti-Kumi'!F35,'09.08 Soroti-Kumi-24h'!F35,'10.08 Soroti-Kumi-24h'!F35,'14.08 Soroti-Kumi'!F35)</f>
        <v>1.5714285714285714</v>
      </c>
      <c r="G35" s="49">
        <f>AVERAGE('08.08 Soroti-Kumi'!G35,'11.08 Soroti-Kumi'!G35,'12.08 Soroti-Kumi'!G35,'13.08 Soroti-Kumi'!G35,'09.08 Soroti-Kumi-24h'!G35,'10.08 Soroti-Kumi-24h'!G35,'14.08 Soroti-Kumi'!G35)</f>
        <v>0.5714285714285714</v>
      </c>
      <c r="H35" s="49">
        <f>AVERAGE('08.08 Soroti-Kumi'!H35,'11.08 Soroti-Kumi'!H35,'12.08 Soroti-Kumi'!H35,'13.08 Soroti-Kumi'!H35,'09.08 Soroti-Kumi-24h'!H35,'10.08 Soroti-Kumi-24h'!H35,'14.08 Soroti-Kumi'!H35)</f>
        <v>0.7142857142857143</v>
      </c>
      <c r="I35" s="49">
        <f>AVERAGE('08.08 Soroti-Kumi'!I35,'11.08 Soroti-Kumi'!I35,'12.08 Soroti-Kumi'!I35,'13.08 Soroti-Kumi'!I35,'09.08 Soroti-Kumi-24h'!I35,'10.08 Soroti-Kumi-24h'!I35,'14.08 Soroti-Kumi'!I35)</f>
        <v>0.7142857142857143</v>
      </c>
      <c r="J35" s="49">
        <f>AVERAGE('08.08 Soroti-Kumi'!J35,'11.08 Soroti-Kumi'!J35,'12.08 Soroti-Kumi'!J35,'13.08 Soroti-Kumi'!J35,'09.08 Soroti-Kumi-24h'!J35,'10.08 Soroti-Kumi-24h'!J35,'14.08 Soroti-Kumi'!J35)</f>
        <v>0.14285714285714285</v>
      </c>
      <c r="K35" s="49">
        <f>AVERAGE('08.08 Soroti-Kumi'!K35,'11.08 Soroti-Kumi'!K35,'12.08 Soroti-Kumi'!K35,'13.08 Soroti-Kumi'!K35,'09.08 Soroti-Kumi-24h'!K35,'10.08 Soroti-Kumi-24h'!K35,'14.08 Soroti-Kumi'!K35)</f>
        <v>0</v>
      </c>
      <c r="L35" s="49">
        <f>AVERAGE('08.08 Soroti-Kumi'!L35,'11.08 Soroti-Kumi'!L35,'12.08 Soroti-Kumi'!L35,'13.08 Soroti-Kumi'!L35,'09.08 Soroti-Kumi-24h'!L35,'10.08 Soroti-Kumi-24h'!L35,'14.08 Soroti-Kumi'!L35)</f>
        <v>1.7142857142857142</v>
      </c>
      <c r="M35" s="49">
        <f>AVERAGE('08.08 Soroti-Kumi'!M35,'11.08 Soroti-Kumi'!M35,'12.08 Soroti-Kumi'!M35,'13.08 Soroti-Kumi'!M35,'09.08 Soroti-Kumi-24h'!M35,'10.08 Soroti-Kumi-24h'!M35,'14.08 Soroti-Kumi'!M35)</f>
        <v>4.4285714285714288</v>
      </c>
      <c r="N35" s="49">
        <f>AVERAGE('08.08 Soroti-Kumi'!N35,'11.08 Soroti-Kumi'!N35,'12.08 Soroti-Kumi'!N35,'13.08 Soroti-Kumi'!N35,'09.08 Soroti-Kumi-24h'!N35,'10.08 Soroti-Kumi-24h'!N35,'14.08 Soroti-Kumi'!N35)</f>
        <v>0</v>
      </c>
      <c r="O35" s="15">
        <f t="shared" si="0"/>
        <v>8.8571428571428577</v>
      </c>
      <c r="P35" s="15">
        <f t="shared" si="1"/>
        <v>13.285714285714286</v>
      </c>
      <c r="R35" s="51" t="s">
        <v>91</v>
      </c>
      <c r="S35" s="52">
        <f t="shared" ref="S35:AF35" si="27">MAX(S13:S18)</f>
        <v>6</v>
      </c>
      <c r="T35" s="52">
        <f t="shared" si="27"/>
        <v>4.5714285714285712</v>
      </c>
      <c r="U35" s="52">
        <f t="shared" si="27"/>
        <v>11.142857142857142</v>
      </c>
      <c r="V35" s="52">
        <f t="shared" si="27"/>
        <v>8.8571428571428577</v>
      </c>
      <c r="W35" s="52">
        <f t="shared" si="27"/>
        <v>0.71428571428571419</v>
      </c>
      <c r="X35" s="52">
        <f t="shared" si="27"/>
        <v>3.2857142857142856</v>
      </c>
      <c r="Y35" s="52">
        <f t="shared" si="27"/>
        <v>7.7142857142857144</v>
      </c>
      <c r="Z35" s="52">
        <f t="shared" si="27"/>
        <v>1.7142857142857142</v>
      </c>
      <c r="AA35" s="52">
        <f t="shared" si="27"/>
        <v>0.5714285714285714</v>
      </c>
      <c r="AB35" s="52">
        <f t="shared" si="27"/>
        <v>7.4285714285714288</v>
      </c>
      <c r="AC35" s="52">
        <f t="shared" si="27"/>
        <v>19.571428571428573</v>
      </c>
      <c r="AD35" s="52">
        <f t="shared" si="27"/>
        <v>0.14285714285714285</v>
      </c>
      <c r="AE35" s="40">
        <f t="shared" si="27"/>
        <v>47.285714285714292</v>
      </c>
      <c r="AF35" s="40">
        <f t="shared" si="27"/>
        <v>64.428571428571431</v>
      </c>
    </row>
    <row r="36" spans="2:32" ht="23.1" customHeight="1" x14ac:dyDescent="0.25">
      <c r="B36" s="24" t="s">
        <v>63</v>
      </c>
      <c r="C36" s="49">
        <f>AVERAGE('08.08 Soroti-Kumi'!C36,'11.08 Soroti-Kumi'!C36,'12.08 Soroti-Kumi'!C36,'13.08 Soroti-Kumi'!C36,'09.08 Soroti-Kumi-24h'!C36,'10.08 Soroti-Kumi-24h'!C36,'14.08 Soroti-Kumi'!C36)</f>
        <v>0.8571428571428571</v>
      </c>
      <c r="D36" s="49">
        <f>AVERAGE('08.08 Soroti-Kumi'!D36,'11.08 Soroti-Kumi'!D36,'12.08 Soroti-Kumi'!D36,'13.08 Soroti-Kumi'!D36,'09.08 Soroti-Kumi-24h'!D36,'10.08 Soroti-Kumi-24h'!D36,'14.08 Soroti-Kumi'!D36)</f>
        <v>0.8571428571428571</v>
      </c>
      <c r="E36" s="49">
        <f>AVERAGE('08.08 Soroti-Kumi'!E36,'11.08 Soroti-Kumi'!E36,'12.08 Soroti-Kumi'!E36,'13.08 Soroti-Kumi'!E36,'09.08 Soroti-Kumi-24h'!E36,'10.08 Soroti-Kumi-24h'!E36,'14.08 Soroti-Kumi'!E36)</f>
        <v>2</v>
      </c>
      <c r="F36" s="49">
        <f>AVERAGE('08.08 Soroti-Kumi'!F36,'11.08 Soroti-Kumi'!F36,'12.08 Soroti-Kumi'!F36,'13.08 Soroti-Kumi'!F36,'09.08 Soroti-Kumi-24h'!F36,'10.08 Soroti-Kumi-24h'!F36,'14.08 Soroti-Kumi'!F36)</f>
        <v>1.8571428571428572</v>
      </c>
      <c r="G36" s="49">
        <f>AVERAGE('08.08 Soroti-Kumi'!G36,'11.08 Soroti-Kumi'!G36,'12.08 Soroti-Kumi'!G36,'13.08 Soroti-Kumi'!G36,'09.08 Soroti-Kumi-24h'!G36,'10.08 Soroti-Kumi-24h'!G36,'14.08 Soroti-Kumi'!G36)</f>
        <v>0</v>
      </c>
      <c r="H36" s="49">
        <f>AVERAGE('08.08 Soroti-Kumi'!H36,'11.08 Soroti-Kumi'!H36,'12.08 Soroti-Kumi'!H36,'13.08 Soroti-Kumi'!H36,'09.08 Soroti-Kumi-24h'!H36,'10.08 Soroti-Kumi-24h'!H36,'14.08 Soroti-Kumi'!H36)</f>
        <v>0.42857142857142855</v>
      </c>
      <c r="I36" s="49">
        <f>AVERAGE('08.08 Soroti-Kumi'!I36,'11.08 Soroti-Kumi'!I36,'12.08 Soroti-Kumi'!I36,'13.08 Soroti-Kumi'!I36,'09.08 Soroti-Kumi-24h'!I36,'10.08 Soroti-Kumi-24h'!I36,'14.08 Soroti-Kumi'!I36)</f>
        <v>1.7142857142857142</v>
      </c>
      <c r="J36" s="49">
        <f>AVERAGE('08.08 Soroti-Kumi'!J36,'11.08 Soroti-Kumi'!J36,'12.08 Soroti-Kumi'!J36,'13.08 Soroti-Kumi'!J36,'09.08 Soroti-Kumi-24h'!J36,'10.08 Soroti-Kumi-24h'!J36,'14.08 Soroti-Kumi'!J36)</f>
        <v>0.14285714285714285</v>
      </c>
      <c r="K36" s="49">
        <f>AVERAGE('08.08 Soroti-Kumi'!K36,'11.08 Soroti-Kumi'!K36,'12.08 Soroti-Kumi'!K36,'13.08 Soroti-Kumi'!K36,'09.08 Soroti-Kumi-24h'!K36,'10.08 Soroti-Kumi-24h'!K36,'14.08 Soroti-Kumi'!K36)</f>
        <v>0.42857142857142855</v>
      </c>
      <c r="L36" s="49">
        <f>AVERAGE('08.08 Soroti-Kumi'!L36,'11.08 Soroti-Kumi'!L36,'12.08 Soroti-Kumi'!L36,'13.08 Soroti-Kumi'!L36,'09.08 Soroti-Kumi-24h'!L36,'10.08 Soroti-Kumi-24h'!L36,'14.08 Soroti-Kumi'!L36)</f>
        <v>1</v>
      </c>
      <c r="M36" s="49">
        <f>AVERAGE('08.08 Soroti-Kumi'!M36,'11.08 Soroti-Kumi'!M36,'12.08 Soroti-Kumi'!M36,'13.08 Soroti-Kumi'!M36,'09.08 Soroti-Kumi-24h'!M36,'10.08 Soroti-Kumi-24h'!M36,'14.08 Soroti-Kumi'!M36)</f>
        <v>5.8571428571428568</v>
      </c>
      <c r="N36" s="49">
        <f>AVERAGE('08.08 Soroti-Kumi'!N36,'11.08 Soroti-Kumi'!N36,'12.08 Soroti-Kumi'!N36,'13.08 Soroti-Kumi'!N36,'09.08 Soroti-Kumi-24h'!N36,'10.08 Soroti-Kumi-24h'!N36,'14.08 Soroti-Kumi'!N36)</f>
        <v>0</v>
      </c>
      <c r="O36" s="15">
        <f t="shared" si="0"/>
        <v>9.2857142857142865</v>
      </c>
      <c r="P36" s="15">
        <f t="shared" si="1"/>
        <v>15.142857142857142</v>
      </c>
      <c r="R36" s="51" t="s">
        <v>92</v>
      </c>
      <c r="S36" s="52">
        <f t="shared" ref="S36:AF36" si="28">MAX(S19:S21)</f>
        <v>6.4285714285714288</v>
      </c>
      <c r="T36" s="52">
        <f t="shared" si="28"/>
        <v>4.5714285714285712</v>
      </c>
      <c r="U36" s="52">
        <f t="shared" si="28"/>
        <v>11.285714285714285</v>
      </c>
      <c r="V36" s="52">
        <f t="shared" si="28"/>
        <v>12.428571428571429</v>
      </c>
      <c r="W36" s="52">
        <f t="shared" si="28"/>
        <v>0.5714285714285714</v>
      </c>
      <c r="X36" s="52">
        <f t="shared" si="28"/>
        <v>1.1428571428571428</v>
      </c>
      <c r="Y36" s="52">
        <f t="shared" si="28"/>
        <v>9</v>
      </c>
      <c r="Z36" s="52">
        <f t="shared" si="28"/>
        <v>2.2857142857142856</v>
      </c>
      <c r="AA36" s="52">
        <f t="shared" si="28"/>
        <v>1</v>
      </c>
      <c r="AB36" s="52">
        <f t="shared" si="28"/>
        <v>11.714285714285712</v>
      </c>
      <c r="AC36" s="52">
        <f t="shared" si="28"/>
        <v>18.571428571428569</v>
      </c>
      <c r="AD36" s="52">
        <f t="shared" si="28"/>
        <v>0.14285714285714285</v>
      </c>
      <c r="AE36" s="40">
        <f t="shared" si="28"/>
        <v>54.428571428571431</v>
      </c>
      <c r="AF36" s="40">
        <f t="shared" si="28"/>
        <v>72.999999999999986</v>
      </c>
    </row>
    <row r="37" spans="2:32" ht="23.1" customHeight="1" x14ac:dyDescent="0.25">
      <c r="B37" s="23" t="s">
        <v>64</v>
      </c>
      <c r="C37" s="49">
        <f>AVERAGE('08.08 Soroti-Kumi'!C37,'11.08 Soroti-Kumi'!C37,'12.08 Soroti-Kumi'!C37,'13.08 Soroti-Kumi'!C37,'09.08 Soroti-Kumi-24h'!C37,'10.08 Soroti-Kumi-24h'!C37,'14.08 Soroti-Kumi'!C37)</f>
        <v>0.5714285714285714</v>
      </c>
      <c r="D37" s="49">
        <f>AVERAGE('08.08 Soroti-Kumi'!D37,'11.08 Soroti-Kumi'!D37,'12.08 Soroti-Kumi'!D37,'13.08 Soroti-Kumi'!D37,'09.08 Soroti-Kumi-24h'!D37,'10.08 Soroti-Kumi-24h'!D37,'14.08 Soroti-Kumi'!D37)</f>
        <v>0.2857142857142857</v>
      </c>
      <c r="E37" s="49">
        <f>AVERAGE('08.08 Soroti-Kumi'!E37,'11.08 Soroti-Kumi'!E37,'12.08 Soroti-Kumi'!E37,'13.08 Soroti-Kumi'!E37,'09.08 Soroti-Kumi-24h'!E37,'10.08 Soroti-Kumi-24h'!E37,'14.08 Soroti-Kumi'!E37)</f>
        <v>1.4285714285714286</v>
      </c>
      <c r="F37" s="49">
        <f>AVERAGE('08.08 Soroti-Kumi'!F37,'11.08 Soroti-Kumi'!F37,'12.08 Soroti-Kumi'!F37,'13.08 Soroti-Kumi'!F37,'09.08 Soroti-Kumi-24h'!F37,'10.08 Soroti-Kumi-24h'!F37,'14.08 Soroti-Kumi'!F37)</f>
        <v>2.1428571428571428</v>
      </c>
      <c r="G37" s="49">
        <f>AVERAGE('08.08 Soroti-Kumi'!G37,'11.08 Soroti-Kumi'!G37,'12.08 Soroti-Kumi'!G37,'13.08 Soroti-Kumi'!G37,'09.08 Soroti-Kumi-24h'!G37,'10.08 Soroti-Kumi-24h'!G37,'14.08 Soroti-Kumi'!G37)</f>
        <v>0.14285714285714285</v>
      </c>
      <c r="H37" s="49">
        <f>AVERAGE('08.08 Soroti-Kumi'!H37,'11.08 Soroti-Kumi'!H37,'12.08 Soroti-Kumi'!H37,'13.08 Soroti-Kumi'!H37,'09.08 Soroti-Kumi-24h'!H37,'10.08 Soroti-Kumi-24h'!H37,'14.08 Soroti-Kumi'!H37)</f>
        <v>0.2857142857142857</v>
      </c>
      <c r="I37" s="49">
        <f>AVERAGE('08.08 Soroti-Kumi'!I37,'11.08 Soroti-Kumi'!I37,'12.08 Soroti-Kumi'!I37,'13.08 Soroti-Kumi'!I37,'09.08 Soroti-Kumi-24h'!I37,'10.08 Soroti-Kumi-24h'!I37,'14.08 Soroti-Kumi'!I37)</f>
        <v>2</v>
      </c>
      <c r="J37" s="49">
        <f>AVERAGE('08.08 Soroti-Kumi'!J37,'11.08 Soroti-Kumi'!J37,'12.08 Soroti-Kumi'!J37,'13.08 Soroti-Kumi'!J37,'09.08 Soroti-Kumi-24h'!J37,'10.08 Soroti-Kumi-24h'!J37,'14.08 Soroti-Kumi'!J37)</f>
        <v>0.5714285714285714</v>
      </c>
      <c r="K37" s="49">
        <f>AVERAGE('08.08 Soroti-Kumi'!K37,'11.08 Soroti-Kumi'!K37,'12.08 Soroti-Kumi'!K37,'13.08 Soroti-Kumi'!K37,'09.08 Soroti-Kumi-24h'!K37,'10.08 Soroti-Kumi-24h'!K37,'14.08 Soroti-Kumi'!K37)</f>
        <v>0.14285714285714285</v>
      </c>
      <c r="L37" s="49">
        <f>AVERAGE('08.08 Soroti-Kumi'!L37,'11.08 Soroti-Kumi'!L37,'12.08 Soroti-Kumi'!L37,'13.08 Soroti-Kumi'!L37,'09.08 Soroti-Kumi-24h'!L37,'10.08 Soroti-Kumi-24h'!L37,'14.08 Soroti-Kumi'!L37)</f>
        <v>1.2857142857142858</v>
      </c>
      <c r="M37" s="49">
        <f>AVERAGE('08.08 Soroti-Kumi'!M37,'11.08 Soroti-Kumi'!M37,'12.08 Soroti-Kumi'!M37,'13.08 Soroti-Kumi'!M37,'09.08 Soroti-Kumi-24h'!M37,'10.08 Soroti-Kumi-24h'!M37,'14.08 Soroti-Kumi'!M37)</f>
        <v>2.5714285714285716</v>
      </c>
      <c r="N37" s="49">
        <f>AVERAGE('08.08 Soroti-Kumi'!N37,'11.08 Soroti-Kumi'!N37,'12.08 Soroti-Kumi'!N37,'13.08 Soroti-Kumi'!N37,'09.08 Soroti-Kumi-24h'!N37,'10.08 Soroti-Kumi-24h'!N37,'14.08 Soroti-Kumi'!N37)</f>
        <v>0</v>
      </c>
      <c r="O37" s="15">
        <f t="shared" si="0"/>
        <v>8.8571428571428577</v>
      </c>
      <c r="P37" s="15">
        <f t="shared" si="1"/>
        <v>11.428571428571429</v>
      </c>
      <c r="R37" s="37" t="s">
        <v>85</v>
      </c>
      <c r="S37" s="53">
        <f t="shared" ref="S37:AF37" si="29">SUM(S10:S12)</f>
        <v>10.714285714285714</v>
      </c>
      <c r="T37" s="54">
        <f t="shared" si="29"/>
        <v>5.8571428571428577</v>
      </c>
      <c r="U37" s="54">
        <f t="shared" si="29"/>
        <v>19.285714285714285</v>
      </c>
      <c r="V37" s="54">
        <f t="shared" si="29"/>
        <v>16.142857142857142</v>
      </c>
      <c r="W37" s="54">
        <f t="shared" si="29"/>
        <v>0.2857142857142857</v>
      </c>
      <c r="X37" s="54">
        <f t="shared" si="29"/>
        <v>4</v>
      </c>
      <c r="Y37" s="54">
        <f t="shared" si="29"/>
        <v>9.428571428571427</v>
      </c>
      <c r="Z37" s="54">
        <f t="shared" si="29"/>
        <v>2.5714285714285712</v>
      </c>
      <c r="AA37" s="54">
        <f t="shared" si="29"/>
        <v>0.5714285714285714</v>
      </c>
      <c r="AB37" s="54">
        <f t="shared" si="29"/>
        <v>16.428571428571427</v>
      </c>
      <c r="AC37" s="54">
        <f t="shared" si="29"/>
        <v>63.285714285714285</v>
      </c>
      <c r="AD37" s="54">
        <f t="shared" si="29"/>
        <v>0</v>
      </c>
      <c r="AE37" s="55">
        <f t="shared" si="29"/>
        <v>85.285714285714278</v>
      </c>
      <c r="AF37" s="55">
        <f t="shared" si="29"/>
        <v>148.57142857142856</v>
      </c>
    </row>
    <row r="38" spans="2:32" ht="23.1" customHeight="1" x14ac:dyDescent="0.25">
      <c r="B38" s="24" t="s">
        <v>65</v>
      </c>
      <c r="C38" s="49">
        <f>AVERAGE('08.08 Soroti-Kumi'!C38,'11.08 Soroti-Kumi'!C38,'12.08 Soroti-Kumi'!C38,'13.08 Soroti-Kumi'!C38,'09.08 Soroti-Kumi-24h'!C38,'10.08 Soroti-Kumi-24h'!C38,'14.08 Soroti-Kumi'!C38)</f>
        <v>1.4285714285714286</v>
      </c>
      <c r="D38" s="49">
        <f>AVERAGE('08.08 Soroti-Kumi'!D38,'11.08 Soroti-Kumi'!D38,'12.08 Soroti-Kumi'!D38,'13.08 Soroti-Kumi'!D38,'09.08 Soroti-Kumi-24h'!D38,'10.08 Soroti-Kumi-24h'!D38,'14.08 Soroti-Kumi'!D38)</f>
        <v>0.7142857142857143</v>
      </c>
      <c r="E38" s="49">
        <f>AVERAGE('08.08 Soroti-Kumi'!E38,'11.08 Soroti-Kumi'!E38,'12.08 Soroti-Kumi'!E38,'13.08 Soroti-Kumi'!E38,'09.08 Soroti-Kumi-24h'!E38,'10.08 Soroti-Kumi-24h'!E38,'14.08 Soroti-Kumi'!E38)</f>
        <v>2</v>
      </c>
      <c r="F38" s="49">
        <f>AVERAGE('08.08 Soroti-Kumi'!F38,'11.08 Soroti-Kumi'!F38,'12.08 Soroti-Kumi'!F38,'13.08 Soroti-Kumi'!F38,'09.08 Soroti-Kumi-24h'!F38,'10.08 Soroti-Kumi-24h'!F38,'14.08 Soroti-Kumi'!F38)</f>
        <v>2</v>
      </c>
      <c r="G38" s="49">
        <f>AVERAGE('08.08 Soroti-Kumi'!G38,'11.08 Soroti-Kumi'!G38,'12.08 Soroti-Kumi'!G38,'13.08 Soroti-Kumi'!G38,'09.08 Soroti-Kumi-24h'!G38,'10.08 Soroti-Kumi-24h'!G38,'14.08 Soroti-Kumi'!G38)</f>
        <v>0</v>
      </c>
      <c r="H38" s="49">
        <f>AVERAGE('08.08 Soroti-Kumi'!H38,'11.08 Soroti-Kumi'!H38,'12.08 Soroti-Kumi'!H38,'13.08 Soroti-Kumi'!H38,'09.08 Soroti-Kumi-24h'!H38,'10.08 Soroti-Kumi-24h'!H38,'14.08 Soroti-Kumi'!H38)</f>
        <v>0.2857142857142857</v>
      </c>
      <c r="I38" s="49">
        <f>AVERAGE('08.08 Soroti-Kumi'!I38,'11.08 Soroti-Kumi'!I38,'12.08 Soroti-Kumi'!I38,'13.08 Soroti-Kumi'!I38,'09.08 Soroti-Kumi-24h'!I38,'10.08 Soroti-Kumi-24h'!I38,'14.08 Soroti-Kumi'!I38)</f>
        <v>2</v>
      </c>
      <c r="J38" s="49">
        <f>AVERAGE('08.08 Soroti-Kumi'!J38,'11.08 Soroti-Kumi'!J38,'12.08 Soroti-Kumi'!J38,'13.08 Soroti-Kumi'!J38,'09.08 Soroti-Kumi-24h'!J38,'10.08 Soroti-Kumi-24h'!J38,'14.08 Soroti-Kumi'!J38)</f>
        <v>0.2857142857142857</v>
      </c>
      <c r="K38" s="49">
        <f>AVERAGE('08.08 Soroti-Kumi'!K38,'11.08 Soroti-Kumi'!K38,'12.08 Soroti-Kumi'!K38,'13.08 Soroti-Kumi'!K38,'09.08 Soroti-Kumi-24h'!K38,'10.08 Soroti-Kumi-24h'!K38,'14.08 Soroti-Kumi'!K38)</f>
        <v>0</v>
      </c>
      <c r="L38" s="49">
        <f>AVERAGE('08.08 Soroti-Kumi'!L38,'11.08 Soroti-Kumi'!L38,'12.08 Soroti-Kumi'!L38,'13.08 Soroti-Kumi'!L38,'09.08 Soroti-Kumi-24h'!L38,'10.08 Soroti-Kumi-24h'!L38,'14.08 Soroti-Kumi'!L38)</f>
        <v>1.2857142857142858</v>
      </c>
      <c r="M38" s="49">
        <f>AVERAGE('08.08 Soroti-Kumi'!M38,'11.08 Soroti-Kumi'!M38,'12.08 Soroti-Kumi'!M38,'13.08 Soroti-Kumi'!M38,'09.08 Soroti-Kumi-24h'!M38,'10.08 Soroti-Kumi-24h'!M38,'14.08 Soroti-Kumi'!M38)</f>
        <v>2.7142857142857144</v>
      </c>
      <c r="N38" s="49">
        <f>AVERAGE('08.08 Soroti-Kumi'!N38,'11.08 Soroti-Kumi'!N38,'12.08 Soroti-Kumi'!N38,'13.08 Soroti-Kumi'!N38,'09.08 Soroti-Kumi-24h'!N38,'10.08 Soroti-Kumi-24h'!N38,'14.08 Soroti-Kumi'!N38)</f>
        <v>0</v>
      </c>
      <c r="O38" s="15">
        <f t="shared" si="0"/>
        <v>10</v>
      </c>
      <c r="P38" s="15">
        <f t="shared" si="1"/>
        <v>12.714285714285715</v>
      </c>
      <c r="R38" s="28" t="s">
        <v>86</v>
      </c>
      <c r="S38" s="54">
        <f t="shared" ref="S38:AF38" si="30">SUM(S13:S18)</f>
        <v>27.285714285714285</v>
      </c>
      <c r="T38" s="54">
        <f t="shared" si="30"/>
        <v>20.714285714285715</v>
      </c>
      <c r="U38" s="54">
        <f t="shared" si="30"/>
        <v>54.857142857142861</v>
      </c>
      <c r="V38" s="54">
        <f t="shared" si="30"/>
        <v>51</v>
      </c>
      <c r="W38" s="54">
        <f t="shared" si="30"/>
        <v>1.714285714285714</v>
      </c>
      <c r="X38" s="54">
        <f t="shared" si="30"/>
        <v>11.428571428571429</v>
      </c>
      <c r="Y38" s="54">
        <f t="shared" si="30"/>
        <v>35.714285714285715</v>
      </c>
      <c r="Z38" s="54">
        <f t="shared" si="30"/>
        <v>5.7142857142857135</v>
      </c>
      <c r="AA38" s="54">
        <f t="shared" si="30"/>
        <v>1.5714285714285712</v>
      </c>
      <c r="AB38" s="54">
        <f t="shared" si="30"/>
        <v>36</v>
      </c>
      <c r="AC38" s="54">
        <f t="shared" si="30"/>
        <v>103.14285714285714</v>
      </c>
      <c r="AD38" s="54">
        <f t="shared" si="30"/>
        <v>0.2857142857142857</v>
      </c>
      <c r="AE38" s="55">
        <f t="shared" si="30"/>
        <v>246.28571428571428</v>
      </c>
      <c r="AF38" s="55">
        <f t="shared" si="30"/>
        <v>349.42857142857144</v>
      </c>
    </row>
    <row r="39" spans="2:32" ht="23.1" customHeight="1" x14ac:dyDescent="0.25">
      <c r="B39" s="24" t="s">
        <v>66</v>
      </c>
      <c r="C39" s="49">
        <f>AVERAGE('08.08 Soroti-Kumi'!C39,'11.08 Soroti-Kumi'!C39,'12.08 Soroti-Kumi'!C39,'13.08 Soroti-Kumi'!C39,'09.08 Soroti-Kumi-24h'!C39,'10.08 Soroti-Kumi-24h'!C39,'14.08 Soroti-Kumi'!C39)</f>
        <v>0.8571428571428571</v>
      </c>
      <c r="D39" s="49">
        <f>AVERAGE('08.08 Soroti-Kumi'!D39,'11.08 Soroti-Kumi'!D39,'12.08 Soroti-Kumi'!D39,'13.08 Soroti-Kumi'!D39,'09.08 Soroti-Kumi-24h'!D39,'10.08 Soroti-Kumi-24h'!D39,'14.08 Soroti-Kumi'!D39)</f>
        <v>0.8571428571428571</v>
      </c>
      <c r="E39" s="49">
        <f>AVERAGE('08.08 Soroti-Kumi'!E39,'11.08 Soroti-Kumi'!E39,'12.08 Soroti-Kumi'!E39,'13.08 Soroti-Kumi'!E39,'09.08 Soroti-Kumi-24h'!E39,'10.08 Soroti-Kumi-24h'!E39,'14.08 Soroti-Kumi'!E39)</f>
        <v>2.5714285714285716</v>
      </c>
      <c r="F39" s="49">
        <f>AVERAGE('08.08 Soroti-Kumi'!F39,'11.08 Soroti-Kumi'!F39,'12.08 Soroti-Kumi'!F39,'13.08 Soroti-Kumi'!F39,'09.08 Soroti-Kumi-24h'!F39,'10.08 Soroti-Kumi-24h'!F39,'14.08 Soroti-Kumi'!F39)</f>
        <v>1.5714285714285714</v>
      </c>
      <c r="G39" s="49">
        <f>AVERAGE('08.08 Soroti-Kumi'!G39,'11.08 Soroti-Kumi'!G39,'12.08 Soroti-Kumi'!G39,'13.08 Soroti-Kumi'!G39,'09.08 Soroti-Kumi-24h'!G39,'10.08 Soroti-Kumi-24h'!G39,'14.08 Soroti-Kumi'!G39)</f>
        <v>0.2857142857142857</v>
      </c>
      <c r="H39" s="49">
        <f>AVERAGE('08.08 Soroti-Kumi'!H39,'11.08 Soroti-Kumi'!H39,'12.08 Soroti-Kumi'!H39,'13.08 Soroti-Kumi'!H39,'09.08 Soroti-Kumi-24h'!H39,'10.08 Soroti-Kumi-24h'!H39,'14.08 Soroti-Kumi'!H39)</f>
        <v>0.42857142857142855</v>
      </c>
      <c r="I39" s="49">
        <f>AVERAGE('08.08 Soroti-Kumi'!I39,'11.08 Soroti-Kumi'!I39,'12.08 Soroti-Kumi'!I39,'13.08 Soroti-Kumi'!I39,'09.08 Soroti-Kumi-24h'!I39,'10.08 Soroti-Kumi-24h'!I39,'14.08 Soroti-Kumi'!I39)</f>
        <v>2.2857142857142856</v>
      </c>
      <c r="J39" s="49">
        <f>AVERAGE('08.08 Soroti-Kumi'!J39,'11.08 Soroti-Kumi'!J39,'12.08 Soroti-Kumi'!J39,'13.08 Soroti-Kumi'!J39,'09.08 Soroti-Kumi-24h'!J39,'10.08 Soroti-Kumi-24h'!J39,'14.08 Soroti-Kumi'!J39)</f>
        <v>0.14285714285714285</v>
      </c>
      <c r="K39" s="49">
        <f>AVERAGE('08.08 Soroti-Kumi'!K39,'11.08 Soroti-Kumi'!K39,'12.08 Soroti-Kumi'!K39,'13.08 Soroti-Kumi'!K39,'09.08 Soroti-Kumi-24h'!K39,'10.08 Soroti-Kumi-24h'!K39,'14.08 Soroti-Kumi'!K39)</f>
        <v>0</v>
      </c>
      <c r="L39" s="49">
        <f>AVERAGE('08.08 Soroti-Kumi'!L39,'11.08 Soroti-Kumi'!L39,'12.08 Soroti-Kumi'!L39,'13.08 Soroti-Kumi'!L39,'09.08 Soroti-Kumi-24h'!L39,'10.08 Soroti-Kumi-24h'!L39,'14.08 Soroti-Kumi'!L39)</f>
        <v>0.8571428571428571</v>
      </c>
      <c r="M39" s="49">
        <f>AVERAGE('08.08 Soroti-Kumi'!M39,'11.08 Soroti-Kumi'!M39,'12.08 Soroti-Kumi'!M39,'13.08 Soroti-Kumi'!M39,'09.08 Soroti-Kumi-24h'!M39,'10.08 Soroti-Kumi-24h'!M39,'14.08 Soroti-Kumi'!M39)</f>
        <v>3.2857142857142856</v>
      </c>
      <c r="N39" s="49">
        <f>AVERAGE('08.08 Soroti-Kumi'!N39,'11.08 Soroti-Kumi'!N39,'12.08 Soroti-Kumi'!N39,'13.08 Soroti-Kumi'!N39,'09.08 Soroti-Kumi-24h'!N39,'10.08 Soroti-Kumi-24h'!N39,'14.08 Soroti-Kumi'!N39)</f>
        <v>0</v>
      </c>
      <c r="O39" s="15">
        <f t="shared" si="0"/>
        <v>9.8571428571428577</v>
      </c>
      <c r="P39" s="15">
        <f t="shared" si="1"/>
        <v>13.142857142857142</v>
      </c>
      <c r="R39" s="29" t="s">
        <v>87</v>
      </c>
      <c r="S39" s="54">
        <f t="shared" ref="S39:AF39" si="31">SUM(S19:S21)</f>
        <v>18.428571428571431</v>
      </c>
      <c r="T39" s="54">
        <f t="shared" si="31"/>
        <v>13.714285714285714</v>
      </c>
      <c r="U39" s="54">
        <f t="shared" si="31"/>
        <v>32</v>
      </c>
      <c r="V39" s="54">
        <f t="shared" si="31"/>
        <v>32.428571428571431</v>
      </c>
      <c r="W39" s="54">
        <f t="shared" si="31"/>
        <v>0.5714285714285714</v>
      </c>
      <c r="X39" s="54">
        <f t="shared" si="31"/>
        <v>1.4285714285714284</v>
      </c>
      <c r="Y39" s="54">
        <f t="shared" si="31"/>
        <v>25</v>
      </c>
      <c r="Z39" s="54">
        <f t="shared" si="31"/>
        <v>6.1428571428571423</v>
      </c>
      <c r="AA39" s="54">
        <f t="shared" si="31"/>
        <v>1.9999999999999998</v>
      </c>
      <c r="AB39" s="54">
        <f t="shared" si="31"/>
        <v>28.571428571428566</v>
      </c>
      <c r="AC39" s="54">
        <f t="shared" si="31"/>
        <v>51</v>
      </c>
      <c r="AD39" s="54">
        <f t="shared" si="31"/>
        <v>0.14285714285714285</v>
      </c>
      <c r="AE39" s="55">
        <f t="shared" si="31"/>
        <v>160.42857142857142</v>
      </c>
      <c r="AF39" s="55">
        <f t="shared" si="31"/>
        <v>211.42857142857142</v>
      </c>
    </row>
    <row r="40" spans="2:32" ht="23.1" customHeight="1" x14ac:dyDescent="0.25">
      <c r="B40" s="24" t="s">
        <v>67</v>
      </c>
      <c r="C40" s="49">
        <f>AVERAGE('08.08 Soroti-Kumi'!C40,'11.08 Soroti-Kumi'!C40,'12.08 Soroti-Kumi'!C40,'13.08 Soroti-Kumi'!C40,'09.08 Soroti-Kumi-24h'!C40,'10.08 Soroti-Kumi-24h'!C40,'14.08 Soroti-Kumi'!C40)</f>
        <v>0.7142857142857143</v>
      </c>
      <c r="D40" s="49">
        <f>AVERAGE('08.08 Soroti-Kumi'!D40,'11.08 Soroti-Kumi'!D40,'12.08 Soroti-Kumi'!D40,'13.08 Soroti-Kumi'!D40,'09.08 Soroti-Kumi-24h'!D40,'10.08 Soroti-Kumi-24h'!D40,'14.08 Soroti-Kumi'!D40)</f>
        <v>0.8571428571428571</v>
      </c>
      <c r="E40" s="49">
        <f>AVERAGE('08.08 Soroti-Kumi'!E40,'11.08 Soroti-Kumi'!E40,'12.08 Soroti-Kumi'!E40,'13.08 Soroti-Kumi'!E40,'09.08 Soroti-Kumi-24h'!E40,'10.08 Soroti-Kumi-24h'!E40,'14.08 Soroti-Kumi'!E40)</f>
        <v>2</v>
      </c>
      <c r="F40" s="49">
        <f>AVERAGE('08.08 Soroti-Kumi'!F40,'11.08 Soroti-Kumi'!F40,'12.08 Soroti-Kumi'!F40,'13.08 Soroti-Kumi'!F40,'09.08 Soroti-Kumi-24h'!F40,'10.08 Soroti-Kumi-24h'!F40,'14.08 Soroti-Kumi'!F40)</f>
        <v>2.1428571428571428</v>
      </c>
      <c r="G40" s="49">
        <f>AVERAGE('08.08 Soroti-Kumi'!G40,'11.08 Soroti-Kumi'!G40,'12.08 Soroti-Kumi'!G40,'13.08 Soroti-Kumi'!G40,'09.08 Soroti-Kumi-24h'!G40,'10.08 Soroti-Kumi-24h'!G40,'14.08 Soroti-Kumi'!G40)</f>
        <v>0.14285714285714285</v>
      </c>
      <c r="H40" s="49">
        <f>AVERAGE('08.08 Soroti-Kumi'!H40,'11.08 Soroti-Kumi'!H40,'12.08 Soroti-Kumi'!H40,'13.08 Soroti-Kumi'!H40,'09.08 Soroti-Kumi-24h'!H40,'10.08 Soroti-Kumi-24h'!H40,'14.08 Soroti-Kumi'!H40)</f>
        <v>0.42857142857142855</v>
      </c>
      <c r="I40" s="49">
        <f>AVERAGE('08.08 Soroti-Kumi'!I40,'11.08 Soroti-Kumi'!I40,'12.08 Soroti-Kumi'!I40,'13.08 Soroti-Kumi'!I40,'09.08 Soroti-Kumi-24h'!I40,'10.08 Soroti-Kumi-24h'!I40,'14.08 Soroti-Kumi'!I40)</f>
        <v>1.4285714285714286</v>
      </c>
      <c r="J40" s="49">
        <f>AVERAGE('08.08 Soroti-Kumi'!J40,'11.08 Soroti-Kumi'!J40,'12.08 Soroti-Kumi'!J40,'13.08 Soroti-Kumi'!J40,'09.08 Soroti-Kumi-24h'!J40,'10.08 Soroti-Kumi-24h'!J40,'14.08 Soroti-Kumi'!J40)</f>
        <v>0.42857142857142855</v>
      </c>
      <c r="K40" s="49">
        <f>AVERAGE('08.08 Soroti-Kumi'!K40,'11.08 Soroti-Kumi'!K40,'12.08 Soroti-Kumi'!K40,'13.08 Soroti-Kumi'!K40,'09.08 Soroti-Kumi-24h'!K40,'10.08 Soroti-Kumi-24h'!K40,'14.08 Soroti-Kumi'!K40)</f>
        <v>0</v>
      </c>
      <c r="L40" s="49">
        <f>AVERAGE('08.08 Soroti-Kumi'!L40,'11.08 Soroti-Kumi'!L40,'12.08 Soroti-Kumi'!L40,'13.08 Soroti-Kumi'!L40,'09.08 Soroti-Kumi-24h'!L40,'10.08 Soroti-Kumi-24h'!L40,'14.08 Soroti-Kumi'!L40)</f>
        <v>2.2857142857142856</v>
      </c>
      <c r="M40" s="49">
        <f>AVERAGE('08.08 Soroti-Kumi'!M40,'11.08 Soroti-Kumi'!M40,'12.08 Soroti-Kumi'!M40,'13.08 Soroti-Kumi'!M40,'09.08 Soroti-Kumi-24h'!M40,'10.08 Soroti-Kumi-24h'!M40,'14.08 Soroti-Kumi'!M40)</f>
        <v>2.7142857142857144</v>
      </c>
      <c r="N40" s="49">
        <f>AVERAGE('08.08 Soroti-Kumi'!N40,'11.08 Soroti-Kumi'!N40,'12.08 Soroti-Kumi'!N40,'13.08 Soroti-Kumi'!N40,'09.08 Soroti-Kumi-24h'!N40,'10.08 Soroti-Kumi-24h'!N40,'14.08 Soroti-Kumi'!N40)</f>
        <v>0.14285714285714285</v>
      </c>
      <c r="O40" s="15">
        <f t="shared" si="0"/>
        <v>10.571428571428569</v>
      </c>
      <c r="P40" s="15">
        <f t="shared" si="1"/>
        <v>13.285714285714285</v>
      </c>
      <c r="R40" s="5" t="s">
        <v>17</v>
      </c>
      <c r="S40" s="54">
        <f t="shared" ref="S40:AF40" si="32">SUM(S10:S21)</f>
        <v>56.428571428571431</v>
      </c>
      <c r="T40" s="54">
        <f t="shared" si="32"/>
        <v>40.285714285714278</v>
      </c>
      <c r="U40" s="54">
        <f t="shared" si="32"/>
        <v>106.14285714285714</v>
      </c>
      <c r="V40" s="54">
        <f t="shared" si="32"/>
        <v>99.571428571428584</v>
      </c>
      <c r="W40" s="54">
        <f t="shared" si="32"/>
        <v>2.5714285714285712</v>
      </c>
      <c r="X40" s="54">
        <f t="shared" si="32"/>
        <v>16.857142857142858</v>
      </c>
      <c r="Y40" s="54">
        <f t="shared" si="32"/>
        <v>70.142857142857139</v>
      </c>
      <c r="Z40" s="54">
        <f t="shared" si="32"/>
        <v>14.428571428571427</v>
      </c>
      <c r="AA40" s="54">
        <f t="shared" si="32"/>
        <v>4.1428571428571423</v>
      </c>
      <c r="AB40" s="54">
        <f t="shared" si="32"/>
        <v>81</v>
      </c>
      <c r="AC40" s="54">
        <f t="shared" si="32"/>
        <v>217.42857142857147</v>
      </c>
      <c r="AD40" s="54">
        <f t="shared" si="32"/>
        <v>0.42857142857142855</v>
      </c>
      <c r="AE40" s="55">
        <f t="shared" si="32"/>
        <v>491.99999999999994</v>
      </c>
      <c r="AF40" s="55">
        <f t="shared" si="32"/>
        <v>709.42857142857133</v>
      </c>
    </row>
    <row r="41" spans="2:32" ht="23.1" customHeight="1" x14ac:dyDescent="0.25">
      <c r="B41" s="23" t="s">
        <v>68</v>
      </c>
      <c r="C41" s="49">
        <f>AVERAGE('08.08 Soroti-Kumi'!C41,'11.08 Soroti-Kumi'!C41,'12.08 Soroti-Kumi'!C41,'13.08 Soroti-Kumi'!C41,'09.08 Soroti-Kumi-24h'!C41,'10.08 Soroti-Kumi-24h'!C41,'14.08 Soroti-Kumi'!C41)</f>
        <v>0.5714285714285714</v>
      </c>
      <c r="D41" s="49">
        <f>AVERAGE('08.08 Soroti-Kumi'!D41,'11.08 Soroti-Kumi'!D41,'12.08 Soroti-Kumi'!D41,'13.08 Soroti-Kumi'!D41,'09.08 Soroti-Kumi-24h'!D41,'10.08 Soroti-Kumi-24h'!D41,'14.08 Soroti-Kumi'!D41)</f>
        <v>0.5714285714285714</v>
      </c>
      <c r="E41" s="49">
        <f>AVERAGE('08.08 Soroti-Kumi'!E41,'11.08 Soroti-Kumi'!E41,'12.08 Soroti-Kumi'!E41,'13.08 Soroti-Kumi'!E41,'09.08 Soroti-Kumi-24h'!E41,'10.08 Soroti-Kumi-24h'!E41,'14.08 Soroti-Kumi'!E41)</f>
        <v>1.7142857142857142</v>
      </c>
      <c r="F41" s="49">
        <f>AVERAGE('08.08 Soroti-Kumi'!F41,'11.08 Soroti-Kumi'!F41,'12.08 Soroti-Kumi'!F41,'13.08 Soroti-Kumi'!F41,'09.08 Soroti-Kumi-24h'!F41,'10.08 Soroti-Kumi-24h'!F41,'14.08 Soroti-Kumi'!F41)</f>
        <v>2.5714285714285716</v>
      </c>
      <c r="G41" s="49">
        <f>AVERAGE('08.08 Soroti-Kumi'!G41,'11.08 Soroti-Kumi'!G41,'12.08 Soroti-Kumi'!G41,'13.08 Soroti-Kumi'!G41,'09.08 Soroti-Kumi-24h'!G41,'10.08 Soroti-Kumi-24h'!G41,'14.08 Soroti-Kumi'!G41)</f>
        <v>0</v>
      </c>
      <c r="H41" s="49">
        <f>AVERAGE('08.08 Soroti-Kumi'!H41,'11.08 Soroti-Kumi'!H41,'12.08 Soroti-Kumi'!H41,'13.08 Soroti-Kumi'!H41,'09.08 Soroti-Kumi-24h'!H41,'10.08 Soroti-Kumi-24h'!H41,'14.08 Soroti-Kumi'!H41)</f>
        <v>0.14285714285714285</v>
      </c>
      <c r="I41" s="49">
        <f>AVERAGE('08.08 Soroti-Kumi'!I41,'11.08 Soroti-Kumi'!I41,'12.08 Soroti-Kumi'!I41,'13.08 Soroti-Kumi'!I41,'09.08 Soroti-Kumi-24h'!I41,'10.08 Soroti-Kumi-24h'!I41,'14.08 Soroti-Kumi'!I41)</f>
        <v>2</v>
      </c>
      <c r="J41" s="49">
        <f>AVERAGE('08.08 Soroti-Kumi'!J41,'11.08 Soroti-Kumi'!J41,'12.08 Soroti-Kumi'!J41,'13.08 Soroti-Kumi'!J41,'09.08 Soroti-Kumi-24h'!J41,'10.08 Soroti-Kumi-24h'!J41,'14.08 Soroti-Kumi'!J41)</f>
        <v>0</v>
      </c>
      <c r="K41" s="49">
        <f>AVERAGE('08.08 Soroti-Kumi'!K41,'11.08 Soroti-Kumi'!K41,'12.08 Soroti-Kumi'!K41,'13.08 Soroti-Kumi'!K41,'09.08 Soroti-Kumi-24h'!K41,'10.08 Soroti-Kumi-24h'!K41,'14.08 Soroti-Kumi'!K41)</f>
        <v>0</v>
      </c>
      <c r="L41" s="49">
        <f>AVERAGE('08.08 Soroti-Kumi'!L41,'11.08 Soroti-Kumi'!L41,'12.08 Soroti-Kumi'!L41,'13.08 Soroti-Kumi'!L41,'09.08 Soroti-Kumi-24h'!L41,'10.08 Soroti-Kumi-24h'!L41,'14.08 Soroti-Kumi'!L41)</f>
        <v>1</v>
      </c>
      <c r="M41" s="49">
        <f>AVERAGE('08.08 Soroti-Kumi'!M41,'11.08 Soroti-Kumi'!M41,'12.08 Soroti-Kumi'!M41,'13.08 Soroti-Kumi'!M41,'09.08 Soroti-Kumi-24h'!M41,'10.08 Soroti-Kumi-24h'!M41,'14.08 Soroti-Kumi'!M41)</f>
        <v>3</v>
      </c>
      <c r="N41" s="49">
        <f>AVERAGE('08.08 Soroti-Kumi'!N41,'11.08 Soroti-Kumi'!N41,'12.08 Soroti-Kumi'!N41,'13.08 Soroti-Kumi'!N41,'09.08 Soroti-Kumi-24h'!N41,'10.08 Soroti-Kumi-24h'!N41,'14.08 Soroti-Kumi'!N41)</f>
        <v>0</v>
      </c>
      <c r="O41" s="15">
        <f t="shared" si="0"/>
        <v>8.571428571428573</v>
      </c>
      <c r="P41" s="15">
        <f t="shared" si="1"/>
        <v>11.571428571428573</v>
      </c>
      <c r="R41" s="5" t="s">
        <v>175</v>
      </c>
      <c r="S41" s="54">
        <f>SUM(S10:S33)</f>
        <v>80.928571428571431</v>
      </c>
      <c r="T41" s="54">
        <f t="shared" ref="T41:AD41" si="33">SUM(T10:T33)</f>
        <v>51.285714285714278</v>
      </c>
      <c r="U41" s="54">
        <f t="shared" si="33"/>
        <v>140.64285714285714</v>
      </c>
      <c r="V41" s="54">
        <f t="shared" si="33"/>
        <v>128.57142857142858</v>
      </c>
      <c r="W41" s="54">
        <f t="shared" si="33"/>
        <v>3.0714285714285712</v>
      </c>
      <c r="X41" s="54">
        <f t="shared" si="33"/>
        <v>32.857142857142861</v>
      </c>
      <c r="Y41" s="54">
        <f t="shared" si="33"/>
        <v>112.14285714285714</v>
      </c>
      <c r="Z41" s="54">
        <f t="shared" si="33"/>
        <v>29.428571428571427</v>
      </c>
      <c r="AA41" s="54">
        <f t="shared" si="33"/>
        <v>12.142857142857142</v>
      </c>
      <c r="AB41" s="54">
        <f t="shared" si="33"/>
        <v>166.5</v>
      </c>
      <c r="AC41" s="54">
        <f t="shared" si="33"/>
        <v>276.42857142857144</v>
      </c>
      <c r="AD41" s="54">
        <f t="shared" si="33"/>
        <v>0.42857142857142855</v>
      </c>
      <c r="AE41" s="55">
        <f>SUM(AE10:AE33)</f>
        <v>758</v>
      </c>
      <c r="AF41" s="55">
        <f>SUM(AF10:AF33)</f>
        <v>1034.4285714285713</v>
      </c>
    </row>
    <row r="42" spans="2:32" ht="23.1" customHeight="1" x14ac:dyDescent="0.25">
      <c r="B42" s="24" t="s">
        <v>69</v>
      </c>
      <c r="C42" s="49">
        <f>AVERAGE('08.08 Soroti-Kumi'!C42,'11.08 Soroti-Kumi'!C42,'12.08 Soroti-Kumi'!C42,'13.08 Soroti-Kumi'!C42,'09.08 Soroti-Kumi-24h'!C42,'10.08 Soroti-Kumi-24h'!C42,'14.08 Soroti-Kumi'!C42)</f>
        <v>1.7142857142857142</v>
      </c>
      <c r="D42" s="49">
        <f>AVERAGE('08.08 Soroti-Kumi'!D42,'11.08 Soroti-Kumi'!D42,'12.08 Soroti-Kumi'!D42,'13.08 Soroti-Kumi'!D42,'09.08 Soroti-Kumi-24h'!D42,'10.08 Soroti-Kumi-24h'!D42,'14.08 Soroti-Kumi'!D42)</f>
        <v>1.8571428571428572</v>
      </c>
      <c r="E42" s="49">
        <f>AVERAGE('08.08 Soroti-Kumi'!E42,'11.08 Soroti-Kumi'!E42,'12.08 Soroti-Kumi'!E42,'13.08 Soroti-Kumi'!E42,'09.08 Soroti-Kumi-24h'!E42,'10.08 Soroti-Kumi-24h'!E42,'14.08 Soroti-Kumi'!E42)</f>
        <v>3.5714285714285716</v>
      </c>
      <c r="F42" s="49">
        <f>AVERAGE('08.08 Soroti-Kumi'!F42,'11.08 Soroti-Kumi'!F42,'12.08 Soroti-Kumi'!F42,'13.08 Soroti-Kumi'!F42,'09.08 Soroti-Kumi-24h'!F42,'10.08 Soroti-Kumi-24h'!F42,'14.08 Soroti-Kumi'!F42)</f>
        <v>2.7142857142857144</v>
      </c>
      <c r="G42" s="49">
        <f>AVERAGE('08.08 Soroti-Kumi'!G42,'11.08 Soroti-Kumi'!G42,'12.08 Soroti-Kumi'!G42,'13.08 Soroti-Kumi'!G42,'09.08 Soroti-Kumi-24h'!G42,'10.08 Soroti-Kumi-24h'!G42,'14.08 Soroti-Kumi'!G42)</f>
        <v>0.2857142857142857</v>
      </c>
      <c r="H42" s="49">
        <f>AVERAGE('08.08 Soroti-Kumi'!H42,'11.08 Soroti-Kumi'!H42,'12.08 Soroti-Kumi'!H42,'13.08 Soroti-Kumi'!H42,'09.08 Soroti-Kumi-24h'!H42,'10.08 Soroti-Kumi-24h'!H42,'14.08 Soroti-Kumi'!H42)</f>
        <v>0.14285714285714285</v>
      </c>
      <c r="I42" s="49">
        <f>AVERAGE('08.08 Soroti-Kumi'!I42,'11.08 Soroti-Kumi'!I42,'12.08 Soroti-Kumi'!I42,'13.08 Soroti-Kumi'!I42,'09.08 Soroti-Kumi-24h'!I42,'10.08 Soroti-Kumi-24h'!I42,'14.08 Soroti-Kumi'!I42)</f>
        <v>2.2857142857142856</v>
      </c>
      <c r="J42" s="49">
        <f>AVERAGE('08.08 Soroti-Kumi'!J42,'11.08 Soroti-Kumi'!J42,'12.08 Soroti-Kumi'!J42,'13.08 Soroti-Kumi'!J42,'09.08 Soroti-Kumi-24h'!J42,'10.08 Soroti-Kumi-24h'!J42,'14.08 Soroti-Kumi'!J42)</f>
        <v>0.14285714285714285</v>
      </c>
      <c r="K42" s="49">
        <f>AVERAGE('08.08 Soroti-Kumi'!K42,'11.08 Soroti-Kumi'!K42,'12.08 Soroti-Kumi'!K42,'13.08 Soroti-Kumi'!K42,'09.08 Soroti-Kumi-24h'!K42,'10.08 Soroti-Kumi-24h'!K42,'14.08 Soroti-Kumi'!K42)</f>
        <v>0</v>
      </c>
      <c r="L42" s="49">
        <f>AVERAGE('08.08 Soroti-Kumi'!L42,'11.08 Soroti-Kumi'!L42,'12.08 Soroti-Kumi'!L42,'13.08 Soroti-Kumi'!L42,'09.08 Soroti-Kumi-24h'!L42,'10.08 Soroti-Kumi-24h'!L42,'14.08 Soroti-Kumi'!L42)</f>
        <v>2.4285714285714284</v>
      </c>
      <c r="M42" s="49">
        <f>AVERAGE('08.08 Soroti-Kumi'!M42,'11.08 Soroti-Kumi'!M42,'12.08 Soroti-Kumi'!M42,'13.08 Soroti-Kumi'!M42,'09.08 Soroti-Kumi-24h'!M42,'10.08 Soroti-Kumi-24h'!M42,'14.08 Soroti-Kumi'!M42)</f>
        <v>4.7142857142857144</v>
      </c>
      <c r="N42" s="49">
        <f>AVERAGE('08.08 Soroti-Kumi'!N42,'11.08 Soroti-Kumi'!N42,'12.08 Soroti-Kumi'!N42,'13.08 Soroti-Kumi'!N42,'09.08 Soroti-Kumi-24h'!N42,'10.08 Soroti-Kumi-24h'!N42,'14.08 Soroti-Kumi'!N42)</f>
        <v>0</v>
      </c>
      <c r="O42" s="15">
        <f t="shared" si="0"/>
        <v>15.142857142857144</v>
      </c>
      <c r="P42" s="15">
        <f t="shared" si="1"/>
        <v>19.857142857142858</v>
      </c>
      <c r="R42" s="5" t="s">
        <v>160</v>
      </c>
      <c r="S42" s="48">
        <f>S41/S40</f>
        <v>1.4341772151898735</v>
      </c>
      <c r="T42" s="48">
        <f t="shared" ref="T42:AF42" si="34">T41/T40</f>
        <v>1.273049645390071</v>
      </c>
      <c r="U42" s="48">
        <f t="shared" si="34"/>
        <v>1.3250336473755047</v>
      </c>
      <c r="V42" s="48">
        <f t="shared" si="34"/>
        <v>1.2912482065997131</v>
      </c>
      <c r="W42" s="48">
        <f t="shared" si="34"/>
        <v>1.1944444444444444</v>
      </c>
      <c r="X42" s="48">
        <f t="shared" si="34"/>
        <v>1.9491525423728815</v>
      </c>
      <c r="Y42" s="48">
        <f t="shared" si="34"/>
        <v>1.5987780040733197</v>
      </c>
      <c r="Z42" s="48">
        <f t="shared" si="34"/>
        <v>2.0396039603960396</v>
      </c>
      <c r="AA42" s="48">
        <f t="shared" si="34"/>
        <v>2.931034482758621</v>
      </c>
      <c r="AB42" s="48">
        <f t="shared" si="34"/>
        <v>2.0555555555555554</v>
      </c>
      <c r="AC42" s="48">
        <f t="shared" si="34"/>
        <v>1.2713534822601837</v>
      </c>
      <c r="AD42" s="48">
        <f t="shared" si="34"/>
        <v>1</v>
      </c>
      <c r="AE42" s="56">
        <f t="shared" si="34"/>
        <v>1.5406504065040652</v>
      </c>
      <c r="AF42" s="56">
        <f t="shared" si="34"/>
        <v>1.4581151832460733</v>
      </c>
    </row>
    <row r="43" spans="2:32" ht="23.1" customHeight="1" x14ac:dyDescent="0.25">
      <c r="B43" s="23" t="s">
        <v>70</v>
      </c>
      <c r="C43" s="49">
        <f>AVERAGE('08.08 Soroti-Kumi'!C43,'11.08 Soroti-Kumi'!C43,'12.08 Soroti-Kumi'!C43,'13.08 Soroti-Kumi'!C43,'09.08 Soroti-Kumi-24h'!C43,'10.08 Soroti-Kumi-24h'!C43,'14.08 Soroti-Kumi'!C43)</f>
        <v>1.5714285714285714</v>
      </c>
      <c r="D43" s="49">
        <f>AVERAGE('08.08 Soroti-Kumi'!D43,'11.08 Soroti-Kumi'!D43,'12.08 Soroti-Kumi'!D43,'13.08 Soroti-Kumi'!D43,'09.08 Soroti-Kumi-24h'!D43,'10.08 Soroti-Kumi-24h'!D43,'14.08 Soroti-Kumi'!D43)</f>
        <v>0.7142857142857143</v>
      </c>
      <c r="E43" s="49">
        <f>AVERAGE('08.08 Soroti-Kumi'!E43,'11.08 Soroti-Kumi'!E43,'12.08 Soroti-Kumi'!E43,'13.08 Soroti-Kumi'!E43,'09.08 Soroti-Kumi-24h'!E43,'10.08 Soroti-Kumi-24h'!E43,'14.08 Soroti-Kumi'!E43)</f>
        <v>2</v>
      </c>
      <c r="F43" s="49">
        <f>AVERAGE('08.08 Soroti-Kumi'!F43,'11.08 Soroti-Kumi'!F43,'12.08 Soroti-Kumi'!F43,'13.08 Soroti-Kumi'!F43,'09.08 Soroti-Kumi-24h'!F43,'10.08 Soroti-Kumi-24h'!F43,'14.08 Soroti-Kumi'!F43)</f>
        <v>1.8571428571428572</v>
      </c>
      <c r="G43" s="49">
        <f>AVERAGE('08.08 Soroti-Kumi'!G43,'11.08 Soroti-Kumi'!G43,'12.08 Soroti-Kumi'!G43,'13.08 Soroti-Kumi'!G43,'09.08 Soroti-Kumi-24h'!G43,'10.08 Soroti-Kumi-24h'!G43,'14.08 Soroti-Kumi'!G43)</f>
        <v>0</v>
      </c>
      <c r="H43" s="49">
        <f>AVERAGE('08.08 Soroti-Kumi'!H43,'11.08 Soroti-Kumi'!H43,'12.08 Soroti-Kumi'!H43,'13.08 Soroti-Kumi'!H43,'09.08 Soroti-Kumi-24h'!H43,'10.08 Soroti-Kumi-24h'!H43,'14.08 Soroti-Kumi'!H43)</f>
        <v>0.14285714285714285</v>
      </c>
      <c r="I43" s="49">
        <f>AVERAGE('08.08 Soroti-Kumi'!I43,'11.08 Soroti-Kumi'!I43,'12.08 Soroti-Kumi'!I43,'13.08 Soroti-Kumi'!I43,'09.08 Soroti-Kumi-24h'!I43,'10.08 Soroti-Kumi-24h'!I43,'14.08 Soroti-Kumi'!I43)</f>
        <v>1.8571428571428572</v>
      </c>
      <c r="J43" s="49">
        <f>AVERAGE('08.08 Soroti-Kumi'!J43,'11.08 Soroti-Kumi'!J43,'12.08 Soroti-Kumi'!J43,'13.08 Soroti-Kumi'!J43,'09.08 Soroti-Kumi-24h'!J43,'10.08 Soroti-Kumi-24h'!J43,'14.08 Soroti-Kumi'!J43)</f>
        <v>0.42857142857142855</v>
      </c>
      <c r="K43" s="49">
        <f>AVERAGE('08.08 Soroti-Kumi'!K43,'11.08 Soroti-Kumi'!K43,'12.08 Soroti-Kumi'!K43,'13.08 Soroti-Kumi'!K43,'09.08 Soroti-Kumi-24h'!K43,'10.08 Soroti-Kumi-24h'!K43,'14.08 Soroti-Kumi'!K43)</f>
        <v>0</v>
      </c>
      <c r="L43" s="49">
        <f>AVERAGE('08.08 Soroti-Kumi'!L43,'11.08 Soroti-Kumi'!L43,'12.08 Soroti-Kumi'!L43,'13.08 Soroti-Kumi'!L43,'09.08 Soroti-Kumi-24h'!L43,'10.08 Soroti-Kumi-24h'!L43,'14.08 Soroti-Kumi'!L43)</f>
        <v>1.2857142857142858</v>
      </c>
      <c r="M43" s="49">
        <f>AVERAGE('08.08 Soroti-Kumi'!M43,'11.08 Soroti-Kumi'!M43,'12.08 Soroti-Kumi'!M43,'13.08 Soroti-Kumi'!M43,'09.08 Soroti-Kumi-24h'!M43,'10.08 Soroti-Kumi-24h'!M43,'14.08 Soroti-Kumi'!M43)</f>
        <v>3.8571428571428572</v>
      </c>
      <c r="N43" s="49">
        <f>AVERAGE('08.08 Soroti-Kumi'!N43,'11.08 Soroti-Kumi'!N43,'12.08 Soroti-Kumi'!N43,'13.08 Soroti-Kumi'!N43,'09.08 Soroti-Kumi-24h'!N43,'10.08 Soroti-Kumi-24h'!N43,'14.08 Soroti-Kumi'!N43)</f>
        <v>0</v>
      </c>
      <c r="O43" s="15">
        <f t="shared" si="0"/>
        <v>9.8571428571428577</v>
      </c>
      <c r="P43" s="15">
        <f t="shared" si="1"/>
        <v>13.714285714285715</v>
      </c>
    </row>
    <row r="44" spans="2:32" ht="23.1" customHeight="1" x14ac:dyDescent="0.25">
      <c r="B44" s="25" t="s">
        <v>71</v>
      </c>
      <c r="C44" s="49">
        <f>AVERAGE('08.08 Soroti-Kumi'!C44,'11.08 Soroti-Kumi'!C44,'12.08 Soroti-Kumi'!C44,'13.08 Soroti-Kumi'!C44,'09.08 Soroti-Kumi-24h'!C44,'10.08 Soroti-Kumi-24h'!C44,'14.08 Soroti-Kumi'!C44)</f>
        <v>1.5714285714285714</v>
      </c>
      <c r="D44" s="49">
        <f>AVERAGE('08.08 Soroti-Kumi'!D44,'11.08 Soroti-Kumi'!D44,'12.08 Soroti-Kumi'!D44,'13.08 Soroti-Kumi'!D44,'09.08 Soroti-Kumi-24h'!D44,'10.08 Soroti-Kumi-24h'!D44,'14.08 Soroti-Kumi'!D44)</f>
        <v>0.7142857142857143</v>
      </c>
      <c r="E44" s="49">
        <f>AVERAGE('08.08 Soroti-Kumi'!E44,'11.08 Soroti-Kumi'!E44,'12.08 Soroti-Kumi'!E44,'13.08 Soroti-Kumi'!E44,'09.08 Soroti-Kumi-24h'!E44,'10.08 Soroti-Kumi-24h'!E44,'14.08 Soroti-Kumi'!E44)</f>
        <v>2.7142857142857144</v>
      </c>
      <c r="F44" s="49">
        <f>AVERAGE('08.08 Soroti-Kumi'!F44,'11.08 Soroti-Kumi'!F44,'12.08 Soroti-Kumi'!F44,'13.08 Soroti-Kumi'!F44,'09.08 Soroti-Kumi-24h'!F44,'10.08 Soroti-Kumi-24h'!F44,'14.08 Soroti-Kumi'!F44)</f>
        <v>2.4285714285714284</v>
      </c>
      <c r="G44" s="49">
        <f>AVERAGE('08.08 Soroti-Kumi'!G44,'11.08 Soroti-Kumi'!G44,'12.08 Soroti-Kumi'!G44,'13.08 Soroti-Kumi'!G44,'09.08 Soroti-Kumi-24h'!G44,'10.08 Soroti-Kumi-24h'!G44,'14.08 Soroti-Kumi'!G44)</f>
        <v>0</v>
      </c>
      <c r="H44" s="49">
        <f>AVERAGE('08.08 Soroti-Kumi'!H44,'11.08 Soroti-Kumi'!H44,'12.08 Soroti-Kumi'!H44,'13.08 Soroti-Kumi'!H44,'09.08 Soroti-Kumi-24h'!H44,'10.08 Soroti-Kumi-24h'!H44,'14.08 Soroti-Kumi'!H44)</f>
        <v>0.14285714285714285</v>
      </c>
      <c r="I44" s="49">
        <f>AVERAGE('08.08 Soroti-Kumi'!I44,'11.08 Soroti-Kumi'!I44,'12.08 Soroti-Kumi'!I44,'13.08 Soroti-Kumi'!I44,'09.08 Soroti-Kumi-24h'!I44,'10.08 Soroti-Kumi-24h'!I44,'14.08 Soroti-Kumi'!I44)</f>
        <v>2</v>
      </c>
      <c r="J44" s="49">
        <f>AVERAGE('08.08 Soroti-Kumi'!J44,'11.08 Soroti-Kumi'!J44,'12.08 Soroti-Kumi'!J44,'13.08 Soroti-Kumi'!J44,'09.08 Soroti-Kumi-24h'!J44,'10.08 Soroti-Kumi-24h'!J44,'14.08 Soroti-Kumi'!J44)</f>
        <v>0.5714285714285714</v>
      </c>
      <c r="K44" s="49">
        <f>AVERAGE('08.08 Soroti-Kumi'!K44,'11.08 Soroti-Kumi'!K44,'12.08 Soroti-Kumi'!K44,'13.08 Soroti-Kumi'!K44,'09.08 Soroti-Kumi-24h'!K44,'10.08 Soroti-Kumi-24h'!K44,'14.08 Soroti-Kumi'!K44)</f>
        <v>0.2857142857142857</v>
      </c>
      <c r="L44" s="49">
        <f>AVERAGE('08.08 Soroti-Kumi'!L44,'11.08 Soroti-Kumi'!L44,'12.08 Soroti-Kumi'!L44,'13.08 Soroti-Kumi'!L44,'09.08 Soroti-Kumi-24h'!L44,'10.08 Soroti-Kumi-24h'!L44,'14.08 Soroti-Kumi'!L44)</f>
        <v>2.2857142857142856</v>
      </c>
      <c r="M44" s="49">
        <f>AVERAGE('08.08 Soroti-Kumi'!M44,'11.08 Soroti-Kumi'!M44,'12.08 Soroti-Kumi'!M44,'13.08 Soroti-Kumi'!M44,'09.08 Soroti-Kumi-24h'!M44,'10.08 Soroti-Kumi-24h'!M44,'14.08 Soroti-Kumi'!M44)</f>
        <v>5.2857142857142856</v>
      </c>
      <c r="N44" s="49">
        <f>AVERAGE('08.08 Soroti-Kumi'!N44,'11.08 Soroti-Kumi'!N44,'12.08 Soroti-Kumi'!N44,'13.08 Soroti-Kumi'!N44,'09.08 Soroti-Kumi-24h'!N44,'10.08 Soroti-Kumi-24h'!N44,'14.08 Soroti-Kumi'!N44)</f>
        <v>0</v>
      </c>
      <c r="O44" s="15">
        <f t="shared" si="0"/>
        <v>12.714285714285715</v>
      </c>
      <c r="P44" s="15">
        <f t="shared" si="1"/>
        <v>18</v>
      </c>
    </row>
    <row r="45" spans="2:32" ht="23.1" customHeight="1" x14ac:dyDescent="0.25">
      <c r="B45" s="23" t="s">
        <v>72</v>
      </c>
      <c r="C45" s="49">
        <f>AVERAGE('08.08 Soroti-Kumi'!C45,'11.08 Soroti-Kumi'!C45,'12.08 Soroti-Kumi'!C45,'13.08 Soroti-Kumi'!C45,'09.08 Soroti-Kumi-24h'!C45,'10.08 Soroti-Kumi-24h'!C45,'14.08 Soroti-Kumi'!C45)</f>
        <v>1.1428571428571428</v>
      </c>
      <c r="D45" s="49">
        <f>AVERAGE('08.08 Soroti-Kumi'!D45,'11.08 Soroti-Kumi'!D45,'12.08 Soroti-Kumi'!D45,'13.08 Soroti-Kumi'!D45,'09.08 Soroti-Kumi-24h'!D45,'10.08 Soroti-Kumi-24h'!D45,'14.08 Soroti-Kumi'!D45)</f>
        <v>1</v>
      </c>
      <c r="E45" s="49">
        <f>AVERAGE('08.08 Soroti-Kumi'!E45,'11.08 Soroti-Kumi'!E45,'12.08 Soroti-Kumi'!E45,'13.08 Soroti-Kumi'!E45,'09.08 Soroti-Kumi-24h'!E45,'10.08 Soroti-Kumi-24h'!E45,'14.08 Soroti-Kumi'!E45)</f>
        <v>2.8571428571428572</v>
      </c>
      <c r="F45" s="49">
        <f>AVERAGE('08.08 Soroti-Kumi'!F45,'11.08 Soroti-Kumi'!F45,'12.08 Soroti-Kumi'!F45,'13.08 Soroti-Kumi'!F45,'09.08 Soroti-Kumi-24h'!F45,'10.08 Soroti-Kumi-24h'!F45,'14.08 Soroti-Kumi'!F45)</f>
        <v>1.8571428571428572</v>
      </c>
      <c r="G45" s="49">
        <f>AVERAGE('08.08 Soroti-Kumi'!G45,'11.08 Soroti-Kumi'!G45,'12.08 Soroti-Kumi'!G45,'13.08 Soroti-Kumi'!G45,'09.08 Soroti-Kumi-24h'!G45,'10.08 Soroti-Kumi-24h'!G45,'14.08 Soroti-Kumi'!G45)</f>
        <v>0</v>
      </c>
      <c r="H45" s="49">
        <f>AVERAGE('08.08 Soroti-Kumi'!H45,'11.08 Soroti-Kumi'!H45,'12.08 Soroti-Kumi'!H45,'13.08 Soroti-Kumi'!H45,'09.08 Soroti-Kumi-24h'!H45,'10.08 Soroti-Kumi-24h'!H45,'14.08 Soroti-Kumi'!H45)</f>
        <v>0</v>
      </c>
      <c r="I45" s="49">
        <f>AVERAGE('08.08 Soroti-Kumi'!I45,'11.08 Soroti-Kumi'!I45,'12.08 Soroti-Kumi'!I45,'13.08 Soroti-Kumi'!I45,'09.08 Soroti-Kumi-24h'!I45,'10.08 Soroti-Kumi-24h'!I45,'14.08 Soroti-Kumi'!I45)</f>
        <v>0.7142857142857143</v>
      </c>
      <c r="J45" s="49">
        <f>AVERAGE('08.08 Soroti-Kumi'!J45,'11.08 Soroti-Kumi'!J45,'12.08 Soroti-Kumi'!J45,'13.08 Soroti-Kumi'!J45,'09.08 Soroti-Kumi-24h'!J45,'10.08 Soroti-Kumi-24h'!J45,'14.08 Soroti-Kumi'!J45)</f>
        <v>0.5714285714285714</v>
      </c>
      <c r="K45" s="49">
        <f>AVERAGE('08.08 Soroti-Kumi'!K45,'11.08 Soroti-Kumi'!K45,'12.08 Soroti-Kumi'!K45,'13.08 Soroti-Kumi'!K45,'09.08 Soroti-Kumi-24h'!K45,'10.08 Soroti-Kumi-24h'!K45,'14.08 Soroti-Kumi'!K45)</f>
        <v>0</v>
      </c>
      <c r="L45" s="49">
        <f>AVERAGE('08.08 Soroti-Kumi'!L45,'11.08 Soroti-Kumi'!L45,'12.08 Soroti-Kumi'!L45,'13.08 Soroti-Kumi'!L45,'09.08 Soroti-Kumi-24h'!L45,'10.08 Soroti-Kumi-24h'!L45,'14.08 Soroti-Kumi'!L45)</f>
        <v>1.4285714285714286</v>
      </c>
      <c r="M45" s="49">
        <f>AVERAGE('08.08 Soroti-Kumi'!M45,'11.08 Soroti-Kumi'!M45,'12.08 Soroti-Kumi'!M45,'13.08 Soroti-Kumi'!M45,'09.08 Soroti-Kumi-24h'!M45,'10.08 Soroti-Kumi-24h'!M45,'14.08 Soroti-Kumi'!M45)</f>
        <v>3.2857142857142856</v>
      </c>
      <c r="N45" s="49">
        <f>AVERAGE('08.08 Soroti-Kumi'!N45,'11.08 Soroti-Kumi'!N45,'12.08 Soroti-Kumi'!N45,'13.08 Soroti-Kumi'!N45,'09.08 Soroti-Kumi-24h'!N45,'10.08 Soroti-Kumi-24h'!N45,'14.08 Soroti-Kumi'!N45)</f>
        <v>0</v>
      </c>
      <c r="O45" s="15">
        <f t="shared" si="0"/>
        <v>9.571428571428573</v>
      </c>
      <c r="P45" s="15">
        <f t="shared" si="1"/>
        <v>12.857142857142858</v>
      </c>
    </row>
    <row r="46" spans="2:32" ht="23.1" customHeight="1" x14ac:dyDescent="0.25">
      <c r="B46" s="24" t="s">
        <v>73</v>
      </c>
      <c r="C46" s="49">
        <f>AVERAGE('08.08 Soroti-Kumi'!C46,'11.08 Soroti-Kumi'!C46,'12.08 Soroti-Kumi'!C46,'13.08 Soroti-Kumi'!C46,'09.08 Soroti-Kumi-24h'!C46,'10.08 Soroti-Kumi-24h'!C46,'14.08 Soroti-Kumi'!C46)</f>
        <v>1.7142857142857142</v>
      </c>
      <c r="D46" s="49">
        <f>AVERAGE('08.08 Soroti-Kumi'!D46,'11.08 Soroti-Kumi'!D46,'12.08 Soroti-Kumi'!D46,'13.08 Soroti-Kumi'!D46,'09.08 Soroti-Kumi-24h'!D46,'10.08 Soroti-Kumi-24h'!D46,'14.08 Soroti-Kumi'!D46)</f>
        <v>0.5714285714285714</v>
      </c>
      <c r="E46" s="49">
        <f>AVERAGE('08.08 Soroti-Kumi'!E46,'11.08 Soroti-Kumi'!E46,'12.08 Soroti-Kumi'!E46,'13.08 Soroti-Kumi'!E46,'09.08 Soroti-Kumi-24h'!E46,'10.08 Soroti-Kumi-24h'!E46,'14.08 Soroti-Kumi'!E46)</f>
        <v>2.1428571428571428</v>
      </c>
      <c r="F46" s="49">
        <f>AVERAGE('08.08 Soroti-Kumi'!F46,'11.08 Soroti-Kumi'!F46,'12.08 Soroti-Kumi'!F46,'13.08 Soroti-Kumi'!F46,'09.08 Soroti-Kumi-24h'!F46,'10.08 Soroti-Kumi-24h'!F46,'14.08 Soroti-Kumi'!F46)</f>
        <v>2.7142857142857144</v>
      </c>
      <c r="G46" s="49">
        <f>AVERAGE('08.08 Soroti-Kumi'!G46,'11.08 Soroti-Kumi'!G46,'12.08 Soroti-Kumi'!G46,'13.08 Soroti-Kumi'!G46,'09.08 Soroti-Kumi-24h'!G46,'10.08 Soroti-Kumi-24h'!G46,'14.08 Soroti-Kumi'!G46)</f>
        <v>0.42857142857142855</v>
      </c>
      <c r="H46" s="49">
        <f>AVERAGE('08.08 Soroti-Kumi'!H46,'11.08 Soroti-Kumi'!H46,'12.08 Soroti-Kumi'!H46,'13.08 Soroti-Kumi'!H46,'09.08 Soroti-Kumi-24h'!H46,'10.08 Soroti-Kumi-24h'!H46,'14.08 Soroti-Kumi'!H46)</f>
        <v>0.2857142857142857</v>
      </c>
      <c r="I46" s="49">
        <f>AVERAGE('08.08 Soroti-Kumi'!I46,'11.08 Soroti-Kumi'!I46,'12.08 Soroti-Kumi'!I46,'13.08 Soroti-Kumi'!I46,'09.08 Soroti-Kumi-24h'!I46,'10.08 Soroti-Kumi-24h'!I46,'14.08 Soroti-Kumi'!I46)</f>
        <v>2.4285714285714284</v>
      </c>
      <c r="J46" s="49">
        <f>AVERAGE('08.08 Soroti-Kumi'!J46,'11.08 Soroti-Kumi'!J46,'12.08 Soroti-Kumi'!J46,'13.08 Soroti-Kumi'!J46,'09.08 Soroti-Kumi-24h'!J46,'10.08 Soroti-Kumi-24h'!J46,'14.08 Soroti-Kumi'!J46)</f>
        <v>0.2857142857142857</v>
      </c>
      <c r="K46" s="49">
        <f>AVERAGE('08.08 Soroti-Kumi'!K46,'11.08 Soroti-Kumi'!K46,'12.08 Soroti-Kumi'!K46,'13.08 Soroti-Kumi'!K46,'09.08 Soroti-Kumi-24h'!K46,'10.08 Soroti-Kumi-24h'!K46,'14.08 Soroti-Kumi'!K46)</f>
        <v>0</v>
      </c>
      <c r="L46" s="49">
        <f>AVERAGE('08.08 Soroti-Kumi'!L46,'11.08 Soroti-Kumi'!L46,'12.08 Soroti-Kumi'!L46,'13.08 Soroti-Kumi'!L46,'09.08 Soroti-Kumi-24h'!L46,'10.08 Soroti-Kumi-24h'!L46,'14.08 Soroti-Kumi'!L46)</f>
        <v>1.5714285714285714</v>
      </c>
      <c r="M46" s="49">
        <f>AVERAGE('08.08 Soroti-Kumi'!M46,'11.08 Soroti-Kumi'!M46,'12.08 Soroti-Kumi'!M46,'13.08 Soroti-Kumi'!M46,'09.08 Soroti-Kumi-24h'!M46,'10.08 Soroti-Kumi-24h'!M46,'14.08 Soroti-Kumi'!M46)</f>
        <v>3.5714285714285716</v>
      </c>
      <c r="N46" s="49">
        <f>AVERAGE('08.08 Soroti-Kumi'!N46,'11.08 Soroti-Kumi'!N46,'12.08 Soroti-Kumi'!N46,'13.08 Soroti-Kumi'!N46,'09.08 Soroti-Kumi-24h'!N46,'10.08 Soroti-Kumi-24h'!N46,'14.08 Soroti-Kumi'!N46)</f>
        <v>0</v>
      </c>
      <c r="O46" s="15">
        <f t="shared" si="0"/>
        <v>12.142857142857144</v>
      </c>
      <c r="P46" s="15">
        <f t="shared" si="1"/>
        <v>15.714285714285715</v>
      </c>
      <c r="R46" s="8"/>
      <c r="T46"/>
    </row>
    <row r="47" spans="2:32" ht="23.1" customHeight="1" x14ac:dyDescent="0.25">
      <c r="B47" s="24" t="s">
        <v>74</v>
      </c>
      <c r="C47" s="49">
        <f>AVERAGE('08.08 Soroti-Kumi'!C47,'11.08 Soroti-Kumi'!C47,'12.08 Soroti-Kumi'!C47,'13.08 Soroti-Kumi'!C47,'09.08 Soroti-Kumi-24h'!C47,'10.08 Soroti-Kumi-24h'!C47,'14.08 Soroti-Kumi'!C47)</f>
        <v>2</v>
      </c>
      <c r="D47" s="49">
        <f>AVERAGE('08.08 Soroti-Kumi'!D47,'11.08 Soroti-Kumi'!D47,'12.08 Soroti-Kumi'!D47,'13.08 Soroti-Kumi'!D47,'09.08 Soroti-Kumi-24h'!D47,'10.08 Soroti-Kumi-24h'!D47,'14.08 Soroti-Kumi'!D47)</f>
        <v>0.7142857142857143</v>
      </c>
      <c r="E47" s="49">
        <f>AVERAGE('08.08 Soroti-Kumi'!E47,'11.08 Soroti-Kumi'!E47,'12.08 Soroti-Kumi'!E47,'13.08 Soroti-Kumi'!E47,'09.08 Soroti-Kumi-24h'!E47,'10.08 Soroti-Kumi-24h'!E47,'14.08 Soroti-Kumi'!E47)</f>
        <v>2.4285714285714284</v>
      </c>
      <c r="F47" s="49">
        <f>AVERAGE('08.08 Soroti-Kumi'!F47,'11.08 Soroti-Kumi'!F47,'12.08 Soroti-Kumi'!F47,'13.08 Soroti-Kumi'!F47,'09.08 Soroti-Kumi-24h'!F47,'10.08 Soroti-Kumi-24h'!F47,'14.08 Soroti-Kumi'!F47)</f>
        <v>2.2857142857142856</v>
      </c>
      <c r="G47" s="49">
        <f>AVERAGE('08.08 Soroti-Kumi'!G47,'11.08 Soroti-Kumi'!G47,'12.08 Soroti-Kumi'!G47,'13.08 Soroti-Kumi'!G47,'09.08 Soroti-Kumi-24h'!G47,'10.08 Soroti-Kumi-24h'!G47,'14.08 Soroti-Kumi'!G47)</f>
        <v>0.14285714285714285</v>
      </c>
      <c r="H47" s="49">
        <f>AVERAGE('08.08 Soroti-Kumi'!H47,'11.08 Soroti-Kumi'!H47,'12.08 Soroti-Kumi'!H47,'13.08 Soroti-Kumi'!H47,'09.08 Soroti-Kumi-24h'!H47,'10.08 Soroti-Kumi-24h'!H47,'14.08 Soroti-Kumi'!H47)</f>
        <v>0.2857142857142857</v>
      </c>
      <c r="I47" s="49">
        <f>AVERAGE('08.08 Soroti-Kumi'!I47,'11.08 Soroti-Kumi'!I47,'12.08 Soroti-Kumi'!I47,'13.08 Soroti-Kumi'!I47,'09.08 Soroti-Kumi-24h'!I47,'10.08 Soroti-Kumi-24h'!I47,'14.08 Soroti-Kumi'!I47)</f>
        <v>0.5714285714285714</v>
      </c>
      <c r="J47" s="49">
        <f>AVERAGE('08.08 Soroti-Kumi'!J47,'11.08 Soroti-Kumi'!J47,'12.08 Soroti-Kumi'!J47,'13.08 Soroti-Kumi'!J47,'09.08 Soroti-Kumi-24h'!J47,'10.08 Soroti-Kumi-24h'!J47,'14.08 Soroti-Kumi'!J47)</f>
        <v>0.2857142857142857</v>
      </c>
      <c r="K47" s="49">
        <f>AVERAGE('08.08 Soroti-Kumi'!K47,'11.08 Soroti-Kumi'!K47,'12.08 Soroti-Kumi'!K47,'13.08 Soroti-Kumi'!K47,'09.08 Soroti-Kumi-24h'!K47,'10.08 Soroti-Kumi-24h'!K47,'14.08 Soroti-Kumi'!K47)</f>
        <v>0</v>
      </c>
      <c r="L47" s="49">
        <f>AVERAGE('08.08 Soroti-Kumi'!L47,'11.08 Soroti-Kumi'!L47,'12.08 Soroti-Kumi'!L47,'13.08 Soroti-Kumi'!L47,'09.08 Soroti-Kumi-24h'!L47,'10.08 Soroti-Kumi-24h'!L47,'14.08 Soroti-Kumi'!L47)</f>
        <v>1.7142857142857142</v>
      </c>
      <c r="M47" s="49">
        <f>AVERAGE('08.08 Soroti-Kumi'!M47,'11.08 Soroti-Kumi'!M47,'12.08 Soroti-Kumi'!M47,'13.08 Soroti-Kumi'!M47,'09.08 Soroti-Kumi-24h'!M47,'10.08 Soroti-Kumi-24h'!M47,'14.08 Soroti-Kumi'!M47)</f>
        <v>4.1428571428571432</v>
      </c>
      <c r="N47" s="49">
        <f>AVERAGE('08.08 Soroti-Kumi'!N47,'11.08 Soroti-Kumi'!N47,'12.08 Soroti-Kumi'!N47,'13.08 Soroti-Kumi'!N47,'09.08 Soroti-Kumi-24h'!N47,'10.08 Soroti-Kumi-24h'!N47,'14.08 Soroti-Kumi'!N47)</f>
        <v>0</v>
      </c>
      <c r="O47" s="15">
        <f t="shared" si="0"/>
        <v>10.428571428571429</v>
      </c>
      <c r="P47" s="15">
        <f t="shared" si="1"/>
        <v>14.571428571428573</v>
      </c>
      <c r="R47" s="8"/>
      <c r="T47"/>
    </row>
    <row r="48" spans="2:32" ht="23.1" customHeight="1" x14ac:dyDescent="0.25">
      <c r="B48" s="24" t="s">
        <v>75</v>
      </c>
      <c r="C48" s="49">
        <f>AVERAGE('08.08 Soroti-Kumi'!C48,'11.08 Soroti-Kumi'!C48,'12.08 Soroti-Kumi'!C48,'13.08 Soroti-Kumi'!C48,'09.08 Soroti-Kumi-24h'!C48,'10.08 Soroti-Kumi-24h'!C48,'14.08 Soroti-Kumi'!C48)</f>
        <v>1.1428571428571428</v>
      </c>
      <c r="D48" s="49">
        <f>AVERAGE('08.08 Soroti-Kumi'!D48,'11.08 Soroti-Kumi'!D48,'12.08 Soroti-Kumi'!D48,'13.08 Soroti-Kumi'!D48,'09.08 Soroti-Kumi-24h'!D48,'10.08 Soroti-Kumi-24h'!D48,'14.08 Soroti-Kumi'!D48)</f>
        <v>1.5714285714285714</v>
      </c>
      <c r="E48" s="49">
        <f>AVERAGE('08.08 Soroti-Kumi'!E48,'11.08 Soroti-Kumi'!E48,'12.08 Soroti-Kumi'!E48,'13.08 Soroti-Kumi'!E48,'09.08 Soroti-Kumi-24h'!E48,'10.08 Soroti-Kumi-24h'!E48,'14.08 Soroti-Kumi'!E48)</f>
        <v>3.2857142857142856</v>
      </c>
      <c r="F48" s="49">
        <f>AVERAGE('08.08 Soroti-Kumi'!F48,'11.08 Soroti-Kumi'!F48,'12.08 Soroti-Kumi'!F48,'13.08 Soroti-Kumi'!F48,'09.08 Soroti-Kumi-24h'!F48,'10.08 Soroti-Kumi-24h'!F48,'14.08 Soroti-Kumi'!F48)</f>
        <v>3.5714285714285716</v>
      </c>
      <c r="G48" s="49">
        <f>AVERAGE('08.08 Soroti-Kumi'!G48,'11.08 Soroti-Kumi'!G48,'12.08 Soroti-Kumi'!G48,'13.08 Soroti-Kumi'!G48,'09.08 Soroti-Kumi-24h'!G48,'10.08 Soroti-Kumi-24h'!G48,'14.08 Soroti-Kumi'!G48)</f>
        <v>0</v>
      </c>
      <c r="H48" s="49">
        <f>AVERAGE('08.08 Soroti-Kumi'!H48,'11.08 Soroti-Kumi'!H48,'12.08 Soroti-Kumi'!H48,'13.08 Soroti-Kumi'!H48,'09.08 Soroti-Kumi-24h'!H48,'10.08 Soroti-Kumi-24h'!H48,'14.08 Soroti-Kumi'!H48)</f>
        <v>0.2857142857142857</v>
      </c>
      <c r="I48" s="49">
        <f>AVERAGE('08.08 Soroti-Kumi'!I48,'11.08 Soroti-Kumi'!I48,'12.08 Soroti-Kumi'!I48,'13.08 Soroti-Kumi'!I48,'09.08 Soroti-Kumi-24h'!I48,'10.08 Soroti-Kumi-24h'!I48,'14.08 Soroti-Kumi'!I48)</f>
        <v>2.8571428571428572</v>
      </c>
      <c r="J48" s="49">
        <f>AVERAGE('08.08 Soroti-Kumi'!J48,'11.08 Soroti-Kumi'!J48,'12.08 Soroti-Kumi'!J48,'13.08 Soroti-Kumi'!J48,'09.08 Soroti-Kumi-24h'!J48,'10.08 Soroti-Kumi-24h'!J48,'14.08 Soroti-Kumi'!J48)</f>
        <v>0.42857142857142855</v>
      </c>
      <c r="K48" s="49">
        <f>AVERAGE('08.08 Soroti-Kumi'!K48,'11.08 Soroti-Kumi'!K48,'12.08 Soroti-Kumi'!K48,'13.08 Soroti-Kumi'!K48,'09.08 Soroti-Kumi-24h'!K48,'10.08 Soroti-Kumi-24h'!K48,'14.08 Soroti-Kumi'!K48)</f>
        <v>0</v>
      </c>
      <c r="L48" s="49">
        <f>AVERAGE('08.08 Soroti-Kumi'!L48,'11.08 Soroti-Kumi'!L48,'12.08 Soroti-Kumi'!L48,'13.08 Soroti-Kumi'!L48,'09.08 Soroti-Kumi-24h'!L48,'10.08 Soroti-Kumi-24h'!L48,'14.08 Soroti-Kumi'!L48)</f>
        <v>1</v>
      </c>
      <c r="M48" s="49">
        <f>AVERAGE('08.08 Soroti-Kumi'!M48,'11.08 Soroti-Kumi'!M48,'12.08 Soroti-Kumi'!M48,'13.08 Soroti-Kumi'!M48,'09.08 Soroti-Kumi-24h'!M48,'10.08 Soroti-Kumi-24h'!M48,'14.08 Soroti-Kumi'!M48)</f>
        <v>3.4285714285714284</v>
      </c>
      <c r="N48" s="49">
        <f>AVERAGE('08.08 Soroti-Kumi'!N48,'11.08 Soroti-Kumi'!N48,'12.08 Soroti-Kumi'!N48,'13.08 Soroti-Kumi'!N48,'09.08 Soroti-Kumi-24h'!N48,'10.08 Soroti-Kumi-24h'!N48,'14.08 Soroti-Kumi'!N48)</f>
        <v>0</v>
      </c>
      <c r="O48" s="15">
        <f t="shared" si="0"/>
        <v>14.142857142857144</v>
      </c>
      <c r="P48" s="15">
        <f t="shared" si="1"/>
        <v>17.571428571428573</v>
      </c>
      <c r="R48" s="8"/>
      <c r="T48"/>
    </row>
    <row r="49" spans="2:20" ht="23.1" customHeight="1" x14ac:dyDescent="0.25">
      <c r="B49" s="23" t="s">
        <v>76</v>
      </c>
      <c r="C49" s="49">
        <f>AVERAGE('08.08 Soroti-Kumi'!C49,'11.08 Soroti-Kumi'!C49,'12.08 Soroti-Kumi'!C49,'13.08 Soroti-Kumi'!C49,'09.08 Soroti-Kumi-24h'!C49,'10.08 Soroti-Kumi-24h'!C49,'14.08 Soroti-Kumi'!C49)</f>
        <v>1.5714285714285714</v>
      </c>
      <c r="D49" s="49">
        <f>AVERAGE('08.08 Soroti-Kumi'!D49,'11.08 Soroti-Kumi'!D49,'12.08 Soroti-Kumi'!D49,'13.08 Soroti-Kumi'!D49,'09.08 Soroti-Kumi-24h'!D49,'10.08 Soroti-Kumi-24h'!D49,'14.08 Soroti-Kumi'!D49)</f>
        <v>1.7142857142857142</v>
      </c>
      <c r="E49" s="49">
        <f>AVERAGE('08.08 Soroti-Kumi'!E49,'11.08 Soroti-Kumi'!E49,'12.08 Soroti-Kumi'!E49,'13.08 Soroti-Kumi'!E49,'09.08 Soroti-Kumi-24h'!E49,'10.08 Soroti-Kumi-24h'!E49,'14.08 Soroti-Kumi'!E49)</f>
        <v>3.4285714285714284</v>
      </c>
      <c r="F49" s="49">
        <f>AVERAGE('08.08 Soroti-Kumi'!F49,'11.08 Soroti-Kumi'!F49,'12.08 Soroti-Kumi'!F49,'13.08 Soroti-Kumi'!F49,'09.08 Soroti-Kumi-24h'!F49,'10.08 Soroti-Kumi-24h'!F49,'14.08 Soroti-Kumi'!F49)</f>
        <v>3.8571428571428572</v>
      </c>
      <c r="G49" s="49">
        <f>AVERAGE('08.08 Soroti-Kumi'!G49,'11.08 Soroti-Kumi'!G49,'12.08 Soroti-Kumi'!G49,'13.08 Soroti-Kumi'!G49,'09.08 Soroti-Kumi-24h'!G49,'10.08 Soroti-Kumi-24h'!G49,'14.08 Soroti-Kumi'!G49)</f>
        <v>0</v>
      </c>
      <c r="H49" s="49">
        <f>AVERAGE('08.08 Soroti-Kumi'!H49,'11.08 Soroti-Kumi'!H49,'12.08 Soroti-Kumi'!H49,'13.08 Soroti-Kumi'!H49,'09.08 Soroti-Kumi-24h'!H49,'10.08 Soroti-Kumi-24h'!H49,'14.08 Soroti-Kumi'!H49)</f>
        <v>0.2857142857142857</v>
      </c>
      <c r="I49" s="49">
        <f>AVERAGE('08.08 Soroti-Kumi'!I49,'11.08 Soroti-Kumi'!I49,'12.08 Soroti-Kumi'!I49,'13.08 Soroti-Kumi'!I49,'09.08 Soroti-Kumi-24h'!I49,'10.08 Soroti-Kumi-24h'!I49,'14.08 Soroti-Kumi'!I49)</f>
        <v>1.7142857142857142</v>
      </c>
      <c r="J49" s="49">
        <f>AVERAGE('08.08 Soroti-Kumi'!J49,'11.08 Soroti-Kumi'!J49,'12.08 Soroti-Kumi'!J49,'13.08 Soroti-Kumi'!J49,'09.08 Soroti-Kumi-24h'!J49,'10.08 Soroti-Kumi-24h'!J49,'14.08 Soroti-Kumi'!J49)</f>
        <v>0.5714285714285714</v>
      </c>
      <c r="K49" s="49">
        <f>AVERAGE('08.08 Soroti-Kumi'!K49,'11.08 Soroti-Kumi'!K49,'12.08 Soroti-Kumi'!K49,'13.08 Soroti-Kumi'!K49,'09.08 Soroti-Kumi-24h'!K49,'10.08 Soroti-Kumi-24h'!K49,'14.08 Soroti-Kumi'!K49)</f>
        <v>0.14285714285714285</v>
      </c>
      <c r="L49" s="49">
        <f>AVERAGE('08.08 Soroti-Kumi'!L49,'11.08 Soroti-Kumi'!L49,'12.08 Soroti-Kumi'!L49,'13.08 Soroti-Kumi'!L49,'09.08 Soroti-Kumi-24h'!L49,'10.08 Soroti-Kumi-24h'!L49,'14.08 Soroti-Kumi'!L49)</f>
        <v>2.7142857142857144</v>
      </c>
      <c r="M49" s="49">
        <f>AVERAGE('08.08 Soroti-Kumi'!M49,'11.08 Soroti-Kumi'!M49,'12.08 Soroti-Kumi'!M49,'13.08 Soroti-Kumi'!M49,'09.08 Soroti-Kumi-24h'!M49,'10.08 Soroti-Kumi-24h'!M49,'14.08 Soroti-Kumi'!M49)</f>
        <v>3.4285714285714284</v>
      </c>
      <c r="N49" s="49">
        <f>AVERAGE('08.08 Soroti-Kumi'!N49,'11.08 Soroti-Kumi'!N49,'12.08 Soroti-Kumi'!N49,'13.08 Soroti-Kumi'!N49,'09.08 Soroti-Kumi-24h'!N49,'10.08 Soroti-Kumi-24h'!N49,'14.08 Soroti-Kumi'!N49)</f>
        <v>0</v>
      </c>
      <c r="O49" s="15">
        <f t="shared" si="0"/>
        <v>16</v>
      </c>
      <c r="P49" s="15">
        <f t="shared" si="1"/>
        <v>19.428571428571427</v>
      </c>
      <c r="R49" s="8"/>
      <c r="T49"/>
    </row>
    <row r="50" spans="2:20" ht="23.1" customHeight="1" x14ac:dyDescent="0.25">
      <c r="B50" s="24" t="s">
        <v>77</v>
      </c>
      <c r="C50" s="49">
        <f>AVERAGE('08.08 Soroti-Kumi'!C50,'11.08 Soroti-Kumi'!C50,'12.08 Soroti-Kumi'!C50,'13.08 Soroti-Kumi'!C50,'09.08 Soroti-Kumi-24h'!C50,'10.08 Soroti-Kumi-24h'!C50,'14.08 Soroti-Kumi'!C50)</f>
        <v>0.8571428571428571</v>
      </c>
      <c r="D50" s="49">
        <f>AVERAGE('08.08 Soroti-Kumi'!D50,'11.08 Soroti-Kumi'!D50,'12.08 Soroti-Kumi'!D50,'13.08 Soroti-Kumi'!D50,'09.08 Soroti-Kumi-24h'!D50,'10.08 Soroti-Kumi-24h'!D50,'14.08 Soroti-Kumi'!D50)</f>
        <v>0.8571428571428571</v>
      </c>
      <c r="E50" s="49">
        <f>AVERAGE('08.08 Soroti-Kumi'!E50,'11.08 Soroti-Kumi'!E50,'12.08 Soroti-Kumi'!E50,'13.08 Soroti-Kumi'!E50,'09.08 Soroti-Kumi-24h'!E50,'10.08 Soroti-Kumi-24h'!E50,'14.08 Soroti-Kumi'!E50)</f>
        <v>2.5714285714285716</v>
      </c>
      <c r="F50" s="49">
        <f>AVERAGE('08.08 Soroti-Kumi'!F50,'11.08 Soroti-Kumi'!F50,'12.08 Soroti-Kumi'!F50,'13.08 Soroti-Kumi'!F50,'09.08 Soroti-Kumi-24h'!F50,'10.08 Soroti-Kumi-24h'!F50,'14.08 Soroti-Kumi'!F50)</f>
        <v>3</v>
      </c>
      <c r="G50" s="49">
        <f>AVERAGE('08.08 Soroti-Kumi'!G50,'11.08 Soroti-Kumi'!G50,'12.08 Soroti-Kumi'!G50,'13.08 Soroti-Kumi'!G50,'09.08 Soroti-Kumi-24h'!G50,'10.08 Soroti-Kumi-24h'!G50,'14.08 Soroti-Kumi'!G50)</f>
        <v>0</v>
      </c>
      <c r="H50" s="49">
        <f>AVERAGE('08.08 Soroti-Kumi'!H50,'11.08 Soroti-Kumi'!H50,'12.08 Soroti-Kumi'!H50,'13.08 Soroti-Kumi'!H50,'09.08 Soroti-Kumi-24h'!H50,'10.08 Soroti-Kumi-24h'!H50,'14.08 Soroti-Kumi'!H50)</f>
        <v>0</v>
      </c>
      <c r="I50" s="49">
        <f>AVERAGE('08.08 Soroti-Kumi'!I50,'11.08 Soroti-Kumi'!I50,'12.08 Soroti-Kumi'!I50,'13.08 Soroti-Kumi'!I50,'09.08 Soroti-Kumi-24h'!I50,'10.08 Soroti-Kumi-24h'!I50,'14.08 Soroti-Kumi'!I50)</f>
        <v>1.4285714285714286</v>
      </c>
      <c r="J50" s="49">
        <f>AVERAGE('08.08 Soroti-Kumi'!J50,'11.08 Soroti-Kumi'!J50,'12.08 Soroti-Kumi'!J50,'13.08 Soroti-Kumi'!J50,'09.08 Soroti-Kumi-24h'!J50,'10.08 Soroti-Kumi-24h'!J50,'14.08 Soroti-Kumi'!J50)</f>
        <v>0.42857142857142855</v>
      </c>
      <c r="K50" s="49">
        <f>AVERAGE('08.08 Soroti-Kumi'!K50,'11.08 Soroti-Kumi'!K50,'12.08 Soroti-Kumi'!K50,'13.08 Soroti-Kumi'!K50,'09.08 Soroti-Kumi-24h'!K50,'10.08 Soroti-Kumi-24h'!K50,'14.08 Soroti-Kumi'!K50)</f>
        <v>0.2857142857142857</v>
      </c>
      <c r="L50" s="49">
        <f>AVERAGE('08.08 Soroti-Kumi'!L50,'11.08 Soroti-Kumi'!L50,'12.08 Soroti-Kumi'!L50,'13.08 Soroti-Kumi'!L50,'09.08 Soroti-Kumi-24h'!L50,'10.08 Soroti-Kumi-24h'!L50,'14.08 Soroti-Kumi'!L50)</f>
        <v>2.5714285714285716</v>
      </c>
      <c r="M50" s="49">
        <f>AVERAGE('08.08 Soroti-Kumi'!M50,'11.08 Soroti-Kumi'!M50,'12.08 Soroti-Kumi'!M50,'13.08 Soroti-Kumi'!M50,'09.08 Soroti-Kumi-24h'!M50,'10.08 Soroti-Kumi-24h'!M50,'14.08 Soroti-Kumi'!M50)</f>
        <v>5</v>
      </c>
      <c r="N50" s="49">
        <f>AVERAGE('08.08 Soroti-Kumi'!N50,'11.08 Soroti-Kumi'!N50,'12.08 Soroti-Kumi'!N50,'13.08 Soroti-Kumi'!N50,'09.08 Soroti-Kumi-24h'!N50,'10.08 Soroti-Kumi-24h'!N50,'14.08 Soroti-Kumi'!N50)</f>
        <v>0.14285714285714285</v>
      </c>
      <c r="O50" s="15">
        <f t="shared" si="0"/>
        <v>12.142857142857142</v>
      </c>
      <c r="P50" s="15">
        <f t="shared" si="1"/>
        <v>17.142857142857142</v>
      </c>
      <c r="R50" s="8"/>
      <c r="T50"/>
    </row>
    <row r="51" spans="2:20" ht="23.1" customHeight="1" x14ac:dyDescent="0.25">
      <c r="B51" s="24" t="s">
        <v>78</v>
      </c>
      <c r="C51" s="49">
        <f>AVERAGE('08.08 Soroti-Kumi'!C51,'11.08 Soroti-Kumi'!C51,'12.08 Soroti-Kumi'!C51,'13.08 Soroti-Kumi'!C51,'09.08 Soroti-Kumi-24h'!C51,'10.08 Soroti-Kumi-24h'!C51,'14.08 Soroti-Kumi'!C51)</f>
        <v>1.1428571428571428</v>
      </c>
      <c r="D51" s="49">
        <f>AVERAGE('08.08 Soroti-Kumi'!D51,'11.08 Soroti-Kumi'!D51,'12.08 Soroti-Kumi'!D51,'13.08 Soroti-Kumi'!D51,'09.08 Soroti-Kumi-24h'!D51,'10.08 Soroti-Kumi-24h'!D51,'14.08 Soroti-Kumi'!D51)</f>
        <v>1.2857142857142858</v>
      </c>
      <c r="E51" s="49">
        <f>AVERAGE('08.08 Soroti-Kumi'!E51,'11.08 Soroti-Kumi'!E51,'12.08 Soroti-Kumi'!E51,'13.08 Soroti-Kumi'!E51,'09.08 Soroti-Kumi-24h'!E51,'10.08 Soroti-Kumi-24h'!E51,'14.08 Soroti-Kumi'!E51)</f>
        <v>2.5714285714285716</v>
      </c>
      <c r="F51" s="49">
        <f>AVERAGE('08.08 Soroti-Kumi'!F51,'11.08 Soroti-Kumi'!F51,'12.08 Soroti-Kumi'!F51,'13.08 Soroti-Kumi'!F51,'09.08 Soroti-Kumi-24h'!F51,'10.08 Soroti-Kumi-24h'!F51,'14.08 Soroti-Kumi'!F51)</f>
        <v>2.4285714285714284</v>
      </c>
      <c r="G51" s="49">
        <f>AVERAGE('08.08 Soroti-Kumi'!G51,'11.08 Soroti-Kumi'!G51,'12.08 Soroti-Kumi'!G51,'13.08 Soroti-Kumi'!G51,'09.08 Soroti-Kumi-24h'!G51,'10.08 Soroti-Kumi-24h'!G51,'14.08 Soroti-Kumi'!G51)</f>
        <v>0</v>
      </c>
      <c r="H51" s="49">
        <f>AVERAGE('08.08 Soroti-Kumi'!H51,'11.08 Soroti-Kumi'!H51,'12.08 Soroti-Kumi'!H51,'13.08 Soroti-Kumi'!H51,'09.08 Soroti-Kumi-24h'!H51,'10.08 Soroti-Kumi-24h'!H51,'14.08 Soroti-Kumi'!H51)</f>
        <v>0</v>
      </c>
      <c r="I51" s="49">
        <f>AVERAGE('08.08 Soroti-Kumi'!I51,'11.08 Soroti-Kumi'!I51,'12.08 Soroti-Kumi'!I51,'13.08 Soroti-Kumi'!I51,'09.08 Soroti-Kumi-24h'!I51,'10.08 Soroti-Kumi-24h'!I51,'14.08 Soroti-Kumi'!I51)</f>
        <v>2.5714285714285716</v>
      </c>
      <c r="J51" s="49">
        <f>AVERAGE('08.08 Soroti-Kumi'!J51,'11.08 Soroti-Kumi'!J51,'12.08 Soroti-Kumi'!J51,'13.08 Soroti-Kumi'!J51,'09.08 Soroti-Kumi-24h'!J51,'10.08 Soroti-Kumi-24h'!J51,'14.08 Soroti-Kumi'!J51)</f>
        <v>1</v>
      </c>
      <c r="K51" s="49">
        <f>AVERAGE('08.08 Soroti-Kumi'!K51,'11.08 Soroti-Kumi'!K51,'12.08 Soroti-Kumi'!K51,'13.08 Soroti-Kumi'!K51,'09.08 Soroti-Kumi-24h'!K51,'10.08 Soroti-Kumi-24h'!K51,'14.08 Soroti-Kumi'!K51)</f>
        <v>0.42857142857142855</v>
      </c>
      <c r="L51" s="49">
        <f>AVERAGE('08.08 Soroti-Kumi'!L51,'11.08 Soroti-Kumi'!L51,'12.08 Soroti-Kumi'!L51,'13.08 Soroti-Kumi'!L51,'09.08 Soroti-Kumi-24h'!L51,'10.08 Soroti-Kumi-24h'!L51,'14.08 Soroti-Kumi'!L51)</f>
        <v>2</v>
      </c>
      <c r="M51" s="49">
        <f>AVERAGE('08.08 Soroti-Kumi'!M51,'11.08 Soroti-Kumi'!M51,'12.08 Soroti-Kumi'!M51,'13.08 Soroti-Kumi'!M51,'09.08 Soroti-Kumi-24h'!M51,'10.08 Soroti-Kumi-24h'!M51,'14.08 Soroti-Kumi'!M51)</f>
        <v>3.5714285714285716</v>
      </c>
      <c r="N51" s="49">
        <f>AVERAGE('08.08 Soroti-Kumi'!N51,'11.08 Soroti-Kumi'!N51,'12.08 Soroti-Kumi'!N51,'13.08 Soroti-Kumi'!N51,'09.08 Soroti-Kumi-24h'!N51,'10.08 Soroti-Kumi-24h'!N51,'14.08 Soroti-Kumi'!N51)</f>
        <v>0</v>
      </c>
      <c r="O51" s="15">
        <f t="shared" si="0"/>
        <v>13.428571428571429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49">
        <f>AVERAGE('08.08 Soroti-Kumi'!C52,'11.08 Soroti-Kumi'!C52,'12.08 Soroti-Kumi'!C52,'13.08 Soroti-Kumi'!C52,'09.08 Soroti-Kumi-24h'!C52,'10.08 Soroti-Kumi-24h'!C52,'14.08 Soroti-Kumi'!C52)</f>
        <v>1.8571428571428572</v>
      </c>
      <c r="D52" s="49">
        <f>AVERAGE('08.08 Soroti-Kumi'!D52,'11.08 Soroti-Kumi'!D52,'12.08 Soroti-Kumi'!D52,'13.08 Soroti-Kumi'!D52,'09.08 Soroti-Kumi-24h'!D52,'10.08 Soroti-Kumi-24h'!D52,'14.08 Soroti-Kumi'!D52)</f>
        <v>1.7142857142857142</v>
      </c>
      <c r="E52" s="49">
        <f>AVERAGE('08.08 Soroti-Kumi'!E52,'11.08 Soroti-Kumi'!E52,'12.08 Soroti-Kumi'!E52,'13.08 Soroti-Kumi'!E52,'09.08 Soroti-Kumi-24h'!E52,'10.08 Soroti-Kumi-24h'!E52,'14.08 Soroti-Kumi'!E52)</f>
        <v>3.2857142857142856</v>
      </c>
      <c r="F52" s="49">
        <f>AVERAGE('08.08 Soroti-Kumi'!F52,'11.08 Soroti-Kumi'!F52,'12.08 Soroti-Kumi'!F52,'13.08 Soroti-Kumi'!F52,'09.08 Soroti-Kumi-24h'!F52,'10.08 Soroti-Kumi-24h'!F52,'14.08 Soroti-Kumi'!F52)</f>
        <v>3.2857142857142856</v>
      </c>
      <c r="G52" s="49">
        <f>AVERAGE('08.08 Soroti-Kumi'!G52,'11.08 Soroti-Kumi'!G52,'12.08 Soroti-Kumi'!G52,'13.08 Soroti-Kumi'!G52,'09.08 Soroti-Kumi-24h'!G52,'10.08 Soroti-Kumi-24h'!G52,'14.08 Soroti-Kumi'!G52)</f>
        <v>0</v>
      </c>
      <c r="H52" s="49">
        <f>AVERAGE('08.08 Soroti-Kumi'!H52,'11.08 Soroti-Kumi'!H52,'12.08 Soroti-Kumi'!H52,'13.08 Soroti-Kumi'!H52,'09.08 Soroti-Kumi-24h'!H52,'10.08 Soroti-Kumi-24h'!H52,'14.08 Soroti-Kumi'!H52)</f>
        <v>0</v>
      </c>
      <c r="I52" s="49">
        <f>AVERAGE('08.08 Soroti-Kumi'!I52,'11.08 Soroti-Kumi'!I52,'12.08 Soroti-Kumi'!I52,'13.08 Soroti-Kumi'!I52,'09.08 Soroti-Kumi-24h'!I52,'10.08 Soroti-Kumi-24h'!I52,'14.08 Soroti-Kumi'!I52)</f>
        <v>2.2857142857142856</v>
      </c>
      <c r="J52" s="49">
        <f>AVERAGE('08.08 Soroti-Kumi'!J52,'11.08 Soroti-Kumi'!J52,'12.08 Soroti-Kumi'!J52,'13.08 Soroti-Kumi'!J52,'09.08 Soroti-Kumi-24h'!J52,'10.08 Soroti-Kumi-24h'!J52,'14.08 Soroti-Kumi'!J52)</f>
        <v>0.2857142857142857</v>
      </c>
      <c r="K52" s="49">
        <f>AVERAGE('08.08 Soroti-Kumi'!K52,'11.08 Soroti-Kumi'!K52,'12.08 Soroti-Kumi'!K52,'13.08 Soroti-Kumi'!K52,'09.08 Soroti-Kumi-24h'!K52,'10.08 Soroti-Kumi-24h'!K52,'14.08 Soroti-Kumi'!K52)</f>
        <v>0.14285714285714285</v>
      </c>
      <c r="L52" s="49">
        <f>AVERAGE('08.08 Soroti-Kumi'!L52,'11.08 Soroti-Kumi'!L52,'12.08 Soroti-Kumi'!L52,'13.08 Soroti-Kumi'!L52,'09.08 Soroti-Kumi-24h'!L52,'10.08 Soroti-Kumi-24h'!L52,'14.08 Soroti-Kumi'!L52)</f>
        <v>3.5714285714285716</v>
      </c>
      <c r="M52" s="49">
        <f>AVERAGE('08.08 Soroti-Kumi'!M52,'11.08 Soroti-Kumi'!M52,'12.08 Soroti-Kumi'!M52,'13.08 Soroti-Kumi'!M52,'09.08 Soroti-Kumi-24h'!M52,'10.08 Soroti-Kumi-24h'!M52,'14.08 Soroti-Kumi'!M52)</f>
        <v>4.7142857142857144</v>
      </c>
      <c r="N52" s="49">
        <f>AVERAGE('08.08 Soroti-Kumi'!N52,'11.08 Soroti-Kumi'!N52,'12.08 Soroti-Kumi'!N52,'13.08 Soroti-Kumi'!N52,'09.08 Soroti-Kumi-24h'!N52,'10.08 Soroti-Kumi-24h'!N52,'14.08 Soroti-Kumi'!N52)</f>
        <v>0</v>
      </c>
      <c r="O52" s="15">
        <f t="shared" si="0"/>
        <v>16.428571428571427</v>
      </c>
      <c r="P52" s="15">
        <f t="shared" si="1"/>
        <v>21.142857142857142</v>
      </c>
      <c r="R52" s="8"/>
      <c r="T52"/>
    </row>
    <row r="53" spans="2:20" ht="23.1" customHeight="1" x14ac:dyDescent="0.25">
      <c r="B53" s="23" t="s">
        <v>80</v>
      </c>
      <c r="C53" s="49">
        <f>AVERAGE('08.08 Soroti-Kumi'!C53,'11.08 Soroti-Kumi'!C53,'12.08 Soroti-Kumi'!C53,'13.08 Soroti-Kumi'!C53,'09.08 Soroti-Kumi-24h'!C53,'10.08 Soroti-Kumi-24h'!C53,'14.08 Soroti-Kumi'!C53)</f>
        <v>1.7142857142857142</v>
      </c>
      <c r="D53" s="49">
        <f>AVERAGE('08.08 Soroti-Kumi'!D53,'11.08 Soroti-Kumi'!D53,'12.08 Soroti-Kumi'!D53,'13.08 Soroti-Kumi'!D53,'09.08 Soroti-Kumi-24h'!D53,'10.08 Soroti-Kumi-24h'!D53,'14.08 Soroti-Kumi'!D53)</f>
        <v>0.7142857142857143</v>
      </c>
      <c r="E53" s="49">
        <f>AVERAGE('08.08 Soroti-Kumi'!E53,'11.08 Soroti-Kumi'!E53,'12.08 Soroti-Kumi'!E53,'13.08 Soroti-Kumi'!E53,'09.08 Soroti-Kumi-24h'!E53,'10.08 Soroti-Kumi-24h'!E53,'14.08 Soroti-Kumi'!E53)</f>
        <v>2.4285714285714284</v>
      </c>
      <c r="F53" s="49">
        <f>AVERAGE('08.08 Soroti-Kumi'!F53,'11.08 Soroti-Kumi'!F53,'12.08 Soroti-Kumi'!F53,'13.08 Soroti-Kumi'!F53,'09.08 Soroti-Kumi-24h'!F53,'10.08 Soroti-Kumi-24h'!F53,'14.08 Soroti-Kumi'!F53)</f>
        <v>2.5714285714285716</v>
      </c>
      <c r="G53" s="49">
        <f>AVERAGE('08.08 Soroti-Kumi'!G53,'11.08 Soroti-Kumi'!G53,'12.08 Soroti-Kumi'!G53,'13.08 Soroti-Kumi'!G53,'09.08 Soroti-Kumi-24h'!G53,'10.08 Soroti-Kumi-24h'!G53,'14.08 Soroti-Kumi'!G53)</f>
        <v>0</v>
      </c>
      <c r="H53" s="49">
        <f>AVERAGE('08.08 Soroti-Kumi'!H53,'11.08 Soroti-Kumi'!H53,'12.08 Soroti-Kumi'!H53,'13.08 Soroti-Kumi'!H53,'09.08 Soroti-Kumi-24h'!H53,'10.08 Soroti-Kumi-24h'!H53,'14.08 Soroti-Kumi'!H53)</f>
        <v>0</v>
      </c>
      <c r="I53" s="49">
        <f>AVERAGE('08.08 Soroti-Kumi'!I53,'11.08 Soroti-Kumi'!I53,'12.08 Soroti-Kumi'!I53,'13.08 Soroti-Kumi'!I53,'09.08 Soroti-Kumi-24h'!I53,'10.08 Soroti-Kumi-24h'!I53,'14.08 Soroti-Kumi'!I53)</f>
        <v>2.7142857142857144</v>
      </c>
      <c r="J53" s="49">
        <f>AVERAGE('08.08 Soroti-Kumi'!J53,'11.08 Soroti-Kumi'!J53,'12.08 Soroti-Kumi'!J53,'13.08 Soroti-Kumi'!J53,'09.08 Soroti-Kumi-24h'!J53,'10.08 Soroti-Kumi-24h'!J53,'14.08 Soroti-Kumi'!J53)</f>
        <v>0.5714285714285714</v>
      </c>
      <c r="K53" s="49">
        <f>AVERAGE('08.08 Soroti-Kumi'!K53,'11.08 Soroti-Kumi'!K53,'12.08 Soroti-Kumi'!K53,'13.08 Soroti-Kumi'!K53,'09.08 Soroti-Kumi-24h'!K53,'10.08 Soroti-Kumi-24h'!K53,'14.08 Soroti-Kumi'!K53)</f>
        <v>0</v>
      </c>
      <c r="L53" s="49">
        <f>AVERAGE('08.08 Soroti-Kumi'!L53,'11.08 Soroti-Kumi'!L53,'12.08 Soroti-Kumi'!L53,'13.08 Soroti-Kumi'!L53,'09.08 Soroti-Kumi-24h'!L53,'10.08 Soroti-Kumi-24h'!L53,'14.08 Soroti-Kumi'!L53)</f>
        <v>1.7142857142857142</v>
      </c>
      <c r="M53" s="49">
        <f>AVERAGE('08.08 Soroti-Kumi'!M53,'11.08 Soroti-Kumi'!M53,'12.08 Soroti-Kumi'!M53,'13.08 Soroti-Kumi'!M53,'09.08 Soroti-Kumi-24h'!M53,'10.08 Soroti-Kumi-24h'!M53,'14.08 Soroti-Kumi'!M53)</f>
        <v>5.2857142857142856</v>
      </c>
      <c r="N53" s="49">
        <f>AVERAGE('08.08 Soroti-Kumi'!N53,'11.08 Soroti-Kumi'!N53,'12.08 Soroti-Kumi'!N53,'13.08 Soroti-Kumi'!N53,'09.08 Soroti-Kumi-24h'!N53,'10.08 Soroti-Kumi-24h'!N53,'14.08 Soroti-Kumi'!N53)</f>
        <v>0</v>
      </c>
      <c r="O53" s="15">
        <f t="shared" si="0"/>
        <v>12.428571428571427</v>
      </c>
      <c r="P53" s="15">
        <f t="shared" si="1"/>
        <v>17.714285714285712</v>
      </c>
      <c r="R53" s="8"/>
      <c r="T53"/>
    </row>
    <row r="54" spans="2:20" ht="23.1" customHeight="1" x14ac:dyDescent="0.25">
      <c r="B54" s="23" t="s">
        <v>81</v>
      </c>
      <c r="C54" s="49">
        <f>AVERAGE('08.08 Soroti-Kumi'!C54,'11.08 Soroti-Kumi'!C54,'12.08 Soroti-Kumi'!C54,'13.08 Soroti-Kumi'!C54,'09.08 Soroti-Kumi-24h'!C54,'10.08 Soroti-Kumi-24h'!C54,'14.08 Soroti-Kumi'!C54)</f>
        <v>1.8571428571428572</v>
      </c>
      <c r="D54" s="49">
        <f>AVERAGE('08.08 Soroti-Kumi'!D54,'11.08 Soroti-Kumi'!D54,'12.08 Soroti-Kumi'!D54,'13.08 Soroti-Kumi'!D54,'09.08 Soroti-Kumi-24h'!D54,'10.08 Soroti-Kumi-24h'!D54,'14.08 Soroti-Kumi'!D54)</f>
        <v>1</v>
      </c>
      <c r="E54" s="49">
        <f>AVERAGE('08.08 Soroti-Kumi'!E54,'11.08 Soroti-Kumi'!E54,'12.08 Soroti-Kumi'!E54,'13.08 Soroti-Kumi'!E54,'09.08 Soroti-Kumi-24h'!E54,'10.08 Soroti-Kumi-24h'!E54,'14.08 Soroti-Kumi'!E54)</f>
        <v>2.1428571428571428</v>
      </c>
      <c r="F54" s="49">
        <f>AVERAGE('08.08 Soroti-Kumi'!F54,'11.08 Soroti-Kumi'!F54,'12.08 Soroti-Kumi'!F54,'13.08 Soroti-Kumi'!F54,'09.08 Soroti-Kumi-24h'!F54,'10.08 Soroti-Kumi-24h'!F54,'14.08 Soroti-Kumi'!F54)</f>
        <v>2.5714285714285716</v>
      </c>
      <c r="G54" s="49">
        <f>AVERAGE('08.08 Soroti-Kumi'!G54,'11.08 Soroti-Kumi'!G54,'12.08 Soroti-Kumi'!G54,'13.08 Soroti-Kumi'!G54,'09.08 Soroti-Kumi-24h'!G54,'10.08 Soroti-Kumi-24h'!G54,'14.08 Soroti-Kumi'!G54)</f>
        <v>0</v>
      </c>
      <c r="H54" s="49">
        <f>AVERAGE('08.08 Soroti-Kumi'!H54,'11.08 Soroti-Kumi'!H54,'12.08 Soroti-Kumi'!H54,'13.08 Soroti-Kumi'!H54,'09.08 Soroti-Kumi-24h'!H54,'10.08 Soroti-Kumi-24h'!H54,'14.08 Soroti-Kumi'!H54)</f>
        <v>0</v>
      </c>
      <c r="I54" s="49">
        <f>AVERAGE('08.08 Soroti-Kumi'!I54,'11.08 Soroti-Kumi'!I54,'12.08 Soroti-Kumi'!I54,'13.08 Soroti-Kumi'!I54,'09.08 Soroti-Kumi-24h'!I54,'10.08 Soroti-Kumi-24h'!I54,'14.08 Soroti-Kumi'!I54)</f>
        <v>1.7142857142857142</v>
      </c>
      <c r="J54" s="49">
        <f>AVERAGE('08.08 Soroti-Kumi'!J54,'11.08 Soroti-Kumi'!J54,'12.08 Soroti-Kumi'!J54,'13.08 Soroti-Kumi'!J54,'09.08 Soroti-Kumi-24h'!J54,'10.08 Soroti-Kumi-24h'!J54,'14.08 Soroti-Kumi'!J54)</f>
        <v>0.14285714285714285</v>
      </c>
      <c r="K54" s="49">
        <f>AVERAGE('08.08 Soroti-Kumi'!K54,'11.08 Soroti-Kumi'!K54,'12.08 Soroti-Kumi'!K54,'13.08 Soroti-Kumi'!K54,'09.08 Soroti-Kumi-24h'!K54,'10.08 Soroti-Kumi-24h'!K54,'14.08 Soroti-Kumi'!K54)</f>
        <v>0.14285714285714285</v>
      </c>
      <c r="L54" s="49">
        <f>AVERAGE('08.08 Soroti-Kumi'!L54,'11.08 Soroti-Kumi'!L54,'12.08 Soroti-Kumi'!L54,'13.08 Soroti-Kumi'!L54,'09.08 Soroti-Kumi-24h'!L54,'10.08 Soroti-Kumi-24h'!L54,'14.08 Soroti-Kumi'!L54)</f>
        <v>3.2857142857142856</v>
      </c>
      <c r="M54" s="49">
        <f>AVERAGE('08.08 Soroti-Kumi'!M54,'11.08 Soroti-Kumi'!M54,'12.08 Soroti-Kumi'!M54,'13.08 Soroti-Kumi'!M54,'09.08 Soroti-Kumi-24h'!M54,'10.08 Soroti-Kumi-24h'!M54,'14.08 Soroti-Kumi'!M54)</f>
        <v>5</v>
      </c>
      <c r="N54" s="49">
        <f>AVERAGE('08.08 Soroti-Kumi'!N54,'11.08 Soroti-Kumi'!N54,'12.08 Soroti-Kumi'!N54,'13.08 Soroti-Kumi'!N54,'09.08 Soroti-Kumi-24h'!N54,'10.08 Soroti-Kumi-24h'!N54,'14.08 Soroti-Kumi'!N54)</f>
        <v>0</v>
      </c>
      <c r="O54" s="15">
        <f t="shared" si="0"/>
        <v>12.857142857142854</v>
      </c>
      <c r="P54" s="15">
        <f t="shared" si="1"/>
        <v>17.857142857142854</v>
      </c>
      <c r="R54" s="8"/>
      <c r="T54"/>
    </row>
    <row r="55" spans="2:20" ht="23.1" customHeight="1" x14ac:dyDescent="0.25">
      <c r="B55" s="23" t="s">
        <v>82</v>
      </c>
      <c r="C55" s="49">
        <f>AVERAGE('08.08 Soroti-Kumi'!C55,'11.08 Soroti-Kumi'!C55,'12.08 Soroti-Kumi'!C55,'13.08 Soroti-Kumi'!C55,'09.08 Soroti-Kumi-24h'!C55,'10.08 Soroti-Kumi-24h'!C55,'14.08 Soroti-Kumi'!C55)</f>
        <v>2.1428571428571428</v>
      </c>
      <c r="D55" s="49">
        <f>AVERAGE('08.08 Soroti-Kumi'!D55,'11.08 Soroti-Kumi'!D55,'12.08 Soroti-Kumi'!D55,'13.08 Soroti-Kumi'!D55,'09.08 Soroti-Kumi-24h'!D55,'10.08 Soroti-Kumi-24h'!D55,'14.08 Soroti-Kumi'!D55)</f>
        <v>1.4285714285714286</v>
      </c>
      <c r="E55" s="49">
        <f>AVERAGE('08.08 Soroti-Kumi'!E55,'11.08 Soroti-Kumi'!E55,'12.08 Soroti-Kumi'!E55,'13.08 Soroti-Kumi'!E55,'09.08 Soroti-Kumi-24h'!E55,'10.08 Soroti-Kumi-24h'!E55,'14.08 Soroti-Kumi'!E55)</f>
        <v>2.5714285714285716</v>
      </c>
      <c r="F55" s="49">
        <f>AVERAGE('08.08 Soroti-Kumi'!F55,'11.08 Soroti-Kumi'!F55,'12.08 Soroti-Kumi'!F55,'13.08 Soroti-Kumi'!F55,'09.08 Soroti-Kumi-24h'!F55,'10.08 Soroti-Kumi-24h'!F55,'14.08 Soroti-Kumi'!F55)</f>
        <v>2.2857142857142856</v>
      </c>
      <c r="G55" s="49">
        <f>AVERAGE('08.08 Soroti-Kumi'!G55,'11.08 Soroti-Kumi'!G55,'12.08 Soroti-Kumi'!G55,'13.08 Soroti-Kumi'!G55,'09.08 Soroti-Kumi-24h'!G55,'10.08 Soroti-Kumi-24h'!G55,'14.08 Soroti-Kumi'!G55)</f>
        <v>0</v>
      </c>
      <c r="H55" s="49">
        <f>AVERAGE('08.08 Soroti-Kumi'!H55,'11.08 Soroti-Kumi'!H55,'12.08 Soroti-Kumi'!H55,'13.08 Soroti-Kumi'!H55,'09.08 Soroti-Kumi-24h'!H55,'10.08 Soroti-Kumi-24h'!H55,'14.08 Soroti-Kumi'!H55)</f>
        <v>0</v>
      </c>
      <c r="I55" s="49">
        <f>AVERAGE('08.08 Soroti-Kumi'!I55,'11.08 Soroti-Kumi'!I55,'12.08 Soroti-Kumi'!I55,'13.08 Soroti-Kumi'!I55,'09.08 Soroti-Kumi-24h'!I55,'10.08 Soroti-Kumi-24h'!I55,'14.08 Soroti-Kumi'!I55)</f>
        <v>1.8571428571428572</v>
      </c>
      <c r="J55" s="49">
        <f>AVERAGE('08.08 Soroti-Kumi'!J55,'11.08 Soroti-Kumi'!J55,'12.08 Soroti-Kumi'!J55,'13.08 Soroti-Kumi'!J55,'09.08 Soroti-Kumi-24h'!J55,'10.08 Soroti-Kumi-24h'!J55,'14.08 Soroti-Kumi'!J55)</f>
        <v>0.5714285714285714</v>
      </c>
      <c r="K55" s="49">
        <f>AVERAGE('08.08 Soroti-Kumi'!K55,'11.08 Soroti-Kumi'!K55,'12.08 Soroti-Kumi'!K55,'13.08 Soroti-Kumi'!K55,'09.08 Soroti-Kumi-24h'!K55,'10.08 Soroti-Kumi-24h'!K55,'14.08 Soroti-Kumi'!K55)</f>
        <v>0.14285714285714285</v>
      </c>
      <c r="L55" s="49">
        <f>AVERAGE('08.08 Soroti-Kumi'!L55,'11.08 Soroti-Kumi'!L55,'12.08 Soroti-Kumi'!L55,'13.08 Soroti-Kumi'!L55,'09.08 Soroti-Kumi-24h'!L55,'10.08 Soroti-Kumi-24h'!L55,'14.08 Soroti-Kumi'!L55)</f>
        <v>3.4285714285714284</v>
      </c>
      <c r="M55" s="49">
        <f>AVERAGE('08.08 Soroti-Kumi'!M55,'11.08 Soroti-Kumi'!M55,'12.08 Soroti-Kumi'!M55,'13.08 Soroti-Kumi'!M55,'09.08 Soroti-Kumi-24h'!M55,'10.08 Soroti-Kumi-24h'!M55,'14.08 Soroti-Kumi'!M55)</f>
        <v>2.8571428571428572</v>
      </c>
      <c r="N55" s="49">
        <f>AVERAGE('08.08 Soroti-Kumi'!N55,'11.08 Soroti-Kumi'!N55,'12.08 Soroti-Kumi'!N55,'13.08 Soroti-Kumi'!N55,'09.08 Soroti-Kumi-24h'!N55,'10.08 Soroti-Kumi-24h'!N55,'14.08 Soroti-Kumi'!N55)</f>
        <v>0</v>
      </c>
      <c r="O55" s="15">
        <f t="shared" si="0"/>
        <v>14.428571428571427</v>
      </c>
      <c r="P55" s="15">
        <f t="shared" si="1"/>
        <v>17.285714285714285</v>
      </c>
      <c r="R55" s="8"/>
      <c r="T55"/>
    </row>
    <row r="56" spans="2:20" ht="23.1" customHeight="1" x14ac:dyDescent="0.25">
      <c r="B56" s="23" t="s">
        <v>83</v>
      </c>
      <c r="C56" s="49">
        <f>AVERAGE('08.08 Soroti-Kumi'!C56,'11.08 Soroti-Kumi'!C56,'12.08 Soroti-Kumi'!C56,'13.08 Soroti-Kumi'!C56,'09.08 Soroti-Kumi-24h'!C56,'10.08 Soroti-Kumi-24h'!C56,'14.08 Soroti-Kumi'!C56)</f>
        <v>1.7142857142857142</v>
      </c>
      <c r="D56" s="49">
        <f>AVERAGE('08.08 Soroti-Kumi'!D56,'11.08 Soroti-Kumi'!D56,'12.08 Soroti-Kumi'!D56,'13.08 Soroti-Kumi'!D56,'09.08 Soroti-Kumi-24h'!D56,'10.08 Soroti-Kumi-24h'!D56,'14.08 Soroti-Kumi'!D56)</f>
        <v>1.2857142857142858</v>
      </c>
      <c r="E56" s="49">
        <f>AVERAGE('08.08 Soroti-Kumi'!E56,'11.08 Soroti-Kumi'!E56,'12.08 Soroti-Kumi'!E56,'13.08 Soroti-Kumi'!E56,'09.08 Soroti-Kumi-24h'!E56,'10.08 Soroti-Kumi-24h'!E56,'14.08 Soroti-Kumi'!E56)</f>
        <v>2.8571428571428572</v>
      </c>
      <c r="F56" s="49">
        <f>AVERAGE('08.08 Soroti-Kumi'!F56,'11.08 Soroti-Kumi'!F56,'12.08 Soroti-Kumi'!F56,'13.08 Soroti-Kumi'!F56,'09.08 Soroti-Kumi-24h'!F56,'10.08 Soroti-Kumi-24h'!F56,'14.08 Soroti-Kumi'!F56)</f>
        <v>1.8571428571428572</v>
      </c>
      <c r="G56" s="49">
        <f>AVERAGE('08.08 Soroti-Kumi'!G56,'11.08 Soroti-Kumi'!G56,'12.08 Soroti-Kumi'!G56,'13.08 Soroti-Kumi'!G56,'09.08 Soroti-Kumi-24h'!G56,'10.08 Soroti-Kumi-24h'!G56,'14.08 Soroti-Kumi'!G56)</f>
        <v>0</v>
      </c>
      <c r="H56" s="49">
        <f>AVERAGE('08.08 Soroti-Kumi'!H56,'11.08 Soroti-Kumi'!H56,'12.08 Soroti-Kumi'!H56,'13.08 Soroti-Kumi'!H56,'09.08 Soroti-Kumi-24h'!H56,'10.08 Soroti-Kumi-24h'!H56,'14.08 Soroti-Kumi'!H56)</f>
        <v>0.2857142857142857</v>
      </c>
      <c r="I56" s="49">
        <f>AVERAGE('08.08 Soroti-Kumi'!I56,'11.08 Soroti-Kumi'!I56,'12.08 Soroti-Kumi'!I56,'13.08 Soroti-Kumi'!I56,'09.08 Soroti-Kumi-24h'!I56,'10.08 Soroti-Kumi-24h'!I56,'14.08 Soroti-Kumi'!I56)</f>
        <v>2.5714285714285716</v>
      </c>
      <c r="J56" s="49">
        <f>AVERAGE('08.08 Soroti-Kumi'!J56,'11.08 Soroti-Kumi'!J56,'12.08 Soroti-Kumi'!J56,'13.08 Soroti-Kumi'!J56,'09.08 Soroti-Kumi-24h'!J56,'10.08 Soroti-Kumi-24h'!J56,'14.08 Soroti-Kumi'!J56)</f>
        <v>0.8571428571428571</v>
      </c>
      <c r="K56" s="49">
        <f>AVERAGE('08.08 Soroti-Kumi'!K56,'11.08 Soroti-Kumi'!K56,'12.08 Soroti-Kumi'!K56,'13.08 Soroti-Kumi'!K56,'09.08 Soroti-Kumi-24h'!K56,'10.08 Soroti-Kumi-24h'!K56,'14.08 Soroti-Kumi'!K56)</f>
        <v>0.5714285714285714</v>
      </c>
      <c r="L56" s="49">
        <f>AVERAGE('08.08 Soroti-Kumi'!L56,'11.08 Soroti-Kumi'!L56,'12.08 Soroti-Kumi'!L56,'13.08 Soroti-Kumi'!L56,'09.08 Soroti-Kumi-24h'!L56,'10.08 Soroti-Kumi-24h'!L56,'14.08 Soroti-Kumi'!L56)</f>
        <v>2.7142857142857144</v>
      </c>
      <c r="M56" s="49">
        <f>AVERAGE('08.08 Soroti-Kumi'!M56,'11.08 Soroti-Kumi'!M56,'12.08 Soroti-Kumi'!M56,'13.08 Soroti-Kumi'!M56,'09.08 Soroti-Kumi-24h'!M56,'10.08 Soroti-Kumi-24h'!M56,'14.08 Soroti-Kumi'!M56)</f>
        <v>5.4285714285714288</v>
      </c>
      <c r="N56" s="49">
        <f>AVERAGE('08.08 Soroti-Kumi'!N56,'11.08 Soroti-Kumi'!N56,'12.08 Soroti-Kumi'!N56,'13.08 Soroti-Kumi'!N56,'09.08 Soroti-Kumi-24h'!N56,'10.08 Soroti-Kumi-24h'!N56,'14.08 Soroti-Kumi'!N56)</f>
        <v>0</v>
      </c>
      <c r="O56" s="15">
        <f t="shared" si="0"/>
        <v>14.714285714285715</v>
      </c>
      <c r="P56" s="15">
        <f t="shared" si="1"/>
        <v>20.142857142857146</v>
      </c>
      <c r="R56" s="8"/>
      <c r="T56"/>
    </row>
    <row r="57" spans="2:20" ht="23.1" customHeight="1" x14ac:dyDescent="0.25">
      <c r="B57" s="23" t="s">
        <v>84</v>
      </c>
      <c r="C57" s="49">
        <f>AVERAGE('08.08 Soroti-Kumi'!C57,'11.08 Soroti-Kumi'!C57,'12.08 Soroti-Kumi'!C57,'13.08 Soroti-Kumi'!C57,'09.08 Soroti-Kumi-24h'!C57,'10.08 Soroti-Kumi-24h'!C57,'14.08 Soroti-Kumi'!C57)</f>
        <v>0.7142857142857143</v>
      </c>
      <c r="D57" s="49">
        <f>AVERAGE('08.08 Soroti-Kumi'!D57,'11.08 Soroti-Kumi'!D57,'12.08 Soroti-Kumi'!D57,'13.08 Soroti-Kumi'!D57,'09.08 Soroti-Kumi-24h'!D57,'10.08 Soroti-Kumi-24h'!D57,'14.08 Soroti-Kumi'!D57)</f>
        <v>0.8571428571428571</v>
      </c>
      <c r="E57" s="49">
        <f>AVERAGE('08.08 Soroti-Kumi'!E57,'11.08 Soroti-Kumi'!E57,'12.08 Soroti-Kumi'!E57,'13.08 Soroti-Kumi'!E57,'09.08 Soroti-Kumi-24h'!E57,'10.08 Soroti-Kumi-24h'!E57,'14.08 Soroti-Kumi'!E57)</f>
        <v>2.2857142857142856</v>
      </c>
      <c r="F57" s="49">
        <f>AVERAGE('08.08 Soroti-Kumi'!F57,'11.08 Soroti-Kumi'!F57,'12.08 Soroti-Kumi'!F57,'13.08 Soroti-Kumi'!F57,'09.08 Soroti-Kumi-24h'!F57,'10.08 Soroti-Kumi-24h'!F57,'14.08 Soroti-Kumi'!F57)</f>
        <v>2</v>
      </c>
      <c r="G57" s="49">
        <f>AVERAGE('08.08 Soroti-Kumi'!G57,'11.08 Soroti-Kumi'!G57,'12.08 Soroti-Kumi'!G57,'13.08 Soroti-Kumi'!G57,'09.08 Soroti-Kumi-24h'!G57,'10.08 Soroti-Kumi-24h'!G57,'14.08 Soroti-Kumi'!G57)</f>
        <v>0</v>
      </c>
      <c r="H57" s="49">
        <f>AVERAGE('08.08 Soroti-Kumi'!H57,'11.08 Soroti-Kumi'!H57,'12.08 Soroti-Kumi'!H57,'13.08 Soroti-Kumi'!H57,'09.08 Soroti-Kumi-24h'!H57,'10.08 Soroti-Kumi-24h'!H57,'14.08 Soroti-Kumi'!H57)</f>
        <v>0</v>
      </c>
      <c r="I57" s="49">
        <f>AVERAGE('08.08 Soroti-Kumi'!I57,'11.08 Soroti-Kumi'!I57,'12.08 Soroti-Kumi'!I57,'13.08 Soroti-Kumi'!I57,'09.08 Soroti-Kumi-24h'!I57,'10.08 Soroti-Kumi-24h'!I57,'14.08 Soroti-Kumi'!I57)</f>
        <v>2.2857142857142856</v>
      </c>
      <c r="J57" s="49">
        <f>AVERAGE('08.08 Soroti-Kumi'!J57,'11.08 Soroti-Kumi'!J57,'12.08 Soroti-Kumi'!J57,'13.08 Soroti-Kumi'!J57,'09.08 Soroti-Kumi-24h'!J57,'10.08 Soroti-Kumi-24h'!J57,'14.08 Soroti-Kumi'!J57)</f>
        <v>0.7142857142857143</v>
      </c>
      <c r="K57" s="49">
        <f>AVERAGE('08.08 Soroti-Kumi'!K57,'11.08 Soroti-Kumi'!K57,'12.08 Soroti-Kumi'!K57,'13.08 Soroti-Kumi'!K57,'09.08 Soroti-Kumi-24h'!K57,'10.08 Soroti-Kumi-24h'!K57,'14.08 Soroti-Kumi'!K57)</f>
        <v>0.14285714285714285</v>
      </c>
      <c r="L57" s="49">
        <f>AVERAGE('08.08 Soroti-Kumi'!L57,'11.08 Soroti-Kumi'!L57,'12.08 Soroti-Kumi'!L57,'13.08 Soroti-Kumi'!L57,'09.08 Soroti-Kumi-24h'!L57,'10.08 Soroti-Kumi-24h'!L57,'14.08 Soroti-Kumi'!L57)</f>
        <v>2.2857142857142856</v>
      </c>
      <c r="M57" s="49">
        <f>AVERAGE('08.08 Soroti-Kumi'!M57,'11.08 Soroti-Kumi'!M57,'12.08 Soroti-Kumi'!M57,'13.08 Soroti-Kumi'!M57,'09.08 Soroti-Kumi-24h'!M57,'10.08 Soroti-Kumi-24h'!M57,'14.08 Soroti-Kumi'!M57)</f>
        <v>4.5714285714285712</v>
      </c>
      <c r="N57" s="49">
        <f>AVERAGE('08.08 Soroti-Kumi'!N57,'11.08 Soroti-Kumi'!N57,'12.08 Soroti-Kumi'!N57,'13.08 Soroti-Kumi'!N57,'09.08 Soroti-Kumi-24h'!N57,'10.08 Soroti-Kumi-24h'!N57,'14.08 Soroti-Kumi'!N57)</f>
        <v>0</v>
      </c>
      <c r="O57" s="15">
        <f t="shared" si="0"/>
        <v>11.285714285714285</v>
      </c>
      <c r="P57" s="15">
        <f t="shared" si="1"/>
        <v>15.857142857142856</v>
      </c>
      <c r="R57" s="8"/>
      <c r="T57"/>
    </row>
    <row r="58" spans="2:20" ht="23.1" customHeight="1" x14ac:dyDescent="0.25">
      <c r="B58" s="23" t="s">
        <v>99</v>
      </c>
      <c r="C58" s="49">
        <f>AVERAGE('09.08 Soroti-Kumi-24h'!C58,'10.08 Soroti-Kumi-24h'!C58)</f>
        <v>4</v>
      </c>
      <c r="D58" s="49">
        <f>AVERAGE('09.08 Soroti-Kumi-24h'!D58,'10.08 Soroti-Kumi-24h'!D58)</f>
        <v>0.5</v>
      </c>
      <c r="E58" s="49">
        <f>AVERAGE('09.08 Soroti-Kumi-24h'!E58,'10.08 Soroti-Kumi-24h'!E58)</f>
        <v>2.5</v>
      </c>
      <c r="F58" s="49">
        <f>AVERAGE('09.08 Soroti-Kumi-24h'!F58,'10.08 Soroti-Kumi-24h'!F58)</f>
        <v>1</v>
      </c>
      <c r="G58" s="49">
        <f>AVERAGE('09.08 Soroti-Kumi-24h'!G58,'10.08 Soroti-Kumi-24h'!G58)</f>
        <v>0.5</v>
      </c>
      <c r="H58" s="49">
        <f>AVERAGE('09.08 Soroti-Kumi-24h'!H58,'10.08 Soroti-Kumi-24h'!H58)</f>
        <v>0</v>
      </c>
      <c r="I58" s="49">
        <f>AVERAGE('09.08 Soroti-Kumi-24h'!I58,'10.08 Soroti-Kumi-24h'!I58)</f>
        <v>1.5</v>
      </c>
      <c r="J58" s="49">
        <f>AVERAGE('09.08 Soroti-Kumi-24h'!J58,'10.08 Soroti-Kumi-24h'!J58)</f>
        <v>0.5</v>
      </c>
      <c r="K58" s="49">
        <f>AVERAGE('09.08 Soroti-Kumi-24h'!K58,'10.08 Soroti-Kumi-24h'!K58)</f>
        <v>0</v>
      </c>
      <c r="L58" s="49">
        <f>AVERAGE('09.08 Soroti-Kumi-24h'!L58,'10.08 Soroti-Kumi-24h'!L58)</f>
        <v>3</v>
      </c>
      <c r="M58" s="49">
        <f>AVERAGE('09.08 Soroti-Kumi-24h'!M58,'10.08 Soroti-Kumi-24h'!M58)</f>
        <v>2</v>
      </c>
      <c r="N58" s="49">
        <f>AVERAGE('09.08 Soroti-Kumi-24h'!N58,'10.08 Soroti-Kumi-24h'!N58)</f>
        <v>0</v>
      </c>
      <c r="O58" s="15">
        <f t="shared" si="0"/>
        <v>13.5</v>
      </c>
      <c r="P58" s="15">
        <f t="shared" si="1"/>
        <v>15.5</v>
      </c>
      <c r="R58" s="8"/>
      <c r="T58"/>
    </row>
    <row r="59" spans="2:20" ht="23.1" customHeight="1" x14ac:dyDescent="0.25">
      <c r="B59" s="23" t="s">
        <v>100</v>
      </c>
      <c r="C59" s="49">
        <f>AVERAGE('09.08 Soroti-Kumi-24h'!C59,'10.08 Soroti-Kumi-24h'!C59)</f>
        <v>1</v>
      </c>
      <c r="D59" s="49">
        <f>AVERAGE('09.08 Soroti-Kumi-24h'!D59,'10.08 Soroti-Kumi-24h'!D59)</f>
        <v>1.5</v>
      </c>
      <c r="E59" s="49">
        <f>AVERAGE('09.08 Soroti-Kumi-24h'!E59,'10.08 Soroti-Kumi-24h'!E59)</f>
        <v>1.5</v>
      </c>
      <c r="F59" s="49">
        <f>AVERAGE('09.08 Soroti-Kumi-24h'!F59,'10.08 Soroti-Kumi-24h'!F59)</f>
        <v>2.5</v>
      </c>
      <c r="G59" s="49">
        <f>AVERAGE('09.08 Soroti-Kumi-24h'!G59,'10.08 Soroti-Kumi-24h'!G59)</f>
        <v>0</v>
      </c>
      <c r="H59" s="49">
        <f>AVERAGE('09.08 Soroti-Kumi-24h'!H59,'10.08 Soroti-Kumi-24h'!H59)</f>
        <v>0</v>
      </c>
      <c r="I59" s="49">
        <f>AVERAGE('09.08 Soroti-Kumi-24h'!I59,'10.08 Soroti-Kumi-24h'!I59)</f>
        <v>1.5</v>
      </c>
      <c r="J59" s="49">
        <f>AVERAGE('09.08 Soroti-Kumi-24h'!J59,'10.08 Soroti-Kumi-24h'!J59)</f>
        <v>1</v>
      </c>
      <c r="K59" s="49">
        <f>AVERAGE('09.08 Soroti-Kumi-24h'!K59,'10.08 Soroti-Kumi-24h'!K59)</f>
        <v>0</v>
      </c>
      <c r="L59" s="49">
        <f>AVERAGE('09.08 Soroti-Kumi-24h'!L59,'10.08 Soroti-Kumi-24h'!L59)</f>
        <v>1</v>
      </c>
      <c r="M59" s="49">
        <f>AVERAGE('09.08 Soroti-Kumi-24h'!M59,'10.08 Soroti-Kumi-24h'!M59)</f>
        <v>6.5</v>
      </c>
      <c r="N59" s="49">
        <f>AVERAGE('09.08 Soroti-Kumi-24h'!N59,'10.08 Soroti-Kumi-24h'!N59)</f>
        <v>0</v>
      </c>
      <c r="O59" s="15">
        <f t="shared" si="0"/>
        <v>10</v>
      </c>
      <c r="P59" s="15">
        <f t="shared" si="1"/>
        <v>16.5</v>
      </c>
      <c r="R59" s="8"/>
      <c r="T59"/>
    </row>
    <row r="60" spans="2:20" ht="23.1" customHeight="1" x14ac:dyDescent="0.25">
      <c r="B60" s="23" t="s">
        <v>101</v>
      </c>
      <c r="C60" s="49">
        <f>AVERAGE('09.08 Soroti-Kumi-24h'!C60,'10.08 Soroti-Kumi-24h'!C60)</f>
        <v>0</v>
      </c>
      <c r="D60" s="49">
        <f>AVERAGE('09.08 Soroti-Kumi-24h'!D60,'10.08 Soroti-Kumi-24h'!D60)</f>
        <v>1</v>
      </c>
      <c r="E60" s="49">
        <f>AVERAGE('09.08 Soroti-Kumi-24h'!E60,'10.08 Soroti-Kumi-24h'!E60)</f>
        <v>2</v>
      </c>
      <c r="F60" s="49">
        <f>AVERAGE('09.08 Soroti-Kumi-24h'!F60,'10.08 Soroti-Kumi-24h'!F60)</f>
        <v>3</v>
      </c>
      <c r="G60" s="49">
        <f>AVERAGE('09.08 Soroti-Kumi-24h'!G60,'10.08 Soroti-Kumi-24h'!G60)</f>
        <v>0</v>
      </c>
      <c r="H60" s="49">
        <f>AVERAGE('09.08 Soroti-Kumi-24h'!H60,'10.08 Soroti-Kumi-24h'!H60)</f>
        <v>0.5</v>
      </c>
      <c r="I60" s="49">
        <f>AVERAGE('09.08 Soroti-Kumi-24h'!I60,'10.08 Soroti-Kumi-24h'!I60)</f>
        <v>1.5</v>
      </c>
      <c r="J60" s="49">
        <f>AVERAGE('09.08 Soroti-Kumi-24h'!J60,'10.08 Soroti-Kumi-24h'!J60)</f>
        <v>1.5</v>
      </c>
      <c r="K60" s="49">
        <f>AVERAGE('09.08 Soroti-Kumi-24h'!K60,'10.08 Soroti-Kumi-24h'!K60)</f>
        <v>0.5</v>
      </c>
      <c r="L60" s="49">
        <f>AVERAGE('09.08 Soroti-Kumi-24h'!L60,'10.08 Soroti-Kumi-24h'!L60)</f>
        <v>1</v>
      </c>
      <c r="M60" s="49">
        <f>AVERAGE('09.08 Soroti-Kumi-24h'!M60,'10.08 Soroti-Kumi-24h'!M60)</f>
        <v>7</v>
      </c>
      <c r="N60" s="49">
        <f>AVERAGE('09.08 Soroti-Kumi-24h'!N60,'10.08 Soroti-Kumi-24h'!N60)</f>
        <v>0</v>
      </c>
      <c r="O60" s="15">
        <f t="shared" si="0"/>
        <v>11</v>
      </c>
      <c r="P60" s="15">
        <f t="shared" si="1"/>
        <v>18</v>
      </c>
      <c r="R60" s="8"/>
      <c r="T60"/>
    </row>
    <row r="61" spans="2:20" ht="23.1" customHeight="1" x14ac:dyDescent="0.25">
      <c r="B61" s="23" t="s">
        <v>102</v>
      </c>
      <c r="C61" s="49">
        <f>AVERAGE('09.08 Soroti-Kumi-24h'!C61,'10.08 Soroti-Kumi-24h'!C61)</f>
        <v>2.5</v>
      </c>
      <c r="D61" s="49">
        <f>AVERAGE('09.08 Soroti-Kumi-24h'!D61,'10.08 Soroti-Kumi-24h'!D61)</f>
        <v>1</v>
      </c>
      <c r="E61" s="49">
        <f>AVERAGE('09.08 Soroti-Kumi-24h'!E61,'10.08 Soroti-Kumi-24h'!E61)</f>
        <v>2.5</v>
      </c>
      <c r="F61" s="49">
        <f>AVERAGE('09.08 Soroti-Kumi-24h'!F61,'10.08 Soroti-Kumi-24h'!F61)</f>
        <v>1</v>
      </c>
      <c r="G61" s="49">
        <f>AVERAGE('09.08 Soroti-Kumi-24h'!G61,'10.08 Soroti-Kumi-24h'!G61)</f>
        <v>0</v>
      </c>
      <c r="H61" s="49">
        <f>AVERAGE('09.08 Soroti-Kumi-24h'!H61,'10.08 Soroti-Kumi-24h'!H61)</f>
        <v>0</v>
      </c>
      <c r="I61" s="49">
        <f>AVERAGE('09.08 Soroti-Kumi-24h'!I61,'10.08 Soroti-Kumi-24h'!I61)</f>
        <v>0</v>
      </c>
      <c r="J61" s="49">
        <f>AVERAGE('09.08 Soroti-Kumi-24h'!J61,'10.08 Soroti-Kumi-24h'!J61)</f>
        <v>0.5</v>
      </c>
      <c r="K61" s="49">
        <f>AVERAGE('09.08 Soroti-Kumi-24h'!K61,'10.08 Soroti-Kumi-24h'!K61)</f>
        <v>0</v>
      </c>
      <c r="L61" s="49">
        <f>AVERAGE('09.08 Soroti-Kumi-24h'!L61,'10.08 Soroti-Kumi-24h'!L61)</f>
        <v>3.5</v>
      </c>
      <c r="M61" s="49">
        <f>AVERAGE('09.08 Soroti-Kumi-24h'!M61,'10.08 Soroti-Kumi-24h'!M61)</f>
        <v>3.5</v>
      </c>
      <c r="N61" s="49">
        <f>AVERAGE('09.08 Soroti-Kumi-24h'!N61,'10.08 Soroti-Kumi-24h'!N61)</f>
        <v>0</v>
      </c>
      <c r="O61" s="15">
        <f t="shared" si="0"/>
        <v>11</v>
      </c>
      <c r="P61" s="15">
        <f t="shared" si="1"/>
        <v>14.5</v>
      </c>
      <c r="R61" s="8"/>
      <c r="T61"/>
    </row>
    <row r="62" spans="2:20" ht="23.1" customHeight="1" x14ac:dyDescent="0.25">
      <c r="B62" s="23" t="s">
        <v>107</v>
      </c>
      <c r="C62" s="49">
        <f>AVERAGE('09.08 Soroti-Kumi-24h'!C62,'10.08 Soroti-Kumi-24h'!C62)</f>
        <v>0.5</v>
      </c>
      <c r="D62" s="49">
        <f>AVERAGE('09.08 Soroti-Kumi-24h'!D62,'10.08 Soroti-Kumi-24h'!D62)</f>
        <v>1</v>
      </c>
      <c r="E62" s="49">
        <f>AVERAGE('09.08 Soroti-Kumi-24h'!E62,'10.08 Soroti-Kumi-24h'!E62)</f>
        <v>2</v>
      </c>
      <c r="F62" s="49">
        <f>AVERAGE('09.08 Soroti-Kumi-24h'!F62,'10.08 Soroti-Kumi-24h'!F62)</f>
        <v>1</v>
      </c>
      <c r="G62" s="49">
        <f>AVERAGE('09.08 Soroti-Kumi-24h'!G62,'10.08 Soroti-Kumi-24h'!G62)</f>
        <v>0</v>
      </c>
      <c r="H62" s="49">
        <f>AVERAGE('09.08 Soroti-Kumi-24h'!H62,'10.08 Soroti-Kumi-24h'!H62)</f>
        <v>0</v>
      </c>
      <c r="I62" s="49">
        <f>AVERAGE('09.08 Soroti-Kumi-24h'!I62,'10.08 Soroti-Kumi-24h'!I62)</f>
        <v>1</v>
      </c>
      <c r="J62" s="49">
        <f>AVERAGE('09.08 Soroti-Kumi-24h'!J62,'10.08 Soroti-Kumi-24h'!J62)</f>
        <v>0</v>
      </c>
      <c r="K62" s="49">
        <f>AVERAGE('09.08 Soroti-Kumi-24h'!K62,'10.08 Soroti-Kumi-24h'!K62)</f>
        <v>0</v>
      </c>
      <c r="L62" s="49">
        <f>AVERAGE('09.08 Soroti-Kumi-24h'!L62,'10.08 Soroti-Kumi-24h'!L62)</f>
        <v>2</v>
      </c>
      <c r="M62" s="49">
        <f>AVERAGE('09.08 Soroti-Kumi-24h'!M62,'10.08 Soroti-Kumi-24h'!M62)</f>
        <v>4.5</v>
      </c>
      <c r="N62" s="49">
        <f>AVERAGE('09.08 Soroti-Kumi-24h'!N62,'10.08 Soroti-Kumi-24h'!N62)</f>
        <v>0</v>
      </c>
      <c r="O62" s="15">
        <f t="shared" si="0"/>
        <v>7.5</v>
      </c>
      <c r="P62" s="15">
        <f t="shared" si="1"/>
        <v>12</v>
      </c>
      <c r="R62" s="8"/>
      <c r="T62"/>
    </row>
    <row r="63" spans="2:20" ht="23.1" customHeight="1" x14ac:dyDescent="0.25">
      <c r="B63" s="23" t="s">
        <v>108</v>
      </c>
      <c r="C63" s="49">
        <f>AVERAGE('09.08 Soroti-Kumi-24h'!C63,'10.08 Soroti-Kumi-24h'!C63)</f>
        <v>1.5</v>
      </c>
      <c r="D63" s="49">
        <f>AVERAGE('09.08 Soroti-Kumi-24h'!D63,'10.08 Soroti-Kumi-24h'!D63)</f>
        <v>0.5</v>
      </c>
      <c r="E63" s="49">
        <f>AVERAGE('09.08 Soroti-Kumi-24h'!E63,'10.08 Soroti-Kumi-24h'!E63)</f>
        <v>0.5</v>
      </c>
      <c r="F63" s="49">
        <f>AVERAGE('09.08 Soroti-Kumi-24h'!F63,'10.08 Soroti-Kumi-24h'!F63)</f>
        <v>1</v>
      </c>
      <c r="G63" s="49">
        <f>AVERAGE('09.08 Soroti-Kumi-24h'!G63,'10.08 Soroti-Kumi-24h'!G63)</f>
        <v>0</v>
      </c>
      <c r="H63" s="49">
        <f>AVERAGE('09.08 Soroti-Kumi-24h'!H63,'10.08 Soroti-Kumi-24h'!H63)</f>
        <v>0.5</v>
      </c>
      <c r="I63" s="49">
        <f>AVERAGE('09.08 Soroti-Kumi-24h'!I63,'10.08 Soroti-Kumi-24h'!I63)</f>
        <v>1</v>
      </c>
      <c r="J63" s="49">
        <f>AVERAGE('09.08 Soroti-Kumi-24h'!J63,'10.08 Soroti-Kumi-24h'!J63)</f>
        <v>2</v>
      </c>
      <c r="K63" s="49">
        <f>AVERAGE('09.08 Soroti-Kumi-24h'!K63,'10.08 Soroti-Kumi-24h'!K63)</f>
        <v>0</v>
      </c>
      <c r="L63" s="49">
        <f>AVERAGE('09.08 Soroti-Kumi-24h'!L63,'10.08 Soroti-Kumi-24h'!L63)</f>
        <v>2</v>
      </c>
      <c r="M63" s="49">
        <f>AVERAGE('09.08 Soroti-Kumi-24h'!M63,'10.08 Soroti-Kumi-24h'!M63)</f>
        <v>2.5</v>
      </c>
      <c r="N63" s="49">
        <f>AVERAGE('09.08 Soroti-Kumi-24h'!N63,'10.08 Soroti-Kumi-24h'!N63)</f>
        <v>0</v>
      </c>
      <c r="O63" s="15">
        <f t="shared" si="0"/>
        <v>9</v>
      </c>
      <c r="P63" s="15">
        <f t="shared" si="1"/>
        <v>11.5</v>
      </c>
      <c r="R63" s="8"/>
      <c r="T63"/>
    </row>
    <row r="64" spans="2:20" ht="23.1" customHeight="1" x14ac:dyDescent="0.25">
      <c r="B64" s="23" t="s">
        <v>109</v>
      </c>
      <c r="C64" s="49">
        <f>AVERAGE('09.08 Soroti-Kumi-24h'!C64,'10.08 Soroti-Kumi-24h'!C64)</f>
        <v>0</v>
      </c>
      <c r="D64" s="49">
        <f>AVERAGE('09.08 Soroti-Kumi-24h'!D64,'10.08 Soroti-Kumi-24h'!D64)</f>
        <v>0.5</v>
      </c>
      <c r="E64" s="49">
        <f>AVERAGE('09.08 Soroti-Kumi-24h'!E64,'10.08 Soroti-Kumi-24h'!E64)</f>
        <v>2</v>
      </c>
      <c r="F64" s="49">
        <f>AVERAGE('09.08 Soroti-Kumi-24h'!F64,'10.08 Soroti-Kumi-24h'!F64)</f>
        <v>1.5</v>
      </c>
      <c r="G64" s="49">
        <f>AVERAGE('09.08 Soroti-Kumi-24h'!G64,'10.08 Soroti-Kumi-24h'!G64)</f>
        <v>0</v>
      </c>
      <c r="H64" s="49">
        <f>AVERAGE('09.08 Soroti-Kumi-24h'!H64,'10.08 Soroti-Kumi-24h'!H64)</f>
        <v>0</v>
      </c>
      <c r="I64" s="49">
        <f>AVERAGE('09.08 Soroti-Kumi-24h'!I64,'10.08 Soroti-Kumi-24h'!I64)</f>
        <v>1.5</v>
      </c>
      <c r="J64" s="49">
        <f>AVERAGE('09.08 Soroti-Kumi-24h'!J64,'10.08 Soroti-Kumi-24h'!J64)</f>
        <v>0.5</v>
      </c>
      <c r="K64" s="49">
        <f>AVERAGE('09.08 Soroti-Kumi-24h'!K64,'10.08 Soroti-Kumi-24h'!K64)</f>
        <v>0</v>
      </c>
      <c r="L64" s="49">
        <f>AVERAGE('09.08 Soroti-Kumi-24h'!L64,'10.08 Soroti-Kumi-24h'!L64)</f>
        <v>2.5</v>
      </c>
      <c r="M64" s="49">
        <f>AVERAGE('09.08 Soroti-Kumi-24h'!M64,'10.08 Soroti-Kumi-24h'!M64)</f>
        <v>3</v>
      </c>
      <c r="N64" s="49">
        <f>AVERAGE('09.08 Soroti-Kumi-24h'!N64,'10.08 Soroti-Kumi-24h'!N64)</f>
        <v>0</v>
      </c>
      <c r="O64" s="15">
        <f t="shared" si="0"/>
        <v>8.5</v>
      </c>
      <c r="P64" s="15">
        <f t="shared" si="1"/>
        <v>11.5</v>
      </c>
      <c r="R64" s="8"/>
      <c r="T64"/>
    </row>
    <row r="65" spans="2:20" ht="23.1" customHeight="1" x14ac:dyDescent="0.25">
      <c r="B65" s="23" t="s">
        <v>158</v>
      </c>
      <c r="C65" s="49">
        <f>AVERAGE('09.08 Soroti-Kumi-24h'!C65,'10.08 Soroti-Kumi-24h'!C65)</f>
        <v>0.5</v>
      </c>
      <c r="D65" s="49">
        <f>AVERAGE('09.08 Soroti-Kumi-24h'!D65,'10.08 Soroti-Kumi-24h'!D65)</f>
        <v>2</v>
      </c>
      <c r="E65" s="49">
        <f>AVERAGE('09.08 Soroti-Kumi-24h'!E65,'10.08 Soroti-Kumi-24h'!E65)</f>
        <v>3.5</v>
      </c>
      <c r="F65" s="49">
        <f>AVERAGE('09.08 Soroti-Kumi-24h'!F65,'10.08 Soroti-Kumi-24h'!F65)</f>
        <v>0</v>
      </c>
      <c r="G65" s="49">
        <f>AVERAGE('09.08 Soroti-Kumi-24h'!G65,'10.08 Soroti-Kumi-24h'!G65)</f>
        <v>0</v>
      </c>
      <c r="H65" s="49">
        <f>AVERAGE('09.08 Soroti-Kumi-24h'!H65,'10.08 Soroti-Kumi-24h'!H65)</f>
        <v>0</v>
      </c>
      <c r="I65" s="49">
        <f>AVERAGE('09.08 Soroti-Kumi-24h'!I65,'10.08 Soroti-Kumi-24h'!I65)</f>
        <v>1</v>
      </c>
      <c r="J65" s="49">
        <f>AVERAGE('09.08 Soroti-Kumi-24h'!J65,'10.08 Soroti-Kumi-24h'!J65)</f>
        <v>1.5</v>
      </c>
      <c r="K65" s="49">
        <f>AVERAGE('09.08 Soroti-Kumi-24h'!K65,'10.08 Soroti-Kumi-24h'!K65)</f>
        <v>0.5</v>
      </c>
      <c r="L65" s="49">
        <f>AVERAGE('09.08 Soroti-Kumi-24h'!L65,'10.08 Soroti-Kumi-24h'!L65)</f>
        <v>1</v>
      </c>
      <c r="M65" s="49">
        <f>AVERAGE('09.08 Soroti-Kumi-24h'!M65,'10.08 Soroti-Kumi-24h'!M65)</f>
        <v>3</v>
      </c>
      <c r="N65" s="49">
        <f>AVERAGE('09.08 Soroti-Kumi-24h'!N65,'10.08 Soroti-Kumi-24h'!N65)</f>
        <v>0</v>
      </c>
      <c r="O65" s="15">
        <f t="shared" si="0"/>
        <v>10</v>
      </c>
      <c r="P65" s="15">
        <f t="shared" si="1"/>
        <v>13</v>
      </c>
      <c r="R65" s="8"/>
      <c r="T65"/>
    </row>
    <row r="66" spans="2:20" ht="23.1" customHeight="1" x14ac:dyDescent="0.25">
      <c r="B66" s="23" t="s">
        <v>103</v>
      </c>
      <c r="C66" s="49">
        <f>AVERAGE('09.08 Soroti-Kumi-24h'!C66,'10.08 Soroti-Kumi-24h'!C66)</f>
        <v>0.5</v>
      </c>
      <c r="D66" s="49">
        <f>AVERAGE('09.08 Soroti-Kumi-24h'!D66,'10.08 Soroti-Kumi-24h'!D66)</f>
        <v>0.5</v>
      </c>
      <c r="E66" s="49">
        <f>AVERAGE('09.08 Soroti-Kumi-24h'!E66,'10.08 Soroti-Kumi-24h'!E66)</f>
        <v>0.5</v>
      </c>
      <c r="F66" s="49">
        <f>AVERAGE('09.08 Soroti-Kumi-24h'!F66,'10.08 Soroti-Kumi-24h'!F66)</f>
        <v>0.5</v>
      </c>
      <c r="G66" s="49">
        <f>AVERAGE('09.08 Soroti-Kumi-24h'!G66,'10.08 Soroti-Kumi-24h'!G66)</f>
        <v>0</v>
      </c>
      <c r="H66" s="49">
        <f>AVERAGE('09.08 Soroti-Kumi-24h'!H66,'10.08 Soroti-Kumi-24h'!H66)</f>
        <v>1</v>
      </c>
      <c r="I66" s="49">
        <f>AVERAGE('09.08 Soroti-Kumi-24h'!I66,'10.08 Soroti-Kumi-24h'!I66)</f>
        <v>1</v>
      </c>
      <c r="J66" s="49">
        <f>AVERAGE('09.08 Soroti-Kumi-24h'!J66,'10.08 Soroti-Kumi-24h'!J66)</f>
        <v>0</v>
      </c>
      <c r="K66" s="49">
        <f>AVERAGE('09.08 Soroti-Kumi-24h'!K66,'10.08 Soroti-Kumi-24h'!K66)</f>
        <v>0</v>
      </c>
      <c r="L66" s="49">
        <f>AVERAGE('09.08 Soroti-Kumi-24h'!L66,'10.08 Soroti-Kumi-24h'!L66)</f>
        <v>2</v>
      </c>
      <c r="M66" s="49">
        <f>AVERAGE('09.08 Soroti-Kumi-24h'!M66,'10.08 Soroti-Kumi-24h'!M66)</f>
        <v>1</v>
      </c>
      <c r="N66" s="49">
        <f>AVERAGE('09.08 Soroti-Kumi-24h'!N66,'10.08 Soroti-Kumi-24h'!N66)</f>
        <v>0</v>
      </c>
      <c r="O66" s="15">
        <f t="shared" si="0"/>
        <v>6</v>
      </c>
      <c r="P66" s="15">
        <f t="shared" si="1"/>
        <v>7</v>
      </c>
      <c r="R66" s="8"/>
      <c r="T66"/>
    </row>
    <row r="67" spans="2:20" ht="23.1" customHeight="1" x14ac:dyDescent="0.25">
      <c r="B67" s="23" t="s">
        <v>104</v>
      </c>
      <c r="C67" s="49">
        <f>AVERAGE('09.08 Soroti-Kumi-24h'!C67,'10.08 Soroti-Kumi-24h'!C67)</f>
        <v>1</v>
      </c>
      <c r="D67" s="49">
        <f>AVERAGE('09.08 Soroti-Kumi-24h'!D67,'10.08 Soroti-Kumi-24h'!D67)</f>
        <v>0</v>
      </c>
      <c r="E67" s="49">
        <f>AVERAGE('09.08 Soroti-Kumi-24h'!E67,'10.08 Soroti-Kumi-24h'!E67)</f>
        <v>0</v>
      </c>
      <c r="F67" s="49">
        <f>AVERAGE('09.08 Soroti-Kumi-24h'!F67,'10.08 Soroti-Kumi-24h'!F67)</f>
        <v>1.5</v>
      </c>
      <c r="G67" s="49">
        <f>AVERAGE('09.08 Soroti-Kumi-24h'!G67,'10.08 Soroti-Kumi-24h'!G67)</f>
        <v>0</v>
      </c>
      <c r="H67" s="49">
        <f>AVERAGE('09.08 Soroti-Kumi-24h'!H67,'10.08 Soroti-Kumi-24h'!H67)</f>
        <v>0.5</v>
      </c>
      <c r="I67" s="49">
        <f>AVERAGE('09.08 Soroti-Kumi-24h'!I67,'10.08 Soroti-Kumi-24h'!I67)</f>
        <v>2</v>
      </c>
      <c r="J67" s="49">
        <f>AVERAGE('09.08 Soroti-Kumi-24h'!J67,'10.08 Soroti-Kumi-24h'!J67)</f>
        <v>0.5</v>
      </c>
      <c r="K67" s="49">
        <f>AVERAGE('09.08 Soroti-Kumi-24h'!K67,'10.08 Soroti-Kumi-24h'!K67)</f>
        <v>0</v>
      </c>
      <c r="L67" s="49">
        <f>AVERAGE('09.08 Soroti-Kumi-24h'!L67,'10.08 Soroti-Kumi-24h'!L67)</f>
        <v>5</v>
      </c>
      <c r="M67" s="49">
        <f>AVERAGE('09.08 Soroti-Kumi-24h'!M67,'10.08 Soroti-Kumi-24h'!M67)</f>
        <v>1.5</v>
      </c>
      <c r="N67" s="49">
        <f>AVERAGE('09.08 Soroti-Kumi-24h'!N67,'10.08 Soroti-Kumi-24h'!N67)</f>
        <v>0</v>
      </c>
      <c r="O67" s="15">
        <f t="shared" si="0"/>
        <v>10.5</v>
      </c>
      <c r="P67" s="15">
        <f t="shared" si="1"/>
        <v>12</v>
      </c>
      <c r="R67" s="8"/>
      <c r="T67"/>
    </row>
    <row r="68" spans="2:20" ht="23.1" customHeight="1" x14ac:dyDescent="0.25">
      <c r="B68" s="23" t="s">
        <v>105</v>
      </c>
      <c r="C68" s="49">
        <f>AVERAGE('09.08 Soroti-Kumi-24h'!C68,'10.08 Soroti-Kumi-24h'!C68)</f>
        <v>1</v>
      </c>
      <c r="D68" s="49">
        <f>AVERAGE('09.08 Soroti-Kumi-24h'!D68,'10.08 Soroti-Kumi-24h'!D68)</f>
        <v>0.5</v>
      </c>
      <c r="E68" s="49">
        <f>AVERAGE('09.08 Soroti-Kumi-24h'!E68,'10.08 Soroti-Kumi-24h'!E68)</f>
        <v>1.5</v>
      </c>
      <c r="F68" s="49">
        <f>AVERAGE('09.08 Soroti-Kumi-24h'!F68,'10.08 Soroti-Kumi-24h'!F68)</f>
        <v>1.5</v>
      </c>
      <c r="G68" s="49">
        <f>AVERAGE('09.08 Soroti-Kumi-24h'!G68,'10.08 Soroti-Kumi-24h'!G68)</f>
        <v>0</v>
      </c>
      <c r="H68" s="49">
        <f>AVERAGE('09.08 Soroti-Kumi-24h'!H68,'10.08 Soroti-Kumi-24h'!H68)</f>
        <v>1</v>
      </c>
      <c r="I68" s="49">
        <f>AVERAGE('09.08 Soroti-Kumi-24h'!I68,'10.08 Soroti-Kumi-24h'!I68)</f>
        <v>0.5</v>
      </c>
      <c r="J68" s="49">
        <f>AVERAGE('09.08 Soroti-Kumi-24h'!J68,'10.08 Soroti-Kumi-24h'!J68)</f>
        <v>0</v>
      </c>
      <c r="K68" s="49">
        <f>AVERAGE('09.08 Soroti-Kumi-24h'!K68,'10.08 Soroti-Kumi-24h'!K68)</f>
        <v>0</v>
      </c>
      <c r="L68" s="49">
        <f>AVERAGE('09.08 Soroti-Kumi-24h'!L68,'10.08 Soroti-Kumi-24h'!L68)</f>
        <v>4</v>
      </c>
      <c r="M68" s="49">
        <f>AVERAGE('09.08 Soroti-Kumi-24h'!M68,'10.08 Soroti-Kumi-24h'!M68)</f>
        <v>2.5</v>
      </c>
      <c r="N68" s="49">
        <f>AVERAGE('09.08 Soroti-Kumi-24h'!N68,'10.08 Soroti-Kumi-24h'!N68)</f>
        <v>0</v>
      </c>
      <c r="O68" s="15">
        <f t="shared" si="0"/>
        <v>10</v>
      </c>
      <c r="P68" s="15">
        <f t="shared" si="1"/>
        <v>12.5</v>
      </c>
      <c r="R68" s="8"/>
      <c r="T68"/>
    </row>
    <row r="69" spans="2:20" ht="23.1" customHeight="1" x14ac:dyDescent="0.25">
      <c r="B69" s="23" t="s">
        <v>106</v>
      </c>
      <c r="C69" s="49">
        <f>AVERAGE('09.08 Soroti-Kumi-24h'!C69,'10.08 Soroti-Kumi-24h'!C69)</f>
        <v>0.5</v>
      </c>
      <c r="D69" s="49">
        <f>AVERAGE('09.08 Soroti-Kumi-24h'!D69,'10.08 Soroti-Kumi-24h'!D69)</f>
        <v>0.5</v>
      </c>
      <c r="E69" s="49">
        <f>AVERAGE('09.08 Soroti-Kumi-24h'!E69,'10.08 Soroti-Kumi-24h'!E69)</f>
        <v>1</v>
      </c>
      <c r="F69" s="49">
        <f>AVERAGE('09.08 Soroti-Kumi-24h'!F69,'10.08 Soroti-Kumi-24h'!F69)</f>
        <v>0</v>
      </c>
      <c r="G69" s="49">
        <f>AVERAGE('09.08 Soroti-Kumi-24h'!G69,'10.08 Soroti-Kumi-24h'!G69)</f>
        <v>0</v>
      </c>
      <c r="H69" s="49">
        <f>AVERAGE('09.08 Soroti-Kumi-24h'!H69,'10.08 Soroti-Kumi-24h'!H69)</f>
        <v>0</v>
      </c>
      <c r="I69" s="49">
        <f>AVERAGE('09.08 Soroti-Kumi-24h'!I69,'10.08 Soroti-Kumi-24h'!I69)</f>
        <v>2</v>
      </c>
      <c r="J69" s="49">
        <f>AVERAGE('09.08 Soroti-Kumi-24h'!J69,'10.08 Soroti-Kumi-24h'!J69)</f>
        <v>0.5</v>
      </c>
      <c r="K69" s="49">
        <f>AVERAGE('09.08 Soroti-Kumi-24h'!K69,'10.08 Soroti-Kumi-24h'!K69)</f>
        <v>0.5</v>
      </c>
      <c r="L69" s="49">
        <f>AVERAGE('09.08 Soroti-Kumi-24h'!L69,'10.08 Soroti-Kumi-24h'!L69)</f>
        <v>3.5</v>
      </c>
      <c r="M69" s="49">
        <f>AVERAGE('09.08 Soroti-Kumi-24h'!M69,'10.08 Soroti-Kumi-24h'!M69)</f>
        <v>0.5</v>
      </c>
      <c r="N69" s="49">
        <f>AVERAGE('09.08 Soroti-Kumi-24h'!N69,'10.08 Soroti-Kumi-24h'!N69)</f>
        <v>0</v>
      </c>
      <c r="O69" s="15">
        <f t="shared" si="0"/>
        <v>8.5</v>
      </c>
      <c r="P69" s="15">
        <f t="shared" si="1"/>
        <v>9</v>
      </c>
      <c r="R69" s="8"/>
      <c r="T69"/>
    </row>
    <row r="70" spans="2:20" ht="23.1" customHeight="1" x14ac:dyDescent="0.25">
      <c r="B70" s="23" t="s">
        <v>110</v>
      </c>
      <c r="C70" s="49">
        <f>AVERAGE('09.08 Soroti-Kumi-24h'!C70,'10.08 Soroti-Kumi-24h'!C70)</f>
        <v>1</v>
      </c>
      <c r="D70" s="49">
        <f>AVERAGE('09.08 Soroti-Kumi-24h'!D70,'10.08 Soroti-Kumi-24h'!D70)</f>
        <v>0</v>
      </c>
      <c r="E70" s="49">
        <f>AVERAGE('09.08 Soroti-Kumi-24h'!E70,'10.08 Soroti-Kumi-24h'!E70)</f>
        <v>1</v>
      </c>
      <c r="F70" s="49">
        <f>AVERAGE('09.08 Soroti-Kumi-24h'!F70,'10.08 Soroti-Kumi-24h'!F70)</f>
        <v>0</v>
      </c>
      <c r="G70" s="49">
        <f>AVERAGE('09.08 Soroti-Kumi-24h'!G70,'10.08 Soroti-Kumi-24h'!G70)</f>
        <v>0</v>
      </c>
      <c r="H70" s="49">
        <f>AVERAGE('09.08 Soroti-Kumi-24h'!H70,'10.08 Soroti-Kumi-24h'!H70)</f>
        <v>1</v>
      </c>
      <c r="I70" s="49">
        <f>AVERAGE('09.08 Soroti-Kumi-24h'!I70,'10.08 Soroti-Kumi-24h'!I70)</f>
        <v>2</v>
      </c>
      <c r="J70" s="49">
        <f>AVERAGE('09.08 Soroti-Kumi-24h'!J70,'10.08 Soroti-Kumi-24h'!J70)</f>
        <v>0</v>
      </c>
      <c r="K70" s="49">
        <f>AVERAGE('09.08 Soroti-Kumi-24h'!K70,'10.08 Soroti-Kumi-24h'!K70)</f>
        <v>0</v>
      </c>
      <c r="L70" s="49">
        <f>AVERAGE('09.08 Soroti-Kumi-24h'!L70,'10.08 Soroti-Kumi-24h'!L70)</f>
        <v>4</v>
      </c>
      <c r="M70" s="49">
        <f>AVERAGE('09.08 Soroti-Kumi-24h'!M70,'10.08 Soroti-Kumi-24h'!M70)</f>
        <v>1</v>
      </c>
      <c r="N70" s="49">
        <f>AVERAGE('09.08 Soroti-Kumi-24h'!N70,'10.08 Soroti-Kumi-24h'!N70)</f>
        <v>0</v>
      </c>
      <c r="O70" s="15">
        <f t="shared" si="0"/>
        <v>9</v>
      </c>
      <c r="P70" s="15">
        <f t="shared" si="1"/>
        <v>10</v>
      </c>
      <c r="R70" s="8"/>
      <c r="T70"/>
    </row>
    <row r="71" spans="2:20" ht="23.1" customHeight="1" x14ac:dyDescent="0.25">
      <c r="B71" s="23" t="s">
        <v>111</v>
      </c>
      <c r="C71" s="49">
        <f>AVERAGE('09.08 Soroti-Kumi-24h'!C71,'10.08 Soroti-Kumi-24h'!C71)</f>
        <v>1</v>
      </c>
      <c r="D71" s="49">
        <f>AVERAGE('09.08 Soroti-Kumi-24h'!D71,'10.08 Soroti-Kumi-24h'!D71)</f>
        <v>0</v>
      </c>
      <c r="E71" s="49">
        <f>AVERAGE('09.08 Soroti-Kumi-24h'!E71,'10.08 Soroti-Kumi-24h'!E71)</f>
        <v>0.5</v>
      </c>
      <c r="F71" s="49">
        <f>AVERAGE('09.08 Soroti-Kumi-24h'!F71,'10.08 Soroti-Kumi-24h'!F71)</f>
        <v>1</v>
      </c>
      <c r="G71" s="49">
        <f>AVERAGE('09.08 Soroti-Kumi-24h'!G71,'10.08 Soroti-Kumi-24h'!G71)</f>
        <v>0</v>
      </c>
      <c r="H71" s="49">
        <f>AVERAGE('09.08 Soroti-Kumi-24h'!H71,'10.08 Soroti-Kumi-24h'!H71)</f>
        <v>0</v>
      </c>
      <c r="I71" s="49">
        <f>AVERAGE('09.08 Soroti-Kumi-24h'!I71,'10.08 Soroti-Kumi-24h'!I71)</f>
        <v>0.5</v>
      </c>
      <c r="J71" s="49">
        <f>AVERAGE('09.08 Soroti-Kumi-24h'!J71,'10.08 Soroti-Kumi-24h'!J71)</f>
        <v>0</v>
      </c>
      <c r="K71" s="49">
        <f>AVERAGE('09.08 Soroti-Kumi-24h'!K71,'10.08 Soroti-Kumi-24h'!K71)</f>
        <v>0</v>
      </c>
      <c r="L71" s="49">
        <f>AVERAGE('09.08 Soroti-Kumi-24h'!L71,'10.08 Soroti-Kumi-24h'!L71)</f>
        <v>5</v>
      </c>
      <c r="M71" s="49">
        <f>AVERAGE('09.08 Soroti-Kumi-24h'!M71,'10.08 Soroti-Kumi-24h'!M71)</f>
        <v>2</v>
      </c>
      <c r="N71" s="49">
        <f>AVERAGE('09.08 Soroti-Kumi-24h'!N71,'10.08 Soroti-Kumi-24h'!N71)</f>
        <v>0</v>
      </c>
      <c r="O71" s="15">
        <f t="shared" si="0"/>
        <v>8</v>
      </c>
      <c r="P71" s="15">
        <f t="shared" si="1"/>
        <v>10</v>
      </c>
      <c r="R71" s="8"/>
      <c r="T71"/>
    </row>
    <row r="72" spans="2:20" ht="23.1" customHeight="1" x14ac:dyDescent="0.25">
      <c r="B72" s="23" t="s">
        <v>112</v>
      </c>
      <c r="C72" s="49">
        <f>AVERAGE('09.08 Soroti-Kumi-24h'!C72,'10.08 Soroti-Kumi-24h'!C72)</f>
        <v>1.5</v>
      </c>
      <c r="D72" s="49">
        <f>AVERAGE('09.08 Soroti-Kumi-24h'!D72,'10.08 Soroti-Kumi-24h'!D72)</f>
        <v>0</v>
      </c>
      <c r="E72" s="49">
        <f>AVERAGE('09.08 Soroti-Kumi-24h'!E72,'10.08 Soroti-Kumi-24h'!E72)</f>
        <v>1</v>
      </c>
      <c r="F72" s="49">
        <f>AVERAGE('09.08 Soroti-Kumi-24h'!F72,'10.08 Soroti-Kumi-24h'!F72)</f>
        <v>1</v>
      </c>
      <c r="G72" s="49">
        <f>AVERAGE('09.08 Soroti-Kumi-24h'!G72,'10.08 Soroti-Kumi-24h'!G72)</f>
        <v>0</v>
      </c>
      <c r="H72" s="49">
        <f>AVERAGE('09.08 Soroti-Kumi-24h'!H72,'10.08 Soroti-Kumi-24h'!H72)</f>
        <v>0</v>
      </c>
      <c r="I72" s="49">
        <f>AVERAGE('09.08 Soroti-Kumi-24h'!I72,'10.08 Soroti-Kumi-24h'!I72)</f>
        <v>1.5</v>
      </c>
      <c r="J72" s="49">
        <f>AVERAGE('09.08 Soroti-Kumi-24h'!J72,'10.08 Soroti-Kumi-24h'!J72)</f>
        <v>1</v>
      </c>
      <c r="K72" s="49">
        <f>AVERAGE('09.08 Soroti-Kumi-24h'!K72,'10.08 Soroti-Kumi-24h'!K72)</f>
        <v>0</v>
      </c>
      <c r="L72" s="49">
        <f>AVERAGE('09.08 Soroti-Kumi-24h'!L72,'10.08 Soroti-Kumi-24h'!L72)</f>
        <v>3.5</v>
      </c>
      <c r="M72" s="49">
        <f>AVERAGE('09.08 Soroti-Kumi-24h'!M72,'10.08 Soroti-Kumi-24h'!M72)</f>
        <v>2</v>
      </c>
      <c r="N72" s="49">
        <f>AVERAGE('09.08 Soroti-Kumi-24h'!N72,'10.08 Soroti-Kumi-24h'!N72)</f>
        <v>0</v>
      </c>
      <c r="O72" s="15">
        <f t="shared" si="0"/>
        <v>9.5</v>
      </c>
      <c r="P72" s="15">
        <f t="shared" si="1"/>
        <v>11.5</v>
      </c>
      <c r="R72" s="8"/>
      <c r="T72"/>
    </row>
    <row r="73" spans="2:20" ht="23.1" customHeight="1" x14ac:dyDescent="0.25">
      <c r="B73" s="23" t="s">
        <v>113</v>
      </c>
      <c r="C73" s="49">
        <f>AVERAGE('09.08 Soroti-Kumi-24h'!C73,'10.08 Soroti-Kumi-24h'!C73)</f>
        <v>1</v>
      </c>
      <c r="D73" s="49">
        <f>AVERAGE('09.08 Soroti-Kumi-24h'!D73,'10.08 Soroti-Kumi-24h'!D73)</f>
        <v>0</v>
      </c>
      <c r="E73" s="49">
        <f>AVERAGE('09.08 Soroti-Kumi-24h'!E73,'10.08 Soroti-Kumi-24h'!E73)</f>
        <v>0</v>
      </c>
      <c r="F73" s="49">
        <f>AVERAGE('09.08 Soroti-Kumi-24h'!F73,'10.08 Soroti-Kumi-24h'!F73)</f>
        <v>1.5</v>
      </c>
      <c r="G73" s="49">
        <f>AVERAGE('09.08 Soroti-Kumi-24h'!G73,'10.08 Soroti-Kumi-24h'!G73)</f>
        <v>0</v>
      </c>
      <c r="H73" s="49">
        <f>AVERAGE('09.08 Soroti-Kumi-24h'!H73,'10.08 Soroti-Kumi-24h'!H73)</f>
        <v>0.5</v>
      </c>
      <c r="I73" s="49">
        <f>AVERAGE('09.08 Soroti-Kumi-24h'!I73,'10.08 Soroti-Kumi-24h'!I73)</f>
        <v>1.5</v>
      </c>
      <c r="J73" s="49">
        <f>AVERAGE('09.08 Soroti-Kumi-24h'!J73,'10.08 Soroti-Kumi-24h'!J73)</f>
        <v>0</v>
      </c>
      <c r="K73" s="49">
        <f>AVERAGE('09.08 Soroti-Kumi-24h'!K73,'10.08 Soroti-Kumi-24h'!K73)</f>
        <v>0</v>
      </c>
      <c r="L73" s="49">
        <f>AVERAGE('09.08 Soroti-Kumi-24h'!L73,'10.08 Soroti-Kumi-24h'!L73)</f>
        <v>3.5</v>
      </c>
      <c r="M73" s="49">
        <f>AVERAGE('09.08 Soroti-Kumi-24h'!M73,'10.08 Soroti-Kumi-24h'!M73)</f>
        <v>1</v>
      </c>
      <c r="N73" s="49">
        <f>AVERAGE('09.08 Soroti-Kumi-24h'!N73,'10.08 Soroti-Kumi-24h'!N73)</f>
        <v>0</v>
      </c>
      <c r="O73" s="15">
        <f t="shared" si="0"/>
        <v>8</v>
      </c>
      <c r="P73" s="15">
        <f t="shared" si="1"/>
        <v>9</v>
      </c>
      <c r="R73" s="8"/>
      <c r="T73"/>
    </row>
    <row r="74" spans="2:20" ht="23.1" customHeight="1" x14ac:dyDescent="0.25">
      <c r="B74" s="23" t="s">
        <v>114</v>
      </c>
      <c r="C74" s="49">
        <f>AVERAGE('09.08 Soroti-Kumi-24h'!C74,'10.08 Soroti-Kumi-24h'!C74)</f>
        <v>0.5</v>
      </c>
      <c r="D74" s="49">
        <f>AVERAGE('09.08 Soroti-Kumi-24h'!D74,'10.08 Soroti-Kumi-24h'!D74)</f>
        <v>0</v>
      </c>
      <c r="E74" s="49">
        <f>AVERAGE('09.08 Soroti-Kumi-24h'!E74,'10.08 Soroti-Kumi-24h'!E74)</f>
        <v>0</v>
      </c>
      <c r="F74" s="49">
        <f>AVERAGE('09.08 Soroti-Kumi-24h'!F74,'10.08 Soroti-Kumi-24h'!F74)</f>
        <v>1</v>
      </c>
      <c r="G74" s="49">
        <f>AVERAGE('09.08 Soroti-Kumi-24h'!G74,'10.08 Soroti-Kumi-24h'!G74)</f>
        <v>0</v>
      </c>
      <c r="H74" s="49">
        <f>AVERAGE('09.08 Soroti-Kumi-24h'!H74,'10.08 Soroti-Kumi-24h'!H74)</f>
        <v>0</v>
      </c>
      <c r="I74" s="49">
        <f>AVERAGE('09.08 Soroti-Kumi-24h'!I74,'10.08 Soroti-Kumi-24h'!I74)</f>
        <v>1.5</v>
      </c>
      <c r="J74" s="49">
        <f>AVERAGE('09.08 Soroti-Kumi-24h'!J74,'10.08 Soroti-Kumi-24h'!J74)</f>
        <v>0.5</v>
      </c>
      <c r="K74" s="49">
        <f>AVERAGE('09.08 Soroti-Kumi-24h'!K74,'10.08 Soroti-Kumi-24h'!K74)</f>
        <v>0.5</v>
      </c>
      <c r="L74" s="49">
        <f>AVERAGE('09.08 Soroti-Kumi-24h'!L74,'10.08 Soroti-Kumi-24h'!L74)</f>
        <v>1</v>
      </c>
      <c r="M74" s="49">
        <f>AVERAGE('09.08 Soroti-Kumi-24h'!M74,'10.08 Soroti-Kumi-24h'!M74)</f>
        <v>1.5</v>
      </c>
      <c r="N74" s="49">
        <f>AVERAGE('09.08 Soroti-Kumi-24h'!N74,'10.08 Soroti-Kumi-24h'!N74)</f>
        <v>0</v>
      </c>
      <c r="O74" s="15">
        <f t="shared" ref="O74:O105" si="35">SUM(C74:L74,N74)</f>
        <v>5</v>
      </c>
      <c r="P74" s="15">
        <f t="shared" ref="P74:P105" si="36">SUM(C74:N74)</f>
        <v>6.5</v>
      </c>
      <c r="R74" s="8"/>
      <c r="T74"/>
    </row>
    <row r="75" spans="2:20" ht="23.1" customHeight="1" x14ac:dyDescent="0.25">
      <c r="B75" s="23" t="s">
        <v>115</v>
      </c>
      <c r="C75" s="49">
        <f>AVERAGE('09.08 Soroti-Kumi-24h'!C75,'10.08 Soroti-Kumi-24h'!C75)</f>
        <v>0</v>
      </c>
      <c r="D75" s="49">
        <f>AVERAGE('09.08 Soroti-Kumi-24h'!D75,'10.08 Soroti-Kumi-24h'!D75)</f>
        <v>0</v>
      </c>
      <c r="E75" s="49">
        <f>AVERAGE('09.08 Soroti-Kumi-24h'!E75,'10.08 Soroti-Kumi-24h'!E75)</f>
        <v>0</v>
      </c>
      <c r="F75" s="49">
        <f>AVERAGE('09.08 Soroti-Kumi-24h'!F75,'10.08 Soroti-Kumi-24h'!F75)</f>
        <v>1</v>
      </c>
      <c r="G75" s="49">
        <f>AVERAGE('09.08 Soroti-Kumi-24h'!G75,'10.08 Soroti-Kumi-24h'!G75)</f>
        <v>0</v>
      </c>
      <c r="H75" s="49">
        <f>AVERAGE('09.08 Soroti-Kumi-24h'!H75,'10.08 Soroti-Kumi-24h'!H75)</f>
        <v>0.5</v>
      </c>
      <c r="I75" s="49">
        <f>AVERAGE('09.08 Soroti-Kumi-24h'!I75,'10.08 Soroti-Kumi-24h'!I75)</f>
        <v>2.5</v>
      </c>
      <c r="J75" s="49">
        <f>AVERAGE('09.08 Soroti-Kumi-24h'!J75,'10.08 Soroti-Kumi-24h'!J75)</f>
        <v>0.5</v>
      </c>
      <c r="K75" s="49">
        <f>AVERAGE('09.08 Soroti-Kumi-24h'!K75,'10.08 Soroti-Kumi-24h'!K75)</f>
        <v>0.5</v>
      </c>
      <c r="L75" s="49">
        <f>AVERAGE('09.08 Soroti-Kumi-24h'!L75,'10.08 Soroti-Kumi-24h'!L75)</f>
        <v>3</v>
      </c>
      <c r="M75" s="49">
        <f>AVERAGE('09.08 Soroti-Kumi-24h'!M75,'10.08 Soroti-Kumi-24h'!M75)</f>
        <v>0.5</v>
      </c>
      <c r="N75" s="49">
        <f>AVERAGE('09.08 Soroti-Kumi-24h'!N75,'10.08 Soroti-Kumi-24h'!N75)</f>
        <v>0</v>
      </c>
      <c r="O75" s="15">
        <f t="shared" si="35"/>
        <v>8</v>
      </c>
      <c r="P75" s="15">
        <f t="shared" si="36"/>
        <v>8.5</v>
      </c>
      <c r="R75" s="8"/>
      <c r="T75"/>
    </row>
    <row r="76" spans="2:20" ht="23.1" customHeight="1" x14ac:dyDescent="0.25">
      <c r="B76" s="23" t="s">
        <v>116</v>
      </c>
      <c r="C76" s="49">
        <f>AVERAGE('09.08 Soroti-Kumi-24h'!C76,'10.08 Soroti-Kumi-24h'!C76)</f>
        <v>0</v>
      </c>
      <c r="D76" s="49">
        <f>AVERAGE('09.08 Soroti-Kumi-24h'!D76,'10.08 Soroti-Kumi-24h'!D76)</f>
        <v>0</v>
      </c>
      <c r="E76" s="49">
        <f>AVERAGE('09.08 Soroti-Kumi-24h'!E76,'10.08 Soroti-Kumi-24h'!E76)</f>
        <v>0</v>
      </c>
      <c r="F76" s="49">
        <f>AVERAGE('09.08 Soroti-Kumi-24h'!F76,'10.08 Soroti-Kumi-24h'!F76)</f>
        <v>0.5</v>
      </c>
      <c r="G76" s="49">
        <f>AVERAGE('09.08 Soroti-Kumi-24h'!G76,'10.08 Soroti-Kumi-24h'!G76)</f>
        <v>0</v>
      </c>
      <c r="H76" s="49">
        <f>AVERAGE('09.08 Soroti-Kumi-24h'!H76,'10.08 Soroti-Kumi-24h'!H76)</f>
        <v>0</v>
      </c>
      <c r="I76" s="49">
        <f>AVERAGE('09.08 Soroti-Kumi-24h'!I76,'10.08 Soroti-Kumi-24h'!I76)</f>
        <v>1</v>
      </c>
      <c r="J76" s="49">
        <f>AVERAGE('09.08 Soroti-Kumi-24h'!J76,'10.08 Soroti-Kumi-24h'!J76)</f>
        <v>0.5</v>
      </c>
      <c r="K76" s="49">
        <f>AVERAGE('09.08 Soroti-Kumi-24h'!K76,'10.08 Soroti-Kumi-24h'!K76)</f>
        <v>0</v>
      </c>
      <c r="L76" s="49">
        <f>AVERAGE('09.08 Soroti-Kumi-24h'!L76,'10.08 Soroti-Kumi-24h'!L76)</f>
        <v>0.5</v>
      </c>
      <c r="M76" s="49">
        <f>AVERAGE('09.08 Soroti-Kumi-24h'!M76,'10.08 Soroti-Kumi-24h'!M76)</f>
        <v>0</v>
      </c>
      <c r="N76" s="49">
        <f>AVERAGE('09.08 Soroti-Kumi-24h'!N76,'10.08 Soroti-Kumi-24h'!N76)</f>
        <v>0</v>
      </c>
      <c r="O76" s="15">
        <f t="shared" si="35"/>
        <v>2.5</v>
      </c>
      <c r="P76" s="15">
        <f t="shared" si="36"/>
        <v>2.5</v>
      </c>
      <c r="R76" s="8"/>
      <c r="T76"/>
    </row>
    <row r="77" spans="2:20" ht="23.1" customHeight="1" x14ac:dyDescent="0.25">
      <c r="B77" s="23" t="s">
        <v>117</v>
      </c>
      <c r="C77" s="49">
        <f>AVERAGE('09.08 Soroti-Kumi-24h'!C77,'10.08 Soroti-Kumi-24h'!C77)</f>
        <v>1</v>
      </c>
      <c r="D77" s="49">
        <f>AVERAGE('09.08 Soroti-Kumi-24h'!D77,'10.08 Soroti-Kumi-24h'!D77)</f>
        <v>0</v>
      </c>
      <c r="E77" s="49">
        <f>AVERAGE('09.08 Soroti-Kumi-24h'!E77,'10.08 Soroti-Kumi-24h'!E77)</f>
        <v>0.5</v>
      </c>
      <c r="F77" s="49">
        <f>AVERAGE('09.08 Soroti-Kumi-24h'!F77,'10.08 Soroti-Kumi-24h'!F77)</f>
        <v>1</v>
      </c>
      <c r="G77" s="49">
        <f>AVERAGE('09.08 Soroti-Kumi-24h'!G77,'10.08 Soroti-Kumi-24h'!G77)</f>
        <v>0</v>
      </c>
      <c r="H77" s="49">
        <f>AVERAGE('09.08 Soroti-Kumi-24h'!H77,'10.08 Soroti-Kumi-24h'!H77)</f>
        <v>0</v>
      </c>
      <c r="I77" s="49">
        <f>AVERAGE('09.08 Soroti-Kumi-24h'!I77,'10.08 Soroti-Kumi-24h'!I77)</f>
        <v>1.5</v>
      </c>
      <c r="J77" s="49">
        <f>AVERAGE('09.08 Soroti-Kumi-24h'!J77,'10.08 Soroti-Kumi-24h'!J77)</f>
        <v>0</v>
      </c>
      <c r="K77" s="49">
        <f>AVERAGE('09.08 Soroti-Kumi-24h'!K77,'10.08 Soroti-Kumi-24h'!K77)</f>
        <v>0</v>
      </c>
      <c r="L77" s="49">
        <f>AVERAGE('09.08 Soroti-Kumi-24h'!L77,'10.08 Soroti-Kumi-24h'!L77)</f>
        <v>1.5</v>
      </c>
      <c r="M77" s="49">
        <f>AVERAGE('09.08 Soroti-Kumi-24h'!M77,'10.08 Soroti-Kumi-24h'!M77)</f>
        <v>0</v>
      </c>
      <c r="N77" s="49">
        <f>AVERAGE('09.08 Soroti-Kumi-24h'!N77,'10.08 Soroti-Kumi-24h'!N77)</f>
        <v>0</v>
      </c>
      <c r="O77" s="15">
        <f t="shared" si="35"/>
        <v>5.5</v>
      </c>
      <c r="P77" s="15">
        <f t="shared" si="36"/>
        <v>5.5</v>
      </c>
      <c r="R77" s="8"/>
      <c r="T77"/>
    </row>
    <row r="78" spans="2:20" ht="23.1" customHeight="1" x14ac:dyDescent="0.25">
      <c r="B78" s="24" t="s">
        <v>118</v>
      </c>
      <c r="C78" s="49">
        <f>AVERAGE('09.08 Soroti-Kumi-24h'!C78,'10.08 Soroti-Kumi-24h'!C78)</f>
        <v>0.5</v>
      </c>
      <c r="D78" s="49">
        <f>AVERAGE('09.08 Soroti-Kumi-24h'!D78,'10.08 Soroti-Kumi-24h'!D78)</f>
        <v>0</v>
      </c>
      <c r="E78" s="49">
        <f>AVERAGE('09.08 Soroti-Kumi-24h'!E78,'10.08 Soroti-Kumi-24h'!E78)</f>
        <v>0</v>
      </c>
      <c r="F78" s="49">
        <f>AVERAGE('09.08 Soroti-Kumi-24h'!F78,'10.08 Soroti-Kumi-24h'!F78)</f>
        <v>0.5</v>
      </c>
      <c r="G78" s="49">
        <f>AVERAGE('09.08 Soroti-Kumi-24h'!G78,'10.08 Soroti-Kumi-24h'!G78)</f>
        <v>0</v>
      </c>
      <c r="H78" s="49">
        <f>AVERAGE('09.08 Soroti-Kumi-24h'!H78,'10.08 Soroti-Kumi-24h'!H78)</f>
        <v>0</v>
      </c>
      <c r="I78" s="49">
        <f>AVERAGE('09.08 Soroti-Kumi-24h'!I78,'10.08 Soroti-Kumi-24h'!I78)</f>
        <v>1</v>
      </c>
      <c r="J78" s="49">
        <f>AVERAGE('09.08 Soroti-Kumi-24h'!J78,'10.08 Soroti-Kumi-24h'!J78)</f>
        <v>0</v>
      </c>
      <c r="K78" s="49">
        <f>AVERAGE('09.08 Soroti-Kumi-24h'!K78,'10.08 Soroti-Kumi-24h'!K78)</f>
        <v>0</v>
      </c>
      <c r="L78" s="49">
        <f>AVERAGE('09.08 Soroti-Kumi-24h'!L78,'10.08 Soroti-Kumi-24h'!L78)</f>
        <v>0.5</v>
      </c>
      <c r="M78" s="49">
        <f>AVERAGE('09.08 Soroti-Kumi-24h'!M78,'10.08 Soroti-Kumi-24h'!M78)</f>
        <v>0</v>
      </c>
      <c r="N78" s="49">
        <f>AVERAGE('09.08 Soroti-Kumi-24h'!N78,'10.08 Soroti-Kumi-24h'!N78)</f>
        <v>0</v>
      </c>
      <c r="O78" s="15">
        <f t="shared" si="35"/>
        <v>2.5</v>
      </c>
      <c r="P78" s="15">
        <f t="shared" si="36"/>
        <v>2.5</v>
      </c>
      <c r="R78" s="8"/>
      <c r="T78"/>
    </row>
    <row r="79" spans="2:20" ht="23.1" customHeight="1" x14ac:dyDescent="0.25">
      <c r="B79" s="23" t="s">
        <v>119</v>
      </c>
      <c r="C79" s="49">
        <f>AVERAGE('09.08 Soroti-Kumi-24h'!C79,'10.08 Soroti-Kumi-24h'!C79)</f>
        <v>0</v>
      </c>
      <c r="D79" s="49">
        <f>AVERAGE('09.08 Soroti-Kumi-24h'!D79,'10.08 Soroti-Kumi-24h'!D79)</f>
        <v>0</v>
      </c>
      <c r="E79" s="49">
        <f>AVERAGE('09.08 Soroti-Kumi-24h'!E79,'10.08 Soroti-Kumi-24h'!E79)</f>
        <v>0.5</v>
      </c>
      <c r="F79" s="49">
        <f>AVERAGE('09.08 Soroti-Kumi-24h'!F79,'10.08 Soroti-Kumi-24h'!F79)</f>
        <v>0</v>
      </c>
      <c r="G79" s="49">
        <f>AVERAGE('09.08 Soroti-Kumi-24h'!G79,'10.08 Soroti-Kumi-24h'!G79)</f>
        <v>0</v>
      </c>
      <c r="H79" s="49">
        <f>AVERAGE('09.08 Soroti-Kumi-24h'!H79,'10.08 Soroti-Kumi-24h'!H79)</f>
        <v>1.5</v>
      </c>
      <c r="I79" s="49">
        <f>AVERAGE('09.08 Soroti-Kumi-24h'!I79,'10.08 Soroti-Kumi-24h'!I79)</f>
        <v>0.5</v>
      </c>
      <c r="J79" s="49">
        <f>AVERAGE('09.08 Soroti-Kumi-24h'!J79,'10.08 Soroti-Kumi-24h'!J79)</f>
        <v>0</v>
      </c>
      <c r="K79" s="49">
        <f>AVERAGE('09.08 Soroti-Kumi-24h'!K79,'10.08 Soroti-Kumi-24h'!K79)</f>
        <v>0</v>
      </c>
      <c r="L79" s="49">
        <f>AVERAGE('09.08 Soroti-Kumi-24h'!L79,'10.08 Soroti-Kumi-24h'!L79)</f>
        <v>2.5</v>
      </c>
      <c r="M79" s="49">
        <f>AVERAGE('09.08 Soroti-Kumi-24h'!M79,'10.08 Soroti-Kumi-24h'!M79)</f>
        <v>0</v>
      </c>
      <c r="N79" s="49">
        <f>AVERAGE('09.08 Soroti-Kumi-24h'!N79,'10.08 Soroti-Kumi-24h'!N79)</f>
        <v>0</v>
      </c>
      <c r="O79" s="15">
        <f t="shared" si="35"/>
        <v>5</v>
      </c>
      <c r="P79" s="15">
        <f t="shared" si="36"/>
        <v>5</v>
      </c>
      <c r="R79" s="8"/>
      <c r="T79"/>
    </row>
    <row r="80" spans="2:20" ht="23.1" customHeight="1" x14ac:dyDescent="0.25">
      <c r="B80" s="25" t="s">
        <v>120</v>
      </c>
      <c r="C80" s="49">
        <f>AVERAGE('09.08 Soroti-Kumi-24h'!C80,'10.08 Soroti-Kumi-24h'!C80)</f>
        <v>0</v>
      </c>
      <c r="D80" s="49">
        <f>AVERAGE('09.08 Soroti-Kumi-24h'!D80,'10.08 Soroti-Kumi-24h'!D80)</f>
        <v>0</v>
      </c>
      <c r="E80" s="49">
        <f>AVERAGE('09.08 Soroti-Kumi-24h'!E80,'10.08 Soroti-Kumi-24h'!E80)</f>
        <v>0.5</v>
      </c>
      <c r="F80" s="49">
        <f>AVERAGE('09.08 Soroti-Kumi-24h'!F80,'10.08 Soroti-Kumi-24h'!F80)</f>
        <v>1</v>
      </c>
      <c r="G80" s="49">
        <f>AVERAGE('09.08 Soroti-Kumi-24h'!G80,'10.08 Soroti-Kumi-24h'!G80)</f>
        <v>0</v>
      </c>
      <c r="H80" s="49">
        <f>AVERAGE('09.08 Soroti-Kumi-24h'!H80,'10.08 Soroti-Kumi-24h'!H80)</f>
        <v>0.5</v>
      </c>
      <c r="I80" s="49">
        <f>AVERAGE('09.08 Soroti-Kumi-24h'!I80,'10.08 Soroti-Kumi-24h'!I80)</f>
        <v>0.5</v>
      </c>
      <c r="J80" s="49">
        <f>AVERAGE('09.08 Soroti-Kumi-24h'!J80,'10.08 Soroti-Kumi-24h'!J80)</f>
        <v>0.5</v>
      </c>
      <c r="K80" s="49">
        <f>AVERAGE('09.08 Soroti-Kumi-24h'!K80,'10.08 Soroti-Kumi-24h'!K80)</f>
        <v>0</v>
      </c>
      <c r="L80" s="49">
        <f>AVERAGE('09.08 Soroti-Kumi-24h'!L80,'10.08 Soroti-Kumi-24h'!L80)</f>
        <v>2</v>
      </c>
      <c r="M80" s="49">
        <f>AVERAGE('09.08 Soroti-Kumi-24h'!M80,'10.08 Soroti-Kumi-24h'!M80)</f>
        <v>0</v>
      </c>
      <c r="N80" s="49">
        <f>AVERAGE('09.08 Soroti-Kumi-24h'!N80,'10.08 Soroti-Kumi-24h'!N80)</f>
        <v>0</v>
      </c>
      <c r="O80" s="15">
        <f t="shared" si="35"/>
        <v>5</v>
      </c>
      <c r="P80" s="15">
        <f t="shared" si="36"/>
        <v>5</v>
      </c>
      <c r="R80" s="8"/>
      <c r="T80"/>
    </row>
    <row r="81" spans="2:20" ht="23.1" customHeight="1" x14ac:dyDescent="0.25">
      <c r="B81" s="23" t="s">
        <v>121</v>
      </c>
      <c r="C81" s="49">
        <f>AVERAGE('09.08 Soroti-Kumi-24h'!C81,'10.08 Soroti-Kumi-24h'!C81)</f>
        <v>0</v>
      </c>
      <c r="D81" s="49">
        <f>AVERAGE('09.08 Soroti-Kumi-24h'!D81,'10.08 Soroti-Kumi-24h'!D81)</f>
        <v>0</v>
      </c>
      <c r="E81" s="49">
        <f>AVERAGE('09.08 Soroti-Kumi-24h'!E81,'10.08 Soroti-Kumi-24h'!E81)</f>
        <v>0</v>
      </c>
      <c r="F81" s="49">
        <f>AVERAGE('09.08 Soroti-Kumi-24h'!F81,'10.08 Soroti-Kumi-24h'!F81)</f>
        <v>0</v>
      </c>
      <c r="G81" s="49">
        <f>AVERAGE('09.08 Soroti-Kumi-24h'!G81,'10.08 Soroti-Kumi-24h'!G81)</f>
        <v>0</v>
      </c>
      <c r="H81" s="49">
        <f>AVERAGE('09.08 Soroti-Kumi-24h'!H81,'10.08 Soroti-Kumi-24h'!H81)</f>
        <v>0.5</v>
      </c>
      <c r="I81" s="49">
        <f>AVERAGE('09.08 Soroti-Kumi-24h'!I81,'10.08 Soroti-Kumi-24h'!I81)</f>
        <v>0.5</v>
      </c>
      <c r="J81" s="49">
        <f>AVERAGE('09.08 Soroti-Kumi-24h'!J81,'10.08 Soroti-Kumi-24h'!J81)</f>
        <v>0.5</v>
      </c>
      <c r="K81" s="49">
        <f>AVERAGE('09.08 Soroti-Kumi-24h'!K81,'10.08 Soroti-Kumi-24h'!K81)</f>
        <v>0</v>
      </c>
      <c r="L81" s="49">
        <f>AVERAGE('09.08 Soroti-Kumi-24h'!L81,'10.08 Soroti-Kumi-24h'!L81)</f>
        <v>0.5</v>
      </c>
      <c r="M81" s="49">
        <f>AVERAGE('09.08 Soroti-Kumi-24h'!M81,'10.08 Soroti-Kumi-24h'!M81)</f>
        <v>0</v>
      </c>
      <c r="N81" s="49">
        <f>AVERAGE('09.08 Soroti-Kumi-24h'!N81,'10.08 Soroti-Kumi-24h'!N81)</f>
        <v>0</v>
      </c>
      <c r="O81" s="15">
        <f t="shared" si="35"/>
        <v>2</v>
      </c>
      <c r="P81" s="15">
        <f t="shared" si="36"/>
        <v>2</v>
      </c>
      <c r="R81" s="8"/>
      <c r="T81"/>
    </row>
    <row r="82" spans="2:20" ht="23.1" customHeight="1" x14ac:dyDescent="0.25">
      <c r="B82" s="24" t="s">
        <v>122</v>
      </c>
      <c r="C82" s="49">
        <f>AVERAGE('09.08 Soroti-Kumi-24h'!C82,'10.08 Soroti-Kumi-24h'!C82)</f>
        <v>0</v>
      </c>
      <c r="D82" s="49">
        <f>AVERAGE('09.08 Soroti-Kumi-24h'!D82,'10.08 Soroti-Kumi-24h'!D82)</f>
        <v>0</v>
      </c>
      <c r="E82" s="49">
        <f>AVERAGE('09.08 Soroti-Kumi-24h'!E82,'10.08 Soroti-Kumi-24h'!E82)</f>
        <v>0</v>
      </c>
      <c r="F82" s="49">
        <f>AVERAGE('09.08 Soroti-Kumi-24h'!F82,'10.08 Soroti-Kumi-24h'!F82)</f>
        <v>0</v>
      </c>
      <c r="G82" s="49">
        <f>AVERAGE('09.08 Soroti-Kumi-24h'!G82,'10.08 Soroti-Kumi-24h'!G82)</f>
        <v>0</v>
      </c>
      <c r="H82" s="49">
        <f>AVERAGE('09.08 Soroti-Kumi-24h'!H82,'10.08 Soroti-Kumi-24h'!H82)</f>
        <v>0.5</v>
      </c>
      <c r="I82" s="49">
        <f>AVERAGE('09.08 Soroti-Kumi-24h'!I82,'10.08 Soroti-Kumi-24h'!I82)</f>
        <v>0</v>
      </c>
      <c r="J82" s="49">
        <f>AVERAGE('09.08 Soroti-Kumi-24h'!J82,'10.08 Soroti-Kumi-24h'!J82)</f>
        <v>0.5</v>
      </c>
      <c r="K82" s="49">
        <f>AVERAGE('09.08 Soroti-Kumi-24h'!K82,'10.08 Soroti-Kumi-24h'!K82)</f>
        <v>0</v>
      </c>
      <c r="L82" s="49">
        <f>AVERAGE('09.08 Soroti-Kumi-24h'!L82,'10.08 Soroti-Kumi-24h'!L82)</f>
        <v>2.5</v>
      </c>
      <c r="M82" s="49">
        <f>AVERAGE('09.08 Soroti-Kumi-24h'!M82,'10.08 Soroti-Kumi-24h'!M82)</f>
        <v>1</v>
      </c>
      <c r="N82" s="49">
        <f>AVERAGE('09.08 Soroti-Kumi-24h'!N82,'10.08 Soroti-Kumi-24h'!N82)</f>
        <v>0</v>
      </c>
      <c r="O82" s="15">
        <f t="shared" si="35"/>
        <v>3.5</v>
      </c>
      <c r="P82" s="15">
        <f t="shared" si="36"/>
        <v>4.5</v>
      </c>
      <c r="R82" s="8"/>
      <c r="T82"/>
    </row>
    <row r="83" spans="2:20" ht="23.1" customHeight="1" x14ac:dyDescent="0.25">
      <c r="B83" s="23" t="s">
        <v>123</v>
      </c>
      <c r="C83" s="49">
        <f>AVERAGE('09.08 Soroti-Kumi-24h'!C83,'10.08 Soroti-Kumi-24h'!C83)</f>
        <v>0</v>
      </c>
      <c r="D83" s="49">
        <f>AVERAGE('09.08 Soroti-Kumi-24h'!D83,'10.08 Soroti-Kumi-24h'!D83)</f>
        <v>0</v>
      </c>
      <c r="E83" s="49">
        <f>AVERAGE('09.08 Soroti-Kumi-24h'!E83,'10.08 Soroti-Kumi-24h'!E83)</f>
        <v>1</v>
      </c>
      <c r="F83" s="49">
        <f>AVERAGE('09.08 Soroti-Kumi-24h'!F83,'10.08 Soroti-Kumi-24h'!F83)</f>
        <v>0</v>
      </c>
      <c r="G83" s="49">
        <f>AVERAGE('09.08 Soroti-Kumi-24h'!G83,'10.08 Soroti-Kumi-24h'!G83)</f>
        <v>0</v>
      </c>
      <c r="H83" s="49">
        <f>AVERAGE('09.08 Soroti-Kumi-24h'!H83,'10.08 Soroti-Kumi-24h'!H83)</f>
        <v>0.5</v>
      </c>
      <c r="I83" s="49">
        <f>AVERAGE('09.08 Soroti-Kumi-24h'!I83,'10.08 Soroti-Kumi-24h'!I83)</f>
        <v>1</v>
      </c>
      <c r="J83" s="49">
        <f>AVERAGE('09.08 Soroti-Kumi-24h'!J83,'10.08 Soroti-Kumi-24h'!J83)</f>
        <v>0</v>
      </c>
      <c r="K83" s="49">
        <f>AVERAGE('09.08 Soroti-Kumi-24h'!K83,'10.08 Soroti-Kumi-24h'!K83)</f>
        <v>0.5</v>
      </c>
      <c r="L83" s="49">
        <f>AVERAGE('09.08 Soroti-Kumi-24h'!L83,'10.08 Soroti-Kumi-24h'!L83)</f>
        <v>1</v>
      </c>
      <c r="M83" s="49">
        <f>AVERAGE('09.08 Soroti-Kumi-24h'!M83,'10.08 Soroti-Kumi-24h'!M83)</f>
        <v>0</v>
      </c>
      <c r="N83" s="49">
        <f>AVERAGE('09.08 Soroti-Kumi-24h'!N83,'10.08 Soroti-Kumi-24h'!N83)</f>
        <v>0</v>
      </c>
      <c r="O83" s="15">
        <f t="shared" si="35"/>
        <v>4</v>
      </c>
      <c r="P83" s="15">
        <f t="shared" si="36"/>
        <v>4</v>
      </c>
      <c r="R83" s="8"/>
      <c r="T83"/>
    </row>
    <row r="84" spans="2:20" ht="23.1" customHeight="1" x14ac:dyDescent="0.25">
      <c r="B84" s="25" t="s">
        <v>124</v>
      </c>
      <c r="C84" s="49">
        <f>AVERAGE('09.08 Soroti-Kumi-24h'!C84,'10.08 Soroti-Kumi-24h'!C84)</f>
        <v>0</v>
      </c>
      <c r="D84" s="49">
        <f>AVERAGE('09.08 Soroti-Kumi-24h'!D84,'10.08 Soroti-Kumi-24h'!D84)</f>
        <v>0</v>
      </c>
      <c r="E84" s="49">
        <f>AVERAGE('09.08 Soroti-Kumi-24h'!E84,'10.08 Soroti-Kumi-24h'!E84)</f>
        <v>0</v>
      </c>
      <c r="F84" s="49">
        <f>AVERAGE('09.08 Soroti-Kumi-24h'!F84,'10.08 Soroti-Kumi-24h'!F84)</f>
        <v>0</v>
      </c>
      <c r="G84" s="49">
        <f>AVERAGE('09.08 Soroti-Kumi-24h'!G84,'10.08 Soroti-Kumi-24h'!G84)</f>
        <v>0</v>
      </c>
      <c r="H84" s="49">
        <f>AVERAGE('09.08 Soroti-Kumi-24h'!H84,'10.08 Soroti-Kumi-24h'!H84)</f>
        <v>1</v>
      </c>
      <c r="I84" s="49">
        <f>AVERAGE('09.08 Soroti-Kumi-24h'!I84,'10.08 Soroti-Kumi-24h'!I84)</f>
        <v>1.5</v>
      </c>
      <c r="J84" s="49">
        <f>AVERAGE('09.08 Soroti-Kumi-24h'!J84,'10.08 Soroti-Kumi-24h'!J84)</f>
        <v>0</v>
      </c>
      <c r="K84" s="49">
        <f>AVERAGE('09.08 Soroti-Kumi-24h'!K84,'10.08 Soroti-Kumi-24h'!K84)</f>
        <v>0</v>
      </c>
      <c r="L84" s="49">
        <f>AVERAGE('09.08 Soroti-Kumi-24h'!L84,'10.08 Soroti-Kumi-24h'!L84)</f>
        <v>2</v>
      </c>
      <c r="M84" s="49">
        <f>AVERAGE('09.08 Soroti-Kumi-24h'!M84,'10.08 Soroti-Kumi-24h'!M84)</f>
        <v>0</v>
      </c>
      <c r="N84" s="49">
        <f>AVERAGE('09.08 Soroti-Kumi-24h'!N84,'10.08 Soroti-Kumi-24h'!N84)</f>
        <v>0</v>
      </c>
      <c r="O84" s="15">
        <f t="shared" si="35"/>
        <v>4.5</v>
      </c>
      <c r="P84" s="15">
        <f t="shared" si="36"/>
        <v>4.5</v>
      </c>
      <c r="R84" s="8"/>
      <c r="T84"/>
    </row>
    <row r="85" spans="2:20" ht="23.1" customHeight="1" x14ac:dyDescent="0.25">
      <c r="B85" s="23" t="s">
        <v>125</v>
      </c>
      <c r="C85" s="49">
        <f>AVERAGE('09.08 Soroti-Kumi-24h'!C85,'10.08 Soroti-Kumi-24h'!C85)</f>
        <v>0</v>
      </c>
      <c r="D85" s="49">
        <f>AVERAGE('09.08 Soroti-Kumi-24h'!D85,'10.08 Soroti-Kumi-24h'!D85)</f>
        <v>0</v>
      </c>
      <c r="E85" s="49">
        <f>AVERAGE('09.08 Soroti-Kumi-24h'!E85,'10.08 Soroti-Kumi-24h'!E85)</f>
        <v>0</v>
      </c>
      <c r="F85" s="49">
        <f>AVERAGE('09.08 Soroti-Kumi-24h'!F85,'10.08 Soroti-Kumi-24h'!F85)</f>
        <v>0</v>
      </c>
      <c r="G85" s="49">
        <f>AVERAGE('09.08 Soroti-Kumi-24h'!G85,'10.08 Soroti-Kumi-24h'!G85)</f>
        <v>0</v>
      </c>
      <c r="H85" s="49">
        <f>AVERAGE('09.08 Soroti-Kumi-24h'!H85,'10.08 Soroti-Kumi-24h'!H85)</f>
        <v>0.5</v>
      </c>
      <c r="I85" s="49">
        <f>AVERAGE('09.08 Soroti-Kumi-24h'!I85,'10.08 Soroti-Kumi-24h'!I85)</f>
        <v>0.5</v>
      </c>
      <c r="J85" s="49">
        <f>AVERAGE('09.08 Soroti-Kumi-24h'!J85,'10.08 Soroti-Kumi-24h'!J85)</f>
        <v>0.5</v>
      </c>
      <c r="K85" s="49">
        <f>AVERAGE('09.08 Soroti-Kumi-24h'!K85,'10.08 Soroti-Kumi-24h'!K85)</f>
        <v>0.5</v>
      </c>
      <c r="L85" s="49">
        <f>AVERAGE('09.08 Soroti-Kumi-24h'!L85,'10.08 Soroti-Kumi-24h'!L85)</f>
        <v>1</v>
      </c>
      <c r="M85" s="49">
        <f>AVERAGE('09.08 Soroti-Kumi-24h'!M85,'10.08 Soroti-Kumi-24h'!M85)</f>
        <v>0</v>
      </c>
      <c r="N85" s="49">
        <f>AVERAGE('09.08 Soroti-Kumi-24h'!N85,'10.08 Soroti-Kumi-24h'!N85)</f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AVERAGE('09.08 Soroti-Kumi-24h'!C86,'10.08 Soroti-Kumi-24h'!C86)</f>
        <v>0</v>
      </c>
      <c r="D86" s="49">
        <f>AVERAGE('09.08 Soroti-Kumi-24h'!D86,'10.08 Soroti-Kumi-24h'!D86)</f>
        <v>0</v>
      </c>
      <c r="E86" s="49">
        <f>AVERAGE('09.08 Soroti-Kumi-24h'!E86,'10.08 Soroti-Kumi-24h'!E86)</f>
        <v>0.5</v>
      </c>
      <c r="F86" s="49">
        <f>AVERAGE('09.08 Soroti-Kumi-24h'!F86,'10.08 Soroti-Kumi-24h'!F86)</f>
        <v>0</v>
      </c>
      <c r="G86" s="49">
        <f>AVERAGE('09.08 Soroti-Kumi-24h'!G86,'10.08 Soroti-Kumi-24h'!G86)</f>
        <v>0</v>
      </c>
      <c r="H86" s="49">
        <f>AVERAGE('09.08 Soroti-Kumi-24h'!H86,'10.08 Soroti-Kumi-24h'!H86)</f>
        <v>0</v>
      </c>
      <c r="I86" s="49">
        <f>AVERAGE('09.08 Soroti-Kumi-24h'!I86,'10.08 Soroti-Kumi-24h'!I86)</f>
        <v>0.5</v>
      </c>
      <c r="J86" s="49">
        <f>AVERAGE('09.08 Soroti-Kumi-24h'!J86,'10.08 Soroti-Kumi-24h'!J86)</f>
        <v>0</v>
      </c>
      <c r="K86" s="49">
        <f>AVERAGE('09.08 Soroti-Kumi-24h'!K86,'10.08 Soroti-Kumi-24h'!K86)</f>
        <v>0</v>
      </c>
      <c r="L86" s="49">
        <f>AVERAGE('09.08 Soroti-Kumi-24h'!L86,'10.08 Soroti-Kumi-24h'!L86)</f>
        <v>1</v>
      </c>
      <c r="M86" s="49">
        <f>AVERAGE('09.08 Soroti-Kumi-24h'!M86,'10.08 Soroti-Kumi-24h'!M86)</f>
        <v>0</v>
      </c>
      <c r="N86" s="49">
        <f>AVERAGE('09.08 Soroti-Kumi-24h'!N86,'10.08 Soroti-Kumi-24h'!N86)</f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23" t="s">
        <v>127</v>
      </c>
      <c r="C87" s="49">
        <f>AVERAGE('09.08 Soroti-Kumi-24h'!C87,'10.08 Soroti-Kumi-24h'!C87)</f>
        <v>0</v>
      </c>
      <c r="D87" s="49">
        <f>AVERAGE('09.08 Soroti-Kumi-24h'!D87,'10.08 Soroti-Kumi-24h'!D87)</f>
        <v>0</v>
      </c>
      <c r="E87" s="49">
        <f>AVERAGE('09.08 Soroti-Kumi-24h'!E87,'10.08 Soroti-Kumi-24h'!E87)</f>
        <v>0.5</v>
      </c>
      <c r="F87" s="49">
        <f>AVERAGE('09.08 Soroti-Kumi-24h'!F87,'10.08 Soroti-Kumi-24h'!F87)</f>
        <v>0</v>
      </c>
      <c r="G87" s="49">
        <f>AVERAGE('09.08 Soroti-Kumi-24h'!G87,'10.08 Soroti-Kumi-24h'!G87)</f>
        <v>0</v>
      </c>
      <c r="H87" s="49">
        <f>AVERAGE('09.08 Soroti-Kumi-24h'!H87,'10.08 Soroti-Kumi-24h'!H87)</f>
        <v>1</v>
      </c>
      <c r="I87" s="49">
        <f>AVERAGE('09.08 Soroti-Kumi-24h'!I87,'10.08 Soroti-Kumi-24h'!I87)</f>
        <v>0</v>
      </c>
      <c r="J87" s="49">
        <f>AVERAGE('09.08 Soroti-Kumi-24h'!J87,'10.08 Soroti-Kumi-24h'!J87)</f>
        <v>0</v>
      </c>
      <c r="K87" s="49">
        <f>AVERAGE('09.08 Soroti-Kumi-24h'!K87,'10.08 Soroti-Kumi-24h'!K87)</f>
        <v>1</v>
      </c>
      <c r="L87" s="49">
        <f>AVERAGE('09.08 Soroti-Kumi-24h'!L87,'10.08 Soroti-Kumi-24h'!L87)</f>
        <v>1</v>
      </c>
      <c r="M87" s="49">
        <f>AVERAGE('09.08 Soroti-Kumi-24h'!M87,'10.08 Soroti-Kumi-24h'!M87)</f>
        <v>0.5</v>
      </c>
      <c r="N87" s="49">
        <f>AVERAGE('09.08 Soroti-Kumi-24h'!N87,'10.08 Soroti-Kumi-24h'!N87)</f>
        <v>0</v>
      </c>
      <c r="O87" s="15">
        <f t="shared" si="35"/>
        <v>3.5</v>
      </c>
      <c r="P87" s="15">
        <f t="shared" si="36"/>
        <v>4</v>
      </c>
      <c r="R87" s="8"/>
      <c r="T87"/>
    </row>
    <row r="88" spans="2:20" ht="23.1" customHeight="1" x14ac:dyDescent="0.25">
      <c r="B88" s="25" t="s">
        <v>128</v>
      </c>
      <c r="C88" s="49">
        <f>AVERAGE('09.08 Soroti-Kumi-24h'!C88,'10.08 Soroti-Kumi-24h'!C88)</f>
        <v>0</v>
      </c>
      <c r="D88" s="49">
        <f>AVERAGE('09.08 Soroti-Kumi-24h'!D88,'10.08 Soroti-Kumi-24h'!D88)</f>
        <v>0</v>
      </c>
      <c r="E88" s="49">
        <f>AVERAGE('09.08 Soroti-Kumi-24h'!E88,'10.08 Soroti-Kumi-24h'!E88)</f>
        <v>0</v>
      </c>
      <c r="F88" s="49">
        <f>AVERAGE('09.08 Soroti-Kumi-24h'!F88,'10.08 Soroti-Kumi-24h'!F88)</f>
        <v>0.5</v>
      </c>
      <c r="G88" s="49">
        <f>AVERAGE('09.08 Soroti-Kumi-24h'!G88,'10.08 Soroti-Kumi-24h'!G88)</f>
        <v>0</v>
      </c>
      <c r="H88" s="49">
        <f>AVERAGE('09.08 Soroti-Kumi-24h'!H88,'10.08 Soroti-Kumi-24h'!H88)</f>
        <v>0.5</v>
      </c>
      <c r="I88" s="49">
        <f>AVERAGE('09.08 Soroti-Kumi-24h'!I88,'10.08 Soroti-Kumi-24h'!I88)</f>
        <v>1</v>
      </c>
      <c r="J88" s="49">
        <f>AVERAGE('09.08 Soroti-Kumi-24h'!J88,'10.08 Soroti-Kumi-24h'!J88)</f>
        <v>0</v>
      </c>
      <c r="K88" s="49">
        <f>AVERAGE('09.08 Soroti-Kumi-24h'!K88,'10.08 Soroti-Kumi-24h'!K88)</f>
        <v>0</v>
      </c>
      <c r="L88" s="49">
        <f>AVERAGE('09.08 Soroti-Kumi-24h'!L88,'10.08 Soroti-Kumi-24h'!L88)</f>
        <v>1.5</v>
      </c>
      <c r="M88" s="49">
        <f>AVERAGE('09.08 Soroti-Kumi-24h'!M88,'10.08 Soroti-Kumi-24h'!M88)</f>
        <v>0</v>
      </c>
      <c r="N88" s="49">
        <f>AVERAGE('09.08 Soroti-Kumi-24h'!N88,'10.08 Soroti-Kumi-24h'!N88)</f>
        <v>0</v>
      </c>
      <c r="O88" s="15">
        <f t="shared" si="35"/>
        <v>3.5</v>
      </c>
      <c r="P88" s="15">
        <f t="shared" si="36"/>
        <v>3.5</v>
      </c>
      <c r="R88" s="8"/>
      <c r="T88"/>
    </row>
    <row r="89" spans="2:20" ht="23.1" customHeight="1" x14ac:dyDescent="0.25">
      <c r="B89" s="23" t="s">
        <v>129</v>
      </c>
      <c r="C89" s="49">
        <f>AVERAGE('09.08 Soroti-Kumi-24h'!C89,'10.08 Soroti-Kumi-24h'!C89)</f>
        <v>0.5</v>
      </c>
      <c r="D89" s="49">
        <f>AVERAGE('09.08 Soroti-Kumi-24h'!D89,'10.08 Soroti-Kumi-24h'!D89)</f>
        <v>0</v>
      </c>
      <c r="E89" s="49">
        <f>AVERAGE('09.08 Soroti-Kumi-24h'!E89,'10.08 Soroti-Kumi-24h'!E89)</f>
        <v>0</v>
      </c>
      <c r="F89" s="49">
        <f>AVERAGE('09.08 Soroti-Kumi-24h'!F89,'10.08 Soroti-Kumi-24h'!F89)</f>
        <v>0</v>
      </c>
      <c r="G89" s="49">
        <f>AVERAGE('09.08 Soroti-Kumi-24h'!G89,'10.08 Soroti-Kumi-24h'!G89)</f>
        <v>0</v>
      </c>
      <c r="H89" s="49">
        <f>AVERAGE('09.08 Soroti-Kumi-24h'!H89,'10.08 Soroti-Kumi-24h'!H89)</f>
        <v>0</v>
      </c>
      <c r="I89" s="49">
        <f>AVERAGE('09.08 Soroti-Kumi-24h'!I89,'10.08 Soroti-Kumi-24h'!I89)</f>
        <v>0</v>
      </c>
      <c r="J89" s="49">
        <f>AVERAGE('09.08 Soroti-Kumi-24h'!J89,'10.08 Soroti-Kumi-24h'!J89)</f>
        <v>0.5</v>
      </c>
      <c r="K89" s="49">
        <f>AVERAGE('09.08 Soroti-Kumi-24h'!K89,'10.08 Soroti-Kumi-24h'!K89)</f>
        <v>0.5</v>
      </c>
      <c r="L89" s="49">
        <f>AVERAGE('09.08 Soroti-Kumi-24h'!L89,'10.08 Soroti-Kumi-24h'!L89)</f>
        <v>0.5</v>
      </c>
      <c r="M89" s="49">
        <f>AVERAGE('09.08 Soroti-Kumi-24h'!M89,'10.08 Soroti-Kumi-24h'!M89)</f>
        <v>0</v>
      </c>
      <c r="N89" s="49">
        <f>AVERAGE('09.08 Soroti-Kumi-24h'!N89,'10.08 Soroti-Kumi-24h'!N89)</f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3.1" customHeight="1" x14ac:dyDescent="0.25">
      <c r="B90" s="24" t="s">
        <v>130</v>
      </c>
      <c r="C90" s="49">
        <f>AVERAGE('09.08 Soroti-Kumi-24h'!C90,'10.08 Soroti-Kumi-24h'!C90)</f>
        <v>0</v>
      </c>
      <c r="D90" s="49">
        <f>AVERAGE('09.08 Soroti-Kumi-24h'!D90,'10.08 Soroti-Kumi-24h'!D90)</f>
        <v>0</v>
      </c>
      <c r="E90" s="49">
        <f>AVERAGE('09.08 Soroti-Kumi-24h'!E90,'10.08 Soroti-Kumi-24h'!E90)</f>
        <v>0.5</v>
      </c>
      <c r="F90" s="49">
        <f>AVERAGE('09.08 Soroti-Kumi-24h'!F90,'10.08 Soroti-Kumi-24h'!F90)</f>
        <v>0.5</v>
      </c>
      <c r="G90" s="49">
        <f>AVERAGE('09.08 Soroti-Kumi-24h'!G90,'10.08 Soroti-Kumi-24h'!G90)</f>
        <v>0</v>
      </c>
      <c r="H90" s="49">
        <f>AVERAGE('09.08 Soroti-Kumi-24h'!H90,'10.08 Soroti-Kumi-24h'!H90)</f>
        <v>1.5</v>
      </c>
      <c r="I90" s="49">
        <f>AVERAGE('09.08 Soroti-Kumi-24h'!I90,'10.08 Soroti-Kumi-24h'!I90)</f>
        <v>0</v>
      </c>
      <c r="J90" s="49">
        <f>AVERAGE('09.08 Soroti-Kumi-24h'!J90,'10.08 Soroti-Kumi-24h'!J90)</f>
        <v>0</v>
      </c>
      <c r="K90" s="49">
        <f>AVERAGE('09.08 Soroti-Kumi-24h'!K90,'10.08 Soroti-Kumi-24h'!K90)</f>
        <v>0</v>
      </c>
      <c r="L90" s="49">
        <f>AVERAGE('09.08 Soroti-Kumi-24h'!L90,'10.08 Soroti-Kumi-24h'!L90)</f>
        <v>0.5</v>
      </c>
      <c r="M90" s="49">
        <f>AVERAGE('09.08 Soroti-Kumi-24h'!M90,'10.08 Soroti-Kumi-24h'!M90)</f>
        <v>0</v>
      </c>
      <c r="N90" s="49">
        <f>AVERAGE('09.08 Soroti-Kumi-24h'!N90,'10.08 Soroti-Kumi-24h'!N90)</f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23" t="s">
        <v>131</v>
      </c>
      <c r="C91" s="49">
        <f>AVERAGE('09.08 Soroti-Kumi-24h'!C91,'10.08 Soroti-Kumi-24h'!C91)</f>
        <v>0</v>
      </c>
      <c r="D91" s="49">
        <f>AVERAGE('09.08 Soroti-Kumi-24h'!D91,'10.08 Soroti-Kumi-24h'!D91)</f>
        <v>0</v>
      </c>
      <c r="E91" s="49">
        <f>AVERAGE('09.08 Soroti-Kumi-24h'!E91,'10.08 Soroti-Kumi-24h'!E91)</f>
        <v>0.5</v>
      </c>
      <c r="F91" s="49">
        <f>AVERAGE('09.08 Soroti-Kumi-24h'!F91,'10.08 Soroti-Kumi-24h'!F91)</f>
        <v>0.5</v>
      </c>
      <c r="G91" s="49">
        <f>AVERAGE('09.08 Soroti-Kumi-24h'!G91,'10.08 Soroti-Kumi-24h'!G91)</f>
        <v>0</v>
      </c>
      <c r="H91" s="49">
        <f>AVERAGE('09.08 Soroti-Kumi-24h'!H91,'10.08 Soroti-Kumi-24h'!H91)</f>
        <v>0.5</v>
      </c>
      <c r="I91" s="49">
        <f>AVERAGE('09.08 Soroti-Kumi-24h'!I91,'10.08 Soroti-Kumi-24h'!I91)</f>
        <v>1</v>
      </c>
      <c r="J91" s="49">
        <f>AVERAGE('09.08 Soroti-Kumi-24h'!J91,'10.08 Soroti-Kumi-24h'!J91)</f>
        <v>0</v>
      </c>
      <c r="K91" s="49">
        <f>AVERAGE('09.08 Soroti-Kumi-24h'!K91,'10.08 Soroti-Kumi-24h'!K91)</f>
        <v>0</v>
      </c>
      <c r="L91" s="49">
        <f>AVERAGE('09.08 Soroti-Kumi-24h'!L91,'10.08 Soroti-Kumi-24h'!L91)</f>
        <v>1.5</v>
      </c>
      <c r="M91" s="49">
        <f>AVERAGE('09.08 Soroti-Kumi-24h'!M91,'10.08 Soroti-Kumi-24h'!M91)</f>
        <v>0</v>
      </c>
      <c r="N91" s="49">
        <f>AVERAGE('09.08 Soroti-Kumi-24h'!N91,'10.08 Soroti-Kumi-24h'!N91)</f>
        <v>0</v>
      </c>
      <c r="O91" s="15">
        <f t="shared" si="35"/>
        <v>4</v>
      </c>
      <c r="P91" s="15">
        <f t="shared" si="36"/>
        <v>4</v>
      </c>
      <c r="R91" s="8"/>
      <c r="T91"/>
    </row>
    <row r="92" spans="2:20" ht="23.1" customHeight="1" x14ac:dyDescent="0.25">
      <c r="B92" s="25" t="s">
        <v>132</v>
      </c>
      <c r="C92" s="49">
        <f>AVERAGE('09.08 Soroti-Kumi-24h'!C92,'10.08 Soroti-Kumi-24h'!C92)</f>
        <v>0</v>
      </c>
      <c r="D92" s="49">
        <f>AVERAGE('09.08 Soroti-Kumi-24h'!D92,'10.08 Soroti-Kumi-24h'!D92)</f>
        <v>0</v>
      </c>
      <c r="E92" s="49">
        <f>AVERAGE('09.08 Soroti-Kumi-24h'!E92,'10.08 Soroti-Kumi-24h'!E92)</f>
        <v>0</v>
      </c>
      <c r="F92" s="49">
        <f>AVERAGE('09.08 Soroti-Kumi-24h'!F92,'10.08 Soroti-Kumi-24h'!F92)</f>
        <v>0.5</v>
      </c>
      <c r="G92" s="49">
        <f>AVERAGE('09.08 Soroti-Kumi-24h'!G92,'10.08 Soroti-Kumi-24h'!G92)</f>
        <v>0</v>
      </c>
      <c r="H92" s="49">
        <f>AVERAGE('09.08 Soroti-Kumi-24h'!H92,'10.08 Soroti-Kumi-24h'!H92)</f>
        <v>0</v>
      </c>
      <c r="I92" s="49">
        <f>AVERAGE('09.08 Soroti-Kumi-24h'!I92,'10.08 Soroti-Kumi-24h'!I92)</f>
        <v>0.5</v>
      </c>
      <c r="J92" s="49">
        <f>AVERAGE('09.08 Soroti-Kumi-24h'!J92,'10.08 Soroti-Kumi-24h'!J92)</f>
        <v>0</v>
      </c>
      <c r="K92" s="49">
        <f>AVERAGE('09.08 Soroti-Kumi-24h'!K92,'10.08 Soroti-Kumi-24h'!K92)</f>
        <v>0.5</v>
      </c>
      <c r="L92" s="49">
        <f>AVERAGE('09.08 Soroti-Kumi-24h'!L92,'10.08 Soroti-Kumi-24h'!L92)</f>
        <v>1</v>
      </c>
      <c r="M92" s="49">
        <f>AVERAGE('09.08 Soroti-Kumi-24h'!M92,'10.08 Soroti-Kumi-24h'!M92)</f>
        <v>0.5</v>
      </c>
      <c r="N92" s="49">
        <f>AVERAGE('09.08 Soroti-Kumi-24h'!N92,'10.08 Soroti-Kumi-24h'!N92)</f>
        <v>0</v>
      </c>
      <c r="O92" s="15">
        <f t="shared" si="35"/>
        <v>2.5</v>
      </c>
      <c r="P92" s="15">
        <f t="shared" si="36"/>
        <v>3</v>
      </c>
      <c r="R92" s="8"/>
      <c r="T92"/>
    </row>
    <row r="93" spans="2:20" ht="23.1" customHeight="1" x14ac:dyDescent="0.25">
      <c r="B93" s="23" t="s">
        <v>133</v>
      </c>
      <c r="C93" s="49">
        <f>AVERAGE('09.08 Soroti-Kumi-24h'!C93,'10.08 Soroti-Kumi-24h'!C93)</f>
        <v>0</v>
      </c>
      <c r="D93" s="49">
        <f>AVERAGE('09.08 Soroti-Kumi-24h'!D93,'10.08 Soroti-Kumi-24h'!D93)</f>
        <v>0.5</v>
      </c>
      <c r="E93" s="49">
        <f>AVERAGE('09.08 Soroti-Kumi-24h'!E93,'10.08 Soroti-Kumi-24h'!E93)</f>
        <v>1.5</v>
      </c>
      <c r="F93" s="49">
        <f>AVERAGE('09.08 Soroti-Kumi-24h'!F93,'10.08 Soroti-Kumi-24h'!F93)</f>
        <v>0</v>
      </c>
      <c r="G93" s="49">
        <f>AVERAGE('09.08 Soroti-Kumi-24h'!G93,'10.08 Soroti-Kumi-24h'!G93)</f>
        <v>0</v>
      </c>
      <c r="H93" s="49">
        <f>AVERAGE('09.08 Soroti-Kumi-24h'!H93,'10.08 Soroti-Kumi-24h'!H93)</f>
        <v>0.5</v>
      </c>
      <c r="I93" s="49">
        <f>AVERAGE('09.08 Soroti-Kumi-24h'!I93,'10.08 Soroti-Kumi-24h'!I93)</f>
        <v>0.5</v>
      </c>
      <c r="J93" s="49">
        <f>AVERAGE('09.08 Soroti-Kumi-24h'!J93,'10.08 Soroti-Kumi-24h'!J93)</f>
        <v>0</v>
      </c>
      <c r="K93" s="49">
        <f>AVERAGE('09.08 Soroti-Kumi-24h'!K93,'10.08 Soroti-Kumi-24h'!K93)</f>
        <v>0</v>
      </c>
      <c r="L93" s="49">
        <f>AVERAGE('09.08 Soroti-Kumi-24h'!L93,'10.08 Soroti-Kumi-24h'!L93)</f>
        <v>2.5</v>
      </c>
      <c r="M93" s="49">
        <f>AVERAGE('09.08 Soroti-Kumi-24h'!M93,'10.08 Soroti-Kumi-24h'!M93)</f>
        <v>0</v>
      </c>
      <c r="N93" s="49">
        <f>AVERAGE('09.08 Soroti-Kumi-24h'!N93,'10.08 Soroti-Kumi-24h'!N93)</f>
        <v>0</v>
      </c>
      <c r="O93" s="15">
        <f t="shared" si="35"/>
        <v>5.5</v>
      </c>
      <c r="P93" s="15">
        <f t="shared" si="36"/>
        <v>5.5</v>
      </c>
      <c r="R93" s="8"/>
      <c r="T93"/>
    </row>
    <row r="94" spans="2:20" ht="23.1" customHeight="1" x14ac:dyDescent="0.25">
      <c r="B94" s="24" t="s">
        <v>134</v>
      </c>
      <c r="C94" s="49">
        <f>AVERAGE('09.08 Soroti-Kumi-24h'!C94,'10.08 Soroti-Kumi-24h'!C94)</f>
        <v>1</v>
      </c>
      <c r="D94" s="49">
        <f>AVERAGE('09.08 Soroti-Kumi-24h'!D94,'10.08 Soroti-Kumi-24h'!D94)</f>
        <v>0</v>
      </c>
      <c r="E94" s="49">
        <f>AVERAGE('09.08 Soroti-Kumi-24h'!E94,'10.08 Soroti-Kumi-24h'!E94)</f>
        <v>0</v>
      </c>
      <c r="F94" s="49">
        <f>AVERAGE('09.08 Soroti-Kumi-24h'!F94,'10.08 Soroti-Kumi-24h'!F94)</f>
        <v>0</v>
      </c>
      <c r="G94" s="49">
        <f>AVERAGE('09.08 Soroti-Kumi-24h'!G94,'10.08 Soroti-Kumi-24h'!G94)</f>
        <v>0</v>
      </c>
      <c r="H94" s="49">
        <f>AVERAGE('09.08 Soroti-Kumi-24h'!H94,'10.08 Soroti-Kumi-24h'!H94)</f>
        <v>0</v>
      </c>
      <c r="I94" s="49">
        <f>AVERAGE('09.08 Soroti-Kumi-24h'!I94,'10.08 Soroti-Kumi-24h'!I94)</f>
        <v>0.5</v>
      </c>
      <c r="J94" s="49">
        <f>AVERAGE('09.08 Soroti-Kumi-24h'!J94,'10.08 Soroti-Kumi-24h'!J94)</f>
        <v>0</v>
      </c>
      <c r="K94" s="49">
        <f>AVERAGE('09.08 Soroti-Kumi-24h'!K94,'10.08 Soroti-Kumi-24h'!K94)</f>
        <v>0.5</v>
      </c>
      <c r="L94" s="49">
        <f>AVERAGE('09.08 Soroti-Kumi-24h'!L94,'10.08 Soroti-Kumi-24h'!L94)</f>
        <v>0.5</v>
      </c>
      <c r="M94" s="49">
        <f>AVERAGE('09.08 Soroti-Kumi-24h'!M94,'10.08 Soroti-Kumi-24h'!M94)</f>
        <v>0</v>
      </c>
      <c r="N94" s="49">
        <f>AVERAGE('09.08 Soroti-Kumi-24h'!N94,'10.08 Soroti-Kumi-24h'!N94)</f>
        <v>0</v>
      </c>
      <c r="O94" s="15">
        <f t="shared" si="35"/>
        <v>2.5</v>
      </c>
      <c r="P94" s="15">
        <f t="shared" si="36"/>
        <v>2.5</v>
      </c>
      <c r="R94" s="8"/>
      <c r="T94"/>
    </row>
    <row r="95" spans="2:20" ht="23.1" customHeight="1" x14ac:dyDescent="0.25">
      <c r="B95" s="23" t="s">
        <v>135</v>
      </c>
      <c r="C95" s="49">
        <f>AVERAGE('09.08 Soroti-Kumi-24h'!C95,'10.08 Soroti-Kumi-24h'!C95)</f>
        <v>0.5</v>
      </c>
      <c r="D95" s="49">
        <f>AVERAGE('09.08 Soroti-Kumi-24h'!D95,'10.08 Soroti-Kumi-24h'!D95)</f>
        <v>0</v>
      </c>
      <c r="E95" s="49">
        <f>AVERAGE('09.08 Soroti-Kumi-24h'!E95,'10.08 Soroti-Kumi-24h'!E95)</f>
        <v>0.5</v>
      </c>
      <c r="F95" s="49">
        <f>AVERAGE('09.08 Soroti-Kumi-24h'!F95,'10.08 Soroti-Kumi-24h'!F95)</f>
        <v>0</v>
      </c>
      <c r="G95" s="49">
        <f>AVERAGE('09.08 Soroti-Kumi-24h'!G95,'10.08 Soroti-Kumi-24h'!G95)</f>
        <v>0</v>
      </c>
      <c r="H95" s="49">
        <f>AVERAGE('09.08 Soroti-Kumi-24h'!H95,'10.08 Soroti-Kumi-24h'!H95)</f>
        <v>0.5</v>
      </c>
      <c r="I95" s="49">
        <f>AVERAGE('09.08 Soroti-Kumi-24h'!I95,'10.08 Soroti-Kumi-24h'!I95)</f>
        <v>0</v>
      </c>
      <c r="J95" s="49">
        <f>AVERAGE('09.08 Soroti-Kumi-24h'!J95,'10.08 Soroti-Kumi-24h'!J95)</f>
        <v>0</v>
      </c>
      <c r="K95" s="49">
        <f>AVERAGE('09.08 Soroti-Kumi-24h'!K95,'10.08 Soroti-Kumi-24h'!K95)</f>
        <v>0</v>
      </c>
      <c r="L95" s="49">
        <f>AVERAGE('09.08 Soroti-Kumi-24h'!L95,'10.08 Soroti-Kumi-24h'!L95)</f>
        <v>0.5</v>
      </c>
      <c r="M95" s="49">
        <f>AVERAGE('09.08 Soroti-Kumi-24h'!M95,'10.08 Soroti-Kumi-24h'!M95)</f>
        <v>0</v>
      </c>
      <c r="N95" s="49">
        <f>AVERAGE('09.08 Soroti-Kumi-24h'!N95,'10.08 Soroti-Kumi-24h'!N95)</f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25" t="s">
        <v>136</v>
      </c>
      <c r="C96" s="49">
        <f>AVERAGE('09.08 Soroti-Kumi-24h'!C96,'10.08 Soroti-Kumi-24h'!C96)</f>
        <v>0</v>
      </c>
      <c r="D96" s="49">
        <f>AVERAGE('09.08 Soroti-Kumi-24h'!D96,'10.08 Soroti-Kumi-24h'!D96)</f>
        <v>0</v>
      </c>
      <c r="E96" s="49">
        <f>AVERAGE('09.08 Soroti-Kumi-24h'!E96,'10.08 Soroti-Kumi-24h'!E96)</f>
        <v>0</v>
      </c>
      <c r="F96" s="49">
        <f>AVERAGE('09.08 Soroti-Kumi-24h'!F96,'10.08 Soroti-Kumi-24h'!F96)</f>
        <v>0</v>
      </c>
      <c r="G96" s="49">
        <f>AVERAGE('09.08 Soroti-Kumi-24h'!G96,'10.08 Soroti-Kumi-24h'!G96)</f>
        <v>0</v>
      </c>
      <c r="H96" s="49">
        <f>AVERAGE('09.08 Soroti-Kumi-24h'!H96,'10.08 Soroti-Kumi-24h'!H96)</f>
        <v>0</v>
      </c>
      <c r="I96" s="49">
        <f>AVERAGE('09.08 Soroti-Kumi-24h'!I96,'10.08 Soroti-Kumi-24h'!I96)</f>
        <v>0</v>
      </c>
      <c r="J96" s="49">
        <f>AVERAGE('09.08 Soroti-Kumi-24h'!J96,'10.08 Soroti-Kumi-24h'!J96)</f>
        <v>0</v>
      </c>
      <c r="K96" s="49">
        <f>AVERAGE('09.08 Soroti-Kumi-24h'!K96,'10.08 Soroti-Kumi-24h'!K96)</f>
        <v>0</v>
      </c>
      <c r="L96" s="49">
        <f>AVERAGE('09.08 Soroti-Kumi-24h'!L96,'10.08 Soroti-Kumi-24h'!L96)</f>
        <v>0.5</v>
      </c>
      <c r="M96" s="49">
        <f>AVERAGE('09.08 Soroti-Kumi-24h'!M96,'10.08 Soroti-Kumi-24h'!M96)</f>
        <v>0</v>
      </c>
      <c r="N96" s="49">
        <f>AVERAGE('09.08 Soroti-Kumi-24h'!N96,'10.08 Soroti-Kumi-24h'!N96)</f>
        <v>0</v>
      </c>
      <c r="O96" s="15">
        <f t="shared" si="35"/>
        <v>0.5</v>
      </c>
      <c r="P96" s="15">
        <f t="shared" si="36"/>
        <v>0.5</v>
      </c>
      <c r="R96" s="8"/>
      <c r="T96"/>
    </row>
    <row r="97" spans="2:20" ht="23.1" customHeight="1" x14ac:dyDescent="0.25">
      <c r="B97" s="23" t="s">
        <v>137</v>
      </c>
      <c r="C97" s="49">
        <f>AVERAGE('09.08 Soroti-Kumi-24h'!C97,'10.08 Soroti-Kumi-24h'!C97)</f>
        <v>0</v>
      </c>
      <c r="D97" s="49">
        <f>AVERAGE('09.08 Soroti-Kumi-24h'!D97,'10.08 Soroti-Kumi-24h'!D97)</f>
        <v>0</v>
      </c>
      <c r="E97" s="49">
        <f>AVERAGE('09.08 Soroti-Kumi-24h'!E97,'10.08 Soroti-Kumi-24h'!E97)</f>
        <v>0</v>
      </c>
      <c r="F97" s="49">
        <f>AVERAGE('09.08 Soroti-Kumi-24h'!F97,'10.08 Soroti-Kumi-24h'!F97)</f>
        <v>0</v>
      </c>
      <c r="G97" s="49">
        <f>AVERAGE('09.08 Soroti-Kumi-24h'!G97,'10.08 Soroti-Kumi-24h'!G97)</f>
        <v>0</v>
      </c>
      <c r="H97" s="49">
        <f>AVERAGE('09.08 Soroti-Kumi-24h'!H97,'10.08 Soroti-Kumi-24h'!H97)</f>
        <v>0</v>
      </c>
      <c r="I97" s="49">
        <f>AVERAGE('09.08 Soroti-Kumi-24h'!I97,'10.08 Soroti-Kumi-24h'!I97)</f>
        <v>1</v>
      </c>
      <c r="J97" s="49">
        <f>AVERAGE('09.08 Soroti-Kumi-24h'!J97,'10.08 Soroti-Kumi-24h'!J97)</f>
        <v>0</v>
      </c>
      <c r="K97" s="49">
        <f>AVERAGE('09.08 Soroti-Kumi-24h'!K97,'10.08 Soroti-Kumi-24h'!K97)</f>
        <v>0.5</v>
      </c>
      <c r="L97" s="49">
        <f>AVERAGE('09.08 Soroti-Kumi-24h'!L97,'10.08 Soroti-Kumi-24h'!L97)</f>
        <v>0</v>
      </c>
      <c r="M97" s="49">
        <f>AVERAGE('09.08 Soroti-Kumi-24h'!M97,'10.08 Soroti-Kumi-24h'!M97)</f>
        <v>0</v>
      </c>
      <c r="N97" s="49">
        <f>AVERAGE('09.08 Soroti-Kumi-24h'!N97,'10.08 Soroti-Kumi-24h'!N97)</f>
        <v>0</v>
      </c>
      <c r="O97" s="15">
        <f t="shared" si="35"/>
        <v>1.5</v>
      </c>
      <c r="P97" s="15">
        <f t="shared" si="36"/>
        <v>1.5</v>
      </c>
      <c r="R97" s="8"/>
      <c r="T97"/>
    </row>
    <row r="98" spans="2:20" ht="23.1" customHeight="1" x14ac:dyDescent="0.25">
      <c r="B98" s="24" t="s">
        <v>138</v>
      </c>
      <c r="C98" s="49">
        <f>AVERAGE('09.08 Soroti-Kumi-24h'!C98,'10.08 Soroti-Kumi-24h'!C98)</f>
        <v>0</v>
      </c>
      <c r="D98" s="49">
        <f>AVERAGE('09.08 Soroti-Kumi-24h'!D98,'10.08 Soroti-Kumi-24h'!D98)</f>
        <v>0</v>
      </c>
      <c r="E98" s="49">
        <f>AVERAGE('09.08 Soroti-Kumi-24h'!E98,'10.08 Soroti-Kumi-24h'!E98)</f>
        <v>1</v>
      </c>
      <c r="F98" s="49">
        <f>AVERAGE('09.08 Soroti-Kumi-24h'!F98,'10.08 Soroti-Kumi-24h'!F98)</f>
        <v>0</v>
      </c>
      <c r="G98" s="49">
        <f>AVERAGE('09.08 Soroti-Kumi-24h'!G98,'10.08 Soroti-Kumi-24h'!G98)</f>
        <v>0</v>
      </c>
      <c r="H98" s="49">
        <f>AVERAGE('09.08 Soroti-Kumi-24h'!H98,'10.08 Soroti-Kumi-24h'!H98)</f>
        <v>0.5</v>
      </c>
      <c r="I98" s="49">
        <f>AVERAGE('09.08 Soroti-Kumi-24h'!I98,'10.08 Soroti-Kumi-24h'!I98)</f>
        <v>0.5</v>
      </c>
      <c r="J98" s="49">
        <f>AVERAGE('09.08 Soroti-Kumi-24h'!J98,'10.08 Soroti-Kumi-24h'!J98)</f>
        <v>0</v>
      </c>
      <c r="K98" s="49">
        <f>AVERAGE('09.08 Soroti-Kumi-24h'!K98,'10.08 Soroti-Kumi-24h'!K98)</f>
        <v>0</v>
      </c>
      <c r="L98" s="49">
        <f>AVERAGE('09.08 Soroti-Kumi-24h'!L98,'10.08 Soroti-Kumi-24h'!L98)</f>
        <v>2</v>
      </c>
      <c r="M98" s="49">
        <f>AVERAGE('09.08 Soroti-Kumi-24h'!M98,'10.08 Soroti-Kumi-24h'!M98)</f>
        <v>0</v>
      </c>
      <c r="N98" s="49">
        <f>AVERAGE('09.08 Soroti-Kumi-24h'!N98,'10.08 Soroti-Kumi-24h'!N98)</f>
        <v>0</v>
      </c>
      <c r="O98" s="15">
        <f t="shared" si="35"/>
        <v>4</v>
      </c>
      <c r="P98" s="15">
        <f t="shared" si="36"/>
        <v>4</v>
      </c>
      <c r="R98" s="8"/>
      <c r="T98"/>
    </row>
    <row r="99" spans="2:20" ht="23.1" customHeight="1" x14ac:dyDescent="0.25">
      <c r="B99" s="23" t="s">
        <v>139</v>
      </c>
      <c r="C99" s="49">
        <f>AVERAGE('09.08 Soroti-Kumi-24h'!C99,'10.08 Soroti-Kumi-24h'!C99)</f>
        <v>0</v>
      </c>
      <c r="D99" s="49">
        <f>AVERAGE('09.08 Soroti-Kumi-24h'!D99,'10.08 Soroti-Kumi-24h'!D99)</f>
        <v>0.5</v>
      </c>
      <c r="E99" s="49">
        <f>AVERAGE('09.08 Soroti-Kumi-24h'!E99,'10.08 Soroti-Kumi-24h'!E99)</f>
        <v>1.5</v>
      </c>
      <c r="F99" s="49">
        <f>AVERAGE('09.08 Soroti-Kumi-24h'!F99,'10.08 Soroti-Kumi-24h'!F99)</f>
        <v>0</v>
      </c>
      <c r="G99" s="49">
        <f>AVERAGE('09.08 Soroti-Kumi-24h'!G99,'10.08 Soroti-Kumi-24h'!G99)</f>
        <v>0</v>
      </c>
      <c r="H99" s="49">
        <f>AVERAGE('09.08 Soroti-Kumi-24h'!H99,'10.08 Soroti-Kumi-24h'!H99)</f>
        <v>0.5</v>
      </c>
      <c r="I99" s="49">
        <f>AVERAGE('09.08 Soroti-Kumi-24h'!I99,'10.08 Soroti-Kumi-24h'!I99)</f>
        <v>0</v>
      </c>
      <c r="J99" s="49">
        <f>AVERAGE('09.08 Soroti-Kumi-24h'!J99,'10.08 Soroti-Kumi-24h'!J99)</f>
        <v>0</v>
      </c>
      <c r="K99" s="49">
        <f>AVERAGE('09.08 Soroti-Kumi-24h'!K99,'10.08 Soroti-Kumi-24h'!K99)</f>
        <v>0</v>
      </c>
      <c r="L99" s="49">
        <f>AVERAGE('09.08 Soroti-Kumi-24h'!L99,'10.08 Soroti-Kumi-24h'!L99)</f>
        <v>0.5</v>
      </c>
      <c r="M99" s="49">
        <f>AVERAGE('09.08 Soroti-Kumi-24h'!M99,'10.08 Soroti-Kumi-24h'!M99)</f>
        <v>1</v>
      </c>
      <c r="N99" s="49">
        <f>AVERAGE('09.08 Soroti-Kumi-24h'!N99,'10.08 Soroti-Kumi-24h'!N99)</f>
        <v>0</v>
      </c>
      <c r="O99" s="15">
        <f t="shared" si="35"/>
        <v>3</v>
      </c>
      <c r="P99" s="15">
        <f t="shared" si="36"/>
        <v>4</v>
      </c>
      <c r="R99" s="8"/>
      <c r="T99"/>
    </row>
    <row r="100" spans="2:20" ht="23.1" customHeight="1" x14ac:dyDescent="0.25">
      <c r="B100" s="25" t="s">
        <v>140</v>
      </c>
      <c r="C100" s="49">
        <f>AVERAGE('09.08 Soroti-Kumi-24h'!C100,'10.08 Soroti-Kumi-24h'!C100)</f>
        <v>0</v>
      </c>
      <c r="D100" s="49">
        <f>AVERAGE('09.08 Soroti-Kumi-24h'!D100,'10.08 Soroti-Kumi-24h'!D100)</f>
        <v>0</v>
      </c>
      <c r="E100" s="49">
        <f>AVERAGE('09.08 Soroti-Kumi-24h'!E100,'10.08 Soroti-Kumi-24h'!E100)</f>
        <v>0.5</v>
      </c>
      <c r="F100" s="49">
        <f>AVERAGE('09.08 Soroti-Kumi-24h'!F100,'10.08 Soroti-Kumi-24h'!F100)</f>
        <v>0</v>
      </c>
      <c r="G100" s="49">
        <f>AVERAGE('09.08 Soroti-Kumi-24h'!G100,'10.08 Soroti-Kumi-24h'!G100)</f>
        <v>0</v>
      </c>
      <c r="H100" s="49">
        <f>AVERAGE('09.08 Soroti-Kumi-24h'!H100,'10.08 Soroti-Kumi-24h'!H100)</f>
        <v>0</v>
      </c>
      <c r="I100" s="49">
        <f>AVERAGE('09.08 Soroti-Kumi-24h'!I100,'10.08 Soroti-Kumi-24h'!I100)</f>
        <v>0.5</v>
      </c>
      <c r="J100" s="49">
        <f>AVERAGE('09.08 Soroti-Kumi-24h'!J100,'10.08 Soroti-Kumi-24h'!J100)</f>
        <v>0.5</v>
      </c>
      <c r="K100" s="49">
        <f>AVERAGE('09.08 Soroti-Kumi-24h'!K100,'10.08 Soroti-Kumi-24h'!K100)</f>
        <v>1</v>
      </c>
      <c r="L100" s="49">
        <f>AVERAGE('09.08 Soroti-Kumi-24h'!L100,'10.08 Soroti-Kumi-24h'!L100)</f>
        <v>0.5</v>
      </c>
      <c r="M100" s="49">
        <f>AVERAGE('09.08 Soroti-Kumi-24h'!M100,'10.08 Soroti-Kumi-24h'!M100)</f>
        <v>0</v>
      </c>
      <c r="N100" s="49">
        <f>AVERAGE('09.08 Soroti-Kumi-24h'!N100,'10.08 Soroti-Kumi-24h'!N100)</f>
        <v>0</v>
      </c>
      <c r="O100" s="15">
        <f t="shared" si="35"/>
        <v>3</v>
      </c>
      <c r="P100" s="15">
        <f t="shared" si="36"/>
        <v>3</v>
      </c>
      <c r="R100" s="8"/>
      <c r="T100"/>
    </row>
    <row r="101" spans="2:20" ht="23.1" customHeight="1" x14ac:dyDescent="0.25">
      <c r="B101" s="23" t="s">
        <v>141</v>
      </c>
      <c r="C101" s="49">
        <f>AVERAGE('09.08 Soroti-Kumi-24h'!C101,'10.08 Soroti-Kumi-24h'!C101)</f>
        <v>0</v>
      </c>
      <c r="D101" s="49">
        <f>AVERAGE('09.08 Soroti-Kumi-24h'!D101,'10.08 Soroti-Kumi-24h'!D101)</f>
        <v>0</v>
      </c>
      <c r="E101" s="49">
        <f>AVERAGE('09.08 Soroti-Kumi-24h'!E101,'10.08 Soroti-Kumi-24h'!E101)</f>
        <v>0</v>
      </c>
      <c r="F101" s="49">
        <f>AVERAGE('09.08 Soroti-Kumi-24h'!F101,'10.08 Soroti-Kumi-24h'!F101)</f>
        <v>0.5</v>
      </c>
      <c r="G101" s="49">
        <f>AVERAGE('09.08 Soroti-Kumi-24h'!G101,'10.08 Soroti-Kumi-24h'!G101)</f>
        <v>0</v>
      </c>
      <c r="H101" s="49">
        <f>AVERAGE('09.08 Soroti-Kumi-24h'!H101,'10.08 Soroti-Kumi-24h'!H101)</f>
        <v>0</v>
      </c>
      <c r="I101" s="49">
        <f>AVERAGE('09.08 Soroti-Kumi-24h'!I101,'10.08 Soroti-Kumi-24h'!I101)</f>
        <v>0.5</v>
      </c>
      <c r="J101" s="49">
        <f>AVERAGE('09.08 Soroti-Kumi-24h'!J101,'10.08 Soroti-Kumi-24h'!J101)</f>
        <v>0</v>
      </c>
      <c r="K101" s="49">
        <f>AVERAGE('09.08 Soroti-Kumi-24h'!K101,'10.08 Soroti-Kumi-24h'!K101)</f>
        <v>0</v>
      </c>
      <c r="L101" s="49">
        <f>AVERAGE('09.08 Soroti-Kumi-24h'!L101,'10.08 Soroti-Kumi-24h'!L101)</f>
        <v>0.5</v>
      </c>
      <c r="M101" s="49">
        <f>AVERAGE('09.08 Soroti-Kumi-24h'!M101,'10.08 Soroti-Kumi-24h'!M101)</f>
        <v>0.5</v>
      </c>
      <c r="N101" s="49">
        <f>AVERAGE('09.08 Soroti-Kumi-24h'!N101,'10.08 Soroti-Kumi-24h'!N101)</f>
        <v>0</v>
      </c>
      <c r="O101" s="15">
        <f t="shared" si="35"/>
        <v>1.5</v>
      </c>
      <c r="P101" s="15">
        <f t="shared" si="36"/>
        <v>2</v>
      </c>
      <c r="R101" s="8"/>
      <c r="T101"/>
    </row>
    <row r="102" spans="2:20" ht="23.1" customHeight="1" x14ac:dyDescent="0.25">
      <c r="B102" s="24" t="s">
        <v>142</v>
      </c>
      <c r="C102" s="49">
        <f>AVERAGE('09.08 Soroti-Kumi-24h'!C102,'10.08 Soroti-Kumi-24h'!C102)</f>
        <v>1</v>
      </c>
      <c r="D102" s="49">
        <f>AVERAGE('09.08 Soroti-Kumi-24h'!D102,'10.08 Soroti-Kumi-24h'!D102)</f>
        <v>0</v>
      </c>
      <c r="E102" s="49">
        <f>AVERAGE('09.08 Soroti-Kumi-24h'!E102,'10.08 Soroti-Kumi-24h'!E102)</f>
        <v>0</v>
      </c>
      <c r="F102" s="49">
        <f>AVERAGE('09.08 Soroti-Kumi-24h'!F102,'10.08 Soroti-Kumi-24h'!F102)</f>
        <v>0.5</v>
      </c>
      <c r="G102" s="49">
        <f>AVERAGE('09.08 Soroti-Kumi-24h'!G102,'10.08 Soroti-Kumi-24h'!G102)</f>
        <v>0</v>
      </c>
      <c r="H102" s="49">
        <f>AVERAGE('09.08 Soroti-Kumi-24h'!H102,'10.08 Soroti-Kumi-24h'!H102)</f>
        <v>0</v>
      </c>
      <c r="I102" s="49">
        <f>AVERAGE('09.08 Soroti-Kumi-24h'!I102,'10.08 Soroti-Kumi-24h'!I102)</f>
        <v>0</v>
      </c>
      <c r="J102" s="49">
        <f>AVERAGE('09.08 Soroti-Kumi-24h'!J102,'10.08 Soroti-Kumi-24h'!J102)</f>
        <v>0</v>
      </c>
      <c r="K102" s="49">
        <f>AVERAGE('09.08 Soroti-Kumi-24h'!K102,'10.08 Soroti-Kumi-24h'!K102)</f>
        <v>0</v>
      </c>
      <c r="L102" s="49">
        <f>AVERAGE('09.08 Soroti-Kumi-24h'!L102,'10.08 Soroti-Kumi-24h'!L102)</f>
        <v>0.5</v>
      </c>
      <c r="M102" s="49">
        <f>AVERAGE('09.08 Soroti-Kumi-24h'!M102,'10.08 Soroti-Kumi-24h'!M102)</f>
        <v>0.5</v>
      </c>
      <c r="N102" s="49">
        <f>AVERAGE('09.08 Soroti-Kumi-24h'!N102,'10.08 Soroti-Kumi-24h'!N102)</f>
        <v>0</v>
      </c>
      <c r="O102" s="15">
        <f t="shared" si="35"/>
        <v>2</v>
      </c>
      <c r="P102" s="15">
        <f t="shared" si="36"/>
        <v>2.5</v>
      </c>
      <c r="R102" s="8"/>
      <c r="T102"/>
    </row>
    <row r="103" spans="2:20" ht="23.1" customHeight="1" x14ac:dyDescent="0.25">
      <c r="B103" s="23" t="s">
        <v>143</v>
      </c>
      <c r="C103" s="49">
        <f>AVERAGE('09.08 Soroti-Kumi-24h'!C103,'10.08 Soroti-Kumi-24h'!C103)</f>
        <v>0.5</v>
      </c>
      <c r="D103" s="49">
        <f>AVERAGE('09.08 Soroti-Kumi-24h'!D103,'10.08 Soroti-Kumi-24h'!D103)</f>
        <v>0.5</v>
      </c>
      <c r="E103" s="49">
        <f>AVERAGE('09.08 Soroti-Kumi-24h'!E103,'10.08 Soroti-Kumi-24h'!E103)</f>
        <v>1.5</v>
      </c>
      <c r="F103" s="49">
        <f>AVERAGE('09.08 Soroti-Kumi-24h'!F103,'10.08 Soroti-Kumi-24h'!F103)</f>
        <v>0.5</v>
      </c>
      <c r="G103" s="49">
        <f>AVERAGE('09.08 Soroti-Kumi-24h'!G103,'10.08 Soroti-Kumi-24h'!G103)</f>
        <v>0</v>
      </c>
      <c r="H103" s="49">
        <f>AVERAGE('09.08 Soroti-Kumi-24h'!H103,'10.08 Soroti-Kumi-24h'!H103)</f>
        <v>0</v>
      </c>
      <c r="I103" s="49">
        <f>AVERAGE('09.08 Soroti-Kumi-24h'!I103,'10.08 Soroti-Kumi-24h'!I103)</f>
        <v>1.5</v>
      </c>
      <c r="J103" s="49">
        <f>AVERAGE('09.08 Soroti-Kumi-24h'!J103,'10.08 Soroti-Kumi-24h'!J103)</f>
        <v>0</v>
      </c>
      <c r="K103" s="49">
        <f>AVERAGE('09.08 Soroti-Kumi-24h'!K103,'10.08 Soroti-Kumi-24h'!K103)</f>
        <v>0</v>
      </c>
      <c r="L103" s="49">
        <f>AVERAGE('09.08 Soroti-Kumi-24h'!L103,'10.08 Soroti-Kumi-24h'!L103)</f>
        <v>1.5</v>
      </c>
      <c r="M103" s="49">
        <f>AVERAGE('09.08 Soroti-Kumi-24h'!M103,'10.08 Soroti-Kumi-24h'!M103)</f>
        <v>2.5</v>
      </c>
      <c r="N103" s="49">
        <f>AVERAGE('09.08 Soroti-Kumi-24h'!N103,'10.08 Soroti-Kumi-24h'!N103)</f>
        <v>0</v>
      </c>
      <c r="O103" s="15">
        <f t="shared" si="35"/>
        <v>6</v>
      </c>
      <c r="P103" s="15">
        <f t="shared" si="36"/>
        <v>8.5</v>
      </c>
      <c r="R103" s="8"/>
      <c r="T103"/>
    </row>
    <row r="104" spans="2:20" ht="23.1" customHeight="1" x14ac:dyDescent="0.25">
      <c r="B104" s="25" t="s">
        <v>144</v>
      </c>
      <c r="C104" s="49">
        <f>AVERAGE('09.08 Soroti-Kumi-24h'!C104,'10.08 Soroti-Kumi-24h'!C104)</f>
        <v>1</v>
      </c>
      <c r="D104" s="49">
        <f>AVERAGE('09.08 Soroti-Kumi-24h'!D104,'10.08 Soroti-Kumi-24h'!D104)</f>
        <v>0</v>
      </c>
      <c r="E104" s="49">
        <f>AVERAGE('09.08 Soroti-Kumi-24h'!E104,'10.08 Soroti-Kumi-24h'!E104)</f>
        <v>1</v>
      </c>
      <c r="F104" s="49">
        <f>AVERAGE('09.08 Soroti-Kumi-24h'!F104,'10.08 Soroti-Kumi-24h'!F104)</f>
        <v>1</v>
      </c>
      <c r="G104" s="49">
        <f>AVERAGE('09.08 Soroti-Kumi-24h'!G104,'10.08 Soroti-Kumi-24h'!G104)</f>
        <v>0</v>
      </c>
      <c r="H104" s="49">
        <f>AVERAGE('09.08 Soroti-Kumi-24h'!H104,'10.08 Soroti-Kumi-24h'!H104)</f>
        <v>0</v>
      </c>
      <c r="I104" s="49">
        <f>AVERAGE('09.08 Soroti-Kumi-24h'!I104,'10.08 Soroti-Kumi-24h'!I104)</f>
        <v>0.5</v>
      </c>
      <c r="J104" s="49">
        <f>AVERAGE('09.08 Soroti-Kumi-24h'!J104,'10.08 Soroti-Kumi-24h'!J104)</f>
        <v>0.5</v>
      </c>
      <c r="K104" s="49">
        <f>AVERAGE('09.08 Soroti-Kumi-24h'!K104,'10.08 Soroti-Kumi-24h'!K104)</f>
        <v>0.5</v>
      </c>
      <c r="L104" s="49">
        <f>AVERAGE('09.08 Soroti-Kumi-24h'!L104,'10.08 Soroti-Kumi-24h'!L104)</f>
        <v>1.5</v>
      </c>
      <c r="M104" s="49">
        <f>AVERAGE('09.08 Soroti-Kumi-24h'!M104,'10.08 Soroti-Kumi-24h'!M104)</f>
        <v>3</v>
      </c>
      <c r="N104" s="49">
        <f>AVERAGE('09.08 Soroti-Kumi-24h'!N104,'10.08 Soroti-Kumi-24h'!N104)</f>
        <v>0</v>
      </c>
      <c r="O104" s="15">
        <f t="shared" si="35"/>
        <v>6</v>
      </c>
      <c r="P104" s="15">
        <f t="shared" si="36"/>
        <v>9</v>
      </c>
      <c r="R104" s="8"/>
      <c r="T104"/>
    </row>
    <row r="105" spans="2:20" ht="23.1" customHeight="1" x14ac:dyDescent="0.25">
      <c r="B105" s="23" t="s">
        <v>145</v>
      </c>
      <c r="C105" s="49">
        <f>AVERAGE('09.08 Soroti-Kumi-24h'!C105,'10.08 Soroti-Kumi-24h'!C105)</f>
        <v>0.5</v>
      </c>
      <c r="D105" s="49">
        <f>AVERAGE('09.08 Soroti-Kumi-24h'!D105,'10.08 Soroti-Kumi-24h'!D105)</f>
        <v>0</v>
      </c>
      <c r="E105" s="49">
        <f>AVERAGE('09.08 Soroti-Kumi-24h'!E105,'10.08 Soroti-Kumi-24h'!E105)</f>
        <v>0.5</v>
      </c>
      <c r="F105" s="49">
        <f>AVERAGE('09.08 Soroti-Kumi-24h'!F105,'10.08 Soroti-Kumi-24h'!F105)</f>
        <v>1.5</v>
      </c>
      <c r="G105" s="49">
        <f>AVERAGE('09.08 Soroti-Kumi-24h'!G105,'10.08 Soroti-Kumi-24h'!G105)</f>
        <v>0</v>
      </c>
      <c r="H105" s="49">
        <f>AVERAGE('09.08 Soroti-Kumi-24h'!H105,'10.08 Soroti-Kumi-24h'!H105)</f>
        <v>0</v>
      </c>
      <c r="I105" s="49">
        <f>AVERAGE('09.08 Soroti-Kumi-24h'!I105,'10.08 Soroti-Kumi-24h'!I105)</f>
        <v>1.5</v>
      </c>
      <c r="J105" s="49">
        <f>AVERAGE('09.08 Soroti-Kumi-24h'!J105,'10.08 Soroti-Kumi-24h'!J105)</f>
        <v>0.5</v>
      </c>
      <c r="K105" s="49">
        <f>AVERAGE('09.08 Soroti-Kumi-24h'!K105,'10.08 Soroti-Kumi-24h'!K105)</f>
        <v>0</v>
      </c>
      <c r="L105" s="49">
        <f>AVERAGE('09.08 Soroti-Kumi-24h'!L105,'10.08 Soroti-Kumi-24h'!L105)</f>
        <v>3</v>
      </c>
      <c r="M105" s="49">
        <f>AVERAGE('09.08 Soroti-Kumi-24h'!M105,'10.08 Soroti-Kumi-24h'!M105)</f>
        <v>4</v>
      </c>
      <c r="N105" s="49">
        <f>AVERAGE('09.08 Soroti-Kumi-24h'!N105,'10.08 Soroti-Kumi-24h'!N105)</f>
        <v>0</v>
      </c>
      <c r="O105" s="15">
        <f t="shared" si="35"/>
        <v>7.5</v>
      </c>
      <c r="P105" s="15">
        <f t="shared" si="36"/>
        <v>11.5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80.928571428571431</v>
      </c>
      <c r="D106" s="16">
        <f t="shared" ref="D106:P106" si="37">SUM(D10:D105)</f>
        <v>51.285714285714292</v>
      </c>
      <c r="E106" s="16">
        <f t="shared" si="37"/>
        <v>140.64285714285717</v>
      </c>
      <c r="F106" s="16">
        <f t="shared" si="37"/>
        <v>128.57142857142858</v>
      </c>
      <c r="G106" s="16">
        <f t="shared" si="37"/>
        <v>3.0714285714285707</v>
      </c>
      <c r="H106" s="16">
        <f t="shared" si="37"/>
        <v>32.857142857142854</v>
      </c>
      <c r="I106" s="16">
        <f t="shared" si="37"/>
        <v>112.14285714285715</v>
      </c>
      <c r="J106" s="16">
        <f t="shared" si="37"/>
        <v>29.428571428571431</v>
      </c>
      <c r="K106" s="16">
        <f t="shared" si="37"/>
        <v>12.142857142857142</v>
      </c>
      <c r="L106" s="16">
        <f t="shared" si="37"/>
        <v>166.5</v>
      </c>
      <c r="M106" s="16">
        <f t="shared" si="37"/>
        <v>276.42857142857144</v>
      </c>
      <c r="N106" s="16">
        <f t="shared" si="37"/>
        <v>0.42857142857142855</v>
      </c>
      <c r="O106" s="16">
        <f t="shared" si="37"/>
        <v>758</v>
      </c>
      <c r="P106" s="16">
        <f t="shared" si="37"/>
        <v>1034.4285714285716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7.8235050407402279E-2</v>
      </c>
      <c r="D107" s="43">
        <f t="shared" si="38"/>
        <v>4.9578787460295537E-2</v>
      </c>
      <c r="E107" s="43">
        <f t="shared" si="38"/>
        <v>0.13596188371771856</v>
      </c>
      <c r="F107" s="43">
        <f t="shared" si="38"/>
        <v>0.12429222483082447</v>
      </c>
      <c r="G107" s="43">
        <f t="shared" si="38"/>
        <v>2.9692031487363615E-3</v>
      </c>
      <c r="H107" s="43">
        <f t="shared" si="38"/>
        <v>3.1763568567877355E-2</v>
      </c>
      <c r="I107" s="43">
        <f t="shared" si="38"/>
        <v>0.10841044054688578</v>
      </c>
      <c r="J107" s="43">
        <f t="shared" si="38"/>
        <v>2.8449109239055376E-2</v>
      </c>
      <c r="K107" s="43">
        <f t="shared" si="38"/>
        <v>1.1738710122911198E-2</v>
      </c>
      <c r="L107" s="43">
        <f t="shared" si="38"/>
        <v>0.16095843115591768</v>
      </c>
      <c r="M107" s="43">
        <f t="shared" si="38"/>
        <v>0.26722828338627258</v>
      </c>
      <c r="N107" s="43">
        <f t="shared" si="38"/>
        <v>4.1430741610274817E-4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0.10676592536750848</v>
      </c>
      <c r="D108" s="44">
        <f t="shared" ref="D108:N108" si="39">D106/$O$106</f>
        <v>6.7659253675084824E-2</v>
      </c>
      <c r="E108" s="44">
        <f t="shared" si="39"/>
        <v>0.18554466641537884</v>
      </c>
      <c r="F108" s="44">
        <f t="shared" si="39"/>
        <v>0.16961929890689786</v>
      </c>
      <c r="G108" s="44">
        <f t="shared" si="39"/>
        <v>4.0520165849981145E-3</v>
      </c>
      <c r="H108" s="44">
        <f t="shared" si="39"/>
        <v>4.3347154165096116E-2</v>
      </c>
      <c r="I108" s="44">
        <f t="shared" si="39"/>
        <v>0.14794572182434981</v>
      </c>
      <c r="J108" s="44">
        <f t="shared" si="39"/>
        <v>3.882397286091218E-2</v>
      </c>
      <c r="K108" s="44">
        <f t="shared" si="39"/>
        <v>1.6019600452318129E-2</v>
      </c>
      <c r="L108" s="44">
        <f t="shared" si="39"/>
        <v>0.21965699208443271</v>
      </c>
      <c r="M108" s="44"/>
      <c r="N108" s="44">
        <f t="shared" si="39"/>
        <v>5.6539766302299277E-4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M46" zoomScale="60" workbookViewId="0">
      <selection activeCell="AF53" sqref="AF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'14.08 Soroti-Kumi'!C3:G3</f>
        <v>MCC - C4 - STN118 - KUMI SOROTI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'Avg Week Soroti-Kumi'!G5:H5</f>
        <v>Mukura</v>
      </c>
      <c r="H5" s="67"/>
      <c r="I5" s="14"/>
      <c r="J5" s="2" t="s">
        <v>5</v>
      </c>
      <c r="K5" s="66" t="str">
        <f>'Avg Week Soroti-Kumi'!K5:L5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Soroti-Kumi'!K6:L6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Kumi-Soroti'!C10+'Avg Week Soroti-Kumi'!C10</f>
        <v>0.8571428571428571</v>
      </c>
      <c r="D10" s="49">
        <f>'Avg Week Kumi-Soroti'!D10+'Avg Week Soroti-Kumi'!D10</f>
        <v>0.5714285714285714</v>
      </c>
      <c r="E10" s="49">
        <f>'Avg Week Kumi-Soroti'!E10+'Avg Week Soroti-Kumi'!E10</f>
        <v>2.1428571428571428</v>
      </c>
      <c r="F10" s="49">
        <f>'Avg Week Kumi-Soroti'!F10+'Avg Week Soroti-Kumi'!F10</f>
        <v>1.2857142857142856</v>
      </c>
      <c r="G10" s="49">
        <f>'Avg Week Kumi-Soroti'!G10+'Avg Week Soroti-Kumi'!G10</f>
        <v>0.14285714285714285</v>
      </c>
      <c r="H10" s="49">
        <f>'Avg Week Kumi-Soroti'!H10+'Avg Week Soroti-Kumi'!H10</f>
        <v>0.42857142857142855</v>
      </c>
      <c r="I10" s="49">
        <f>'Avg Week Kumi-Soroti'!I10+'Avg Week Soroti-Kumi'!I10</f>
        <v>1.2857142857142856</v>
      </c>
      <c r="J10" s="49">
        <f>'Avg Week Kumi-Soroti'!J10+'Avg Week Soroti-Kumi'!J10</f>
        <v>0.2857142857142857</v>
      </c>
      <c r="K10" s="49">
        <f>'Avg Week Kumi-Soroti'!K10+'Avg Week Soroti-Kumi'!K10</f>
        <v>0.14285714285714285</v>
      </c>
      <c r="L10" s="49">
        <f>'Avg Week Kumi-Soroti'!L10+'Avg Week Soroti-Kumi'!L10</f>
        <v>2</v>
      </c>
      <c r="M10" s="49">
        <f>'Avg Week Kumi-Soroti'!M10+'Avg Week Soroti-Kumi'!M10</f>
        <v>5.8571428571428577</v>
      </c>
      <c r="N10" s="49">
        <f>'Avg Week Kumi-Soroti'!N10+'Avg Week Soroti-Kumi'!N10</f>
        <v>0</v>
      </c>
      <c r="O10" s="15">
        <f t="shared" ref="O10:O73" si="0">SUM(C10:L10,N10)</f>
        <v>9.1428571428571423</v>
      </c>
      <c r="P10" s="15">
        <f t="shared" ref="P10:P73" si="1">SUM(C10:N10)</f>
        <v>15</v>
      </c>
      <c r="R10" s="1" t="s">
        <v>6</v>
      </c>
      <c r="S10" s="17">
        <f t="shared" ref="S10:AF10" si="2">SUM(C10:C13)</f>
        <v>6.2857142857142856</v>
      </c>
      <c r="T10" s="17">
        <f t="shared" si="2"/>
        <v>1.9999999999999998</v>
      </c>
      <c r="U10" s="17">
        <f t="shared" si="2"/>
        <v>9</v>
      </c>
      <c r="V10" s="17">
        <f t="shared" si="2"/>
        <v>10.142857142857142</v>
      </c>
      <c r="W10" s="17">
        <f t="shared" si="2"/>
        <v>0.71428571428571419</v>
      </c>
      <c r="X10" s="17">
        <f t="shared" si="2"/>
        <v>3</v>
      </c>
      <c r="Y10" s="17">
        <f t="shared" si="2"/>
        <v>8.1428571428571423</v>
      </c>
      <c r="Z10" s="17">
        <f t="shared" si="2"/>
        <v>2.8571428571428568</v>
      </c>
      <c r="AA10" s="17">
        <f t="shared" si="2"/>
        <v>0.14285714285714285</v>
      </c>
      <c r="AB10" s="17">
        <f t="shared" si="2"/>
        <v>9.4285714285714288</v>
      </c>
      <c r="AC10" s="17">
        <f t="shared" si="2"/>
        <v>39.857142857142861</v>
      </c>
      <c r="AD10" s="17">
        <f t="shared" si="2"/>
        <v>0</v>
      </c>
      <c r="AE10" s="31">
        <f t="shared" si="2"/>
        <v>51.714285714285722</v>
      </c>
      <c r="AF10" s="31">
        <f t="shared" si="2"/>
        <v>91.571428571428569</v>
      </c>
    </row>
    <row r="11" spans="2:32" s="6" customFormat="1" ht="23.1" customHeight="1" x14ac:dyDescent="0.25">
      <c r="B11" s="23" t="s">
        <v>38</v>
      </c>
      <c r="C11" s="49">
        <f>'Avg Week Kumi-Soroti'!C11+'Avg Week Soroti-Kumi'!C11</f>
        <v>2.7142857142857144</v>
      </c>
      <c r="D11" s="49">
        <f>'Avg Week Kumi-Soroti'!D11+'Avg Week Soroti-Kumi'!D11</f>
        <v>0.14285714285714285</v>
      </c>
      <c r="E11" s="49">
        <f>'Avg Week Kumi-Soroti'!E11+'Avg Week Soroti-Kumi'!E11</f>
        <v>1.7142857142857142</v>
      </c>
      <c r="F11" s="49">
        <f>'Avg Week Kumi-Soroti'!F11+'Avg Week Soroti-Kumi'!F11</f>
        <v>3</v>
      </c>
      <c r="G11" s="49">
        <f>'Avg Week Kumi-Soroti'!G11+'Avg Week Soroti-Kumi'!G11</f>
        <v>0.14285714285714285</v>
      </c>
      <c r="H11" s="49">
        <f>'Avg Week Kumi-Soroti'!H11+'Avg Week Soroti-Kumi'!H11</f>
        <v>1.2857142857142856</v>
      </c>
      <c r="I11" s="49">
        <f>'Avg Week Kumi-Soroti'!I11+'Avg Week Soroti-Kumi'!I11</f>
        <v>2.5714285714285716</v>
      </c>
      <c r="J11" s="49">
        <f>'Avg Week Kumi-Soroti'!J11+'Avg Week Soroti-Kumi'!J11</f>
        <v>1.2857142857142856</v>
      </c>
      <c r="K11" s="49">
        <f>'Avg Week Kumi-Soroti'!K11+'Avg Week Soroti-Kumi'!K11</f>
        <v>0</v>
      </c>
      <c r="L11" s="49">
        <f>'Avg Week Kumi-Soroti'!L11+'Avg Week Soroti-Kumi'!L11</f>
        <v>1.8571428571428572</v>
      </c>
      <c r="M11" s="49">
        <f>'Avg Week Kumi-Soroti'!M11+'Avg Week Soroti-Kumi'!M11</f>
        <v>10.714285714285715</v>
      </c>
      <c r="N11" s="49">
        <f>'Avg Week Kumi-Soroti'!N11+'Avg Week Soroti-Kumi'!N11</f>
        <v>0</v>
      </c>
      <c r="O11" s="15">
        <f t="shared" si="0"/>
        <v>14.714285714285715</v>
      </c>
      <c r="P11" s="15">
        <f t="shared" si="1"/>
        <v>25.428571428571431</v>
      </c>
      <c r="R11" s="1" t="s">
        <v>7</v>
      </c>
      <c r="S11" s="17">
        <f t="shared" ref="S11:AF11" si="3">SUM(C14:C17)</f>
        <v>7.2857142857142856</v>
      </c>
      <c r="T11" s="17">
        <f t="shared" si="3"/>
        <v>3.8571428571428568</v>
      </c>
      <c r="U11" s="17">
        <f t="shared" si="3"/>
        <v>13.285714285714285</v>
      </c>
      <c r="V11" s="17">
        <f t="shared" si="3"/>
        <v>14.571428571428573</v>
      </c>
      <c r="W11" s="17">
        <f t="shared" si="3"/>
        <v>0.14285714285714285</v>
      </c>
      <c r="X11" s="17">
        <f t="shared" si="3"/>
        <v>1.8571428571428572</v>
      </c>
      <c r="Y11" s="17">
        <f t="shared" si="3"/>
        <v>6.4285714285714288</v>
      </c>
      <c r="Z11" s="17">
        <f t="shared" si="3"/>
        <v>2</v>
      </c>
      <c r="AA11" s="17">
        <f t="shared" si="3"/>
        <v>0.42857142857142855</v>
      </c>
      <c r="AB11" s="17">
        <f t="shared" si="3"/>
        <v>14</v>
      </c>
      <c r="AC11" s="17">
        <f t="shared" si="3"/>
        <v>56.142857142857139</v>
      </c>
      <c r="AD11" s="17">
        <f t="shared" si="3"/>
        <v>0</v>
      </c>
      <c r="AE11" s="31">
        <f t="shared" si="3"/>
        <v>63.857142857142854</v>
      </c>
      <c r="AF11" s="31">
        <f t="shared" si="3"/>
        <v>119.99999999999999</v>
      </c>
    </row>
    <row r="12" spans="2:32" ht="23.1" customHeight="1" x14ac:dyDescent="0.25">
      <c r="B12" s="23" t="s">
        <v>39</v>
      </c>
      <c r="C12" s="49">
        <f>'Avg Week Kumi-Soroti'!C12+'Avg Week Soroti-Kumi'!C12</f>
        <v>1</v>
      </c>
      <c r="D12" s="49">
        <f>'Avg Week Kumi-Soroti'!D12+'Avg Week Soroti-Kumi'!D12</f>
        <v>0.5714285714285714</v>
      </c>
      <c r="E12" s="49">
        <f>'Avg Week Kumi-Soroti'!E12+'Avg Week Soroti-Kumi'!E12</f>
        <v>2.2857142857142856</v>
      </c>
      <c r="F12" s="49">
        <f>'Avg Week Kumi-Soroti'!F12+'Avg Week Soroti-Kumi'!F12</f>
        <v>2.4285714285714288</v>
      </c>
      <c r="G12" s="49">
        <f>'Avg Week Kumi-Soroti'!G12+'Avg Week Soroti-Kumi'!G12</f>
        <v>0.14285714285714285</v>
      </c>
      <c r="H12" s="49">
        <f>'Avg Week Kumi-Soroti'!H12+'Avg Week Soroti-Kumi'!H12</f>
        <v>1</v>
      </c>
      <c r="I12" s="49">
        <f>'Avg Week Kumi-Soroti'!I12+'Avg Week Soroti-Kumi'!I12</f>
        <v>2.2857142857142856</v>
      </c>
      <c r="J12" s="49">
        <f>'Avg Week Kumi-Soroti'!J12+'Avg Week Soroti-Kumi'!J12</f>
        <v>0.5714285714285714</v>
      </c>
      <c r="K12" s="49">
        <f>'Avg Week Kumi-Soroti'!K12+'Avg Week Soroti-Kumi'!K12</f>
        <v>0</v>
      </c>
      <c r="L12" s="49">
        <f>'Avg Week Kumi-Soroti'!L12+'Avg Week Soroti-Kumi'!L12</f>
        <v>2.7142857142857144</v>
      </c>
      <c r="M12" s="49">
        <f>'Avg Week Kumi-Soroti'!M12+'Avg Week Soroti-Kumi'!M12</f>
        <v>11.714285714285715</v>
      </c>
      <c r="N12" s="49">
        <f>'Avg Week Kumi-Soroti'!N12+'Avg Week Soroti-Kumi'!N12</f>
        <v>0</v>
      </c>
      <c r="O12" s="15">
        <f t="shared" si="0"/>
        <v>13</v>
      </c>
      <c r="P12" s="15">
        <f t="shared" si="1"/>
        <v>24.714285714285715</v>
      </c>
      <c r="R12" s="1" t="s">
        <v>8</v>
      </c>
      <c r="S12" s="17">
        <f t="shared" ref="S12:AF12" si="4">SUM(C18:C21)</f>
        <v>8.7142857142857153</v>
      </c>
      <c r="T12" s="17">
        <f t="shared" si="4"/>
        <v>4.8571428571428568</v>
      </c>
      <c r="U12" s="17">
        <f t="shared" si="4"/>
        <v>15.999999999999998</v>
      </c>
      <c r="V12" s="17">
        <f t="shared" si="4"/>
        <v>15</v>
      </c>
      <c r="W12" s="17">
        <f t="shared" si="4"/>
        <v>0.42857142857142855</v>
      </c>
      <c r="X12" s="17">
        <f t="shared" si="4"/>
        <v>3.4285714285714284</v>
      </c>
      <c r="Y12" s="17">
        <f t="shared" si="4"/>
        <v>8.2857142857142865</v>
      </c>
      <c r="Z12" s="17">
        <f t="shared" si="4"/>
        <v>2.2857142857142856</v>
      </c>
      <c r="AA12" s="17">
        <f t="shared" si="4"/>
        <v>0.42857142857142855</v>
      </c>
      <c r="AB12" s="17">
        <f t="shared" si="4"/>
        <v>11.428571428571429</v>
      </c>
      <c r="AC12" s="17">
        <f t="shared" si="4"/>
        <v>49.285714285714292</v>
      </c>
      <c r="AD12" s="17">
        <f t="shared" si="4"/>
        <v>0</v>
      </c>
      <c r="AE12" s="31">
        <f t="shared" si="4"/>
        <v>70.857142857142847</v>
      </c>
      <c r="AF12" s="31">
        <f t="shared" si="4"/>
        <v>120.14285714285714</v>
      </c>
    </row>
    <row r="13" spans="2:32" ht="23.1" customHeight="1" x14ac:dyDescent="0.25">
      <c r="B13" s="23" t="s">
        <v>40</v>
      </c>
      <c r="C13" s="49">
        <f>'Avg Week Kumi-Soroti'!C13+'Avg Week Soroti-Kumi'!C13</f>
        <v>1.7142857142857144</v>
      </c>
      <c r="D13" s="49">
        <f>'Avg Week Kumi-Soroti'!D13+'Avg Week Soroti-Kumi'!D13</f>
        <v>0.71428571428571419</v>
      </c>
      <c r="E13" s="49">
        <f>'Avg Week Kumi-Soroti'!E13+'Avg Week Soroti-Kumi'!E13</f>
        <v>2.8571428571428572</v>
      </c>
      <c r="F13" s="49">
        <f>'Avg Week Kumi-Soroti'!F13+'Avg Week Soroti-Kumi'!F13</f>
        <v>3.4285714285714288</v>
      </c>
      <c r="G13" s="49">
        <f>'Avg Week Kumi-Soroti'!G13+'Avg Week Soroti-Kumi'!G13</f>
        <v>0.2857142857142857</v>
      </c>
      <c r="H13" s="49">
        <f>'Avg Week Kumi-Soroti'!H13+'Avg Week Soroti-Kumi'!H13</f>
        <v>0.2857142857142857</v>
      </c>
      <c r="I13" s="49">
        <f>'Avg Week Kumi-Soroti'!I13+'Avg Week Soroti-Kumi'!I13</f>
        <v>2</v>
      </c>
      <c r="J13" s="49">
        <f>'Avg Week Kumi-Soroti'!J13+'Avg Week Soroti-Kumi'!J13</f>
        <v>0.71428571428571419</v>
      </c>
      <c r="K13" s="49">
        <f>'Avg Week Kumi-Soroti'!K13+'Avg Week Soroti-Kumi'!K13</f>
        <v>0</v>
      </c>
      <c r="L13" s="49">
        <f>'Avg Week Kumi-Soroti'!L13+'Avg Week Soroti-Kumi'!L13</f>
        <v>2.8571428571428572</v>
      </c>
      <c r="M13" s="49">
        <f>'Avg Week Kumi-Soroti'!M13+'Avg Week Soroti-Kumi'!M13</f>
        <v>11.571428571428573</v>
      </c>
      <c r="N13" s="49">
        <f>'Avg Week Kumi-Soroti'!N13+'Avg Week Soroti-Kumi'!N13</f>
        <v>0</v>
      </c>
      <c r="O13" s="15">
        <f t="shared" si="0"/>
        <v>14.857142857142859</v>
      </c>
      <c r="P13" s="15">
        <f t="shared" si="1"/>
        <v>26.428571428571431</v>
      </c>
      <c r="R13" s="1" t="s">
        <v>9</v>
      </c>
      <c r="S13" s="17">
        <f t="shared" ref="S13:AF13" si="5">SUM(C22:C25)</f>
        <v>10.857142857142858</v>
      </c>
      <c r="T13" s="17">
        <f t="shared" si="5"/>
        <v>7.4285714285714279</v>
      </c>
      <c r="U13" s="17">
        <f t="shared" si="5"/>
        <v>20.571428571428569</v>
      </c>
      <c r="V13" s="17">
        <f t="shared" si="5"/>
        <v>19.285714285714285</v>
      </c>
      <c r="W13" s="17">
        <f t="shared" si="5"/>
        <v>0.42857142857142855</v>
      </c>
      <c r="X13" s="17">
        <f t="shared" si="5"/>
        <v>6.1428571428571423</v>
      </c>
      <c r="Y13" s="17">
        <f t="shared" si="5"/>
        <v>7.8571428571428568</v>
      </c>
      <c r="Z13" s="17">
        <f t="shared" si="5"/>
        <v>2.1428571428571428</v>
      </c>
      <c r="AA13" s="17">
        <f t="shared" si="5"/>
        <v>0.8571428571428571</v>
      </c>
      <c r="AB13" s="17">
        <f t="shared" si="5"/>
        <v>12.285714285714286</v>
      </c>
      <c r="AC13" s="17">
        <f t="shared" si="5"/>
        <v>51.428571428571431</v>
      </c>
      <c r="AD13" s="17">
        <f t="shared" si="5"/>
        <v>0</v>
      </c>
      <c r="AE13" s="31">
        <f t="shared" si="5"/>
        <v>87.857142857142861</v>
      </c>
      <c r="AF13" s="31">
        <f t="shared" si="5"/>
        <v>139.28571428571428</v>
      </c>
    </row>
    <row r="14" spans="2:32" ht="23.1" customHeight="1" x14ac:dyDescent="0.25">
      <c r="B14" s="23" t="s">
        <v>41</v>
      </c>
      <c r="C14" s="49">
        <f>'Avg Week Kumi-Soroti'!C14+'Avg Week Soroti-Kumi'!C14</f>
        <v>2.1428571428571428</v>
      </c>
      <c r="D14" s="49">
        <f>'Avg Week Kumi-Soroti'!D14+'Avg Week Soroti-Kumi'!D14</f>
        <v>1</v>
      </c>
      <c r="E14" s="49">
        <f>'Avg Week Kumi-Soroti'!E14+'Avg Week Soroti-Kumi'!E14</f>
        <v>3.4285714285714288</v>
      </c>
      <c r="F14" s="49">
        <f>'Avg Week Kumi-Soroti'!F14+'Avg Week Soroti-Kumi'!F14</f>
        <v>3.8571428571428577</v>
      </c>
      <c r="G14" s="49">
        <f>'Avg Week Kumi-Soroti'!G14+'Avg Week Soroti-Kumi'!G14</f>
        <v>0.14285714285714285</v>
      </c>
      <c r="H14" s="49">
        <f>'Avg Week Kumi-Soroti'!H14+'Avg Week Soroti-Kumi'!H14</f>
        <v>0.42857142857142855</v>
      </c>
      <c r="I14" s="49">
        <f>'Avg Week Kumi-Soroti'!I14+'Avg Week Soroti-Kumi'!I14</f>
        <v>2.4285714285714288</v>
      </c>
      <c r="J14" s="49">
        <f>'Avg Week Kumi-Soroti'!J14+'Avg Week Soroti-Kumi'!J14</f>
        <v>0.14285714285714285</v>
      </c>
      <c r="K14" s="49">
        <f>'Avg Week Kumi-Soroti'!K14+'Avg Week Soroti-Kumi'!K14</f>
        <v>0</v>
      </c>
      <c r="L14" s="49">
        <f>'Avg Week Kumi-Soroti'!L14+'Avg Week Soroti-Kumi'!L14</f>
        <v>3</v>
      </c>
      <c r="M14" s="49">
        <f>'Avg Week Kumi-Soroti'!M14+'Avg Week Soroti-Kumi'!M14</f>
        <v>17.285714285714285</v>
      </c>
      <c r="N14" s="49">
        <f>'Avg Week Kumi-Soroti'!N14+'Avg Week Soroti-Kumi'!N14</f>
        <v>0</v>
      </c>
      <c r="O14" s="15">
        <f t="shared" si="0"/>
        <v>16.571428571428569</v>
      </c>
      <c r="P14" s="15">
        <f t="shared" si="1"/>
        <v>33.857142857142854</v>
      </c>
      <c r="R14" s="1" t="s">
        <v>10</v>
      </c>
      <c r="S14" s="17">
        <f t="shared" ref="S14:AF14" si="6">SUM(C26:C29)</f>
        <v>11.142857142857142</v>
      </c>
      <c r="T14" s="17">
        <f t="shared" si="6"/>
        <v>5.7142857142857144</v>
      </c>
      <c r="U14" s="17">
        <f t="shared" si="6"/>
        <v>19.142857142857142</v>
      </c>
      <c r="V14" s="17">
        <f t="shared" si="6"/>
        <v>18</v>
      </c>
      <c r="W14" s="17">
        <f t="shared" si="6"/>
        <v>0.42857142857142855</v>
      </c>
      <c r="X14" s="17">
        <f t="shared" si="6"/>
        <v>3.2857142857142856</v>
      </c>
      <c r="Y14" s="17">
        <f t="shared" si="6"/>
        <v>9.1428571428571423</v>
      </c>
      <c r="Z14" s="17">
        <f t="shared" si="6"/>
        <v>2.7142857142857144</v>
      </c>
      <c r="AA14" s="17">
        <f t="shared" si="6"/>
        <v>0.42857142857142855</v>
      </c>
      <c r="AB14" s="17">
        <f t="shared" si="6"/>
        <v>13.142857142857142</v>
      </c>
      <c r="AC14" s="17">
        <f t="shared" si="6"/>
        <v>50</v>
      </c>
      <c r="AD14" s="17">
        <f t="shared" si="6"/>
        <v>0</v>
      </c>
      <c r="AE14" s="31">
        <f t="shared" si="6"/>
        <v>83.142857142857139</v>
      </c>
      <c r="AF14" s="31">
        <f t="shared" si="6"/>
        <v>133.14285714285714</v>
      </c>
    </row>
    <row r="15" spans="2:32" ht="23.1" customHeight="1" x14ac:dyDescent="0.25">
      <c r="B15" s="23" t="s">
        <v>42</v>
      </c>
      <c r="C15" s="49">
        <f>'Avg Week Kumi-Soroti'!C15+'Avg Week Soroti-Kumi'!C15</f>
        <v>1.5714285714285714</v>
      </c>
      <c r="D15" s="49">
        <f>'Avg Week Kumi-Soroti'!D15+'Avg Week Soroti-Kumi'!D15</f>
        <v>0.71428571428571419</v>
      </c>
      <c r="E15" s="49">
        <f>'Avg Week Kumi-Soroti'!E15+'Avg Week Soroti-Kumi'!E15</f>
        <v>2.2857142857142856</v>
      </c>
      <c r="F15" s="49">
        <f>'Avg Week Kumi-Soroti'!F15+'Avg Week Soroti-Kumi'!F15</f>
        <v>4</v>
      </c>
      <c r="G15" s="49">
        <f>'Avg Week Kumi-Soroti'!G15+'Avg Week Soroti-Kumi'!G15</f>
        <v>0</v>
      </c>
      <c r="H15" s="49">
        <f>'Avg Week Kumi-Soroti'!H15+'Avg Week Soroti-Kumi'!H15</f>
        <v>0.14285714285714285</v>
      </c>
      <c r="I15" s="49">
        <f>'Avg Week Kumi-Soroti'!I15+'Avg Week Soroti-Kumi'!I15</f>
        <v>2</v>
      </c>
      <c r="J15" s="49">
        <f>'Avg Week Kumi-Soroti'!J15+'Avg Week Soroti-Kumi'!J15</f>
        <v>0.2857142857142857</v>
      </c>
      <c r="K15" s="49">
        <f>'Avg Week Kumi-Soroti'!K15+'Avg Week Soroti-Kumi'!K15</f>
        <v>0.14285714285714285</v>
      </c>
      <c r="L15" s="49">
        <f>'Avg Week Kumi-Soroti'!L15+'Avg Week Soroti-Kumi'!L15</f>
        <v>3.2857142857142856</v>
      </c>
      <c r="M15" s="49">
        <f>'Avg Week Kumi-Soroti'!M15+'Avg Week Soroti-Kumi'!M15</f>
        <v>14.428571428571427</v>
      </c>
      <c r="N15" s="49">
        <f>'Avg Week Kumi-Soroti'!N15+'Avg Week Soroti-Kumi'!N15</f>
        <v>0</v>
      </c>
      <c r="O15" s="15">
        <f t="shared" si="0"/>
        <v>14.428571428571427</v>
      </c>
      <c r="P15" s="15">
        <f t="shared" si="1"/>
        <v>28.857142857142854</v>
      </c>
      <c r="R15" s="1" t="s">
        <v>11</v>
      </c>
      <c r="S15" s="17">
        <f t="shared" ref="S15:AF15" si="7">SUM(C30:C33)</f>
        <v>12.571428571428571</v>
      </c>
      <c r="T15" s="17">
        <f t="shared" si="7"/>
        <v>4.8571428571428577</v>
      </c>
      <c r="U15" s="17">
        <f t="shared" si="7"/>
        <v>18.142857142857146</v>
      </c>
      <c r="V15" s="17">
        <f t="shared" si="7"/>
        <v>20.142857142857142</v>
      </c>
      <c r="W15" s="17">
        <f t="shared" si="7"/>
        <v>0.2857142857142857</v>
      </c>
      <c r="X15" s="17">
        <f t="shared" si="7"/>
        <v>3.7142857142857135</v>
      </c>
      <c r="Y15" s="17">
        <f t="shared" si="7"/>
        <v>11.428571428571429</v>
      </c>
      <c r="Z15" s="17">
        <f t="shared" si="7"/>
        <v>1.8571428571428572</v>
      </c>
      <c r="AA15" s="17">
        <f t="shared" si="7"/>
        <v>0.5714285714285714</v>
      </c>
      <c r="AB15" s="17">
        <f t="shared" si="7"/>
        <v>11.142857142857142</v>
      </c>
      <c r="AC15" s="17">
        <f t="shared" si="7"/>
        <v>50.857142857142847</v>
      </c>
      <c r="AD15" s="17">
        <f t="shared" si="7"/>
        <v>0.2857142857142857</v>
      </c>
      <c r="AE15" s="31">
        <f t="shared" si="7"/>
        <v>84.999999999999986</v>
      </c>
      <c r="AF15" s="31">
        <f t="shared" si="7"/>
        <v>135.85714285714283</v>
      </c>
    </row>
    <row r="16" spans="2:32" ht="23.1" customHeight="1" x14ac:dyDescent="0.25">
      <c r="B16" s="23" t="s">
        <v>43</v>
      </c>
      <c r="C16" s="49">
        <f>'Avg Week Kumi-Soroti'!C16+'Avg Week Soroti-Kumi'!C16</f>
        <v>1.8571428571428572</v>
      </c>
      <c r="D16" s="49">
        <f>'Avg Week Kumi-Soroti'!D16+'Avg Week Soroti-Kumi'!D16</f>
        <v>1.4285714285714284</v>
      </c>
      <c r="E16" s="49">
        <f>'Avg Week Kumi-Soroti'!E16+'Avg Week Soroti-Kumi'!E16</f>
        <v>4.2857142857142856</v>
      </c>
      <c r="F16" s="49">
        <f>'Avg Week Kumi-Soroti'!F16+'Avg Week Soroti-Kumi'!F16</f>
        <v>4</v>
      </c>
      <c r="G16" s="49">
        <f>'Avg Week Kumi-Soroti'!G16+'Avg Week Soroti-Kumi'!G16</f>
        <v>0</v>
      </c>
      <c r="H16" s="49">
        <f>'Avg Week Kumi-Soroti'!H16+'Avg Week Soroti-Kumi'!H16</f>
        <v>0.42857142857142855</v>
      </c>
      <c r="I16" s="49">
        <f>'Avg Week Kumi-Soroti'!I16+'Avg Week Soroti-Kumi'!I16</f>
        <v>0.8571428571428571</v>
      </c>
      <c r="J16" s="49">
        <f>'Avg Week Kumi-Soroti'!J16+'Avg Week Soroti-Kumi'!J16</f>
        <v>0.85714285714285721</v>
      </c>
      <c r="K16" s="49">
        <f>'Avg Week Kumi-Soroti'!K16+'Avg Week Soroti-Kumi'!K16</f>
        <v>0</v>
      </c>
      <c r="L16" s="49">
        <f>'Avg Week Kumi-Soroti'!L16+'Avg Week Soroti-Kumi'!L16</f>
        <v>4.1428571428571432</v>
      </c>
      <c r="M16" s="49">
        <f>'Avg Week Kumi-Soroti'!M16+'Avg Week Soroti-Kumi'!M16</f>
        <v>12.857142857142858</v>
      </c>
      <c r="N16" s="49">
        <f>'Avg Week Kumi-Soroti'!N16+'Avg Week Soroti-Kumi'!N16</f>
        <v>0</v>
      </c>
      <c r="O16" s="15">
        <f t="shared" si="0"/>
        <v>17.857142857142858</v>
      </c>
      <c r="P16" s="15">
        <f t="shared" si="1"/>
        <v>30.714285714285715</v>
      </c>
      <c r="R16" s="1" t="s">
        <v>12</v>
      </c>
      <c r="S16" s="17">
        <f t="shared" ref="S16:AF16" si="8">SUM(C34:C37)</f>
        <v>9.4285714285714288</v>
      </c>
      <c r="T16" s="17">
        <f t="shared" si="8"/>
        <v>6.1428571428571423</v>
      </c>
      <c r="U16" s="17">
        <f t="shared" si="8"/>
        <v>19.285714285714285</v>
      </c>
      <c r="V16" s="17">
        <f t="shared" si="8"/>
        <v>19.428571428571431</v>
      </c>
      <c r="W16" s="17">
        <f t="shared" si="8"/>
        <v>0.85714285714285698</v>
      </c>
      <c r="X16" s="17">
        <f t="shared" si="8"/>
        <v>2.7142857142857144</v>
      </c>
      <c r="Y16" s="17">
        <f t="shared" si="8"/>
        <v>13.571428571428571</v>
      </c>
      <c r="Z16" s="17">
        <f t="shared" si="8"/>
        <v>2.5714285714285712</v>
      </c>
      <c r="AA16" s="17">
        <f t="shared" si="8"/>
        <v>0.71428571428571419</v>
      </c>
      <c r="AB16" s="17">
        <f t="shared" si="8"/>
        <v>15.142857142857144</v>
      </c>
      <c r="AC16" s="17">
        <f t="shared" si="8"/>
        <v>53</v>
      </c>
      <c r="AD16" s="17">
        <f t="shared" si="8"/>
        <v>0</v>
      </c>
      <c r="AE16" s="31">
        <f t="shared" si="8"/>
        <v>89.857142857142847</v>
      </c>
      <c r="AF16" s="31">
        <f t="shared" si="8"/>
        <v>142.85714285714286</v>
      </c>
    </row>
    <row r="17" spans="2:32" ht="23.1" customHeight="1" x14ac:dyDescent="0.25">
      <c r="B17" s="23" t="s">
        <v>44</v>
      </c>
      <c r="C17" s="49">
        <f>'Avg Week Kumi-Soroti'!C17+'Avg Week Soroti-Kumi'!C17</f>
        <v>1.7142857142857144</v>
      </c>
      <c r="D17" s="49">
        <f>'Avg Week Kumi-Soroti'!D17+'Avg Week Soroti-Kumi'!D17</f>
        <v>0.71428571428571419</v>
      </c>
      <c r="E17" s="49">
        <f>'Avg Week Kumi-Soroti'!E17+'Avg Week Soroti-Kumi'!E17</f>
        <v>3.2857142857142856</v>
      </c>
      <c r="F17" s="49">
        <f>'Avg Week Kumi-Soroti'!F17+'Avg Week Soroti-Kumi'!F17</f>
        <v>2.7142857142857144</v>
      </c>
      <c r="G17" s="49">
        <f>'Avg Week Kumi-Soroti'!G17+'Avg Week Soroti-Kumi'!G17</f>
        <v>0</v>
      </c>
      <c r="H17" s="49">
        <f>'Avg Week Kumi-Soroti'!H17+'Avg Week Soroti-Kumi'!H17</f>
        <v>0.8571428571428571</v>
      </c>
      <c r="I17" s="49">
        <f>'Avg Week Kumi-Soroti'!I17+'Avg Week Soroti-Kumi'!I17</f>
        <v>1.1428571428571428</v>
      </c>
      <c r="J17" s="49">
        <f>'Avg Week Kumi-Soroti'!J17+'Avg Week Soroti-Kumi'!J17</f>
        <v>0.71428571428571419</v>
      </c>
      <c r="K17" s="49">
        <f>'Avg Week Kumi-Soroti'!K17+'Avg Week Soroti-Kumi'!K17</f>
        <v>0.2857142857142857</v>
      </c>
      <c r="L17" s="49">
        <f>'Avg Week Kumi-Soroti'!L17+'Avg Week Soroti-Kumi'!L17</f>
        <v>3.5714285714285712</v>
      </c>
      <c r="M17" s="49">
        <f>'Avg Week Kumi-Soroti'!M17+'Avg Week Soroti-Kumi'!M17</f>
        <v>11.571428571428573</v>
      </c>
      <c r="N17" s="49">
        <f>'Avg Week Kumi-Soroti'!N17+'Avg Week Soroti-Kumi'!N17</f>
        <v>0</v>
      </c>
      <c r="O17" s="15">
        <f t="shared" si="0"/>
        <v>15</v>
      </c>
      <c r="P17" s="15">
        <f t="shared" si="1"/>
        <v>26.571428571428573</v>
      </c>
      <c r="R17" s="1" t="s">
        <v>13</v>
      </c>
      <c r="S17" s="17">
        <f t="shared" ref="S17:AF17" si="9">SUM(C38:C41)</f>
        <v>9.4285714285714288</v>
      </c>
      <c r="T17" s="17">
        <f t="shared" si="9"/>
        <v>6.5714285714285712</v>
      </c>
      <c r="U17" s="17">
        <f t="shared" si="9"/>
        <v>19.142857142857142</v>
      </c>
      <c r="V17" s="17">
        <f t="shared" si="9"/>
        <v>20.142857142857146</v>
      </c>
      <c r="W17" s="17">
        <f t="shared" si="9"/>
        <v>0.42857142857142855</v>
      </c>
      <c r="X17" s="17">
        <f t="shared" si="9"/>
        <v>1.8571428571428572</v>
      </c>
      <c r="Y17" s="17">
        <f t="shared" si="9"/>
        <v>13.285714285714285</v>
      </c>
      <c r="Z17" s="17">
        <f t="shared" si="9"/>
        <v>1.7142857142857142</v>
      </c>
      <c r="AA17" s="17">
        <f t="shared" si="9"/>
        <v>0.14285714285714285</v>
      </c>
      <c r="AB17" s="17">
        <f t="shared" si="9"/>
        <v>14.714285714285714</v>
      </c>
      <c r="AC17" s="17">
        <f t="shared" si="9"/>
        <v>37.142857142857146</v>
      </c>
      <c r="AD17" s="17">
        <f t="shared" si="9"/>
        <v>0.14285714285714285</v>
      </c>
      <c r="AE17" s="31">
        <f t="shared" si="9"/>
        <v>87.571428571428555</v>
      </c>
      <c r="AF17" s="31">
        <f t="shared" si="9"/>
        <v>124.71428571428571</v>
      </c>
    </row>
    <row r="18" spans="2:32" ht="23.1" customHeight="1" x14ac:dyDescent="0.25">
      <c r="B18" s="23" t="s">
        <v>45</v>
      </c>
      <c r="C18" s="49">
        <f>'Avg Week Kumi-Soroti'!C18+'Avg Week Soroti-Kumi'!C18</f>
        <v>1.5714285714285714</v>
      </c>
      <c r="D18" s="49">
        <f>'Avg Week Kumi-Soroti'!D18+'Avg Week Soroti-Kumi'!D18</f>
        <v>1.2857142857142856</v>
      </c>
      <c r="E18" s="49">
        <f>'Avg Week Kumi-Soroti'!E18+'Avg Week Soroti-Kumi'!E18</f>
        <v>4.1428571428571423</v>
      </c>
      <c r="F18" s="49">
        <f>'Avg Week Kumi-Soroti'!F18+'Avg Week Soroti-Kumi'!F18</f>
        <v>4.1428571428571423</v>
      </c>
      <c r="G18" s="49">
        <f>'Avg Week Kumi-Soroti'!G18+'Avg Week Soroti-Kumi'!G18</f>
        <v>0.42857142857142855</v>
      </c>
      <c r="H18" s="49">
        <f>'Avg Week Kumi-Soroti'!H18+'Avg Week Soroti-Kumi'!H18</f>
        <v>1.1428571428571428</v>
      </c>
      <c r="I18" s="49">
        <f>'Avg Week Kumi-Soroti'!I18+'Avg Week Soroti-Kumi'!I18</f>
        <v>2.1428571428571428</v>
      </c>
      <c r="J18" s="49">
        <f>'Avg Week Kumi-Soroti'!J18+'Avg Week Soroti-Kumi'!J18</f>
        <v>0.71428571428571419</v>
      </c>
      <c r="K18" s="49">
        <f>'Avg Week Kumi-Soroti'!K18+'Avg Week Soroti-Kumi'!K18</f>
        <v>0</v>
      </c>
      <c r="L18" s="49">
        <f>'Avg Week Kumi-Soroti'!L18+'Avg Week Soroti-Kumi'!L18</f>
        <v>1.8571428571428572</v>
      </c>
      <c r="M18" s="49">
        <f>'Avg Week Kumi-Soroti'!M18+'Avg Week Soroti-Kumi'!M18</f>
        <v>11.285714285714285</v>
      </c>
      <c r="N18" s="49">
        <f>'Avg Week Kumi-Soroti'!N18+'Avg Week Soroti-Kumi'!N18</f>
        <v>0</v>
      </c>
      <c r="O18" s="15">
        <f t="shared" si="0"/>
        <v>17.428571428571427</v>
      </c>
      <c r="P18" s="15">
        <f t="shared" si="1"/>
        <v>28.714285714285712</v>
      </c>
      <c r="R18" s="1" t="s">
        <v>14</v>
      </c>
      <c r="S18" s="17">
        <f t="shared" ref="S18:AF18" si="10">SUM(C42:C45)</f>
        <v>11.714285714285715</v>
      </c>
      <c r="T18" s="17">
        <f t="shared" si="10"/>
        <v>9.2857142857142847</v>
      </c>
      <c r="U18" s="17">
        <f t="shared" si="10"/>
        <v>24.142857142857142</v>
      </c>
      <c r="V18" s="17">
        <f t="shared" si="10"/>
        <v>19.857142857142858</v>
      </c>
      <c r="W18" s="17">
        <f t="shared" si="10"/>
        <v>0.71428571428571419</v>
      </c>
      <c r="X18" s="17">
        <f t="shared" si="10"/>
        <v>2</v>
      </c>
      <c r="Y18" s="17">
        <f t="shared" si="10"/>
        <v>11.857142857142858</v>
      </c>
      <c r="Z18" s="17">
        <f t="shared" si="10"/>
        <v>2.7142857142857144</v>
      </c>
      <c r="AA18" s="17">
        <f t="shared" si="10"/>
        <v>0.71428571428571419</v>
      </c>
      <c r="AB18" s="17">
        <f t="shared" si="10"/>
        <v>16.714285714285715</v>
      </c>
      <c r="AC18" s="17">
        <f t="shared" si="10"/>
        <v>44</v>
      </c>
      <c r="AD18" s="17">
        <f t="shared" si="10"/>
        <v>0</v>
      </c>
      <c r="AE18" s="31">
        <f t="shared" si="10"/>
        <v>99.714285714285722</v>
      </c>
      <c r="AF18" s="31">
        <f t="shared" si="10"/>
        <v>143.71428571428572</v>
      </c>
    </row>
    <row r="19" spans="2:32" ht="23.1" customHeight="1" x14ac:dyDescent="0.25">
      <c r="B19" s="23" t="s">
        <v>46</v>
      </c>
      <c r="C19" s="49">
        <f>'Avg Week Kumi-Soroti'!C19+'Avg Week Soroti-Kumi'!C19</f>
        <v>2.5714285714285716</v>
      </c>
      <c r="D19" s="49">
        <f>'Avg Week Kumi-Soroti'!D19+'Avg Week Soroti-Kumi'!D19</f>
        <v>1</v>
      </c>
      <c r="E19" s="49">
        <f>'Avg Week Kumi-Soroti'!E19+'Avg Week Soroti-Kumi'!E19</f>
        <v>4.1428571428571423</v>
      </c>
      <c r="F19" s="49">
        <f>'Avg Week Kumi-Soroti'!F19+'Avg Week Soroti-Kumi'!F19</f>
        <v>4</v>
      </c>
      <c r="G19" s="49">
        <f>'Avg Week Kumi-Soroti'!G19+'Avg Week Soroti-Kumi'!G19</f>
        <v>0</v>
      </c>
      <c r="H19" s="49">
        <f>'Avg Week Kumi-Soroti'!H19+'Avg Week Soroti-Kumi'!H19</f>
        <v>0.8571428571428571</v>
      </c>
      <c r="I19" s="49">
        <f>'Avg Week Kumi-Soroti'!I19+'Avg Week Soroti-Kumi'!I19</f>
        <v>2.2857142857142856</v>
      </c>
      <c r="J19" s="49">
        <f>'Avg Week Kumi-Soroti'!J19+'Avg Week Soroti-Kumi'!J19</f>
        <v>0.14285714285714285</v>
      </c>
      <c r="K19" s="49">
        <f>'Avg Week Kumi-Soroti'!K19+'Avg Week Soroti-Kumi'!K19</f>
        <v>0</v>
      </c>
      <c r="L19" s="49">
        <f>'Avg Week Kumi-Soroti'!L19+'Avg Week Soroti-Kumi'!L19</f>
        <v>2.7142857142857144</v>
      </c>
      <c r="M19" s="49">
        <f>'Avg Week Kumi-Soroti'!M19+'Avg Week Soroti-Kumi'!M19</f>
        <v>13.571428571428573</v>
      </c>
      <c r="N19" s="49">
        <f>'Avg Week Kumi-Soroti'!N19+'Avg Week Soroti-Kumi'!N19</f>
        <v>0</v>
      </c>
      <c r="O19" s="15">
        <f t="shared" si="0"/>
        <v>17.714285714285715</v>
      </c>
      <c r="P19" s="15">
        <f t="shared" si="1"/>
        <v>31.285714285714288</v>
      </c>
      <c r="R19" s="1" t="s">
        <v>15</v>
      </c>
      <c r="S19" s="17">
        <f t="shared" ref="S19:AF19" si="11">SUM(C46:C49)</f>
        <v>12.142857142857142</v>
      </c>
      <c r="T19" s="17">
        <f t="shared" si="11"/>
        <v>7.1428571428571423</v>
      </c>
      <c r="U19" s="17">
        <f t="shared" si="11"/>
        <v>20.857142857142858</v>
      </c>
      <c r="V19" s="17">
        <f t="shared" si="11"/>
        <v>24.714285714285715</v>
      </c>
      <c r="W19" s="17">
        <f t="shared" si="11"/>
        <v>0.71428571428571419</v>
      </c>
      <c r="X19" s="17">
        <f t="shared" si="11"/>
        <v>2.2857142857142856</v>
      </c>
      <c r="Y19" s="17">
        <f t="shared" si="11"/>
        <v>13.571428571428573</v>
      </c>
      <c r="Z19" s="17">
        <f t="shared" si="11"/>
        <v>2.1428571428571423</v>
      </c>
      <c r="AA19" s="17">
        <f t="shared" si="11"/>
        <v>0.42857142857142855</v>
      </c>
      <c r="AB19" s="17">
        <f t="shared" si="11"/>
        <v>16.571428571428569</v>
      </c>
      <c r="AC19" s="17">
        <f t="shared" si="11"/>
        <v>43.285714285714292</v>
      </c>
      <c r="AD19" s="17">
        <f t="shared" si="11"/>
        <v>0</v>
      </c>
      <c r="AE19" s="31">
        <f t="shared" si="11"/>
        <v>100.57142857142856</v>
      </c>
      <c r="AF19" s="31">
        <f t="shared" si="11"/>
        <v>143.85714285714286</v>
      </c>
    </row>
    <row r="20" spans="2:32" ht="23.1" customHeight="1" x14ac:dyDescent="0.25">
      <c r="B20" s="23" t="s">
        <v>47</v>
      </c>
      <c r="C20" s="49">
        <f>'Avg Week Kumi-Soroti'!C20+'Avg Week Soroti-Kumi'!C20</f>
        <v>2.2857142857142856</v>
      </c>
      <c r="D20" s="49">
        <f>'Avg Week Kumi-Soroti'!D20+'Avg Week Soroti-Kumi'!D20</f>
        <v>1</v>
      </c>
      <c r="E20" s="49">
        <f>'Avg Week Kumi-Soroti'!E20+'Avg Week Soroti-Kumi'!E20</f>
        <v>3.2857142857142856</v>
      </c>
      <c r="F20" s="49">
        <f>'Avg Week Kumi-Soroti'!F20+'Avg Week Soroti-Kumi'!F20</f>
        <v>3.5714285714285712</v>
      </c>
      <c r="G20" s="49">
        <f>'Avg Week Kumi-Soroti'!G20+'Avg Week Soroti-Kumi'!G20</f>
        <v>0</v>
      </c>
      <c r="H20" s="49">
        <f>'Avg Week Kumi-Soroti'!H20+'Avg Week Soroti-Kumi'!H20</f>
        <v>0.5714285714285714</v>
      </c>
      <c r="I20" s="49">
        <f>'Avg Week Kumi-Soroti'!I20+'Avg Week Soroti-Kumi'!I20</f>
        <v>2.7142857142857144</v>
      </c>
      <c r="J20" s="49">
        <f>'Avg Week Kumi-Soroti'!J20+'Avg Week Soroti-Kumi'!J20</f>
        <v>0.42857142857142855</v>
      </c>
      <c r="K20" s="49">
        <f>'Avg Week Kumi-Soroti'!K20+'Avg Week Soroti-Kumi'!K20</f>
        <v>0.2857142857142857</v>
      </c>
      <c r="L20" s="49">
        <f>'Avg Week Kumi-Soroti'!L20+'Avg Week Soroti-Kumi'!L20</f>
        <v>2.8571428571428572</v>
      </c>
      <c r="M20" s="49">
        <f>'Avg Week Kumi-Soroti'!M20+'Avg Week Soroti-Kumi'!M20</f>
        <v>10.857142857142858</v>
      </c>
      <c r="N20" s="49">
        <f>'Avg Week Kumi-Soroti'!N20+'Avg Week Soroti-Kumi'!N20</f>
        <v>0</v>
      </c>
      <c r="O20" s="15">
        <f t="shared" si="0"/>
        <v>17</v>
      </c>
      <c r="P20" s="15">
        <f t="shared" si="1"/>
        <v>27.857142857142858</v>
      </c>
      <c r="R20" s="1" t="s">
        <v>16</v>
      </c>
      <c r="S20" s="17">
        <f t="shared" ref="S20:AF20" si="12">SUM(C50:C53)</f>
        <v>12.428571428571429</v>
      </c>
      <c r="T20" s="17">
        <f t="shared" si="12"/>
        <v>8.7142857142857153</v>
      </c>
      <c r="U20" s="17">
        <f t="shared" si="12"/>
        <v>23.428571428571431</v>
      </c>
      <c r="V20" s="17">
        <f t="shared" si="12"/>
        <v>22</v>
      </c>
      <c r="W20" s="17">
        <f t="shared" si="12"/>
        <v>0.14285714285714285</v>
      </c>
      <c r="X20" s="17">
        <f t="shared" si="12"/>
        <v>1.4285714285714286</v>
      </c>
      <c r="Y20" s="17">
        <f t="shared" si="12"/>
        <v>17.142857142857142</v>
      </c>
      <c r="Z20" s="17">
        <f t="shared" si="12"/>
        <v>3.5714285714285712</v>
      </c>
      <c r="AA20" s="17">
        <f t="shared" si="12"/>
        <v>1.9999999999999998</v>
      </c>
      <c r="AB20" s="17">
        <f t="shared" si="12"/>
        <v>18.142857142857142</v>
      </c>
      <c r="AC20" s="17">
        <f t="shared" si="12"/>
        <v>58.428571428571431</v>
      </c>
      <c r="AD20" s="17">
        <f t="shared" si="12"/>
        <v>0.14285714285714285</v>
      </c>
      <c r="AE20" s="31">
        <f t="shared" si="12"/>
        <v>109.14285714285714</v>
      </c>
      <c r="AF20" s="31">
        <f t="shared" si="12"/>
        <v>167.57142857142856</v>
      </c>
    </row>
    <row r="21" spans="2:32" ht="23.1" customHeight="1" x14ac:dyDescent="0.25">
      <c r="B21" s="23" t="s">
        <v>48</v>
      </c>
      <c r="C21" s="49">
        <f>'Avg Week Kumi-Soroti'!C21+'Avg Week Soroti-Kumi'!C21</f>
        <v>2.2857142857142856</v>
      </c>
      <c r="D21" s="49">
        <f>'Avg Week Kumi-Soroti'!D21+'Avg Week Soroti-Kumi'!D21</f>
        <v>1.5714285714285714</v>
      </c>
      <c r="E21" s="49">
        <f>'Avg Week Kumi-Soroti'!E21+'Avg Week Soroti-Kumi'!E21</f>
        <v>4.4285714285714288</v>
      </c>
      <c r="F21" s="49">
        <f>'Avg Week Kumi-Soroti'!F21+'Avg Week Soroti-Kumi'!F21</f>
        <v>3.2857142857142856</v>
      </c>
      <c r="G21" s="49">
        <f>'Avg Week Kumi-Soroti'!G21+'Avg Week Soroti-Kumi'!G21</f>
        <v>0</v>
      </c>
      <c r="H21" s="49">
        <f>'Avg Week Kumi-Soroti'!H21+'Avg Week Soroti-Kumi'!H21</f>
        <v>0.85714285714285721</v>
      </c>
      <c r="I21" s="49">
        <f>'Avg Week Kumi-Soroti'!I21+'Avg Week Soroti-Kumi'!I21</f>
        <v>1.1428571428571428</v>
      </c>
      <c r="J21" s="49">
        <f>'Avg Week Kumi-Soroti'!J21+'Avg Week Soroti-Kumi'!J21</f>
        <v>1</v>
      </c>
      <c r="K21" s="49">
        <f>'Avg Week Kumi-Soroti'!K21+'Avg Week Soroti-Kumi'!K21</f>
        <v>0.14285714285714285</v>
      </c>
      <c r="L21" s="49">
        <f>'Avg Week Kumi-Soroti'!L21+'Avg Week Soroti-Kumi'!L21</f>
        <v>4</v>
      </c>
      <c r="M21" s="49">
        <f>'Avg Week Kumi-Soroti'!M21+'Avg Week Soroti-Kumi'!M21</f>
        <v>13.571428571428573</v>
      </c>
      <c r="N21" s="49">
        <f>'Avg Week Kumi-Soroti'!N21+'Avg Week Soroti-Kumi'!N21</f>
        <v>0</v>
      </c>
      <c r="O21" s="15">
        <f t="shared" si="0"/>
        <v>18.714285714285712</v>
      </c>
      <c r="P21" s="15">
        <f t="shared" si="1"/>
        <v>32.285714285714285</v>
      </c>
      <c r="R21" s="36" t="s">
        <v>20</v>
      </c>
      <c r="S21" s="34">
        <f t="shared" ref="S21:AF21" si="13">SUM(C54:C57)</f>
        <v>11.142857142857142</v>
      </c>
      <c r="T21" s="17">
        <f t="shared" si="13"/>
        <v>7.5714285714285721</v>
      </c>
      <c r="U21" s="17">
        <f t="shared" si="13"/>
        <v>20.428571428571427</v>
      </c>
      <c r="V21" s="17">
        <f t="shared" si="13"/>
        <v>17.857142857142858</v>
      </c>
      <c r="W21" s="17">
        <f t="shared" si="13"/>
        <v>0.71428571428571419</v>
      </c>
      <c r="X21" s="17">
        <f t="shared" si="13"/>
        <v>1.8571428571428572</v>
      </c>
      <c r="Y21" s="17">
        <f t="shared" si="13"/>
        <v>16.714285714285715</v>
      </c>
      <c r="Z21" s="17">
        <f t="shared" si="13"/>
        <v>4</v>
      </c>
      <c r="AA21" s="17">
        <f t="shared" si="13"/>
        <v>1.1428571428571428</v>
      </c>
      <c r="AB21" s="17">
        <f t="shared" si="13"/>
        <v>19.714285714285715</v>
      </c>
      <c r="AC21" s="17">
        <f t="shared" si="13"/>
        <v>53</v>
      </c>
      <c r="AD21" s="17">
        <f t="shared" si="13"/>
        <v>0</v>
      </c>
      <c r="AE21" s="31">
        <f t="shared" si="13"/>
        <v>101.14285714285714</v>
      </c>
      <c r="AF21" s="31">
        <f t="shared" si="13"/>
        <v>154.14285714285714</v>
      </c>
    </row>
    <row r="22" spans="2:32" ht="23.1" customHeight="1" x14ac:dyDescent="0.25">
      <c r="B22" s="23" t="s">
        <v>49</v>
      </c>
      <c r="C22" s="49">
        <f>'Avg Week Kumi-Soroti'!C22+'Avg Week Soroti-Kumi'!C22</f>
        <v>2.8571428571428568</v>
      </c>
      <c r="D22" s="49">
        <f>'Avg Week Kumi-Soroti'!D22+'Avg Week Soroti-Kumi'!D22</f>
        <v>2.4285714285714284</v>
      </c>
      <c r="E22" s="49">
        <f>'Avg Week Kumi-Soroti'!E22+'Avg Week Soroti-Kumi'!E22</f>
        <v>6</v>
      </c>
      <c r="F22" s="49">
        <f>'Avg Week Kumi-Soroti'!F22+'Avg Week Soroti-Kumi'!F22</f>
        <v>5</v>
      </c>
      <c r="G22" s="49">
        <f>'Avg Week Kumi-Soroti'!G22+'Avg Week Soroti-Kumi'!G22</f>
        <v>0</v>
      </c>
      <c r="H22" s="49">
        <f>'Avg Week Kumi-Soroti'!H22+'Avg Week Soroti-Kumi'!H22</f>
        <v>2</v>
      </c>
      <c r="I22" s="49">
        <f>'Avg Week Kumi-Soroti'!I22+'Avg Week Soroti-Kumi'!I22</f>
        <v>2.2857142857142856</v>
      </c>
      <c r="J22" s="49">
        <f>'Avg Week Kumi-Soroti'!J22+'Avg Week Soroti-Kumi'!J22</f>
        <v>0.2857142857142857</v>
      </c>
      <c r="K22" s="49">
        <f>'Avg Week Kumi-Soroti'!K22+'Avg Week Soroti-Kumi'!K22</f>
        <v>0.42857142857142855</v>
      </c>
      <c r="L22" s="49">
        <f>'Avg Week Kumi-Soroti'!L22+'Avg Week Soroti-Kumi'!L22</f>
        <v>3</v>
      </c>
      <c r="M22" s="49">
        <f>'Avg Week Kumi-Soroti'!M22+'Avg Week Soroti-Kumi'!M22</f>
        <v>14</v>
      </c>
      <c r="N22" s="49">
        <f>'Avg Week Kumi-Soroti'!N22+'Avg Week Soroti-Kumi'!N22</f>
        <v>0</v>
      </c>
      <c r="O22" s="15">
        <f t="shared" si="0"/>
        <v>24.285714285714281</v>
      </c>
      <c r="P22" s="15">
        <f t="shared" si="1"/>
        <v>38.285714285714278</v>
      </c>
      <c r="R22" s="1" t="s">
        <v>146</v>
      </c>
      <c r="S22" s="34">
        <f>SUM(C58:C61)</f>
        <v>10</v>
      </c>
      <c r="T22" s="34">
        <f t="shared" ref="T22:AF22" si="14">SUM(D58:D61)</f>
        <v>5.5</v>
      </c>
      <c r="U22" s="34">
        <f t="shared" si="14"/>
        <v>18</v>
      </c>
      <c r="V22" s="34">
        <f t="shared" si="14"/>
        <v>14</v>
      </c>
      <c r="W22" s="34">
        <f t="shared" si="14"/>
        <v>0.5</v>
      </c>
      <c r="X22" s="34">
        <f t="shared" si="14"/>
        <v>0.5</v>
      </c>
      <c r="Y22" s="34">
        <f t="shared" si="14"/>
        <v>11</v>
      </c>
      <c r="Z22" s="34">
        <f t="shared" si="14"/>
        <v>3.5</v>
      </c>
      <c r="AA22" s="34">
        <f t="shared" si="14"/>
        <v>0.5</v>
      </c>
      <c r="AB22" s="34">
        <f t="shared" si="14"/>
        <v>22</v>
      </c>
      <c r="AC22" s="34">
        <f t="shared" si="14"/>
        <v>52</v>
      </c>
      <c r="AD22" s="34">
        <f t="shared" si="14"/>
        <v>0</v>
      </c>
      <c r="AE22" s="31">
        <f t="shared" si="14"/>
        <v>85.5</v>
      </c>
      <c r="AF22" s="31">
        <f t="shared" si="14"/>
        <v>137.5</v>
      </c>
    </row>
    <row r="23" spans="2:32" ht="23.1" customHeight="1" x14ac:dyDescent="0.25">
      <c r="B23" s="23" t="s">
        <v>50</v>
      </c>
      <c r="C23" s="49">
        <f>'Avg Week Kumi-Soroti'!C23+'Avg Week Soroti-Kumi'!C23</f>
        <v>2.4285714285714288</v>
      </c>
      <c r="D23" s="49">
        <f>'Avg Week Kumi-Soroti'!D23+'Avg Week Soroti-Kumi'!D23</f>
        <v>1.7142857142857142</v>
      </c>
      <c r="E23" s="49">
        <f>'Avg Week Kumi-Soroti'!E23+'Avg Week Soroti-Kumi'!E23</f>
        <v>5.2857142857142856</v>
      </c>
      <c r="F23" s="49">
        <f>'Avg Week Kumi-Soroti'!F23+'Avg Week Soroti-Kumi'!F23</f>
        <v>3.7142857142857144</v>
      </c>
      <c r="G23" s="49">
        <f>'Avg Week Kumi-Soroti'!G23+'Avg Week Soroti-Kumi'!G23</f>
        <v>0.14285714285714285</v>
      </c>
      <c r="H23" s="49">
        <f>'Avg Week Kumi-Soroti'!H23+'Avg Week Soroti-Kumi'!H23</f>
        <v>0.85714285714285721</v>
      </c>
      <c r="I23" s="49">
        <f>'Avg Week Kumi-Soroti'!I23+'Avg Week Soroti-Kumi'!I23</f>
        <v>1.5714285714285714</v>
      </c>
      <c r="J23" s="49">
        <f>'Avg Week Kumi-Soroti'!J23+'Avg Week Soroti-Kumi'!J23</f>
        <v>0.2857142857142857</v>
      </c>
      <c r="K23" s="49">
        <f>'Avg Week Kumi-Soroti'!K23+'Avg Week Soroti-Kumi'!K23</f>
        <v>0</v>
      </c>
      <c r="L23" s="49">
        <f>'Avg Week Kumi-Soroti'!L23+'Avg Week Soroti-Kumi'!L23</f>
        <v>2.1428571428571428</v>
      </c>
      <c r="M23" s="49">
        <f>'Avg Week Kumi-Soroti'!M23+'Avg Week Soroti-Kumi'!M23</f>
        <v>12.571428571428571</v>
      </c>
      <c r="N23" s="49">
        <f>'Avg Week Kumi-Soroti'!N23+'Avg Week Soroti-Kumi'!N23</f>
        <v>0</v>
      </c>
      <c r="O23" s="15">
        <f t="shared" si="0"/>
        <v>18.142857142857142</v>
      </c>
      <c r="P23" s="15">
        <f t="shared" si="1"/>
        <v>30.714285714285715</v>
      </c>
      <c r="R23" s="1" t="s">
        <v>147</v>
      </c>
      <c r="S23" s="34">
        <f>SUM(C62:C65)</f>
        <v>7</v>
      </c>
      <c r="T23" s="34">
        <f t="shared" ref="T23:AF23" si="15">SUM(D62:D65)</f>
        <v>6</v>
      </c>
      <c r="U23" s="34">
        <f t="shared" si="15"/>
        <v>15</v>
      </c>
      <c r="V23" s="34">
        <f t="shared" si="15"/>
        <v>9.5</v>
      </c>
      <c r="W23" s="34">
        <f t="shared" si="15"/>
        <v>0</v>
      </c>
      <c r="X23" s="34">
        <f t="shared" si="15"/>
        <v>1.5</v>
      </c>
      <c r="Y23" s="34">
        <f t="shared" si="15"/>
        <v>11.5</v>
      </c>
      <c r="Z23" s="34">
        <f t="shared" si="15"/>
        <v>4</v>
      </c>
      <c r="AA23" s="34">
        <f t="shared" si="15"/>
        <v>0.5</v>
      </c>
      <c r="AB23" s="34">
        <f t="shared" si="15"/>
        <v>20.5</v>
      </c>
      <c r="AC23" s="34">
        <f t="shared" si="15"/>
        <v>34</v>
      </c>
      <c r="AD23" s="34">
        <f t="shared" si="15"/>
        <v>0</v>
      </c>
      <c r="AE23" s="31">
        <f t="shared" si="15"/>
        <v>75.5</v>
      </c>
      <c r="AF23" s="31">
        <f t="shared" si="15"/>
        <v>109.5</v>
      </c>
    </row>
    <row r="24" spans="2:32" ht="23.1" customHeight="1" x14ac:dyDescent="0.25">
      <c r="B24" s="23" t="s">
        <v>51</v>
      </c>
      <c r="C24" s="49">
        <f>'Avg Week Kumi-Soroti'!C24+'Avg Week Soroti-Kumi'!C24</f>
        <v>2.5714285714285716</v>
      </c>
      <c r="D24" s="49">
        <f>'Avg Week Kumi-Soroti'!D24+'Avg Week Soroti-Kumi'!D24</f>
        <v>1.5714285714285714</v>
      </c>
      <c r="E24" s="49">
        <f>'Avg Week Kumi-Soroti'!E24+'Avg Week Soroti-Kumi'!E24</f>
        <v>4.2857142857142856</v>
      </c>
      <c r="F24" s="49">
        <f>'Avg Week Kumi-Soroti'!F24+'Avg Week Soroti-Kumi'!F24</f>
        <v>5</v>
      </c>
      <c r="G24" s="49">
        <f>'Avg Week Kumi-Soroti'!G24+'Avg Week Soroti-Kumi'!G24</f>
        <v>0</v>
      </c>
      <c r="H24" s="49">
        <f>'Avg Week Kumi-Soroti'!H24+'Avg Week Soroti-Kumi'!H24</f>
        <v>1.1428571428571428</v>
      </c>
      <c r="I24" s="49">
        <f>'Avg Week Kumi-Soroti'!I24+'Avg Week Soroti-Kumi'!I24</f>
        <v>1.5714285714285714</v>
      </c>
      <c r="J24" s="49">
        <f>'Avg Week Kumi-Soroti'!J24+'Avg Week Soroti-Kumi'!J24</f>
        <v>0.71428571428571419</v>
      </c>
      <c r="K24" s="49">
        <f>'Avg Week Kumi-Soroti'!K24+'Avg Week Soroti-Kumi'!K24</f>
        <v>0.42857142857142855</v>
      </c>
      <c r="L24" s="49">
        <f>'Avg Week Kumi-Soroti'!L24+'Avg Week Soroti-Kumi'!L24</f>
        <v>3.7142857142857144</v>
      </c>
      <c r="M24" s="49">
        <f>'Avg Week Kumi-Soroti'!M24+'Avg Week Soroti-Kumi'!M24</f>
        <v>12.714285714285715</v>
      </c>
      <c r="N24" s="49">
        <f>'Avg Week Kumi-Soroti'!N24+'Avg Week Soroti-Kumi'!N24</f>
        <v>0</v>
      </c>
      <c r="O24" s="15">
        <f t="shared" si="0"/>
        <v>21</v>
      </c>
      <c r="P24" s="15">
        <f t="shared" si="1"/>
        <v>33.714285714285715</v>
      </c>
      <c r="R24" s="1" t="s">
        <v>148</v>
      </c>
      <c r="S24" s="34">
        <f>SUM(C66:C69)</f>
        <v>8</v>
      </c>
      <c r="T24" s="34">
        <f t="shared" ref="T24:AF24" si="16">SUM(D66:D69)</f>
        <v>2</v>
      </c>
      <c r="U24" s="34">
        <f t="shared" si="16"/>
        <v>9.5</v>
      </c>
      <c r="V24" s="34">
        <f t="shared" si="16"/>
        <v>6.5</v>
      </c>
      <c r="W24" s="34">
        <f t="shared" si="16"/>
        <v>0.5</v>
      </c>
      <c r="X24" s="34">
        <f t="shared" si="16"/>
        <v>3.5</v>
      </c>
      <c r="Y24" s="34">
        <f t="shared" si="16"/>
        <v>13</v>
      </c>
      <c r="Z24" s="34">
        <f t="shared" si="16"/>
        <v>1.5</v>
      </c>
      <c r="AA24" s="34">
        <f t="shared" si="16"/>
        <v>0.5</v>
      </c>
      <c r="AB24" s="34">
        <f t="shared" si="16"/>
        <v>27</v>
      </c>
      <c r="AC24" s="34">
        <f t="shared" si="16"/>
        <v>18</v>
      </c>
      <c r="AD24" s="34">
        <f t="shared" si="16"/>
        <v>0</v>
      </c>
      <c r="AE24" s="31">
        <f t="shared" si="16"/>
        <v>72</v>
      </c>
      <c r="AF24" s="31">
        <f t="shared" si="16"/>
        <v>90</v>
      </c>
    </row>
    <row r="25" spans="2:32" ht="23.1" customHeight="1" x14ac:dyDescent="0.25">
      <c r="B25" s="23" t="s">
        <v>52</v>
      </c>
      <c r="C25" s="49">
        <f>'Avg Week Kumi-Soroti'!C25+'Avg Week Soroti-Kumi'!C25</f>
        <v>3</v>
      </c>
      <c r="D25" s="49">
        <f>'Avg Week Kumi-Soroti'!D25+'Avg Week Soroti-Kumi'!D25</f>
        <v>1.7142857142857142</v>
      </c>
      <c r="E25" s="49">
        <f>'Avg Week Kumi-Soroti'!E25+'Avg Week Soroti-Kumi'!E25</f>
        <v>5</v>
      </c>
      <c r="F25" s="49">
        <f>'Avg Week Kumi-Soroti'!F25+'Avg Week Soroti-Kumi'!F25</f>
        <v>5.5714285714285712</v>
      </c>
      <c r="G25" s="49">
        <f>'Avg Week Kumi-Soroti'!G25+'Avg Week Soroti-Kumi'!G25</f>
        <v>0.2857142857142857</v>
      </c>
      <c r="H25" s="49">
        <f>'Avg Week Kumi-Soroti'!H25+'Avg Week Soroti-Kumi'!H25</f>
        <v>2.1428571428571428</v>
      </c>
      <c r="I25" s="49">
        <f>'Avg Week Kumi-Soroti'!I25+'Avg Week Soroti-Kumi'!I25</f>
        <v>2.4285714285714288</v>
      </c>
      <c r="J25" s="49">
        <f>'Avg Week Kumi-Soroti'!J25+'Avg Week Soroti-Kumi'!J25</f>
        <v>0.8571428571428571</v>
      </c>
      <c r="K25" s="49">
        <f>'Avg Week Kumi-Soroti'!K25+'Avg Week Soroti-Kumi'!K25</f>
        <v>0</v>
      </c>
      <c r="L25" s="49">
        <f>'Avg Week Kumi-Soroti'!L25+'Avg Week Soroti-Kumi'!L25</f>
        <v>3.4285714285714288</v>
      </c>
      <c r="M25" s="49">
        <f>'Avg Week Kumi-Soroti'!M25+'Avg Week Soroti-Kumi'!M25</f>
        <v>12.142857142857142</v>
      </c>
      <c r="N25" s="49">
        <f>'Avg Week Kumi-Soroti'!N25+'Avg Week Soroti-Kumi'!N25</f>
        <v>0</v>
      </c>
      <c r="O25" s="15">
        <f t="shared" si="0"/>
        <v>24.428571428571431</v>
      </c>
      <c r="P25" s="15">
        <f t="shared" si="1"/>
        <v>36.571428571428569</v>
      </c>
      <c r="R25" s="1" t="s">
        <v>149</v>
      </c>
      <c r="S25" s="34">
        <f>SUM(C70:C73)</f>
        <v>8</v>
      </c>
      <c r="T25" s="34">
        <f t="shared" ref="T25:AF25" si="17">SUM(D70:D73)</f>
        <v>1</v>
      </c>
      <c r="U25" s="34">
        <f t="shared" si="17"/>
        <v>9</v>
      </c>
      <c r="V25" s="34">
        <f t="shared" si="17"/>
        <v>6</v>
      </c>
      <c r="W25" s="34">
        <f t="shared" si="17"/>
        <v>0</v>
      </c>
      <c r="X25" s="34">
        <f t="shared" si="17"/>
        <v>2.5</v>
      </c>
      <c r="Y25" s="34">
        <f t="shared" si="17"/>
        <v>9</v>
      </c>
      <c r="Z25" s="34">
        <f t="shared" si="17"/>
        <v>1.5</v>
      </c>
      <c r="AA25" s="34">
        <f t="shared" si="17"/>
        <v>0</v>
      </c>
      <c r="AB25" s="34">
        <f t="shared" si="17"/>
        <v>29</v>
      </c>
      <c r="AC25" s="34">
        <f t="shared" si="17"/>
        <v>18</v>
      </c>
      <c r="AD25" s="34">
        <f t="shared" si="17"/>
        <v>0</v>
      </c>
      <c r="AE25" s="31">
        <f t="shared" si="17"/>
        <v>66</v>
      </c>
      <c r="AF25" s="31">
        <f t="shared" si="17"/>
        <v>84</v>
      </c>
    </row>
    <row r="26" spans="2:32" ht="23.1" customHeight="1" x14ac:dyDescent="0.25">
      <c r="B26" s="23" t="s">
        <v>53</v>
      </c>
      <c r="C26" s="49">
        <f>'Avg Week Kumi-Soroti'!C26+'Avg Week Soroti-Kumi'!C26</f>
        <v>2.1428571428571428</v>
      </c>
      <c r="D26" s="49">
        <f>'Avg Week Kumi-Soroti'!D26+'Avg Week Soroti-Kumi'!D26</f>
        <v>1.5714285714285714</v>
      </c>
      <c r="E26" s="49">
        <f>'Avg Week Kumi-Soroti'!E26+'Avg Week Soroti-Kumi'!E26</f>
        <v>4.4285714285714288</v>
      </c>
      <c r="F26" s="49">
        <f>'Avg Week Kumi-Soroti'!F26+'Avg Week Soroti-Kumi'!F26</f>
        <v>3.7142857142857144</v>
      </c>
      <c r="G26" s="49">
        <f>'Avg Week Kumi-Soroti'!G26+'Avg Week Soroti-Kumi'!G26</f>
        <v>0.14285714285714285</v>
      </c>
      <c r="H26" s="49">
        <f>'Avg Week Kumi-Soroti'!H26+'Avg Week Soroti-Kumi'!H26</f>
        <v>0.71428571428571419</v>
      </c>
      <c r="I26" s="49">
        <f>'Avg Week Kumi-Soroti'!I26+'Avg Week Soroti-Kumi'!I26</f>
        <v>1.8571428571428572</v>
      </c>
      <c r="J26" s="49">
        <f>'Avg Week Kumi-Soroti'!J26+'Avg Week Soroti-Kumi'!J26</f>
        <v>0.5714285714285714</v>
      </c>
      <c r="K26" s="49">
        <f>'Avg Week Kumi-Soroti'!K26+'Avg Week Soroti-Kumi'!K26</f>
        <v>0</v>
      </c>
      <c r="L26" s="49">
        <f>'Avg Week Kumi-Soroti'!L26+'Avg Week Soroti-Kumi'!L26</f>
        <v>3.1428571428571432</v>
      </c>
      <c r="M26" s="49">
        <f>'Avg Week Kumi-Soroti'!M26+'Avg Week Soroti-Kumi'!M26</f>
        <v>11.285714285714285</v>
      </c>
      <c r="N26" s="49">
        <f>'Avg Week Kumi-Soroti'!N26+'Avg Week Soroti-Kumi'!N26</f>
        <v>0</v>
      </c>
      <c r="O26" s="15">
        <f t="shared" si="0"/>
        <v>18.285714285714285</v>
      </c>
      <c r="P26" s="15">
        <f t="shared" si="1"/>
        <v>29.571428571428569</v>
      </c>
      <c r="R26" s="1" t="s">
        <v>150</v>
      </c>
      <c r="S26" s="34">
        <f>SUM(C74:C77)</f>
        <v>5.5</v>
      </c>
      <c r="T26" s="34">
        <f t="shared" ref="T26:AF26" si="18">SUM(D74:D77)</f>
        <v>0</v>
      </c>
      <c r="U26" s="34">
        <f t="shared" si="18"/>
        <v>3</v>
      </c>
      <c r="V26" s="34">
        <f t="shared" si="18"/>
        <v>6</v>
      </c>
      <c r="W26" s="34">
        <f t="shared" si="18"/>
        <v>0</v>
      </c>
      <c r="X26" s="34">
        <f t="shared" si="18"/>
        <v>0.5</v>
      </c>
      <c r="Y26" s="34">
        <f t="shared" si="18"/>
        <v>11</v>
      </c>
      <c r="Z26" s="34">
        <f t="shared" si="18"/>
        <v>4</v>
      </c>
      <c r="AA26" s="34">
        <f t="shared" si="18"/>
        <v>1</v>
      </c>
      <c r="AB26" s="34">
        <f t="shared" si="18"/>
        <v>15</v>
      </c>
      <c r="AC26" s="34">
        <f t="shared" si="18"/>
        <v>7</v>
      </c>
      <c r="AD26" s="34">
        <f t="shared" si="18"/>
        <v>0</v>
      </c>
      <c r="AE26" s="31">
        <f t="shared" si="18"/>
        <v>46</v>
      </c>
      <c r="AF26" s="31">
        <f t="shared" si="18"/>
        <v>53</v>
      </c>
    </row>
    <row r="27" spans="2:32" ht="23.1" customHeight="1" x14ac:dyDescent="0.25">
      <c r="B27" s="23" t="s">
        <v>54</v>
      </c>
      <c r="C27" s="49">
        <f>'Avg Week Kumi-Soroti'!C27+'Avg Week Soroti-Kumi'!C27</f>
        <v>2.8571428571428572</v>
      </c>
      <c r="D27" s="49">
        <f>'Avg Week Kumi-Soroti'!D27+'Avg Week Soroti-Kumi'!D27</f>
        <v>1.1428571428571428</v>
      </c>
      <c r="E27" s="49">
        <f>'Avg Week Kumi-Soroti'!E27+'Avg Week Soroti-Kumi'!E27</f>
        <v>4.7142857142857144</v>
      </c>
      <c r="F27" s="49">
        <f>'Avg Week Kumi-Soroti'!F27+'Avg Week Soroti-Kumi'!F27</f>
        <v>5</v>
      </c>
      <c r="G27" s="49">
        <f>'Avg Week Kumi-Soroti'!G27+'Avg Week Soroti-Kumi'!G27</f>
        <v>0</v>
      </c>
      <c r="H27" s="49">
        <f>'Avg Week Kumi-Soroti'!H27+'Avg Week Soroti-Kumi'!H27</f>
        <v>0.71428571428571419</v>
      </c>
      <c r="I27" s="49">
        <f>'Avg Week Kumi-Soroti'!I27+'Avg Week Soroti-Kumi'!I27</f>
        <v>3.1428571428571428</v>
      </c>
      <c r="J27" s="49">
        <f>'Avg Week Kumi-Soroti'!J27+'Avg Week Soroti-Kumi'!J27</f>
        <v>0.42857142857142855</v>
      </c>
      <c r="K27" s="49">
        <f>'Avg Week Kumi-Soroti'!K27+'Avg Week Soroti-Kumi'!K27</f>
        <v>0.42857142857142855</v>
      </c>
      <c r="L27" s="49">
        <f>'Avg Week Kumi-Soroti'!L27+'Avg Week Soroti-Kumi'!L27</f>
        <v>3.2857142857142856</v>
      </c>
      <c r="M27" s="49">
        <f>'Avg Week Kumi-Soroti'!M27+'Avg Week Soroti-Kumi'!M27</f>
        <v>14</v>
      </c>
      <c r="N27" s="49">
        <f>'Avg Week Kumi-Soroti'!N27+'Avg Week Soroti-Kumi'!N27</f>
        <v>0</v>
      </c>
      <c r="O27" s="15">
        <f t="shared" si="0"/>
        <v>21.714285714285712</v>
      </c>
      <c r="P27" s="15">
        <f t="shared" si="1"/>
        <v>35.714285714285708</v>
      </c>
      <c r="R27" s="1" t="s">
        <v>151</v>
      </c>
      <c r="S27" s="34">
        <f>SUM(C78:C81)</f>
        <v>1.5</v>
      </c>
      <c r="T27" s="34">
        <f t="shared" ref="T27:AF27" si="19">SUM(D78:D81)</f>
        <v>0</v>
      </c>
      <c r="U27" s="34">
        <f t="shared" si="19"/>
        <v>3.5</v>
      </c>
      <c r="V27" s="34">
        <f t="shared" si="19"/>
        <v>3</v>
      </c>
      <c r="W27" s="34">
        <f t="shared" si="19"/>
        <v>0</v>
      </c>
      <c r="X27" s="34">
        <f t="shared" si="19"/>
        <v>3.5</v>
      </c>
      <c r="Y27" s="34">
        <f t="shared" si="19"/>
        <v>10</v>
      </c>
      <c r="Z27" s="34">
        <f t="shared" si="19"/>
        <v>2.5</v>
      </c>
      <c r="AA27" s="34">
        <f t="shared" si="19"/>
        <v>1</v>
      </c>
      <c r="AB27" s="34">
        <f t="shared" si="19"/>
        <v>15</v>
      </c>
      <c r="AC27" s="34">
        <f t="shared" si="19"/>
        <v>2.5</v>
      </c>
      <c r="AD27" s="34">
        <f t="shared" si="19"/>
        <v>0</v>
      </c>
      <c r="AE27" s="31">
        <f t="shared" si="19"/>
        <v>40</v>
      </c>
      <c r="AF27" s="31">
        <f t="shared" si="19"/>
        <v>42.5</v>
      </c>
    </row>
    <row r="28" spans="2:32" ht="23.1" customHeight="1" x14ac:dyDescent="0.25">
      <c r="B28" s="23" t="s">
        <v>55</v>
      </c>
      <c r="C28" s="49">
        <f>'Avg Week Kumi-Soroti'!C28+'Avg Week Soroti-Kumi'!C28</f>
        <v>3.2857142857142856</v>
      </c>
      <c r="D28" s="49">
        <f>'Avg Week Kumi-Soroti'!D28+'Avg Week Soroti-Kumi'!D28</f>
        <v>2.1428571428571428</v>
      </c>
      <c r="E28" s="49">
        <f>'Avg Week Kumi-Soroti'!E28+'Avg Week Soroti-Kumi'!E28</f>
        <v>5.5714285714285712</v>
      </c>
      <c r="F28" s="49">
        <f>'Avg Week Kumi-Soroti'!F28+'Avg Week Soroti-Kumi'!F28</f>
        <v>4.2857142857142856</v>
      </c>
      <c r="G28" s="49">
        <f>'Avg Week Kumi-Soroti'!G28+'Avg Week Soroti-Kumi'!G28</f>
        <v>0.2857142857142857</v>
      </c>
      <c r="H28" s="49">
        <f>'Avg Week Kumi-Soroti'!H28+'Avg Week Soroti-Kumi'!H28</f>
        <v>0.85714285714285721</v>
      </c>
      <c r="I28" s="49">
        <f>'Avg Week Kumi-Soroti'!I28+'Avg Week Soroti-Kumi'!I28</f>
        <v>1.4285714285714286</v>
      </c>
      <c r="J28" s="49">
        <f>'Avg Week Kumi-Soroti'!J28+'Avg Week Soroti-Kumi'!J28</f>
        <v>1.1428571428571428</v>
      </c>
      <c r="K28" s="49">
        <f>'Avg Week Kumi-Soroti'!K28+'Avg Week Soroti-Kumi'!K28</f>
        <v>0</v>
      </c>
      <c r="L28" s="49">
        <f>'Avg Week Kumi-Soroti'!L28+'Avg Week Soroti-Kumi'!L28</f>
        <v>4</v>
      </c>
      <c r="M28" s="49">
        <f>'Avg Week Kumi-Soroti'!M28+'Avg Week Soroti-Kumi'!M28</f>
        <v>11.285714285714285</v>
      </c>
      <c r="N28" s="49">
        <f>'Avg Week Kumi-Soroti'!N28+'Avg Week Soroti-Kumi'!N28</f>
        <v>0</v>
      </c>
      <c r="O28" s="15">
        <f t="shared" si="0"/>
        <v>22.999999999999996</v>
      </c>
      <c r="P28" s="15">
        <f t="shared" si="1"/>
        <v>34.285714285714278</v>
      </c>
      <c r="R28" s="1" t="s">
        <v>152</v>
      </c>
      <c r="S28" s="34">
        <f>SUM(C82:C85)</f>
        <v>2.5</v>
      </c>
      <c r="T28" s="34">
        <f t="shared" ref="T28:AF28" si="20">SUM(D82:D85)</f>
        <v>0</v>
      </c>
      <c r="U28" s="34">
        <f t="shared" si="20"/>
        <v>1.5</v>
      </c>
      <c r="V28" s="34">
        <f t="shared" si="20"/>
        <v>1.5</v>
      </c>
      <c r="W28" s="34">
        <f t="shared" si="20"/>
        <v>0.5</v>
      </c>
      <c r="X28" s="34">
        <f t="shared" si="20"/>
        <v>2.5</v>
      </c>
      <c r="Y28" s="34">
        <f t="shared" si="20"/>
        <v>8</v>
      </c>
      <c r="Z28" s="34">
        <f t="shared" si="20"/>
        <v>1.5</v>
      </c>
      <c r="AA28" s="34">
        <f t="shared" si="20"/>
        <v>1.5</v>
      </c>
      <c r="AB28" s="34">
        <f t="shared" si="20"/>
        <v>15.5</v>
      </c>
      <c r="AC28" s="34">
        <f t="shared" si="20"/>
        <v>2</v>
      </c>
      <c r="AD28" s="34">
        <f t="shared" si="20"/>
        <v>0</v>
      </c>
      <c r="AE28" s="31">
        <f t="shared" si="20"/>
        <v>35</v>
      </c>
      <c r="AF28" s="31">
        <f t="shared" si="20"/>
        <v>37</v>
      </c>
    </row>
    <row r="29" spans="2:32" ht="23.1" customHeight="1" x14ac:dyDescent="0.25">
      <c r="B29" s="23" t="s">
        <v>56</v>
      </c>
      <c r="C29" s="49">
        <f>'Avg Week Kumi-Soroti'!C29+'Avg Week Soroti-Kumi'!C29</f>
        <v>2.8571428571428572</v>
      </c>
      <c r="D29" s="49">
        <f>'Avg Week Kumi-Soroti'!D29+'Avg Week Soroti-Kumi'!D29</f>
        <v>0.8571428571428571</v>
      </c>
      <c r="E29" s="49">
        <f>'Avg Week Kumi-Soroti'!E29+'Avg Week Soroti-Kumi'!E29</f>
        <v>4.4285714285714288</v>
      </c>
      <c r="F29" s="49">
        <f>'Avg Week Kumi-Soroti'!F29+'Avg Week Soroti-Kumi'!F29</f>
        <v>5</v>
      </c>
      <c r="G29" s="49">
        <f>'Avg Week Kumi-Soroti'!G29+'Avg Week Soroti-Kumi'!G29</f>
        <v>0</v>
      </c>
      <c r="H29" s="49">
        <f>'Avg Week Kumi-Soroti'!H29+'Avg Week Soroti-Kumi'!H29</f>
        <v>1</v>
      </c>
      <c r="I29" s="49">
        <f>'Avg Week Kumi-Soroti'!I29+'Avg Week Soroti-Kumi'!I29</f>
        <v>2.7142857142857144</v>
      </c>
      <c r="J29" s="49">
        <f>'Avg Week Kumi-Soroti'!J29+'Avg Week Soroti-Kumi'!J29</f>
        <v>0.5714285714285714</v>
      </c>
      <c r="K29" s="49">
        <f>'Avg Week Kumi-Soroti'!K29+'Avg Week Soroti-Kumi'!K29</f>
        <v>0</v>
      </c>
      <c r="L29" s="49">
        <f>'Avg Week Kumi-Soroti'!L29+'Avg Week Soroti-Kumi'!L29</f>
        <v>2.7142857142857144</v>
      </c>
      <c r="M29" s="49">
        <f>'Avg Week Kumi-Soroti'!M29+'Avg Week Soroti-Kumi'!M29</f>
        <v>13.428571428571429</v>
      </c>
      <c r="N29" s="49">
        <f>'Avg Week Kumi-Soroti'!N29+'Avg Week Soroti-Kumi'!N29</f>
        <v>0</v>
      </c>
      <c r="O29" s="15">
        <f t="shared" si="0"/>
        <v>20.142857142857146</v>
      </c>
      <c r="P29" s="15">
        <f t="shared" si="1"/>
        <v>33.571428571428577</v>
      </c>
      <c r="R29" s="1" t="s">
        <v>153</v>
      </c>
      <c r="S29" s="34">
        <f>SUM(C86:C89)</f>
        <v>0.5</v>
      </c>
      <c r="T29" s="34">
        <f t="shared" ref="T29:AF29" si="21">SUM(D86:D89)</f>
        <v>0</v>
      </c>
      <c r="U29" s="34">
        <f t="shared" si="21"/>
        <v>4</v>
      </c>
      <c r="V29" s="34">
        <f t="shared" si="21"/>
        <v>1</v>
      </c>
      <c r="W29" s="34">
        <f t="shared" si="21"/>
        <v>0</v>
      </c>
      <c r="X29" s="34">
        <f t="shared" si="21"/>
        <v>1.5</v>
      </c>
      <c r="Y29" s="34">
        <f t="shared" si="21"/>
        <v>4</v>
      </c>
      <c r="Z29" s="34">
        <f t="shared" si="21"/>
        <v>0.5</v>
      </c>
      <c r="AA29" s="34">
        <f t="shared" si="21"/>
        <v>2</v>
      </c>
      <c r="AB29" s="34">
        <f t="shared" si="21"/>
        <v>9.5</v>
      </c>
      <c r="AC29" s="34">
        <f t="shared" si="21"/>
        <v>1</v>
      </c>
      <c r="AD29" s="34">
        <f t="shared" si="21"/>
        <v>0</v>
      </c>
      <c r="AE29" s="31">
        <f t="shared" si="21"/>
        <v>23</v>
      </c>
      <c r="AF29" s="31">
        <f t="shared" si="21"/>
        <v>24</v>
      </c>
    </row>
    <row r="30" spans="2:32" ht="23.1" customHeight="1" x14ac:dyDescent="0.25">
      <c r="B30" s="23" t="s">
        <v>57</v>
      </c>
      <c r="C30" s="49">
        <f>'Avg Week Kumi-Soroti'!C30+'Avg Week Soroti-Kumi'!C30</f>
        <v>3</v>
      </c>
      <c r="D30" s="49">
        <f>'Avg Week Kumi-Soroti'!D30+'Avg Week Soroti-Kumi'!D30</f>
        <v>1.5714285714285714</v>
      </c>
      <c r="E30" s="49">
        <f>'Avg Week Kumi-Soroti'!E30+'Avg Week Soroti-Kumi'!E30</f>
        <v>5.4285714285714288</v>
      </c>
      <c r="F30" s="49">
        <f>'Avg Week Kumi-Soroti'!F30+'Avg Week Soroti-Kumi'!F30</f>
        <v>6.2857142857142865</v>
      </c>
      <c r="G30" s="49">
        <f>'Avg Week Kumi-Soroti'!G30+'Avg Week Soroti-Kumi'!G30</f>
        <v>0.2857142857142857</v>
      </c>
      <c r="H30" s="49">
        <f>'Avg Week Kumi-Soroti'!H30+'Avg Week Soroti-Kumi'!H30</f>
        <v>1.2857142857142856</v>
      </c>
      <c r="I30" s="49">
        <f>'Avg Week Kumi-Soroti'!I30+'Avg Week Soroti-Kumi'!I30</f>
        <v>3.4285714285714288</v>
      </c>
      <c r="J30" s="49">
        <f>'Avg Week Kumi-Soroti'!J30+'Avg Week Soroti-Kumi'!J30</f>
        <v>0.42857142857142855</v>
      </c>
      <c r="K30" s="49">
        <f>'Avg Week Kumi-Soroti'!K30+'Avg Week Soroti-Kumi'!K30</f>
        <v>0</v>
      </c>
      <c r="L30" s="49">
        <f>'Avg Week Kumi-Soroti'!L30+'Avg Week Soroti-Kumi'!L30</f>
        <v>2.7142857142857144</v>
      </c>
      <c r="M30" s="49">
        <f>'Avg Week Kumi-Soroti'!M30+'Avg Week Soroti-Kumi'!M30</f>
        <v>13.142857142857142</v>
      </c>
      <c r="N30" s="49">
        <f>'Avg Week Kumi-Soroti'!N30+'Avg Week Soroti-Kumi'!N30</f>
        <v>0.14285714285714285</v>
      </c>
      <c r="O30" s="15">
        <f t="shared" si="0"/>
        <v>24.571428571428569</v>
      </c>
      <c r="P30" s="15">
        <f t="shared" si="1"/>
        <v>37.714285714285715</v>
      </c>
      <c r="R30" s="1" t="s">
        <v>154</v>
      </c>
      <c r="S30" s="34">
        <f>SUM(C90:C93)</f>
        <v>3.5</v>
      </c>
      <c r="T30" s="34">
        <f t="shared" ref="T30:AF30" si="22">SUM(D90:D93)</f>
        <v>0.5</v>
      </c>
      <c r="U30" s="34">
        <f t="shared" si="22"/>
        <v>3.5</v>
      </c>
      <c r="V30" s="34">
        <f t="shared" si="22"/>
        <v>3.5</v>
      </c>
      <c r="W30" s="34">
        <f t="shared" si="22"/>
        <v>0</v>
      </c>
      <c r="X30" s="34">
        <f t="shared" si="22"/>
        <v>2.5</v>
      </c>
      <c r="Y30" s="34">
        <f t="shared" si="22"/>
        <v>5.5</v>
      </c>
      <c r="Z30" s="34">
        <f t="shared" si="22"/>
        <v>0.5</v>
      </c>
      <c r="AA30" s="34">
        <f t="shared" si="22"/>
        <v>0.5</v>
      </c>
      <c r="AB30" s="34">
        <f t="shared" si="22"/>
        <v>12</v>
      </c>
      <c r="AC30" s="34">
        <f t="shared" si="22"/>
        <v>0.5</v>
      </c>
      <c r="AD30" s="34">
        <f t="shared" si="22"/>
        <v>0</v>
      </c>
      <c r="AE30" s="31">
        <f t="shared" si="22"/>
        <v>32</v>
      </c>
      <c r="AF30" s="31">
        <f t="shared" si="22"/>
        <v>32.5</v>
      </c>
    </row>
    <row r="31" spans="2:32" ht="23.1" customHeight="1" x14ac:dyDescent="0.25">
      <c r="B31" s="24" t="s">
        <v>58</v>
      </c>
      <c r="C31" s="49">
        <f>'Avg Week Kumi-Soroti'!C31+'Avg Week Soroti-Kumi'!C31</f>
        <v>3.2857142857142856</v>
      </c>
      <c r="D31" s="49">
        <f>'Avg Week Kumi-Soroti'!D31+'Avg Week Soroti-Kumi'!D31</f>
        <v>1.4285714285714284</v>
      </c>
      <c r="E31" s="49">
        <f>'Avg Week Kumi-Soroti'!E31+'Avg Week Soroti-Kumi'!E31</f>
        <v>5</v>
      </c>
      <c r="F31" s="49">
        <f>'Avg Week Kumi-Soroti'!F31+'Avg Week Soroti-Kumi'!F31</f>
        <v>4.8571428571428568</v>
      </c>
      <c r="G31" s="49">
        <f>'Avg Week Kumi-Soroti'!G31+'Avg Week Soroti-Kumi'!G31</f>
        <v>0</v>
      </c>
      <c r="H31" s="49">
        <f>'Avg Week Kumi-Soroti'!H31+'Avg Week Soroti-Kumi'!H31</f>
        <v>1.2857142857142856</v>
      </c>
      <c r="I31" s="49">
        <f>'Avg Week Kumi-Soroti'!I31+'Avg Week Soroti-Kumi'!I31</f>
        <v>3.2857142857142856</v>
      </c>
      <c r="J31" s="49">
        <f>'Avg Week Kumi-Soroti'!J31+'Avg Week Soroti-Kumi'!J31</f>
        <v>0.71428571428571419</v>
      </c>
      <c r="K31" s="49">
        <f>'Avg Week Kumi-Soroti'!K31+'Avg Week Soroti-Kumi'!K31</f>
        <v>0.14285714285714285</v>
      </c>
      <c r="L31" s="49">
        <f>'Avg Week Kumi-Soroti'!L31+'Avg Week Soroti-Kumi'!L31</f>
        <v>2.1428571428571428</v>
      </c>
      <c r="M31" s="49">
        <f>'Avg Week Kumi-Soroti'!M31+'Avg Week Soroti-Kumi'!M31</f>
        <v>14.285714285714285</v>
      </c>
      <c r="N31" s="49">
        <f>'Avg Week Kumi-Soroti'!N31+'Avg Week Soroti-Kumi'!N31</f>
        <v>0.14285714285714285</v>
      </c>
      <c r="O31" s="15">
        <f t="shared" si="0"/>
        <v>22.285714285714281</v>
      </c>
      <c r="P31" s="15">
        <f t="shared" si="1"/>
        <v>36.571428571428569</v>
      </c>
      <c r="R31" s="1" t="s">
        <v>155</v>
      </c>
      <c r="S31" s="34">
        <f>SUM(C94:C97)</f>
        <v>2.5</v>
      </c>
      <c r="T31" s="34">
        <f t="shared" ref="T31:AF31" si="23">SUM(D94:D97)</f>
        <v>0</v>
      </c>
      <c r="U31" s="34">
        <f t="shared" si="23"/>
        <v>2.5</v>
      </c>
      <c r="V31" s="34">
        <f t="shared" si="23"/>
        <v>2</v>
      </c>
      <c r="W31" s="34">
        <f t="shared" si="23"/>
        <v>0</v>
      </c>
      <c r="X31" s="34">
        <f t="shared" si="23"/>
        <v>0.5</v>
      </c>
      <c r="Y31" s="34">
        <f t="shared" si="23"/>
        <v>2.5</v>
      </c>
      <c r="Z31" s="34">
        <f t="shared" si="23"/>
        <v>0.5</v>
      </c>
      <c r="AA31" s="34">
        <f t="shared" si="23"/>
        <v>1</v>
      </c>
      <c r="AB31" s="34">
        <f t="shared" si="23"/>
        <v>13</v>
      </c>
      <c r="AC31" s="34">
        <f t="shared" si="23"/>
        <v>0</v>
      </c>
      <c r="AD31" s="34">
        <f t="shared" si="23"/>
        <v>0</v>
      </c>
      <c r="AE31" s="31">
        <f t="shared" si="23"/>
        <v>24.5</v>
      </c>
      <c r="AF31" s="31">
        <f t="shared" si="23"/>
        <v>24.5</v>
      </c>
    </row>
    <row r="32" spans="2:32" ht="23.1" customHeight="1" x14ac:dyDescent="0.25">
      <c r="B32" s="24" t="s">
        <v>59</v>
      </c>
      <c r="C32" s="49">
        <f>'Avg Week Kumi-Soroti'!C32+'Avg Week Soroti-Kumi'!C32</f>
        <v>2.8571428571428568</v>
      </c>
      <c r="D32" s="49">
        <f>'Avg Week Kumi-Soroti'!D32+'Avg Week Soroti-Kumi'!D32</f>
        <v>0.8571428571428571</v>
      </c>
      <c r="E32" s="49">
        <f>'Avg Week Kumi-Soroti'!E32+'Avg Week Soroti-Kumi'!E32</f>
        <v>4.2857142857142856</v>
      </c>
      <c r="F32" s="49">
        <f>'Avg Week Kumi-Soroti'!F32+'Avg Week Soroti-Kumi'!F32</f>
        <v>3.5714285714285712</v>
      </c>
      <c r="G32" s="49">
        <f>'Avg Week Kumi-Soroti'!G32+'Avg Week Soroti-Kumi'!G32</f>
        <v>0</v>
      </c>
      <c r="H32" s="49">
        <f>'Avg Week Kumi-Soroti'!H32+'Avg Week Soroti-Kumi'!H32</f>
        <v>0.42857142857142855</v>
      </c>
      <c r="I32" s="49">
        <f>'Avg Week Kumi-Soroti'!I32+'Avg Week Soroti-Kumi'!I32</f>
        <v>1.5714285714285714</v>
      </c>
      <c r="J32" s="49">
        <f>'Avg Week Kumi-Soroti'!J32+'Avg Week Soroti-Kumi'!J32</f>
        <v>0.7142857142857143</v>
      </c>
      <c r="K32" s="49">
        <f>'Avg Week Kumi-Soroti'!K32+'Avg Week Soroti-Kumi'!K32</f>
        <v>0</v>
      </c>
      <c r="L32" s="49">
        <f>'Avg Week Kumi-Soroti'!L32+'Avg Week Soroti-Kumi'!L32</f>
        <v>2.5714285714285712</v>
      </c>
      <c r="M32" s="49">
        <f>'Avg Week Kumi-Soroti'!M32+'Avg Week Soroti-Kumi'!M32</f>
        <v>12.285714285714285</v>
      </c>
      <c r="N32" s="49">
        <f>'Avg Week Kumi-Soroti'!N32+'Avg Week Soroti-Kumi'!N32</f>
        <v>0</v>
      </c>
      <c r="O32" s="15">
        <f t="shared" si="0"/>
        <v>16.857142857142854</v>
      </c>
      <c r="P32" s="15">
        <f t="shared" si="1"/>
        <v>29.142857142857139</v>
      </c>
      <c r="R32" s="1" t="s">
        <v>156</v>
      </c>
      <c r="S32" s="34">
        <f>SUM(C98:C101)</f>
        <v>2</v>
      </c>
      <c r="T32" s="34">
        <f t="shared" ref="T32:AF32" si="24">SUM(D98:D101)</f>
        <v>0.5</v>
      </c>
      <c r="U32" s="34">
        <f t="shared" si="24"/>
        <v>4.5</v>
      </c>
      <c r="V32" s="34">
        <f t="shared" si="24"/>
        <v>1.5</v>
      </c>
      <c r="W32" s="34">
        <f t="shared" si="24"/>
        <v>0</v>
      </c>
      <c r="X32" s="34">
        <f t="shared" si="24"/>
        <v>3</v>
      </c>
      <c r="Y32" s="34">
        <f t="shared" si="24"/>
        <v>3.5</v>
      </c>
      <c r="Z32" s="34">
        <f t="shared" si="24"/>
        <v>1</v>
      </c>
      <c r="AA32" s="34">
        <f t="shared" si="24"/>
        <v>1.5</v>
      </c>
      <c r="AB32" s="34">
        <f t="shared" si="24"/>
        <v>9.5</v>
      </c>
      <c r="AC32" s="34">
        <f t="shared" si="24"/>
        <v>3</v>
      </c>
      <c r="AD32" s="34">
        <f t="shared" si="24"/>
        <v>0</v>
      </c>
      <c r="AE32" s="31">
        <f t="shared" si="24"/>
        <v>27</v>
      </c>
      <c r="AF32" s="31">
        <f t="shared" si="24"/>
        <v>30</v>
      </c>
    </row>
    <row r="33" spans="2:32" ht="23.1" customHeight="1" x14ac:dyDescent="0.25">
      <c r="B33" s="23" t="s">
        <v>60</v>
      </c>
      <c r="C33" s="49">
        <f>'Avg Week Kumi-Soroti'!C33+'Avg Week Soroti-Kumi'!C33</f>
        <v>3.4285714285714288</v>
      </c>
      <c r="D33" s="49">
        <f>'Avg Week Kumi-Soroti'!D33+'Avg Week Soroti-Kumi'!D33</f>
        <v>1</v>
      </c>
      <c r="E33" s="49">
        <f>'Avg Week Kumi-Soroti'!E33+'Avg Week Soroti-Kumi'!E33</f>
        <v>3.4285714285714288</v>
      </c>
      <c r="F33" s="49">
        <f>'Avg Week Kumi-Soroti'!F33+'Avg Week Soroti-Kumi'!F33</f>
        <v>5.4285714285714288</v>
      </c>
      <c r="G33" s="49">
        <f>'Avg Week Kumi-Soroti'!G33+'Avg Week Soroti-Kumi'!G33</f>
        <v>0</v>
      </c>
      <c r="H33" s="49">
        <f>'Avg Week Kumi-Soroti'!H33+'Avg Week Soroti-Kumi'!H33</f>
        <v>0.71428571428571419</v>
      </c>
      <c r="I33" s="49">
        <f>'Avg Week Kumi-Soroti'!I33+'Avg Week Soroti-Kumi'!I33</f>
        <v>3.1428571428571428</v>
      </c>
      <c r="J33" s="49">
        <f>'Avg Week Kumi-Soroti'!J33+'Avg Week Soroti-Kumi'!J33</f>
        <v>0</v>
      </c>
      <c r="K33" s="49">
        <f>'Avg Week Kumi-Soroti'!K33+'Avg Week Soroti-Kumi'!K33</f>
        <v>0.42857142857142855</v>
      </c>
      <c r="L33" s="49">
        <f>'Avg Week Kumi-Soroti'!L33+'Avg Week Soroti-Kumi'!L33</f>
        <v>3.7142857142857144</v>
      </c>
      <c r="M33" s="49">
        <f>'Avg Week Kumi-Soroti'!M33+'Avg Week Soroti-Kumi'!M33</f>
        <v>11.142857142857142</v>
      </c>
      <c r="N33" s="49">
        <f>'Avg Week Kumi-Soroti'!N33+'Avg Week Soroti-Kumi'!N33</f>
        <v>0</v>
      </c>
      <c r="O33" s="15">
        <f t="shared" si="0"/>
        <v>21.285714285714285</v>
      </c>
      <c r="P33" s="15">
        <f t="shared" si="1"/>
        <v>32.428571428571431</v>
      </c>
      <c r="R33" s="1" t="s">
        <v>157</v>
      </c>
      <c r="S33" s="34">
        <f>SUM(C102:C105)</f>
        <v>8</v>
      </c>
      <c r="T33" s="34">
        <f t="shared" ref="T33:AF33" si="25">SUM(D102:D105)</f>
        <v>1</v>
      </c>
      <c r="U33" s="34">
        <f t="shared" si="25"/>
        <v>6.5</v>
      </c>
      <c r="V33" s="34">
        <f t="shared" si="25"/>
        <v>6</v>
      </c>
      <c r="W33" s="34">
        <f t="shared" si="25"/>
        <v>0.5</v>
      </c>
      <c r="X33" s="34">
        <f t="shared" si="25"/>
        <v>1.5</v>
      </c>
      <c r="Y33" s="34">
        <f t="shared" si="25"/>
        <v>8.5</v>
      </c>
      <c r="Z33" s="34">
        <f t="shared" si="25"/>
        <v>1.5</v>
      </c>
      <c r="AA33" s="34">
        <f t="shared" si="25"/>
        <v>0.5</v>
      </c>
      <c r="AB33" s="34">
        <f t="shared" si="25"/>
        <v>15</v>
      </c>
      <c r="AC33" s="34">
        <f t="shared" si="25"/>
        <v>12.5</v>
      </c>
      <c r="AD33" s="34">
        <f t="shared" si="25"/>
        <v>0</v>
      </c>
      <c r="AE33" s="31">
        <f t="shared" si="25"/>
        <v>49</v>
      </c>
      <c r="AF33" s="31">
        <f t="shared" si="25"/>
        <v>61.5</v>
      </c>
    </row>
    <row r="34" spans="2:32" ht="23.1" customHeight="1" x14ac:dyDescent="0.25">
      <c r="B34" s="24" t="s">
        <v>61</v>
      </c>
      <c r="C34" s="49">
        <f>'Avg Week Kumi-Soroti'!C34+'Avg Week Soroti-Kumi'!C34</f>
        <v>2.7142857142857144</v>
      </c>
      <c r="D34" s="49">
        <f>'Avg Week Kumi-Soroti'!D34+'Avg Week Soroti-Kumi'!D34</f>
        <v>1.1428571428571428</v>
      </c>
      <c r="E34" s="49">
        <f>'Avg Week Kumi-Soroti'!E34+'Avg Week Soroti-Kumi'!E34</f>
        <v>3.8571428571428568</v>
      </c>
      <c r="F34" s="49">
        <f>'Avg Week Kumi-Soroti'!F34+'Avg Week Soroti-Kumi'!F34</f>
        <v>6</v>
      </c>
      <c r="G34" s="49">
        <f>'Avg Week Kumi-Soroti'!G34+'Avg Week Soroti-Kumi'!G34</f>
        <v>0</v>
      </c>
      <c r="H34" s="49">
        <f>'Avg Week Kumi-Soroti'!H34+'Avg Week Soroti-Kumi'!H34</f>
        <v>0.42857142857142855</v>
      </c>
      <c r="I34" s="49">
        <f>'Avg Week Kumi-Soroti'!I34+'Avg Week Soroti-Kumi'!I34</f>
        <v>4.8571428571428577</v>
      </c>
      <c r="J34" s="49">
        <f>'Avg Week Kumi-Soroti'!J34+'Avg Week Soroti-Kumi'!J34</f>
        <v>0.42857142857142855</v>
      </c>
      <c r="K34" s="49">
        <f>'Avg Week Kumi-Soroti'!K34+'Avg Week Soroti-Kumi'!K34</f>
        <v>0.14285714285714285</v>
      </c>
      <c r="L34" s="49">
        <f>'Avg Week Kumi-Soroti'!L34+'Avg Week Soroti-Kumi'!L34</f>
        <v>5.1428571428571432</v>
      </c>
      <c r="M34" s="49">
        <f>'Avg Week Kumi-Soroti'!M34+'Avg Week Soroti-Kumi'!M34</f>
        <v>14.714285714285715</v>
      </c>
      <c r="N34" s="49">
        <f>'Avg Week Kumi-Soroti'!N34+'Avg Week Soroti-Kumi'!N34</f>
        <v>0</v>
      </c>
      <c r="O34" s="15">
        <f t="shared" si="0"/>
        <v>24.714285714285712</v>
      </c>
      <c r="P34" s="15">
        <f t="shared" si="1"/>
        <v>39.428571428571431</v>
      </c>
      <c r="R34" s="51" t="s">
        <v>90</v>
      </c>
      <c r="S34" s="52">
        <f t="shared" ref="S34:AF34" si="26">MAX(S10:S12)</f>
        <v>8.7142857142857153</v>
      </c>
      <c r="T34" s="52">
        <f t="shared" si="26"/>
        <v>4.8571428571428568</v>
      </c>
      <c r="U34" s="52">
        <f t="shared" si="26"/>
        <v>15.999999999999998</v>
      </c>
      <c r="V34" s="52">
        <f t="shared" si="26"/>
        <v>15</v>
      </c>
      <c r="W34" s="52">
        <f t="shared" si="26"/>
        <v>0.71428571428571419</v>
      </c>
      <c r="X34" s="52">
        <f t="shared" si="26"/>
        <v>3.4285714285714284</v>
      </c>
      <c r="Y34" s="52">
        <f t="shared" si="26"/>
        <v>8.2857142857142865</v>
      </c>
      <c r="Z34" s="52">
        <f t="shared" si="26"/>
        <v>2.8571428571428568</v>
      </c>
      <c r="AA34" s="52">
        <f t="shared" si="26"/>
        <v>0.42857142857142855</v>
      </c>
      <c r="AB34" s="52">
        <f t="shared" si="26"/>
        <v>14</v>
      </c>
      <c r="AC34" s="52">
        <f t="shared" si="26"/>
        <v>56.142857142857139</v>
      </c>
      <c r="AD34" s="52">
        <f t="shared" si="26"/>
        <v>0</v>
      </c>
      <c r="AE34" s="40">
        <f t="shared" si="26"/>
        <v>70.857142857142847</v>
      </c>
      <c r="AF34" s="40">
        <f t="shared" si="26"/>
        <v>120.14285714285714</v>
      </c>
    </row>
    <row r="35" spans="2:32" ht="23.1" customHeight="1" x14ac:dyDescent="0.25">
      <c r="B35" s="24" t="s">
        <v>62</v>
      </c>
      <c r="C35" s="49">
        <f>'Avg Week Kumi-Soroti'!C35+'Avg Week Soroti-Kumi'!C35</f>
        <v>2.2857142857142856</v>
      </c>
      <c r="D35" s="49">
        <f>'Avg Week Kumi-Soroti'!D35+'Avg Week Soroti-Kumi'!D35</f>
        <v>1.4285714285714286</v>
      </c>
      <c r="E35" s="49">
        <f>'Avg Week Kumi-Soroti'!E35+'Avg Week Soroti-Kumi'!E35</f>
        <v>4.7142857142857144</v>
      </c>
      <c r="F35" s="49">
        <f>'Avg Week Kumi-Soroti'!F35+'Avg Week Soroti-Kumi'!F35</f>
        <v>4.5714285714285712</v>
      </c>
      <c r="G35" s="49">
        <f>'Avg Week Kumi-Soroti'!G35+'Avg Week Soroti-Kumi'!G35</f>
        <v>0.5714285714285714</v>
      </c>
      <c r="H35" s="49">
        <f>'Avg Week Kumi-Soroti'!H35+'Avg Week Soroti-Kumi'!H35</f>
        <v>0.85714285714285721</v>
      </c>
      <c r="I35" s="49">
        <f>'Avg Week Kumi-Soroti'!I35+'Avg Week Soroti-Kumi'!I35</f>
        <v>2.2857142857142856</v>
      </c>
      <c r="J35" s="49">
        <f>'Avg Week Kumi-Soroti'!J35+'Avg Week Soroti-Kumi'!J35</f>
        <v>0.2857142857142857</v>
      </c>
      <c r="K35" s="49">
        <f>'Avg Week Kumi-Soroti'!K35+'Avg Week Soroti-Kumi'!K35</f>
        <v>0</v>
      </c>
      <c r="L35" s="49">
        <f>'Avg Week Kumi-Soroti'!L35+'Avg Week Soroti-Kumi'!L35</f>
        <v>2.5714285714285712</v>
      </c>
      <c r="M35" s="49">
        <f>'Avg Week Kumi-Soroti'!M35+'Avg Week Soroti-Kumi'!M35</f>
        <v>15.428571428571429</v>
      </c>
      <c r="N35" s="49">
        <f>'Avg Week Kumi-Soroti'!N35+'Avg Week Soroti-Kumi'!N35</f>
        <v>0</v>
      </c>
      <c r="O35" s="15">
        <f t="shared" si="0"/>
        <v>19.571428571428569</v>
      </c>
      <c r="P35" s="15">
        <f t="shared" si="1"/>
        <v>35</v>
      </c>
      <c r="R35" s="51" t="s">
        <v>91</v>
      </c>
      <c r="S35" s="52">
        <f t="shared" ref="S35:AF35" si="27">MAX(S13:S18)</f>
        <v>12.571428571428571</v>
      </c>
      <c r="T35" s="52">
        <f t="shared" si="27"/>
        <v>9.2857142857142847</v>
      </c>
      <c r="U35" s="52">
        <f t="shared" si="27"/>
        <v>24.142857142857142</v>
      </c>
      <c r="V35" s="52">
        <f t="shared" si="27"/>
        <v>20.142857142857146</v>
      </c>
      <c r="W35" s="52">
        <f t="shared" si="27"/>
        <v>0.85714285714285698</v>
      </c>
      <c r="X35" s="52">
        <f t="shared" si="27"/>
        <v>6.1428571428571423</v>
      </c>
      <c r="Y35" s="52">
        <f t="shared" si="27"/>
        <v>13.571428571428571</v>
      </c>
      <c r="Z35" s="52">
        <f t="shared" si="27"/>
        <v>2.7142857142857144</v>
      </c>
      <c r="AA35" s="52">
        <f t="shared" si="27"/>
        <v>0.8571428571428571</v>
      </c>
      <c r="AB35" s="52">
        <f t="shared" si="27"/>
        <v>16.714285714285715</v>
      </c>
      <c r="AC35" s="52">
        <f t="shared" si="27"/>
        <v>53</v>
      </c>
      <c r="AD35" s="52">
        <f t="shared" si="27"/>
        <v>0.2857142857142857</v>
      </c>
      <c r="AE35" s="40">
        <f t="shared" si="27"/>
        <v>99.714285714285722</v>
      </c>
      <c r="AF35" s="40">
        <f t="shared" si="27"/>
        <v>143.71428571428572</v>
      </c>
    </row>
    <row r="36" spans="2:32" ht="23.1" customHeight="1" x14ac:dyDescent="0.25">
      <c r="B36" s="24" t="s">
        <v>63</v>
      </c>
      <c r="C36" s="49">
        <f>'Avg Week Kumi-Soroti'!C36+'Avg Week Soroti-Kumi'!C36</f>
        <v>2.8571428571428572</v>
      </c>
      <c r="D36" s="49">
        <f>'Avg Week Kumi-Soroti'!D36+'Avg Week Soroti-Kumi'!D36</f>
        <v>2.2857142857142856</v>
      </c>
      <c r="E36" s="49">
        <f>'Avg Week Kumi-Soroti'!E36+'Avg Week Soroti-Kumi'!E36</f>
        <v>6</v>
      </c>
      <c r="F36" s="49">
        <f>'Avg Week Kumi-Soroti'!F36+'Avg Week Soroti-Kumi'!F36</f>
        <v>4.4285714285714288</v>
      </c>
      <c r="G36" s="49">
        <f>'Avg Week Kumi-Soroti'!G36+'Avg Week Soroti-Kumi'!G36</f>
        <v>0.14285714285714285</v>
      </c>
      <c r="H36" s="49">
        <f>'Avg Week Kumi-Soroti'!H36+'Avg Week Soroti-Kumi'!H36</f>
        <v>0.5714285714285714</v>
      </c>
      <c r="I36" s="49">
        <f>'Avg Week Kumi-Soroti'!I36+'Avg Week Soroti-Kumi'!I36</f>
        <v>3</v>
      </c>
      <c r="J36" s="49">
        <f>'Avg Week Kumi-Soroti'!J36+'Avg Week Soroti-Kumi'!J36</f>
        <v>1</v>
      </c>
      <c r="K36" s="49">
        <f>'Avg Week Kumi-Soroti'!K36+'Avg Week Soroti-Kumi'!K36</f>
        <v>0.42857142857142855</v>
      </c>
      <c r="L36" s="49">
        <f>'Avg Week Kumi-Soroti'!L36+'Avg Week Soroti-Kumi'!L36</f>
        <v>3</v>
      </c>
      <c r="M36" s="49">
        <f>'Avg Week Kumi-Soroti'!M36+'Avg Week Soroti-Kumi'!M36</f>
        <v>14.428571428571427</v>
      </c>
      <c r="N36" s="49">
        <f>'Avg Week Kumi-Soroti'!N36+'Avg Week Soroti-Kumi'!N36</f>
        <v>0</v>
      </c>
      <c r="O36" s="15">
        <f t="shared" si="0"/>
        <v>23.714285714285712</v>
      </c>
      <c r="P36" s="15">
        <f t="shared" si="1"/>
        <v>38.142857142857139</v>
      </c>
      <c r="R36" s="51" t="s">
        <v>92</v>
      </c>
      <c r="S36" s="52">
        <f t="shared" ref="S36:AF36" si="28">MAX(S19:S21)</f>
        <v>12.428571428571429</v>
      </c>
      <c r="T36" s="52">
        <f t="shared" si="28"/>
        <v>8.7142857142857153</v>
      </c>
      <c r="U36" s="52">
        <f t="shared" si="28"/>
        <v>23.428571428571431</v>
      </c>
      <c r="V36" s="52">
        <f t="shared" si="28"/>
        <v>24.714285714285715</v>
      </c>
      <c r="W36" s="52">
        <f t="shared" si="28"/>
        <v>0.71428571428571419</v>
      </c>
      <c r="X36" s="52">
        <f t="shared" si="28"/>
        <v>2.2857142857142856</v>
      </c>
      <c r="Y36" s="52">
        <f t="shared" si="28"/>
        <v>17.142857142857142</v>
      </c>
      <c r="Z36" s="52">
        <f t="shared" si="28"/>
        <v>4</v>
      </c>
      <c r="AA36" s="52">
        <f t="shared" si="28"/>
        <v>1.9999999999999998</v>
      </c>
      <c r="AB36" s="52">
        <f t="shared" si="28"/>
        <v>19.714285714285715</v>
      </c>
      <c r="AC36" s="52">
        <f t="shared" si="28"/>
        <v>58.428571428571431</v>
      </c>
      <c r="AD36" s="52">
        <f t="shared" si="28"/>
        <v>0.14285714285714285</v>
      </c>
      <c r="AE36" s="40">
        <f t="shared" si="28"/>
        <v>109.14285714285714</v>
      </c>
      <c r="AF36" s="40">
        <f t="shared" si="28"/>
        <v>167.57142857142856</v>
      </c>
    </row>
    <row r="37" spans="2:32" ht="23.1" customHeight="1" x14ac:dyDescent="0.25">
      <c r="B37" s="23" t="s">
        <v>64</v>
      </c>
      <c r="C37" s="49">
        <f>'Avg Week Kumi-Soroti'!C37+'Avg Week Soroti-Kumi'!C37</f>
        <v>1.5714285714285714</v>
      </c>
      <c r="D37" s="49">
        <f>'Avg Week Kumi-Soroti'!D37+'Avg Week Soroti-Kumi'!D37</f>
        <v>1.2857142857142856</v>
      </c>
      <c r="E37" s="49">
        <f>'Avg Week Kumi-Soroti'!E37+'Avg Week Soroti-Kumi'!E37</f>
        <v>4.7142857142857144</v>
      </c>
      <c r="F37" s="49">
        <f>'Avg Week Kumi-Soroti'!F37+'Avg Week Soroti-Kumi'!F37</f>
        <v>4.4285714285714288</v>
      </c>
      <c r="G37" s="49">
        <f>'Avg Week Kumi-Soroti'!G37+'Avg Week Soroti-Kumi'!G37</f>
        <v>0.14285714285714285</v>
      </c>
      <c r="H37" s="49">
        <f>'Avg Week Kumi-Soroti'!H37+'Avg Week Soroti-Kumi'!H37</f>
        <v>0.8571428571428571</v>
      </c>
      <c r="I37" s="49">
        <f>'Avg Week Kumi-Soroti'!I37+'Avg Week Soroti-Kumi'!I37</f>
        <v>3.4285714285714288</v>
      </c>
      <c r="J37" s="49">
        <f>'Avg Week Kumi-Soroti'!J37+'Avg Week Soroti-Kumi'!J37</f>
        <v>0.8571428571428571</v>
      </c>
      <c r="K37" s="49">
        <f>'Avg Week Kumi-Soroti'!K37+'Avg Week Soroti-Kumi'!K37</f>
        <v>0.14285714285714285</v>
      </c>
      <c r="L37" s="49">
        <f>'Avg Week Kumi-Soroti'!L37+'Avg Week Soroti-Kumi'!L37</f>
        <v>4.4285714285714288</v>
      </c>
      <c r="M37" s="49">
        <f>'Avg Week Kumi-Soroti'!M37+'Avg Week Soroti-Kumi'!M37</f>
        <v>8.4285714285714288</v>
      </c>
      <c r="N37" s="49">
        <f>'Avg Week Kumi-Soroti'!N37+'Avg Week Soroti-Kumi'!N37</f>
        <v>0</v>
      </c>
      <c r="O37" s="15">
        <f t="shared" si="0"/>
        <v>21.857142857142861</v>
      </c>
      <c r="P37" s="15">
        <f t="shared" si="1"/>
        <v>30.285714285714292</v>
      </c>
      <c r="R37" s="37" t="s">
        <v>85</v>
      </c>
      <c r="S37" s="53">
        <f t="shared" ref="S37:AF37" si="29">SUM(S10:S12)</f>
        <v>22.285714285714285</v>
      </c>
      <c r="T37" s="54">
        <f t="shared" si="29"/>
        <v>10.714285714285714</v>
      </c>
      <c r="U37" s="54">
        <f t="shared" si="29"/>
        <v>38.285714285714285</v>
      </c>
      <c r="V37" s="54">
        <f t="shared" si="29"/>
        <v>39.714285714285715</v>
      </c>
      <c r="W37" s="54">
        <f t="shared" si="29"/>
        <v>1.2857142857142856</v>
      </c>
      <c r="X37" s="54">
        <f t="shared" si="29"/>
        <v>8.2857142857142865</v>
      </c>
      <c r="Y37" s="54">
        <f t="shared" si="29"/>
        <v>22.857142857142858</v>
      </c>
      <c r="Z37" s="54">
        <f t="shared" si="29"/>
        <v>7.1428571428571423</v>
      </c>
      <c r="AA37" s="54">
        <f t="shared" si="29"/>
        <v>1</v>
      </c>
      <c r="AB37" s="54">
        <f t="shared" si="29"/>
        <v>34.857142857142861</v>
      </c>
      <c r="AC37" s="54">
        <f t="shared" si="29"/>
        <v>145.28571428571428</v>
      </c>
      <c r="AD37" s="54">
        <f t="shared" si="29"/>
        <v>0</v>
      </c>
      <c r="AE37" s="55">
        <f t="shared" si="29"/>
        <v>186.42857142857144</v>
      </c>
      <c r="AF37" s="55">
        <f t="shared" si="29"/>
        <v>331.71428571428567</v>
      </c>
    </row>
    <row r="38" spans="2:32" ht="23.1" customHeight="1" x14ac:dyDescent="0.25">
      <c r="B38" s="24" t="s">
        <v>65</v>
      </c>
      <c r="C38" s="49">
        <f>'Avg Week Kumi-Soroti'!C38+'Avg Week Soroti-Kumi'!C38</f>
        <v>2.8571428571428572</v>
      </c>
      <c r="D38" s="49">
        <f>'Avg Week Kumi-Soroti'!D38+'Avg Week Soroti-Kumi'!D38</f>
        <v>1.1428571428571428</v>
      </c>
      <c r="E38" s="49">
        <f>'Avg Week Kumi-Soroti'!E38+'Avg Week Soroti-Kumi'!E38</f>
        <v>3.8571428571428572</v>
      </c>
      <c r="F38" s="49">
        <f>'Avg Week Kumi-Soroti'!F38+'Avg Week Soroti-Kumi'!F38</f>
        <v>4.8571428571428577</v>
      </c>
      <c r="G38" s="49">
        <f>'Avg Week Kumi-Soroti'!G38+'Avg Week Soroti-Kumi'!G38</f>
        <v>0</v>
      </c>
      <c r="H38" s="49">
        <f>'Avg Week Kumi-Soroti'!H38+'Avg Week Soroti-Kumi'!H38</f>
        <v>0.42857142857142855</v>
      </c>
      <c r="I38" s="49">
        <f>'Avg Week Kumi-Soroti'!I38+'Avg Week Soroti-Kumi'!I38</f>
        <v>3.2857142857142856</v>
      </c>
      <c r="J38" s="49">
        <f>'Avg Week Kumi-Soroti'!J38+'Avg Week Soroti-Kumi'!J38</f>
        <v>0.42857142857142855</v>
      </c>
      <c r="K38" s="49">
        <f>'Avg Week Kumi-Soroti'!K38+'Avg Week Soroti-Kumi'!K38</f>
        <v>0.14285714285714285</v>
      </c>
      <c r="L38" s="49">
        <f>'Avg Week Kumi-Soroti'!L38+'Avg Week Soroti-Kumi'!L38</f>
        <v>4.2857142857142856</v>
      </c>
      <c r="M38" s="49">
        <f>'Avg Week Kumi-Soroti'!M38+'Avg Week Soroti-Kumi'!M38</f>
        <v>9.5714285714285712</v>
      </c>
      <c r="N38" s="49">
        <f>'Avg Week Kumi-Soroti'!N38+'Avg Week Soroti-Kumi'!N38</f>
        <v>0</v>
      </c>
      <c r="O38" s="15">
        <f t="shared" si="0"/>
        <v>21.285714285714285</v>
      </c>
      <c r="P38" s="15">
        <f t="shared" si="1"/>
        <v>30.857142857142854</v>
      </c>
      <c r="R38" s="28" t="s">
        <v>86</v>
      </c>
      <c r="S38" s="54">
        <f t="shared" ref="S38:AF38" si="30">SUM(S13:S18)</f>
        <v>65.142857142857139</v>
      </c>
      <c r="T38" s="54">
        <f t="shared" si="30"/>
        <v>40</v>
      </c>
      <c r="U38" s="54">
        <f t="shared" si="30"/>
        <v>120.42857142857142</v>
      </c>
      <c r="V38" s="54">
        <f t="shared" si="30"/>
        <v>116.85714285714286</v>
      </c>
      <c r="W38" s="54">
        <f t="shared" si="30"/>
        <v>3.1428571428571423</v>
      </c>
      <c r="X38" s="54">
        <f t="shared" si="30"/>
        <v>19.714285714285712</v>
      </c>
      <c r="Y38" s="54">
        <f t="shared" si="30"/>
        <v>67.142857142857139</v>
      </c>
      <c r="Z38" s="54">
        <f t="shared" si="30"/>
        <v>13.714285714285715</v>
      </c>
      <c r="AA38" s="54">
        <f t="shared" si="30"/>
        <v>3.4285714285714279</v>
      </c>
      <c r="AB38" s="54">
        <f t="shared" si="30"/>
        <v>83.142857142857139</v>
      </c>
      <c r="AC38" s="54">
        <f t="shared" si="30"/>
        <v>286.42857142857144</v>
      </c>
      <c r="AD38" s="54">
        <f t="shared" si="30"/>
        <v>0.42857142857142855</v>
      </c>
      <c r="AE38" s="55">
        <f t="shared" si="30"/>
        <v>533.14285714285711</v>
      </c>
      <c r="AF38" s="55">
        <f t="shared" si="30"/>
        <v>819.57142857142844</v>
      </c>
    </row>
    <row r="39" spans="2:32" ht="23.1" customHeight="1" x14ac:dyDescent="0.25">
      <c r="B39" s="24" t="s">
        <v>66</v>
      </c>
      <c r="C39" s="49">
        <f>'Avg Week Kumi-Soroti'!C39+'Avg Week Soroti-Kumi'!C39</f>
        <v>2.1428571428571428</v>
      </c>
      <c r="D39" s="49">
        <f>'Avg Week Kumi-Soroti'!D39+'Avg Week Soroti-Kumi'!D39</f>
        <v>1.2857142857142856</v>
      </c>
      <c r="E39" s="49">
        <f>'Avg Week Kumi-Soroti'!E39+'Avg Week Soroti-Kumi'!E39</f>
        <v>4.7142857142857144</v>
      </c>
      <c r="F39" s="49">
        <f>'Avg Week Kumi-Soroti'!F39+'Avg Week Soroti-Kumi'!F39</f>
        <v>4.4285714285714288</v>
      </c>
      <c r="G39" s="49">
        <f>'Avg Week Kumi-Soroti'!G39+'Avg Week Soroti-Kumi'!G39</f>
        <v>0.2857142857142857</v>
      </c>
      <c r="H39" s="49">
        <f>'Avg Week Kumi-Soroti'!H39+'Avg Week Soroti-Kumi'!H39</f>
        <v>0.5714285714285714</v>
      </c>
      <c r="I39" s="49">
        <f>'Avg Week Kumi-Soroti'!I39+'Avg Week Soroti-Kumi'!I39</f>
        <v>3.4285714285714284</v>
      </c>
      <c r="J39" s="49">
        <f>'Avg Week Kumi-Soroti'!J39+'Avg Week Soroti-Kumi'!J39</f>
        <v>0.2857142857142857</v>
      </c>
      <c r="K39" s="49">
        <f>'Avg Week Kumi-Soroti'!K39+'Avg Week Soroti-Kumi'!K39</f>
        <v>0</v>
      </c>
      <c r="L39" s="49">
        <f>'Avg Week Kumi-Soroti'!L39+'Avg Week Soroti-Kumi'!L39</f>
        <v>3.2857142857142856</v>
      </c>
      <c r="M39" s="49">
        <f>'Avg Week Kumi-Soroti'!M39+'Avg Week Soroti-Kumi'!M39</f>
        <v>8.8571428571428577</v>
      </c>
      <c r="N39" s="49">
        <f>'Avg Week Kumi-Soroti'!N39+'Avg Week Soroti-Kumi'!N39</f>
        <v>0</v>
      </c>
      <c r="O39" s="15">
        <f t="shared" si="0"/>
        <v>20.428571428571427</v>
      </c>
      <c r="P39" s="15">
        <f t="shared" si="1"/>
        <v>29.285714285714285</v>
      </c>
      <c r="R39" s="29" t="s">
        <v>87</v>
      </c>
      <c r="S39" s="54">
        <f t="shared" ref="S39:AF39" si="31">SUM(S19:S21)</f>
        <v>35.714285714285708</v>
      </c>
      <c r="T39" s="54">
        <f t="shared" si="31"/>
        <v>23.428571428571431</v>
      </c>
      <c r="U39" s="54">
        <f t="shared" si="31"/>
        <v>64.714285714285722</v>
      </c>
      <c r="V39" s="54">
        <f t="shared" si="31"/>
        <v>64.571428571428569</v>
      </c>
      <c r="W39" s="54">
        <f t="shared" si="31"/>
        <v>1.5714285714285712</v>
      </c>
      <c r="X39" s="54">
        <f t="shared" si="31"/>
        <v>5.5714285714285712</v>
      </c>
      <c r="Y39" s="54">
        <f t="shared" si="31"/>
        <v>47.428571428571431</v>
      </c>
      <c r="Z39" s="54">
        <f t="shared" si="31"/>
        <v>9.7142857142857135</v>
      </c>
      <c r="AA39" s="54">
        <f t="shared" si="31"/>
        <v>3.5714285714285712</v>
      </c>
      <c r="AB39" s="54">
        <f t="shared" si="31"/>
        <v>54.428571428571423</v>
      </c>
      <c r="AC39" s="54">
        <f t="shared" si="31"/>
        <v>154.71428571428572</v>
      </c>
      <c r="AD39" s="54">
        <f t="shared" si="31"/>
        <v>0.14285714285714285</v>
      </c>
      <c r="AE39" s="55">
        <f t="shared" si="31"/>
        <v>310.85714285714283</v>
      </c>
      <c r="AF39" s="55">
        <f t="shared" si="31"/>
        <v>465.57142857142856</v>
      </c>
    </row>
    <row r="40" spans="2:32" ht="23.1" customHeight="1" x14ac:dyDescent="0.25">
      <c r="B40" s="24" t="s">
        <v>67</v>
      </c>
      <c r="C40" s="49">
        <f>'Avg Week Kumi-Soroti'!C40+'Avg Week Soroti-Kumi'!C40</f>
        <v>2.7142857142857144</v>
      </c>
      <c r="D40" s="49">
        <f>'Avg Week Kumi-Soroti'!D40+'Avg Week Soroti-Kumi'!D40</f>
        <v>2.8571428571428572</v>
      </c>
      <c r="E40" s="49">
        <f>'Avg Week Kumi-Soroti'!E40+'Avg Week Soroti-Kumi'!E40</f>
        <v>6.5714285714285712</v>
      </c>
      <c r="F40" s="49">
        <f>'Avg Week Kumi-Soroti'!F40+'Avg Week Soroti-Kumi'!F40</f>
        <v>5.4285714285714288</v>
      </c>
      <c r="G40" s="49">
        <f>'Avg Week Kumi-Soroti'!G40+'Avg Week Soroti-Kumi'!G40</f>
        <v>0.14285714285714285</v>
      </c>
      <c r="H40" s="49">
        <f>'Avg Week Kumi-Soroti'!H40+'Avg Week Soroti-Kumi'!H40</f>
        <v>0.5714285714285714</v>
      </c>
      <c r="I40" s="49">
        <f>'Avg Week Kumi-Soroti'!I40+'Avg Week Soroti-Kumi'!I40</f>
        <v>3</v>
      </c>
      <c r="J40" s="49">
        <f>'Avg Week Kumi-Soroti'!J40+'Avg Week Soroti-Kumi'!J40</f>
        <v>1</v>
      </c>
      <c r="K40" s="49">
        <f>'Avg Week Kumi-Soroti'!K40+'Avg Week Soroti-Kumi'!K40</f>
        <v>0</v>
      </c>
      <c r="L40" s="49">
        <f>'Avg Week Kumi-Soroti'!L40+'Avg Week Soroti-Kumi'!L40</f>
        <v>4.7142857142857135</v>
      </c>
      <c r="M40" s="49">
        <f>'Avg Week Kumi-Soroti'!M40+'Avg Week Soroti-Kumi'!M40</f>
        <v>11</v>
      </c>
      <c r="N40" s="49">
        <f>'Avg Week Kumi-Soroti'!N40+'Avg Week Soroti-Kumi'!N40</f>
        <v>0.14285714285714285</v>
      </c>
      <c r="O40" s="15">
        <f t="shared" si="0"/>
        <v>27.142857142857142</v>
      </c>
      <c r="P40" s="15">
        <f t="shared" si="1"/>
        <v>38.142857142857146</v>
      </c>
      <c r="R40" s="5" t="s">
        <v>17</v>
      </c>
      <c r="S40" s="54">
        <f t="shared" ref="S40:AF40" si="32">SUM(S10:S21)</f>
        <v>123.14285714285712</v>
      </c>
      <c r="T40" s="54">
        <f t="shared" si="32"/>
        <v>74.142857142857153</v>
      </c>
      <c r="U40" s="54">
        <f t="shared" si="32"/>
        <v>223.42857142857142</v>
      </c>
      <c r="V40" s="54">
        <f t="shared" si="32"/>
        <v>221.14285714285717</v>
      </c>
      <c r="W40" s="54">
        <f t="shared" si="32"/>
        <v>6</v>
      </c>
      <c r="X40" s="54">
        <f t="shared" si="32"/>
        <v>33.571428571428569</v>
      </c>
      <c r="Y40" s="54">
        <f t="shared" si="32"/>
        <v>137.42857142857142</v>
      </c>
      <c r="Z40" s="54">
        <f t="shared" si="32"/>
        <v>30.571428571428577</v>
      </c>
      <c r="AA40" s="54">
        <f t="shared" si="32"/>
        <v>8</v>
      </c>
      <c r="AB40" s="54">
        <f t="shared" si="32"/>
        <v>172.42857142857142</v>
      </c>
      <c r="AC40" s="54">
        <f t="shared" si="32"/>
        <v>586.42857142857144</v>
      </c>
      <c r="AD40" s="54">
        <f t="shared" si="32"/>
        <v>0.5714285714285714</v>
      </c>
      <c r="AE40" s="55">
        <f t="shared" si="32"/>
        <v>1030.4285714285716</v>
      </c>
      <c r="AF40" s="55">
        <f t="shared" si="32"/>
        <v>1616.8571428571429</v>
      </c>
    </row>
    <row r="41" spans="2:32" ht="23.1" customHeight="1" x14ac:dyDescent="0.25">
      <c r="B41" s="23" t="s">
        <v>68</v>
      </c>
      <c r="C41" s="49">
        <f>'Avg Week Kumi-Soroti'!C41+'Avg Week Soroti-Kumi'!C41</f>
        <v>1.7142857142857142</v>
      </c>
      <c r="D41" s="49">
        <f>'Avg Week Kumi-Soroti'!D41+'Avg Week Soroti-Kumi'!D41</f>
        <v>1.2857142857142856</v>
      </c>
      <c r="E41" s="49">
        <f>'Avg Week Kumi-Soroti'!E41+'Avg Week Soroti-Kumi'!E41</f>
        <v>4</v>
      </c>
      <c r="F41" s="49">
        <f>'Avg Week Kumi-Soroti'!F41+'Avg Week Soroti-Kumi'!F41</f>
        <v>5.4285714285714288</v>
      </c>
      <c r="G41" s="49">
        <f>'Avg Week Kumi-Soroti'!G41+'Avg Week Soroti-Kumi'!G41</f>
        <v>0</v>
      </c>
      <c r="H41" s="49">
        <f>'Avg Week Kumi-Soroti'!H41+'Avg Week Soroti-Kumi'!H41</f>
        <v>0.2857142857142857</v>
      </c>
      <c r="I41" s="49">
        <f>'Avg Week Kumi-Soroti'!I41+'Avg Week Soroti-Kumi'!I41</f>
        <v>3.5714285714285712</v>
      </c>
      <c r="J41" s="49">
        <f>'Avg Week Kumi-Soroti'!J41+'Avg Week Soroti-Kumi'!J41</f>
        <v>0</v>
      </c>
      <c r="K41" s="49">
        <f>'Avg Week Kumi-Soroti'!K41+'Avg Week Soroti-Kumi'!K41</f>
        <v>0</v>
      </c>
      <c r="L41" s="49">
        <f>'Avg Week Kumi-Soroti'!L41+'Avg Week Soroti-Kumi'!L41</f>
        <v>2.4285714285714288</v>
      </c>
      <c r="M41" s="49">
        <f>'Avg Week Kumi-Soroti'!M41+'Avg Week Soroti-Kumi'!M41</f>
        <v>7.7142857142857144</v>
      </c>
      <c r="N41" s="49">
        <f>'Avg Week Kumi-Soroti'!N41+'Avg Week Soroti-Kumi'!N41</f>
        <v>0</v>
      </c>
      <c r="O41" s="15">
        <f t="shared" si="0"/>
        <v>18.714285714285715</v>
      </c>
      <c r="P41" s="15">
        <f t="shared" si="1"/>
        <v>26.428571428571431</v>
      </c>
      <c r="R41" s="5" t="s">
        <v>175</v>
      </c>
      <c r="S41" s="54">
        <f>SUM(S10:S33)</f>
        <v>182.14285714285711</v>
      </c>
      <c r="T41" s="54">
        <f t="shared" ref="T41:AD41" si="33">SUM(T10:T33)</f>
        <v>90.642857142857153</v>
      </c>
      <c r="U41" s="54">
        <f t="shared" si="33"/>
        <v>303.92857142857144</v>
      </c>
      <c r="V41" s="54">
        <f t="shared" si="33"/>
        <v>281.64285714285717</v>
      </c>
      <c r="W41" s="54">
        <f t="shared" si="33"/>
        <v>8</v>
      </c>
      <c r="X41" s="54">
        <f t="shared" si="33"/>
        <v>57.071428571428569</v>
      </c>
      <c r="Y41" s="54">
        <f t="shared" si="33"/>
        <v>234.92857142857142</v>
      </c>
      <c r="Z41" s="54">
        <f t="shared" si="33"/>
        <v>53.071428571428577</v>
      </c>
      <c r="AA41" s="54">
        <f t="shared" si="33"/>
        <v>18.5</v>
      </c>
      <c r="AB41" s="54">
        <f t="shared" si="33"/>
        <v>375.42857142857144</v>
      </c>
      <c r="AC41" s="54">
        <f t="shared" si="33"/>
        <v>736.92857142857144</v>
      </c>
      <c r="AD41" s="54">
        <f t="shared" si="33"/>
        <v>0.5714285714285714</v>
      </c>
      <c r="AE41" s="55">
        <f>SUM(AE10:AE33)</f>
        <v>1605.9285714285716</v>
      </c>
      <c r="AF41" s="55">
        <f>SUM(AF10:AF33)</f>
        <v>2342.8571428571431</v>
      </c>
    </row>
    <row r="42" spans="2:32" ht="23.1" customHeight="1" x14ac:dyDescent="0.25">
      <c r="B42" s="24" t="s">
        <v>69</v>
      </c>
      <c r="C42" s="49">
        <f>'Avg Week Kumi-Soroti'!C42+'Avg Week Soroti-Kumi'!C42</f>
        <v>3.1428571428571428</v>
      </c>
      <c r="D42" s="49">
        <f>'Avg Week Kumi-Soroti'!D42+'Avg Week Soroti-Kumi'!D42</f>
        <v>2.7142857142857144</v>
      </c>
      <c r="E42" s="49">
        <f>'Avg Week Kumi-Soroti'!E42+'Avg Week Soroti-Kumi'!E42</f>
        <v>6</v>
      </c>
      <c r="F42" s="49">
        <f>'Avg Week Kumi-Soroti'!F42+'Avg Week Soroti-Kumi'!F42</f>
        <v>5.7142857142857144</v>
      </c>
      <c r="G42" s="49">
        <f>'Avg Week Kumi-Soroti'!G42+'Avg Week Soroti-Kumi'!G42</f>
        <v>0.2857142857142857</v>
      </c>
      <c r="H42" s="49">
        <f>'Avg Week Kumi-Soroti'!H42+'Avg Week Soroti-Kumi'!H42</f>
        <v>0.5714285714285714</v>
      </c>
      <c r="I42" s="49">
        <f>'Avg Week Kumi-Soroti'!I42+'Avg Week Soroti-Kumi'!I42</f>
        <v>2.714285714285714</v>
      </c>
      <c r="J42" s="49">
        <f>'Avg Week Kumi-Soroti'!J42+'Avg Week Soroti-Kumi'!J42</f>
        <v>0.42857142857142855</v>
      </c>
      <c r="K42" s="49">
        <f>'Avg Week Kumi-Soroti'!K42+'Avg Week Soroti-Kumi'!K42</f>
        <v>0</v>
      </c>
      <c r="L42" s="49">
        <f>'Avg Week Kumi-Soroti'!L42+'Avg Week Soroti-Kumi'!L42</f>
        <v>4.7142857142857135</v>
      </c>
      <c r="M42" s="49">
        <f>'Avg Week Kumi-Soroti'!M42+'Avg Week Soroti-Kumi'!M42</f>
        <v>9</v>
      </c>
      <c r="N42" s="49">
        <f>'Avg Week Kumi-Soroti'!N42+'Avg Week Soroti-Kumi'!N42</f>
        <v>0</v>
      </c>
      <c r="O42" s="15">
        <f t="shared" si="0"/>
        <v>26.285714285714285</v>
      </c>
      <c r="P42" s="15">
        <f t="shared" si="1"/>
        <v>35.285714285714285</v>
      </c>
      <c r="R42" s="5" t="s">
        <v>160</v>
      </c>
      <c r="S42" s="48">
        <f>S41/S40</f>
        <v>1.4791183294663572</v>
      </c>
      <c r="T42" s="48">
        <f t="shared" ref="T42:AF42" si="34">T41/T40</f>
        <v>1.222543352601156</v>
      </c>
      <c r="U42" s="48">
        <f t="shared" si="34"/>
        <v>1.3602941176470589</v>
      </c>
      <c r="V42" s="48">
        <f t="shared" si="34"/>
        <v>1.273578811369509</v>
      </c>
      <c r="W42" s="48">
        <f t="shared" si="34"/>
        <v>1.3333333333333333</v>
      </c>
      <c r="X42" s="48">
        <f t="shared" si="34"/>
        <v>1.7</v>
      </c>
      <c r="Y42" s="48">
        <f t="shared" si="34"/>
        <v>1.7094594594594594</v>
      </c>
      <c r="Z42" s="48">
        <f t="shared" si="34"/>
        <v>1.7359813084112148</v>
      </c>
      <c r="AA42" s="48">
        <f t="shared" si="34"/>
        <v>2.3125</v>
      </c>
      <c r="AB42" s="48">
        <f t="shared" si="34"/>
        <v>2.1772990886495447</v>
      </c>
      <c r="AC42" s="48">
        <f t="shared" si="34"/>
        <v>1.2566382460414129</v>
      </c>
      <c r="AD42" s="48">
        <f t="shared" si="34"/>
        <v>1</v>
      </c>
      <c r="AE42" s="56">
        <f t="shared" si="34"/>
        <v>1.5585054762234853</v>
      </c>
      <c r="AF42" s="56">
        <f t="shared" si="34"/>
        <v>1.4490192613535962</v>
      </c>
    </row>
    <row r="43" spans="2:32" ht="23.1" customHeight="1" x14ac:dyDescent="0.25">
      <c r="B43" s="23" t="s">
        <v>70</v>
      </c>
      <c r="C43" s="49">
        <f>'Avg Week Kumi-Soroti'!C43+'Avg Week Soroti-Kumi'!C43</f>
        <v>3.1428571428571428</v>
      </c>
      <c r="D43" s="49">
        <f>'Avg Week Kumi-Soroti'!D43+'Avg Week Soroti-Kumi'!D43</f>
        <v>2</v>
      </c>
      <c r="E43" s="49">
        <f>'Avg Week Kumi-Soroti'!E43+'Avg Week Soroti-Kumi'!E43</f>
        <v>5.4285714285714288</v>
      </c>
      <c r="F43" s="49">
        <f>'Avg Week Kumi-Soroti'!F43+'Avg Week Soroti-Kumi'!F43</f>
        <v>4</v>
      </c>
      <c r="G43" s="49">
        <f>'Avg Week Kumi-Soroti'!G43+'Avg Week Soroti-Kumi'!G43</f>
        <v>0</v>
      </c>
      <c r="H43" s="49">
        <f>'Avg Week Kumi-Soroti'!H43+'Avg Week Soroti-Kumi'!H43</f>
        <v>0.85714285714285721</v>
      </c>
      <c r="I43" s="49">
        <f>'Avg Week Kumi-Soroti'!I43+'Avg Week Soroti-Kumi'!I43</f>
        <v>3.5714285714285712</v>
      </c>
      <c r="J43" s="49">
        <f>'Avg Week Kumi-Soroti'!J43+'Avg Week Soroti-Kumi'!J43</f>
        <v>0.5714285714285714</v>
      </c>
      <c r="K43" s="49">
        <f>'Avg Week Kumi-Soroti'!K43+'Avg Week Soroti-Kumi'!K43</f>
        <v>0</v>
      </c>
      <c r="L43" s="49">
        <f>'Avg Week Kumi-Soroti'!L43+'Avg Week Soroti-Kumi'!L43</f>
        <v>3.7142857142857144</v>
      </c>
      <c r="M43" s="49">
        <f>'Avg Week Kumi-Soroti'!M43+'Avg Week Soroti-Kumi'!M43</f>
        <v>10.714285714285714</v>
      </c>
      <c r="N43" s="49">
        <f>'Avg Week Kumi-Soroti'!N43+'Avg Week Soroti-Kumi'!N43</f>
        <v>0</v>
      </c>
      <c r="O43" s="15">
        <f t="shared" si="0"/>
        <v>23.285714285714288</v>
      </c>
      <c r="P43" s="15">
        <f t="shared" si="1"/>
        <v>34</v>
      </c>
    </row>
    <row r="44" spans="2:32" ht="23.1" customHeight="1" x14ac:dyDescent="0.25">
      <c r="B44" s="25" t="s">
        <v>71</v>
      </c>
      <c r="C44" s="49">
        <f>'Avg Week Kumi-Soroti'!C44+'Avg Week Soroti-Kumi'!C44</f>
        <v>2.7142857142857144</v>
      </c>
      <c r="D44" s="49">
        <f>'Avg Week Kumi-Soroti'!D44+'Avg Week Soroti-Kumi'!D44</f>
        <v>2.4285714285714284</v>
      </c>
      <c r="E44" s="49">
        <f>'Avg Week Kumi-Soroti'!E44+'Avg Week Soroti-Kumi'!E44</f>
        <v>6.8571428571428577</v>
      </c>
      <c r="F44" s="49">
        <f>'Avg Week Kumi-Soroti'!F44+'Avg Week Soroti-Kumi'!F44</f>
        <v>5.8571428571428568</v>
      </c>
      <c r="G44" s="49">
        <f>'Avg Week Kumi-Soroti'!G44+'Avg Week Soroti-Kumi'!G44</f>
        <v>0.14285714285714285</v>
      </c>
      <c r="H44" s="49">
        <f>'Avg Week Kumi-Soroti'!H44+'Avg Week Soroti-Kumi'!H44</f>
        <v>0.5714285714285714</v>
      </c>
      <c r="I44" s="49">
        <f>'Avg Week Kumi-Soroti'!I44+'Avg Week Soroti-Kumi'!I44</f>
        <v>3.7142857142857144</v>
      </c>
      <c r="J44" s="49">
        <f>'Avg Week Kumi-Soroti'!J44+'Avg Week Soroti-Kumi'!J44</f>
        <v>0.71428571428571419</v>
      </c>
      <c r="K44" s="49">
        <f>'Avg Week Kumi-Soroti'!K44+'Avg Week Soroti-Kumi'!K44</f>
        <v>0.5714285714285714</v>
      </c>
      <c r="L44" s="49">
        <f>'Avg Week Kumi-Soroti'!L44+'Avg Week Soroti-Kumi'!L44</f>
        <v>4.8571428571428577</v>
      </c>
      <c r="M44" s="49">
        <f>'Avg Week Kumi-Soroti'!M44+'Avg Week Soroti-Kumi'!M44</f>
        <v>13.142857142857142</v>
      </c>
      <c r="N44" s="49">
        <f>'Avg Week Kumi-Soroti'!N44+'Avg Week Soroti-Kumi'!N44</f>
        <v>0</v>
      </c>
      <c r="O44" s="15">
        <f t="shared" si="0"/>
        <v>28.428571428571434</v>
      </c>
      <c r="P44" s="15">
        <f t="shared" si="1"/>
        <v>41.571428571428577</v>
      </c>
    </row>
    <row r="45" spans="2:32" ht="23.1" customHeight="1" x14ac:dyDescent="0.25">
      <c r="B45" s="23" t="s">
        <v>72</v>
      </c>
      <c r="C45" s="49">
        <f>'Avg Week Kumi-Soroti'!C45+'Avg Week Soroti-Kumi'!C45</f>
        <v>2.7142857142857144</v>
      </c>
      <c r="D45" s="49">
        <f>'Avg Week Kumi-Soroti'!D45+'Avg Week Soroti-Kumi'!D45</f>
        <v>2.1428571428571428</v>
      </c>
      <c r="E45" s="49">
        <f>'Avg Week Kumi-Soroti'!E45+'Avg Week Soroti-Kumi'!E45</f>
        <v>5.8571428571428577</v>
      </c>
      <c r="F45" s="49">
        <f>'Avg Week Kumi-Soroti'!F45+'Avg Week Soroti-Kumi'!F45</f>
        <v>4.2857142857142856</v>
      </c>
      <c r="G45" s="49">
        <f>'Avg Week Kumi-Soroti'!G45+'Avg Week Soroti-Kumi'!G45</f>
        <v>0.2857142857142857</v>
      </c>
      <c r="H45" s="49">
        <f>'Avg Week Kumi-Soroti'!H45+'Avg Week Soroti-Kumi'!H45</f>
        <v>0</v>
      </c>
      <c r="I45" s="49">
        <f>'Avg Week Kumi-Soroti'!I45+'Avg Week Soroti-Kumi'!I45</f>
        <v>1.8571428571428572</v>
      </c>
      <c r="J45" s="49">
        <f>'Avg Week Kumi-Soroti'!J45+'Avg Week Soroti-Kumi'!J45</f>
        <v>1</v>
      </c>
      <c r="K45" s="49">
        <f>'Avg Week Kumi-Soroti'!K45+'Avg Week Soroti-Kumi'!K45</f>
        <v>0.14285714285714285</v>
      </c>
      <c r="L45" s="49">
        <f>'Avg Week Kumi-Soroti'!L45+'Avg Week Soroti-Kumi'!L45</f>
        <v>3.4285714285714288</v>
      </c>
      <c r="M45" s="49">
        <f>'Avg Week Kumi-Soroti'!M45+'Avg Week Soroti-Kumi'!M45</f>
        <v>11.142857142857142</v>
      </c>
      <c r="N45" s="49">
        <f>'Avg Week Kumi-Soroti'!N45+'Avg Week Soroti-Kumi'!N45</f>
        <v>0</v>
      </c>
      <c r="O45" s="15">
        <f t="shared" si="0"/>
        <v>21.714285714285715</v>
      </c>
      <c r="P45" s="15">
        <f t="shared" si="1"/>
        <v>32.857142857142861</v>
      </c>
    </row>
    <row r="46" spans="2:32" ht="23.1" customHeight="1" x14ac:dyDescent="0.25">
      <c r="B46" s="24" t="s">
        <v>73</v>
      </c>
      <c r="C46" s="49">
        <f>'Avg Week Kumi-Soroti'!C46+'Avg Week Soroti-Kumi'!C46</f>
        <v>2.5714285714285712</v>
      </c>
      <c r="D46" s="49">
        <f>'Avg Week Kumi-Soroti'!D46+'Avg Week Soroti-Kumi'!D46</f>
        <v>1</v>
      </c>
      <c r="E46" s="49">
        <f>'Avg Week Kumi-Soroti'!E46+'Avg Week Soroti-Kumi'!E46</f>
        <v>4</v>
      </c>
      <c r="F46" s="49">
        <f>'Avg Week Kumi-Soroti'!F46+'Avg Week Soroti-Kumi'!F46</f>
        <v>6.5714285714285712</v>
      </c>
      <c r="G46" s="49">
        <f>'Avg Week Kumi-Soroti'!G46+'Avg Week Soroti-Kumi'!G46</f>
        <v>0.5714285714285714</v>
      </c>
      <c r="H46" s="49">
        <f>'Avg Week Kumi-Soroti'!H46+'Avg Week Soroti-Kumi'!H46</f>
        <v>0.71428571428571419</v>
      </c>
      <c r="I46" s="49">
        <f>'Avg Week Kumi-Soroti'!I46+'Avg Week Soroti-Kumi'!I46</f>
        <v>4.2857142857142856</v>
      </c>
      <c r="J46" s="49">
        <f>'Avg Week Kumi-Soroti'!J46+'Avg Week Soroti-Kumi'!J46</f>
        <v>0.2857142857142857</v>
      </c>
      <c r="K46" s="49">
        <f>'Avg Week Kumi-Soroti'!K46+'Avg Week Soroti-Kumi'!K46</f>
        <v>0.14285714285714285</v>
      </c>
      <c r="L46" s="49">
        <f>'Avg Week Kumi-Soroti'!L46+'Avg Week Soroti-Kumi'!L46</f>
        <v>4.7142857142857144</v>
      </c>
      <c r="M46" s="49">
        <f>'Avg Week Kumi-Soroti'!M46+'Avg Week Soroti-Kumi'!M46</f>
        <v>10.285714285714286</v>
      </c>
      <c r="N46" s="49">
        <f>'Avg Week Kumi-Soroti'!N46+'Avg Week Soroti-Kumi'!N46</f>
        <v>0</v>
      </c>
      <c r="O46" s="15">
        <f t="shared" si="0"/>
        <v>24.857142857142854</v>
      </c>
      <c r="P46" s="15">
        <f t="shared" si="1"/>
        <v>35.142857142857139</v>
      </c>
      <c r="R46" s="8"/>
      <c r="T46"/>
    </row>
    <row r="47" spans="2:32" ht="23.1" customHeight="1" x14ac:dyDescent="0.25">
      <c r="B47" s="24" t="s">
        <v>74</v>
      </c>
      <c r="C47" s="49">
        <f>'Avg Week Kumi-Soroti'!C47+'Avg Week Soroti-Kumi'!C47</f>
        <v>3.2857142857142856</v>
      </c>
      <c r="D47" s="49">
        <f>'Avg Week Kumi-Soroti'!D47+'Avg Week Soroti-Kumi'!D47</f>
        <v>1.4285714285714286</v>
      </c>
      <c r="E47" s="49">
        <f>'Avg Week Kumi-Soroti'!E47+'Avg Week Soroti-Kumi'!E47</f>
        <v>5</v>
      </c>
      <c r="F47" s="49">
        <f>'Avg Week Kumi-Soroti'!F47+'Avg Week Soroti-Kumi'!F47</f>
        <v>4.5714285714285712</v>
      </c>
      <c r="G47" s="49">
        <f>'Avg Week Kumi-Soroti'!G47+'Avg Week Soroti-Kumi'!G47</f>
        <v>0.14285714285714285</v>
      </c>
      <c r="H47" s="49">
        <f>'Avg Week Kumi-Soroti'!H47+'Avg Week Soroti-Kumi'!H47</f>
        <v>0.5714285714285714</v>
      </c>
      <c r="I47" s="49">
        <f>'Avg Week Kumi-Soroti'!I47+'Avg Week Soroti-Kumi'!I47</f>
        <v>2.4285714285714288</v>
      </c>
      <c r="J47" s="49">
        <f>'Avg Week Kumi-Soroti'!J47+'Avg Week Soroti-Kumi'!J47</f>
        <v>0.5714285714285714</v>
      </c>
      <c r="K47" s="49">
        <f>'Avg Week Kumi-Soroti'!K47+'Avg Week Soroti-Kumi'!K47</f>
        <v>0</v>
      </c>
      <c r="L47" s="49">
        <f>'Avg Week Kumi-Soroti'!L47+'Avg Week Soroti-Kumi'!L47</f>
        <v>3.5714285714285712</v>
      </c>
      <c r="M47" s="49">
        <f>'Avg Week Kumi-Soroti'!M47+'Avg Week Soroti-Kumi'!M47</f>
        <v>10.285714285714286</v>
      </c>
      <c r="N47" s="49">
        <f>'Avg Week Kumi-Soroti'!N47+'Avg Week Soroti-Kumi'!N47</f>
        <v>0</v>
      </c>
      <c r="O47" s="15">
        <f t="shared" si="0"/>
        <v>21.571428571428577</v>
      </c>
      <c r="P47" s="15">
        <f t="shared" si="1"/>
        <v>31.857142857142861</v>
      </c>
      <c r="R47" s="8"/>
      <c r="T47"/>
    </row>
    <row r="48" spans="2:32" ht="23.1" customHeight="1" x14ac:dyDescent="0.25">
      <c r="B48" s="24" t="s">
        <v>75</v>
      </c>
      <c r="C48" s="49">
        <f>'Avg Week Kumi-Soroti'!C48+'Avg Week Soroti-Kumi'!C48</f>
        <v>2.5714285714285712</v>
      </c>
      <c r="D48" s="49">
        <f>'Avg Week Kumi-Soroti'!D48+'Avg Week Soroti-Kumi'!D48</f>
        <v>2.1428571428571428</v>
      </c>
      <c r="E48" s="49">
        <f>'Avg Week Kumi-Soroti'!E48+'Avg Week Soroti-Kumi'!E48</f>
        <v>5.8571428571428577</v>
      </c>
      <c r="F48" s="49">
        <f>'Avg Week Kumi-Soroti'!F48+'Avg Week Soroti-Kumi'!F48</f>
        <v>6</v>
      </c>
      <c r="G48" s="49">
        <f>'Avg Week Kumi-Soroti'!G48+'Avg Week Soroti-Kumi'!G48</f>
        <v>0</v>
      </c>
      <c r="H48" s="49">
        <f>'Avg Week Kumi-Soroti'!H48+'Avg Week Soroti-Kumi'!H48</f>
        <v>0.42857142857142855</v>
      </c>
      <c r="I48" s="49">
        <f>'Avg Week Kumi-Soroti'!I48+'Avg Week Soroti-Kumi'!I48</f>
        <v>4</v>
      </c>
      <c r="J48" s="49">
        <f>'Avg Week Kumi-Soroti'!J48+'Avg Week Soroti-Kumi'!J48</f>
        <v>0.5714285714285714</v>
      </c>
      <c r="K48" s="49">
        <f>'Avg Week Kumi-Soroti'!K48+'Avg Week Soroti-Kumi'!K48</f>
        <v>0.14285714285714285</v>
      </c>
      <c r="L48" s="49">
        <f>'Avg Week Kumi-Soroti'!L48+'Avg Week Soroti-Kumi'!L48</f>
        <v>2.1428571428571428</v>
      </c>
      <c r="M48" s="49">
        <f>'Avg Week Kumi-Soroti'!M48+'Avg Week Soroti-Kumi'!M48</f>
        <v>12.285714285714286</v>
      </c>
      <c r="N48" s="49">
        <f>'Avg Week Kumi-Soroti'!N48+'Avg Week Soroti-Kumi'!N48</f>
        <v>0</v>
      </c>
      <c r="O48" s="15">
        <f t="shared" si="0"/>
        <v>23.857142857142854</v>
      </c>
      <c r="P48" s="15">
        <f t="shared" si="1"/>
        <v>36.142857142857139</v>
      </c>
      <c r="R48" s="8"/>
      <c r="T48"/>
    </row>
    <row r="49" spans="2:20" ht="23.1" customHeight="1" x14ac:dyDescent="0.25">
      <c r="B49" s="23" t="s">
        <v>76</v>
      </c>
      <c r="C49" s="49">
        <f>'Avg Week Kumi-Soroti'!C49+'Avg Week Soroti-Kumi'!C49</f>
        <v>3.7142857142857144</v>
      </c>
      <c r="D49" s="49">
        <f>'Avg Week Kumi-Soroti'!D49+'Avg Week Soroti-Kumi'!D49</f>
        <v>2.5714285714285712</v>
      </c>
      <c r="E49" s="49">
        <f>'Avg Week Kumi-Soroti'!E49+'Avg Week Soroti-Kumi'!E49</f>
        <v>6</v>
      </c>
      <c r="F49" s="49">
        <f>'Avg Week Kumi-Soroti'!F49+'Avg Week Soroti-Kumi'!F49</f>
        <v>7.5714285714285712</v>
      </c>
      <c r="G49" s="49">
        <f>'Avg Week Kumi-Soroti'!G49+'Avg Week Soroti-Kumi'!G49</f>
        <v>0</v>
      </c>
      <c r="H49" s="49">
        <f>'Avg Week Kumi-Soroti'!H49+'Avg Week Soroti-Kumi'!H49</f>
        <v>0.5714285714285714</v>
      </c>
      <c r="I49" s="49">
        <f>'Avg Week Kumi-Soroti'!I49+'Avg Week Soroti-Kumi'!I49</f>
        <v>2.8571428571428568</v>
      </c>
      <c r="J49" s="49">
        <f>'Avg Week Kumi-Soroti'!J49+'Avg Week Soroti-Kumi'!J49</f>
        <v>0.71428571428571419</v>
      </c>
      <c r="K49" s="49">
        <f>'Avg Week Kumi-Soroti'!K49+'Avg Week Soroti-Kumi'!K49</f>
        <v>0.14285714285714285</v>
      </c>
      <c r="L49" s="49">
        <f>'Avg Week Kumi-Soroti'!L49+'Avg Week Soroti-Kumi'!L49</f>
        <v>6.1428571428571423</v>
      </c>
      <c r="M49" s="49">
        <f>'Avg Week Kumi-Soroti'!M49+'Avg Week Soroti-Kumi'!M49</f>
        <v>10.428571428571429</v>
      </c>
      <c r="N49" s="49">
        <f>'Avg Week Kumi-Soroti'!N49+'Avg Week Soroti-Kumi'!N49</f>
        <v>0</v>
      </c>
      <c r="O49" s="15">
        <f t="shared" si="0"/>
        <v>30.285714285714285</v>
      </c>
      <c r="P49" s="15">
        <f t="shared" si="1"/>
        <v>40.714285714285715</v>
      </c>
      <c r="R49" s="8"/>
      <c r="T49"/>
    </row>
    <row r="50" spans="2:20" ht="23.1" customHeight="1" x14ac:dyDescent="0.25">
      <c r="B50" s="24" t="s">
        <v>77</v>
      </c>
      <c r="C50" s="49">
        <f>'Avg Week Kumi-Soroti'!C50+'Avg Week Soroti-Kumi'!C50</f>
        <v>2.5714285714285712</v>
      </c>
      <c r="D50" s="49">
        <f>'Avg Week Kumi-Soroti'!D50+'Avg Week Soroti-Kumi'!D50</f>
        <v>1.8571428571428572</v>
      </c>
      <c r="E50" s="49">
        <f>'Avg Week Kumi-Soroti'!E50+'Avg Week Soroti-Kumi'!E50</f>
        <v>5.4285714285714288</v>
      </c>
      <c r="F50" s="49">
        <f>'Avg Week Kumi-Soroti'!F50+'Avg Week Soroti-Kumi'!F50</f>
        <v>6.1428571428571423</v>
      </c>
      <c r="G50" s="49">
        <f>'Avg Week Kumi-Soroti'!G50+'Avg Week Soroti-Kumi'!G50</f>
        <v>0</v>
      </c>
      <c r="H50" s="49">
        <f>'Avg Week Kumi-Soroti'!H50+'Avg Week Soroti-Kumi'!H50</f>
        <v>0.42857142857142855</v>
      </c>
      <c r="I50" s="49">
        <f>'Avg Week Kumi-Soroti'!I50+'Avg Week Soroti-Kumi'!I50</f>
        <v>3.5714285714285712</v>
      </c>
      <c r="J50" s="49">
        <f>'Avg Week Kumi-Soroti'!J50+'Avg Week Soroti-Kumi'!J50</f>
        <v>0.42857142857142855</v>
      </c>
      <c r="K50" s="49">
        <f>'Avg Week Kumi-Soroti'!K50+'Avg Week Soroti-Kumi'!K50</f>
        <v>0.71428571428571419</v>
      </c>
      <c r="L50" s="49">
        <f>'Avg Week Kumi-Soroti'!L50+'Avg Week Soroti-Kumi'!L50</f>
        <v>4.4285714285714288</v>
      </c>
      <c r="M50" s="49">
        <f>'Avg Week Kumi-Soroti'!M50+'Avg Week Soroti-Kumi'!M50</f>
        <v>15.428571428571429</v>
      </c>
      <c r="N50" s="49">
        <f>'Avg Week Kumi-Soroti'!N50+'Avg Week Soroti-Kumi'!N50</f>
        <v>0.14285714285714285</v>
      </c>
      <c r="O50" s="15">
        <f t="shared" si="0"/>
        <v>25.714285714285712</v>
      </c>
      <c r="P50" s="15">
        <f t="shared" si="1"/>
        <v>41.142857142857146</v>
      </c>
      <c r="R50" s="8"/>
      <c r="T50"/>
    </row>
    <row r="51" spans="2:20" ht="23.1" customHeight="1" x14ac:dyDescent="0.25">
      <c r="B51" s="24" t="s">
        <v>78</v>
      </c>
      <c r="C51" s="49">
        <f>'Avg Week Kumi-Soroti'!C51+'Avg Week Soroti-Kumi'!C51</f>
        <v>2.5714285714285712</v>
      </c>
      <c r="D51" s="49">
        <f>'Avg Week Kumi-Soroti'!D51+'Avg Week Soroti-Kumi'!D51</f>
        <v>2.1428571428571428</v>
      </c>
      <c r="E51" s="49">
        <f>'Avg Week Kumi-Soroti'!E51+'Avg Week Soroti-Kumi'!E51</f>
        <v>5.4285714285714288</v>
      </c>
      <c r="F51" s="49">
        <f>'Avg Week Kumi-Soroti'!F51+'Avg Week Soroti-Kumi'!F51</f>
        <v>5.4285714285714288</v>
      </c>
      <c r="G51" s="49">
        <f>'Avg Week Kumi-Soroti'!G51+'Avg Week Soroti-Kumi'!G51</f>
        <v>0</v>
      </c>
      <c r="H51" s="49">
        <f>'Avg Week Kumi-Soroti'!H51+'Avg Week Soroti-Kumi'!H51</f>
        <v>0.5714285714285714</v>
      </c>
      <c r="I51" s="49">
        <f>'Avg Week Kumi-Soroti'!I51+'Avg Week Soroti-Kumi'!I51</f>
        <v>4.7142857142857144</v>
      </c>
      <c r="J51" s="49">
        <f>'Avg Week Kumi-Soroti'!J51+'Avg Week Soroti-Kumi'!J51</f>
        <v>2</v>
      </c>
      <c r="K51" s="49">
        <f>'Avg Week Kumi-Soroti'!K51+'Avg Week Soroti-Kumi'!K51</f>
        <v>1</v>
      </c>
      <c r="L51" s="49">
        <f>'Avg Week Kumi-Soroti'!L51+'Avg Week Soroti-Kumi'!L51</f>
        <v>4</v>
      </c>
      <c r="M51" s="49">
        <f>'Avg Week Kumi-Soroti'!M51+'Avg Week Soroti-Kumi'!M51</f>
        <v>12.142857142857142</v>
      </c>
      <c r="N51" s="49">
        <f>'Avg Week Kumi-Soroti'!N51+'Avg Week Soroti-Kumi'!N51</f>
        <v>0</v>
      </c>
      <c r="O51" s="15">
        <f t="shared" si="0"/>
        <v>27.857142857142858</v>
      </c>
      <c r="P51" s="15">
        <f t="shared" si="1"/>
        <v>40</v>
      </c>
      <c r="R51" s="8"/>
      <c r="T51"/>
    </row>
    <row r="52" spans="2:20" ht="23.1" customHeight="1" x14ac:dyDescent="0.25">
      <c r="B52" s="24" t="s">
        <v>79</v>
      </c>
      <c r="C52" s="49">
        <f>'Avg Week Kumi-Soroti'!C52+'Avg Week Soroti-Kumi'!C52</f>
        <v>3.7142857142857144</v>
      </c>
      <c r="D52" s="49">
        <f>'Avg Week Kumi-Soroti'!D52+'Avg Week Soroti-Kumi'!D52</f>
        <v>2.7142857142857144</v>
      </c>
      <c r="E52" s="49">
        <f>'Avg Week Kumi-Soroti'!E52+'Avg Week Soroti-Kumi'!E52</f>
        <v>6.5714285714285712</v>
      </c>
      <c r="F52" s="49">
        <f>'Avg Week Kumi-Soroti'!F52+'Avg Week Soroti-Kumi'!F52</f>
        <v>5.2857142857142856</v>
      </c>
      <c r="G52" s="49">
        <f>'Avg Week Kumi-Soroti'!G52+'Avg Week Soroti-Kumi'!G52</f>
        <v>0.14285714285714285</v>
      </c>
      <c r="H52" s="49">
        <f>'Avg Week Kumi-Soroti'!H52+'Avg Week Soroti-Kumi'!H52</f>
        <v>0</v>
      </c>
      <c r="I52" s="49">
        <f>'Avg Week Kumi-Soroti'!I52+'Avg Week Soroti-Kumi'!I52</f>
        <v>4.1428571428571423</v>
      </c>
      <c r="J52" s="49">
        <f>'Avg Week Kumi-Soroti'!J52+'Avg Week Soroti-Kumi'!J52</f>
        <v>0.2857142857142857</v>
      </c>
      <c r="K52" s="49">
        <f>'Avg Week Kumi-Soroti'!K52+'Avg Week Soroti-Kumi'!K52</f>
        <v>0.14285714285714285</v>
      </c>
      <c r="L52" s="49">
        <f>'Avg Week Kumi-Soroti'!L52+'Avg Week Soroti-Kumi'!L52</f>
        <v>5</v>
      </c>
      <c r="M52" s="49">
        <f>'Avg Week Kumi-Soroti'!M52+'Avg Week Soroti-Kumi'!M52</f>
        <v>14.285714285714285</v>
      </c>
      <c r="N52" s="49">
        <f>'Avg Week Kumi-Soroti'!N52+'Avg Week Soroti-Kumi'!N52</f>
        <v>0</v>
      </c>
      <c r="O52" s="15">
        <f t="shared" si="0"/>
        <v>27.999999999999996</v>
      </c>
      <c r="P52" s="15">
        <f t="shared" si="1"/>
        <v>42.285714285714278</v>
      </c>
      <c r="R52" s="8"/>
      <c r="T52"/>
    </row>
    <row r="53" spans="2:20" ht="23.1" customHeight="1" x14ac:dyDescent="0.25">
      <c r="B53" s="23" t="s">
        <v>80</v>
      </c>
      <c r="C53" s="49">
        <f>'Avg Week Kumi-Soroti'!C53+'Avg Week Soroti-Kumi'!C53</f>
        <v>3.5714285714285712</v>
      </c>
      <c r="D53" s="49">
        <f>'Avg Week Kumi-Soroti'!D53+'Avg Week Soroti-Kumi'!D53</f>
        <v>2</v>
      </c>
      <c r="E53" s="49">
        <f>'Avg Week Kumi-Soroti'!E53+'Avg Week Soroti-Kumi'!E53</f>
        <v>6</v>
      </c>
      <c r="F53" s="49">
        <f>'Avg Week Kumi-Soroti'!F53+'Avg Week Soroti-Kumi'!F53</f>
        <v>5.1428571428571432</v>
      </c>
      <c r="G53" s="49">
        <f>'Avg Week Kumi-Soroti'!G53+'Avg Week Soroti-Kumi'!G53</f>
        <v>0</v>
      </c>
      <c r="H53" s="49">
        <f>'Avg Week Kumi-Soroti'!H53+'Avg Week Soroti-Kumi'!H53</f>
        <v>0.42857142857142855</v>
      </c>
      <c r="I53" s="49">
        <f>'Avg Week Kumi-Soroti'!I53+'Avg Week Soroti-Kumi'!I53</f>
        <v>4.7142857142857144</v>
      </c>
      <c r="J53" s="49">
        <f>'Avg Week Kumi-Soroti'!J53+'Avg Week Soroti-Kumi'!J53</f>
        <v>0.8571428571428571</v>
      </c>
      <c r="K53" s="49">
        <f>'Avg Week Kumi-Soroti'!K53+'Avg Week Soroti-Kumi'!K53</f>
        <v>0.14285714285714285</v>
      </c>
      <c r="L53" s="49">
        <f>'Avg Week Kumi-Soroti'!L53+'Avg Week Soroti-Kumi'!L53</f>
        <v>4.7142857142857144</v>
      </c>
      <c r="M53" s="49">
        <f>'Avg Week Kumi-Soroti'!M53+'Avg Week Soroti-Kumi'!M53</f>
        <v>16.571428571428573</v>
      </c>
      <c r="N53" s="49">
        <f>'Avg Week Kumi-Soroti'!N53+'Avg Week Soroti-Kumi'!N53</f>
        <v>0</v>
      </c>
      <c r="O53" s="15">
        <f t="shared" si="0"/>
        <v>27.571428571428573</v>
      </c>
      <c r="P53" s="15">
        <f t="shared" si="1"/>
        <v>44.142857142857146</v>
      </c>
      <c r="R53" s="8"/>
      <c r="T53"/>
    </row>
    <row r="54" spans="2:20" ht="23.1" customHeight="1" x14ac:dyDescent="0.25">
      <c r="B54" s="23" t="s">
        <v>81</v>
      </c>
      <c r="C54" s="49">
        <f>'Avg Week Kumi-Soroti'!C54+'Avg Week Soroti-Kumi'!C54</f>
        <v>3</v>
      </c>
      <c r="D54" s="49">
        <f>'Avg Week Kumi-Soroti'!D54+'Avg Week Soroti-Kumi'!D54</f>
        <v>2.4285714285714288</v>
      </c>
      <c r="E54" s="49">
        <f>'Avg Week Kumi-Soroti'!E54+'Avg Week Soroti-Kumi'!E54</f>
        <v>5.8571428571428577</v>
      </c>
      <c r="F54" s="49">
        <f>'Avg Week Kumi-Soroti'!F54+'Avg Week Soroti-Kumi'!F54</f>
        <v>5.8571428571428577</v>
      </c>
      <c r="G54" s="49">
        <f>'Avg Week Kumi-Soroti'!G54+'Avg Week Soroti-Kumi'!G54</f>
        <v>0</v>
      </c>
      <c r="H54" s="49">
        <f>'Avg Week Kumi-Soroti'!H54+'Avg Week Soroti-Kumi'!H54</f>
        <v>0.14285714285714285</v>
      </c>
      <c r="I54" s="49">
        <f>'Avg Week Kumi-Soroti'!I54+'Avg Week Soroti-Kumi'!I54</f>
        <v>3.1428571428571428</v>
      </c>
      <c r="J54" s="49">
        <f>'Avg Week Kumi-Soroti'!J54+'Avg Week Soroti-Kumi'!J54</f>
        <v>0.42857142857142855</v>
      </c>
      <c r="K54" s="49">
        <f>'Avg Week Kumi-Soroti'!K54+'Avg Week Soroti-Kumi'!K54</f>
        <v>0.14285714285714285</v>
      </c>
      <c r="L54" s="49">
        <f>'Avg Week Kumi-Soroti'!L54+'Avg Week Soroti-Kumi'!L54</f>
        <v>5.4285714285714288</v>
      </c>
      <c r="M54" s="49">
        <f>'Avg Week Kumi-Soroti'!M54+'Avg Week Soroti-Kumi'!M54</f>
        <v>15.285714285714286</v>
      </c>
      <c r="N54" s="49">
        <f>'Avg Week Kumi-Soroti'!N54+'Avg Week Soroti-Kumi'!N54</f>
        <v>0</v>
      </c>
      <c r="O54" s="15">
        <f t="shared" si="0"/>
        <v>26.428571428571431</v>
      </c>
      <c r="P54" s="15">
        <f t="shared" si="1"/>
        <v>41.714285714285715</v>
      </c>
      <c r="R54" s="8"/>
      <c r="T54"/>
    </row>
    <row r="55" spans="2:20" ht="23.1" customHeight="1" x14ac:dyDescent="0.25">
      <c r="B55" s="23" t="s">
        <v>82</v>
      </c>
      <c r="C55" s="49">
        <f>'Avg Week Kumi-Soroti'!C55+'Avg Week Soroti-Kumi'!C55</f>
        <v>3.1428571428571428</v>
      </c>
      <c r="D55" s="49">
        <f>'Avg Week Kumi-Soroti'!D55+'Avg Week Soroti-Kumi'!D55</f>
        <v>1.7142857142857144</v>
      </c>
      <c r="E55" s="49">
        <f>'Avg Week Kumi-Soroti'!E55+'Avg Week Soroti-Kumi'!E55</f>
        <v>4.8571428571428577</v>
      </c>
      <c r="F55" s="49">
        <f>'Avg Week Kumi-Soroti'!F55+'Avg Week Soroti-Kumi'!F55</f>
        <v>3.7142857142857144</v>
      </c>
      <c r="G55" s="49">
        <f>'Avg Week Kumi-Soroti'!G55+'Avg Week Soroti-Kumi'!G55</f>
        <v>0.14285714285714285</v>
      </c>
      <c r="H55" s="49">
        <f>'Avg Week Kumi-Soroti'!H55+'Avg Week Soroti-Kumi'!H55</f>
        <v>0.2857142857142857</v>
      </c>
      <c r="I55" s="49">
        <f>'Avg Week Kumi-Soroti'!I55+'Avg Week Soroti-Kumi'!I55</f>
        <v>3.7142857142857144</v>
      </c>
      <c r="J55" s="49">
        <f>'Avg Week Kumi-Soroti'!J55+'Avg Week Soroti-Kumi'!J55</f>
        <v>0.8571428571428571</v>
      </c>
      <c r="K55" s="49">
        <f>'Avg Week Kumi-Soroti'!K55+'Avg Week Soroti-Kumi'!K55</f>
        <v>0.14285714285714285</v>
      </c>
      <c r="L55" s="49">
        <f>'Avg Week Kumi-Soroti'!L55+'Avg Week Soroti-Kumi'!L55</f>
        <v>5</v>
      </c>
      <c r="M55" s="49">
        <f>'Avg Week Kumi-Soroti'!M55+'Avg Week Soroti-Kumi'!M55</f>
        <v>12.571428571428571</v>
      </c>
      <c r="N55" s="49">
        <f>'Avg Week Kumi-Soroti'!N55+'Avg Week Soroti-Kumi'!N55</f>
        <v>0</v>
      </c>
      <c r="O55" s="15">
        <f t="shared" si="0"/>
        <v>23.571428571428573</v>
      </c>
      <c r="P55" s="15">
        <f t="shared" si="1"/>
        <v>36.142857142857146</v>
      </c>
      <c r="R55" s="8"/>
      <c r="T55"/>
    </row>
    <row r="56" spans="2:20" ht="23.1" customHeight="1" x14ac:dyDescent="0.25">
      <c r="B56" s="23" t="s">
        <v>83</v>
      </c>
      <c r="C56" s="49">
        <f>'Avg Week Kumi-Soroti'!C56+'Avg Week Soroti-Kumi'!C56</f>
        <v>3.4285714285714284</v>
      </c>
      <c r="D56" s="49">
        <f>'Avg Week Kumi-Soroti'!D56+'Avg Week Soroti-Kumi'!D56</f>
        <v>2.1428571428571428</v>
      </c>
      <c r="E56" s="49">
        <f>'Avg Week Kumi-Soroti'!E56+'Avg Week Soroti-Kumi'!E56</f>
        <v>5.5714285714285712</v>
      </c>
      <c r="F56" s="49">
        <f>'Avg Week Kumi-Soroti'!F56+'Avg Week Soroti-Kumi'!F56</f>
        <v>4.4285714285714288</v>
      </c>
      <c r="G56" s="49">
        <f>'Avg Week Kumi-Soroti'!G56+'Avg Week Soroti-Kumi'!G56</f>
        <v>0.2857142857142857</v>
      </c>
      <c r="H56" s="49">
        <f>'Avg Week Kumi-Soroti'!H56+'Avg Week Soroti-Kumi'!H56</f>
        <v>1</v>
      </c>
      <c r="I56" s="49">
        <f>'Avg Week Kumi-Soroti'!I56+'Avg Week Soroti-Kumi'!I56</f>
        <v>6.1428571428571432</v>
      </c>
      <c r="J56" s="49">
        <f>'Avg Week Kumi-Soroti'!J56+'Avg Week Soroti-Kumi'!J56</f>
        <v>1.7142857142857142</v>
      </c>
      <c r="K56" s="49">
        <f>'Avg Week Kumi-Soroti'!K56+'Avg Week Soroti-Kumi'!K56</f>
        <v>0.5714285714285714</v>
      </c>
      <c r="L56" s="49">
        <f>'Avg Week Kumi-Soroti'!L56+'Avg Week Soroti-Kumi'!L56</f>
        <v>5.7142857142857144</v>
      </c>
      <c r="M56" s="49">
        <f>'Avg Week Kumi-Soroti'!M56+'Avg Week Soroti-Kumi'!M56</f>
        <v>14.714285714285715</v>
      </c>
      <c r="N56" s="49">
        <f>'Avg Week Kumi-Soroti'!N56+'Avg Week Soroti-Kumi'!N56</f>
        <v>0</v>
      </c>
      <c r="O56" s="15">
        <f t="shared" si="0"/>
        <v>31.000000000000004</v>
      </c>
      <c r="P56" s="15">
        <f t="shared" si="1"/>
        <v>45.714285714285722</v>
      </c>
      <c r="R56" s="8"/>
      <c r="T56"/>
    </row>
    <row r="57" spans="2:20" ht="23.1" customHeight="1" x14ac:dyDescent="0.25">
      <c r="B57" s="23" t="s">
        <v>84</v>
      </c>
      <c r="C57" s="49">
        <f>'Avg Week Kumi-Soroti'!C57+'Avg Week Soroti-Kumi'!C57</f>
        <v>1.5714285714285714</v>
      </c>
      <c r="D57" s="49">
        <f>'Avg Week Kumi-Soroti'!D57+'Avg Week Soroti-Kumi'!D57</f>
        <v>1.2857142857142856</v>
      </c>
      <c r="E57" s="49">
        <f>'Avg Week Kumi-Soroti'!E57+'Avg Week Soroti-Kumi'!E57</f>
        <v>4.1428571428571423</v>
      </c>
      <c r="F57" s="49">
        <f>'Avg Week Kumi-Soroti'!F57+'Avg Week Soroti-Kumi'!F57</f>
        <v>3.8571428571428572</v>
      </c>
      <c r="G57" s="49">
        <f>'Avg Week Kumi-Soroti'!G57+'Avg Week Soroti-Kumi'!G57</f>
        <v>0.2857142857142857</v>
      </c>
      <c r="H57" s="49">
        <f>'Avg Week Kumi-Soroti'!H57+'Avg Week Soroti-Kumi'!H57</f>
        <v>0.42857142857142855</v>
      </c>
      <c r="I57" s="49">
        <f>'Avg Week Kumi-Soroti'!I57+'Avg Week Soroti-Kumi'!I57</f>
        <v>3.7142857142857144</v>
      </c>
      <c r="J57" s="49">
        <f>'Avg Week Kumi-Soroti'!J57+'Avg Week Soroti-Kumi'!J57</f>
        <v>1</v>
      </c>
      <c r="K57" s="49">
        <f>'Avg Week Kumi-Soroti'!K57+'Avg Week Soroti-Kumi'!K57</f>
        <v>0.2857142857142857</v>
      </c>
      <c r="L57" s="49">
        <f>'Avg Week Kumi-Soroti'!L57+'Avg Week Soroti-Kumi'!L57</f>
        <v>3.5714285714285712</v>
      </c>
      <c r="M57" s="49">
        <f>'Avg Week Kumi-Soroti'!M57+'Avg Week Soroti-Kumi'!M57</f>
        <v>10.428571428571427</v>
      </c>
      <c r="N57" s="49">
        <f>'Avg Week Kumi-Soroti'!N57+'Avg Week Soroti-Kumi'!N57</f>
        <v>0</v>
      </c>
      <c r="O57" s="15">
        <f t="shared" si="0"/>
        <v>20.142857142857139</v>
      </c>
      <c r="P57" s="15">
        <f t="shared" si="1"/>
        <v>30.571428571428566</v>
      </c>
      <c r="R57" s="8"/>
      <c r="T57"/>
    </row>
    <row r="58" spans="2:20" ht="23.1" customHeight="1" x14ac:dyDescent="0.25">
      <c r="B58" s="23" t="s">
        <v>99</v>
      </c>
      <c r="C58" s="49">
        <f>'Avg Week Kumi-Soroti'!C58+'Avg Week Soroti-Kumi'!C58</f>
        <v>4</v>
      </c>
      <c r="D58" s="49">
        <f>'Avg Week Kumi-Soroti'!D58+'Avg Week Soroti-Kumi'!D58</f>
        <v>1</v>
      </c>
      <c r="E58" s="49">
        <f>'Avg Week Kumi-Soroti'!E58+'Avg Week Soroti-Kumi'!E58</f>
        <v>5</v>
      </c>
      <c r="F58" s="49">
        <f>'Avg Week Kumi-Soroti'!F58+'Avg Week Soroti-Kumi'!F58</f>
        <v>2</v>
      </c>
      <c r="G58" s="49">
        <f>'Avg Week Kumi-Soroti'!G58+'Avg Week Soroti-Kumi'!G58</f>
        <v>0.5</v>
      </c>
      <c r="H58" s="49">
        <f>'Avg Week Kumi-Soroti'!H58+'Avg Week Soroti-Kumi'!H58</f>
        <v>0</v>
      </c>
      <c r="I58" s="49">
        <f>'Avg Week Kumi-Soroti'!I58+'Avg Week Soroti-Kumi'!I58</f>
        <v>2.5</v>
      </c>
      <c r="J58" s="49">
        <f>'Avg Week Kumi-Soroti'!J58+'Avg Week Soroti-Kumi'!J58</f>
        <v>0.5</v>
      </c>
      <c r="K58" s="49">
        <f>'Avg Week Kumi-Soroti'!K58+'Avg Week Soroti-Kumi'!K58</f>
        <v>0</v>
      </c>
      <c r="L58" s="49">
        <f>'Avg Week Kumi-Soroti'!L58+'Avg Week Soroti-Kumi'!L58</f>
        <v>5.5</v>
      </c>
      <c r="M58" s="49">
        <f>'Avg Week Kumi-Soroti'!M58+'Avg Week Soroti-Kumi'!M58</f>
        <v>9.5</v>
      </c>
      <c r="N58" s="49">
        <f>'Avg Week Kumi-Soroti'!N58+'Avg Week Soroti-Kumi'!N58</f>
        <v>0</v>
      </c>
      <c r="O58" s="15">
        <f t="shared" si="0"/>
        <v>21</v>
      </c>
      <c r="P58" s="15">
        <f t="shared" si="1"/>
        <v>30.5</v>
      </c>
      <c r="R58" s="8"/>
      <c r="T58"/>
    </row>
    <row r="59" spans="2:20" ht="23.1" customHeight="1" x14ac:dyDescent="0.25">
      <c r="B59" s="23" t="s">
        <v>100</v>
      </c>
      <c r="C59" s="49">
        <f>'Avg Week Kumi-Soroti'!C59+'Avg Week Soroti-Kumi'!C59</f>
        <v>2.5</v>
      </c>
      <c r="D59" s="49">
        <f>'Avg Week Kumi-Soroti'!D59+'Avg Week Soroti-Kumi'!D59</f>
        <v>2</v>
      </c>
      <c r="E59" s="49">
        <f>'Avg Week Kumi-Soroti'!E59+'Avg Week Soroti-Kumi'!E59</f>
        <v>4.5</v>
      </c>
      <c r="F59" s="49">
        <f>'Avg Week Kumi-Soroti'!F59+'Avg Week Soroti-Kumi'!F59</f>
        <v>4.5</v>
      </c>
      <c r="G59" s="49">
        <f>'Avg Week Kumi-Soroti'!G59+'Avg Week Soroti-Kumi'!G59</f>
        <v>0</v>
      </c>
      <c r="H59" s="49">
        <f>'Avg Week Kumi-Soroti'!H59+'Avg Week Soroti-Kumi'!H59</f>
        <v>0</v>
      </c>
      <c r="I59" s="49">
        <f>'Avg Week Kumi-Soroti'!I59+'Avg Week Soroti-Kumi'!I59</f>
        <v>2.5</v>
      </c>
      <c r="J59" s="49">
        <f>'Avg Week Kumi-Soroti'!J59+'Avg Week Soroti-Kumi'!J59</f>
        <v>1</v>
      </c>
      <c r="K59" s="49">
        <f>'Avg Week Kumi-Soroti'!K59+'Avg Week Soroti-Kumi'!K59</f>
        <v>0</v>
      </c>
      <c r="L59" s="49">
        <f>'Avg Week Kumi-Soroti'!L59+'Avg Week Soroti-Kumi'!L59</f>
        <v>6</v>
      </c>
      <c r="M59" s="49">
        <f>'Avg Week Kumi-Soroti'!M59+'Avg Week Soroti-Kumi'!M59</f>
        <v>15.5</v>
      </c>
      <c r="N59" s="49">
        <f>'Avg Week Kumi-Soroti'!N59+'Avg Week Soroti-Kumi'!N59</f>
        <v>0</v>
      </c>
      <c r="O59" s="15">
        <f t="shared" si="0"/>
        <v>23</v>
      </c>
      <c r="P59" s="15">
        <f t="shared" si="1"/>
        <v>38.5</v>
      </c>
      <c r="R59" s="8"/>
      <c r="T59"/>
    </row>
    <row r="60" spans="2:20" ht="23.1" customHeight="1" x14ac:dyDescent="0.25">
      <c r="B60" s="23" t="s">
        <v>101</v>
      </c>
      <c r="C60" s="49">
        <f>'Avg Week Kumi-Soroti'!C60+'Avg Week Soroti-Kumi'!C60</f>
        <v>0.5</v>
      </c>
      <c r="D60" s="49">
        <f>'Avg Week Kumi-Soroti'!D60+'Avg Week Soroti-Kumi'!D60</f>
        <v>1</v>
      </c>
      <c r="E60" s="49">
        <f>'Avg Week Kumi-Soroti'!E60+'Avg Week Soroti-Kumi'!E60</f>
        <v>3.5</v>
      </c>
      <c r="F60" s="49">
        <f>'Avg Week Kumi-Soroti'!F60+'Avg Week Soroti-Kumi'!F60</f>
        <v>4</v>
      </c>
      <c r="G60" s="49">
        <f>'Avg Week Kumi-Soroti'!G60+'Avg Week Soroti-Kumi'!G60</f>
        <v>0</v>
      </c>
      <c r="H60" s="49">
        <f>'Avg Week Kumi-Soroti'!H60+'Avg Week Soroti-Kumi'!H60</f>
        <v>0.5</v>
      </c>
      <c r="I60" s="49">
        <f>'Avg Week Kumi-Soroti'!I60+'Avg Week Soroti-Kumi'!I60</f>
        <v>3</v>
      </c>
      <c r="J60" s="49">
        <f>'Avg Week Kumi-Soroti'!J60+'Avg Week Soroti-Kumi'!J60</f>
        <v>1.5</v>
      </c>
      <c r="K60" s="49">
        <f>'Avg Week Kumi-Soroti'!K60+'Avg Week Soroti-Kumi'!K60</f>
        <v>0.5</v>
      </c>
      <c r="L60" s="49">
        <f>'Avg Week Kumi-Soroti'!L60+'Avg Week Soroti-Kumi'!L60</f>
        <v>4.5</v>
      </c>
      <c r="M60" s="49">
        <f>'Avg Week Kumi-Soroti'!M60+'Avg Week Soroti-Kumi'!M60</f>
        <v>16.5</v>
      </c>
      <c r="N60" s="49">
        <f>'Avg Week Kumi-Soroti'!N60+'Avg Week Soroti-Kumi'!N60</f>
        <v>0</v>
      </c>
      <c r="O60" s="15">
        <f t="shared" si="0"/>
        <v>19</v>
      </c>
      <c r="P60" s="15">
        <f t="shared" si="1"/>
        <v>35.5</v>
      </c>
      <c r="R60" s="8"/>
      <c r="T60"/>
    </row>
    <row r="61" spans="2:20" ht="23.1" customHeight="1" x14ac:dyDescent="0.25">
      <c r="B61" s="23" t="s">
        <v>102</v>
      </c>
      <c r="C61" s="49">
        <f>'Avg Week Kumi-Soroti'!C61+'Avg Week Soroti-Kumi'!C61</f>
        <v>3</v>
      </c>
      <c r="D61" s="49">
        <f>'Avg Week Kumi-Soroti'!D61+'Avg Week Soroti-Kumi'!D61</f>
        <v>1.5</v>
      </c>
      <c r="E61" s="49">
        <f>'Avg Week Kumi-Soroti'!E61+'Avg Week Soroti-Kumi'!E61</f>
        <v>5</v>
      </c>
      <c r="F61" s="49">
        <f>'Avg Week Kumi-Soroti'!F61+'Avg Week Soroti-Kumi'!F61</f>
        <v>3.5</v>
      </c>
      <c r="G61" s="49">
        <f>'Avg Week Kumi-Soroti'!G61+'Avg Week Soroti-Kumi'!G61</f>
        <v>0</v>
      </c>
      <c r="H61" s="49">
        <f>'Avg Week Kumi-Soroti'!H61+'Avg Week Soroti-Kumi'!H61</f>
        <v>0</v>
      </c>
      <c r="I61" s="49">
        <f>'Avg Week Kumi-Soroti'!I61+'Avg Week Soroti-Kumi'!I61</f>
        <v>3</v>
      </c>
      <c r="J61" s="49">
        <f>'Avg Week Kumi-Soroti'!J61+'Avg Week Soroti-Kumi'!J61</f>
        <v>0.5</v>
      </c>
      <c r="K61" s="49">
        <f>'Avg Week Kumi-Soroti'!K61+'Avg Week Soroti-Kumi'!K61</f>
        <v>0</v>
      </c>
      <c r="L61" s="49">
        <f>'Avg Week Kumi-Soroti'!L61+'Avg Week Soroti-Kumi'!L61</f>
        <v>6</v>
      </c>
      <c r="M61" s="49">
        <f>'Avg Week Kumi-Soroti'!M61+'Avg Week Soroti-Kumi'!M61</f>
        <v>10.5</v>
      </c>
      <c r="N61" s="49">
        <f>'Avg Week Kumi-Soroti'!N61+'Avg Week Soroti-Kumi'!N61</f>
        <v>0</v>
      </c>
      <c r="O61" s="15">
        <f t="shared" si="0"/>
        <v>22.5</v>
      </c>
      <c r="P61" s="15">
        <f t="shared" si="1"/>
        <v>33</v>
      </c>
      <c r="R61" s="8"/>
      <c r="T61"/>
    </row>
    <row r="62" spans="2:20" ht="23.1" customHeight="1" x14ac:dyDescent="0.25">
      <c r="B62" s="23" t="s">
        <v>107</v>
      </c>
      <c r="C62" s="49">
        <f>'Avg Week Kumi-Soroti'!C62+'Avg Week Soroti-Kumi'!C62</f>
        <v>2.5</v>
      </c>
      <c r="D62" s="49">
        <f>'Avg Week Kumi-Soroti'!D62+'Avg Week Soroti-Kumi'!D62</f>
        <v>1.5</v>
      </c>
      <c r="E62" s="49">
        <f>'Avg Week Kumi-Soroti'!E62+'Avg Week Soroti-Kumi'!E62</f>
        <v>4.5</v>
      </c>
      <c r="F62" s="49">
        <f>'Avg Week Kumi-Soroti'!F62+'Avg Week Soroti-Kumi'!F62</f>
        <v>2.5</v>
      </c>
      <c r="G62" s="49">
        <f>'Avg Week Kumi-Soroti'!G62+'Avg Week Soroti-Kumi'!G62</f>
        <v>0</v>
      </c>
      <c r="H62" s="49">
        <f>'Avg Week Kumi-Soroti'!H62+'Avg Week Soroti-Kumi'!H62</f>
        <v>0</v>
      </c>
      <c r="I62" s="49">
        <f>'Avg Week Kumi-Soroti'!I62+'Avg Week Soroti-Kumi'!I62</f>
        <v>2</v>
      </c>
      <c r="J62" s="49">
        <f>'Avg Week Kumi-Soroti'!J62+'Avg Week Soroti-Kumi'!J62</f>
        <v>0</v>
      </c>
      <c r="K62" s="49">
        <f>'Avg Week Kumi-Soroti'!K62+'Avg Week Soroti-Kumi'!K62</f>
        <v>0</v>
      </c>
      <c r="L62" s="49">
        <f>'Avg Week Kumi-Soroti'!L62+'Avg Week Soroti-Kumi'!L62</f>
        <v>5.5</v>
      </c>
      <c r="M62" s="49">
        <f>'Avg Week Kumi-Soroti'!M62+'Avg Week Soroti-Kumi'!M62</f>
        <v>11</v>
      </c>
      <c r="N62" s="49">
        <f>'Avg Week Kumi-Soroti'!N62+'Avg Week Soroti-Kumi'!N62</f>
        <v>0</v>
      </c>
      <c r="O62" s="15">
        <f t="shared" si="0"/>
        <v>18.5</v>
      </c>
      <c r="P62" s="15">
        <f t="shared" si="1"/>
        <v>29.5</v>
      </c>
      <c r="R62" s="8"/>
      <c r="T62"/>
    </row>
    <row r="63" spans="2:20" ht="23.1" customHeight="1" x14ac:dyDescent="0.25">
      <c r="B63" s="23" t="s">
        <v>108</v>
      </c>
      <c r="C63" s="49">
        <f>'Avg Week Kumi-Soroti'!C63+'Avg Week Soroti-Kumi'!C63</f>
        <v>2</v>
      </c>
      <c r="D63" s="49">
        <f>'Avg Week Kumi-Soroti'!D63+'Avg Week Soroti-Kumi'!D63</f>
        <v>1</v>
      </c>
      <c r="E63" s="49">
        <f>'Avg Week Kumi-Soroti'!E63+'Avg Week Soroti-Kumi'!E63</f>
        <v>2</v>
      </c>
      <c r="F63" s="49">
        <f>'Avg Week Kumi-Soroti'!F63+'Avg Week Soroti-Kumi'!F63</f>
        <v>2</v>
      </c>
      <c r="G63" s="49">
        <f>'Avg Week Kumi-Soroti'!G63+'Avg Week Soroti-Kumi'!G63</f>
        <v>0</v>
      </c>
      <c r="H63" s="49">
        <f>'Avg Week Kumi-Soroti'!H63+'Avg Week Soroti-Kumi'!H63</f>
        <v>0.5</v>
      </c>
      <c r="I63" s="49">
        <f>'Avg Week Kumi-Soroti'!I63+'Avg Week Soroti-Kumi'!I63</f>
        <v>2.5</v>
      </c>
      <c r="J63" s="49">
        <f>'Avg Week Kumi-Soroti'!J63+'Avg Week Soroti-Kumi'!J63</f>
        <v>2</v>
      </c>
      <c r="K63" s="49">
        <f>'Avg Week Kumi-Soroti'!K63+'Avg Week Soroti-Kumi'!K63</f>
        <v>0</v>
      </c>
      <c r="L63" s="49">
        <f>'Avg Week Kumi-Soroti'!L63+'Avg Week Soroti-Kumi'!L63</f>
        <v>6.5</v>
      </c>
      <c r="M63" s="49">
        <f>'Avg Week Kumi-Soroti'!M63+'Avg Week Soroti-Kumi'!M63</f>
        <v>6.5</v>
      </c>
      <c r="N63" s="49">
        <f>'Avg Week Kumi-Soroti'!N63+'Avg Week Soroti-Kumi'!N63</f>
        <v>0</v>
      </c>
      <c r="O63" s="15">
        <f t="shared" si="0"/>
        <v>18.5</v>
      </c>
      <c r="P63" s="15">
        <f t="shared" si="1"/>
        <v>25</v>
      </c>
      <c r="R63" s="8"/>
      <c r="T63"/>
    </row>
    <row r="64" spans="2:20" ht="23.1" customHeight="1" x14ac:dyDescent="0.25">
      <c r="B64" s="23" t="s">
        <v>109</v>
      </c>
      <c r="C64" s="49">
        <f>'Avg Week Kumi-Soroti'!C64+'Avg Week Soroti-Kumi'!C64</f>
        <v>2</v>
      </c>
      <c r="D64" s="49">
        <f>'Avg Week Kumi-Soroti'!D64+'Avg Week Soroti-Kumi'!D64</f>
        <v>1.5</v>
      </c>
      <c r="E64" s="49">
        <f>'Avg Week Kumi-Soroti'!E64+'Avg Week Soroti-Kumi'!E64</f>
        <v>4.5</v>
      </c>
      <c r="F64" s="49">
        <f>'Avg Week Kumi-Soroti'!F64+'Avg Week Soroti-Kumi'!F64</f>
        <v>4</v>
      </c>
      <c r="G64" s="49">
        <f>'Avg Week Kumi-Soroti'!G64+'Avg Week Soroti-Kumi'!G64</f>
        <v>0</v>
      </c>
      <c r="H64" s="49">
        <f>'Avg Week Kumi-Soroti'!H64+'Avg Week Soroti-Kumi'!H64</f>
        <v>0</v>
      </c>
      <c r="I64" s="49">
        <f>'Avg Week Kumi-Soroti'!I64+'Avg Week Soroti-Kumi'!I64</f>
        <v>3</v>
      </c>
      <c r="J64" s="49">
        <f>'Avg Week Kumi-Soroti'!J64+'Avg Week Soroti-Kumi'!J64</f>
        <v>0.5</v>
      </c>
      <c r="K64" s="49">
        <f>'Avg Week Kumi-Soroti'!K64+'Avg Week Soroti-Kumi'!K64</f>
        <v>0</v>
      </c>
      <c r="L64" s="49">
        <f>'Avg Week Kumi-Soroti'!L64+'Avg Week Soroti-Kumi'!L64</f>
        <v>4</v>
      </c>
      <c r="M64" s="49">
        <f>'Avg Week Kumi-Soroti'!M64+'Avg Week Soroti-Kumi'!M64</f>
        <v>9</v>
      </c>
      <c r="N64" s="49">
        <f>'Avg Week Kumi-Soroti'!N64+'Avg Week Soroti-Kumi'!N64</f>
        <v>0</v>
      </c>
      <c r="O64" s="15">
        <f t="shared" si="0"/>
        <v>19.5</v>
      </c>
      <c r="P64" s="15">
        <f t="shared" si="1"/>
        <v>28.5</v>
      </c>
      <c r="R64" s="8"/>
      <c r="T64"/>
    </row>
    <row r="65" spans="2:20" ht="23.1" customHeight="1" x14ac:dyDescent="0.25">
      <c r="B65" s="23" t="s">
        <v>158</v>
      </c>
      <c r="C65" s="49">
        <f>'Avg Week Kumi-Soroti'!C65+'Avg Week Soroti-Kumi'!C65</f>
        <v>0.5</v>
      </c>
      <c r="D65" s="49">
        <f>'Avg Week Kumi-Soroti'!D65+'Avg Week Soroti-Kumi'!D65</f>
        <v>2</v>
      </c>
      <c r="E65" s="49">
        <f>'Avg Week Kumi-Soroti'!E65+'Avg Week Soroti-Kumi'!E65</f>
        <v>4</v>
      </c>
      <c r="F65" s="49">
        <f>'Avg Week Kumi-Soroti'!F65+'Avg Week Soroti-Kumi'!F65</f>
        <v>1</v>
      </c>
      <c r="G65" s="49">
        <f>'Avg Week Kumi-Soroti'!G65+'Avg Week Soroti-Kumi'!G65</f>
        <v>0</v>
      </c>
      <c r="H65" s="49">
        <f>'Avg Week Kumi-Soroti'!H65+'Avg Week Soroti-Kumi'!H65</f>
        <v>1</v>
      </c>
      <c r="I65" s="49">
        <f>'Avg Week Kumi-Soroti'!I65+'Avg Week Soroti-Kumi'!I65</f>
        <v>4</v>
      </c>
      <c r="J65" s="49">
        <f>'Avg Week Kumi-Soroti'!J65+'Avg Week Soroti-Kumi'!J65</f>
        <v>1.5</v>
      </c>
      <c r="K65" s="49">
        <f>'Avg Week Kumi-Soroti'!K65+'Avg Week Soroti-Kumi'!K65</f>
        <v>0.5</v>
      </c>
      <c r="L65" s="49">
        <f>'Avg Week Kumi-Soroti'!L65+'Avg Week Soroti-Kumi'!L65</f>
        <v>4.5</v>
      </c>
      <c r="M65" s="49">
        <f>'Avg Week Kumi-Soroti'!M65+'Avg Week Soroti-Kumi'!M65</f>
        <v>7.5</v>
      </c>
      <c r="N65" s="49">
        <f>'Avg Week Kumi-Soroti'!N65+'Avg Week Soroti-Kumi'!N65</f>
        <v>0</v>
      </c>
      <c r="O65" s="15">
        <f t="shared" si="0"/>
        <v>19</v>
      </c>
      <c r="P65" s="15">
        <f t="shared" si="1"/>
        <v>26.5</v>
      </c>
      <c r="R65" s="8"/>
      <c r="T65"/>
    </row>
    <row r="66" spans="2:20" ht="23.1" customHeight="1" x14ac:dyDescent="0.25">
      <c r="B66" s="23" t="s">
        <v>103</v>
      </c>
      <c r="C66" s="49">
        <f>'Avg Week Kumi-Soroti'!C66+'Avg Week Soroti-Kumi'!C66</f>
        <v>1.5</v>
      </c>
      <c r="D66" s="49">
        <f>'Avg Week Kumi-Soroti'!D66+'Avg Week Soroti-Kumi'!D66</f>
        <v>0.5</v>
      </c>
      <c r="E66" s="49">
        <f>'Avg Week Kumi-Soroti'!E66+'Avg Week Soroti-Kumi'!E66</f>
        <v>2.5</v>
      </c>
      <c r="F66" s="49">
        <f>'Avg Week Kumi-Soroti'!F66+'Avg Week Soroti-Kumi'!F66</f>
        <v>1</v>
      </c>
      <c r="G66" s="49">
        <f>'Avg Week Kumi-Soroti'!G66+'Avg Week Soroti-Kumi'!G66</f>
        <v>0.5</v>
      </c>
      <c r="H66" s="49">
        <f>'Avg Week Kumi-Soroti'!H66+'Avg Week Soroti-Kumi'!H66</f>
        <v>1.5</v>
      </c>
      <c r="I66" s="49">
        <f>'Avg Week Kumi-Soroti'!I66+'Avg Week Soroti-Kumi'!I66</f>
        <v>2.5</v>
      </c>
      <c r="J66" s="49">
        <f>'Avg Week Kumi-Soroti'!J66+'Avg Week Soroti-Kumi'!J66</f>
        <v>0.5</v>
      </c>
      <c r="K66" s="49">
        <f>'Avg Week Kumi-Soroti'!K66+'Avg Week Soroti-Kumi'!K66</f>
        <v>0</v>
      </c>
      <c r="L66" s="49">
        <f>'Avg Week Kumi-Soroti'!L66+'Avg Week Soroti-Kumi'!L66</f>
        <v>5</v>
      </c>
      <c r="M66" s="49">
        <f>'Avg Week Kumi-Soroti'!M66+'Avg Week Soroti-Kumi'!M66</f>
        <v>6</v>
      </c>
      <c r="N66" s="49">
        <f>'Avg Week Kumi-Soroti'!N66+'Avg Week Soroti-Kumi'!N66</f>
        <v>0</v>
      </c>
      <c r="O66" s="15">
        <f t="shared" si="0"/>
        <v>15.5</v>
      </c>
      <c r="P66" s="15">
        <f t="shared" si="1"/>
        <v>21.5</v>
      </c>
      <c r="R66" s="8"/>
      <c r="T66"/>
    </row>
    <row r="67" spans="2:20" ht="23.1" customHeight="1" x14ac:dyDescent="0.25">
      <c r="B67" s="23" t="s">
        <v>104</v>
      </c>
      <c r="C67" s="49">
        <f>'Avg Week Kumi-Soroti'!C67+'Avg Week Soroti-Kumi'!C67</f>
        <v>3.5</v>
      </c>
      <c r="D67" s="49">
        <f>'Avg Week Kumi-Soroti'!D67+'Avg Week Soroti-Kumi'!D67</f>
        <v>0</v>
      </c>
      <c r="E67" s="49">
        <f>'Avg Week Kumi-Soroti'!E67+'Avg Week Soroti-Kumi'!E67</f>
        <v>1</v>
      </c>
      <c r="F67" s="49">
        <f>'Avg Week Kumi-Soroti'!F67+'Avg Week Soroti-Kumi'!F67</f>
        <v>2</v>
      </c>
      <c r="G67" s="49">
        <f>'Avg Week Kumi-Soroti'!G67+'Avg Week Soroti-Kumi'!G67</f>
        <v>0</v>
      </c>
      <c r="H67" s="49">
        <f>'Avg Week Kumi-Soroti'!H67+'Avg Week Soroti-Kumi'!H67</f>
        <v>0.5</v>
      </c>
      <c r="I67" s="49">
        <f>'Avg Week Kumi-Soroti'!I67+'Avg Week Soroti-Kumi'!I67</f>
        <v>4</v>
      </c>
      <c r="J67" s="49">
        <f>'Avg Week Kumi-Soroti'!J67+'Avg Week Soroti-Kumi'!J67</f>
        <v>0.5</v>
      </c>
      <c r="K67" s="49">
        <f>'Avg Week Kumi-Soroti'!K67+'Avg Week Soroti-Kumi'!K67</f>
        <v>0</v>
      </c>
      <c r="L67" s="49">
        <f>'Avg Week Kumi-Soroti'!L67+'Avg Week Soroti-Kumi'!L67</f>
        <v>7</v>
      </c>
      <c r="M67" s="49">
        <f>'Avg Week Kumi-Soroti'!M67+'Avg Week Soroti-Kumi'!M67</f>
        <v>4.5</v>
      </c>
      <c r="N67" s="49">
        <f>'Avg Week Kumi-Soroti'!N67+'Avg Week Soroti-Kumi'!N67</f>
        <v>0</v>
      </c>
      <c r="O67" s="15">
        <f t="shared" si="0"/>
        <v>18.5</v>
      </c>
      <c r="P67" s="15">
        <f t="shared" si="1"/>
        <v>23</v>
      </c>
      <c r="R67" s="8"/>
      <c r="T67"/>
    </row>
    <row r="68" spans="2:20" ht="23.1" customHeight="1" x14ac:dyDescent="0.25">
      <c r="B68" s="23" t="s">
        <v>105</v>
      </c>
      <c r="C68" s="49">
        <f>'Avg Week Kumi-Soroti'!C68+'Avg Week Soroti-Kumi'!C68</f>
        <v>1.5</v>
      </c>
      <c r="D68" s="49">
        <f>'Avg Week Kumi-Soroti'!D68+'Avg Week Soroti-Kumi'!D68</f>
        <v>1</v>
      </c>
      <c r="E68" s="49">
        <f>'Avg Week Kumi-Soroti'!E68+'Avg Week Soroti-Kumi'!E68</f>
        <v>3.5</v>
      </c>
      <c r="F68" s="49">
        <f>'Avg Week Kumi-Soroti'!F68+'Avg Week Soroti-Kumi'!F68</f>
        <v>3.5</v>
      </c>
      <c r="G68" s="49">
        <f>'Avg Week Kumi-Soroti'!G68+'Avg Week Soroti-Kumi'!G68</f>
        <v>0</v>
      </c>
      <c r="H68" s="49">
        <f>'Avg Week Kumi-Soroti'!H68+'Avg Week Soroti-Kumi'!H68</f>
        <v>1</v>
      </c>
      <c r="I68" s="49">
        <f>'Avg Week Kumi-Soroti'!I68+'Avg Week Soroti-Kumi'!I68</f>
        <v>2.5</v>
      </c>
      <c r="J68" s="49">
        <f>'Avg Week Kumi-Soroti'!J68+'Avg Week Soroti-Kumi'!J68</f>
        <v>0</v>
      </c>
      <c r="K68" s="49">
        <f>'Avg Week Kumi-Soroti'!K68+'Avg Week Soroti-Kumi'!K68</f>
        <v>0</v>
      </c>
      <c r="L68" s="49">
        <f>'Avg Week Kumi-Soroti'!L68+'Avg Week Soroti-Kumi'!L68</f>
        <v>5</v>
      </c>
      <c r="M68" s="49">
        <f>'Avg Week Kumi-Soroti'!M68+'Avg Week Soroti-Kumi'!M68</f>
        <v>5</v>
      </c>
      <c r="N68" s="49">
        <f>'Avg Week Kumi-Soroti'!N68+'Avg Week Soroti-Kumi'!N68</f>
        <v>0</v>
      </c>
      <c r="O68" s="15">
        <f t="shared" si="0"/>
        <v>18</v>
      </c>
      <c r="P68" s="15">
        <f t="shared" si="1"/>
        <v>23</v>
      </c>
      <c r="R68" s="8"/>
      <c r="T68"/>
    </row>
    <row r="69" spans="2:20" ht="23.1" customHeight="1" x14ac:dyDescent="0.25">
      <c r="B69" s="23" t="s">
        <v>106</v>
      </c>
      <c r="C69" s="49">
        <f>'Avg Week Kumi-Soroti'!C69+'Avg Week Soroti-Kumi'!C69</f>
        <v>1.5</v>
      </c>
      <c r="D69" s="49">
        <f>'Avg Week Kumi-Soroti'!D69+'Avg Week Soroti-Kumi'!D69</f>
        <v>0.5</v>
      </c>
      <c r="E69" s="49">
        <f>'Avg Week Kumi-Soroti'!E69+'Avg Week Soroti-Kumi'!E69</f>
        <v>2.5</v>
      </c>
      <c r="F69" s="49">
        <f>'Avg Week Kumi-Soroti'!F69+'Avg Week Soroti-Kumi'!F69</f>
        <v>0</v>
      </c>
      <c r="G69" s="49">
        <f>'Avg Week Kumi-Soroti'!G69+'Avg Week Soroti-Kumi'!G69</f>
        <v>0</v>
      </c>
      <c r="H69" s="49">
        <f>'Avg Week Kumi-Soroti'!H69+'Avg Week Soroti-Kumi'!H69</f>
        <v>0.5</v>
      </c>
      <c r="I69" s="49">
        <f>'Avg Week Kumi-Soroti'!I69+'Avg Week Soroti-Kumi'!I69</f>
        <v>4</v>
      </c>
      <c r="J69" s="49">
        <f>'Avg Week Kumi-Soroti'!J69+'Avg Week Soroti-Kumi'!J69</f>
        <v>0.5</v>
      </c>
      <c r="K69" s="49">
        <f>'Avg Week Kumi-Soroti'!K69+'Avg Week Soroti-Kumi'!K69</f>
        <v>0.5</v>
      </c>
      <c r="L69" s="49">
        <f>'Avg Week Kumi-Soroti'!L69+'Avg Week Soroti-Kumi'!L69</f>
        <v>10</v>
      </c>
      <c r="M69" s="49">
        <f>'Avg Week Kumi-Soroti'!M69+'Avg Week Soroti-Kumi'!M69</f>
        <v>2.5</v>
      </c>
      <c r="N69" s="49">
        <f>'Avg Week Kumi-Soroti'!N69+'Avg Week Soroti-Kumi'!N69</f>
        <v>0</v>
      </c>
      <c r="O69" s="15">
        <f t="shared" si="0"/>
        <v>20</v>
      </c>
      <c r="P69" s="15">
        <f t="shared" si="1"/>
        <v>22.5</v>
      </c>
      <c r="R69" s="8"/>
      <c r="T69"/>
    </row>
    <row r="70" spans="2:20" ht="23.1" customHeight="1" x14ac:dyDescent="0.25">
      <c r="B70" s="23" t="s">
        <v>110</v>
      </c>
      <c r="C70" s="49">
        <f>'Avg Week Kumi-Soroti'!C70+'Avg Week Soroti-Kumi'!C70</f>
        <v>3</v>
      </c>
      <c r="D70" s="49">
        <f>'Avg Week Kumi-Soroti'!D70+'Avg Week Soroti-Kumi'!D70</f>
        <v>0</v>
      </c>
      <c r="E70" s="49">
        <f>'Avg Week Kumi-Soroti'!E70+'Avg Week Soroti-Kumi'!E70</f>
        <v>1.5</v>
      </c>
      <c r="F70" s="49">
        <f>'Avg Week Kumi-Soroti'!F70+'Avg Week Soroti-Kumi'!F70</f>
        <v>0.5</v>
      </c>
      <c r="G70" s="49">
        <f>'Avg Week Kumi-Soroti'!G70+'Avg Week Soroti-Kumi'!G70</f>
        <v>0</v>
      </c>
      <c r="H70" s="49">
        <f>'Avg Week Kumi-Soroti'!H70+'Avg Week Soroti-Kumi'!H70</f>
        <v>2</v>
      </c>
      <c r="I70" s="49">
        <f>'Avg Week Kumi-Soroti'!I70+'Avg Week Soroti-Kumi'!I70</f>
        <v>3.5</v>
      </c>
      <c r="J70" s="49">
        <f>'Avg Week Kumi-Soroti'!J70+'Avg Week Soroti-Kumi'!J70</f>
        <v>0</v>
      </c>
      <c r="K70" s="49">
        <f>'Avg Week Kumi-Soroti'!K70+'Avg Week Soroti-Kumi'!K70</f>
        <v>0</v>
      </c>
      <c r="L70" s="49">
        <f>'Avg Week Kumi-Soroti'!L70+'Avg Week Soroti-Kumi'!L70</f>
        <v>7.5</v>
      </c>
      <c r="M70" s="49">
        <f>'Avg Week Kumi-Soroti'!M70+'Avg Week Soroti-Kumi'!M70</f>
        <v>5</v>
      </c>
      <c r="N70" s="49">
        <f>'Avg Week Kumi-Soroti'!N70+'Avg Week Soroti-Kumi'!N70</f>
        <v>0</v>
      </c>
      <c r="O70" s="15">
        <f t="shared" si="0"/>
        <v>18</v>
      </c>
      <c r="P70" s="15">
        <f t="shared" si="1"/>
        <v>23</v>
      </c>
      <c r="R70" s="8"/>
      <c r="T70"/>
    </row>
    <row r="71" spans="2:20" ht="23.1" customHeight="1" x14ac:dyDescent="0.25">
      <c r="B71" s="23" t="s">
        <v>111</v>
      </c>
      <c r="C71" s="49">
        <f>'Avg Week Kumi-Soroti'!C71+'Avg Week Soroti-Kumi'!C71</f>
        <v>1.5</v>
      </c>
      <c r="D71" s="49">
        <f>'Avg Week Kumi-Soroti'!D71+'Avg Week Soroti-Kumi'!D71</f>
        <v>0.5</v>
      </c>
      <c r="E71" s="49">
        <f>'Avg Week Kumi-Soroti'!E71+'Avg Week Soroti-Kumi'!E71</f>
        <v>2.5</v>
      </c>
      <c r="F71" s="49">
        <f>'Avg Week Kumi-Soroti'!F71+'Avg Week Soroti-Kumi'!F71</f>
        <v>1</v>
      </c>
      <c r="G71" s="49">
        <f>'Avg Week Kumi-Soroti'!G71+'Avg Week Soroti-Kumi'!G71</f>
        <v>0</v>
      </c>
      <c r="H71" s="49">
        <f>'Avg Week Kumi-Soroti'!H71+'Avg Week Soroti-Kumi'!H71</f>
        <v>0</v>
      </c>
      <c r="I71" s="49">
        <f>'Avg Week Kumi-Soroti'!I71+'Avg Week Soroti-Kumi'!I71</f>
        <v>1</v>
      </c>
      <c r="J71" s="49">
        <f>'Avg Week Kumi-Soroti'!J71+'Avg Week Soroti-Kumi'!J71</f>
        <v>0</v>
      </c>
      <c r="K71" s="49">
        <f>'Avg Week Kumi-Soroti'!K71+'Avg Week Soroti-Kumi'!K71</f>
        <v>0</v>
      </c>
      <c r="L71" s="49">
        <f>'Avg Week Kumi-Soroti'!L71+'Avg Week Soroti-Kumi'!L71</f>
        <v>6.5</v>
      </c>
      <c r="M71" s="49">
        <f>'Avg Week Kumi-Soroti'!M71+'Avg Week Soroti-Kumi'!M71</f>
        <v>5.5</v>
      </c>
      <c r="N71" s="49">
        <f>'Avg Week Kumi-Soroti'!N71+'Avg Week Soroti-Kumi'!N71</f>
        <v>0</v>
      </c>
      <c r="O71" s="15">
        <f t="shared" si="0"/>
        <v>13</v>
      </c>
      <c r="P71" s="15">
        <f t="shared" si="1"/>
        <v>18.5</v>
      </c>
      <c r="R71" s="8"/>
      <c r="T71"/>
    </row>
    <row r="72" spans="2:20" ht="23.1" customHeight="1" x14ac:dyDescent="0.25">
      <c r="B72" s="23" t="s">
        <v>112</v>
      </c>
      <c r="C72" s="49">
        <f>'Avg Week Kumi-Soroti'!C72+'Avg Week Soroti-Kumi'!C72</f>
        <v>2.5</v>
      </c>
      <c r="D72" s="49">
        <f>'Avg Week Kumi-Soroti'!D72+'Avg Week Soroti-Kumi'!D72</f>
        <v>0.5</v>
      </c>
      <c r="E72" s="49">
        <f>'Avg Week Kumi-Soroti'!E72+'Avg Week Soroti-Kumi'!E72</f>
        <v>3.5</v>
      </c>
      <c r="F72" s="49">
        <f>'Avg Week Kumi-Soroti'!F72+'Avg Week Soroti-Kumi'!F72</f>
        <v>2</v>
      </c>
      <c r="G72" s="49">
        <f>'Avg Week Kumi-Soroti'!G72+'Avg Week Soroti-Kumi'!G72</f>
        <v>0</v>
      </c>
      <c r="H72" s="49">
        <f>'Avg Week Kumi-Soroti'!H72+'Avg Week Soroti-Kumi'!H72</f>
        <v>0</v>
      </c>
      <c r="I72" s="49">
        <f>'Avg Week Kumi-Soroti'!I72+'Avg Week Soroti-Kumi'!I72</f>
        <v>2</v>
      </c>
      <c r="J72" s="49">
        <f>'Avg Week Kumi-Soroti'!J72+'Avg Week Soroti-Kumi'!J72</f>
        <v>1.5</v>
      </c>
      <c r="K72" s="49">
        <f>'Avg Week Kumi-Soroti'!K72+'Avg Week Soroti-Kumi'!K72</f>
        <v>0</v>
      </c>
      <c r="L72" s="49">
        <f>'Avg Week Kumi-Soroti'!L72+'Avg Week Soroti-Kumi'!L72</f>
        <v>7.5</v>
      </c>
      <c r="M72" s="49">
        <f>'Avg Week Kumi-Soroti'!M72+'Avg Week Soroti-Kumi'!M72</f>
        <v>4</v>
      </c>
      <c r="N72" s="49">
        <f>'Avg Week Kumi-Soroti'!N72+'Avg Week Soroti-Kumi'!N72</f>
        <v>0</v>
      </c>
      <c r="O72" s="15">
        <f t="shared" si="0"/>
        <v>19.5</v>
      </c>
      <c r="P72" s="15">
        <f t="shared" si="1"/>
        <v>23.5</v>
      </c>
      <c r="R72" s="8"/>
      <c r="T72"/>
    </row>
    <row r="73" spans="2:20" ht="23.1" customHeight="1" x14ac:dyDescent="0.25">
      <c r="B73" s="23" t="s">
        <v>113</v>
      </c>
      <c r="C73" s="49">
        <f>'Avg Week Kumi-Soroti'!C73+'Avg Week Soroti-Kumi'!C73</f>
        <v>1</v>
      </c>
      <c r="D73" s="49">
        <f>'Avg Week Kumi-Soroti'!D73+'Avg Week Soroti-Kumi'!D73</f>
        <v>0</v>
      </c>
      <c r="E73" s="49">
        <f>'Avg Week Kumi-Soroti'!E73+'Avg Week Soroti-Kumi'!E73</f>
        <v>1.5</v>
      </c>
      <c r="F73" s="49">
        <f>'Avg Week Kumi-Soroti'!F73+'Avg Week Soroti-Kumi'!F73</f>
        <v>2.5</v>
      </c>
      <c r="G73" s="49">
        <f>'Avg Week Kumi-Soroti'!G73+'Avg Week Soroti-Kumi'!G73</f>
        <v>0</v>
      </c>
      <c r="H73" s="49">
        <f>'Avg Week Kumi-Soroti'!H73+'Avg Week Soroti-Kumi'!H73</f>
        <v>0.5</v>
      </c>
      <c r="I73" s="49">
        <f>'Avg Week Kumi-Soroti'!I73+'Avg Week Soroti-Kumi'!I73</f>
        <v>2.5</v>
      </c>
      <c r="J73" s="49">
        <f>'Avg Week Kumi-Soroti'!J73+'Avg Week Soroti-Kumi'!J73</f>
        <v>0</v>
      </c>
      <c r="K73" s="49">
        <f>'Avg Week Kumi-Soroti'!K73+'Avg Week Soroti-Kumi'!K73</f>
        <v>0</v>
      </c>
      <c r="L73" s="49">
        <f>'Avg Week Kumi-Soroti'!L73+'Avg Week Soroti-Kumi'!L73</f>
        <v>7.5</v>
      </c>
      <c r="M73" s="49">
        <f>'Avg Week Kumi-Soroti'!M73+'Avg Week Soroti-Kumi'!M73</f>
        <v>3.5</v>
      </c>
      <c r="N73" s="49">
        <f>'Avg Week Kumi-Soroti'!N73+'Avg Week Soroti-Kumi'!N73</f>
        <v>0</v>
      </c>
      <c r="O73" s="15">
        <f t="shared" si="0"/>
        <v>15.5</v>
      </c>
      <c r="P73" s="15">
        <f t="shared" si="1"/>
        <v>19</v>
      </c>
      <c r="R73" s="8"/>
      <c r="T73"/>
    </row>
    <row r="74" spans="2:20" ht="23.1" customHeight="1" x14ac:dyDescent="0.25">
      <c r="B74" s="23" t="s">
        <v>114</v>
      </c>
      <c r="C74" s="49">
        <f>'Avg Week Kumi-Soroti'!C74+'Avg Week Soroti-Kumi'!C74</f>
        <v>0.5</v>
      </c>
      <c r="D74" s="49">
        <f>'Avg Week Kumi-Soroti'!D74+'Avg Week Soroti-Kumi'!D74</f>
        <v>0</v>
      </c>
      <c r="E74" s="49">
        <f>'Avg Week Kumi-Soroti'!E74+'Avg Week Soroti-Kumi'!E74</f>
        <v>1</v>
      </c>
      <c r="F74" s="49">
        <f>'Avg Week Kumi-Soroti'!F74+'Avg Week Soroti-Kumi'!F74</f>
        <v>2</v>
      </c>
      <c r="G74" s="49">
        <f>'Avg Week Kumi-Soroti'!G74+'Avg Week Soroti-Kumi'!G74</f>
        <v>0</v>
      </c>
      <c r="H74" s="49">
        <f>'Avg Week Kumi-Soroti'!H74+'Avg Week Soroti-Kumi'!H74</f>
        <v>0</v>
      </c>
      <c r="I74" s="49">
        <f>'Avg Week Kumi-Soroti'!I74+'Avg Week Soroti-Kumi'!I74</f>
        <v>3</v>
      </c>
      <c r="J74" s="49">
        <f>'Avg Week Kumi-Soroti'!J74+'Avg Week Soroti-Kumi'!J74</f>
        <v>1</v>
      </c>
      <c r="K74" s="49">
        <f>'Avg Week Kumi-Soroti'!K74+'Avg Week Soroti-Kumi'!K74</f>
        <v>0.5</v>
      </c>
      <c r="L74" s="49">
        <f>'Avg Week Kumi-Soroti'!L74+'Avg Week Soroti-Kumi'!L74</f>
        <v>4</v>
      </c>
      <c r="M74" s="49">
        <f>'Avg Week Kumi-Soroti'!M74+'Avg Week Soroti-Kumi'!M74</f>
        <v>3.5</v>
      </c>
      <c r="N74" s="49">
        <f>'Avg Week Kumi-Soroti'!N74+'Avg Week Soroti-Kumi'!N74</f>
        <v>0</v>
      </c>
      <c r="O74" s="15">
        <f t="shared" ref="O74:O105" si="35">SUM(C74:L74,N74)</f>
        <v>12</v>
      </c>
      <c r="P74" s="15">
        <f t="shared" ref="P74:P105" si="36">SUM(C74:N74)</f>
        <v>15.5</v>
      </c>
      <c r="R74" s="8"/>
      <c r="T74"/>
    </row>
    <row r="75" spans="2:20" ht="23.1" customHeight="1" x14ac:dyDescent="0.25">
      <c r="B75" s="23" t="s">
        <v>115</v>
      </c>
      <c r="C75" s="49">
        <f>'Avg Week Kumi-Soroti'!C75+'Avg Week Soroti-Kumi'!C75</f>
        <v>1.5</v>
      </c>
      <c r="D75" s="49">
        <f>'Avg Week Kumi-Soroti'!D75+'Avg Week Soroti-Kumi'!D75</f>
        <v>0</v>
      </c>
      <c r="E75" s="49">
        <f>'Avg Week Kumi-Soroti'!E75+'Avg Week Soroti-Kumi'!E75</f>
        <v>0</v>
      </c>
      <c r="F75" s="49">
        <f>'Avg Week Kumi-Soroti'!F75+'Avg Week Soroti-Kumi'!F75</f>
        <v>2</v>
      </c>
      <c r="G75" s="49">
        <f>'Avg Week Kumi-Soroti'!G75+'Avg Week Soroti-Kumi'!G75</f>
        <v>0</v>
      </c>
      <c r="H75" s="49">
        <f>'Avg Week Kumi-Soroti'!H75+'Avg Week Soroti-Kumi'!H75</f>
        <v>0.5</v>
      </c>
      <c r="I75" s="49">
        <f>'Avg Week Kumi-Soroti'!I75+'Avg Week Soroti-Kumi'!I75</f>
        <v>3.5</v>
      </c>
      <c r="J75" s="49">
        <f>'Avg Week Kumi-Soroti'!J75+'Avg Week Soroti-Kumi'!J75</f>
        <v>1.5</v>
      </c>
      <c r="K75" s="49">
        <f>'Avg Week Kumi-Soroti'!K75+'Avg Week Soroti-Kumi'!K75</f>
        <v>0.5</v>
      </c>
      <c r="L75" s="49">
        <f>'Avg Week Kumi-Soroti'!L75+'Avg Week Soroti-Kumi'!L75</f>
        <v>3.5</v>
      </c>
      <c r="M75" s="49">
        <f>'Avg Week Kumi-Soroti'!M75+'Avg Week Soroti-Kumi'!M75</f>
        <v>1.5</v>
      </c>
      <c r="N75" s="49">
        <f>'Avg Week Kumi-Soroti'!N75+'Avg Week Soroti-Kumi'!N75</f>
        <v>0</v>
      </c>
      <c r="O75" s="15">
        <f t="shared" si="35"/>
        <v>13</v>
      </c>
      <c r="P75" s="15">
        <f t="shared" si="36"/>
        <v>14.5</v>
      </c>
      <c r="R75" s="8"/>
      <c r="T75"/>
    </row>
    <row r="76" spans="2:20" ht="23.1" customHeight="1" x14ac:dyDescent="0.25">
      <c r="B76" s="23" t="s">
        <v>116</v>
      </c>
      <c r="C76" s="49">
        <f>'Avg Week Kumi-Soroti'!C76+'Avg Week Soroti-Kumi'!C76</f>
        <v>1.5</v>
      </c>
      <c r="D76" s="49">
        <f>'Avg Week Kumi-Soroti'!D76+'Avg Week Soroti-Kumi'!D76</f>
        <v>0</v>
      </c>
      <c r="E76" s="49">
        <f>'Avg Week Kumi-Soroti'!E76+'Avg Week Soroti-Kumi'!E76</f>
        <v>0</v>
      </c>
      <c r="F76" s="49">
        <f>'Avg Week Kumi-Soroti'!F76+'Avg Week Soroti-Kumi'!F76</f>
        <v>0.5</v>
      </c>
      <c r="G76" s="49">
        <f>'Avg Week Kumi-Soroti'!G76+'Avg Week Soroti-Kumi'!G76</f>
        <v>0</v>
      </c>
      <c r="H76" s="49">
        <f>'Avg Week Kumi-Soroti'!H76+'Avg Week Soroti-Kumi'!H76</f>
        <v>0</v>
      </c>
      <c r="I76" s="49">
        <f>'Avg Week Kumi-Soroti'!I76+'Avg Week Soroti-Kumi'!I76</f>
        <v>1.5</v>
      </c>
      <c r="J76" s="49">
        <f>'Avg Week Kumi-Soroti'!J76+'Avg Week Soroti-Kumi'!J76</f>
        <v>1</v>
      </c>
      <c r="K76" s="49">
        <f>'Avg Week Kumi-Soroti'!K76+'Avg Week Soroti-Kumi'!K76</f>
        <v>0</v>
      </c>
      <c r="L76" s="49">
        <f>'Avg Week Kumi-Soroti'!L76+'Avg Week Soroti-Kumi'!L76</f>
        <v>2.5</v>
      </c>
      <c r="M76" s="49">
        <f>'Avg Week Kumi-Soroti'!M76+'Avg Week Soroti-Kumi'!M76</f>
        <v>0</v>
      </c>
      <c r="N76" s="49">
        <f>'Avg Week Kumi-Soroti'!N76+'Avg Week Soroti-Kumi'!N76</f>
        <v>0</v>
      </c>
      <c r="O76" s="15">
        <f t="shared" si="35"/>
        <v>7</v>
      </c>
      <c r="P76" s="15">
        <f t="shared" si="36"/>
        <v>7</v>
      </c>
      <c r="R76" s="8"/>
      <c r="T76"/>
    </row>
    <row r="77" spans="2:20" ht="23.1" customHeight="1" x14ac:dyDescent="0.25">
      <c r="B77" s="23" t="s">
        <v>117</v>
      </c>
      <c r="C77" s="49">
        <f>'Avg Week Kumi-Soroti'!C77+'Avg Week Soroti-Kumi'!C77</f>
        <v>2</v>
      </c>
      <c r="D77" s="49">
        <f>'Avg Week Kumi-Soroti'!D77+'Avg Week Soroti-Kumi'!D77</f>
        <v>0</v>
      </c>
      <c r="E77" s="49">
        <f>'Avg Week Kumi-Soroti'!E77+'Avg Week Soroti-Kumi'!E77</f>
        <v>2</v>
      </c>
      <c r="F77" s="49">
        <f>'Avg Week Kumi-Soroti'!F77+'Avg Week Soroti-Kumi'!F77</f>
        <v>1.5</v>
      </c>
      <c r="G77" s="49">
        <f>'Avg Week Kumi-Soroti'!G77+'Avg Week Soroti-Kumi'!G77</f>
        <v>0</v>
      </c>
      <c r="H77" s="49">
        <f>'Avg Week Kumi-Soroti'!H77+'Avg Week Soroti-Kumi'!H77</f>
        <v>0</v>
      </c>
      <c r="I77" s="49">
        <f>'Avg Week Kumi-Soroti'!I77+'Avg Week Soroti-Kumi'!I77</f>
        <v>3</v>
      </c>
      <c r="J77" s="49">
        <f>'Avg Week Kumi-Soroti'!J77+'Avg Week Soroti-Kumi'!J77</f>
        <v>0.5</v>
      </c>
      <c r="K77" s="49">
        <f>'Avg Week Kumi-Soroti'!K77+'Avg Week Soroti-Kumi'!K77</f>
        <v>0</v>
      </c>
      <c r="L77" s="49">
        <f>'Avg Week Kumi-Soroti'!L77+'Avg Week Soroti-Kumi'!L77</f>
        <v>5</v>
      </c>
      <c r="M77" s="49">
        <f>'Avg Week Kumi-Soroti'!M77+'Avg Week Soroti-Kumi'!M77</f>
        <v>2</v>
      </c>
      <c r="N77" s="49">
        <f>'Avg Week Kumi-Soroti'!N77+'Avg Week Soroti-Kumi'!N77</f>
        <v>0</v>
      </c>
      <c r="O77" s="15">
        <f t="shared" si="35"/>
        <v>14</v>
      </c>
      <c r="P77" s="15">
        <f t="shared" si="36"/>
        <v>16</v>
      </c>
      <c r="R77" s="8"/>
      <c r="T77"/>
    </row>
    <row r="78" spans="2:20" ht="23.1" customHeight="1" x14ac:dyDescent="0.25">
      <c r="B78" s="24" t="s">
        <v>118</v>
      </c>
      <c r="C78" s="49">
        <f>'Avg Week Kumi-Soroti'!C78+'Avg Week Soroti-Kumi'!C78</f>
        <v>0.5</v>
      </c>
      <c r="D78" s="49">
        <f>'Avg Week Kumi-Soroti'!D78+'Avg Week Soroti-Kumi'!D78</f>
        <v>0</v>
      </c>
      <c r="E78" s="49">
        <f>'Avg Week Kumi-Soroti'!E78+'Avg Week Soroti-Kumi'!E78</f>
        <v>0.5</v>
      </c>
      <c r="F78" s="49">
        <f>'Avg Week Kumi-Soroti'!F78+'Avg Week Soroti-Kumi'!F78</f>
        <v>1.5</v>
      </c>
      <c r="G78" s="49">
        <f>'Avg Week Kumi-Soroti'!G78+'Avg Week Soroti-Kumi'!G78</f>
        <v>0</v>
      </c>
      <c r="H78" s="49">
        <f>'Avg Week Kumi-Soroti'!H78+'Avg Week Soroti-Kumi'!H78</f>
        <v>0.5</v>
      </c>
      <c r="I78" s="49">
        <f>'Avg Week Kumi-Soroti'!I78+'Avg Week Soroti-Kumi'!I78</f>
        <v>3</v>
      </c>
      <c r="J78" s="49">
        <f>'Avg Week Kumi-Soroti'!J78+'Avg Week Soroti-Kumi'!J78</f>
        <v>0</v>
      </c>
      <c r="K78" s="49">
        <f>'Avg Week Kumi-Soroti'!K78+'Avg Week Soroti-Kumi'!K78</f>
        <v>1</v>
      </c>
      <c r="L78" s="49">
        <f>'Avg Week Kumi-Soroti'!L78+'Avg Week Soroti-Kumi'!L78</f>
        <v>1.5</v>
      </c>
      <c r="M78" s="49">
        <f>'Avg Week Kumi-Soroti'!M78+'Avg Week Soroti-Kumi'!M78</f>
        <v>0</v>
      </c>
      <c r="N78" s="49">
        <f>'Avg Week Kumi-Soroti'!N78+'Avg Week Soroti-Kumi'!N78</f>
        <v>0</v>
      </c>
      <c r="O78" s="15">
        <f t="shared" si="35"/>
        <v>8.5</v>
      </c>
      <c r="P78" s="15">
        <f t="shared" si="36"/>
        <v>8.5</v>
      </c>
      <c r="R78" s="8"/>
      <c r="T78"/>
    </row>
    <row r="79" spans="2:20" ht="23.1" customHeight="1" x14ac:dyDescent="0.25">
      <c r="B79" s="23" t="s">
        <v>119</v>
      </c>
      <c r="C79" s="49">
        <f>'Avg Week Kumi-Soroti'!C79+'Avg Week Soroti-Kumi'!C79</f>
        <v>0.5</v>
      </c>
      <c r="D79" s="49">
        <f>'Avg Week Kumi-Soroti'!D79+'Avg Week Soroti-Kumi'!D79</f>
        <v>0</v>
      </c>
      <c r="E79" s="49">
        <f>'Avg Week Kumi-Soroti'!E79+'Avg Week Soroti-Kumi'!E79</f>
        <v>1</v>
      </c>
      <c r="F79" s="49">
        <f>'Avg Week Kumi-Soroti'!F79+'Avg Week Soroti-Kumi'!F79</f>
        <v>0</v>
      </c>
      <c r="G79" s="49">
        <f>'Avg Week Kumi-Soroti'!G79+'Avg Week Soroti-Kumi'!G79</f>
        <v>0</v>
      </c>
      <c r="H79" s="49">
        <f>'Avg Week Kumi-Soroti'!H79+'Avg Week Soroti-Kumi'!H79</f>
        <v>1.5</v>
      </c>
      <c r="I79" s="49">
        <f>'Avg Week Kumi-Soroti'!I79+'Avg Week Soroti-Kumi'!I79</f>
        <v>3</v>
      </c>
      <c r="J79" s="49">
        <f>'Avg Week Kumi-Soroti'!J79+'Avg Week Soroti-Kumi'!J79</f>
        <v>0</v>
      </c>
      <c r="K79" s="49">
        <f>'Avg Week Kumi-Soroti'!K79+'Avg Week Soroti-Kumi'!K79</f>
        <v>0</v>
      </c>
      <c r="L79" s="49">
        <f>'Avg Week Kumi-Soroti'!L79+'Avg Week Soroti-Kumi'!L79</f>
        <v>6</v>
      </c>
      <c r="M79" s="49">
        <f>'Avg Week Kumi-Soroti'!M79+'Avg Week Soroti-Kumi'!M79</f>
        <v>0.5</v>
      </c>
      <c r="N79" s="49">
        <f>'Avg Week Kumi-Soroti'!N79+'Avg Week Soroti-Kumi'!N79</f>
        <v>0</v>
      </c>
      <c r="O79" s="15">
        <f t="shared" si="35"/>
        <v>12</v>
      </c>
      <c r="P79" s="15">
        <f t="shared" si="36"/>
        <v>12.5</v>
      </c>
      <c r="R79" s="8"/>
      <c r="T79"/>
    </row>
    <row r="80" spans="2:20" ht="23.1" customHeight="1" x14ac:dyDescent="0.25">
      <c r="B80" s="25" t="s">
        <v>120</v>
      </c>
      <c r="C80" s="49">
        <f>'Avg Week Kumi-Soroti'!C80+'Avg Week Soroti-Kumi'!C80</f>
        <v>0.5</v>
      </c>
      <c r="D80" s="49">
        <f>'Avg Week Kumi-Soroti'!D80+'Avg Week Soroti-Kumi'!D80</f>
        <v>0</v>
      </c>
      <c r="E80" s="49">
        <f>'Avg Week Kumi-Soroti'!E80+'Avg Week Soroti-Kumi'!E80</f>
        <v>1.5</v>
      </c>
      <c r="F80" s="49">
        <f>'Avg Week Kumi-Soroti'!F80+'Avg Week Soroti-Kumi'!F80</f>
        <v>1.5</v>
      </c>
      <c r="G80" s="49">
        <f>'Avg Week Kumi-Soroti'!G80+'Avg Week Soroti-Kumi'!G80</f>
        <v>0</v>
      </c>
      <c r="H80" s="49">
        <f>'Avg Week Kumi-Soroti'!H80+'Avg Week Soroti-Kumi'!H80</f>
        <v>0.5</v>
      </c>
      <c r="I80" s="49">
        <f>'Avg Week Kumi-Soroti'!I80+'Avg Week Soroti-Kumi'!I80</f>
        <v>1.5</v>
      </c>
      <c r="J80" s="49">
        <f>'Avg Week Kumi-Soroti'!J80+'Avg Week Soroti-Kumi'!J80</f>
        <v>1</v>
      </c>
      <c r="K80" s="49">
        <f>'Avg Week Kumi-Soroti'!K80+'Avg Week Soroti-Kumi'!K80</f>
        <v>0</v>
      </c>
      <c r="L80" s="49">
        <f>'Avg Week Kumi-Soroti'!L80+'Avg Week Soroti-Kumi'!L80</f>
        <v>4.5</v>
      </c>
      <c r="M80" s="49">
        <f>'Avg Week Kumi-Soroti'!M80+'Avg Week Soroti-Kumi'!M80</f>
        <v>0.5</v>
      </c>
      <c r="N80" s="49">
        <f>'Avg Week Kumi-Soroti'!N80+'Avg Week Soroti-Kumi'!N80</f>
        <v>0</v>
      </c>
      <c r="O80" s="15">
        <f t="shared" si="35"/>
        <v>11</v>
      </c>
      <c r="P80" s="15">
        <f t="shared" si="36"/>
        <v>11.5</v>
      </c>
      <c r="R80" s="8"/>
      <c r="T80"/>
    </row>
    <row r="81" spans="2:20" ht="23.1" customHeight="1" x14ac:dyDescent="0.25">
      <c r="B81" s="23" t="s">
        <v>121</v>
      </c>
      <c r="C81" s="49">
        <f>'Avg Week Kumi-Soroti'!C81+'Avg Week Soroti-Kumi'!C81</f>
        <v>0</v>
      </c>
      <c r="D81" s="49">
        <f>'Avg Week Kumi-Soroti'!D81+'Avg Week Soroti-Kumi'!D81</f>
        <v>0</v>
      </c>
      <c r="E81" s="49">
        <f>'Avg Week Kumi-Soroti'!E81+'Avg Week Soroti-Kumi'!E81</f>
        <v>0.5</v>
      </c>
      <c r="F81" s="49">
        <f>'Avg Week Kumi-Soroti'!F81+'Avg Week Soroti-Kumi'!F81</f>
        <v>0</v>
      </c>
      <c r="G81" s="49">
        <f>'Avg Week Kumi-Soroti'!G81+'Avg Week Soroti-Kumi'!G81</f>
        <v>0</v>
      </c>
      <c r="H81" s="49">
        <f>'Avg Week Kumi-Soroti'!H81+'Avg Week Soroti-Kumi'!H81</f>
        <v>1</v>
      </c>
      <c r="I81" s="49">
        <f>'Avg Week Kumi-Soroti'!I81+'Avg Week Soroti-Kumi'!I81</f>
        <v>2.5</v>
      </c>
      <c r="J81" s="49">
        <f>'Avg Week Kumi-Soroti'!J81+'Avg Week Soroti-Kumi'!J81</f>
        <v>1.5</v>
      </c>
      <c r="K81" s="49">
        <f>'Avg Week Kumi-Soroti'!K81+'Avg Week Soroti-Kumi'!K81</f>
        <v>0</v>
      </c>
      <c r="L81" s="49">
        <f>'Avg Week Kumi-Soroti'!L81+'Avg Week Soroti-Kumi'!L81</f>
        <v>3</v>
      </c>
      <c r="M81" s="49">
        <f>'Avg Week Kumi-Soroti'!M81+'Avg Week Soroti-Kumi'!M81</f>
        <v>1.5</v>
      </c>
      <c r="N81" s="49">
        <f>'Avg Week Kumi-Soroti'!N81+'Avg Week Soroti-Kumi'!N81</f>
        <v>0</v>
      </c>
      <c r="O81" s="15">
        <f t="shared" si="35"/>
        <v>8.5</v>
      </c>
      <c r="P81" s="15">
        <f t="shared" si="36"/>
        <v>10</v>
      </c>
      <c r="R81" s="8"/>
      <c r="T81"/>
    </row>
    <row r="82" spans="2:20" ht="23.1" customHeight="1" x14ac:dyDescent="0.25">
      <c r="B82" s="24" t="s">
        <v>122</v>
      </c>
      <c r="C82" s="49">
        <f>'Avg Week Kumi-Soroti'!C82+'Avg Week Soroti-Kumi'!C82</f>
        <v>0.5</v>
      </c>
      <c r="D82" s="49">
        <f>'Avg Week Kumi-Soroti'!D82+'Avg Week Soroti-Kumi'!D82</f>
        <v>0</v>
      </c>
      <c r="E82" s="49">
        <f>'Avg Week Kumi-Soroti'!E82+'Avg Week Soroti-Kumi'!E82</f>
        <v>0</v>
      </c>
      <c r="F82" s="49">
        <f>'Avg Week Kumi-Soroti'!F82+'Avg Week Soroti-Kumi'!F82</f>
        <v>0.5</v>
      </c>
      <c r="G82" s="49">
        <f>'Avg Week Kumi-Soroti'!G82+'Avg Week Soroti-Kumi'!G82</f>
        <v>0.5</v>
      </c>
      <c r="H82" s="49">
        <f>'Avg Week Kumi-Soroti'!H82+'Avg Week Soroti-Kumi'!H82</f>
        <v>0.5</v>
      </c>
      <c r="I82" s="49">
        <f>'Avg Week Kumi-Soroti'!I82+'Avg Week Soroti-Kumi'!I82</f>
        <v>0.5</v>
      </c>
      <c r="J82" s="49">
        <f>'Avg Week Kumi-Soroti'!J82+'Avg Week Soroti-Kumi'!J82</f>
        <v>0.5</v>
      </c>
      <c r="K82" s="49">
        <f>'Avg Week Kumi-Soroti'!K82+'Avg Week Soroti-Kumi'!K82</f>
        <v>0</v>
      </c>
      <c r="L82" s="49">
        <f>'Avg Week Kumi-Soroti'!L82+'Avg Week Soroti-Kumi'!L82</f>
        <v>4.5</v>
      </c>
      <c r="M82" s="49">
        <f>'Avg Week Kumi-Soroti'!M82+'Avg Week Soroti-Kumi'!M82</f>
        <v>1.5</v>
      </c>
      <c r="N82" s="49">
        <f>'Avg Week Kumi-Soroti'!N82+'Avg Week Soroti-Kumi'!N82</f>
        <v>0</v>
      </c>
      <c r="O82" s="15">
        <f t="shared" si="35"/>
        <v>7.5</v>
      </c>
      <c r="P82" s="15">
        <f t="shared" si="36"/>
        <v>9</v>
      </c>
      <c r="R82" s="8"/>
      <c r="T82"/>
    </row>
    <row r="83" spans="2:20" ht="23.1" customHeight="1" x14ac:dyDescent="0.25">
      <c r="B83" s="23" t="s">
        <v>123</v>
      </c>
      <c r="C83" s="49">
        <f>'Avg Week Kumi-Soroti'!C83+'Avg Week Soroti-Kumi'!C83</f>
        <v>1.5</v>
      </c>
      <c r="D83" s="49">
        <f>'Avg Week Kumi-Soroti'!D83+'Avg Week Soroti-Kumi'!D83</f>
        <v>0</v>
      </c>
      <c r="E83" s="49">
        <f>'Avg Week Kumi-Soroti'!E83+'Avg Week Soroti-Kumi'!E83</f>
        <v>1.5</v>
      </c>
      <c r="F83" s="49">
        <f>'Avg Week Kumi-Soroti'!F83+'Avg Week Soroti-Kumi'!F83</f>
        <v>0.5</v>
      </c>
      <c r="G83" s="49">
        <f>'Avg Week Kumi-Soroti'!G83+'Avg Week Soroti-Kumi'!G83</f>
        <v>0</v>
      </c>
      <c r="H83" s="49">
        <f>'Avg Week Kumi-Soroti'!H83+'Avg Week Soroti-Kumi'!H83</f>
        <v>0.5</v>
      </c>
      <c r="I83" s="49">
        <f>'Avg Week Kumi-Soroti'!I83+'Avg Week Soroti-Kumi'!I83</f>
        <v>3.5</v>
      </c>
      <c r="J83" s="49">
        <f>'Avg Week Kumi-Soroti'!J83+'Avg Week Soroti-Kumi'!J83</f>
        <v>0.5</v>
      </c>
      <c r="K83" s="49">
        <f>'Avg Week Kumi-Soroti'!K83+'Avg Week Soroti-Kumi'!K83</f>
        <v>0.5</v>
      </c>
      <c r="L83" s="49">
        <f>'Avg Week Kumi-Soroti'!L83+'Avg Week Soroti-Kumi'!L83</f>
        <v>3.5</v>
      </c>
      <c r="M83" s="49">
        <f>'Avg Week Kumi-Soroti'!M83+'Avg Week Soroti-Kumi'!M83</f>
        <v>0.5</v>
      </c>
      <c r="N83" s="49">
        <f>'Avg Week Kumi-Soroti'!N83+'Avg Week Soroti-Kumi'!N83</f>
        <v>0</v>
      </c>
      <c r="O83" s="15">
        <f t="shared" si="35"/>
        <v>12</v>
      </c>
      <c r="P83" s="15">
        <f t="shared" si="36"/>
        <v>12.5</v>
      </c>
      <c r="R83" s="8"/>
      <c r="T83"/>
    </row>
    <row r="84" spans="2:20" ht="23.1" customHeight="1" x14ac:dyDescent="0.25">
      <c r="B84" s="25" t="s">
        <v>124</v>
      </c>
      <c r="C84" s="49">
        <f>'Avg Week Kumi-Soroti'!C84+'Avg Week Soroti-Kumi'!C84</f>
        <v>0</v>
      </c>
      <c r="D84" s="49">
        <f>'Avg Week Kumi-Soroti'!D84+'Avg Week Soroti-Kumi'!D84</f>
        <v>0</v>
      </c>
      <c r="E84" s="49">
        <f>'Avg Week Kumi-Soroti'!E84+'Avg Week Soroti-Kumi'!E84</f>
        <v>0</v>
      </c>
      <c r="F84" s="49">
        <f>'Avg Week Kumi-Soroti'!F84+'Avg Week Soroti-Kumi'!F84</f>
        <v>0.5</v>
      </c>
      <c r="G84" s="49">
        <f>'Avg Week Kumi-Soroti'!G84+'Avg Week Soroti-Kumi'!G84</f>
        <v>0</v>
      </c>
      <c r="H84" s="49">
        <f>'Avg Week Kumi-Soroti'!H84+'Avg Week Soroti-Kumi'!H84</f>
        <v>1</v>
      </c>
      <c r="I84" s="49">
        <f>'Avg Week Kumi-Soroti'!I84+'Avg Week Soroti-Kumi'!I84</f>
        <v>2.5</v>
      </c>
      <c r="J84" s="49">
        <f>'Avg Week Kumi-Soroti'!J84+'Avg Week Soroti-Kumi'!J84</f>
        <v>0</v>
      </c>
      <c r="K84" s="49">
        <f>'Avg Week Kumi-Soroti'!K84+'Avg Week Soroti-Kumi'!K84</f>
        <v>0</v>
      </c>
      <c r="L84" s="49">
        <f>'Avg Week Kumi-Soroti'!L84+'Avg Week Soroti-Kumi'!L84</f>
        <v>5.5</v>
      </c>
      <c r="M84" s="49">
        <f>'Avg Week Kumi-Soroti'!M84+'Avg Week Soroti-Kumi'!M84</f>
        <v>0</v>
      </c>
      <c r="N84" s="49">
        <f>'Avg Week Kumi-Soroti'!N84+'Avg Week Soroti-Kumi'!N84</f>
        <v>0</v>
      </c>
      <c r="O84" s="15">
        <f t="shared" si="35"/>
        <v>9.5</v>
      </c>
      <c r="P84" s="15">
        <f t="shared" si="36"/>
        <v>9.5</v>
      </c>
      <c r="R84" s="8"/>
      <c r="T84"/>
    </row>
    <row r="85" spans="2:20" ht="23.1" customHeight="1" x14ac:dyDescent="0.25">
      <c r="B85" s="23" t="s">
        <v>125</v>
      </c>
      <c r="C85" s="49">
        <f>'Avg Week Kumi-Soroti'!C85+'Avg Week Soroti-Kumi'!C85</f>
        <v>0.5</v>
      </c>
      <c r="D85" s="49">
        <f>'Avg Week Kumi-Soroti'!D85+'Avg Week Soroti-Kumi'!D85</f>
        <v>0</v>
      </c>
      <c r="E85" s="49">
        <f>'Avg Week Kumi-Soroti'!E85+'Avg Week Soroti-Kumi'!E85</f>
        <v>0</v>
      </c>
      <c r="F85" s="49">
        <f>'Avg Week Kumi-Soroti'!F85+'Avg Week Soroti-Kumi'!F85</f>
        <v>0</v>
      </c>
      <c r="G85" s="49">
        <f>'Avg Week Kumi-Soroti'!G85+'Avg Week Soroti-Kumi'!G85</f>
        <v>0</v>
      </c>
      <c r="H85" s="49">
        <f>'Avg Week Kumi-Soroti'!H85+'Avg Week Soroti-Kumi'!H85</f>
        <v>0.5</v>
      </c>
      <c r="I85" s="49">
        <f>'Avg Week Kumi-Soroti'!I85+'Avg Week Soroti-Kumi'!I85</f>
        <v>1.5</v>
      </c>
      <c r="J85" s="49">
        <f>'Avg Week Kumi-Soroti'!J85+'Avg Week Soroti-Kumi'!J85</f>
        <v>0.5</v>
      </c>
      <c r="K85" s="49">
        <f>'Avg Week Kumi-Soroti'!K85+'Avg Week Soroti-Kumi'!K85</f>
        <v>1</v>
      </c>
      <c r="L85" s="49">
        <f>'Avg Week Kumi-Soroti'!L85+'Avg Week Soroti-Kumi'!L85</f>
        <v>2</v>
      </c>
      <c r="M85" s="49">
        <f>'Avg Week Kumi-Soroti'!M85+'Avg Week Soroti-Kumi'!M85</f>
        <v>0</v>
      </c>
      <c r="N85" s="49">
        <f>'Avg Week Kumi-Soroti'!N85+'Avg Week Soroti-Kumi'!N85</f>
        <v>0</v>
      </c>
      <c r="O85" s="15">
        <f t="shared" si="35"/>
        <v>6</v>
      </c>
      <c r="P85" s="15">
        <f t="shared" si="36"/>
        <v>6</v>
      </c>
      <c r="R85" s="8"/>
      <c r="T85"/>
    </row>
    <row r="86" spans="2:20" ht="23.1" customHeight="1" x14ac:dyDescent="0.25">
      <c r="B86" s="24" t="s">
        <v>126</v>
      </c>
      <c r="C86" s="49">
        <f>'Avg Week Kumi-Soroti'!C86+'Avg Week Soroti-Kumi'!C86</f>
        <v>0</v>
      </c>
      <c r="D86" s="49">
        <f>'Avg Week Kumi-Soroti'!D86+'Avg Week Soroti-Kumi'!D86</f>
        <v>0</v>
      </c>
      <c r="E86" s="49">
        <f>'Avg Week Kumi-Soroti'!E86+'Avg Week Soroti-Kumi'!E86</f>
        <v>1</v>
      </c>
      <c r="F86" s="49">
        <f>'Avg Week Kumi-Soroti'!F86+'Avg Week Soroti-Kumi'!F86</f>
        <v>0</v>
      </c>
      <c r="G86" s="49">
        <f>'Avg Week Kumi-Soroti'!G86+'Avg Week Soroti-Kumi'!G86</f>
        <v>0</v>
      </c>
      <c r="H86" s="49">
        <f>'Avg Week Kumi-Soroti'!H86+'Avg Week Soroti-Kumi'!H86</f>
        <v>0</v>
      </c>
      <c r="I86" s="49">
        <f>'Avg Week Kumi-Soroti'!I86+'Avg Week Soroti-Kumi'!I86</f>
        <v>2.5</v>
      </c>
      <c r="J86" s="49">
        <f>'Avg Week Kumi-Soroti'!J86+'Avg Week Soroti-Kumi'!J86</f>
        <v>0</v>
      </c>
      <c r="K86" s="49">
        <f>'Avg Week Kumi-Soroti'!K86+'Avg Week Soroti-Kumi'!K86</f>
        <v>0.5</v>
      </c>
      <c r="L86" s="49">
        <f>'Avg Week Kumi-Soroti'!L86+'Avg Week Soroti-Kumi'!L86</f>
        <v>4.5</v>
      </c>
      <c r="M86" s="49">
        <f>'Avg Week Kumi-Soroti'!M86+'Avg Week Soroti-Kumi'!M86</f>
        <v>0.5</v>
      </c>
      <c r="N86" s="49">
        <f>'Avg Week Kumi-Soroti'!N86+'Avg Week Soroti-Kumi'!N86</f>
        <v>0</v>
      </c>
      <c r="O86" s="15">
        <f t="shared" si="35"/>
        <v>8.5</v>
      </c>
      <c r="P86" s="15">
        <f t="shared" si="36"/>
        <v>9</v>
      </c>
      <c r="R86" s="8"/>
      <c r="T86"/>
    </row>
    <row r="87" spans="2:20" ht="23.1" customHeight="1" x14ac:dyDescent="0.25">
      <c r="B87" s="23" t="s">
        <v>127</v>
      </c>
      <c r="C87" s="49">
        <f>'Avg Week Kumi-Soroti'!C87+'Avg Week Soroti-Kumi'!C87</f>
        <v>0</v>
      </c>
      <c r="D87" s="49">
        <f>'Avg Week Kumi-Soroti'!D87+'Avg Week Soroti-Kumi'!D87</f>
        <v>0</v>
      </c>
      <c r="E87" s="49">
        <f>'Avg Week Kumi-Soroti'!E87+'Avg Week Soroti-Kumi'!E87</f>
        <v>2</v>
      </c>
      <c r="F87" s="49">
        <f>'Avg Week Kumi-Soroti'!F87+'Avg Week Soroti-Kumi'!F87</f>
        <v>0.5</v>
      </c>
      <c r="G87" s="49">
        <f>'Avg Week Kumi-Soroti'!G87+'Avg Week Soroti-Kumi'!G87</f>
        <v>0</v>
      </c>
      <c r="H87" s="49">
        <f>'Avg Week Kumi-Soroti'!H87+'Avg Week Soroti-Kumi'!H87</f>
        <v>1</v>
      </c>
      <c r="I87" s="49">
        <f>'Avg Week Kumi-Soroti'!I87+'Avg Week Soroti-Kumi'!I87</f>
        <v>0</v>
      </c>
      <c r="J87" s="49">
        <f>'Avg Week Kumi-Soroti'!J87+'Avg Week Soroti-Kumi'!J87</f>
        <v>0</v>
      </c>
      <c r="K87" s="49">
        <f>'Avg Week Kumi-Soroti'!K87+'Avg Week Soroti-Kumi'!K87</f>
        <v>1</v>
      </c>
      <c r="L87" s="49">
        <f>'Avg Week Kumi-Soroti'!L87+'Avg Week Soroti-Kumi'!L87</f>
        <v>2</v>
      </c>
      <c r="M87" s="49">
        <f>'Avg Week Kumi-Soroti'!M87+'Avg Week Soroti-Kumi'!M87</f>
        <v>0.5</v>
      </c>
      <c r="N87" s="49">
        <f>'Avg Week Kumi-Soroti'!N87+'Avg Week Soroti-Kumi'!N87</f>
        <v>0</v>
      </c>
      <c r="O87" s="15">
        <f t="shared" si="35"/>
        <v>6.5</v>
      </c>
      <c r="P87" s="15">
        <f t="shared" si="36"/>
        <v>7</v>
      </c>
      <c r="R87" s="8"/>
      <c r="T87"/>
    </row>
    <row r="88" spans="2:20" ht="23.1" customHeight="1" x14ac:dyDescent="0.25">
      <c r="B88" s="25" t="s">
        <v>128</v>
      </c>
      <c r="C88" s="49">
        <f>'Avg Week Kumi-Soroti'!C88+'Avg Week Soroti-Kumi'!C88</f>
        <v>0</v>
      </c>
      <c r="D88" s="49">
        <f>'Avg Week Kumi-Soroti'!D88+'Avg Week Soroti-Kumi'!D88</f>
        <v>0</v>
      </c>
      <c r="E88" s="49">
        <f>'Avg Week Kumi-Soroti'!E88+'Avg Week Soroti-Kumi'!E88</f>
        <v>0</v>
      </c>
      <c r="F88" s="49">
        <f>'Avg Week Kumi-Soroti'!F88+'Avg Week Soroti-Kumi'!F88</f>
        <v>0.5</v>
      </c>
      <c r="G88" s="49">
        <f>'Avg Week Kumi-Soroti'!G88+'Avg Week Soroti-Kumi'!G88</f>
        <v>0</v>
      </c>
      <c r="H88" s="49">
        <f>'Avg Week Kumi-Soroti'!H88+'Avg Week Soroti-Kumi'!H88</f>
        <v>0.5</v>
      </c>
      <c r="I88" s="49">
        <f>'Avg Week Kumi-Soroti'!I88+'Avg Week Soroti-Kumi'!I88</f>
        <v>1</v>
      </c>
      <c r="J88" s="49">
        <f>'Avg Week Kumi-Soroti'!J88+'Avg Week Soroti-Kumi'!J88</f>
        <v>0</v>
      </c>
      <c r="K88" s="49">
        <f>'Avg Week Kumi-Soroti'!K88+'Avg Week Soroti-Kumi'!K88</f>
        <v>0</v>
      </c>
      <c r="L88" s="49">
        <f>'Avg Week Kumi-Soroti'!L88+'Avg Week Soroti-Kumi'!L88</f>
        <v>1.5</v>
      </c>
      <c r="M88" s="49">
        <f>'Avg Week Kumi-Soroti'!M88+'Avg Week Soroti-Kumi'!M88</f>
        <v>0</v>
      </c>
      <c r="N88" s="49">
        <f>'Avg Week Kumi-Soroti'!N88+'Avg Week Soroti-Kumi'!N88</f>
        <v>0</v>
      </c>
      <c r="O88" s="15">
        <f t="shared" si="35"/>
        <v>3.5</v>
      </c>
      <c r="P88" s="15">
        <f t="shared" si="36"/>
        <v>3.5</v>
      </c>
      <c r="R88" s="8"/>
      <c r="T88"/>
    </row>
    <row r="89" spans="2:20" ht="23.1" customHeight="1" x14ac:dyDescent="0.25">
      <c r="B89" s="23" t="s">
        <v>129</v>
      </c>
      <c r="C89" s="49">
        <f>'Avg Week Kumi-Soroti'!C89+'Avg Week Soroti-Kumi'!C89</f>
        <v>0.5</v>
      </c>
      <c r="D89" s="49">
        <f>'Avg Week Kumi-Soroti'!D89+'Avg Week Soroti-Kumi'!D89</f>
        <v>0</v>
      </c>
      <c r="E89" s="49">
        <f>'Avg Week Kumi-Soroti'!E89+'Avg Week Soroti-Kumi'!E89</f>
        <v>1</v>
      </c>
      <c r="F89" s="49">
        <f>'Avg Week Kumi-Soroti'!F89+'Avg Week Soroti-Kumi'!F89</f>
        <v>0</v>
      </c>
      <c r="G89" s="49">
        <f>'Avg Week Kumi-Soroti'!G89+'Avg Week Soroti-Kumi'!G89</f>
        <v>0</v>
      </c>
      <c r="H89" s="49">
        <f>'Avg Week Kumi-Soroti'!H89+'Avg Week Soroti-Kumi'!H89</f>
        <v>0</v>
      </c>
      <c r="I89" s="49">
        <f>'Avg Week Kumi-Soroti'!I89+'Avg Week Soroti-Kumi'!I89</f>
        <v>0.5</v>
      </c>
      <c r="J89" s="49">
        <f>'Avg Week Kumi-Soroti'!J89+'Avg Week Soroti-Kumi'!J89</f>
        <v>0.5</v>
      </c>
      <c r="K89" s="49">
        <f>'Avg Week Kumi-Soroti'!K89+'Avg Week Soroti-Kumi'!K89</f>
        <v>0.5</v>
      </c>
      <c r="L89" s="49">
        <f>'Avg Week Kumi-Soroti'!L89+'Avg Week Soroti-Kumi'!L89</f>
        <v>1.5</v>
      </c>
      <c r="M89" s="49">
        <f>'Avg Week Kumi-Soroti'!M89+'Avg Week Soroti-Kumi'!M89</f>
        <v>0</v>
      </c>
      <c r="N89" s="49">
        <f>'Avg Week Kumi-Soroti'!N89+'Avg Week Soroti-Kumi'!N89</f>
        <v>0</v>
      </c>
      <c r="O89" s="15">
        <f t="shared" si="35"/>
        <v>4.5</v>
      </c>
      <c r="P89" s="15">
        <f t="shared" si="36"/>
        <v>4.5</v>
      </c>
      <c r="R89" s="8"/>
      <c r="T89"/>
    </row>
    <row r="90" spans="2:20" ht="23.1" customHeight="1" x14ac:dyDescent="0.25">
      <c r="B90" s="24" t="s">
        <v>130</v>
      </c>
      <c r="C90" s="49">
        <f>'Avg Week Kumi-Soroti'!C90+'Avg Week Soroti-Kumi'!C90</f>
        <v>1.5</v>
      </c>
      <c r="D90" s="49">
        <f>'Avg Week Kumi-Soroti'!D90+'Avg Week Soroti-Kumi'!D90</f>
        <v>0</v>
      </c>
      <c r="E90" s="49">
        <f>'Avg Week Kumi-Soroti'!E90+'Avg Week Soroti-Kumi'!E90</f>
        <v>0.5</v>
      </c>
      <c r="F90" s="49">
        <f>'Avg Week Kumi-Soroti'!F90+'Avg Week Soroti-Kumi'!F90</f>
        <v>0.5</v>
      </c>
      <c r="G90" s="49">
        <f>'Avg Week Kumi-Soroti'!G90+'Avg Week Soroti-Kumi'!G90</f>
        <v>0</v>
      </c>
      <c r="H90" s="49">
        <f>'Avg Week Kumi-Soroti'!H90+'Avg Week Soroti-Kumi'!H90</f>
        <v>1.5</v>
      </c>
      <c r="I90" s="49">
        <f>'Avg Week Kumi-Soroti'!I90+'Avg Week Soroti-Kumi'!I90</f>
        <v>1.5</v>
      </c>
      <c r="J90" s="49">
        <f>'Avg Week Kumi-Soroti'!J90+'Avg Week Soroti-Kumi'!J90</f>
        <v>0</v>
      </c>
      <c r="K90" s="49">
        <f>'Avg Week Kumi-Soroti'!K90+'Avg Week Soroti-Kumi'!K90</f>
        <v>0</v>
      </c>
      <c r="L90" s="49">
        <f>'Avg Week Kumi-Soroti'!L90+'Avg Week Soroti-Kumi'!L90</f>
        <v>2</v>
      </c>
      <c r="M90" s="49">
        <f>'Avg Week Kumi-Soroti'!M90+'Avg Week Soroti-Kumi'!M90</f>
        <v>0</v>
      </c>
      <c r="N90" s="49">
        <f>'Avg Week Kumi-Soroti'!N90+'Avg Week Soroti-Kumi'!N90</f>
        <v>0</v>
      </c>
      <c r="O90" s="15">
        <f t="shared" si="35"/>
        <v>7.5</v>
      </c>
      <c r="P90" s="15">
        <f t="shared" si="36"/>
        <v>7.5</v>
      </c>
      <c r="R90" s="8"/>
      <c r="T90"/>
    </row>
    <row r="91" spans="2:20" ht="23.1" customHeight="1" x14ac:dyDescent="0.25">
      <c r="B91" s="23" t="s">
        <v>131</v>
      </c>
      <c r="C91" s="49">
        <f>'Avg Week Kumi-Soroti'!C91+'Avg Week Soroti-Kumi'!C91</f>
        <v>1</v>
      </c>
      <c r="D91" s="49">
        <f>'Avg Week Kumi-Soroti'!D91+'Avg Week Soroti-Kumi'!D91</f>
        <v>0</v>
      </c>
      <c r="E91" s="49">
        <f>'Avg Week Kumi-Soroti'!E91+'Avg Week Soroti-Kumi'!E91</f>
        <v>0.5</v>
      </c>
      <c r="F91" s="49">
        <f>'Avg Week Kumi-Soroti'!F91+'Avg Week Soroti-Kumi'!F91</f>
        <v>1.5</v>
      </c>
      <c r="G91" s="49">
        <f>'Avg Week Kumi-Soroti'!G91+'Avg Week Soroti-Kumi'!G91</f>
        <v>0</v>
      </c>
      <c r="H91" s="49">
        <f>'Avg Week Kumi-Soroti'!H91+'Avg Week Soroti-Kumi'!H91</f>
        <v>0.5</v>
      </c>
      <c r="I91" s="49">
        <f>'Avg Week Kumi-Soroti'!I91+'Avg Week Soroti-Kumi'!I91</f>
        <v>1.5</v>
      </c>
      <c r="J91" s="49">
        <f>'Avg Week Kumi-Soroti'!J91+'Avg Week Soroti-Kumi'!J91</f>
        <v>0.5</v>
      </c>
      <c r="K91" s="49">
        <f>'Avg Week Kumi-Soroti'!K91+'Avg Week Soroti-Kumi'!K91</f>
        <v>0</v>
      </c>
      <c r="L91" s="49">
        <f>'Avg Week Kumi-Soroti'!L91+'Avg Week Soroti-Kumi'!L91</f>
        <v>5.5</v>
      </c>
      <c r="M91" s="49">
        <f>'Avg Week Kumi-Soroti'!M91+'Avg Week Soroti-Kumi'!M91</f>
        <v>0</v>
      </c>
      <c r="N91" s="49">
        <f>'Avg Week Kumi-Soroti'!N91+'Avg Week Soroti-Kumi'!N91</f>
        <v>0</v>
      </c>
      <c r="O91" s="15">
        <f t="shared" si="35"/>
        <v>11</v>
      </c>
      <c r="P91" s="15">
        <f t="shared" si="36"/>
        <v>11</v>
      </c>
      <c r="R91" s="8"/>
      <c r="T91"/>
    </row>
    <row r="92" spans="2:20" ht="23.1" customHeight="1" x14ac:dyDescent="0.25">
      <c r="B92" s="25" t="s">
        <v>132</v>
      </c>
      <c r="C92" s="49">
        <f>'Avg Week Kumi-Soroti'!C92+'Avg Week Soroti-Kumi'!C92</f>
        <v>1</v>
      </c>
      <c r="D92" s="49">
        <f>'Avg Week Kumi-Soroti'!D92+'Avg Week Soroti-Kumi'!D92</f>
        <v>0</v>
      </c>
      <c r="E92" s="49">
        <f>'Avg Week Kumi-Soroti'!E92+'Avg Week Soroti-Kumi'!E92</f>
        <v>0</v>
      </c>
      <c r="F92" s="49">
        <f>'Avg Week Kumi-Soroti'!F92+'Avg Week Soroti-Kumi'!F92</f>
        <v>0.5</v>
      </c>
      <c r="G92" s="49">
        <f>'Avg Week Kumi-Soroti'!G92+'Avg Week Soroti-Kumi'!G92</f>
        <v>0</v>
      </c>
      <c r="H92" s="49">
        <f>'Avg Week Kumi-Soroti'!H92+'Avg Week Soroti-Kumi'!H92</f>
        <v>0</v>
      </c>
      <c r="I92" s="49">
        <f>'Avg Week Kumi-Soroti'!I92+'Avg Week Soroti-Kumi'!I92</f>
        <v>0.5</v>
      </c>
      <c r="J92" s="49">
        <f>'Avg Week Kumi-Soroti'!J92+'Avg Week Soroti-Kumi'!J92</f>
        <v>0</v>
      </c>
      <c r="K92" s="49">
        <f>'Avg Week Kumi-Soroti'!K92+'Avg Week Soroti-Kumi'!K92</f>
        <v>0.5</v>
      </c>
      <c r="L92" s="49">
        <f>'Avg Week Kumi-Soroti'!L92+'Avg Week Soroti-Kumi'!L92</f>
        <v>1</v>
      </c>
      <c r="M92" s="49">
        <f>'Avg Week Kumi-Soroti'!M92+'Avg Week Soroti-Kumi'!M92</f>
        <v>0.5</v>
      </c>
      <c r="N92" s="49">
        <f>'Avg Week Kumi-Soroti'!N92+'Avg Week Soroti-Kumi'!N92</f>
        <v>0</v>
      </c>
      <c r="O92" s="15">
        <f t="shared" si="35"/>
        <v>3.5</v>
      </c>
      <c r="P92" s="15">
        <f t="shared" si="36"/>
        <v>4</v>
      </c>
      <c r="R92" s="8"/>
      <c r="T92"/>
    </row>
    <row r="93" spans="2:20" ht="23.1" customHeight="1" x14ac:dyDescent="0.25">
      <c r="B93" s="23" t="s">
        <v>133</v>
      </c>
      <c r="C93" s="49">
        <f>'Avg Week Kumi-Soroti'!C93+'Avg Week Soroti-Kumi'!C93</f>
        <v>0</v>
      </c>
      <c r="D93" s="49">
        <f>'Avg Week Kumi-Soroti'!D93+'Avg Week Soroti-Kumi'!D93</f>
        <v>0.5</v>
      </c>
      <c r="E93" s="49">
        <f>'Avg Week Kumi-Soroti'!E93+'Avg Week Soroti-Kumi'!E93</f>
        <v>2.5</v>
      </c>
      <c r="F93" s="49">
        <f>'Avg Week Kumi-Soroti'!F93+'Avg Week Soroti-Kumi'!F93</f>
        <v>1</v>
      </c>
      <c r="G93" s="49">
        <f>'Avg Week Kumi-Soroti'!G93+'Avg Week Soroti-Kumi'!G93</f>
        <v>0</v>
      </c>
      <c r="H93" s="49">
        <f>'Avg Week Kumi-Soroti'!H93+'Avg Week Soroti-Kumi'!H93</f>
        <v>0.5</v>
      </c>
      <c r="I93" s="49">
        <f>'Avg Week Kumi-Soroti'!I93+'Avg Week Soroti-Kumi'!I93</f>
        <v>2</v>
      </c>
      <c r="J93" s="49">
        <f>'Avg Week Kumi-Soroti'!J93+'Avg Week Soroti-Kumi'!J93</f>
        <v>0</v>
      </c>
      <c r="K93" s="49">
        <f>'Avg Week Kumi-Soroti'!K93+'Avg Week Soroti-Kumi'!K93</f>
        <v>0</v>
      </c>
      <c r="L93" s="49">
        <f>'Avg Week Kumi-Soroti'!L93+'Avg Week Soroti-Kumi'!L93</f>
        <v>3.5</v>
      </c>
      <c r="M93" s="49">
        <f>'Avg Week Kumi-Soroti'!M93+'Avg Week Soroti-Kumi'!M93</f>
        <v>0</v>
      </c>
      <c r="N93" s="49">
        <f>'Avg Week Kumi-Soroti'!N93+'Avg Week Soroti-Kumi'!N93</f>
        <v>0</v>
      </c>
      <c r="O93" s="15">
        <f t="shared" si="35"/>
        <v>10</v>
      </c>
      <c r="P93" s="15">
        <f t="shared" si="36"/>
        <v>10</v>
      </c>
      <c r="R93" s="8"/>
      <c r="T93"/>
    </row>
    <row r="94" spans="2:20" ht="23.1" customHeight="1" x14ac:dyDescent="0.25">
      <c r="B94" s="24" t="s">
        <v>134</v>
      </c>
      <c r="C94" s="49">
        <f>'Avg Week Kumi-Soroti'!C94+'Avg Week Soroti-Kumi'!C94</f>
        <v>1</v>
      </c>
      <c r="D94" s="49">
        <f>'Avg Week Kumi-Soroti'!D94+'Avg Week Soroti-Kumi'!D94</f>
        <v>0</v>
      </c>
      <c r="E94" s="49">
        <f>'Avg Week Kumi-Soroti'!E94+'Avg Week Soroti-Kumi'!E94</f>
        <v>1</v>
      </c>
      <c r="F94" s="49">
        <f>'Avg Week Kumi-Soroti'!F94+'Avg Week Soroti-Kumi'!F94</f>
        <v>0.5</v>
      </c>
      <c r="G94" s="49">
        <f>'Avg Week Kumi-Soroti'!G94+'Avg Week Soroti-Kumi'!G94</f>
        <v>0</v>
      </c>
      <c r="H94" s="49">
        <f>'Avg Week Kumi-Soroti'!H94+'Avg Week Soroti-Kumi'!H94</f>
        <v>0</v>
      </c>
      <c r="I94" s="49">
        <f>'Avg Week Kumi-Soroti'!I94+'Avg Week Soroti-Kumi'!I94</f>
        <v>0.5</v>
      </c>
      <c r="J94" s="49">
        <f>'Avg Week Kumi-Soroti'!J94+'Avg Week Soroti-Kumi'!J94</f>
        <v>0</v>
      </c>
      <c r="K94" s="49">
        <f>'Avg Week Kumi-Soroti'!K94+'Avg Week Soroti-Kumi'!K94</f>
        <v>0.5</v>
      </c>
      <c r="L94" s="49">
        <f>'Avg Week Kumi-Soroti'!L94+'Avg Week Soroti-Kumi'!L94</f>
        <v>4.5</v>
      </c>
      <c r="M94" s="49">
        <f>'Avg Week Kumi-Soroti'!M94+'Avg Week Soroti-Kumi'!M94</f>
        <v>0</v>
      </c>
      <c r="N94" s="49">
        <f>'Avg Week Kumi-Soroti'!N94+'Avg Week Soroti-Kumi'!N94</f>
        <v>0</v>
      </c>
      <c r="O94" s="15">
        <f t="shared" si="35"/>
        <v>8</v>
      </c>
      <c r="P94" s="15">
        <f t="shared" si="36"/>
        <v>8</v>
      </c>
      <c r="R94" s="8"/>
      <c r="T94"/>
    </row>
    <row r="95" spans="2:20" ht="23.1" customHeight="1" x14ac:dyDescent="0.25">
      <c r="B95" s="23" t="s">
        <v>135</v>
      </c>
      <c r="C95" s="49">
        <f>'Avg Week Kumi-Soroti'!C95+'Avg Week Soroti-Kumi'!C95</f>
        <v>1.5</v>
      </c>
      <c r="D95" s="49">
        <f>'Avg Week Kumi-Soroti'!D95+'Avg Week Soroti-Kumi'!D95</f>
        <v>0</v>
      </c>
      <c r="E95" s="49">
        <f>'Avg Week Kumi-Soroti'!E95+'Avg Week Soroti-Kumi'!E95</f>
        <v>0.5</v>
      </c>
      <c r="F95" s="49">
        <f>'Avg Week Kumi-Soroti'!F95+'Avg Week Soroti-Kumi'!F95</f>
        <v>1.5</v>
      </c>
      <c r="G95" s="49">
        <f>'Avg Week Kumi-Soroti'!G95+'Avg Week Soroti-Kumi'!G95</f>
        <v>0</v>
      </c>
      <c r="H95" s="49">
        <f>'Avg Week Kumi-Soroti'!H95+'Avg Week Soroti-Kumi'!H95</f>
        <v>0.5</v>
      </c>
      <c r="I95" s="49">
        <f>'Avg Week Kumi-Soroti'!I95+'Avg Week Soroti-Kumi'!I95</f>
        <v>0</v>
      </c>
      <c r="J95" s="49">
        <f>'Avg Week Kumi-Soroti'!J95+'Avg Week Soroti-Kumi'!J95</f>
        <v>0</v>
      </c>
      <c r="K95" s="49">
        <f>'Avg Week Kumi-Soroti'!K95+'Avg Week Soroti-Kumi'!K95</f>
        <v>0</v>
      </c>
      <c r="L95" s="49">
        <f>'Avg Week Kumi-Soroti'!L95+'Avg Week Soroti-Kumi'!L95</f>
        <v>2</v>
      </c>
      <c r="M95" s="49">
        <f>'Avg Week Kumi-Soroti'!M95+'Avg Week Soroti-Kumi'!M95</f>
        <v>0</v>
      </c>
      <c r="N95" s="49">
        <f>'Avg Week Kumi-Soroti'!N95+'Avg Week Soroti-Kumi'!N95</f>
        <v>0</v>
      </c>
      <c r="O95" s="15">
        <f t="shared" si="35"/>
        <v>6</v>
      </c>
      <c r="P95" s="15">
        <f t="shared" si="36"/>
        <v>6</v>
      </c>
      <c r="R95" s="8"/>
      <c r="T95"/>
    </row>
    <row r="96" spans="2:20" ht="23.1" customHeight="1" x14ac:dyDescent="0.25">
      <c r="B96" s="25" t="s">
        <v>136</v>
      </c>
      <c r="C96" s="49">
        <f>'Avg Week Kumi-Soroti'!C96+'Avg Week Soroti-Kumi'!C96</f>
        <v>0</v>
      </c>
      <c r="D96" s="49">
        <f>'Avg Week Kumi-Soroti'!D96+'Avg Week Soroti-Kumi'!D96</f>
        <v>0</v>
      </c>
      <c r="E96" s="49">
        <f>'Avg Week Kumi-Soroti'!E96+'Avg Week Soroti-Kumi'!E96</f>
        <v>0</v>
      </c>
      <c r="F96" s="49">
        <f>'Avg Week Kumi-Soroti'!F96+'Avg Week Soroti-Kumi'!F96</f>
        <v>0</v>
      </c>
      <c r="G96" s="49">
        <f>'Avg Week Kumi-Soroti'!G96+'Avg Week Soroti-Kumi'!G96</f>
        <v>0</v>
      </c>
      <c r="H96" s="49">
        <f>'Avg Week Kumi-Soroti'!H96+'Avg Week Soroti-Kumi'!H96</f>
        <v>0</v>
      </c>
      <c r="I96" s="49">
        <f>'Avg Week Kumi-Soroti'!I96+'Avg Week Soroti-Kumi'!I96</f>
        <v>0</v>
      </c>
      <c r="J96" s="49">
        <f>'Avg Week Kumi-Soroti'!J96+'Avg Week Soroti-Kumi'!J96</f>
        <v>0</v>
      </c>
      <c r="K96" s="49">
        <f>'Avg Week Kumi-Soroti'!K96+'Avg Week Soroti-Kumi'!K96</f>
        <v>0</v>
      </c>
      <c r="L96" s="49">
        <f>'Avg Week Kumi-Soroti'!L96+'Avg Week Soroti-Kumi'!L96</f>
        <v>3</v>
      </c>
      <c r="M96" s="49">
        <f>'Avg Week Kumi-Soroti'!M96+'Avg Week Soroti-Kumi'!M96</f>
        <v>0</v>
      </c>
      <c r="N96" s="49">
        <f>'Avg Week Kumi-Soroti'!N96+'Avg Week Soroti-Kumi'!N96</f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23" t="s">
        <v>137</v>
      </c>
      <c r="C97" s="49">
        <f>'Avg Week Kumi-Soroti'!C97+'Avg Week Soroti-Kumi'!C97</f>
        <v>0</v>
      </c>
      <c r="D97" s="49">
        <f>'Avg Week Kumi-Soroti'!D97+'Avg Week Soroti-Kumi'!D97</f>
        <v>0</v>
      </c>
      <c r="E97" s="49">
        <f>'Avg Week Kumi-Soroti'!E97+'Avg Week Soroti-Kumi'!E97</f>
        <v>1</v>
      </c>
      <c r="F97" s="49">
        <f>'Avg Week Kumi-Soroti'!F97+'Avg Week Soroti-Kumi'!F97</f>
        <v>0</v>
      </c>
      <c r="G97" s="49">
        <f>'Avg Week Kumi-Soroti'!G97+'Avg Week Soroti-Kumi'!G97</f>
        <v>0</v>
      </c>
      <c r="H97" s="49">
        <f>'Avg Week Kumi-Soroti'!H97+'Avg Week Soroti-Kumi'!H97</f>
        <v>0</v>
      </c>
      <c r="I97" s="49">
        <f>'Avg Week Kumi-Soroti'!I97+'Avg Week Soroti-Kumi'!I97</f>
        <v>2</v>
      </c>
      <c r="J97" s="49">
        <f>'Avg Week Kumi-Soroti'!J97+'Avg Week Soroti-Kumi'!J97</f>
        <v>0.5</v>
      </c>
      <c r="K97" s="49">
        <f>'Avg Week Kumi-Soroti'!K97+'Avg Week Soroti-Kumi'!K97</f>
        <v>0.5</v>
      </c>
      <c r="L97" s="49">
        <f>'Avg Week Kumi-Soroti'!L97+'Avg Week Soroti-Kumi'!L97</f>
        <v>3.5</v>
      </c>
      <c r="M97" s="49">
        <f>'Avg Week Kumi-Soroti'!M97+'Avg Week Soroti-Kumi'!M97</f>
        <v>0</v>
      </c>
      <c r="N97" s="49">
        <f>'Avg Week Kumi-Soroti'!N97+'Avg Week Soroti-Kumi'!N97</f>
        <v>0</v>
      </c>
      <c r="O97" s="15">
        <f t="shared" si="35"/>
        <v>7.5</v>
      </c>
      <c r="P97" s="15">
        <f t="shared" si="36"/>
        <v>7.5</v>
      </c>
      <c r="R97" s="8"/>
      <c r="T97"/>
    </row>
    <row r="98" spans="2:20" ht="23.1" customHeight="1" x14ac:dyDescent="0.25">
      <c r="B98" s="24" t="s">
        <v>138</v>
      </c>
      <c r="C98" s="49">
        <f>'Avg Week Kumi-Soroti'!C98+'Avg Week Soroti-Kumi'!C98</f>
        <v>0.5</v>
      </c>
      <c r="D98" s="49">
        <f>'Avg Week Kumi-Soroti'!D98+'Avg Week Soroti-Kumi'!D98</f>
        <v>0</v>
      </c>
      <c r="E98" s="49">
        <f>'Avg Week Kumi-Soroti'!E98+'Avg Week Soroti-Kumi'!E98</f>
        <v>1</v>
      </c>
      <c r="F98" s="49">
        <f>'Avg Week Kumi-Soroti'!F98+'Avg Week Soroti-Kumi'!F98</f>
        <v>0</v>
      </c>
      <c r="G98" s="49">
        <f>'Avg Week Kumi-Soroti'!G98+'Avg Week Soroti-Kumi'!G98</f>
        <v>0</v>
      </c>
      <c r="H98" s="49">
        <f>'Avg Week Kumi-Soroti'!H98+'Avg Week Soroti-Kumi'!H98</f>
        <v>0.5</v>
      </c>
      <c r="I98" s="49">
        <f>'Avg Week Kumi-Soroti'!I98+'Avg Week Soroti-Kumi'!I98</f>
        <v>1.5</v>
      </c>
      <c r="J98" s="49">
        <f>'Avg Week Kumi-Soroti'!J98+'Avg Week Soroti-Kumi'!J98</f>
        <v>0.5</v>
      </c>
      <c r="K98" s="49">
        <f>'Avg Week Kumi-Soroti'!K98+'Avg Week Soroti-Kumi'!K98</f>
        <v>0</v>
      </c>
      <c r="L98" s="49">
        <f>'Avg Week Kumi-Soroti'!L98+'Avg Week Soroti-Kumi'!L98</f>
        <v>3.5</v>
      </c>
      <c r="M98" s="49">
        <f>'Avg Week Kumi-Soroti'!M98+'Avg Week Soroti-Kumi'!M98</f>
        <v>0</v>
      </c>
      <c r="N98" s="49">
        <f>'Avg Week Kumi-Soroti'!N98+'Avg Week Soroti-Kumi'!N98</f>
        <v>0</v>
      </c>
      <c r="O98" s="15">
        <f t="shared" si="35"/>
        <v>7.5</v>
      </c>
      <c r="P98" s="15">
        <f t="shared" si="36"/>
        <v>7.5</v>
      </c>
      <c r="R98" s="8"/>
      <c r="T98"/>
    </row>
    <row r="99" spans="2:20" ht="23.1" customHeight="1" x14ac:dyDescent="0.25">
      <c r="B99" s="23" t="s">
        <v>139</v>
      </c>
      <c r="C99" s="49">
        <f>'Avg Week Kumi-Soroti'!C99+'Avg Week Soroti-Kumi'!C99</f>
        <v>0.5</v>
      </c>
      <c r="D99" s="49">
        <f>'Avg Week Kumi-Soroti'!D99+'Avg Week Soroti-Kumi'!D99</f>
        <v>0.5</v>
      </c>
      <c r="E99" s="49">
        <f>'Avg Week Kumi-Soroti'!E99+'Avg Week Soroti-Kumi'!E99</f>
        <v>1.5</v>
      </c>
      <c r="F99" s="49">
        <f>'Avg Week Kumi-Soroti'!F99+'Avg Week Soroti-Kumi'!F99</f>
        <v>0.5</v>
      </c>
      <c r="G99" s="49">
        <f>'Avg Week Kumi-Soroti'!G99+'Avg Week Soroti-Kumi'!G99</f>
        <v>0</v>
      </c>
      <c r="H99" s="49">
        <f>'Avg Week Kumi-Soroti'!H99+'Avg Week Soroti-Kumi'!H99</f>
        <v>1.5</v>
      </c>
      <c r="I99" s="49">
        <f>'Avg Week Kumi-Soroti'!I99+'Avg Week Soroti-Kumi'!I99</f>
        <v>0</v>
      </c>
      <c r="J99" s="49">
        <f>'Avg Week Kumi-Soroti'!J99+'Avg Week Soroti-Kumi'!J99</f>
        <v>0</v>
      </c>
      <c r="K99" s="49">
        <f>'Avg Week Kumi-Soroti'!K99+'Avg Week Soroti-Kumi'!K99</f>
        <v>0</v>
      </c>
      <c r="L99" s="49">
        <f>'Avg Week Kumi-Soroti'!L99+'Avg Week Soroti-Kumi'!L99</f>
        <v>2</v>
      </c>
      <c r="M99" s="49">
        <f>'Avg Week Kumi-Soroti'!M99+'Avg Week Soroti-Kumi'!M99</f>
        <v>1.5</v>
      </c>
      <c r="N99" s="49">
        <f>'Avg Week Kumi-Soroti'!N99+'Avg Week Soroti-Kumi'!N99</f>
        <v>0</v>
      </c>
      <c r="O99" s="15">
        <f t="shared" si="35"/>
        <v>6.5</v>
      </c>
      <c r="P99" s="15">
        <f t="shared" si="36"/>
        <v>8</v>
      </c>
      <c r="R99" s="8"/>
      <c r="T99"/>
    </row>
    <row r="100" spans="2:20" ht="23.1" customHeight="1" x14ac:dyDescent="0.25">
      <c r="B100" s="25" t="s">
        <v>140</v>
      </c>
      <c r="C100" s="49">
        <f>'Avg Week Kumi-Soroti'!C100+'Avg Week Soroti-Kumi'!C100</f>
        <v>0.5</v>
      </c>
      <c r="D100" s="49">
        <f>'Avg Week Kumi-Soroti'!D100+'Avg Week Soroti-Kumi'!D100</f>
        <v>0</v>
      </c>
      <c r="E100" s="49">
        <f>'Avg Week Kumi-Soroti'!E100+'Avg Week Soroti-Kumi'!E100</f>
        <v>1</v>
      </c>
      <c r="F100" s="49">
        <f>'Avg Week Kumi-Soroti'!F100+'Avg Week Soroti-Kumi'!F100</f>
        <v>0</v>
      </c>
      <c r="G100" s="49">
        <f>'Avg Week Kumi-Soroti'!G100+'Avg Week Soroti-Kumi'!G100</f>
        <v>0</v>
      </c>
      <c r="H100" s="49">
        <f>'Avg Week Kumi-Soroti'!H100+'Avg Week Soroti-Kumi'!H100</f>
        <v>1</v>
      </c>
      <c r="I100" s="49">
        <f>'Avg Week Kumi-Soroti'!I100+'Avg Week Soroti-Kumi'!I100</f>
        <v>1.5</v>
      </c>
      <c r="J100" s="49">
        <f>'Avg Week Kumi-Soroti'!J100+'Avg Week Soroti-Kumi'!J100</f>
        <v>0.5</v>
      </c>
      <c r="K100" s="49">
        <f>'Avg Week Kumi-Soroti'!K100+'Avg Week Soroti-Kumi'!K100</f>
        <v>1.5</v>
      </c>
      <c r="L100" s="49">
        <f>'Avg Week Kumi-Soroti'!L100+'Avg Week Soroti-Kumi'!L100</f>
        <v>0.5</v>
      </c>
      <c r="M100" s="49">
        <f>'Avg Week Kumi-Soroti'!M100+'Avg Week Soroti-Kumi'!M100</f>
        <v>0.5</v>
      </c>
      <c r="N100" s="49">
        <f>'Avg Week Kumi-Soroti'!N100+'Avg Week Soroti-Kumi'!N100</f>
        <v>0</v>
      </c>
      <c r="O100" s="15">
        <f t="shared" si="35"/>
        <v>6.5</v>
      </c>
      <c r="P100" s="15">
        <f t="shared" si="36"/>
        <v>7</v>
      </c>
      <c r="R100" s="8"/>
      <c r="T100"/>
    </row>
    <row r="101" spans="2:20" ht="23.1" customHeight="1" x14ac:dyDescent="0.25">
      <c r="B101" s="23" t="s">
        <v>141</v>
      </c>
      <c r="C101" s="49">
        <f>'Avg Week Kumi-Soroti'!C101+'Avg Week Soroti-Kumi'!C101</f>
        <v>0.5</v>
      </c>
      <c r="D101" s="49">
        <f>'Avg Week Kumi-Soroti'!D101+'Avg Week Soroti-Kumi'!D101</f>
        <v>0</v>
      </c>
      <c r="E101" s="49">
        <f>'Avg Week Kumi-Soroti'!E101+'Avg Week Soroti-Kumi'!E101</f>
        <v>1</v>
      </c>
      <c r="F101" s="49">
        <f>'Avg Week Kumi-Soroti'!F101+'Avg Week Soroti-Kumi'!F101</f>
        <v>1</v>
      </c>
      <c r="G101" s="49">
        <f>'Avg Week Kumi-Soroti'!G101+'Avg Week Soroti-Kumi'!G101</f>
        <v>0</v>
      </c>
      <c r="H101" s="49">
        <f>'Avg Week Kumi-Soroti'!H101+'Avg Week Soroti-Kumi'!H101</f>
        <v>0</v>
      </c>
      <c r="I101" s="49">
        <f>'Avg Week Kumi-Soroti'!I101+'Avg Week Soroti-Kumi'!I101</f>
        <v>0.5</v>
      </c>
      <c r="J101" s="49">
        <f>'Avg Week Kumi-Soroti'!J101+'Avg Week Soroti-Kumi'!J101</f>
        <v>0</v>
      </c>
      <c r="K101" s="49">
        <f>'Avg Week Kumi-Soroti'!K101+'Avg Week Soroti-Kumi'!K101</f>
        <v>0</v>
      </c>
      <c r="L101" s="49">
        <f>'Avg Week Kumi-Soroti'!L101+'Avg Week Soroti-Kumi'!L101</f>
        <v>3.5</v>
      </c>
      <c r="M101" s="49">
        <f>'Avg Week Kumi-Soroti'!M101+'Avg Week Soroti-Kumi'!M101</f>
        <v>1</v>
      </c>
      <c r="N101" s="49">
        <f>'Avg Week Kumi-Soroti'!N101+'Avg Week Soroti-Kumi'!N101</f>
        <v>0</v>
      </c>
      <c r="O101" s="15">
        <f t="shared" si="35"/>
        <v>6.5</v>
      </c>
      <c r="P101" s="15">
        <f t="shared" si="36"/>
        <v>7.5</v>
      </c>
      <c r="R101" s="8"/>
      <c r="T101"/>
    </row>
    <row r="102" spans="2:20" ht="23.1" customHeight="1" x14ac:dyDescent="0.25">
      <c r="B102" s="24" t="s">
        <v>142</v>
      </c>
      <c r="C102" s="49">
        <f>'Avg Week Kumi-Soroti'!C102+'Avg Week Soroti-Kumi'!C102</f>
        <v>2.5</v>
      </c>
      <c r="D102" s="49">
        <f>'Avg Week Kumi-Soroti'!D102+'Avg Week Soroti-Kumi'!D102</f>
        <v>0</v>
      </c>
      <c r="E102" s="49">
        <f>'Avg Week Kumi-Soroti'!E102+'Avg Week Soroti-Kumi'!E102</f>
        <v>0.5</v>
      </c>
      <c r="F102" s="49">
        <f>'Avg Week Kumi-Soroti'!F102+'Avg Week Soroti-Kumi'!F102</f>
        <v>1</v>
      </c>
      <c r="G102" s="49">
        <f>'Avg Week Kumi-Soroti'!G102+'Avg Week Soroti-Kumi'!G102</f>
        <v>0</v>
      </c>
      <c r="H102" s="49">
        <f>'Avg Week Kumi-Soroti'!H102+'Avg Week Soroti-Kumi'!H102</f>
        <v>0.5</v>
      </c>
      <c r="I102" s="49">
        <f>'Avg Week Kumi-Soroti'!I102+'Avg Week Soroti-Kumi'!I102</f>
        <v>0</v>
      </c>
      <c r="J102" s="49">
        <f>'Avg Week Kumi-Soroti'!J102+'Avg Week Soroti-Kumi'!J102</f>
        <v>0</v>
      </c>
      <c r="K102" s="49">
        <f>'Avg Week Kumi-Soroti'!K102+'Avg Week Soroti-Kumi'!K102</f>
        <v>0</v>
      </c>
      <c r="L102" s="49">
        <f>'Avg Week Kumi-Soroti'!L102+'Avg Week Soroti-Kumi'!L102</f>
        <v>5</v>
      </c>
      <c r="M102" s="49">
        <f>'Avg Week Kumi-Soroti'!M102+'Avg Week Soroti-Kumi'!M102</f>
        <v>0.5</v>
      </c>
      <c r="N102" s="49">
        <f>'Avg Week Kumi-Soroti'!N102+'Avg Week Soroti-Kumi'!N102</f>
        <v>0</v>
      </c>
      <c r="O102" s="15">
        <f t="shared" si="35"/>
        <v>9.5</v>
      </c>
      <c r="P102" s="15">
        <f t="shared" si="36"/>
        <v>10</v>
      </c>
      <c r="R102" s="8"/>
      <c r="T102"/>
    </row>
    <row r="103" spans="2:20" ht="23.1" customHeight="1" x14ac:dyDescent="0.25">
      <c r="B103" s="23" t="s">
        <v>143</v>
      </c>
      <c r="C103" s="49">
        <f>'Avg Week Kumi-Soroti'!C103+'Avg Week Soroti-Kumi'!C103</f>
        <v>3</v>
      </c>
      <c r="D103" s="49">
        <f>'Avg Week Kumi-Soroti'!D103+'Avg Week Soroti-Kumi'!D103</f>
        <v>0.5</v>
      </c>
      <c r="E103" s="49">
        <f>'Avg Week Kumi-Soroti'!E103+'Avg Week Soroti-Kumi'!E103</f>
        <v>1.5</v>
      </c>
      <c r="F103" s="49">
        <f>'Avg Week Kumi-Soroti'!F103+'Avg Week Soroti-Kumi'!F103</f>
        <v>1.5</v>
      </c>
      <c r="G103" s="49">
        <f>'Avg Week Kumi-Soroti'!G103+'Avg Week Soroti-Kumi'!G103</f>
        <v>0.5</v>
      </c>
      <c r="H103" s="49">
        <f>'Avg Week Kumi-Soroti'!H103+'Avg Week Soroti-Kumi'!H103</f>
        <v>1</v>
      </c>
      <c r="I103" s="49">
        <f>'Avg Week Kumi-Soroti'!I103+'Avg Week Soroti-Kumi'!I103</f>
        <v>3.5</v>
      </c>
      <c r="J103" s="49">
        <f>'Avg Week Kumi-Soroti'!J103+'Avg Week Soroti-Kumi'!J103</f>
        <v>0</v>
      </c>
      <c r="K103" s="49">
        <f>'Avg Week Kumi-Soroti'!K103+'Avg Week Soroti-Kumi'!K103</f>
        <v>0</v>
      </c>
      <c r="L103" s="49">
        <f>'Avg Week Kumi-Soroti'!L103+'Avg Week Soroti-Kumi'!L103</f>
        <v>2.5</v>
      </c>
      <c r="M103" s="49">
        <f>'Avg Week Kumi-Soroti'!M103+'Avg Week Soroti-Kumi'!M103</f>
        <v>3</v>
      </c>
      <c r="N103" s="49">
        <f>'Avg Week Kumi-Soroti'!N103+'Avg Week Soroti-Kumi'!N103</f>
        <v>0</v>
      </c>
      <c r="O103" s="15">
        <f t="shared" si="35"/>
        <v>14</v>
      </c>
      <c r="P103" s="15">
        <f t="shared" si="36"/>
        <v>17</v>
      </c>
      <c r="R103" s="8"/>
      <c r="T103"/>
    </row>
    <row r="104" spans="2:20" ht="23.1" customHeight="1" x14ac:dyDescent="0.25">
      <c r="B104" s="25" t="s">
        <v>144</v>
      </c>
      <c r="C104" s="49">
        <f>'Avg Week Kumi-Soroti'!C104+'Avg Week Soroti-Kumi'!C104</f>
        <v>1.5</v>
      </c>
      <c r="D104" s="49">
        <f>'Avg Week Kumi-Soroti'!D104+'Avg Week Soroti-Kumi'!D104</f>
        <v>0</v>
      </c>
      <c r="E104" s="49">
        <f>'Avg Week Kumi-Soroti'!E104+'Avg Week Soroti-Kumi'!E104</f>
        <v>3</v>
      </c>
      <c r="F104" s="49">
        <f>'Avg Week Kumi-Soroti'!F104+'Avg Week Soroti-Kumi'!F104</f>
        <v>1.5</v>
      </c>
      <c r="G104" s="49">
        <f>'Avg Week Kumi-Soroti'!G104+'Avg Week Soroti-Kumi'!G104</f>
        <v>0</v>
      </c>
      <c r="H104" s="49">
        <f>'Avg Week Kumi-Soroti'!H104+'Avg Week Soroti-Kumi'!H104</f>
        <v>0</v>
      </c>
      <c r="I104" s="49">
        <f>'Avg Week Kumi-Soroti'!I104+'Avg Week Soroti-Kumi'!I104</f>
        <v>3.5</v>
      </c>
      <c r="J104" s="49">
        <f>'Avg Week Kumi-Soroti'!J104+'Avg Week Soroti-Kumi'!J104</f>
        <v>1</v>
      </c>
      <c r="K104" s="49">
        <f>'Avg Week Kumi-Soroti'!K104+'Avg Week Soroti-Kumi'!K104</f>
        <v>0.5</v>
      </c>
      <c r="L104" s="49">
        <f>'Avg Week Kumi-Soroti'!L104+'Avg Week Soroti-Kumi'!L104</f>
        <v>3.5</v>
      </c>
      <c r="M104" s="49">
        <f>'Avg Week Kumi-Soroti'!M104+'Avg Week Soroti-Kumi'!M104</f>
        <v>3.5</v>
      </c>
      <c r="N104" s="49">
        <f>'Avg Week Kumi-Soroti'!N104+'Avg Week Soroti-Kumi'!N104</f>
        <v>0</v>
      </c>
      <c r="O104" s="15">
        <f t="shared" si="35"/>
        <v>14.5</v>
      </c>
      <c r="P104" s="15">
        <f t="shared" si="36"/>
        <v>18</v>
      </c>
      <c r="R104" s="8"/>
      <c r="T104"/>
    </row>
    <row r="105" spans="2:20" ht="23.1" customHeight="1" x14ac:dyDescent="0.25">
      <c r="B105" s="23" t="s">
        <v>145</v>
      </c>
      <c r="C105" s="49">
        <f>'Avg Week Kumi-Soroti'!C105+'Avg Week Soroti-Kumi'!C105</f>
        <v>1</v>
      </c>
      <c r="D105" s="49">
        <f>'Avg Week Kumi-Soroti'!D105+'Avg Week Soroti-Kumi'!D105</f>
        <v>0.5</v>
      </c>
      <c r="E105" s="49">
        <f>'Avg Week Kumi-Soroti'!E105+'Avg Week Soroti-Kumi'!E105</f>
        <v>1.5</v>
      </c>
      <c r="F105" s="49">
        <f>'Avg Week Kumi-Soroti'!F105+'Avg Week Soroti-Kumi'!F105</f>
        <v>2</v>
      </c>
      <c r="G105" s="49">
        <f>'Avg Week Kumi-Soroti'!G105+'Avg Week Soroti-Kumi'!G105</f>
        <v>0</v>
      </c>
      <c r="H105" s="49">
        <f>'Avg Week Kumi-Soroti'!H105+'Avg Week Soroti-Kumi'!H105</f>
        <v>0</v>
      </c>
      <c r="I105" s="49">
        <f>'Avg Week Kumi-Soroti'!I105+'Avg Week Soroti-Kumi'!I105</f>
        <v>1.5</v>
      </c>
      <c r="J105" s="49">
        <f>'Avg Week Kumi-Soroti'!J105+'Avg Week Soroti-Kumi'!J105</f>
        <v>0.5</v>
      </c>
      <c r="K105" s="49">
        <f>'Avg Week Kumi-Soroti'!K105+'Avg Week Soroti-Kumi'!K105</f>
        <v>0</v>
      </c>
      <c r="L105" s="49">
        <f>'Avg Week Kumi-Soroti'!L105+'Avg Week Soroti-Kumi'!L105</f>
        <v>4</v>
      </c>
      <c r="M105" s="49">
        <f>'Avg Week Kumi-Soroti'!M105+'Avg Week Soroti-Kumi'!M105</f>
        <v>5.5</v>
      </c>
      <c r="N105" s="49">
        <f>'Avg Week Kumi-Soroti'!N105+'Avg Week Soroti-Kumi'!N105</f>
        <v>0</v>
      </c>
      <c r="O105" s="15">
        <f t="shared" si="35"/>
        <v>11</v>
      </c>
      <c r="P105" s="15">
        <f t="shared" si="36"/>
        <v>16.5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182.14285714285708</v>
      </c>
      <c r="D106" s="16">
        <f t="shared" ref="D106:P106" si="37">SUM(D10:D105)</f>
        <v>90.642857142857139</v>
      </c>
      <c r="E106" s="16">
        <f t="shared" si="37"/>
        <v>303.92857142857144</v>
      </c>
      <c r="F106" s="16">
        <f t="shared" si="37"/>
        <v>281.64285714285717</v>
      </c>
      <c r="G106" s="16">
        <f t="shared" si="37"/>
        <v>7.9999999999999991</v>
      </c>
      <c r="H106" s="16">
        <f t="shared" si="37"/>
        <v>57.071428571428577</v>
      </c>
      <c r="I106" s="16">
        <f t="shared" si="37"/>
        <v>234.92857142857142</v>
      </c>
      <c r="J106" s="16">
        <f t="shared" si="37"/>
        <v>53.071428571428569</v>
      </c>
      <c r="K106" s="16">
        <f t="shared" si="37"/>
        <v>18.5</v>
      </c>
      <c r="L106" s="16">
        <f t="shared" si="37"/>
        <v>375.42857142857144</v>
      </c>
      <c r="M106" s="16">
        <f t="shared" si="37"/>
        <v>736.92857142857156</v>
      </c>
      <c r="N106" s="16">
        <f t="shared" si="37"/>
        <v>0.5714285714285714</v>
      </c>
      <c r="O106" s="16">
        <f t="shared" si="37"/>
        <v>1605.9285714285716</v>
      </c>
      <c r="P106" s="16">
        <f t="shared" si="37"/>
        <v>2342.8571428571431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7.7743902439024362E-2</v>
      </c>
      <c r="D107" s="43">
        <f t="shared" si="38"/>
        <v>3.8689024390243895E-2</v>
      </c>
      <c r="E107" s="43">
        <f t="shared" si="38"/>
        <v>0.12972560975609757</v>
      </c>
      <c r="F107" s="43">
        <f t="shared" si="38"/>
        <v>0.12021341463414634</v>
      </c>
      <c r="G107" s="43">
        <f t="shared" si="38"/>
        <v>3.4146341463414625E-3</v>
      </c>
      <c r="H107" s="43">
        <f t="shared" si="38"/>
        <v>2.4359756097560976E-2</v>
      </c>
      <c r="I107" s="43">
        <f t="shared" si="38"/>
        <v>0.10027439024390242</v>
      </c>
      <c r="J107" s="43">
        <f t="shared" si="38"/>
        <v>2.265243902439024E-2</v>
      </c>
      <c r="K107" s="43">
        <f t="shared" si="38"/>
        <v>7.8963414634146325E-3</v>
      </c>
      <c r="L107" s="43">
        <f t="shared" si="38"/>
        <v>0.16024390243902437</v>
      </c>
      <c r="M107" s="43">
        <f t="shared" si="38"/>
        <v>0.3145426829268293</v>
      </c>
      <c r="N107" s="43">
        <f t="shared" si="38"/>
        <v>2.4390243902439022E-4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0.11341902770982515</v>
      </c>
      <c r="D108" s="44">
        <f t="shared" ref="D108:N108" si="39">D106/$O$106</f>
        <v>5.6442645554418885E-2</v>
      </c>
      <c r="E108" s="44">
        <f t="shared" si="39"/>
        <v>0.18925410310012009</v>
      </c>
      <c r="F108" s="44">
        <f t="shared" si="39"/>
        <v>0.17537695147444737</v>
      </c>
      <c r="G108" s="44">
        <f t="shared" si="39"/>
        <v>4.9815416092158513E-3</v>
      </c>
      <c r="H108" s="44">
        <f t="shared" si="39"/>
        <v>3.5537962015745231E-2</v>
      </c>
      <c r="I108" s="44">
        <f t="shared" si="39"/>
        <v>0.14628830672063334</v>
      </c>
      <c r="J108" s="44">
        <f t="shared" si="39"/>
        <v>3.3047191211137299E-2</v>
      </c>
      <c r="K108" s="44">
        <f t="shared" si="39"/>
        <v>1.1519814971311658E-2</v>
      </c>
      <c r="L108" s="44">
        <f t="shared" si="39"/>
        <v>0.23377663123248676</v>
      </c>
      <c r="M108" s="44"/>
      <c r="N108" s="44">
        <f t="shared" si="39"/>
        <v>3.5582440065827508E-4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08.08 Kumi-Soroti</vt:lpstr>
      <vt:lpstr>08.08 Soroti-Kumi</vt:lpstr>
      <vt:lpstr>09.08 Kumi-Soroti-24h</vt:lpstr>
      <vt:lpstr>09.08 Soroti-Kumi-24h</vt:lpstr>
      <vt:lpstr>10.08 Kumi-Soroti-24h</vt:lpstr>
      <vt:lpstr>10.08 Soroti-Kumi-24h</vt:lpstr>
      <vt:lpstr>11.08 Kumi-Soroti</vt:lpstr>
      <vt:lpstr>11.08 Soroti-Kumi</vt:lpstr>
      <vt:lpstr>12.08 Kumi-Soroti</vt:lpstr>
      <vt:lpstr>12.08 Soroti-Kumi</vt:lpstr>
      <vt:lpstr>13.08 Kumi-Soroti</vt:lpstr>
      <vt:lpstr>13.08 Soroti-Kumi</vt:lpstr>
      <vt:lpstr>14.08 Kumi-Soroti</vt:lpstr>
      <vt:lpstr>14.08 Soroti-Kumi</vt:lpstr>
      <vt:lpstr>Avg Week Kumi-Soroti</vt:lpstr>
      <vt:lpstr>Avg Week Soroti-Kumi</vt:lpstr>
      <vt:lpstr>Avg Week Kumi-Soroti-2Dir</vt:lpstr>
      <vt:lpstr>'08.08 Kumi-Soroti'!Print_Area</vt:lpstr>
      <vt:lpstr>'08.08 Soroti-Kumi'!Print_Area</vt:lpstr>
      <vt:lpstr>'09.08 Kumi-Soroti-24h'!Print_Area</vt:lpstr>
      <vt:lpstr>'09.08 Soroti-Kumi-24h'!Print_Area</vt:lpstr>
      <vt:lpstr>'10.08 Kumi-Soroti-24h'!Print_Area</vt:lpstr>
      <vt:lpstr>'10.08 Soroti-Kumi-24h'!Print_Area</vt:lpstr>
      <vt:lpstr>'11.08 Kumi-Soroti'!Print_Area</vt:lpstr>
      <vt:lpstr>'11.08 Soroti-Kumi'!Print_Area</vt:lpstr>
      <vt:lpstr>'12.08 Kumi-Soroti'!Print_Area</vt:lpstr>
      <vt:lpstr>'12.08 Soroti-Kumi'!Print_Area</vt:lpstr>
      <vt:lpstr>'13.08 Kumi-Soroti'!Print_Area</vt:lpstr>
      <vt:lpstr>'13.08 Soroti-Kumi'!Print_Area</vt:lpstr>
      <vt:lpstr>'14.08 Kumi-Soroti'!Print_Area</vt:lpstr>
      <vt:lpstr>'14.08 Soroti-Kumi'!Print_Area</vt:lpstr>
      <vt:lpstr>'Avg Week Kumi-Soroti'!Print_Area</vt:lpstr>
      <vt:lpstr>'Avg Week Kumi-Soroti-2Dir'!Print_Area</vt:lpstr>
      <vt:lpstr>'Avg Week Soroti-Kumi'!Print_Area</vt:lpstr>
      <vt:lpstr>'08.08 Kumi-Soroti'!Print_Titles</vt:lpstr>
      <vt:lpstr>'08.08 Soroti-Kumi'!Print_Titles</vt:lpstr>
      <vt:lpstr>'09.08 Kumi-Soroti-24h'!Print_Titles</vt:lpstr>
      <vt:lpstr>'09.08 Soroti-Kumi-24h'!Print_Titles</vt:lpstr>
      <vt:lpstr>'10.08 Kumi-Soroti-24h'!Print_Titles</vt:lpstr>
      <vt:lpstr>'10.08 Soroti-Kumi-24h'!Print_Titles</vt:lpstr>
      <vt:lpstr>'11.08 Kumi-Soroti'!Print_Titles</vt:lpstr>
      <vt:lpstr>'11.08 Soroti-Kumi'!Print_Titles</vt:lpstr>
      <vt:lpstr>'12.08 Kumi-Soroti'!Print_Titles</vt:lpstr>
      <vt:lpstr>'12.08 Soroti-Kumi'!Print_Titles</vt:lpstr>
      <vt:lpstr>'13.08 Kumi-Soroti'!Print_Titles</vt:lpstr>
      <vt:lpstr>'13.08 Soroti-Kumi'!Print_Titles</vt:lpstr>
      <vt:lpstr>'14.08 Kumi-Soroti'!Print_Titles</vt:lpstr>
      <vt:lpstr>'14.08 Soroti-Kumi'!Print_Titles</vt:lpstr>
      <vt:lpstr>'Avg Week Kumi-Soroti'!Print_Titles</vt:lpstr>
      <vt:lpstr>'Avg Week Kumi-Soroti-2Dir'!Print_Titles</vt:lpstr>
      <vt:lpstr>'Avg Week Soroti-Kumi'!Print_Titles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M.R O</cp:lastModifiedBy>
  <cp:lastPrinted>2019-07-25T18:18:41Z</cp:lastPrinted>
  <dcterms:created xsi:type="dcterms:W3CDTF">2010-07-06T07:39:49Z</dcterms:created>
  <dcterms:modified xsi:type="dcterms:W3CDTF">2020-01-15T08:03:46Z</dcterms:modified>
</cp:coreProperties>
</file>