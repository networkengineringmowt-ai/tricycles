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5-RW\STN129 ATIAK-NIMULE\OD\"/>
    </mc:Choice>
  </mc:AlternateContent>
  <xr:revisionPtr revIDLastSave="0" documentId="13_ncr:1_{4D9921AD-28E8-4C5C-A055-A6CFC8ACACFD}" xr6:coauthVersionLast="45" xr6:coauthVersionMax="45" xr10:uidLastSave="{00000000-0000-0000-0000-000000000000}"/>
  <bookViews>
    <workbookView xWindow="-120" yWindow="-120" windowWidth="20730" windowHeight="11160" tabRatio="818" xr2:uid="{00000000-000D-0000-FFFF-FFFF00000000}"/>
  </bookViews>
  <sheets>
    <sheet name="Analysis" sheetId="45" r:id="rId1"/>
    <sheet name="ALL DATA" sheetId="42" r:id="rId2"/>
    <sheet name="Zones" sheetId="43" r:id="rId3"/>
    <sheet name="Zone analysis" sheetId="44" r:id="rId4"/>
    <sheet name="01.08 Nimule-Atiak" sheetId="3" r:id="rId5"/>
    <sheet name="RSI FORM" sheetId="4" state="hidden" r:id="rId6"/>
    <sheet name="01.08 Atiak-Nimule" sheetId="37" r:id="rId7"/>
    <sheet name="02.08 Nimule-Atiak" sheetId="38" r:id="rId8"/>
    <sheet name="2.08 Atiak-Nimule" sheetId="39" r:id="rId9"/>
    <sheet name="03.08 Nimule-Atiak" sheetId="40" r:id="rId10"/>
    <sheet name="03.08 Atiak-Nimule" sheetId="41" r:id="rId11"/>
    <sheet name="Key" sheetId="5" r:id="rId12"/>
  </sheets>
  <externalReferences>
    <externalReference r:id="rId13"/>
    <externalReference r:id="rId14"/>
  </externalReferences>
  <definedNames>
    <definedName name="_xlnm._FilterDatabase" localSheetId="6" hidden="1">'01.08 Atiak-Nimule'!$B$9:$AB$58</definedName>
    <definedName name="_xlnm._FilterDatabase" localSheetId="4" hidden="1">'01.08 Nimule-Atiak'!$B$9:$AB$98</definedName>
    <definedName name="_xlnm._FilterDatabase" localSheetId="7" hidden="1">'02.08 Nimule-Atiak'!$B$9:$AB$105</definedName>
    <definedName name="_xlnm._FilterDatabase" localSheetId="10" hidden="1">'03.08 Atiak-Nimule'!$B$9:$AB$42</definedName>
    <definedName name="_xlnm._FilterDatabase" localSheetId="9" hidden="1">'03.08 Nimule-Atiak'!$B$9:$AB$90</definedName>
    <definedName name="_xlnm._FilterDatabase" localSheetId="8" hidden="1">'2.08 Atiak-Nimule'!$B$9:$AB$41</definedName>
    <definedName name="_xlnm._FilterDatabase" localSheetId="1" hidden="1">'ALL DATA'!$AA$367:$AB$400</definedName>
    <definedName name="_xlnm._FilterDatabase" localSheetId="3" hidden="1">'Zone analysis'!$A$1:$E$1532</definedName>
    <definedName name="_xlnm._FilterDatabase" localSheetId="2" hidden="1">Zones!$A$1:$N$2430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'01.08 Atiak-Nimule'!$D$9:$D$37</definedName>
    <definedName name="Veh_Type" localSheetId="10">'03.08 Atiak-Nimule'!$D$9:$D$37</definedName>
    <definedName name="Veh_Type" localSheetId="8">'2.08 Atiak-Nimule'!$D$9:$D$37</definedName>
    <definedName name="Veh_Type" localSheetId="1">'ALL DATA'!$D$9:$D$37</definedName>
    <definedName name="Veh_Type" localSheetId="3">'[1]25.07 BUSEGA-NATEETE'!$D:$D</definedName>
    <definedName name="Veh_Type" localSheetId="2">'[1]25.07 BUSEGA-NATEETE'!$D:$D</definedName>
    <definedName name="Veh_Type">'01.08 Nimule-Atiak'!$D$9:$D$37</definedName>
    <definedName name="zones" localSheetId="3">#REF!</definedName>
    <definedName name="zones" localSheetId="2">#REF!</definedName>
    <definedName name="zones">#REF!</definedName>
    <definedName name="Zones_Ndeke" localSheetId="3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5" l="1"/>
  <c r="X66" i="45"/>
  <c r="W66" i="45"/>
  <c r="V66" i="45"/>
  <c r="V55" i="45" s="1"/>
  <c r="U66" i="45"/>
  <c r="T66" i="45"/>
  <c r="S66" i="45"/>
  <c r="R66" i="45"/>
  <c r="R55" i="45" s="1"/>
  <c r="Y65" i="45"/>
  <c r="X65" i="45"/>
  <c r="W65" i="45"/>
  <c r="V65" i="45"/>
  <c r="U65" i="45"/>
  <c r="T65" i="45"/>
  <c r="S65" i="45"/>
  <c r="R65" i="45"/>
  <c r="R54" i="45" s="1"/>
  <c r="Y64" i="45"/>
  <c r="X64" i="45"/>
  <c r="W64" i="45"/>
  <c r="V64" i="45"/>
  <c r="V53" i="45" s="1"/>
  <c r="U64" i="45"/>
  <c r="T64" i="45"/>
  <c r="S64" i="45"/>
  <c r="R64" i="45"/>
  <c r="R53" i="45" s="1"/>
  <c r="Y63" i="45"/>
  <c r="X63" i="45"/>
  <c r="W63" i="45"/>
  <c r="V63" i="45"/>
  <c r="U63" i="45"/>
  <c r="T63" i="45"/>
  <c r="S63" i="45"/>
  <c r="R63" i="45"/>
  <c r="R52" i="45" s="1"/>
  <c r="Y62" i="45"/>
  <c r="X62" i="45"/>
  <c r="W62" i="45"/>
  <c r="V62" i="45"/>
  <c r="V51" i="45" s="1"/>
  <c r="U62" i="45"/>
  <c r="T62" i="45"/>
  <c r="S62" i="45"/>
  <c r="R62" i="45"/>
  <c r="R51" i="45" s="1"/>
  <c r="Y61" i="45"/>
  <c r="X61" i="45"/>
  <c r="W61" i="45"/>
  <c r="V61" i="45"/>
  <c r="U61" i="45"/>
  <c r="T61" i="45"/>
  <c r="S61" i="45"/>
  <c r="R61" i="45"/>
  <c r="R50" i="45" s="1"/>
  <c r="Y60" i="45"/>
  <c r="X60" i="45"/>
  <c r="W60" i="45"/>
  <c r="V60" i="45"/>
  <c r="V49" i="45" s="1"/>
  <c r="U60" i="45"/>
  <c r="T60" i="45"/>
  <c r="S60" i="45"/>
  <c r="R60" i="45"/>
  <c r="R49" i="45" s="1"/>
  <c r="Y59" i="45"/>
  <c r="X59" i="45"/>
  <c r="W59" i="45"/>
  <c r="V59" i="45"/>
  <c r="U59" i="45"/>
  <c r="T59" i="45"/>
  <c r="S59" i="45"/>
  <c r="R59" i="45"/>
  <c r="Y55" i="45" s="1"/>
  <c r="Y76" i="45"/>
  <c r="X76" i="45"/>
  <c r="W76" i="45"/>
  <c r="V76" i="45"/>
  <c r="U76" i="45"/>
  <c r="T76" i="45"/>
  <c r="S76" i="45"/>
  <c r="R76" i="45"/>
  <c r="Y75" i="45"/>
  <c r="X75" i="45"/>
  <c r="W75" i="45"/>
  <c r="V75" i="45"/>
  <c r="U75" i="45"/>
  <c r="T75" i="45"/>
  <c r="S75" i="45"/>
  <c r="R75" i="45"/>
  <c r="Y74" i="45"/>
  <c r="X74" i="45"/>
  <c r="W74" i="45"/>
  <c r="V74" i="45"/>
  <c r="U74" i="45"/>
  <c r="T74" i="45"/>
  <c r="S74" i="45"/>
  <c r="R74" i="45"/>
  <c r="Y73" i="45"/>
  <c r="X73" i="45"/>
  <c r="W73" i="45"/>
  <c r="V73" i="45"/>
  <c r="U73" i="45"/>
  <c r="T73" i="45"/>
  <c r="S73" i="45"/>
  <c r="R73" i="45"/>
  <c r="Y72" i="45"/>
  <c r="X72" i="45"/>
  <c r="W72" i="45"/>
  <c r="V72" i="45"/>
  <c r="U72" i="45"/>
  <c r="T72" i="45"/>
  <c r="S72" i="45"/>
  <c r="R72" i="45"/>
  <c r="Y71" i="45"/>
  <c r="X71" i="45"/>
  <c r="W71" i="45"/>
  <c r="V71" i="45"/>
  <c r="U71" i="45"/>
  <c r="T71" i="45"/>
  <c r="S71" i="45"/>
  <c r="R71" i="45"/>
  <c r="Y70" i="45"/>
  <c r="X70" i="45"/>
  <c r="W70" i="45"/>
  <c r="V70" i="45"/>
  <c r="U70" i="45"/>
  <c r="T70" i="45"/>
  <c r="S70" i="45"/>
  <c r="R70" i="45"/>
  <c r="Y69" i="45"/>
  <c r="X69" i="45"/>
  <c r="W69" i="45"/>
  <c r="V69" i="45"/>
  <c r="U69" i="45"/>
  <c r="T69" i="45"/>
  <c r="S69" i="45"/>
  <c r="R69" i="45"/>
  <c r="V48" i="45" l="1"/>
  <c r="V50" i="45"/>
  <c r="V52" i="45"/>
  <c r="V54" i="45"/>
  <c r="R48" i="45"/>
  <c r="W48" i="45"/>
  <c r="W49" i="45"/>
  <c r="W50" i="45"/>
  <c r="W51" i="45"/>
  <c r="W52" i="45"/>
  <c r="W53" i="45"/>
  <c r="S54" i="45"/>
  <c r="W54" i="45"/>
  <c r="S55" i="45"/>
  <c r="W55" i="45"/>
  <c r="T48" i="45"/>
  <c r="X48" i="45"/>
  <c r="T49" i="45"/>
  <c r="X49" i="45"/>
  <c r="T50" i="45"/>
  <c r="X50" i="45"/>
  <c r="T51" i="45"/>
  <c r="X51" i="45"/>
  <c r="T52" i="45"/>
  <c r="X52" i="45"/>
  <c r="T53" i="45"/>
  <c r="X53" i="45"/>
  <c r="T54" i="45"/>
  <c r="X54" i="45"/>
  <c r="T55" i="45"/>
  <c r="X55" i="45"/>
  <c r="S48" i="45"/>
  <c r="S49" i="45"/>
  <c r="S50" i="45"/>
  <c r="S51" i="45"/>
  <c r="S52" i="45"/>
  <c r="S53" i="45"/>
  <c r="U48" i="45"/>
  <c r="Y48" i="45"/>
  <c r="U49" i="45"/>
  <c r="Y49" i="45"/>
  <c r="U50" i="45"/>
  <c r="Y50" i="45"/>
  <c r="U51" i="45"/>
  <c r="Y51" i="45"/>
  <c r="U52" i="45"/>
  <c r="Y52" i="45"/>
  <c r="U53" i="45"/>
  <c r="Y53" i="45"/>
  <c r="U54" i="45"/>
  <c r="Y54" i="45"/>
  <c r="U55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42" i="45"/>
  <c r="C16" i="45"/>
  <c r="C15" i="45"/>
  <c r="C14" i="45"/>
  <c r="C13" i="45"/>
  <c r="C12" i="45"/>
  <c r="C11" i="45"/>
  <c r="C10" i="45"/>
  <c r="C9" i="45"/>
  <c r="C8" i="45"/>
  <c r="C7" i="45"/>
  <c r="C6" i="45"/>
  <c r="C5" i="45"/>
  <c r="C88" i="45"/>
  <c r="C87" i="45"/>
  <c r="C86" i="45"/>
  <c r="C85" i="45"/>
  <c r="C84" i="45"/>
  <c r="C83" i="45"/>
  <c r="C82" i="45"/>
  <c r="C81" i="45"/>
  <c r="C80" i="45"/>
  <c r="D80" i="45" s="1"/>
  <c r="E80" i="45" s="1"/>
  <c r="O28" i="45"/>
  <c r="O27" i="45"/>
  <c r="O26" i="45"/>
  <c r="O25" i="45"/>
  <c r="O24" i="45"/>
  <c r="O23" i="45"/>
  <c r="O15" i="45"/>
  <c r="O14" i="45"/>
  <c r="O13" i="45"/>
  <c r="O12" i="45"/>
  <c r="P12" i="45" s="1"/>
  <c r="Q12" i="45" s="1"/>
  <c r="O11" i="45"/>
  <c r="O10" i="45"/>
  <c r="O9" i="45"/>
  <c r="O8" i="45"/>
  <c r="O7" i="45"/>
  <c r="O6" i="45"/>
  <c r="O5" i="45"/>
  <c r="P5" i="45" s="1"/>
  <c r="Q5" i="45" s="1"/>
  <c r="P10" i="45" l="1"/>
  <c r="Q10" i="45" s="1"/>
  <c r="D83" i="45"/>
  <c r="E83" i="45" s="1"/>
  <c r="D87" i="45"/>
  <c r="E87" i="45" s="1"/>
  <c r="P7" i="45"/>
  <c r="Q7" i="45" s="1"/>
  <c r="D84" i="45"/>
  <c r="E84" i="45" s="1"/>
  <c r="D88" i="45"/>
  <c r="E88" i="45" s="1"/>
  <c r="P8" i="45"/>
  <c r="Q8" i="45" s="1"/>
  <c r="D81" i="45"/>
  <c r="E81" i="45" s="1"/>
  <c r="D85" i="45"/>
  <c r="E85" i="45" s="1"/>
  <c r="C17" i="45"/>
  <c r="D11" i="45" s="1"/>
  <c r="O29" i="45"/>
  <c r="P25" i="45" s="1"/>
  <c r="P11" i="45"/>
  <c r="Q11" i="45" s="1"/>
  <c r="P6" i="45"/>
  <c r="Q6" i="45" s="1"/>
  <c r="P14" i="45"/>
  <c r="Q14" i="45" s="1"/>
  <c r="P15" i="45"/>
  <c r="Q15" i="45" s="1"/>
  <c r="D9" i="45"/>
  <c r="D13" i="45"/>
  <c r="D15" i="45"/>
  <c r="D8" i="45"/>
  <c r="C29" i="45"/>
  <c r="D16" i="45"/>
  <c r="D12" i="45"/>
  <c r="D6" i="45"/>
  <c r="D7" i="45"/>
  <c r="D82" i="45"/>
  <c r="E82" i="45" s="1"/>
  <c r="D86" i="45"/>
  <c r="E86" i="45" s="1"/>
  <c r="P9" i="45"/>
  <c r="Q9" i="45" s="1"/>
  <c r="P13" i="45"/>
  <c r="Q13" i="45" s="1"/>
  <c r="D5" i="45"/>
  <c r="D14" i="45" l="1"/>
  <c r="D10" i="45"/>
  <c r="P28" i="45"/>
  <c r="P24" i="45"/>
  <c r="P23" i="45"/>
  <c r="P27" i="45"/>
  <c r="P26" i="45"/>
  <c r="C44" i="45"/>
  <c r="C43" i="45" l="1"/>
  <c r="D43" i="45" s="1"/>
  <c r="D42" i="45"/>
  <c r="D3" i="43" l="1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6" i="43"/>
  <c r="D187" i="43"/>
  <c r="D188" i="43"/>
  <c r="D189" i="43"/>
  <c r="D190" i="43"/>
  <c r="D191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3" i="43"/>
  <c r="D344" i="43"/>
  <c r="D345" i="43"/>
  <c r="D346" i="43"/>
  <c r="D347" i="43"/>
  <c r="D348" i="43"/>
  <c r="D349" i="43"/>
  <c r="D350" i="43"/>
  <c r="D351" i="43"/>
  <c r="D352" i="43"/>
  <c r="D353" i="43"/>
  <c r="D354" i="43"/>
  <c r="D355" i="43"/>
  <c r="D356" i="43"/>
  <c r="D357" i="43"/>
  <c r="D358" i="43"/>
  <c r="D359" i="43"/>
  <c r="D360" i="43"/>
  <c r="D361" i="43"/>
  <c r="D362" i="43"/>
  <c r="D363" i="43"/>
  <c r="D364" i="43"/>
  <c r="D365" i="43"/>
  <c r="D366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67" i="43"/>
  <c r="D468" i="43"/>
  <c r="D469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6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D551" i="43"/>
  <c r="D552" i="43"/>
  <c r="D553" i="43"/>
  <c r="D554" i="43"/>
  <c r="D555" i="43"/>
  <c r="D556" i="43"/>
  <c r="D557" i="43"/>
  <c r="D558" i="43"/>
  <c r="D559" i="43"/>
  <c r="D560" i="43"/>
  <c r="D561" i="43"/>
  <c r="D562" i="43"/>
  <c r="D563" i="43"/>
  <c r="D564" i="43"/>
  <c r="D565" i="43"/>
  <c r="D566" i="43"/>
  <c r="D567" i="43"/>
  <c r="D568" i="43"/>
  <c r="D569" i="43"/>
  <c r="D570" i="43"/>
  <c r="D571" i="43"/>
  <c r="D572" i="43"/>
  <c r="D573" i="43"/>
  <c r="D574" i="43"/>
  <c r="D575" i="43"/>
  <c r="D576" i="43"/>
  <c r="D577" i="43"/>
  <c r="D578" i="43"/>
  <c r="D579" i="43"/>
  <c r="D580" i="43"/>
  <c r="D581" i="43"/>
  <c r="D582" i="43"/>
  <c r="D583" i="43"/>
  <c r="D584" i="43"/>
  <c r="D585" i="43"/>
  <c r="D586" i="43"/>
  <c r="D587" i="43"/>
  <c r="D588" i="43"/>
  <c r="D589" i="43"/>
  <c r="D590" i="43"/>
  <c r="D591" i="43"/>
  <c r="D592" i="43"/>
  <c r="D593" i="43"/>
  <c r="D594" i="43"/>
  <c r="D595" i="43"/>
  <c r="D596" i="43"/>
  <c r="D597" i="43"/>
  <c r="D598" i="43"/>
  <c r="D599" i="43"/>
  <c r="D600" i="43"/>
  <c r="D601" i="43"/>
  <c r="D602" i="43"/>
  <c r="D603" i="43"/>
  <c r="D604" i="43"/>
  <c r="D605" i="43"/>
  <c r="D606" i="43"/>
  <c r="D607" i="43"/>
  <c r="D608" i="43"/>
  <c r="D609" i="43"/>
  <c r="D610" i="43"/>
  <c r="D611" i="43"/>
  <c r="D612" i="43"/>
  <c r="D613" i="43"/>
  <c r="D614" i="43"/>
  <c r="D615" i="43"/>
  <c r="D616" i="43"/>
  <c r="D617" i="43"/>
  <c r="D618" i="43"/>
  <c r="D619" i="43"/>
  <c r="D620" i="43"/>
  <c r="D621" i="43"/>
  <c r="D622" i="43"/>
  <c r="D623" i="43"/>
  <c r="D624" i="43"/>
  <c r="D625" i="43"/>
  <c r="D626" i="43"/>
  <c r="D627" i="43"/>
  <c r="D628" i="43"/>
  <c r="D629" i="43"/>
  <c r="D630" i="43"/>
  <c r="D631" i="43"/>
  <c r="D632" i="43"/>
  <c r="D633" i="43"/>
  <c r="D634" i="43"/>
  <c r="D635" i="43"/>
  <c r="D636" i="43"/>
  <c r="D637" i="43"/>
  <c r="D638" i="43"/>
  <c r="D639" i="43"/>
  <c r="D640" i="43"/>
  <c r="D641" i="43"/>
  <c r="D642" i="43"/>
  <c r="D643" i="43"/>
  <c r="D644" i="43"/>
  <c r="D645" i="43"/>
  <c r="D646" i="43"/>
  <c r="D647" i="43"/>
  <c r="D648" i="43"/>
  <c r="D649" i="43"/>
  <c r="D650" i="43"/>
  <c r="D651" i="43"/>
  <c r="D652" i="43"/>
  <c r="D653" i="43"/>
  <c r="D654" i="43"/>
  <c r="D655" i="43"/>
  <c r="D656" i="43"/>
  <c r="D657" i="43"/>
  <c r="D658" i="43"/>
  <c r="D659" i="43"/>
  <c r="D660" i="43"/>
  <c r="D661" i="43"/>
  <c r="D662" i="43"/>
  <c r="D663" i="43"/>
  <c r="D664" i="43"/>
  <c r="D665" i="43"/>
  <c r="D666" i="43"/>
  <c r="D667" i="43"/>
  <c r="D668" i="43"/>
  <c r="D669" i="43"/>
  <c r="D670" i="43"/>
  <c r="D671" i="43"/>
  <c r="D672" i="43"/>
  <c r="D673" i="43"/>
  <c r="D674" i="43"/>
  <c r="D675" i="43"/>
  <c r="D676" i="43"/>
  <c r="D677" i="43"/>
  <c r="D678" i="43"/>
  <c r="D679" i="43"/>
  <c r="D680" i="43"/>
  <c r="D681" i="43"/>
  <c r="D682" i="43"/>
  <c r="D683" i="43"/>
  <c r="D684" i="43"/>
  <c r="D685" i="43"/>
  <c r="D686" i="43"/>
  <c r="D687" i="43"/>
  <c r="D688" i="43"/>
  <c r="D689" i="43"/>
  <c r="D690" i="43"/>
  <c r="D691" i="43"/>
  <c r="D692" i="43"/>
  <c r="D693" i="43"/>
  <c r="D694" i="43"/>
  <c r="D695" i="43"/>
  <c r="D696" i="43"/>
  <c r="D697" i="43"/>
  <c r="D698" i="43"/>
  <c r="D699" i="43"/>
  <c r="D700" i="43"/>
  <c r="D701" i="43"/>
  <c r="D702" i="43"/>
  <c r="D703" i="43"/>
  <c r="D704" i="43"/>
  <c r="D705" i="43"/>
  <c r="D706" i="43"/>
  <c r="D707" i="43"/>
  <c r="D708" i="43"/>
  <c r="D709" i="43"/>
  <c r="D710" i="43"/>
  <c r="D711" i="43"/>
  <c r="D712" i="43"/>
  <c r="D713" i="43"/>
  <c r="D714" i="43"/>
  <c r="D715" i="43"/>
  <c r="D716" i="43"/>
  <c r="D717" i="43"/>
  <c r="D718" i="43"/>
  <c r="D719" i="43"/>
  <c r="D720" i="43"/>
  <c r="D721" i="43"/>
  <c r="D722" i="43"/>
  <c r="D723" i="43"/>
  <c r="D724" i="43"/>
  <c r="D725" i="43"/>
  <c r="D726" i="43"/>
  <c r="D727" i="43"/>
  <c r="D728" i="43"/>
  <c r="D729" i="43"/>
  <c r="D730" i="43"/>
  <c r="D731" i="43"/>
  <c r="D732" i="43"/>
  <c r="D733" i="43"/>
  <c r="D734" i="43"/>
  <c r="D735" i="43"/>
  <c r="D736" i="43"/>
  <c r="D737" i="43"/>
  <c r="D738" i="43"/>
  <c r="D739" i="43"/>
  <c r="D740" i="43"/>
  <c r="D741" i="43"/>
  <c r="D742" i="43"/>
  <c r="D743" i="43"/>
  <c r="D744" i="43"/>
  <c r="D745" i="43"/>
  <c r="D746" i="43"/>
  <c r="D747" i="43"/>
  <c r="D748" i="43"/>
  <c r="D749" i="43"/>
  <c r="D750" i="43"/>
  <c r="D751" i="43"/>
  <c r="D752" i="43"/>
  <c r="D753" i="43"/>
  <c r="D754" i="43"/>
  <c r="D755" i="43"/>
  <c r="D756" i="43"/>
  <c r="D757" i="43"/>
  <c r="D758" i="43"/>
  <c r="D759" i="43"/>
  <c r="D760" i="43"/>
  <c r="D761" i="43"/>
  <c r="D762" i="43"/>
  <c r="D763" i="43"/>
  <c r="D764" i="43"/>
  <c r="D765" i="43"/>
  <c r="D766" i="43"/>
  <c r="D767" i="43"/>
  <c r="D768" i="43"/>
  <c r="D769" i="43"/>
  <c r="D770" i="43"/>
  <c r="D771" i="43"/>
  <c r="D772" i="43"/>
  <c r="D773" i="43"/>
  <c r="D774" i="43"/>
  <c r="D775" i="43"/>
  <c r="D776" i="43"/>
  <c r="D777" i="43"/>
  <c r="D778" i="43"/>
  <c r="D779" i="43"/>
  <c r="D780" i="43"/>
  <c r="D781" i="43"/>
  <c r="D782" i="43"/>
  <c r="D783" i="43"/>
  <c r="D784" i="43"/>
  <c r="D785" i="43"/>
  <c r="D786" i="43"/>
  <c r="D787" i="43"/>
  <c r="D788" i="43"/>
  <c r="D789" i="43"/>
  <c r="D790" i="43"/>
  <c r="D791" i="43"/>
  <c r="D792" i="43"/>
  <c r="D793" i="43"/>
  <c r="D794" i="43"/>
  <c r="D795" i="43"/>
  <c r="D796" i="43"/>
  <c r="D797" i="43"/>
  <c r="D798" i="43"/>
  <c r="D799" i="43"/>
  <c r="D800" i="43"/>
  <c r="D801" i="43"/>
  <c r="D802" i="43"/>
  <c r="D803" i="43"/>
  <c r="D804" i="43"/>
  <c r="D805" i="43"/>
  <c r="D806" i="43"/>
  <c r="D807" i="43"/>
  <c r="D808" i="43"/>
  <c r="D809" i="43"/>
  <c r="D810" i="43"/>
  <c r="D811" i="43"/>
  <c r="D812" i="43"/>
  <c r="D813" i="43"/>
  <c r="D814" i="43"/>
  <c r="D815" i="43"/>
  <c r="D816" i="43"/>
  <c r="D817" i="43"/>
  <c r="D818" i="43"/>
  <c r="D819" i="43"/>
  <c r="D820" i="43"/>
  <c r="D821" i="43"/>
  <c r="D822" i="43"/>
  <c r="D823" i="43"/>
  <c r="D824" i="43"/>
  <c r="D825" i="43"/>
  <c r="D826" i="43"/>
  <c r="D827" i="43"/>
  <c r="D828" i="43"/>
  <c r="D829" i="43"/>
  <c r="D830" i="43"/>
  <c r="D831" i="43"/>
  <c r="D832" i="43"/>
  <c r="D833" i="43"/>
  <c r="D834" i="43"/>
  <c r="D835" i="43"/>
  <c r="D836" i="43"/>
  <c r="D837" i="43"/>
  <c r="D838" i="43"/>
  <c r="D839" i="43"/>
  <c r="D840" i="43"/>
  <c r="D841" i="43"/>
  <c r="D842" i="43"/>
  <c r="D843" i="43"/>
  <c r="D844" i="43"/>
  <c r="D845" i="43"/>
  <c r="D846" i="43"/>
  <c r="D847" i="43"/>
  <c r="D848" i="43"/>
  <c r="D849" i="43"/>
  <c r="D850" i="43"/>
  <c r="D851" i="43"/>
  <c r="D852" i="43"/>
  <c r="D853" i="43"/>
  <c r="D854" i="43"/>
  <c r="D855" i="43"/>
  <c r="D856" i="43"/>
  <c r="D857" i="43"/>
  <c r="D858" i="43"/>
  <c r="D859" i="43"/>
  <c r="D860" i="43"/>
  <c r="D861" i="43"/>
  <c r="D862" i="43"/>
  <c r="D863" i="43"/>
  <c r="D864" i="43"/>
  <c r="D865" i="43"/>
  <c r="D866" i="43"/>
  <c r="D867" i="43"/>
  <c r="D868" i="43"/>
  <c r="D869" i="43"/>
  <c r="D870" i="43"/>
  <c r="D871" i="43"/>
  <c r="D872" i="43"/>
  <c r="D873" i="43"/>
  <c r="D874" i="43"/>
  <c r="D875" i="43"/>
  <c r="D876" i="43"/>
  <c r="D877" i="43"/>
  <c r="D878" i="43"/>
  <c r="D879" i="43"/>
  <c r="D880" i="43"/>
  <c r="D881" i="43"/>
  <c r="D882" i="43"/>
  <c r="D883" i="43"/>
  <c r="D884" i="43"/>
  <c r="D885" i="43"/>
  <c r="D886" i="43"/>
  <c r="D887" i="43"/>
  <c r="D888" i="43"/>
  <c r="D889" i="43"/>
  <c r="D890" i="43"/>
  <c r="D891" i="43"/>
  <c r="D892" i="43"/>
  <c r="D893" i="43"/>
  <c r="D894" i="43"/>
  <c r="D895" i="43"/>
  <c r="D896" i="43"/>
  <c r="D897" i="43"/>
  <c r="D898" i="43"/>
  <c r="D899" i="43"/>
  <c r="D900" i="43"/>
  <c r="D901" i="43"/>
  <c r="D902" i="43"/>
  <c r="D903" i="43"/>
  <c r="D904" i="43"/>
  <c r="D905" i="43"/>
  <c r="D906" i="43"/>
  <c r="D907" i="43"/>
  <c r="D908" i="43"/>
  <c r="D909" i="43"/>
  <c r="D910" i="43"/>
  <c r="D911" i="43"/>
  <c r="D912" i="43"/>
  <c r="D913" i="43"/>
  <c r="D914" i="43"/>
  <c r="D915" i="43"/>
  <c r="D916" i="43"/>
  <c r="D917" i="43"/>
  <c r="D918" i="43"/>
  <c r="D919" i="43"/>
  <c r="D920" i="43"/>
  <c r="D921" i="43"/>
  <c r="D922" i="43"/>
  <c r="D923" i="43"/>
  <c r="D924" i="43"/>
  <c r="D925" i="43"/>
  <c r="D926" i="43"/>
  <c r="D927" i="43"/>
  <c r="D928" i="43"/>
  <c r="D929" i="43"/>
  <c r="D930" i="43"/>
  <c r="D931" i="43"/>
  <c r="D932" i="43"/>
  <c r="D933" i="43"/>
  <c r="D934" i="43"/>
  <c r="D935" i="43"/>
  <c r="D936" i="43"/>
  <c r="D937" i="43"/>
  <c r="D938" i="43"/>
  <c r="D939" i="43"/>
  <c r="D940" i="43"/>
  <c r="D941" i="43"/>
  <c r="D942" i="43"/>
  <c r="D943" i="43"/>
  <c r="D944" i="43"/>
  <c r="D945" i="43"/>
  <c r="D946" i="43"/>
  <c r="D947" i="43"/>
  <c r="D948" i="43"/>
  <c r="D949" i="43"/>
  <c r="D950" i="43"/>
  <c r="D951" i="43"/>
  <c r="D952" i="43"/>
  <c r="D953" i="43"/>
  <c r="D954" i="43"/>
  <c r="D955" i="43"/>
  <c r="D956" i="43"/>
  <c r="D957" i="43"/>
  <c r="D958" i="43"/>
  <c r="D959" i="43"/>
  <c r="D960" i="43"/>
  <c r="D961" i="43"/>
  <c r="D962" i="43"/>
  <c r="D963" i="43"/>
  <c r="D964" i="43"/>
  <c r="D965" i="43"/>
  <c r="D966" i="43"/>
  <c r="D967" i="43"/>
  <c r="D968" i="43"/>
  <c r="D969" i="43"/>
  <c r="D970" i="43"/>
  <c r="D971" i="43"/>
  <c r="D972" i="43"/>
  <c r="D973" i="43"/>
  <c r="D974" i="43"/>
  <c r="D975" i="43"/>
  <c r="D976" i="43"/>
  <c r="D977" i="43"/>
  <c r="D978" i="43"/>
  <c r="D979" i="43"/>
  <c r="D980" i="43"/>
  <c r="D981" i="43"/>
  <c r="D982" i="43"/>
  <c r="D983" i="43"/>
  <c r="D984" i="43"/>
  <c r="D985" i="43"/>
  <c r="D986" i="43"/>
  <c r="D987" i="43"/>
  <c r="D988" i="43"/>
  <c r="D989" i="43"/>
  <c r="D990" i="43"/>
  <c r="D991" i="43"/>
  <c r="D992" i="43"/>
  <c r="D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2" i="43"/>
  <c r="D1103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5" i="43"/>
  <c r="D1146" i="43"/>
  <c r="D1147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4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7" i="43"/>
  <c r="D1238" i="43"/>
  <c r="D1239" i="43"/>
  <c r="D1240" i="43"/>
  <c r="D1241" i="43"/>
  <c r="D1242" i="43"/>
  <c r="D1243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6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8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1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5" i="43"/>
  <c r="D1346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1" i="43"/>
  <c r="D1382" i="43"/>
  <c r="D1383" i="43"/>
  <c r="D1384" i="43"/>
  <c r="D1385" i="43"/>
  <c r="D1386" i="43"/>
  <c r="D1387" i="43"/>
  <c r="D1388" i="43"/>
  <c r="D1389" i="43"/>
  <c r="D1390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0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0" i="43"/>
  <c r="D1471" i="43"/>
  <c r="D1472" i="43"/>
  <c r="D1473" i="43"/>
  <c r="D1474" i="43"/>
  <c r="D1475" i="43"/>
  <c r="D1476" i="43"/>
  <c r="D1477" i="43"/>
  <c r="D1478" i="43"/>
  <c r="D1479" i="43"/>
  <c r="D1480" i="43"/>
  <c r="D1481" i="43"/>
  <c r="D1482" i="43"/>
  <c r="D1483" i="43"/>
  <c r="D1484" i="43"/>
  <c r="D1485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09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47" i="43"/>
  <c r="D1548" i="43"/>
  <c r="D1549" i="43"/>
  <c r="D1550" i="43"/>
  <c r="D1551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3" i="43"/>
  <c r="D1564" i="43"/>
  <c r="D1565" i="43"/>
  <c r="D1566" i="43"/>
  <c r="D1567" i="43"/>
  <c r="D1568" i="43"/>
  <c r="D1569" i="43"/>
  <c r="D1570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4" i="43"/>
  <c r="D1585" i="43"/>
  <c r="D1586" i="43"/>
  <c r="D1587" i="43"/>
  <c r="D1588" i="43"/>
  <c r="D1589" i="43"/>
  <c r="D1590" i="43"/>
  <c r="D1591" i="43"/>
  <c r="D1592" i="43"/>
  <c r="D1593" i="43"/>
  <c r="D1594" i="43"/>
  <c r="D1595" i="43"/>
  <c r="D1596" i="43"/>
  <c r="D1597" i="43"/>
  <c r="D1598" i="43"/>
  <c r="D1599" i="43"/>
  <c r="D1600" i="43"/>
  <c r="D1601" i="43"/>
  <c r="D1602" i="43"/>
  <c r="D1603" i="43"/>
  <c r="D1604" i="43"/>
  <c r="D1605" i="43"/>
  <c r="D1606" i="43"/>
  <c r="D1607" i="43"/>
  <c r="D1608" i="43"/>
  <c r="D1609" i="43"/>
  <c r="D1610" i="43"/>
  <c r="D1611" i="43"/>
  <c r="D1612" i="43"/>
  <c r="D1613" i="43"/>
  <c r="D1614" i="43"/>
  <c r="D1615" i="43"/>
  <c r="D1616" i="43"/>
  <c r="D1617" i="43"/>
  <c r="D1618" i="43"/>
  <c r="D1619" i="43"/>
  <c r="D1620" i="43"/>
  <c r="D1621" i="43"/>
  <c r="D1622" i="43"/>
  <c r="D1623" i="43"/>
  <c r="D1624" i="43"/>
  <c r="D1625" i="43"/>
  <c r="D1626" i="43"/>
  <c r="D1627" i="43"/>
  <c r="D1628" i="43"/>
  <c r="D1629" i="43"/>
  <c r="D1630" i="43"/>
  <c r="D1631" i="43"/>
  <c r="D1632" i="43"/>
  <c r="D1633" i="43"/>
  <c r="D1634" i="43"/>
  <c r="D1635" i="43"/>
  <c r="D1636" i="43"/>
  <c r="D1637" i="43"/>
  <c r="D1638" i="43"/>
  <c r="D1639" i="43"/>
  <c r="D1640" i="43"/>
  <c r="D1641" i="43"/>
  <c r="D1642" i="43"/>
  <c r="D1643" i="43"/>
  <c r="D1644" i="43"/>
  <c r="D1645" i="43"/>
  <c r="D1646" i="43"/>
  <c r="D1647" i="43"/>
  <c r="D1648" i="43"/>
  <c r="D1649" i="43"/>
  <c r="D1650" i="43"/>
  <c r="D1651" i="43"/>
  <c r="D1652" i="43"/>
  <c r="D1653" i="43"/>
  <c r="D1654" i="43"/>
  <c r="D1655" i="43"/>
  <c r="D1656" i="43"/>
  <c r="D1657" i="43"/>
  <c r="D1658" i="43"/>
  <c r="D1659" i="43"/>
  <c r="D1660" i="43"/>
  <c r="D1661" i="43"/>
  <c r="D1662" i="43"/>
  <c r="D1663" i="43"/>
  <c r="D1664" i="43"/>
  <c r="D1665" i="43"/>
  <c r="D1666" i="43"/>
  <c r="D1667" i="43"/>
  <c r="D1668" i="43"/>
  <c r="D1669" i="43"/>
  <c r="D1670" i="43"/>
  <c r="D1671" i="43"/>
  <c r="D1672" i="43"/>
  <c r="D1673" i="43"/>
  <c r="D1674" i="43"/>
  <c r="D1675" i="43"/>
  <c r="D1676" i="43"/>
  <c r="D1677" i="43"/>
  <c r="D1678" i="43"/>
  <c r="D1679" i="43"/>
  <c r="D1680" i="43"/>
  <c r="D1681" i="43"/>
  <c r="D1682" i="43"/>
  <c r="D1683" i="43"/>
  <c r="D1684" i="43"/>
  <c r="D1685" i="43"/>
  <c r="D1686" i="43"/>
  <c r="D1687" i="43"/>
  <c r="D1688" i="43"/>
  <c r="D1689" i="43"/>
  <c r="D1690" i="43"/>
  <c r="D1691" i="43"/>
  <c r="D1692" i="43"/>
  <c r="D1693" i="43"/>
  <c r="D1694" i="43"/>
  <c r="D1695" i="43"/>
  <c r="D1696" i="43"/>
  <c r="D1697" i="43"/>
  <c r="D1698" i="43"/>
  <c r="D1699" i="43"/>
  <c r="D1700" i="43"/>
  <c r="D1701" i="43"/>
  <c r="D1702" i="43"/>
  <c r="D1703" i="43"/>
  <c r="D1704" i="43"/>
  <c r="D1705" i="43"/>
  <c r="D1706" i="43"/>
  <c r="D1707" i="43"/>
  <c r="D1708" i="43"/>
  <c r="D1709" i="43"/>
  <c r="D1710" i="43"/>
  <c r="D1711" i="43"/>
  <c r="D1712" i="43"/>
  <c r="D1713" i="43"/>
  <c r="D1714" i="43"/>
  <c r="D1715" i="43"/>
  <c r="D1716" i="43"/>
  <c r="D1717" i="43"/>
  <c r="D1718" i="43"/>
  <c r="D1719" i="43"/>
  <c r="D1720" i="43"/>
  <c r="D1721" i="43"/>
  <c r="D1722" i="43"/>
  <c r="D1723" i="43"/>
  <c r="D1724" i="43"/>
  <c r="D1725" i="43"/>
  <c r="D1726" i="43"/>
  <c r="D1727" i="43"/>
  <c r="D1728" i="43"/>
  <c r="D1729" i="43"/>
  <c r="D1730" i="43"/>
  <c r="D1731" i="43"/>
  <c r="D1732" i="43"/>
  <c r="D1733" i="43"/>
  <c r="D1734" i="43"/>
  <c r="D1735" i="43"/>
  <c r="D1736" i="43"/>
  <c r="D1737" i="43"/>
  <c r="D1738" i="43"/>
  <c r="D1739" i="43"/>
  <c r="D1740" i="43"/>
  <c r="D1741" i="43"/>
  <c r="D1742" i="43"/>
  <c r="D1743" i="43"/>
  <c r="D1744" i="43"/>
  <c r="D1745" i="43"/>
  <c r="D1746" i="43"/>
  <c r="D1747" i="43"/>
  <c r="D1748" i="43"/>
  <c r="D1749" i="43"/>
  <c r="D1750" i="43"/>
  <c r="D1751" i="43"/>
  <c r="D1752" i="43"/>
  <c r="D1753" i="43"/>
  <c r="D1754" i="43"/>
  <c r="D1755" i="43"/>
  <c r="D1756" i="43"/>
  <c r="D1757" i="43"/>
  <c r="D1758" i="43"/>
  <c r="D1759" i="43"/>
  <c r="D1760" i="43"/>
  <c r="D1761" i="43"/>
  <c r="D1762" i="43"/>
  <c r="D1763" i="43"/>
  <c r="D1764" i="43"/>
  <c r="D1765" i="43"/>
  <c r="D1766" i="43"/>
  <c r="D1767" i="43"/>
  <c r="D1768" i="43"/>
  <c r="D1769" i="43"/>
  <c r="D1770" i="43"/>
  <c r="D1771" i="43"/>
  <c r="D1772" i="43"/>
  <c r="D1773" i="43"/>
  <c r="D1774" i="43"/>
  <c r="D1775" i="43"/>
  <c r="D1776" i="43"/>
  <c r="D1777" i="43"/>
  <c r="D1778" i="43"/>
  <c r="D1779" i="43"/>
  <c r="D1780" i="43"/>
  <c r="D1781" i="43"/>
  <c r="D1782" i="43"/>
  <c r="D1783" i="43"/>
  <c r="D1784" i="43"/>
  <c r="D1785" i="43"/>
  <c r="D1786" i="43"/>
  <c r="D1787" i="43"/>
  <c r="D1788" i="43"/>
  <c r="D1789" i="43"/>
  <c r="D1790" i="43"/>
  <c r="D1791" i="43"/>
  <c r="D1792" i="43"/>
  <c r="D1793" i="43"/>
  <c r="D1794" i="43"/>
  <c r="D1795" i="43"/>
  <c r="D1796" i="43"/>
  <c r="D1797" i="43"/>
  <c r="D1798" i="43"/>
  <c r="D1799" i="43"/>
  <c r="D1800" i="43"/>
  <c r="D1801" i="43"/>
  <c r="D1802" i="43"/>
  <c r="D1803" i="43"/>
  <c r="D1804" i="43"/>
  <c r="D1805" i="43"/>
  <c r="D1806" i="43"/>
  <c r="D1807" i="43"/>
  <c r="D1808" i="43"/>
  <c r="D1809" i="43"/>
  <c r="D1810" i="43"/>
  <c r="D1811" i="43"/>
  <c r="D1812" i="43"/>
  <c r="D1813" i="43"/>
  <c r="D1814" i="43"/>
  <c r="D1815" i="43"/>
  <c r="D1816" i="43"/>
  <c r="D1817" i="43"/>
  <c r="D1818" i="43"/>
  <c r="D1819" i="43"/>
  <c r="D1820" i="43"/>
  <c r="D1821" i="43"/>
  <c r="D1822" i="43"/>
  <c r="D1823" i="43"/>
  <c r="D1824" i="43"/>
  <c r="D1825" i="43"/>
  <c r="D1826" i="43"/>
  <c r="D1827" i="43"/>
  <c r="D1828" i="43"/>
  <c r="D1829" i="43"/>
  <c r="D1830" i="43"/>
  <c r="D1831" i="43"/>
  <c r="D1832" i="43"/>
  <c r="D1833" i="43"/>
  <c r="D1834" i="43"/>
  <c r="D1835" i="43"/>
  <c r="D1836" i="43"/>
  <c r="D1837" i="43"/>
  <c r="D1838" i="43"/>
  <c r="D1839" i="43"/>
  <c r="D1840" i="43"/>
  <c r="D1841" i="43"/>
  <c r="D1842" i="43"/>
  <c r="D1843" i="43"/>
  <c r="D1844" i="43"/>
  <c r="D1845" i="43"/>
  <c r="D1846" i="43"/>
  <c r="D1847" i="43"/>
  <c r="D1848" i="43"/>
  <c r="D1849" i="43"/>
  <c r="D1850" i="43"/>
  <c r="D1851" i="43"/>
  <c r="D1852" i="43"/>
  <c r="D1853" i="43"/>
  <c r="D1854" i="43"/>
  <c r="D1855" i="43"/>
  <c r="D1856" i="43"/>
  <c r="D1857" i="43"/>
  <c r="D1858" i="43"/>
  <c r="D1859" i="43"/>
  <c r="D1860" i="43"/>
  <c r="D1861" i="43"/>
  <c r="D1862" i="43"/>
  <c r="D1863" i="43"/>
  <c r="D1864" i="43"/>
  <c r="D1865" i="43"/>
  <c r="D1866" i="43"/>
  <c r="D1867" i="43"/>
  <c r="D1868" i="43"/>
  <c r="D1869" i="43"/>
  <c r="D1870" i="43"/>
  <c r="D1871" i="43"/>
  <c r="D1872" i="43"/>
  <c r="D1873" i="43"/>
  <c r="D1874" i="43"/>
  <c r="D1875" i="43"/>
  <c r="D1876" i="43"/>
  <c r="D1877" i="43"/>
  <c r="D1878" i="43"/>
  <c r="D1879" i="43"/>
  <c r="D1880" i="43"/>
  <c r="D1881" i="43"/>
  <c r="D1882" i="43"/>
  <c r="D1883" i="43"/>
  <c r="D1884" i="43"/>
  <c r="D1885" i="43"/>
  <c r="D1886" i="43"/>
  <c r="D1887" i="43"/>
  <c r="D1888" i="43"/>
  <c r="D1889" i="43"/>
  <c r="D1890" i="43"/>
  <c r="D1891" i="43"/>
  <c r="D1892" i="43"/>
  <c r="D1893" i="43"/>
  <c r="D1894" i="43"/>
  <c r="D1895" i="43"/>
  <c r="D1896" i="43"/>
  <c r="D1897" i="43"/>
  <c r="D1898" i="43"/>
  <c r="D1899" i="43"/>
  <c r="D1900" i="43"/>
  <c r="D1901" i="43"/>
  <c r="D1902" i="43"/>
  <c r="D1903" i="43"/>
  <c r="D1904" i="43"/>
  <c r="D1905" i="43"/>
  <c r="D1906" i="43"/>
  <c r="D1907" i="43"/>
  <c r="D1908" i="43"/>
  <c r="D1909" i="43"/>
  <c r="D1910" i="43"/>
  <c r="D1911" i="43"/>
  <c r="D1912" i="43"/>
  <c r="D1913" i="43"/>
  <c r="D1914" i="43"/>
  <c r="D1915" i="43"/>
  <c r="D1916" i="43"/>
  <c r="D1917" i="43"/>
  <c r="D1918" i="43"/>
  <c r="D1919" i="43"/>
  <c r="D1920" i="43"/>
  <c r="D1921" i="43"/>
  <c r="D1922" i="43"/>
  <c r="D1923" i="43"/>
  <c r="D1924" i="43"/>
  <c r="D1925" i="43"/>
  <c r="D1926" i="43"/>
  <c r="D1927" i="43"/>
  <c r="D1928" i="43"/>
  <c r="D1929" i="43"/>
  <c r="D1930" i="43"/>
  <c r="D1931" i="43"/>
  <c r="D1932" i="43"/>
  <c r="D1933" i="43"/>
  <c r="D1934" i="43"/>
  <c r="D1935" i="43"/>
  <c r="D1936" i="43"/>
  <c r="D1937" i="43"/>
  <c r="D1938" i="43"/>
  <c r="D1939" i="43"/>
  <c r="D1940" i="43"/>
  <c r="D1941" i="43"/>
  <c r="D1942" i="43"/>
  <c r="D1943" i="43"/>
  <c r="D1944" i="43"/>
  <c r="D1945" i="43"/>
  <c r="D1946" i="43"/>
  <c r="D1947" i="43"/>
  <c r="D1948" i="43"/>
  <c r="D1949" i="43"/>
  <c r="D1950" i="43"/>
  <c r="D1951" i="43"/>
  <c r="D1952" i="43"/>
  <c r="D1953" i="43"/>
  <c r="D1954" i="43"/>
  <c r="D1955" i="43"/>
  <c r="D1956" i="43"/>
  <c r="D1957" i="43"/>
  <c r="D1958" i="43"/>
  <c r="D1959" i="43"/>
  <c r="D1960" i="43"/>
  <c r="D1961" i="43"/>
  <c r="D1962" i="43"/>
  <c r="D1963" i="43"/>
  <c r="D1964" i="43"/>
  <c r="D1965" i="43"/>
  <c r="D1966" i="43"/>
  <c r="D1967" i="43"/>
  <c r="D1968" i="43"/>
  <c r="D1969" i="43"/>
  <c r="D1970" i="43"/>
  <c r="D1971" i="43"/>
  <c r="D1972" i="43"/>
  <c r="D1973" i="43"/>
  <c r="D1974" i="43"/>
  <c r="D1975" i="43"/>
  <c r="D1976" i="43"/>
  <c r="D1977" i="43"/>
  <c r="D1978" i="43"/>
  <c r="D1979" i="43"/>
  <c r="D1980" i="43"/>
  <c r="D1981" i="43"/>
  <c r="D1982" i="43"/>
  <c r="D1983" i="43"/>
  <c r="D1984" i="43"/>
  <c r="D1985" i="43"/>
  <c r="D1986" i="43"/>
  <c r="D1987" i="43"/>
  <c r="D1988" i="43"/>
  <c r="D1989" i="43"/>
  <c r="D1990" i="43"/>
  <c r="D1991" i="43"/>
  <c r="D1992" i="43"/>
  <c r="D1993" i="43"/>
  <c r="D1994" i="43"/>
  <c r="D1995" i="43"/>
  <c r="D1996" i="43"/>
  <c r="D1997" i="43"/>
  <c r="D1998" i="43"/>
  <c r="D1999" i="43"/>
  <c r="D2000" i="43"/>
  <c r="D2001" i="43"/>
  <c r="D2002" i="43"/>
  <c r="D2003" i="43"/>
  <c r="D2004" i="43"/>
  <c r="D2005" i="43"/>
  <c r="D2006" i="43"/>
  <c r="D2007" i="43"/>
  <c r="D2008" i="43"/>
  <c r="D2009" i="43"/>
  <c r="D2010" i="43"/>
  <c r="D2011" i="43"/>
  <c r="D2012" i="43"/>
  <c r="D2013" i="43"/>
  <c r="D2014" i="43"/>
  <c r="D2015" i="43"/>
  <c r="D2016" i="43"/>
  <c r="D2017" i="43"/>
  <c r="D2018" i="43"/>
  <c r="D2019" i="43"/>
  <c r="D2020" i="43"/>
  <c r="D2021" i="43"/>
  <c r="D2022" i="43"/>
  <c r="D2023" i="43"/>
  <c r="D2024" i="43"/>
  <c r="D2025" i="43"/>
  <c r="D2026" i="43"/>
  <c r="D2027" i="43"/>
  <c r="D2028" i="43"/>
  <c r="D2029" i="43"/>
  <c r="D2030" i="43"/>
  <c r="D2031" i="43"/>
  <c r="D2032" i="43"/>
  <c r="D2033" i="43"/>
  <c r="D2034" i="43"/>
  <c r="D2035" i="43"/>
  <c r="D2036" i="43"/>
  <c r="D2037" i="43"/>
  <c r="D2038" i="43"/>
  <c r="D2039" i="43"/>
  <c r="D2040" i="43"/>
  <c r="D2041" i="43"/>
  <c r="D2042" i="43"/>
  <c r="D2043" i="43"/>
  <c r="D2044" i="43"/>
  <c r="D2045" i="43"/>
  <c r="D2046" i="43"/>
  <c r="D2047" i="43"/>
  <c r="D2048" i="43"/>
  <c r="D2049" i="43"/>
  <c r="D2050" i="43"/>
  <c r="D2051" i="43"/>
  <c r="D2052" i="43"/>
  <c r="D2053" i="43"/>
  <c r="D2054" i="43"/>
  <c r="D2055" i="43"/>
  <c r="D2056" i="43"/>
  <c r="D2057" i="43"/>
  <c r="D2058" i="43"/>
  <c r="D2059" i="43"/>
  <c r="D2060" i="43"/>
  <c r="D2061" i="43"/>
  <c r="D2062" i="43"/>
  <c r="D2063" i="43"/>
  <c r="D2064" i="43"/>
  <c r="D2065" i="43"/>
  <c r="D2066" i="43"/>
  <c r="D2067" i="43"/>
  <c r="D2068" i="43"/>
  <c r="D2069" i="43"/>
  <c r="D2070" i="43"/>
  <c r="D2071" i="43"/>
  <c r="D2072" i="43"/>
  <c r="D2073" i="43"/>
  <c r="D2074" i="43"/>
  <c r="D2075" i="43"/>
  <c r="D2076" i="43"/>
  <c r="D2077" i="43"/>
  <c r="D2078" i="43"/>
  <c r="D2079" i="43"/>
  <c r="D2080" i="43"/>
  <c r="D2081" i="43"/>
  <c r="D2082" i="43"/>
  <c r="D2083" i="43"/>
  <c r="D2084" i="43"/>
  <c r="D2085" i="43"/>
  <c r="D2086" i="43"/>
  <c r="D2087" i="43"/>
  <c r="D2088" i="43"/>
  <c r="D2089" i="43"/>
  <c r="D2090" i="43"/>
  <c r="D2091" i="43"/>
  <c r="D2092" i="43"/>
  <c r="D2093" i="43"/>
  <c r="D2094" i="43"/>
  <c r="D2095" i="43"/>
  <c r="D2096" i="43"/>
  <c r="D2097" i="43"/>
  <c r="D2098" i="43"/>
  <c r="D2099" i="43"/>
  <c r="D2100" i="43"/>
  <c r="D2101" i="43"/>
  <c r="D2102" i="43"/>
  <c r="D2103" i="43"/>
  <c r="D2104" i="43"/>
  <c r="D2105" i="43"/>
  <c r="D2106" i="43"/>
  <c r="D2107" i="43"/>
  <c r="D2108" i="43"/>
  <c r="D2109" i="43"/>
  <c r="D2110" i="43"/>
  <c r="D2111" i="43"/>
  <c r="D2112" i="43"/>
  <c r="D2113" i="43"/>
  <c r="D2114" i="43"/>
  <c r="D2115" i="43"/>
  <c r="D2116" i="43"/>
  <c r="D2117" i="43"/>
  <c r="D2118" i="43"/>
  <c r="D2119" i="43"/>
  <c r="D2120" i="43"/>
  <c r="D2121" i="43"/>
  <c r="D2122" i="43"/>
  <c r="D2123" i="43"/>
  <c r="D2124" i="43"/>
  <c r="D2125" i="43"/>
  <c r="D2126" i="43"/>
  <c r="D2127" i="43"/>
  <c r="D2128" i="43"/>
  <c r="D2129" i="43"/>
  <c r="D2130" i="43"/>
  <c r="D2131" i="43"/>
  <c r="D2132" i="43"/>
  <c r="D2133" i="43"/>
  <c r="D2134" i="43"/>
  <c r="D2135" i="43"/>
  <c r="D2136" i="43"/>
  <c r="D2137" i="43"/>
  <c r="D2138" i="43"/>
  <c r="D2139" i="43"/>
  <c r="D2140" i="43"/>
  <c r="D2141" i="43"/>
  <c r="D2142" i="43"/>
  <c r="D2143" i="43"/>
  <c r="D2144" i="43"/>
  <c r="D2145" i="43"/>
  <c r="D2146" i="43"/>
  <c r="D2147" i="43"/>
  <c r="D2148" i="43"/>
  <c r="D2149" i="43"/>
  <c r="D2150" i="43"/>
  <c r="D2151" i="43"/>
  <c r="D2152" i="43"/>
  <c r="D2153" i="43"/>
  <c r="D2154" i="43"/>
  <c r="D2155" i="43"/>
  <c r="D2156" i="43"/>
  <c r="D2157" i="43"/>
  <c r="D2158" i="43"/>
  <c r="D2159" i="43"/>
  <c r="D2160" i="43"/>
  <c r="D2161" i="43"/>
  <c r="D2162" i="43"/>
  <c r="D2163" i="43"/>
  <c r="D2164" i="43"/>
  <c r="D2165" i="43"/>
  <c r="D2166" i="43"/>
  <c r="D2167" i="43"/>
  <c r="D2168" i="43"/>
  <c r="D2169" i="43"/>
  <c r="D2170" i="43"/>
  <c r="D2171" i="43"/>
  <c r="D2172" i="43"/>
  <c r="D2173" i="43"/>
  <c r="D2174" i="43"/>
  <c r="D2175" i="43"/>
  <c r="D2176" i="43"/>
  <c r="D2177" i="43"/>
  <c r="D2178" i="43"/>
  <c r="D2179" i="43"/>
  <c r="D2180" i="43"/>
  <c r="D2181" i="43"/>
  <c r="D2182" i="43"/>
  <c r="D2183" i="43"/>
  <c r="D2184" i="43"/>
  <c r="D2185" i="43"/>
  <c r="D2186" i="43"/>
  <c r="D2187" i="43"/>
  <c r="D2188" i="43"/>
  <c r="D2189" i="43"/>
  <c r="D2190" i="43"/>
  <c r="D2191" i="43"/>
  <c r="D2192" i="43"/>
  <c r="D2193" i="43"/>
  <c r="D2194" i="43"/>
  <c r="D2195" i="43"/>
  <c r="D2196" i="43"/>
  <c r="D2197" i="43"/>
  <c r="D2198" i="43"/>
  <c r="D2199" i="43"/>
  <c r="D2200" i="43"/>
  <c r="D2201" i="43"/>
  <c r="D2202" i="43"/>
  <c r="D2203" i="43"/>
  <c r="D2204" i="43"/>
  <c r="D2205" i="43"/>
  <c r="D2206" i="43"/>
  <c r="D2207" i="43"/>
  <c r="D2208" i="43"/>
  <c r="D2209" i="43"/>
  <c r="D2210" i="43"/>
  <c r="D2211" i="43"/>
  <c r="D2212" i="43"/>
  <c r="D2213" i="43"/>
  <c r="D2214" i="43"/>
  <c r="D2215" i="43"/>
  <c r="D2216" i="43"/>
  <c r="D2217" i="43"/>
  <c r="D2218" i="43"/>
  <c r="D2219" i="43"/>
  <c r="D2220" i="43"/>
  <c r="D2221" i="43"/>
  <c r="D2222" i="43"/>
  <c r="D2223" i="43"/>
  <c r="D2224" i="43"/>
  <c r="D2225" i="43"/>
  <c r="D2226" i="43"/>
  <c r="D2227" i="43"/>
  <c r="D2228" i="43"/>
  <c r="D2229" i="43"/>
  <c r="D2230" i="43"/>
  <c r="D2231" i="43"/>
  <c r="D2232" i="43"/>
  <c r="D2233" i="43"/>
  <c r="D2234" i="43"/>
  <c r="D2235" i="43"/>
  <c r="D2236" i="43"/>
  <c r="D2237" i="43"/>
  <c r="D2238" i="43"/>
  <c r="D2239" i="43"/>
  <c r="D2240" i="43"/>
  <c r="D2241" i="43"/>
  <c r="D2242" i="43"/>
  <c r="D2243" i="43"/>
  <c r="D2244" i="43"/>
  <c r="D2245" i="43"/>
  <c r="D2246" i="43"/>
  <c r="D2247" i="43"/>
  <c r="D2248" i="43"/>
  <c r="D2249" i="43"/>
  <c r="D2250" i="43"/>
  <c r="D2251" i="43"/>
  <c r="D2252" i="43"/>
  <c r="D2253" i="43"/>
  <c r="D2254" i="43"/>
  <c r="D2255" i="43"/>
  <c r="D2256" i="43"/>
  <c r="D2257" i="43"/>
  <c r="D2258" i="43"/>
  <c r="D2259" i="43"/>
  <c r="D2260" i="43"/>
  <c r="D2261" i="43"/>
  <c r="D2262" i="43"/>
  <c r="D2263" i="43"/>
  <c r="D2264" i="43"/>
  <c r="D2265" i="43"/>
  <c r="D2266" i="43"/>
  <c r="D2267" i="43"/>
  <c r="D2268" i="43"/>
  <c r="D2269" i="43"/>
  <c r="D2270" i="43"/>
  <c r="D2271" i="43"/>
  <c r="D2272" i="43"/>
  <c r="D2273" i="43"/>
  <c r="D2274" i="43"/>
  <c r="D2275" i="43"/>
  <c r="D2276" i="43"/>
  <c r="D2277" i="43"/>
  <c r="D2278" i="43"/>
  <c r="D2279" i="43"/>
  <c r="D2280" i="43"/>
  <c r="D2281" i="43"/>
  <c r="D2282" i="43"/>
  <c r="D2283" i="43"/>
  <c r="D2284" i="43"/>
  <c r="D2285" i="43"/>
  <c r="D2286" i="43"/>
  <c r="D2287" i="43"/>
  <c r="D2288" i="43"/>
  <c r="D2289" i="43"/>
  <c r="D2290" i="43"/>
  <c r="D2291" i="43"/>
  <c r="D2292" i="43"/>
  <c r="D2293" i="43"/>
  <c r="D2294" i="43"/>
  <c r="D2295" i="43"/>
  <c r="D2296" i="43"/>
  <c r="D2297" i="43"/>
  <c r="D2298" i="43"/>
  <c r="D2299" i="43"/>
  <c r="D2300" i="43"/>
  <c r="D2301" i="43"/>
  <c r="D2302" i="43"/>
  <c r="D2303" i="43"/>
  <c r="D2304" i="43"/>
  <c r="D2305" i="43"/>
  <c r="D2306" i="43"/>
  <c r="D2307" i="43"/>
  <c r="D2308" i="43"/>
  <c r="D2309" i="43"/>
  <c r="D2310" i="43"/>
  <c r="D2311" i="43"/>
  <c r="D2312" i="43"/>
  <c r="D2313" i="43"/>
  <c r="D2314" i="43"/>
  <c r="D2315" i="43"/>
  <c r="D2316" i="43"/>
  <c r="D2317" i="43"/>
  <c r="D2318" i="43"/>
  <c r="D2319" i="43"/>
  <c r="D2320" i="43"/>
  <c r="D2321" i="43"/>
  <c r="D2322" i="43"/>
  <c r="D2323" i="43"/>
  <c r="D2324" i="43"/>
  <c r="D2325" i="43"/>
  <c r="D2326" i="43"/>
  <c r="D2327" i="43"/>
  <c r="D2328" i="43"/>
  <c r="D2329" i="43"/>
  <c r="D2330" i="43"/>
  <c r="D2331" i="43"/>
  <c r="D2332" i="43"/>
  <c r="D2333" i="43"/>
  <c r="D2334" i="43"/>
  <c r="D2335" i="43"/>
  <c r="D2336" i="43"/>
  <c r="D2337" i="43"/>
  <c r="D2338" i="43"/>
  <c r="D2339" i="43"/>
  <c r="D2340" i="43"/>
  <c r="D2341" i="43"/>
  <c r="D2342" i="43"/>
  <c r="D2343" i="43"/>
  <c r="D2344" i="43"/>
  <c r="D2345" i="43"/>
  <c r="D2346" i="43"/>
  <c r="D2347" i="43"/>
  <c r="D2348" i="43"/>
  <c r="D2349" i="43"/>
  <c r="D2350" i="43"/>
  <c r="D2351" i="43"/>
  <c r="D2352" i="43"/>
  <c r="D2353" i="43"/>
  <c r="D2354" i="43"/>
  <c r="D2355" i="43"/>
  <c r="D2356" i="43"/>
  <c r="D2357" i="43"/>
  <c r="D2358" i="43"/>
  <c r="D2359" i="43"/>
  <c r="D2360" i="43"/>
  <c r="D2361" i="43"/>
  <c r="D2362" i="43"/>
  <c r="D2363" i="43"/>
  <c r="D2364" i="43"/>
  <c r="D2365" i="43"/>
  <c r="D2366" i="43"/>
  <c r="D2367" i="43"/>
  <c r="D2368" i="43"/>
  <c r="D2369" i="43"/>
  <c r="D2370" i="43"/>
  <c r="D2371" i="43"/>
  <c r="D2372" i="43"/>
  <c r="D2373" i="43"/>
  <c r="D2374" i="43"/>
  <c r="D2375" i="43"/>
  <c r="D2376" i="43"/>
  <c r="D2377" i="43"/>
  <c r="D2378" i="43"/>
  <c r="D2379" i="43"/>
  <c r="D2380" i="43"/>
  <c r="D2381" i="43"/>
  <c r="D2382" i="43"/>
  <c r="D2383" i="43"/>
  <c r="D2384" i="43"/>
  <c r="D2385" i="43"/>
  <c r="D2386" i="43"/>
  <c r="D2387" i="43"/>
  <c r="D2388" i="43"/>
  <c r="D2389" i="43"/>
  <c r="D2390" i="43"/>
  <c r="D2391" i="43"/>
  <c r="D2392" i="43"/>
  <c r="D2393" i="43"/>
  <c r="D2394" i="43"/>
  <c r="D2395" i="43"/>
  <c r="D2396" i="43"/>
  <c r="D2397" i="43"/>
  <c r="D2398" i="43"/>
  <c r="D2399" i="43"/>
  <c r="D2400" i="43"/>
  <c r="D2401" i="43"/>
  <c r="D2402" i="43"/>
  <c r="D2403" i="43"/>
  <c r="D2404" i="43"/>
  <c r="D2405" i="43"/>
  <c r="D2406" i="43"/>
  <c r="D2407" i="43"/>
  <c r="D2408" i="43"/>
  <c r="D2409" i="43"/>
  <c r="D2410" i="43"/>
  <c r="D2411" i="43"/>
  <c r="D2412" i="43"/>
  <c r="D2413" i="43"/>
  <c r="D2414" i="43"/>
  <c r="D2415" i="43"/>
  <c r="D2416" i="43"/>
  <c r="D2417" i="43"/>
  <c r="D2418" i="43"/>
  <c r="D2419" i="43"/>
  <c r="D2420" i="43"/>
  <c r="D2421" i="43"/>
  <c r="D2422" i="43"/>
  <c r="D2423" i="43"/>
  <c r="D2424" i="43"/>
  <c r="D2425" i="43"/>
  <c r="D2426" i="43"/>
  <c r="D2427" i="43"/>
  <c r="D2428" i="43"/>
  <c r="D2429" i="43"/>
  <c r="D2430" i="43"/>
  <c r="D2432" i="43"/>
  <c r="D2433" i="43"/>
  <c r="D2434" i="43"/>
  <c r="D2435" i="43"/>
  <c r="D2436" i="43"/>
  <c r="D2437" i="43"/>
  <c r="D2438" i="43"/>
  <c r="D2439" i="43"/>
  <c r="D2440" i="43"/>
  <c r="D2441" i="43"/>
  <c r="D2442" i="43"/>
  <c r="D2443" i="43"/>
  <c r="D2444" i="43"/>
  <c r="D2445" i="43"/>
  <c r="D2446" i="43"/>
  <c r="D2447" i="43"/>
  <c r="D2448" i="43"/>
  <c r="D2449" i="43"/>
  <c r="D2450" i="43"/>
  <c r="D2451" i="43"/>
  <c r="D2452" i="43"/>
  <c r="D2453" i="43"/>
  <c r="D2454" i="43"/>
  <c r="D2455" i="43"/>
  <c r="D2456" i="43"/>
  <c r="D2457" i="43"/>
  <c r="D2458" i="43"/>
  <c r="D2459" i="43"/>
  <c r="D2460" i="43"/>
  <c r="D2461" i="43"/>
  <c r="D2462" i="43"/>
  <c r="D2463" i="43"/>
  <c r="D2464" i="43"/>
  <c r="D2465" i="43"/>
  <c r="D2466" i="43"/>
  <c r="D2467" i="43"/>
  <c r="D2468" i="43"/>
  <c r="D2469" i="43"/>
  <c r="D2470" i="43"/>
  <c r="D2471" i="43"/>
  <c r="D2472" i="43"/>
  <c r="D2473" i="43"/>
  <c r="D2474" i="43"/>
  <c r="D2475" i="43"/>
  <c r="D2476" i="43"/>
  <c r="D2477" i="43"/>
  <c r="D2478" i="43"/>
  <c r="D2479" i="43"/>
  <c r="D2480" i="43"/>
  <c r="D2481" i="43"/>
  <c r="AB368" i="42" l="1"/>
  <c r="AB369" i="42"/>
  <c r="AB370" i="42"/>
  <c r="AB371" i="42"/>
  <c r="AB372" i="42"/>
  <c r="AB373" i="42"/>
  <c r="AB374" i="42"/>
  <c r="AB375" i="42"/>
  <c r="AB376" i="42"/>
  <c r="AB377" i="42"/>
  <c r="AB378" i="42"/>
  <c r="AB379" i="42"/>
  <c r="AB380" i="42"/>
  <c r="AB381" i="42"/>
  <c r="AB382" i="42"/>
  <c r="AB383" i="42"/>
  <c r="AB384" i="42"/>
  <c r="AB385" i="42"/>
  <c r="AB386" i="42"/>
  <c r="AB387" i="42"/>
  <c r="AB388" i="42"/>
  <c r="AB389" i="42"/>
  <c r="AB390" i="42"/>
  <c r="AB391" i="42"/>
  <c r="AB392" i="42"/>
  <c r="AB393" i="42"/>
  <c r="AB394" i="42"/>
  <c r="AB395" i="42"/>
  <c r="AB396" i="42"/>
  <c r="AB397" i="42"/>
  <c r="AB398" i="42"/>
  <c r="AB399" i="42"/>
  <c r="AB400" i="42"/>
  <c r="AA368" i="42"/>
  <c r="AA369" i="42"/>
  <c r="AA370" i="42"/>
  <c r="AA371" i="42"/>
  <c r="AA372" i="42"/>
  <c r="AA373" i="42"/>
  <c r="AA374" i="42"/>
  <c r="AA375" i="42"/>
  <c r="AA376" i="42"/>
  <c r="AA377" i="42"/>
  <c r="AA378" i="42"/>
  <c r="AA379" i="42"/>
  <c r="AA380" i="42"/>
  <c r="AA381" i="42"/>
  <c r="AA382" i="42"/>
  <c r="AA383" i="42"/>
  <c r="AA384" i="42"/>
  <c r="AA385" i="42"/>
  <c r="AA386" i="42"/>
  <c r="AA387" i="42"/>
  <c r="AA388" i="42"/>
  <c r="AA389" i="42"/>
  <c r="AA390" i="42"/>
  <c r="AA391" i="42"/>
  <c r="AA392" i="42"/>
  <c r="AA393" i="42"/>
  <c r="AA394" i="42"/>
  <c r="AA395" i="42"/>
  <c r="AA396" i="42"/>
  <c r="AA397" i="42"/>
  <c r="AA398" i="42"/>
  <c r="AA399" i="42"/>
  <c r="AA400" i="42"/>
  <c r="AB367" i="42"/>
  <c r="AA367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339" i="42"/>
  <c r="AB340" i="42"/>
  <c r="AB341" i="42"/>
  <c r="AB342" i="42"/>
  <c r="AB343" i="42"/>
  <c r="AB344" i="42"/>
  <c r="AB345" i="42"/>
  <c r="AB346" i="42"/>
  <c r="AB347" i="42"/>
  <c r="AB348" i="42"/>
  <c r="AB349" i="42"/>
  <c r="AB350" i="42"/>
  <c r="AB351" i="42"/>
  <c r="AB352" i="42"/>
  <c r="AB353" i="42"/>
  <c r="AB354" i="42"/>
  <c r="AB355" i="42"/>
  <c r="AB356" i="42"/>
  <c r="AB357" i="42"/>
  <c r="AB358" i="42"/>
  <c r="AB359" i="42"/>
  <c r="AB360" i="42"/>
  <c r="AB361" i="42"/>
  <c r="AB362" i="42"/>
  <c r="AB363" i="42"/>
  <c r="AB364" i="42"/>
  <c r="AB365" i="42"/>
  <c r="AB366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321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339" i="42"/>
  <c r="AA340" i="42"/>
  <c r="AA341" i="42"/>
  <c r="AA342" i="42"/>
  <c r="AA343" i="42"/>
  <c r="AA344" i="42"/>
  <c r="AA345" i="42"/>
  <c r="AA346" i="42"/>
  <c r="AA347" i="42"/>
  <c r="AA348" i="42"/>
  <c r="AA349" i="42"/>
  <c r="AA350" i="42"/>
  <c r="AA351" i="42"/>
  <c r="AA352" i="42"/>
  <c r="AA353" i="42"/>
  <c r="AA354" i="42"/>
  <c r="AA355" i="42"/>
  <c r="AA356" i="42"/>
  <c r="AA357" i="42"/>
  <c r="AA358" i="42"/>
  <c r="AA359" i="42"/>
  <c r="AA360" i="42"/>
  <c r="AA361" i="42"/>
  <c r="AA362" i="42"/>
  <c r="AA363" i="42"/>
  <c r="AA364" i="42"/>
  <c r="AA365" i="42"/>
  <c r="AA366" i="42"/>
  <c r="AB285" i="42"/>
  <c r="AA285" i="42"/>
  <c r="AB253" i="42"/>
  <c r="AB254" i="42"/>
  <c r="AB255" i="42"/>
  <c r="AB256" i="42"/>
  <c r="AB257" i="42"/>
  <c r="AB258" i="42"/>
  <c r="AB259" i="42"/>
  <c r="AB260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A253" i="42"/>
  <c r="AA254" i="42"/>
  <c r="AA255" i="42"/>
  <c r="AA256" i="42"/>
  <c r="AA257" i="42"/>
  <c r="AA258" i="42"/>
  <c r="AA259" i="42"/>
  <c r="AA26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B252" i="42"/>
  <c r="AA252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7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86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227" i="42"/>
  <c r="AB228" i="42"/>
  <c r="AB229" i="42"/>
  <c r="AB230" i="42"/>
  <c r="AB231" i="42"/>
  <c r="AB232" i="42"/>
  <c r="AB233" i="42"/>
  <c r="AB234" i="42"/>
  <c r="AB235" i="42"/>
  <c r="AB236" i="42"/>
  <c r="AB237" i="42"/>
  <c r="AB238" i="42"/>
  <c r="AB239" i="42"/>
  <c r="AB240" i="42"/>
  <c r="AB241" i="42"/>
  <c r="AB242" i="42"/>
  <c r="AB243" i="42"/>
  <c r="AB244" i="42"/>
  <c r="AB245" i="42"/>
  <c r="AB246" i="42"/>
  <c r="AB247" i="42"/>
  <c r="AB248" i="42"/>
  <c r="AB249" i="42"/>
  <c r="AB250" i="42"/>
  <c r="AB251" i="42"/>
  <c r="AA150" i="42"/>
  <c r="AA151" i="42"/>
  <c r="AA152" i="42"/>
  <c r="AA153" i="42"/>
  <c r="AA154" i="42"/>
  <c r="AA155" i="42"/>
  <c r="AA156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86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227" i="42"/>
  <c r="AA228" i="42"/>
  <c r="AA229" i="42"/>
  <c r="AA230" i="42"/>
  <c r="AA231" i="42"/>
  <c r="AA232" i="42"/>
  <c r="AA233" i="42"/>
  <c r="AA234" i="42"/>
  <c r="AA235" i="42"/>
  <c r="AA236" i="42"/>
  <c r="AA237" i="42"/>
  <c r="AA238" i="42"/>
  <c r="AA23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B149" i="42"/>
  <c r="AA14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B99" i="42"/>
  <c r="AA99" i="42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" i="42"/>
  <c r="G1532" i="44"/>
  <c r="F1532" i="44"/>
  <c r="G1531" i="44"/>
  <c r="F1531" i="44"/>
  <c r="G1530" i="44"/>
  <c r="F1530" i="44"/>
  <c r="G1529" i="44"/>
  <c r="F1529" i="44"/>
  <c r="G1528" i="44"/>
  <c r="F1528" i="44"/>
  <c r="G1527" i="44"/>
  <c r="F1527" i="44"/>
  <c r="G1526" i="44"/>
  <c r="F1526" i="44"/>
  <c r="G1525" i="44"/>
  <c r="F1525" i="44"/>
  <c r="G1524" i="44"/>
  <c r="F1524" i="44"/>
  <c r="G1523" i="44"/>
  <c r="F1523" i="44"/>
  <c r="G1522" i="44"/>
  <c r="F1522" i="44"/>
  <c r="G1521" i="44"/>
  <c r="F1521" i="44"/>
  <c r="G1520" i="44"/>
  <c r="F1520" i="44"/>
  <c r="G1519" i="44"/>
  <c r="F1519" i="44"/>
  <c r="G1518" i="44"/>
  <c r="F1518" i="44"/>
  <c r="G1517" i="44"/>
  <c r="F1517" i="44"/>
  <c r="G1516" i="44"/>
  <c r="F1516" i="44"/>
  <c r="G1515" i="44"/>
  <c r="F1515" i="44"/>
  <c r="G1514" i="44"/>
  <c r="F1514" i="44"/>
  <c r="G1513" i="44"/>
  <c r="F1513" i="44"/>
  <c r="G1512" i="44"/>
  <c r="F1512" i="44"/>
  <c r="G1511" i="44"/>
  <c r="F1511" i="44"/>
  <c r="G1510" i="44"/>
  <c r="F1510" i="44"/>
  <c r="G1509" i="44"/>
  <c r="F1509" i="44"/>
  <c r="G1508" i="44"/>
  <c r="F1508" i="44"/>
  <c r="G1507" i="44"/>
  <c r="F1507" i="44"/>
  <c r="G1506" i="44"/>
  <c r="F1506" i="44"/>
  <c r="G1505" i="44"/>
  <c r="F1505" i="44"/>
  <c r="G1504" i="44"/>
  <c r="F1504" i="44"/>
  <c r="G1503" i="44"/>
  <c r="F1503" i="44"/>
  <c r="G1502" i="44"/>
  <c r="F1502" i="44"/>
  <c r="G1501" i="44"/>
  <c r="F1501" i="44"/>
  <c r="G1500" i="44"/>
  <c r="F1500" i="44"/>
  <c r="G1499" i="44"/>
  <c r="F1499" i="44"/>
  <c r="G1498" i="44"/>
  <c r="F1498" i="44"/>
  <c r="G1497" i="44"/>
  <c r="F1497" i="44"/>
  <c r="G1496" i="44"/>
  <c r="F1496" i="44"/>
  <c r="G1495" i="44"/>
  <c r="F1495" i="44"/>
  <c r="G1494" i="44"/>
  <c r="F1494" i="44"/>
  <c r="G1493" i="44"/>
  <c r="F1493" i="44"/>
  <c r="G1492" i="44"/>
  <c r="F1492" i="44"/>
  <c r="G1491" i="44"/>
  <c r="F1491" i="44"/>
  <c r="G1490" i="44"/>
  <c r="F1490" i="44"/>
  <c r="G1489" i="44"/>
  <c r="F1489" i="44"/>
  <c r="G1488" i="44"/>
  <c r="F1488" i="44"/>
  <c r="G1487" i="44"/>
  <c r="F1487" i="44"/>
  <c r="G1486" i="44"/>
  <c r="F1486" i="44"/>
  <c r="G1485" i="44"/>
  <c r="F1485" i="44"/>
  <c r="G1484" i="44"/>
  <c r="F1484" i="44"/>
  <c r="G1483" i="44"/>
  <c r="F1483" i="44"/>
  <c r="G1482" i="44"/>
  <c r="F1482" i="44"/>
  <c r="G1481" i="44"/>
  <c r="F1481" i="44"/>
  <c r="G1480" i="44"/>
  <c r="F1480" i="44"/>
  <c r="G1479" i="44"/>
  <c r="F1479" i="44"/>
  <c r="G1478" i="44"/>
  <c r="F1478" i="44"/>
  <c r="G1477" i="44"/>
  <c r="F1477" i="44"/>
  <c r="G1476" i="44"/>
  <c r="F1476" i="44"/>
  <c r="G1475" i="44"/>
  <c r="F1475" i="44"/>
  <c r="G1474" i="44"/>
  <c r="F1474" i="44"/>
  <c r="G1473" i="44"/>
  <c r="F1473" i="44"/>
  <c r="G1472" i="44"/>
  <c r="F1472" i="44"/>
  <c r="G1471" i="44"/>
  <c r="F1471" i="44"/>
  <c r="G1470" i="44"/>
  <c r="F1470" i="44"/>
  <c r="G1469" i="44"/>
  <c r="F1469" i="44"/>
  <c r="G1468" i="44"/>
  <c r="F1468" i="44"/>
  <c r="G1467" i="44"/>
  <c r="F1467" i="44"/>
  <c r="G1466" i="44"/>
  <c r="F1466" i="44"/>
  <c r="G1465" i="44"/>
  <c r="F1465" i="44"/>
  <c r="G1464" i="44"/>
  <c r="F1464" i="44"/>
  <c r="G1463" i="44"/>
  <c r="F1463" i="44"/>
  <c r="G1462" i="44"/>
  <c r="F1462" i="44"/>
  <c r="G1461" i="44"/>
  <c r="F1461" i="44"/>
  <c r="G1460" i="44"/>
  <c r="F1460" i="44"/>
  <c r="G1459" i="44"/>
  <c r="F1459" i="44"/>
  <c r="G1458" i="44"/>
  <c r="F1458" i="44"/>
  <c r="G1457" i="44"/>
  <c r="F1457" i="44"/>
  <c r="G1456" i="44"/>
  <c r="F1456" i="44"/>
  <c r="G1455" i="44"/>
  <c r="F1455" i="44"/>
  <c r="G1454" i="44"/>
  <c r="F1454" i="44"/>
  <c r="G1453" i="44"/>
  <c r="F1453" i="44"/>
  <c r="G1452" i="44"/>
  <c r="F1452" i="44"/>
  <c r="G1451" i="44"/>
  <c r="F1451" i="44"/>
  <c r="G1450" i="44"/>
  <c r="F1450" i="44"/>
  <c r="G1449" i="44"/>
  <c r="F1449" i="44"/>
  <c r="G1448" i="44"/>
  <c r="F1448" i="44"/>
  <c r="G1447" i="44"/>
  <c r="F1447" i="44"/>
  <c r="G1446" i="44"/>
  <c r="F1446" i="44"/>
  <c r="G1445" i="44"/>
  <c r="F1445" i="44"/>
  <c r="G1444" i="44"/>
  <c r="F1444" i="44"/>
  <c r="G1443" i="44"/>
  <c r="F1443" i="44"/>
  <c r="G1442" i="44"/>
  <c r="F1442" i="44"/>
  <c r="G1441" i="44"/>
  <c r="F1441" i="44"/>
  <c r="G1440" i="44"/>
  <c r="F1440" i="44"/>
  <c r="G1439" i="44"/>
  <c r="F1439" i="44"/>
  <c r="G1438" i="44"/>
  <c r="F1438" i="44"/>
  <c r="G1437" i="44"/>
  <c r="F1437" i="44"/>
  <c r="G1436" i="44"/>
  <c r="F1436" i="44"/>
  <c r="G1435" i="44"/>
  <c r="F1435" i="44"/>
  <c r="G1434" i="44"/>
  <c r="F1434" i="44"/>
  <c r="G1433" i="44"/>
  <c r="F1433" i="44"/>
  <c r="G1432" i="44"/>
  <c r="F1432" i="44"/>
  <c r="G1431" i="44"/>
  <c r="F1431" i="44"/>
  <c r="G1430" i="44"/>
  <c r="F1430" i="44"/>
  <c r="G1429" i="44"/>
  <c r="F1429" i="44"/>
  <c r="G1428" i="44"/>
  <c r="F1428" i="44"/>
  <c r="G1427" i="44"/>
  <c r="F1427" i="44"/>
  <c r="G1426" i="44"/>
  <c r="F1426" i="44"/>
  <c r="G1425" i="44"/>
  <c r="F1425" i="44"/>
  <c r="G1424" i="44"/>
  <c r="F1424" i="44"/>
  <c r="G1423" i="44"/>
  <c r="F1423" i="44"/>
  <c r="G1422" i="44"/>
  <c r="F1422" i="44"/>
  <c r="G1421" i="44"/>
  <c r="F1421" i="44"/>
  <c r="G1420" i="44"/>
  <c r="F1420" i="44"/>
  <c r="G1419" i="44"/>
  <c r="F1419" i="44"/>
  <c r="G1418" i="44"/>
  <c r="F1418" i="44"/>
  <c r="G1417" i="44"/>
  <c r="F1417" i="44"/>
  <c r="G1416" i="44"/>
  <c r="F1416" i="44"/>
  <c r="G1415" i="44"/>
  <c r="F1415" i="44"/>
  <c r="G1414" i="44"/>
  <c r="F1414" i="44"/>
  <c r="G1413" i="44"/>
  <c r="F1413" i="44"/>
  <c r="G1412" i="44"/>
  <c r="F1412" i="44"/>
  <c r="G1411" i="44"/>
  <c r="F1411" i="44"/>
  <c r="G1410" i="44"/>
  <c r="F1410" i="44"/>
  <c r="G1409" i="44"/>
  <c r="F1409" i="44"/>
  <c r="G1408" i="44"/>
  <c r="F1408" i="44"/>
  <c r="G1407" i="44"/>
  <c r="F1407" i="44"/>
  <c r="G1406" i="44"/>
  <c r="F1406" i="44"/>
  <c r="G1405" i="44"/>
  <c r="F1405" i="44"/>
  <c r="G1404" i="44"/>
  <c r="F1404" i="44"/>
  <c r="G1403" i="44"/>
  <c r="F1403" i="44"/>
  <c r="G1402" i="44"/>
  <c r="F1402" i="44"/>
  <c r="G1401" i="44"/>
  <c r="G1400" i="44"/>
  <c r="G1399" i="44"/>
  <c r="G1398" i="44"/>
  <c r="G1397" i="44"/>
  <c r="G1396" i="44"/>
  <c r="G1395" i="44"/>
  <c r="G1394" i="44"/>
  <c r="G1393" i="44"/>
  <c r="G1392" i="44"/>
  <c r="G1391" i="44"/>
  <c r="G1390" i="44"/>
  <c r="G1389" i="44"/>
  <c r="G1388" i="44"/>
  <c r="F1388" i="44"/>
  <c r="G1387" i="44"/>
  <c r="F1387" i="44"/>
  <c r="G1386" i="44"/>
  <c r="F1386" i="44"/>
  <c r="G1385" i="44"/>
  <c r="F1385" i="44"/>
  <c r="G1384" i="44"/>
  <c r="F1384" i="44"/>
  <c r="G1383" i="44"/>
  <c r="F1383" i="44"/>
  <c r="G1382" i="44"/>
  <c r="F1382" i="44"/>
  <c r="G1381" i="44"/>
  <c r="F1381" i="44"/>
  <c r="G1380" i="44"/>
  <c r="F1380" i="44"/>
  <c r="G1379" i="44"/>
  <c r="F1379" i="44"/>
  <c r="G1378" i="44"/>
  <c r="F1378" i="44"/>
  <c r="G1377" i="44"/>
  <c r="F1377" i="44"/>
  <c r="G1376" i="44"/>
  <c r="F1376" i="44"/>
  <c r="G1375" i="44"/>
  <c r="F1375" i="44"/>
  <c r="G1374" i="44"/>
  <c r="F1374" i="44"/>
  <c r="G1373" i="44"/>
  <c r="F1373" i="44"/>
  <c r="G1372" i="44"/>
  <c r="F1372" i="44"/>
  <c r="G1371" i="44"/>
  <c r="F1371" i="44"/>
  <c r="G1370" i="44"/>
  <c r="F1370" i="44"/>
  <c r="G1369" i="44"/>
  <c r="F1369" i="44"/>
  <c r="G1368" i="44"/>
  <c r="F1368" i="44"/>
  <c r="G1367" i="44"/>
  <c r="F1367" i="44"/>
  <c r="G1366" i="44"/>
  <c r="F1366" i="44"/>
  <c r="G1365" i="44"/>
  <c r="F1365" i="44"/>
  <c r="G1364" i="44"/>
  <c r="F1364" i="44"/>
  <c r="G1363" i="44"/>
  <c r="F1363" i="44"/>
  <c r="G1362" i="44"/>
  <c r="F1362" i="44"/>
  <c r="G1361" i="44"/>
  <c r="F1361" i="44"/>
  <c r="G1360" i="44"/>
  <c r="F1360" i="44"/>
  <c r="G1359" i="44"/>
  <c r="F1359" i="44"/>
  <c r="G1358" i="44"/>
  <c r="F1358" i="44"/>
  <c r="G1357" i="44"/>
  <c r="G1356" i="44"/>
  <c r="G1355" i="44"/>
  <c r="G1354" i="44"/>
  <c r="F1354" i="44"/>
  <c r="G1353" i="44"/>
  <c r="F1353" i="44"/>
  <c r="G1352" i="44"/>
  <c r="F1352" i="44"/>
  <c r="G1351" i="44"/>
  <c r="F1351" i="44"/>
  <c r="G1350" i="44"/>
  <c r="F1350" i="44"/>
  <c r="G1349" i="44"/>
  <c r="F1349" i="44"/>
  <c r="G1348" i="44"/>
  <c r="F1348" i="44"/>
  <c r="G1347" i="44"/>
  <c r="F1347" i="44"/>
  <c r="G1346" i="44"/>
  <c r="F1346" i="44"/>
  <c r="G1345" i="44"/>
  <c r="F1345" i="44"/>
  <c r="G1344" i="44"/>
  <c r="F1344" i="44"/>
  <c r="G1343" i="44"/>
  <c r="G1342" i="44"/>
  <c r="G1341" i="44"/>
  <c r="G1340" i="44"/>
  <c r="F1340" i="44"/>
  <c r="G1339" i="44"/>
  <c r="F1339" i="44"/>
  <c r="G1338" i="44"/>
  <c r="F1338" i="44"/>
  <c r="G1337" i="44"/>
  <c r="F1337" i="44"/>
  <c r="G1336" i="44"/>
  <c r="F1336" i="44"/>
  <c r="G1335" i="44"/>
  <c r="F1335" i="44"/>
  <c r="G1334" i="44"/>
  <c r="F1334" i="44"/>
  <c r="G1333" i="44"/>
  <c r="F1333" i="44"/>
  <c r="G1332" i="44"/>
  <c r="F1332" i="44"/>
  <c r="G1331" i="44"/>
  <c r="F1331" i="44"/>
  <c r="G1330" i="44"/>
  <c r="F1330" i="44"/>
  <c r="G1329" i="44"/>
  <c r="F1329" i="44"/>
  <c r="G1328" i="44"/>
  <c r="F1328" i="44"/>
  <c r="G1327" i="44"/>
  <c r="F1327" i="44"/>
  <c r="G1326" i="44"/>
  <c r="F1326" i="44"/>
  <c r="G1325" i="44"/>
  <c r="F1325" i="44"/>
  <c r="G1324" i="44"/>
  <c r="F1324" i="44"/>
  <c r="G1323" i="44"/>
  <c r="F1323" i="44"/>
  <c r="G1322" i="44"/>
  <c r="F1322" i="44"/>
  <c r="G1321" i="44"/>
  <c r="F1321" i="44"/>
  <c r="G1320" i="44"/>
  <c r="F1320" i="44"/>
  <c r="G1319" i="44"/>
  <c r="F1319" i="44"/>
  <c r="G1318" i="44"/>
  <c r="F1318" i="44"/>
  <c r="G1317" i="44"/>
  <c r="F1317" i="44"/>
  <c r="G1316" i="44"/>
  <c r="F1316" i="44"/>
  <c r="G1315" i="44"/>
  <c r="F1315" i="44"/>
  <c r="G1314" i="44"/>
  <c r="F1314" i="44"/>
  <c r="G1313" i="44"/>
  <c r="F1313" i="44"/>
  <c r="G1312" i="44"/>
  <c r="F1312" i="44"/>
  <c r="G1311" i="44"/>
  <c r="F1311" i="44"/>
  <c r="G1310" i="44"/>
  <c r="F1310" i="44"/>
  <c r="G1309" i="44"/>
  <c r="F1309" i="44"/>
  <c r="G1308" i="44"/>
  <c r="F1308" i="44"/>
  <c r="G1307" i="44"/>
  <c r="F1307" i="44"/>
  <c r="G1306" i="44"/>
  <c r="F1306" i="44"/>
  <c r="G1305" i="44"/>
  <c r="F1305" i="44"/>
  <c r="G1304" i="44"/>
  <c r="F1304" i="44"/>
  <c r="G1303" i="44"/>
  <c r="F1303" i="44"/>
  <c r="G1302" i="44"/>
  <c r="F1302" i="44"/>
  <c r="G1301" i="44"/>
  <c r="F1301" i="44"/>
  <c r="G1300" i="44"/>
  <c r="F1300" i="44"/>
  <c r="G1299" i="44"/>
  <c r="F1299" i="44"/>
  <c r="G1298" i="44"/>
  <c r="F1298" i="44"/>
  <c r="G1297" i="44"/>
  <c r="F1297" i="44"/>
  <c r="G1296" i="44"/>
  <c r="F1296" i="44"/>
  <c r="G1295" i="44"/>
  <c r="F1295" i="44"/>
  <c r="G1294" i="44"/>
  <c r="F1294" i="44"/>
  <c r="G1293" i="44"/>
  <c r="F1293" i="44"/>
  <c r="G1292" i="44"/>
  <c r="F1292" i="44"/>
  <c r="G1291" i="44"/>
  <c r="F1291" i="44"/>
  <c r="G1290" i="44"/>
  <c r="F1290" i="44"/>
  <c r="G1289" i="44"/>
  <c r="F1289" i="44"/>
  <c r="G1288" i="44"/>
  <c r="F1288" i="44"/>
  <c r="G1287" i="44"/>
  <c r="F1287" i="44"/>
  <c r="G1286" i="44"/>
  <c r="F1286" i="44"/>
  <c r="G1285" i="44"/>
  <c r="F1285" i="44"/>
  <c r="G1284" i="44"/>
  <c r="F1284" i="44"/>
  <c r="G1283" i="44"/>
  <c r="F1283" i="44"/>
  <c r="G1282" i="44"/>
  <c r="F1282" i="44"/>
  <c r="G1281" i="44"/>
  <c r="F1281" i="44"/>
  <c r="G1280" i="44"/>
  <c r="F1280" i="44"/>
  <c r="G1279" i="44"/>
  <c r="F1279" i="44"/>
  <c r="G1278" i="44"/>
  <c r="F1278" i="44"/>
  <c r="G1277" i="44"/>
  <c r="F1277" i="44"/>
  <c r="G1276" i="44"/>
  <c r="F1276" i="44"/>
  <c r="G1275" i="44"/>
  <c r="F1275" i="44"/>
  <c r="G1274" i="44"/>
  <c r="F1274" i="44"/>
  <c r="G1273" i="44"/>
  <c r="F1273" i="44"/>
  <c r="G1272" i="44"/>
  <c r="F1272" i="44"/>
  <c r="G1271" i="44"/>
  <c r="F1271" i="44"/>
  <c r="G1270" i="44"/>
  <c r="F1270" i="44"/>
  <c r="G1269" i="44"/>
  <c r="F1269" i="44"/>
  <c r="G1268" i="44"/>
  <c r="F1268" i="44"/>
  <c r="G1267" i="44"/>
  <c r="F1267" i="44"/>
  <c r="G1266" i="44"/>
  <c r="F1266" i="44"/>
  <c r="G1265" i="44"/>
  <c r="F1265" i="44"/>
  <c r="G1264" i="44"/>
  <c r="F1264" i="44"/>
  <c r="G1263" i="44"/>
  <c r="F1263" i="44"/>
  <c r="G1262" i="44"/>
  <c r="F1262" i="44"/>
  <c r="G1261" i="44"/>
  <c r="F1261" i="44"/>
  <c r="G1260" i="44"/>
  <c r="F1260" i="44"/>
  <c r="G1259" i="44"/>
  <c r="F1259" i="44"/>
  <c r="G1258" i="44"/>
  <c r="F1258" i="44"/>
  <c r="G1257" i="44"/>
  <c r="F1257" i="44"/>
  <c r="G1256" i="44"/>
  <c r="F1256" i="44"/>
  <c r="G1255" i="44"/>
  <c r="F1255" i="44"/>
  <c r="G1254" i="44"/>
  <c r="F1254" i="44"/>
  <c r="G1253" i="44"/>
  <c r="F1253" i="44"/>
  <c r="G1252" i="44"/>
  <c r="F1252" i="44"/>
  <c r="G1251" i="44"/>
  <c r="F1251" i="44"/>
  <c r="G1250" i="44"/>
  <c r="F1250" i="44"/>
  <c r="G1249" i="44"/>
  <c r="F1249" i="44"/>
  <c r="G1248" i="44"/>
  <c r="F1248" i="44"/>
  <c r="G1247" i="44"/>
  <c r="F1247" i="44"/>
  <c r="G1246" i="44"/>
  <c r="F1246" i="44"/>
  <c r="G1245" i="44"/>
  <c r="F1245" i="44"/>
  <c r="G1244" i="44"/>
  <c r="F1244" i="44"/>
  <c r="G1243" i="44"/>
  <c r="F1243" i="44"/>
  <c r="G1242" i="44"/>
  <c r="F1242" i="44"/>
  <c r="G1241" i="44"/>
  <c r="F1241" i="44"/>
  <c r="G1240" i="44"/>
  <c r="F1240" i="44"/>
  <c r="G1239" i="44"/>
  <c r="F1239" i="44"/>
  <c r="G1238" i="44"/>
  <c r="F1238" i="44"/>
  <c r="G1237" i="44"/>
  <c r="F1237" i="44"/>
  <c r="G1236" i="44"/>
  <c r="F1236" i="44"/>
  <c r="G1235" i="44"/>
  <c r="F1235" i="44"/>
  <c r="G1234" i="44"/>
  <c r="F1234" i="44"/>
  <c r="G1233" i="44"/>
  <c r="F1233" i="44"/>
  <c r="G1232" i="44"/>
  <c r="F1232" i="44"/>
  <c r="G1231" i="44"/>
  <c r="F1231" i="44"/>
  <c r="G1230" i="44"/>
  <c r="F1230" i="44"/>
  <c r="G1229" i="44"/>
  <c r="F1229" i="44"/>
  <c r="G1228" i="44"/>
  <c r="F1228" i="44"/>
  <c r="G1227" i="44"/>
  <c r="F1227" i="44"/>
  <c r="G1226" i="44"/>
  <c r="F1226" i="44"/>
  <c r="G1225" i="44"/>
  <c r="F1225" i="44"/>
  <c r="G1224" i="44"/>
  <c r="F1224" i="44"/>
  <c r="G1223" i="44"/>
  <c r="F1223" i="44"/>
  <c r="G1222" i="44"/>
  <c r="F1222" i="44"/>
  <c r="G1221" i="44"/>
  <c r="F1221" i="44"/>
  <c r="G1220" i="44"/>
  <c r="F1220" i="44"/>
  <c r="G1219" i="44"/>
  <c r="F1219" i="44"/>
  <c r="G1218" i="44"/>
  <c r="F1218" i="44"/>
  <c r="G1217" i="44"/>
  <c r="F1217" i="44"/>
  <c r="G1216" i="44"/>
  <c r="F1216" i="44"/>
  <c r="G1215" i="44"/>
  <c r="F1215" i="44"/>
  <c r="G1214" i="44"/>
  <c r="F1214" i="44"/>
  <c r="G1213" i="44"/>
  <c r="F1213" i="44"/>
  <c r="G1212" i="44"/>
  <c r="F1212" i="44"/>
  <c r="G1211" i="44"/>
  <c r="F1211" i="44"/>
  <c r="G1210" i="44"/>
  <c r="F1210" i="44"/>
  <c r="G1209" i="44"/>
  <c r="F1209" i="44"/>
  <c r="G1208" i="44"/>
  <c r="F1208" i="44"/>
  <c r="G1207" i="44"/>
  <c r="F1207" i="44"/>
  <c r="G1206" i="44"/>
  <c r="F1206" i="44"/>
  <c r="G1205" i="44"/>
  <c r="F1205" i="44"/>
  <c r="G1204" i="44"/>
  <c r="F1204" i="44"/>
  <c r="G1203" i="44"/>
  <c r="F1203" i="44"/>
  <c r="G1202" i="44"/>
  <c r="F1202" i="44"/>
  <c r="G1201" i="44"/>
  <c r="F1201" i="44"/>
  <c r="G1200" i="44"/>
  <c r="F1200" i="44"/>
  <c r="G1199" i="44"/>
  <c r="F1199" i="44"/>
  <c r="G1198" i="44"/>
  <c r="F1198" i="44"/>
  <c r="G1197" i="44"/>
  <c r="F1197" i="44"/>
  <c r="G1196" i="44"/>
  <c r="G1195" i="44"/>
  <c r="F1195" i="44"/>
  <c r="G1194" i="44"/>
  <c r="F1194" i="44"/>
  <c r="G1193" i="44"/>
  <c r="F1193" i="44"/>
  <c r="G1192" i="44"/>
  <c r="F1192" i="44"/>
  <c r="G1191" i="44"/>
  <c r="F1191" i="44"/>
  <c r="G1190" i="44"/>
  <c r="F1190" i="44"/>
  <c r="G1189" i="44"/>
  <c r="F1189" i="44"/>
  <c r="G1188" i="44"/>
  <c r="F1188" i="44"/>
  <c r="G1187" i="44"/>
  <c r="F1187" i="44"/>
  <c r="G1186" i="44"/>
  <c r="F1186" i="44"/>
  <c r="G1185" i="44"/>
  <c r="F1185" i="44"/>
  <c r="G1184" i="44"/>
  <c r="F1184" i="44"/>
  <c r="G1183" i="44"/>
  <c r="F1183" i="44"/>
  <c r="G1182" i="44"/>
  <c r="F1182" i="44"/>
  <c r="G1181" i="44"/>
  <c r="F1181" i="44"/>
  <c r="G1180" i="44"/>
  <c r="G1179" i="44"/>
  <c r="F1179" i="44"/>
  <c r="G1178" i="44"/>
  <c r="F1178" i="44"/>
  <c r="G1177" i="44"/>
  <c r="F1177" i="44"/>
  <c r="G1176" i="44"/>
  <c r="F1176" i="44"/>
  <c r="G1175" i="44"/>
  <c r="F1175" i="44"/>
  <c r="G1174" i="44"/>
  <c r="F1174" i="44"/>
  <c r="G1173" i="44"/>
  <c r="F1173" i="44"/>
  <c r="G1172" i="44"/>
  <c r="F1172" i="44"/>
  <c r="G1171" i="44"/>
  <c r="G1170" i="44"/>
  <c r="F1170" i="44"/>
  <c r="G1169" i="44"/>
  <c r="F1169" i="44"/>
  <c r="G1168" i="44"/>
  <c r="F1168" i="44"/>
  <c r="G1167" i="44"/>
  <c r="F1167" i="44"/>
  <c r="G1166" i="44"/>
  <c r="F1166" i="44"/>
  <c r="G1165" i="44"/>
  <c r="F1165" i="44"/>
  <c r="G1164" i="44"/>
  <c r="F1164" i="44"/>
  <c r="G1163" i="44"/>
  <c r="F1163" i="44"/>
  <c r="G1162" i="44"/>
  <c r="F1162" i="44"/>
  <c r="G1161" i="44"/>
  <c r="F1161" i="44"/>
  <c r="G1160" i="44"/>
  <c r="F1160" i="44"/>
  <c r="G1159" i="44"/>
  <c r="F1159" i="44"/>
  <c r="G1158" i="44"/>
  <c r="F1158" i="44"/>
  <c r="G1157" i="44"/>
  <c r="F1157" i="44"/>
  <c r="G1156" i="44"/>
  <c r="F1156" i="44"/>
  <c r="G1155" i="44"/>
  <c r="F1155" i="44"/>
  <c r="G1154" i="44"/>
  <c r="F1154" i="44"/>
  <c r="G1153" i="44"/>
  <c r="F1153" i="44"/>
  <c r="G1152" i="44"/>
  <c r="F1152" i="44"/>
  <c r="G1151" i="44"/>
  <c r="F1151" i="44"/>
  <c r="G1150" i="44"/>
  <c r="F1150" i="44"/>
  <c r="G1149" i="44"/>
  <c r="F1149" i="44"/>
  <c r="G1148" i="44"/>
  <c r="F1148" i="44"/>
  <c r="G1147" i="44"/>
  <c r="F1147" i="44"/>
  <c r="G1146" i="44"/>
  <c r="F1146" i="44"/>
  <c r="G1145" i="44"/>
  <c r="F1145" i="44"/>
  <c r="G1144" i="44"/>
  <c r="G1143" i="44"/>
  <c r="G1142" i="44"/>
  <c r="G1141" i="44"/>
  <c r="G1140" i="44"/>
  <c r="G1139" i="44"/>
  <c r="G1138" i="44"/>
  <c r="G1137" i="44"/>
  <c r="G1136" i="44"/>
  <c r="G1135" i="44"/>
  <c r="G1134" i="44"/>
  <c r="G1133" i="44"/>
  <c r="G1132" i="44"/>
  <c r="G1131" i="44"/>
  <c r="G1130" i="44"/>
  <c r="G1129" i="44"/>
  <c r="G1128" i="44"/>
  <c r="G1127" i="44"/>
  <c r="G1126" i="44"/>
  <c r="G1125" i="44"/>
  <c r="G1124" i="44"/>
  <c r="G1123" i="44"/>
  <c r="G1122" i="44"/>
  <c r="G1121" i="44"/>
  <c r="F1121" i="44"/>
  <c r="G1120" i="44"/>
  <c r="F1120" i="44"/>
  <c r="G1119" i="44"/>
  <c r="F1119" i="44"/>
  <c r="G1118" i="44"/>
  <c r="F1118" i="44"/>
  <c r="G1117" i="44"/>
  <c r="F1117" i="44"/>
  <c r="G1116" i="44"/>
  <c r="F1116" i="44"/>
  <c r="G1115" i="44"/>
  <c r="F1115" i="44"/>
  <c r="G1114" i="44"/>
  <c r="F1114" i="44"/>
  <c r="G1113" i="44"/>
  <c r="F1113" i="44"/>
  <c r="G1112" i="44"/>
  <c r="F1112" i="44"/>
  <c r="G1111" i="44"/>
  <c r="F1111" i="44"/>
  <c r="G1110" i="44"/>
  <c r="F1110" i="44"/>
  <c r="G1109" i="44"/>
  <c r="F1109" i="44"/>
  <c r="G1108" i="44"/>
  <c r="F1108" i="44"/>
  <c r="G1107" i="44"/>
  <c r="F1107" i="44"/>
  <c r="G1106" i="44"/>
  <c r="F1106" i="44"/>
  <c r="G1105" i="44"/>
  <c r="F1105" i="44"/>
  <c r="G1104" i="44"/>
  <c r="F1104" i="44"/>
  <c r="G1103" i="44"/>
  <c r="F1103" i="44"/>
  <c r="G1102" i="44"/>
  <c r="G1101" i="44"/>
  <c r="F1101" i="44"/>
  <c r="G1100" i="44"/>
  <c r="F1100" i="44"/>
  <c r="G1099" i="44"/>
  <c r="F1099" i="44"/>
  <c r="G1098" i="44"/>
  <c r="F1098" i="44"/>
  <c r="G1097" i="44"/>
  <c r="F1097" i="44"/>
  <c r="G1096" i="44"/>
  <c r="F1096" i="44"/>
  <c r="G1095" i="44"/>
  <c r="F1095" i="44"/>
  <c r="G1094" i="44"/>
  <c r="F1094" i="44"/>
  <c r="G1093" i="44"/>
  <c r="F1093" i="44"/>
  <c r="G1092" i="44"/>
  <c r="F1092" i="44"/>
  <c r="G1091" i="44"/>
  <c r="F1091" i="44"/>
  <c r="G1090" i="44"/>
  <c r="F1090" i="44"/>
  <c r="G1089" i="44"/>
  <c r="F1089" i="44"/>
  <c r="G1088" i="44"/>
  <c r="F1088" i="44"/>
  <c r="G1087" i="44"/>
  <c r="F1087" i="44"/>
  <c r="G1086" i="44"/>
  <c r="F1086" i="44"/>
  <c r="G1085" i="44"/>
  <c r="F1085" i="44"/>
  <c r="G1084" i="44"/>
  <c r="F1084" i="44"/>
  <c r="G1083" i="44"/>
  <c r="F1083" i="44"/>
  <c r="G1082" i="44"/>
  <c r="F1082" i="44"/>
  <c r="G1081" i="44"/>
  <c r="F1081" i="44"/>
  <c r="G1080" i="44"/>
  <c r="F1080" i="44"/>
  <c r="G1079" i="44"/>
  <c r="F1079" i="44"/>
  <c r="G1078" i="44"/>
  <c r="F1078" i="44"/>
  <c r="G1077" i="44"/>
  <c r="F1077" i="44"/>
  <c r="G1076" i="44"/>
  <c r="F1076" i="44"/>
  <c r="G1075" i="44"/>
  <c r="F1075" i="44"/>
  <c r="G1074" i="44"/>
  <c r="F1074" i="44"/>
  <c r="G1073" i="44"/>
  <c r="F1073" i="44"/>
  <c r="G1072" i="44"/>
  <c r="F1072" i="44"/>
  <c r="G1071" i="44"/>
  <c r="F1071" i="44"/>
  <c r="G1070" i="44"/>
  <c r="F1070" i="44"/>
  <c r="G1069" i="44"/>
  <c r="F1069" i="44"/>
  <c r="G1068" i="44"/>
  <c r="F1068" i="44"/>
  <c r="G1067" i="44"/>
  <c r="F1067" i="44"/>
  <c r="G1066" i="44"/>
  <c r="F1066" i="44"/>
  <c r="G1065" i="44"/>
  <c r="F1065" i="44"/>
  <c r="G1064" i="44"/>
  <c r="F1064" i="44"/>
  <c r="G1063" i="44"/>
  <c r="F1063" i="44"/>
  <c r="G1062" i="44"/>
  <c r="F1062" i="44"/>
  <c r="G1061" i="44"/>
  <c r="F1061" i="44"/>
  <c r="G1060" i="44"/>
  <c r="F1060" i="44"/>
  <c r="G1059" i="44"/>
  <c r="F1059" i="44"/>
  <c r="G1058" i="44"/>
  <c r="F1058" i="44"/>
  <c r="G1057" i="44"/>
  <c r="F1057" i="44"/>
  <c r="G1056" i="44"/>
  <c r="F1056" i="44"/>
  <c r="G1055" i="44"/>
  <c r="F1055" i="44"/>
  <c r="G1054" i="44"/>
  <c r="F1054" i="44"/>
  <c r="G1053" i="44"/>
  <c r="F1053" i="44"/>
  <c r="G1052" i="44"/>
  <c r="F1052" i="44"/>
  <c r="G1051" i="44"/>
  <c r="F1051" i="44"/>
  <c r="G1050" i="44"/>
  <c r="F1050" i="44"/>
  <c r="G1049" i="44"/>
  <c r="F1049" i="44"/>
  <c r="G1048" i="44"/>
  <c r="F1048" i="44"/>
  <c r="G1047" i="44"/>
  <c r="F1047" i="44"/>
  <c r="G1046" i="44"/>
  <c r="F1046" i="44"/>
  <c r="G1045" i="44"/>
  <c r="F1045" i="44"/>
  <c r="G1044" i="44"/>
  <c r="F1044" i="44"/>
  <c r="G1043" i="44"/>
  <c r="F1043" i="44"/>
  <c r="G1042" i="44"/>
  <c r="F1042" i="44"/>
  <c r="G1041" i="44"/>
  <c r="F1041" i="44"/>
  <c r="G1040" i="44"/>
  <c r="F1040" i="44"/>
  <c r="G1039" i="44"/>
  <c r="F1039" i="44"/>
  <c r="G1038" i="44"/>
  <c r="F1038" i="44"/>
  <c r="G1037" i="44"/>
  <c r="F1037" i="44"/>
  <c r="G1036" i="44"/>
  <c r="F1036" i="44"/>
  <c r="G1035" i="44"/>
  <c r="F1035" i="44"/>
  <c r="G1034" i="44"/>
  <c r="F1034" i="44"/>
  <c r="G1033" i="44"/>
  <c r="F1033" i="44"/>
  <c r="G1032" i="44"/>
  <c r="F1032" i="44"/>
  <c r="G1031" i="44"/>
  <c r="F1031" i="44"/>
  <c r="G1030" i="44"/>
  <c r="F1030" i="44"/>
  <c r="G1029" i="44"/>
  <c r="F1029" i="44"/>
  <c r="G1028" i="44"/>
  <c r="F1028" i="44"/>
  <c r="G1027" i="44"/>
  <c r="F1027" i="44"/>
  <c r="G1026" i="44"/>
  <c r="F1026" i="44"/>
  <c r="G1025" i="44"/>
  <c r="F1025" i="44"/>
  <c r="G1024" i="44"/>
  <c r="F1024" i="44"/>
  <c r="G1023" i="44"/>
  <c r="F1023" i="44"/>
  <c r="G1022" i="44"/>
  <c r="F1022" i="44"/>
  <c r="G1021" i="44"/>
  <c r="F1021" i="44"/>
  <c r="G1020" i="44"/>
  <c r="F1020" i="44"/>
  <c r="G1019" i="44"/>
  <c r="F1019" i="44"/>
  <c r="G1018" i="44"/>
  <c r="F1018" i="44"/>
  <c r="G1017" i="44"/>
  <c r="F1017" i="44"/>
  <c r="G1016" i="44"/>
  <c r="F1016" i="44"/>
  <c r="G1015" i="44"/>
  <c r="F1015" i="44"/>
  <c r="G1014" i="44"/>
  <c r="F1014" i="44"/>
  <c r="G1013" i="44"/>
  <c r="F1013" i="44"/>
  <c r="G1012" i="44"/>
  <c r="F1012" i="44"/>
  <c r="G1011" i="44"/>
  <c r="F1011" i="44"/>
  <c r="G1010" i="44"/>
  <c r="F1010" i="44"/>
  <c r="G1009" i="44"/>
  <c r="F1009" i="44"/>
  <c r="G1008" i="44"/>
  <c r="F1008" i="44"/>
  <c r="G1007" i="44"/>
  <c r="F1007" i="44"/>
  <c r="G1006" i="44"/>
  <c r="F1006" i="44"/>
  <c r="G1005" i="44"/>
  <c r="F1005" i="44"/>
  <c r="G1004" i="44"/>
  <c r="G1003" i="44"/>
  <c r="F1003" i="44"/>
  <c r="G1002" i="44"/>
  <c r="F1002" i="44"/>
  <c r="G1001" i="44"/>
  <c r="F1001" i="44"/>
  <c r="G1000" i="44"/>
  <c r="F1000" i="44"/>
  <c r="G999" i="44"/>
  <c r="F999" i="44"/>
  <c r="G998" i="44"/>
  <c r="F998" i="44"/>
  <c r="G997" i="44"/>
  <c r="F997" i="44"/>
  <c r="G996" i="44"/>
  <c r="F996" i="44"/>
  <c r="G995" i="44"/>
  <c r="F995" i="44"/>
  <c r="G994" i="44"/>
  <c r="F994" i="44"/>
  <c r="G993" i="44"/>
  <c r="F993" i="44"/>
  <c r="G992" i="44"/>
  <c r="F992" i="44"/>
  <c r="G991" i="44"/>
  <c r="F991" i="44"/>
  <c r="G990" i="44"/>
  <c r="F990" i="44"/>
  <c r="G989" i="44"/>
  <c r="F989" i="44"/>
  <c r="G988" i="44"/>
  <c r="F988" i="44"/>
  <c r="G987" i="44"/>
  <c r="G986" i="44"/>
  <c r="G985" i="44"/>
  <c r="G984" i="44"/>
  <c r="G983" i="44"/>
  <c r="G982" i="44"/>
  <c r="G981" i="44"/>
  <c r="G980" i="44"/>
  <c r="G979" i="44"/>
  <c r="G978" i="44"/>
  <c r="G977" i="44"/>
  <c r="G976" i="44"/>
  <c r="G975" i="44"/>
  <c r="G974" i="44"/>
  <c r="G973" i="44"/>
  <c r="G972" i="44"/>
  <c r="G971" i="44"/>
  <c r="G970" i="44"/>
  <c r="G969" i="44"/>
  <c r="G968" i="44"/>
  <c r="G967" i="44"/>
  <c r="G966" i="44"/>
  <c r="F966" i="44"/>
  <c r="G965" i="44"/>
  <c r="F965" i="44"/>
  <c r="G964" i="44"/>
  <c r="F964" i="44"/>
  <c r="G963" i="44"/>
  <c r="F963" i="44"/>
  <c r="G962" i="44"/>
  <c r="F962" i="44"/>
  <c r="G961" i="44"/>
  <c r="F961" i="44"/>
  <c r="G960" i="44"/>
  <c r="F960" i="44"/>
  <c r="G959" i="44"/>
  <c r="F959" i="44"/>
  <c r="G958" i="44"/>
  <c r="F958" i="44"/>
  <c r="G957" i="44"/>
  <c r="F957" i="44"/>
  <c r="G956" i="44"/>
  <c r="F956" i="44"/>
  <c r="G955" i="44"/>
  <c r="F955" i="44"/>
  <c r="G954" i="44"/>
  <c r="F954" i="44"/>
  <c r="G953" i="44"/>
  <c r="F953" i="44"/>
  <c r="G952" i="44"/>
  <c r="F952" i="44"/>
  <c r="G951" i="44"/>
  <c r="F951" i="44"/>
  <c r="G950" i="44"/>
  <c r="F950" i="44"/>
  <c r="G949" i="44"/>
  <c r="F949" i="44"/>
  <c r="G948" i="44"/>
  <c r="F948" i="44"/>
  <c r="G947" i="44"/>
  <c r="F947" i="44"/>
  <c r="G946" i="44"/>
  <c r="F946" i="44"/>
  <c r="G945" i="44"/>
  <c r="F945" i="44"/>
  <c r="G944" i="44"/>
  <c r="F944" i="44"/>
  <c r="G943" i="44"/>
  <c r="F943" i="44"/>
  <c r="G942" i="44"/>
  <c r="F942" i="44"/>
  <c r="G941" i="44"/>
  <c r="F941" i="44"/>
  <c r="G940" i="44"/>
  <c r="F940" i="44"/>
  <c r="G939" i="44"/>
  <c r="F939" i="44"/>
  <c r="G938" i="44"/>
  <c r="F938" i="44"/>
  <c r="G937" i="44"/>
  <c r="F937" i="44"/>
  <c r="G936" i="44"/>
  <c r="F936" i="44"/>
  <c r="G935" i="44"/>
  <c r="F935" i="44"/>
  <c r="G934" i="44"/>
  <c r="F934" i="44"/>
  <c r="G933" i="44"/>
  <c r="F933" i="44"/>
  <c r="G932" i="44"/>
  <c r="F932" i="44"/>
  <c r="G931" i="44"/>
  <c r="F931" i="44"/>
  <c r="G930" i="44"/>
  <c r="F930" i="44"/>
  <c r="G929" i="44"/>
  <c r="F929" i="44"/>
  <c r="G928" i="44"/>
  <c r="F928" i="44"/>
  <c r="G927" i="44"/>
  <c r="F927" i="44"/>
  <c r="G926" i="44"/>
  <c r="F926" i="44"/>
  <c r="G925" i="44"/>
  <c r="F925" i="44"/>
  <c r="G924" i="44"/>
  <c r="F924" i="44"/>
  <c r="G923" i="44"/>
  <c r="F923" i="44"/>
  <c r="G922" i="44"/>
  <c r="F922" i="44"/>
  <c r="G921" i="44"/>
  <c r="F921" i="44"/>
  <c r="G920" i="44"/>
  <c r="F920" i="44"/>
  <c r="G919" i="44"/>
  <c r="F919" i="44"/>
  <c r="G918" i="44"/>
  <c r="F918" i="44"/>
  <c r="G917" i="44"/>
  <c r="F917" i="44"/>
  <c r="G916" i="44"/>
  <c r="F916" i="44"/>
  <c r="G915" i="44"/>
  <c r="F915" i="44"/>
  <c r="G914" i="44"/>
  <c r="F914" i="44"/>
  <c r="G913" i="44"/>
  <c r="F913" i="44"/>
  <c r="G912" i="44"/>
  <c r="F912" i="44"/>
  <c r="G911" i="44"/>
  <c r="F911" i="44"/>
  <c r="G910" i="44"/>
  <c r="F910" i="44"/>
  <c r="G909" i="44"/>
  <c r="F909" i="44"/>
  <c r="G908" i="44"/>
  <c r="F908" i="44"/>
  <c r="G907" i="44"/>
  <c r="F907" i="44"/>
  <c r="G906" i="44"/>
  <c r="F906" i="44"/>
  <c r="G905" i="44"/>
  <c r="F905" i="44"/>
  <c r="G904" i="44"/>
  <c r="F904" i="44"/>
  <c r="G903" i="44"/>
  <c r="F903" i="44"/>
  <c r="G902" i="44"/>
  <c r="F902" i="44"/>
  <c r="G901" i="44"/>
  <c r="F901" i="44"/>
  <c r="G900" i="44"/>
  <c r="F900" i="44"/>
  <c r="G899" i="44"/>
  <c r="F899" i="44"/>
  <c r="G898" i="44"/>
  <c r="F898" i="44"/>
  <c r="G897" i="44"/>
  <c r="F897" i="44"/>
  <c r="G896" i="44"/>
  <c r="F896" i="44"/>
  <c r="G895" i="44"/>
  <c r="F895" i="44"/>
  <c r="G894" i="44"/>
  <c r="F894" i="44"/>
  <c r="G893" i="44"/>
  <c r="F893" i="44"/>
  <c r="G892" i="44"/>
  <c r="F892" i="44"/>
  <c r="G891" i="44"/>
  <c r="F891" i="44"/>
  <c r="G890" i="44"/>
  <c r="F890" i="44"/>
  <c r="G889" i="44"/>
  <c r="F889" i="44"/>
  <c r="G888" i="44"/>
  <c r="F888" i="44"/>
  <c r="G887" i="44"/>
  <c r="F887" i="44"/>
  <c r="G886" i="44"/>
  <c r="F886" i="44"/>
  <c r="G885" i="44"/>
  <c r="F885" i="44"/>
  <c r="G884" i="44"/>
  <c r="F884" i="44"/>
  <c r="G883" i="44"/>
  <c r="F883" i="44"/>
  <c r="G882" i="44"/>
  <c r="F882" i="44"/>
  <c r="G881" i="44"/>
  <c r="F881" i="44"/>
  <c r="G880" i="44"/>
  <c r="F880" i="44"/>
  <c r="G879" i="44"/>
  <c r="F879" i="44"/>
  <c r="G878" i="44"/>
  <c r="F878" i="44"/>
  <c r="G877" i="44"/>
  <c r="F877" i="44"/>
  <c r="G876" i="44"/>
  <c r="F876" i="44"/>
  <c r="G875" i="44"/>
  <c r="F875" i="44"/>
  <c r="G874" i="44"/>
  <c r="F874" i="44"/>
  <c r="G873" i="44"/>
  <c r="F873" i="44"/>
  <c r="G872" i="44"/>
  <c r="F872" i="44"/>
  <c r="G871" i="44"/>
  <c r="F871" i="44"/>
  <c r="G870" i="44"/>
  <c r="F870" i="44"/>
  <c r="G869" i="44"/>
  <c r="F869" i="44"/>
  <c r="G868" i="44"/>
  <c r="F868" i="44"/>
  <c r="G867" i="44"/>
  <c r="F867" i="44"/>
  <c r="G866" i="44"/>
  <c r="F866" i="44"/>
  <c r="G865" i="44"/>
  <c r="F865" i="44"/>
  <c r="G864" i="44"/>
  <c r="F864" i="44"/>
  <c r="G863" i="44"/>
  <c r="F863" i="44"/>
  <c r="G862" i="44"/>
  <c r="F862" i="44"/>
  <c r="G861" i="44"/>
  <c r="F861" i="44"/>
  <c r="G860" i="44"/>
  <c r="F860" i="44"/>
  <c r="G859" i="44"/>
  <c r="F859" i="44"/>
  <c r="G858" i="44"/>
  <c r="F858" i="44"/>
  <c r="G857" i="44"/>
  <c r="F857" i="44"/>
  <c r="G856" i="44"/>
  <c r="F856" i="44"/>
  <c r="G855" i="44"/>
  <c r="F855" i="44"/>
  <c r="G854" i="44"/>
  <c r="F854" i="44"/>
  <c r="G853" i="44"/>
  <c r="F853" i="44"/>
  <c r="G852" i="44"/>
  <c r="F852" i="44"/>
  <c r="G851" i="44"/>
  <c r="F851" i="44"/>
  <c r="G850" i="44"/>
  <c r="F850" i="44"/>
  <c r="G849" i="44"/>
  <c r="F849" i="44"/>
  <c r="G848" i="44"/>
  <c r="F848" i="44"/>
  <c r="G847" i="44"/>
  <c r="F847" i="44"/>
  <c r="G846" i="44"/>
  <c r="F846" i="44"/>
  <c r="G845" i="44"/>
  <c r="F845" i="44"/>
  <c r="G844" i="44"/>
  <c r="F844" i="44"/>
  <c r="G843" i="44"/>
  <c r="F843" i="44"/>
  <c r="G842" i="44"/>
  <c r="F842" i="44"/>
  <c r="G841" i="44"/>
  <c r="F841" i="44"/>
  <c r="G840" i="44"/>
  <c r="F840" i="44"/>
  <c r="G839" i="44"/>
  <c r="F839" i="44"/>
  <c r="G838" i="44"/>
  <c r="F838" i="44"/>
  <c r="G837" i="44"/>
  <c r="F837" i="44"/>
  <c r="G836" i="44"/>
  <c r="F836" i="44"/>
  <c r="G835" i="44"/>
  <c r="F835" i="44"/>
  <c r="G834" i="44"/>
  <c r="F834" i="44"/>
  <c r="G833" i="44"/>
  <c r="F833" i="44"/>
  <c r="G832" i="44"/>
  <c r="F832" i="44"/>
  <c r="G831" i="44"/>
  <c r="F831" i="44"/>
  <c r="G830" i="44"/>
  <c r="F830" i="44"/>
  <c r="G829" i="44"/>
  <c r="F829" i="44"/>
  <c r="G828" i="44"/>
  <c r="F828" i="44"/>
  <c r="G827" i="44"/>
  <c r="F827" i="44"/>
  <c r="G826" i="44"/>
  <c r="F826" i="44"/>
  <c r="G825" i="44"/>
  <c r="F825" i="44"/>
  <c r="G824" i="44"/>
  <c r="F824" i="44"/>
  <c r="G823" i="44"/>
  <c r="F823" i="44"/>
  <c r="G822" i="44"/>
  <c r="F822" i="44"/>
  <c r="G821" i="44"/>
  <c r="F821" i="44"/>
  <c r="G820" i="44"/>
  <c r="F820" i="44"/>
  <c r="G819" i="44"/>
  <c r="F819" i="44"/>
  <c r="G818" i="44"/>
  <c r="F818" i="44"/>
  <c r="G817" i="44"/>
  <c r="F817" i="44"/>
  <c r="G816" i="44"/>
  <c r="F816" i="44"/>
  <c r="G815" i="44"/>
  <c r="F815" i="44"/>
  <c r="G814" i="44"/>
  <c r="F814" i="44"/>
  <c r="G813" i="44"/>
  <c r="F813" i="44"/>
  <c r="G812" i="44"/>
  <c r="F812" i="44"/>
  <c r="G811" i="44"/>
  <c r="F811" i="44"/>
  <c r="G810" i="44"/>
  <c r="F810" i="44"/>
  <c r="G809" i="44"/>
  <c r="F809" i="44"/>
  <c r="G808" i="44"/>
  <c r="F808" i="44"/>
  <c r="G807" i="44"/>
  <c r="F807" i="44"/>
  <c r="G806" i="44"/>
  <c r="F806" i="44"/>
  <c r="G805" i="44"/>
  <c r="F805" i="44"/>
  <c r="G804" i="44"/>
  <c r="F804" i="44"/>
  <c r="G803" i="44"/>
  <c r="F803" i="44"/>
  <c r="G802" i="44"/>
  <c r="F802" i="44"/>
  <c r="G801" i="44"/>
  <c r="F801" i="44"/>
  <c r="G800" i="44"/>
  <c r="F800" i="44"/>
  <c r="G799" i="44"/>
  <c r="F799" i="44"/>
  <c r="G798" i="44"/>
  <c r="F798" i="44"/>
  <c r="G797" i="44"/>
  <c r="F797" i="44"/>
  <c r="G796" i="44"/>
  <c r="F796" i="44"/>
  <c r="G795" i="44"/>
  <c r="F795" i="44"/>
  <c r="G794" i="44"/>
  <c r="F794" i="44"/>
  <c r="G793" i="44"/>
  <c r="F793" i="44"/>
  <c r="G792" i="44"/>
  <c r="F792" i="44"/>
  <c r="G791" i="44"/>
  <c r="F791" i="44"/>
  <c r="G790" i="44"/>
  <c r="F790" i="44"/>
  <c r="G789" i="44"/>
  <c r="F789" i="44"/>
  <c r="G788" i="44"/>
  <c r="F788" i="44"/>
  <c r="G787" i="44"/>
  <c r="F787" i="44"/>
  <c r="G786" i="44"/>
  <c r="F786" i="44"/>
  <c r="G785" i="44"/>
  <c r="F785" i="44"/>
  <c r="G784" i="44"/>
  <c r="F784" i="44"/>
  <c r="G783" i="44"/>
  <c r="F783" i="44"/>
  <c r="G782" i="44"/>
  <c r="F782" i="44"/>
  <c r="G781" i="44"/>
  <c r="F781" i="44"/>
  <c r="G780" i="44"/>
  <c r="F780" i="44"/>
  <c r="G779" i="44"/>
  <c r="F779" i="44"/>
  <c r="G778" i="44"/>
  <c r="F778" i="44"/>
  <c r="G777" i="44"/>
  <c r="F777" i="44"/>
  <c r="G776" i="44"/>
  <c r="F776" i="44"/>
  <c r="G775" i="44"/>
  <c r="F775" i="44"/>
  <c r="G774" i="44"/>
  <c r="F774" i="44"/>
  <c r="G773" i="44"/>
  <c r="F773" i="44"/>
  <c r="G772" i="44"/>
  <c r="F772" i="44"/>
  <c r="G771" i="44"/>
  <c r="G770" i="44"/>
  <c r="F770" i="44"/>
  <c r="G769" i="44"/>
  <c r="F769" i="44"/>
  <c r="G768" i="44"/>
  <c r="F768" i="44"/>
  <c r="G767" i="44"/>
  <c r="F767" i="44"/>
  <c r="G766" i="44"/>
  <c r="F766" i="44"/>
  <c r="G765" i="44"/>
  <c r="F765" i="44"/>
  <c r="G764" i="44"/>
  <c r="F764" i="44"/>
  <c r="G763" i="44"/>
  <c r="F763" i="44"/>
  <c r="G762" i="44"/>
  <c r="F762" i="44"/>
  <c r="G761" i="44"/>
  <c r="F761" i="44"/>
  <c r="G760" i="44"/>
  <c r="F760" i="44"/>
  <c r="G759" i="44"/>
  <c r="F759" i="44"/>
  <c r="G758" i="44"/>
  <c r="F758" i="44"/>
  <c r="G757" i="44"/>
  <c r="F757" i="44"/>
  <c r="G756" i="44"/>
  <c r="F756" i="44"/>
  <c r="G755" i="44"/>
  <c r="F755" i="44"/>
  <c r="G754" i="44"/>
  <c r="F754" i="44"/>
  <c r="G753" i="44"/>
  <c r="F753" i="44"/>
  <c r="G752" i="44"/>
  <c r="F752" i="44"/>
  <c r="G751" i="44"/>
  <c r="F751" i="44"/>
  <c r="G750" i="44"/>
  <c r="F750" i="44"/>
  <c r="G749" i="44"/>
  <c r="F749" i="44"/>
  <c r="G748" i="44"/>
  <c r="F748" i="44"/>
  <c r="G747" i="44"/>
  <c r="F747" i="44"/>
  <c r="G746" i="44"/>
  <c r="F746" i="44"/>
  <c r="G745" i="44"/>
  <c r="F745" i="44"/>
  <c r="G744" i="44"/>
  <c r="F744" i="44"/>
  <c r="G743" i="44"/>
  <c r="F743" i="44"/>
  <c r="G742" i="44"/>
  <c r="F742" i="44"/>
  <c r="G741" i="44"/>
  <c r="F741" i="44"/>
  <c r="G740" i="44"/>
  <c r="F740" i="44"/>
  <c r="G739" i="44"/>
  <c r="F739" i="44"/>
  <c r="G738" i="44"/>
  <c r="F738" i="44"/>
  <c r="G737" i="44"/>
  <c r="F737" i="44"/>
  <c r="G736" i="44"/>
  <c r="F736" i="44"/>
  <c r="G735" i="44"/>
  <c r="F735" i="44"/>
  <c r="G734" i="44"/>
  <c r="F734" i="44"/>
  <c r="G733" i="44"/>
  <c r="F733" i="44"/>
  <c r="G732" i="44"/>
  <c r="F732" i="44"/>
  <c r="G731" i="44"/>
  <c r="F731" i="44"/>
  <c r="G730" i="44"/>
  <c r="F730" i="44"/>
  <c r="G729" i="44"/>
  <c r="F729" i="44"/>
  <c r="G728" i="44"/>
  <c r="F728" i="44"/>
  <c r="G727" i="44"/>
  <c r="F727" i="44"/>
  <c r="G726" i="44"/>
  <c r="F726" i="44"/>
  <c r="G725" i="44"/>
  <c r="F725" i="44"/>
  <c r="G724" i="44"/>
  <c r="F724" i="44"/>
  <c r="G723" i="44"/>
  <c r="F723" i="44"/>
  <c r="G722" i="44"/>
  <c r="F722" i="44"/>
  <c r="G721" i="44"/>
  <c r="F721" i="44"/>
  <c r="G720" i="44"/>
  <c r="F720" i="44"/>
  <c r="G719" i="44"/>
  <c r="F719" i="44"/>
  <c r="G718" i="44"/>
  <c r="F718" i="44"/>
  <c r="G717" i="44"/>
  <c r="F717" i="44"/>
  <c r="G716" i="44"/>
  <c r="F716" i="44"/>
  <c r="G715" i="44"/>
  <c r="F715" i="44"/>
  <c r="G714" i="44"/>
  <c r="F714" i="44"/>
  <c r="G713" i="44"/>
  <c r="F713" i="44"/>
  <c r="G712" i="44"/>
  <c r="F712" i="44"/>
  <c r="G711" i="44"/>
  <c r="F711" i="44"/>
  <c r="G710" i="44"/>
  <c r="F710" i="44"/>
  <c r="G709" i="44"/>
  <c r="F709" i="44"/>
  <c r="G708" i="44"/>
  <c r="F708" i="44"/>
  <c r="G707" i="44"/>
  <c r="F707" i="44"/>
  <c r="G706" i="44"/>
  <c r="F706" i="44"/>
  <c r="G705" i="44"/>
  <c r="F705" i="44"/>
  <c r="G704" i="44"/>
  <c r="F704" i="44"/>
  <c r="G703" i="44"/>
  <c r="F703" i="44"/>
  <c r="G702" i="44"/>
  <c r="F702" i="44"/>
  <c r="G701" i="44"/>
  <c r="F701" i="44"/>
  <c r="G700" i="44"/>
  <c r="F700" i="44"/>
  <c r="G699" i="44"/>
  <c r="F699" i="44"/>
  <c r="G698" i="44"/>
  <c r="F698" i="44"/>
  <c r="G697" i="44"/>
  <c r="F697" i="44"/>
  <c r="G696" i="44"/>
  <c r="G695" i="44"/>
  <c r="G694" i="44"/>
  <c r="F694" i="44"/>
  <c r="G693" i="44"/>
  <c r="F693" i="44"/>
  <c r="G692" i="44"/>
  <c r="F692" i="44"/>
  <c r="G691" i="44"/>
  <c r="G690" i="44"/>
  <c r="G689" i="44"/>
  <c r="F689" i="44"/>
  <c r="G688" i="44"/>
  <c r="F688" i="44"/>
  <c r="G687" i="44"/>
  <c r="F687" i="44"/>
  <c r="G686" i="44"/>
  <c r="F686" i="44"/>
  <c r="G685" i="44"/>
  <c r="F685" i="44"/>
  <c r="G684" i="44"/>
  <c r="G683" i="44"/>
  <c r="F683" i="44"/>
  <c r="G682" i="44"/>
  <c r="F682" i="44"/>
  <c r="G681" i="44"/>
  <c r="G680" i="44"/>
  <c r="G679" i="44"/>
  <c r="F679" i="44"/>
  <c r="G678" i="44"/>
  <c r="F678" i="44"/>
  <c r="G677" i="44"/>
  <c r="F677" i="44"/>
  <c r="G676" i="44"/>
  <c r="F676" i="44"/>
  <c r="G675" i="44"/>
  <c r="F675" i="44"/>
  <c r="G674" i="44"/>
  <c r="F674" i="44"/>
  <c r="G673" i="44"/>
  <c r="F673" i="44"/>
  <c r="G672" i="44"/>
  <c r="F672" i="44"/>
  <c r="G671" i="44"/>
  <c r="F671" i="44"/>
  <c r="G670" i="44"/>
  <c r="F670" i="44"/>
  <c r="G669" i="44"/>
  <c r="F669" i="44"/>
  <c r="G668" i="44"/>
  <c r="F668" i="44"/>
  <c r="G667" i="44"/>
  <c r="F667" i="44"/>
  <c r="G666" i="44"/>
  <c r="F666" i="44"/>
  <c r="G665" i="44"/>
  <c r="F665" i="44"/>
  <c r="G664" i="44"/>
  <c r="F664" i="44"/>
  <c r="G663" i="44"/>
  <c r="F663" i="44"/>
  <c r="G662" i="44"/>
  <c r="F662" i="44"/>
  <c r="G661" i="44"/>
  <c r="F661" i="44"/>
  <c r="G660" i="44"/>
  <c r="F660" i="44"/>
  <c r="G659" i="44"/>
  <c r="F659" i="44"/>
  <c r="G658" i="44"/>
  <c r="F658" i="44"/>
  <c r="G657" i="44"/>
  <c r="F657" i="44"/>
  <c r="G656" i="44"/>
  <c r="F656" i="44"/>
  <c r="G655" i="44"/>
  <c r="F655" i="44"/>
  <c r="G654" i="44"/>
  <c r="F654" i="44"/>
  <c r="G653" i="44"/>
  <c r="F653" i="44"/>
  <c r="G652" i="44"/>
  <c r="F652" i="44"/>
  <c r="G651" i="44"/>
  <c r="F651" i="44"/>
  <c r="G650" i="44"/>
  <c r="F650" i="44"/>
  <c r="G649" i="44"/>
  <c r="F649" i="44"/>
  <c r="G648" i="44"/>
  <c r="F648" i="44"/>
  <c r="G647" i="44"/>
  <c r="F647" i="44"/>
  <c r="G646" i="44"/>
  <c r="F646" i="44"/>
  <c r="G645" i="44"/>
  <c r="F645" i="44"/>
  <c r="G644" i="44"/>
  <c r="F644" i="44"/>
  <c r="G643" i="44"/>
  <c r="F643" i="44"/>
  <c r="G642" i="44"/>
  <c r="F642" i="44"/>
  <c r="G641" i="44"/>
  <c r="F641" i="44"/>
  <c r="G640" i="44"/>
  <c r="F640" i="44"/>
  <c r="G639" i="44"/>
  <c r="F639" i="44"/>
  <c r="G638" i="44"/>
  <c r="F638" i="44"/>
  <c r="G637" i="44"/>
  <c r="F637" i="44"/>
  <c r="G636" i="44"/>
  <c r="F636" i="44"/>
  <c r="G635" i="44"/>
  <c r="F635" i="44"/>
  <c r="G634" i="44"/>
  <c r="F634" i="44"/>
  <c r="G633" i="44"/>
  <c r="F633" i="44"/>
  <c r="G632" i="44"/>
  <c r="F632" i="44"/>
  <c r="G631" i="44"/>
  <c r="F631" i="44"/>
  <c r="G630" i="44"/>
  <c r="F630" i="44"/>
  <c r="G629" i="44"/>
  <c r="F629" i="44"/>
  <c r="G628" i="44"/>
  <c r="F628" i="44"/>
  <c r="G627" i="44"/>
  <c r="F627" i="44"/>
  <c r="G626" i="44"/>
  <c r="F626" i="44"/>
  <c r="G625" i="44"/>
  <c r="F625" i="44"/>
  <c r="G624" i="44"/>
  <c r="F624" i="44"/>
  <c r="G623" i="44"/>
  <c r="F623" i="44"/>
  <c r="G622" i="44"/>
  <c r="F622" i="44"/>
  <c r="G621" i="44"/>
  <c r="F621" i="44"/>
  <c r="G620" i="44"/>
  <c r="F620" i="44"/>
  <c r="G619" i="44"/>
  <c r="F619" i="44"/>
  <c r="G618" i="44"/>
  <c r="F618" i="44"/>
  <c r="G617" i="44"/>
  <c r="F617" i="44"/>
  <c r="G616" i="44"/>
  <c r="F616" i="44"/>
  <c r="G615" i="44"/>
  <c r="F615" i="44"/>
  <c r="G614" i="44"/>
  <c r="F614" i="44"/>
  <c r="G613" i="44"/>
  <c r="F613" i="44"/>
  <c r="G612" i="44"/>
  <c r="F612" i="44"/>
  <c r="G611" i="44"/>
  <c r="F611" i="44"/>
  <c r="G610" i="44"/>
  <c r="F610" i="44"/>
  <c r="G609" i="44"/>
  <c r="F609" i="44"/>
  <c r="G608" i="44"/>
  <c r="F608" i="44"/>
  <c r="G607" i="44"/>
  <c r="F607" i="44"/>
  <c r="G606" i="44"/>
  <c r="F606" i="44"/>
  <c r="G605" i="44"/>
  <c r="F605" i="44"/>
  <c r="G604" i="44"/>
  <c r="F604" i="44"/>
  <c r="G603" i="44"/>
  <c r="F603" i="44"/>
  <c r="G602" i="44"/>
  <c r="F602" i="44"/>
  <c r="G601" i="44"/>
  <c r="F601" i="44"/>
  <c r="G600" i="44"/>
  <c r="F600" i="44"/>
  <c r="G599" i="44"/>
  <c r="F599" i="44"/>
  <c r="G598" i="44"/>
  <c r="F598" i="44"/>
  <c r="G597" i="44"/>
  <c r="F597" i="44"/>
  <c r="G596" i="44"/>
  <c r="F596" i="44"/>
  <c r="G595" i="44"/>
  <c r="F595" i="44"/>
  <c r="G594" i="44"/>
  <c r="F594" i="44"/>
  <c r="G593" i="44"/>
  <c r="F593" i="44"/>
  <c r="G592" i="44"/>
  <c r="F592" i="44"/>
  <c r="G591" i="44"/>
  <c r="F591" i="44"/>
  <c r="G590" i="44"/>
  <c r="F590" i="44"/>
  <c r="G589" i="44"/>
  <c r="F589" i="44"/>
  <c r="G588" i="44"/>
  <c r="F588" i="44"/>
  <c r="G587" i="44"/>
  <c r="F587" i="44"/>
  <c r="G586" i="44"/>
  <c r="F586" i="44"/>
  <c r="G585" i="44"/>
  <c r="F585" i="44"/>
  <c r="G584" i="44"/>
  <c r="F584" i="44"/>
  <c r="G583" i="44"/>
  <c r="F583" i="44"/>
  <c r="G582" i="44"/>
  <c r="F582" i="44"/>
  <c r="G581" i="44"/>
  <c r="F581" i="44"/>
  <c r="G580" i="44"/>
  <c r="F580" i="44"/>
  <c r="G579" i="44"/>
  <c r="F579" i="44"/>
  <c r="G578" i="44"/>
  <c r="F578" i="44"/>
  <c r="G577" i="44"/>
  <c r="F577" i="44"/>
  <c r="G576" i="44"/>
  <c r="F576" i="44"/>
  <c r="G575" i="44"/>
  <c r="F575" i="44"/>
  <c r="G574" i="44"/>
  <c r="F574" i="44"/>
  <c r="G573" i="44"/>
  <c r="F573" i="44"/>
  <c r="G572" i="44"/>
  <c r="F572" i="44"/>
  <c r="G571" i="44"/>
  <c r="F571" i="44"/>
  <c r="G570" i="44"/>
  <c r="F570" i="44"/>
  <c r="G569" i="44"/>
  <c r="F569" i="44"/>
  <c r="G568" i="44"/>
  <c r="F568" i="44"/>
  <c r="G567" i="44"/>
  <c r="F567" i="44"/>
  <c r="G566" i="44"/>
  <c r="F566" i="44"/>
  <c r="G565" i="44"/>
  <c r="F565" i="44"/>
  <c r="G564" i="44"/>
  <c r="F564" i="44"/>
  <c r="G563" i="44"/>
  <c r="F563" i="44"/>
  <c r="G562" i="44"/>
  <c r="F562" i="44"/>
  <c r="G561" i="44"/>
  <c r="F561" i="44"/>
  <c r="G560" i="44"/>
  <c r="F560" i="44"/>
  <c r="G559" i="44"/>
  <c r="F559" i="44"/>
  <c r="G558" i="44"/>
  <c r="F558" i="44"/>
  <c r="G557" i="44"/>
  <c r="F557" i="44"/>
  <c r="G556" i="44"/>
  <c r="F556" i="44"/>
  <c r="G555" i="44"/>
  <c r="F555" i="44"/>
  <c r="G554" i="44"/>
  <c r="F554" i="44"/>
  <c r="G553" i="44"/>
  <c r="F553" i="44"/>
  <c r="G552" i="44"/>
  <c r="F552" i="44"/>
  <c r="G551" i="44"/>
  <c r="F551" i="44"/>
  <c r="G550" i="44"/>
  <c r="F550" i="44"/>
  <c r="G549" i="44"/>
  <c r="F549" i="44"/>
  <c r="G548" i="44"/>
  <c r="F548" i="44"/>
  <c r="G547" i="44"/>
  <c r="F547" i="44"/>
  <c r="G546" i="44"/>
  <c r="F546" i="44"/>
  <c r="G545" i="44"/>
  <c r="F545" i="44"/>
  <c r="G544" i="44"/>
  <c r="F544" i="44"/>
  <c r="G543" i="44"/>
  <c r="F543" i="44"/>
  <c r="G542" i="44"/>
  <c r="F542" i="44"/>
  <c r="G541" i="44"/>
  <c r="F541" i="44"/>
  <c r="G540" i="44"/>
  <c r="F540" i="44"/>
  <c r="G539" i="44"/>
  <c r="F539" i="44"/>
  <c r="G538" i="44"/>
  <c r="F538" i="44"/>
  <c r="G537" i="44"/>
  <c r="F537" i="44"/>
  <c r="G536" i="44"/>
  <c r="F536" i="44"/>
  <c r="G535" i="44"/>
  <c r="F535" i="44"/>
  <c r="G534" i="44"/>
  <c r="F534" i="44"/>
  <c r="G533" i="44"/>
  <c r="F533" i="44"/>
  <c r="G532" i="44"/>
  <c r="F532" i="44"/>
  <c r="G531" i="44"/>
  <c r="F531" i="44"/>
  <c r="G530" i="44"/>
  <c r="F530" i="44"/>
  <c r="G529" i="44"/>
  <c r="F529" i="44"/>
  <c r="G528" i="44"/>
  <c r="F528" i="44"/>
  <c r="G527" i="44"/>
  <c r="F527" i="44"/>
  <c r="G526" i="44"/>
  <c r="F526" i="44"/>
  <c r="G525" i="44"/>
  <c r="F525" i="44"/>
  <c r="G524" i="44"/>
  <c r="F524" i="44"/>
  <c r="G523" i="44"/>
  <c r="F523" i="44"/>
  <c r="G522" i="44"/>
  <c r="F522" i="44"/>
  <c r="G521" i="44"/>
  <c r="F521" i="44"/>
  <c r="G520" i="44"/>
  <c r="F520" i="44"/>
  <c r="G519" i="44"/>
  <c r="F519" i="44"/>
  <c r="G518" i="44"/>
  <c r="F518" i="44"/>
  <c r="G517" i="44"/>
  <c r="F517" i="44"/>
  <c r="G516" i="44"/>
  <c r="F516" i="44"/>
  <c r="G515" i="44"/>
  <c r="F515" i="44"/>
  <c r="G514" i="44"/>
  <c r="F514" i="44"/>
  <c r="G513" i="44"/>
  <c r="F513" i="44"/>
  <c r="G512" i="44"/>
  <c r="F512" i="44"/>
  <c r="G511" i="44"/>
  <c r="F511" i="44"/>
  <c r="G510" i="44"/>
  <c r="F510" i="44"/>
  <c r="G509" i="44"/>
  <c r="F509" i="44"/>
  <c r="G508" i="44"/>
  <c r="F508" i="44"/>
  <c r="G507" i="44"/>
  <c r="F507" i="44"/>
  <c r="G506" i="44"/>
  <c r="F506" i="44"/>
  <c r="G505" i="44"/>
  <c r="F505" i="44"/>
  <c r="G504" i="44"/>
  <c r="F504" i="44"/>
  <c r="G503" i="44"/>
  <c r="F503" i="44"/>
  <c r="G502" i="44"/>
  <c r="F502" i="44"/>
  <c r="G501" i="44"/>
  <c r="F501" i="44"/>
  <c r="G500" i="44"/>
  <c r="F500" i="44"/>
  <c r="G499" i="44"/>
  <c r="F499" i="44"/>
  <c r="G498" i="44"/>
  <c r="F498" i="44"/>
  <c r="G497" i="44"/>
  <c r="F497" i="44"/>
  <c r="G496" i="44"/>
  <c r="F496" i="44"/>
  <c r="G495" i="44"/>
  <c r="F495" i="44"/>
  <c r="G494" i="44"/>
  <c r="F494" i="44"/>
  <c r="G493" i="44"/>
  <c r="F493" i="44"/>
  <c r="G492" i="44"/>
  <c r="F492" i="44"/>
  <c r="G491" i="44"/>
  <c r="F491" i="44"/>
  <c r="G490" i="44"/>
  <c r="F490" i="44"/>
  <c r="G489" i="44"/>
  <c r="F489" i="44"/>
  <c r="G488" i="44"/>
  <c r="F488" i="44"/>
  <c r="G487" i="44"/>
  <c r="F487" i="44"/>
  <c r="G486" i="44"/>
  <c r="F486" i="44"/>
  <c r="G485" i="44"/>
  <c r="F485" i="44"/>
  <c r="G484" i="44"/>
  <c r="F484" i="44"/>
  <c r="G483" i="44"/>
  <c r="F483" i="44"/>
  <c r="G482" i="44"/>
  <c r="F482" i="44"/>
  <c r="G481" i="44"/>
  <c r="F481" i="44"/>
  <c r="G480" i="44"/>
  <c r="F480" i="44"/>
  <c r="G479" i="44"/>
  <c r="F479" i="44"/>
  <c r="G478" i="44"/>
  <c r="F478" i="44"/>
  <c r="G477" i="44"/>
  <c r="F477" i="44"/>
  <c r="G476" i="44"/>
  <c r="F476" i="44"/>
  <c r="G475" i="44"/>
  <c r="F475" i="44"/>
  <c r="G474" i="44"/>
  <c r="F474" i="44"/>
  <c r="G473" i="44"/>
  <c r="F473" i="44"/>
  <c r="G472" i="44"/>
  <c r="F472" i="44"/>
  <c r="G471" i="44"/>
  <c r="F471" i="44"/>
  <c r="G470" i="44"/>
  <c r="F470" i="44"/>
  <c r="G469" i="44"/>
  <c r="F469" i="44"/>
  <c r="G468" i="44"/>
  <c r="F468" i="44"/>
  <c r="G467" i="44"/>
  <c r="F467" i="44"/>
  <c r="G466" i="44"/>
  <c r="F466" i="44"/>
  <c r="G465" i="44"/>
  <c r="F465" i="44"/>
  <c r="G464" i="44"/>
  <c r="F464" i="44"/>
  <c r="G463" i="44"/>
  <c r="F463" i="44"/>
  <c r="G462" i="44"/>
  <c r="F462" i="44"/>
  <c r="G461" i="44"/>
  <c r="F461" i="44"/>
  <c r="G460" i="44"/>
  <c r="F460" i="44"/>
  <c r="G459" i="44"/>
  <c r="F459" i="44"/>
  <c r="G458" i="44"/>
  <c r="F458" i="44"/>
  <c r="G457" i="44"/>
  <c r="F457" i="44"/>
  <c r="G456" i="44"/>
  <c r="F456" i="44"/>
  <c r="G455" i="44"/>
  <c r="F455" i="44"/>
  <c r="G454" i="44"/>
  <c r="F454" i="44"/>
  <c r="G453" i="44"/>
  <c r="F453" i="44"/>
  <c r="G452" i="44"/>
  <c r="F452" i="44"/>
  <c r="G451" i="44"/>
  <c r="G450" i="44"/>
  <c r="F450" i="44"/>
  <c r="G449" i="44"/>
  <c r="F449" i="44"/>
  <c r="G448" i="44"/>
  <c r="F448" i="44"/>
  <c r="G447" i="44"/>
  <c r="F447" i="44"/>
  <c r="G446" i="44"/>
  <c r="F446" i="44"/>
  <c r="G445" i="44"/>
  <c r="F445" i="44"/>
  <c r="G444" i="44"/>
  <c r="F444" i="44"/>
  <c r="G443" i="44"/>
  <c r="F443" i="44"/>
  <c r="G442" i="44"/>
  <c r="F442" i="44"/>
  <c r="G441" i="44"/>
  <c r="F441" i="44"/>
  <c r="G440" i="44"/>
  <c r="F440" i="44"/>
  <c r="G439" i="44"/>
  <c r="F439" i="44"/>
  <c r="G438" i="44"/>
  <c r="F438" i="44"/>
  <c r="G437" i="44"/>
  <c r="F437" i="44"/>
  <c r="G436" i="44"/>
  <c r="F436" i="44"/>
  <c r="G435" i="44"/>
  <c r="F435" i="44"/>
  <c r="G434" i="44"/>
  <c r="F434" i="44"/>
  <c r="G433" i="44"/>
  <c r="F433" i="44"/>
  <c r="G432" i="44"/>
  <c r="F432" i="44"/>
  <c r="G431" i="44"/>
  <c r="F431" i="44"/>
  <c r="G430" i="44"/>
  <c r="G429" i="44"/>
  <c r="F429" i="44"/>
  <c r="G428" i="44"/>
  <c r="F428" i="44"/>
  <c r="G427" i="44"/>
  <c r="F427" i="44"/>
  <c r="G426" i="44"/>
  <c r="F426" i="44"/>
  <c r="G425" i="44"/>
  <c r="F425" i="44"/>
  <c r="G424" i="44"/>
  <c r="F424" i="44"/>
  <c r="G423" i="44"/>
  <c r="F423" i="44"/>
  <c r="G422" i="44"/>
  <c r="G421" i="44"/>
  <c r="F421" i="44"/>
  <c r="G420" i="44"/>
  <c r="F420" i="44"/>
  <c r="G419" i="44"/>
  <c r="F419" i="44"/>
  <c r="G418" i="44"/>
  <c r="F418" i="44"/>
  <c r="G417" i="44"/>
  <c r="F417" i="44"/>
  <c r="G416" i="44"/>
  <c r="F416" i="44"/>
  <c r="G415" i="44"/>
  <c r="F415" i="44"/>
  <c r="G414" i="44"/>
  <c r="F414" i="44"/>
  <c r="G413" i="44"/>
  <c r="F413" i="44"/>
  <c r="G412" i="44"/>
  <c r="F412" i="44"/>
  <c r="G411" i="44"/>
  <c r="F411" i="44"/>
  <c r="G410" i="44"/>
  <c r="F410" i="44"/>
  <c r="G409" i="44"/>
  <c r="F409" i="44"/>
  <c r="G408" i="44"/>
  <c r="F408" i="44"/>
  <c r="G407" i="44"/>
  <c r="F407" i="44"/>
  <c r="G406" i="44"/>
  <c r="F406" i="44"/>
  <c r="G405" i="44"/>
  <c r="F405" i="44"/>
  <c r="G404" i="44"/>
  <c r="F404" i="44"/>
  <c r="G403" i="44"/>
  <c r="F403" i="44"/>
  <c r="G402" i="44"/>
  <c r="F402" i="44"/>
  <c r="G401" i="44"/>
  <c r="F401" i="44"/>
  <c r="G400" i="44"/>
  <c r="F400" i="44"/>
  <c r="G399" i="44"/>
  <c r="F399" i="44"/>
  <c r="G398" i="44"/>
  <c r="F398" i="44"/>
  <c r="G397" i="44"/>
  <c r="F397" i="44"/>
  <c r="G396" i="44"/>
  <c r="F396" i="44"/>
  <c r="G395" i="44"/>
  <c r="F395" i="44"/>
  <c r="G394" i="44"/>
  <c r="F394" i="44"/>
  <c r="G393" i="44"/>
  <c r="G392" i="44"/>
  <c r="G391" i="44"/>
  <c r="G390" i="44"/>
  <c r="G389" i="44"/>
  <c r="F389" i="44"/>
  <c r="G388" i="44"/>
  <c r="G387" i="44"/>
  <c r="G386" i="44"/>
  <c r="G385" i="44"/>
  <c r="G384" i="44"/>
  <c r="G383" i="44"/>
  <c r="G382" i="44"/>
  <c r="G381" i="44"/>
  <c r="G380" i="44"/>
  <c r="G379" i="44"/>
  <c r="F379" i="44"/>
  <c r="G378" i="44"/>
  <c r="F378" i="44"/>
  <c r="G377" i="44"/>
  <c r="F377" i="44"/>
  <c r="G376" i="44"/>
  <c r="F376" i="44"/>
  <c r="G375" i="44"/>
  <c r="F375" i="44"/>
  <c r="G374" i="44"/>
  <c r="F374" i="44"/>
  <c r="G373" i="44"/>
  <c r="F373" i="44"/>
  <c r="G372" i="44"/>
  <c r="F372" i="44"/>
  <c r="G371" i="44"/>
  <c r="F371" i="44"/>
  <c r="G370" i="44"/>
  <c r="F370" i="44"/>
  <c r="G369" i="44"/>
  <c r="F369" i="44"/>
  <c r="G368" i="44"/>
  <c r="F368" i="44"/>
  <c r="G367" i="44"/>
  <c r="F367" i="44"/>
  <c r="G366" i="44"/>
  <c r="F366" i="44"/>
  <c r="G365" i="44"/>
  <c r="F365" i="44"/>
  <c r="G364" i="44"/>
  <c r="F364" i="44"/>
  <c r="G363" i="44"/>
  <c r="F363" i="44"/>
  <c r="G362" i="44"/>
  <c r="F362" i="44"/>
  <c r="G361" i="44"/>
  <c r="F361" i="44"/>
  <c r="G360" i="44"/>
  <c r="F360" i="44"/>
  <c r="G359" i="44"/>
  <c r="F359" i="44"/>
  <c r="G358" i="44"/>
  <c r="F358" i="44"/>
  <c r="G357" i="44"/>
  <c r="F357" i="44"/>
  <c r="G356" i="44"/>
  <c r="F356" i="44"/>
  <c r="G355" i="44"/>
  <c r="F355" i="44"/>
  <c r="G354" i="44"/>
  <c r="F354" i="44"/>
  <c r="G353" i="44"/>
  <c r="F353" i="44"/>
  <c r="G352" i="44"/>
  <c r="F352" i="44"/>
  <c r="G351" i="44"/>
  <c r="F351" i="44"/>
  <c r="G350" i="44"/>
  <c r="F350" i="44"/>
  <c r="G349" i="44"/>
  <c r="F349" i="44"/>
  <c r="G348" i="44"/>
  <c r="F348" i="44"/>
  <c r="G347" i="44"/>
  <c r="F347" i="44"/>
  <c r="G346" i="44"/>
  <c r="F346" i="44"/>
  <c r="G345" i="44"/>
  <c r="F345" i="44"/>
  <c r="G344" i="44"/>
  <c r="F344" i="44"/>
  <c r="G343" i="44"/>
  <c r="F343" i="44"/>
  <c r="G342" i="44"/>
  <c r="F342" i="44"/>
  <c r="G341" i="44"/>
  <c r="F341" i="44"/>
  <c r="G340" i="44"/>
  <c r="F340" i="44"/>
  <c r="G339" i="44"/>
  <c r="F339" i="44"/>
  <c r="G338" i="44"/>
  <c r="F338" i="44"/>
  <c r="G337" i="44"/>
  <c r="F337" i="44"/>
  <c r="G336" i="44"/>
  <c r="F336" i="44"/>
  <c r="G335" i="44"/>
  <c r="F335" i="44"/>
  <c r="G334" i="44"/>
  <c r="F334" i="44"/>
  <c r="G333" i="44"/>
  <c r="F333" i="44"/>
  <c r="G332" i="44"/>
  <c r="F332" i="44"/>
  <c r="G331" i="44"/>
  <c r="F331" i="44"/>
  <c r="G330" i="44"/>
  <c r="F330" i="44"/>
  <c r="G329" i="44"/>
  <c r="F329" i="44"/>
  <c r="G328" i="44"/>
  <c r="F328" i="44"/>
  <c r="G327" i="44"/>
  <c r="F327" i="44"/>
  <c r="G326" i="44"/>
  <c r="F326" i="44"/>
  <c r="G325" i="44"/>
  <c r="F325" i="44"/>
  <c r="G324" i="44"/>
  <c r="F324" i="44"/>
  <c r="G323" i="44"/>
  <c r="F323" i="44"/>
  <c r="G322" i="44"/>
  <c r="F322" i="44"/>
  <c r="G321" i="44"/>
  <c r="F321" i="44"/>
  <c r="G320" i="44"/>
  <c r="F320" i="44"/>
  <c r="G319" i="44"/>
  <c r="F319" i="44"/>
  <c r="G318" i="44"/>
  <c r="F318" i="44"/>
  <c r="G317" i="44"/>
  <c r="F317" i="44"/>
  <c r="G316" i="44"/>
  <c r="F316" i="44"/>
  <c r="G315" i="44"/>
  <c r="F315" i="44"/>
  <c r="G314" i="44"/>
  <c r="F314" i="44"/>
  <c r="G313" i="44"/>
  <c r="F313" i="44"/>
  <c r="G312" i="44"/>
  <c r="F312" i="44"/>
  <c r="G311" i="44"/>
  <c r="F311" i="44"/>
  <c r="G310" i="44"/>
  <c r="F310" i="44"/>
  <c r="G309" i="44"/>
  <c r="F309" i="44"/>
  <c r="G308" i="44"/>
  <c r="F308" i="44"/>
  <c r="G307" i="44"/>
  <c r="F307" i="44"/>
  <c r="G306" i="44"/>
  <c r="F306" i="44"/>
  <c r="G305" i="44"/>
  <c r="F305" i="44"/>
  <c r="G304" i="44"/>
  <c r="F304" i="44"/>
  <c r="G303" i="44"/>
  <c r="F303" i="44"/>
  <c r="G302" i="44"/>
  <c r="F302" i="44"/>
  <c r="G301" i="44"/>
  <c r="F301" i="44"/>
  <c r="G300" i="44"/>
  <c r="F300" i="44"/>
  <c r="G299" i="44"/>
  <c r="F299" i="44"/>
  <c r="G298" i="44"/>
  <c r="F298" i="44"/>
  <c r="G297" i="44"/>
  <c r="F297" i="44"/>
  <c r="G296" i="44"/>
  <c r="F296" i="44"/>
  <c r="G295" i="44"/>
  <c r="F295" i="44"/>
  <c r="G294" i="44"/>
  <c r="F294" i="44"/>
  <c r="G293" i="44"/>
  <c r="F293" i="44"/>
  <c r="G292" i="44"/>
  <c r="F292" i="44"/>
  <c r="G291" i="44"/>
  <c r="F291" i="44"/>
  <c r="G290" i="44"/>
  <c r="F290" i="44"/>
  <c r="G289" i="44"/>
  <c r="F289" i="44"/>
  <c r="G288" i="44"/>
  <c r="F288" i="44"/>
  <c r="G287" i="44"/>
  <c r="F287" i="44"/>
  <c r="G286" i="44"/>
  <c r="F286" i="44"/>
  <c r="G285" i="44"/>
  <c r="F285" i="44"/>
  <c r="G284" i="44"/>
  <c r="F284" i="44"/>
  <c r="G283" i="44"/>
  <c r="F283" i="44"/>
  <c r="G282" i="44"/>
  <c r="F282" i="44"/>
  <c r="G281" i="44"/>
  <c r="F281" i="44"/>
  <c r="G280" i="44"/>
  <c r="F280" i="44"/>
  <c r="G279" i="44"/>
  <c r="F279" i="44"/>
  <c r="G278" i="44"/>
  <c r="F278" i="44"/>
  <c r="G277" i="44"/>
  <c r="F277" i="44"/>
  <c r="G276" i="44"/>
  <c r="F276" i="44"/>
  <c r="G275" i="44"/>
  <c r="F275" i="44"/>
  <c r="G274" i="44"/>
  <c r="F274" i="44"/>
  <c r="G273" i="44"/>
  <c r="F273" i="44"/>
  <c r="G272" i="44"/>
  <c r="F272" i="44"/>
  <c r="G271" i="44"/>
  <c r="F271" i="44"/>
  <c r="G270" i="44"/>
  <c r="F270" i="44"/>
  <c r="G269" i="44"/>
  <c r="F269" i="44"/>
  <c r="G268" i="44"/>
  <c r="F268" i="44"/>
  <c r="G267" i="44"/>
  <c r="F267" i="44"/>
  <c r="G266" i="44"/>
  <c r="F266" i="44"/>
  <c r="G265" i="44"/>
  <c r="F265" i="44"/>
  <c r="G264" i="44"/>
  <c r="F264" i="44"/>
  <c r="G263" i="44"/>
  <c r="F263" i="44"/>
  <c r="G262" i="44"/>
  <c r="F262" i="44"/>
  <c r="G261" i="44"/>
  <c r="F261" i="44"/>
  <c r="G260" i="44"/>
  <c r="F260" i="44"/>
  <c r="G259" i="44"/>
  <c r="F259" i="44"/>
  <c r="G258" i="44"/>
  <c r="F258" i="44"/>
  <c r="G257" i="44"/>
  <c r="F257" i="44"/>
  <c r="G256" i="44"/>
  <c r="F256" i="44"/>
  <c r="G255" i="44"/>
  <c r="F255" i="44"/>
  <c r="G254" i="44"/>
  <c r="F254" i="44"/>
  <c r="G253" i="44"/>
  <c r="F253" i="44"/>
  <c r="G252" i="44"/>
  <c r="F252" i="44"/>
  <c r="G251" i="44"/>
  <c r="F251" i="44"/>
  <c r="G250" i="44"/>
  <c r="F250" i="44"/>
  <c r="G249" i="44"/>
  <c r="F249" i="44"/>
  <c r="G248" i="44"/>
  <c r="F248" i="44"/>
  <c r="G247" i="44"/>
  <c r="F247" i="44"/>
  <c r="G246" i="44"/>
  <c r="F246" i="44"/>
  <c r="G245" i="44"/>
  <c r="F245" i="44"/>
  <c r="G244" i="44"/>
  <c r="F244" i="44"/>
  <c r="G243" i="44"/>
  <c r="F243" i="44"/>
  <c r="G242" i="44"/>
  <c r="F242" i="44"/>
  <c r="G241" i="44"/>
  <c r="F241" i="44"/>
  <c r="G240" i="44"/>
  <c r="F240" i="44"/>
  <c r="G239" i="44"/>
  <c r="F239" i="44"/>
  <c r="G238" i="44"/>
  <c r="F238" i="44"/>
  <c r="G237" i="44"/>
  <c r="F237" i="44"/>
  <c r="G236" i="44"/>
  <c r="F236" i="44"/>
  <c r="G235" i="44"/>
  <c r="F235" i="44"/>
  <c r="G234" i="44"/>
  <c r="F234" i="44"/>
  <c r="G233" i="44"/>
  <c r="F233" i="44"/>
  <c r="G232" i="44"/>
  <c r="F232" i="44"/>
  <c r="G231" i="44"/>
  <c r="F231" i="44"/>
  <c r="G230" i="44"/>
  <c r="F230" i="44"/>
  <c r="G229" i="44"/>
  <c r="F229" i="44"/>
  <c r="G228" i="44"/>
  <c r="F228" i="44"/>
  <c r="G227" i="44"/>
  <c r="F227" i="44"/>
  <c r="G226" i="44"/>
  <c r="F226" i="44"/>
  <c r="G225" i="44"/>
  <c r="F225" i="44"/>
  <c r="G224" i="44"/>
  <c r="F224" i="44"/>
  <c r="G223" i="44"/>
  <c r="F223" i="44"/>
  <c r="G222" i="44"/>
  <c r="F222" i="44"/>
  <c r="G221" i="44"/>
  <c r="F221" i="44"/>
  <c r="G220" i="44"/>
  <c r="F220" i="44"/>
  <c r="G219" i="44"/>
  <c r="F219" i="44"/>
  <c r="G218" i="44"/>
  <c r="F218" i="44"/>
  <c r="G217" i="44"/>
  <c r="F217" i="44"/>
  <c r="G216" i="44"/>
  <c r="F216" i="44"/>
  <c r="G215" i="44"/>
  <c r="F215" i="44"/>
  <c r="G214" i="44"/>
  <c r="F214" i="44"/>
  <c r="G213" i="44"/>
  <c r="F213" i="44"/>
  <c r="G212" i="44"/>
  <c r="F212" i="44"/>
  <c r="G211" i="44"/>
  <c r="F211" i="44"/>
  <c r="G210" i="44"/>
  <c r="F210" i="44"/>
  <c r="G209" i="44"/>
  <c r="F209" i="44"/>
  <c r="G208" i="44"/>
  <c r="F208" i="44"/>
  <c r="G207" i="44"/>
  <c r="F207" i="44"/>
  <c r="G206" i="44"/>
  <c r="F206" i="44"/>
  <c r="G205" i="44"/>
  <c r="F205" i="44"/>
  <c r="G204" i="44"/>
  <c r="F204" i="44"/>
  <c r="G203" i="44"/>
  <c r="F203" i="44"/>
  <c r="G202" i="44"/>
  <c r="F202" i="44"/>
  <c r="G201" i="44"/>
  <c r="F201" i="44"/>
  <c r="G200" i="44"/>
  <c r="F200" i="44"/>
  <c r="G199" i="44"/>
  <c r="F199" i="44"/>
  <c r="G198" i="44"/>
  <c r="F198" i="44"/>
  <c r="G197" i="44"/>
  <c r="F197" i="44"/>
  <c r="G196" i="44"/>
  <c r="F196" i="44"/>
  <c r="G195" i="44"/>
  <c r="F195" i="44"/>
  <c r="G194" i="44"/>
  <c r="F194" i="44"/>
  <c r="G193" i="44"/>
  <c r="F193" i="44"/>
  <c r="G192" i="44"/>
  <c r="F192" i="44"/>
  <c r="G191" i="44"/>
  <c r="F191" i="44"/>
  <c r="G190" i="44"/>
  <c r="F190" i="44"/>
  <c r="G189" i="44"/>
  <c r="F189" i="44"/>
  <c r="G188" i="44"/>
  <c r="F188" i="44"/>
  <c r="G187" i="44"/>
  <c r="F187" i="44"/>
  <c r="G186" i="44"/>
  <c r="F186" i="44"/>
  <c r="G185" i="44"/>
  <c r="F185" i="44"/>
  <c r="G184" i="44"/>
  <c r="F184" i="44"/>
  <c r="G183" i="44"/>
  <c r="F183" i="44"/>
  <c r="G182" i="44"/>
  <c r="F182" i="44"/>
  <c r="G181" i="44"/>
  <c r="F181" i="44"/>
  <c r="G180" i="44"/>
  <c r="F180" i="44"/>
  <c r="G179" i="44"/>
  <c r="F179" i="44"/>
  <c r="G178" i="44"/>
  <c r="F178" i="44"/>
  <c r="G177" i="44"/>
  <c r="F177" i="44"/>
  <c r="G176" i="44"/>
  <c r="F176" i="44"/>
  <c r="G175" i="44"/>
  <c r="F175" i="44"/>
  <c r="G174" i="44"/>
  <c r="F174" i="44"/>
  <c r="G173" i="44"/>
  <c r="F173" i="44"/>
  <c r="G172" i="44"/>
  <c r="F172" i="44"/>
  <c r="G171" i="44"/>
  <c r="F171" i="44"/>
  <c r="G170" i="44"/>
  <c r="F170" i="44"/>
  <c r="G169" i="44"/>
  <c r="F169" i="44"/>
  <c r="G168" i="44"/>
  <c r="F168" i="44"/>
  <c r="G167" i="44"/>
  <c r="F167" i="44"/>
  <c r="G166" i="44"/>
  <c r="F166" i="44"/>
  <c r="G165" i="44"/>
  <c r="F165" i="44"/>
  <c r="G164" i="44"/>
  <c r="F164" i="44"/>
  <c r="G163" i="44"/>
  <c r="F163" i="44"/>
  <c r="G162" i="44"/>
  <c r="F162" i="44"/>
  <c r="G161" i="44"/>
  <c r="F161" i="44"/>
  <c r="G160" i="44"/>
  <c r="F160" i="44"/>
  <c r="G159" i="44"/>
  <c r="F159" i="44"/>
  <c r="G158" i="44"/>
  <c r="F158" i="44"/>
  <c r="G157" i="44"/>
  <c r="F157" i="44"/>
  <c r="G156" i="44"/>
  <c r="F156" i="44"/>
  <c r="G155" i="44"/>
  <c r="F155" i="44"/>
  <c r="G154" i="44"/>
  <c r="F154" i="44"/>
  <c r="G153" i="44"/>
  <c r="F153" i="44"/>
  <c r="G152" i="44"/>
  <c r="F152" i="44"/>
  <c r="G151" i="44"/>
  <c r="F151" i="44"/>
  <c r="G150" i="44"/>
  <c r="F150" i="44"/>
  <c r="G149" i="44"/>
  <c r="F149" i="44"/>
  <c r="G148" i="44"/>
  <c r="F148" i="44"/>
  <c r="G147" i="44"/>
  <c r="F147" i="44"/>
  <c r="G146" i="44"/>
  <c r="F146" i="44"/>
  <c r="G145" i="44"/>
  <c r="F145" i="44"/>
  <c r="G144" i="44"/>
  <c r="F144" i="44"/>
  <c r="G143" i="44"/>
  <c r="F143" i="44"/>
  <c r="G142" i="44"/>
  <c r="F142" i="44"/>
  <c r="G141" i="44"/>
  <c r="F141" i="44"/>
  <c r="G140" i="44"/>
  <c r="F140" i="44"/>
  <c r="G139" i="44"/>
  <c r="F139" i="44"/>
  <c r="G138" i="44"/>
  <c r="F138" i="44"/>
  <c r="G137" i="44"/>
  <c r="F137" i="44"/>
  <c r="G136" i="44"/>
  <c r="F136" i="44"/>
  <c r="G135" i="44"/>
  <c r="F135" i="44"/>
  <c r="G134" i="44"/>
  <c r="F134" i="44"/>
  <c r="G133" i="44"/>
  <c r="F133" i="44"/>
  <c r="G132" i="44"/>
  <c r="F132" i="44"/>
  <c r="G131" i="44"/>
  <c r="F131" i="44"/>
  <c r="G130" i="44"/>
  <c r="F130" i="44"/>
  <c r="G129" i="44"/>
  <c r="F129" i="44"/>
  <c r="G128" i="44"/>
  <c r="F128" i="44"/>
  <c r="G127" i="44"/>
  <c r="F127" i="44"/>
  <c r="G126" i="44"/>
  <c r="F126" i="44"/>
  <c r="G125" i="44"/>
  <c r="F125" i="44"/>
  <c r="G124" i="44"/>
  <c r="F124" i="44"/>
  <c r="G123" i="44"/>
  <c r="F123" i="44"/>
  <c r="G122" i="44"/>
  <c r="F122" i="44"/>
  <c r="G121" i="44"/>
  <c r="F121" i="44"/>
  <c r="G120" i="44"/>
  <c r="F120" i="44"/>
  <c r="G119" i="44"/>
  <c r="F119" i="44"/>
  <c r="G118" i="44"/>
  <c r="F118" i="44"/>
  <c r="G117" i="44"/>
  <c r="F117" i="44"/>
  <c r="G116" i="44"/>
  <c r="F116" i="44"/>
  <c r="G115" i="44"/>
  <c r="F115" i="44"/>
  <c r="G114" i="44"/>
  <c r="F114" i="44"/>
  <c r="G113" i="44"/>
  <c r="F113" i="44"/>
  <c r="G112" i="44"/>
  <c r="F112" i="44"/>
  <c r="G111" i="44"/>
  <c r="F111" i="44"/>
  <c r="G110" i="44"/>
  <c r="F110" i="44"/>
  <c r="G109" i="44"/>
  <c r="F109" i="44"/>
  <c r="G108" i="44"/>
  <c r="F108" i="44"/>
  <c r="G107" i="44"/>
  <c r="F107" i="44"/>
  <c r="G106" i="44"/>
  <c r="F106" i="44"/>
  <c r="G105" i="44"/>
  <c r="F105" i="44"/>
  <c r="G104" i="44"/>
  <c r="F104" i="44"/>
  <c r="G103" i="44"/>
  <c r="F103" i="44"/>
  <c r="G102" i="44"/>
  <c r="F102" i="44"/>
  <c r="G101" i="44"/>
  <c r="F101" i="44"/>
  <c r="G100" i="44"/>
  <c r="F100" i="44"/>
  <c r="G99" i="44"/>
  <c r="F99" i="44"/>
  <c r="G98" i="44"/>
  <c r="F98" i="44"/>
  <c r="G97" i="44"/>
  <c r="F97" i="44"/>
  <c r="G96" i="44"/>
  <c r="F96" i="44"/>
  <c r="G95" i="44"/>
  <c r="F95" i="44"/>
  <c r="G94" i="44"/>
  <c r="F94" i="44"/>
  <c r="G93" i="44"/>
  <c r="F93" i="44"/>
  <c r="G92" i="44"/>
  <c r="F92" i="44"/>
  <c r="G91" i="44"/>
  <c r="F91" i="44"/>
  <c r="G90" i="44"/>
  <c r="F90" i="44"/>
  <c r="G89" i="44"/>
  <c r="F89" i="44"/>
  <c r="G88" i="44"/>
  <c r="F88" i="44"/>
  <c r="G87" i="44"/>
  <c r="F87" i="44"/>
  <c r="G86" i="44"/>
  <c r="F86" i="44"/>
  <c r="G85" i="44"/>
  <c r="F85" i="44"/>
  <c r="G84" i="44"/>
  <c r="F84" i="44"/>
  <c r="G83" i="44"/>
  <c r="F83" i="44"/>
  <c r="G82" i="44"/>
  <c r="F82" i="44"/>
  <c r="G81" i="44"/>
  <c r="F81" i="44"/>
  <c r="G80" i="44"/>
  <c r="F80" i="44"/>
  <c r="G79" i="44"/>
  <c r="F79" i="44"/>
  <c r="G78" i="44"/>
  <c r="F78" i="44"/>
  <c r="G77" i="44"/>
  <c r="F77" i="44"/>
  <c r="G76" i="44"/>
  <c r="F76" i="44"/>
  <c r="G75" i="44"/>
  <c r="F75" i="44"/>
  <c r="G74" i="44"/>
  <c r="F74" i="44"/>
  <c r="G73" i="44"/>
  <c r="F73" i="44"/>
  <c r="G72" i="44"/>
  <c r="F72" i="44"/>
  <c r="G71" i="44"/>
  <c r="F71" i="44"/>
  <c r="G70" i="44"/>
  <c r="F70" i="44"/>
  <c r="G69" i="44"/>
  <c r="F69" i="44"/>
  <c r="G68" i="44"/>
  <c r="F68" i="44"/>
  <c r="G67" i="44"/>
  <c r="F67" i="44"/>
  <c r="G66" i="44"/>
  <c r="F66" i="44"/>
  <c r="G65" i="44"/>
  <c r="F65" i="44"/>
  <c r="G64" i="44"/>
  <c r="F64" i="44"/>
  <c r="G63" i="44"/>
  <c r="F63" i="44"/>
  <c r="G62" i="44"/>
  <c r="F62" i="44"/>
  <c r="G61" i="44"/>
  <c r="F61" i="44"/>
  <c r="G60" i="44"/>
  <c r="F60" i="44"/>
  <c r="G59" i="44"/>
  <c r="F59" i="44"/>
  <c r="G58" i="44"/>
  <c r="F58" i="44"/>
  <c r="G57" i="44"/>
  <c r="F57" i="44"/>
  <c r="G56" i="44"/>
  <c r="F56" i="44"/>
  <c r="G55" i="44"/>
  <c r="F55" i="44"/>
  <c r="G54" i="44"/>
  <c r="F54" i="44"/>
  <c r="G53" i="44"/>
  <c r="F53" i="44"/>
  <c r="G52" i="44"/>
  <c r="F52" i="44"/>
  <c r="G51" i="44"/>
  <c r="F51" i="44"/>
  <c r="G50" i="44"/>
  <c r="F50" i="44"/>
  <c r="G49" i="44"/>
  <c r="F49" i="44"/>
  <c r="G48" i="44"/>
  <c r="F48" i="44"/>
  <c r="G47" i="44"/>
  <c r="F47" i="44"/>
  <c r="G46" i="44"/>
  <c r="F46" i="44"/>
  <c r="G45" i="44"/>
  <c r="F45" i="44"/>
  <c r="G44" i="44"/>
  <c r="F44" i="44"/>
  <c r="G43" i="44"/>
  <c r="F43" i="44"/>
  <c r="G42" i="44"/>
  <c r="F42" i="44"/>
  <c r="G41" i="44"/>
  <c r="F41" i="44"/>
  <c r="G40" i="44"/>
  <c r="F40" i="44"/>
  <c r="G39" i="44"/>
  <c r="F39" i="44"/>
  <c r="G38" i="44"/>
  <c r="F38" i="44"/>
  <c r="G37" i="44"/>
  <c r="F37" i="44"/>
  <c r="G36" i="44"/>
  <c r="F36" i="44"/>
  <c r="G35" i="44"/>
  <c r="F35" i="44"/>
  <c r="G34" i="44"/>
  <c r="F34" i="44"/>
  <c r="G33" i="44"/>
  <c r="F33" i="44"/>
  <c r="G32" i="44"/>
  <c r="F32" i="44"/>
  <c r="G31" i="44"/>
  <c r="F31" i="44"/>
  <c r="G30" i="44"/>
  <c r="F30" i="44"/>
  <c r="G29" i="44"/>
  <c r="F29" i="44"/>
  <c r="G28" i="44"/>
  <c r="F28" i="44"/>
  <c r="G27" i="44"/>
  <c r="F27" i="44"/>
  <c r="G26" i="44"/>
  <c r="F26" i="44"/>
  <c r="G25" i="44"/>
  <c r="F25" i="44"/>
  <c r="G24" i="44"/>
  <c r="F24" i="44"/>
  <c r="G23" i="44"/>
  <c r="F23" i="44"/>
  <c r="G22" i="44"/>
  <c r="F22" i="44"/>
  <c r="G21" i="44"/>
  <c r="F21" i="44"/>
  <c r="G20" i="44"/>
  <c r="F20" i="44"/>
  <c r="G19" i="44"/>
  <c r="F19" i="44"/>
  <c r="G18" i="44"/>
  <c r="F18" i="44"/>
  <c r="G17" i="44"/>
  <c r="F17" i="44"/>
  <c r="G16" i="44"/>
  <c r="F16" i="44"/>
  <c r="G15" i="44"/>
  <c r="F15" i="44"/>
  <c r="G14" i="44"/>
  <c r="F14" i="44"/>
  <c r="G13" i="44"/>
  <c r="F13" i="44"/>
  <c r="G12" i="44"/>
  <c r="F12" i="44"/>
  <c r="G11" i="44"/>
  <c r="F11" i="44"/>
  <c r="G10" i="44"/>
  <c r="F10" i="44"/>
  <c r="G9" i="44"/>
  <c r="F9" i="44"/>
  <c r="G8" i="44"/>
  <c r="F8" i="44"/>
  <c r="G7" i="44"/>
  <c r="F7" i="44"/>
  <c r="G6" i="44"/>
  <c r="F6" i="44"/>
  <c r="G5" i="44"/>
  <c r="F5" i="44"/>
  <c r="G4" i="44"/>
  <c r="F4" i="44"/>
  <c r="G3" i="44"/>
  <c r="F3" i="44"/>
  <c r="G2" i="44"/>
  <c r="F2" i="44"/>
  <c r="E1103" i="43"/>
  <c r="E1102" i="43"/>
  <c r="E1101" i="43"/>
  <c r="E1100" i="43"/>
  <c r="E1099" i="43"/>
  <c r="E1097" i="43"/>
  <c r="E1096" i="43"/>
  <c r="E1095" i="43"/>
  <c r="E1094" i="43"/>
  <c r="E1093" i="43"/>
  <c r="E1092" i="43"/>
  <c r="E1091" i="43"/>
  <c r="E1090" i="43"/>
  <c r="E1089" i="43"/>
  <c r="E1087" i="43"/>
  <c r="E1086" i="43"/>
  <c r="E1085" i="43"/>
  <c r="E1084" i="43"/>
  <c r="E1082" i="43"/>
  <c r="E1080" i="43"/>
  <c r="E1074" i="43"/>
  <c r="E1068" i="43"/>
  <c r="E1067" i="43"/>
  <c r="E1066" i="43"/>
  <c r="E1063" i="43"/>
  <c r="E1062" i="43"/>
  <c r="E1061" i="43"/>
  <c r="E1060" i="43"/>
  <c r="E1059" i="43"/>
  <c r="E1057" i="43"/>
  <c r="E1056" i="43"/>
  <c r="E1055" i="43"/>
  <c r="E1053" i="43"/>
  <c r="E1052" i="43"/>
  <c r="E1050" i="43"/>
  <c r="E1049" i="43"/>
  <c r="E1048" i="43"/>
  <c r="E1047" i="43"/>
  <c r="E1046" i="43"/>
  <c r="E1045" i="43"/>
  <c r="E1044" i="43"/>
  <c r="E1042" i="43"/>
  <c r="E1041" i="43"/>
  <c r="E1040" i="43"/>
  <c r="E1036" i="43"/>
  <c r="E1035" i="43"/>
  <c r="E1034" i="43"/>
  <c r="E1026" i="43"/>
  <c r="E1025" i="43"/>
  <c r="E1022" i="43"/>
  <c r="E1017" i="43"/>
  <c r="E1006" i="43"/>
  <c r="E1004" i="43"/>
  <c r="E994" i="43"/>
  <c r="E993" i="43"/>
  <c r="E992" i="43"/>
  <c r="E989" i="43"/>
  <c r="E988" i="43"/>
  <c r="E987" i="43"/>
  <c r="E986" i="43"/>
  <c r="E985" i="43"/>
  <c r="E982" i="43"/>
  <c r="E979" i="43"/>
  <c r="E974" i="43"/>
  <c r="E969" i="43"/>
  <c r="E960" i="43"/>
  <c r="E959" i="43"/>
  <c r="E958" i="43"/>
  <c r="E955" i="43"/>
  <c r="E954" i="43"/>
  <c r="E952" i="43"/>
  <c r="E951" i="43"/>
  <c r="E949" i="43"/>
  <c r="E947" i="43"/>
  <c r="E945" i="43"/>
  <c r="E944" i="43"/>
  <c r="E943" i="43"/>
  <c r="E942" i="43"/>
  <c r="E941" i="43"/>
  <c r="E940" i="43"/>
  <c r="E937" i="43"/>
  <c r="E936" i="43"/>
  <c r="E935" i="43"/>
  <c r="E934" i="43"/>
  <c r="E933" i="43"/>
  <c r="E928" i="43"/>
  <c r="E926" i="43"/>
  <c r="E925" i="43"/>
  <c r="E923" i="43"/>
  <c r="E919" i="43"/>
  <c r="E917" i="43"/>
  <c r="E911" i="43"/>
  <c r="E889" i="43"/>
  <c r="E883" i="43"/>
  <c r="E882" i="43"/>
  <c r="E881" i="43"/>
  <c r="E875" i="43"/>
  <c r="E874" i="43"/>
  <c r="E873" i="43"/>
  <c r="E872" i="43"/>
  <c r="E871" i="43"/>
  <c r="E870" i="43"/>
  <c r="E867" i="43"/>
  <c r="E865" i="43"/>
  <c r="E858" i="43"/>
  <c r="E856" i="43"/>
  <c r="E854" i="43"/>
  <c r="E850" i="43"/>
  <c r="E849" i="43"/>
  <c r="E846" i="43"/>
  <c r="E835" i="43"/>
  <c r="E834" i="43"/>
  <c r="E833" i="43"/>
  <c r="E831" i="43"/>
  <c r="E830" i="43"/>
  <c r="E829" i="43"/>
  <c r="E827" i="43"/>
  <c r="E826" i="43"/>
  <c r="E825" i="43"/>
  <c r="E823" i="43"/>
  <c r="E822" i="43"/>
  <c r="E821" i="43"/>
  <c r="E820" i="43"/>
  <c r="E819" i="43"/>
  <c r="E818" i="43"/>
  <c r="E816" i="43"/>
  <c r="E814" i="43"/>
  <c r="E813" i="43"/>
  <c r="E808" i="43"/>
  <c r="E806" i="43"/>
  <c r="E801" i="43"/>
  <c r="E791" i="43"/>
  <c r="E790" i="43"/>
  <c r="E789" i="43"/>
  <c r="E787" i="43"/>
  <c r="E786" i="43"/>
  <c r="E782" i="43"/>
  <c r="E781" i="43"/>
  <c r="E780" i="43"/>
  <c r="E779" i="43"/>
  <c r="E778" i="43"/>
  <c r="E777" i="43"/>
  <c r="E776" i="43"/>
  <c r="E775" i="43"/>
  <c r="E774" i="43"/>
  <c r="E773" i="43"/>
  <c r="E772" i="43"/>
  <c r="E771" i="43"/>
  <c r="E768" i="43"/>
  <c r="E766" i="43"/>
  <c r="E765" i="43"/>
  <c r="E763" i="43"/>
  <c r="E762" i="43"/>
  <c r="E761" i="43"/>
  <c r="E760" i="43"/>
  <c r="E759" i="43"/>
  <c r="E758" i="43"/>
  <c r="E756" i="43"/>
  <c r="E755" i="43"/>
  <c r="E754" i="43"/>
  <c r="E749" i="43"/>
  <c r="E746" i="43"/>
  <c r="E745" i="43"/>
  <c r="E741" i="43"/>
  <c r="E740" i="43"/>
  <c r="E738" i="43"/>
  <c r="E736" i="43"/>
  <c r="E735" i="43"/>
  <c r="E731" i="43"/>
  <c r="E727" i="43"/>
  <c r="E726" i="43"/>
  <c r="E725" i="43"/>
  <c r="E724" i="43"/>
  <c r="E722" i="43"/>
  <c r="E721" i="43"/>
  <c r="E720" i="43"/>
  <c r="E719" i="43"/>
  <c r="E718" i="43"/>
  <c r="E717" i="43"/>
  <c r="E716" i="43"/>
  <c r="E715" i="43"/>
  <c r="E714" i="43"/>
  <c r="E713" i="43"/>
  <c r="E712" i="43"/>
  <c r="E711" i="43"/>
  <c r="E710" i="43"/>
  <c r="E709" i="43"/>
  <c r="E708" i="43"/>
  <c r="E707" i="43"/>
  <c r="E706" i="43"/>
  <c r="E705" i="43"/>
  <c r="E704" i="43"/>
  <c r="E703" i="43"/>
  <c r="E702" i="43"/>
  <c r="E701" i="43"/>
  <c r="E700" i="43"/>
  <c r="E699" i="43"/>
  <c r="E698" i="43"/>
  <c r="E697" i="43"/>
  <c r="E696" i="43"/>
  <c r="E695" i="43"/>
  <c r="E694" i="43"/>
  <c r="E693" i="43"/>
  <c r="E692" i="43"/>
  <c r="E691" i="43"/>
  <c r="E689" i="43"/>
  <c r="E688" i="43"/>
  <c r="E687" i="43"/>
  <c r="E681" i="43"/>
  <c r="E679" i="43"/>
  <c r="E676" i="43"/>
  <c r="E673" i="43"/>
  <c r="E671" i="43"/>
  <c r="E668" i="43"/>
  <c r="E667" i="43"/>
  <c r="E665" i="43"/>
  <c r="E663" i="43"/>
  <c r="E658" i="43"/>
  <c r="E643" i="43"/>
  <c r="E642" i="43"/>
  <c r="E641" i="43"/>
  <c r="E639" i="43"/>
  <c r="E638" i="43"/>
  <c r="E634" i="43"/>
  <c r="E633" i="43"/>
  <c r="E625" i="43"/>
  <c r="E624" i="43"/>
  <c r="E622" i="43"/>
  <c r="E614" i="43"/>
  <c r="E613" i="43"/>
  <c r="D2" i="43"/>
  <c r="Q400" i="42" l="1"/>
  <c r="K400" i="42"/>
  <c r="R400" i="42" s="1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9" i="42" l="1"/>
  <c r="R252" i="42"/>
  <c r="R284" i="42"/>
  <c r="R368" i="42"/>
  <c r="R370" i="42"/>
  <c r="R376" i="42"/>
  <c r="R378" i="42"/>
  <c r="R380" i="42"/>
  <c r="R382" i="42"/>
  <c r="R384" i="42"/>
  <c r="R367" i="42"/>
  <c r="R79" i="42"/>
  <c r="R81" i="42"/>
  <c r="R85" i="42"/>
  <c r="R87" i="42"/>
  <c r="R89" i="42"/>
  <c r="R95" i="42"/>
  <c r="R97" i="42"/>
  <c r="R99" i="42"/>
  <c r="R135" i="42"/>
  <c r="R141" i="42"/>
  <c r="R143" i="42"/>
  <c r="R147" i="42"/>
  <c r="R279" i="42"/>
  <c r="R285" i="42"/>
  <c r="R395" i="42"/>
  <c r="R399" i="42"/>
  <c r="R42" i="42"/>
  <c r="R140" i="42"/>
  <c r="R142" i="42"/>
  <c r="R148" i="42"/>
  <c r="R379" i="42"/>
  <c r="R287" i="42"/>
  <c r="R288" i="42"/>
  <c r="R289" i="42"/>
  <c r="R297" i="42"/>
  <c r="R298" i="42"/>
  <c r="R299" i="42"/>
  <c r="R301" i="42"/>
  <c r="R303" i="42"/>
  <c r="R305" i="42"/>
  <c r="R313" i="42"/>
  <c r="R315" i="42"/>
  <c r="R317" i="42"/>
  <c r="R319" i="42"/>
  <c r="R321" i="42"/>
  <c r="R329" i="42"/>
  <c r="R331" i="42"/>
  <c r="R333" i="42"/>
  <c r="R335" i="42"/>
  <c r="R337" i="42"/>
  <c r="R338" i="42"/>
  <c r="R340" i="42"/>
  <c r="R344" i="42"/>
  <c r="R345" i="42"/>
  <c r="R346" i="42"/>
  <c r="R347" i="42"/>
  <c r="R349" i="42"/>
  <c r="R351" i="42"/>
  <c r="R353" i="42"/>
  <c r="R355" i="42"/>
  <c r="R357" i="42"/>
  <c r="R359" i="42"/>
  <c r="R361" i="42"/>
  <c r="R363" i="42"/>
  <c r="R365" i="42"/>
  <c r="R366" i="42"/>
  <c r="R260" i="42"/>
  <c r="R158" i="42"/>
  <c r="R222" i="42"/>
  <c r="R227" i="42"/>
  <c r="R235" i="42"/>
  <c r="R243" i="42"/>
  <c r="R244" i="42"/>
  <c r="R246" i="42"/>
  <c r="R250" i="42"/>
  <c r="R251" i="42"/>
  <c r="R14" i="42"/>
  <c r="R25" i="42"/>
  <c r="R39" i="42"/>
  <c r="R41" i="42"/>
  <c r="R46" i="42"/>
  <c r="R369" i="42"/>
  <c r="R371" i="42"/>
  <c r="R375" i="42"/>
  <c r="R377" i="42"/>
  <c r="R386" i="42"/>
  <c r="R392" i="42"/>
  <c r="R394" i="42"/>
  <c r="R385" i="42"/>
  <c r="R387" i="42"/>
  <c r="R389" i="42"/>
  <c r="R391" i="42"/>
  <c r="R393" i="42"/>
  <c r="R326" i="42"/>
  <c r="R310" i="42"/>
  <c r="R350" i="42"/>
  <c r="R300" i="42"/>
  <c r="R304" i="42"/>
  <c r="R294" i="42"/>
  <c r="R314" i="42"/>
  <c r="R316" i="42"/>
  <c r="R320" i="42"/>
  <c r="R330" i="42"/>
  <c r="R332" i="42"/>
  <c r="R336" i="42"/>
  <c r="R291" i="42"/>
  <c r="R293" i="42"/>
  <c r="R295" i="42"/>
  <c r="R302" i="42"/>
  <c r="R306" i="42"/>
  <c r="R308" i="42"/>
  <c r="R312" i="42"/>
  <c r="R323" i="42"/>
  <c r="R325" i="42"/>
  <c r="R327" i="42"/>
  <c r="R334" i="42"/>
  <c r="R342" i="42"/>
  <c r="R348" i="42"/>
  <c r="R352" i="42"/>
  <c r="R286" i="42"/>
  <c r="R290" i="42"/>
  <c r="R292" i="42"/>
  <c r="R296" i="42"/>
  <c r="R307" i="42"/>
  <c r="R309" i="42"/>
  <c r="R311" i="42"/>
  <c r="R318" i="42"/>
  <c r="R322" i="42"/>
  <c r="R324" i="42"/>
  <c r="R328" i="42"/>
  <c r="R339" i="42"/>
  <c r="R341" i="42"/>
  <c r="R343" i="42"/>
  <c r="R354" i="42"/>
  <c r="R356" i="42"/>
  <c r="R362" i="42"/>
  <c r="R364" i="42"/>
  <c r="R263" i="42"/>
  <c r="R266" i="42"/>
  <c r="R267" i="42"/>
  <c r="R274" i="42"/>
  <c r="R258" i="42"/>
  <c r="R268" i="42"/>
  <c r="R276" i="42"/>
  <c r="R283" i="42"/>
  <c r="R253" i="42"/>
  <c r="R255" i="42"/>
  <c r="R259" i="42"/>
  <c r="R261" i="42"/>
  <c r="R269" i="42"/>
  <c r="R271" i="42"/>
  <c r="R275" i="42"/>
  <c r="R277" i="42"/>
  <c r="R282" i="42"/>
  <c r="R155" i="42"/>
  <c r="R162" i="42"/>
  <c r="R174" i="42"/>
  <c r="R150" i="42"/>
  <c r="R154" i="42"/>
  <c r="R185" i="42"/>
  <c r="R193" i="42"/>
  <c r="R201" i="42"/>
  <c r="R163" i="42"/>
  <c r="R171" i="42"/>
  <c r="R179" i="42"/>
  <c r="R211" i="42"/>
  <c r="R219" i="42"/>
  <c r="R226" i="42"/>
  <c r="R238" i="42"/>
  <c r="R180" i="42"/>
  <c r="R182" i="42"/>
  <c r="R186" i="42"/>
  <c r="R188" i="42"/>
  <c r="R190" i="42"/>
  <c r="R196" i="42"/>
  <c r="R198" i="42"/>
  <c r="R202" i="42"/>
  <c r="R204" i="42"/>
  <c r="R206" i="42"/>
  <c r="R212" i="42"/>
  <c r="R153" i="42"/>
  <c r="R178" i="42"/>
  <c r="R217" i="42"/>
  <c r="R156" i="42"/>
  <c r="R161" i="42"/>
  <c r="R169" i="42"/>
  <c r="R187" i="42"/>
  <c r="R194" i="42"/>
  <c r="R214" i="42"/>
  <c r="R218" i="42"/>
  <c r="R220" i="42"/>
  <c r="R225" i="42"/>
  <c r="R233" i="42"/>
  <c r="R209" i="42"/>
  <c r="R242" i="42"/>
  <c r="R164" i="42"/>
  <c r="R166" i="42"/>
  <c r="R170" i="42"/>
  <c r="R172" i="42"/>
  <c r="R177" i="42"/>
  <c r="R195" i="42"/>
  <c r="R203" i="42"/>
  <c r="R210" i="42"/>
  <c r="R228" i="42"/>
  <c r="R230" i="42"/>
  <c r="R234" i="42"/>
  <c r="R236" i="42"/>
  <c r="R241" i="42"/>
  <c r="R249" i="42"/>
  <c r="R116" i="42"/>
  <c r="R119" i="42"/>
  <c r="R108" i="42"/>
  <c r="R123" i="42"/>
  <c r="R103" i="42"/>
  <c r="R109" i="42"/>
  <c r="R111" i="42"/>
  <c r="R115" i="42"/>
  <c r="R117" i="42"/>
  <c r="R122" i="42"/>
  <c r="R130" i="42"/>
  <c r="R101" i="42"/>
  <c r="R106" i="42"/>
  <c r="R114" i="42"/>
  <c r="R124" i="42"/>
  <c r="R132" i="42"/>
  <c r="R139" i="42"/>
  <c r="R100" i="42"/>
  <c r="R107" i="42"/>
  <c r="R125" i="42"/>
  <c r="R127" i="42"/>
  <c r="R129" i="42"/>
  <c r="R131" i="42"/>
  <c r="R133" i="42"/>
  <c r="R13" i="42"/>
  <c r="R22" i="42"/>
  <c r="R29" i="42"/>
  <c r="R37" i="42"/>
  <c r="R30" i="42"/>
  <c r="R32" i="42"/>
  <c r="R36" i="42"/>
  <c r="R53" i="42"/>
  <c r="R61" i="42"/>
  <c r="R73" i="42"/>
  <c r="R50" i="42"/>
  <c r="R54" i="42"/>
  <c r="R58" i="42"/>
  <c r="R62" i="42"/>
  <c r="R64" i="42"/>
  <c r="R70" i="42"/>
  <c r="R72" i="42"/>
  <c r="R77" i="42"/>
  <c r="R15" i="42"/>
  <c r="R17" i="42"/>
  <c r="R21" i="42"/>
  <c r="R23" i="42"/>
  <c r="R28" i="42"/>
  <c r="R34" i="42"/>
  <c r="R38" i="42"/>
  <c r="R40" i="42"/>
  <c r="R45" i="42"/>
  <c r="R47" i="42"/>
  <c r="R49" i="42"/>
  <c r="R78" i="42"/>
  <c r="R80" i="42"/>
  <c r="R86" i="42"/>
  <c r="R88" i="42"/>
  <c r="R93" i="42"/>
  <c r="R12" i="42"/>
  <c r="R20" i="42"/>
  <c r="R31" i="42"/>
  <c r="R33" i="42"/>
  <c r="R35" i="42"/>
  <c r="R57" i="42"/>
  <c r="R63" i="42"/>
  <c r="R65" i="42"/>
  <c r="R69" i="42"/>
  <c r="R71" i="42"/>
  <c r="R94" i="42"/>
  <c r="R96" i="42"/>
  <c r="R10" i="42"/>
  <c r="R19" i="42"/>
  <c r="R24" i="42"/>
  <c r="R26" i="42"/>
  <c r="R11" i="42"/>
  <c r="R16" i="42"/>
  <c r="R18" i="42"/>
  <c r="R27" i="42"/>
  <c r="R44" i="42"/>
  <c r="R383" i="42"/>
  <c r="R52" i="42"/>
  <c r="R55" i="42"/>
  <c r="R60" i="42"/>
  <c r="R67" i="42"/>
  <c r="R74" i="42"/>
  <c r="R76" i="42"/>
  <c r="R83" i="42"/>
  <c r="R90" i="42"/>
  <c r="R92" i="42"/>
  <c r="R102" i="42"/>
  <c r="R104" i="42"/>
  <c r="R113" i="42"/>
  <c r="R118" i="42"/>
  <c r="R120" i="42"/>
  <c r="R134" i="42"/>
  <c r="R136" i="42"/>
  <c r="R138" i="42"/>
  <c r="R145" i="42"/>
  <c r="R152" i="42"/>
  <c r="R157" i="42"/>
  <c r="R159" i="42"/>
  <c r="R168" i="42"/>
  <c r="R173" i="42"/>
  <c r="R175" i="42"/>
  <c r="R184" i="42"/>
  <c r="R189" i="42"/>
  <c r="R191" i="42"/>
  <c r="R200" i="42"/>
  <c r="R205" i="42"/>
  <c r="R207" i="42"/>
  <c r="R216" i="42"/>
  <c r="R221" i="42"/>
  <c r="R223" i="42"/>
  <c r="R232" i="42"/>
  <c r="R237" i="42"/>
  <c r="R239" i="42"/>
  <c r="R248" i="42"/>
  <c r="R257" i="42"/>
  <c r="R262" i="42"/>
  <c r="R264" i="42"/>
  <c r="R273" i="42"/>
  <c r="R278" i="42"/>
  <c r="R280" i="42"/>
  <c r="R373" i="42"/>
  <c r="R396" i="42"/>
  <c r="R398" i="42"/>
  <c r="R43" i="42"/>
  <c r="R48" i="42"/>
  <c r="R51" i="42"/>
  <c r="R56" i="42"/>
  <c r="R59" i="42"/>
  <c r="R66" i="42"/>
  <c r="R68" i="42"/>
  <c r="R75" i="42"/>
  <c r="R82" i="42"/>
  <c r="R84" i="42"/>
  <c r="R91" i="42"/>
  <c r="R98" i="42"/>
  <c r="R105" i="42"/>
  <c r="R110" i="42"/>
  <c r="R112" i="42"/>
  <c r="R121" i="42"/>
  <c r="R126" i="42"/>
  <c r="R128" i="42"/>
  <c r="R137" i="42"/>
  <c r="R144" i="42"/>
  <c r="R146" i="42"/>
  <c r="R149" i="42"/>
  <c r="R151" i="42"/>
  <c r="R160" i="42"/>
  <c r="R165" i="42"/>
  <c r="R167" i="42"/>
  <c r="R176" i="42"/>
  <c r="R181" i="42"/>
  <c r="R183" i="42"/>
  <c r="R192" i="42"/>
  <c r="R197" i="42"/>
  <c r="R199" i="42"/>
  <c r="R208" i="42"/>
  <c r="R213" i="42"/>
  <c r="R215" i="42"/>
  <c r="R224" i="42"/>
  <c r="R229" i="42"/>
  <c r="R231" i="42"/>
  <c r="R240" i="42"/>
  <c r="R245" i="42"/>
  <c r="R247" i="42"/>
  <c r="R254" i="42"/>
  <c r="R256" i="42"/>
  <c r="R265" i="42"/>
  <c r="R270" i="42"/>
  <c r="R272" i="42"/>
  <c r="R281" i="42"/>
  <c r="R358" i="42"/>
  <c r="R360" i="42"/>
  <c r="R372" i="42"/>
  <c r="R374" i="42"/>
  <c r="R381" i="42"/>
  <c r="R388" i="42"/>
  <c r="R390" i="42"/>
  <c r="R397" i="42"/>
  <c r="C4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AB4" i="41"/>
  <c r="Z4" i="41"/>
  <c r="W4" i="41"/>
  <c r="F4" i="41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AB4" i="40"/>
  <c r="Z4" i="40"/>
  <c r="W4" i="40"/>
  <c r="F4" i="40"/>
  <c r="C24" i="45" l="1"/>
  <c r="C27" i="45"/>
  <c r="D27" i="45" s="1"/>
  <c r="C26" i="45"/>
  <c r="D26" i="45" s="1"/>
  <c r="C25" i="45"/>
  <c r="D25" i="45" s="1"/>
  <c r="R9" i="41"/>
  <c r="R10" i="41"/>
  <c r="R12" i="41"/>
  <c r="R13" i="41"/>
  <c r="R14" i="41"/>
  <c r="R16" i="41"/>
  <c r="R17" i="41"/>
  <c r="R18" i="41"/>
  <c r="R20" i="41"/>
  <c r="R21" i="41"/>
  <c r="R22" i="41"/>
  <c r="R24" i="41"/>
  <c r="R25" i="41"/>
  <c r="R26" i="41"/>
  <c r="R28" i="41"/>
  <c r="R29" i="41"/>
  <c r="R30" i="41"/>
  <c r="R32" i="41"/>
  <c r="R33" i="41"/>
  <c r="R34" i="41"/>
  <c r="R36" i="41"/>
  <c r="R37" i="41"/>
  <c r="R38" i="41"/>
  <c r="R40" i="41"/>
  <c r="R41" i="41"/>
  <c r="R42" i="41"/>
  <c r="R9" i="40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11" i="41"/>
  <c r="R15" i="41"/>
  <c r="R19" i="41"/>
  <c r="R23" i="41"/>
  <c r="R27" i="41"/>
  <c r="R31" i="41"/>
  <c r="R35" i="41"/>
  <c r="R39" i="41"/>
  <c r="D24" i="45" l="1"/>
  <c r="C28" i="45"/>
  <c r="D28" i="45" s="1"/>
  <c r="K38" i="3"/>
  <c r="Q38" i="3"/>
  <c r="R38" i="3" s="1"/>
  <c r="K39" i="3"/>
  <c r="Q39" i="3"/>
  <c r="R39" i="3" s="1"/>
  <c r="K40" i="3"/>
  <c r="Q40" i="3"/>
  <c r="K41" i="3"/>
  <c r="Q41" i="3"/>
  <c r="R41" i="3" s="1"/>
  <c r="K42" i="3"/>
  <c r="Q42" i="3"/>
  <c r="K43" i="3"/>
  <c r="Q43" i="3"/>
  <c r="K44" i="3"/>
  <c r="Q44" i="3"/>
  <c r="K45" i="3"/>
  <c r="Q45" i="3"/>
  <c r="R45" i="3" s="1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R53" i="3" s="1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R71" i="3" s="1"/>
  <c r="K72" i="3"/>
  <c r="Q72" i="3"/>
  <c r="K73" i="3"/>
  <c r="Q73" i="3"/>
  <c r="R73" i="3" s="1"/>
  <c r="K74" i="3"/>
  <c r="Q74" i="3"/>
  <c r="K75" i="3"/>
  <c r="Q75" i="3"/>
  <c r="K76" i="3"/>
  <c r="Q76" i="3"/>
  <c r="K77" i="3"/>
  <c r="Q77" i="3"/>
  <c r="R77" i="3" s="1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R85" i="3" s="1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38" i="39"/>
  <c r="Q38" i="39"/>
  <c r="K39" i="39"/>
  <c r="Q39" i="39"/>
  <c r="K40" i="39"/>
  <c r="Q40" i="39"/>
  <c r="K41" i="39"/>
  <c r="Q4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R66" i="38" l="1"/>
  <c r="R58" i="38"/>
  <c r="R40" i="39"/>
  <c r="R73" i="38"/>
  <c r="R57" i="38"/>
  <c r="R57" i="37"/>
  <c r="R53" i="37"/>
  <c r="R49" i="37"/>
  <c r="R45" i="37"/>
  <c r="R41" i="37"/>
  <c r="R99" i="38"/>
  <c r="R97" i="38"/>
  <c r="R93" i="38"/>
  <c r="R91" i="38"/>
  <c r="R89" i="38"/>
  <c r="R83" i="38"/>
  <c r="R41" i="39"/>
  <c r="R39" i="39"/>
  <c r="R70" i="3"/>
  <c r="R55" i="37"/>
  <c r="R51" i="37"/>
  <c r="R47" i="37"/>
  <c r="R43" i="37"/>
  <c r="R39" i="37"/>
  <c r="R42" i="38"/>
  <c r="R81" i="38"/>
  <c r="R77" i="38"/>
  <c r="R75" i="38"/>
  <c r="R98" i="38"/>
  <c r="R90" i="38"/>
  <c r="R65" i="38"/>
  <c r="R61" i="38"/>
  <c r="R59" i="38"/>
  <c r="R69" i="3"/>
  <c r="R41" i="38"/>
  <c r="R105" i="38"/>
  <c r="R106" i="38"/>
  <c r="R109" i="38"/>
  <c r="R107" i="38"/>
  <c r="R82" i="38"/>
  <c r="R74" i="38"/>
  <c r="R49" i="38"/>
  <c r="R45" i="38"/>
  <c r="R43" i="38"/>
  <c r="R93" i="3"/>
  <c r="R89" i="3"/>
  <c r="R87" i="3"/>
  <c r="R54" i="3"/>
  <c r="R86" i="3"/>
  <c r="R61" i="3"/>
  <c r="R57" i="3"/>
  <c r="R55" i="3"/>
  <c r="R101" i="38"/>
  <c r="R85" i="38"/>
  <c r="R69" i="38"/>
  <c r="R67" i="38"/>
  <c r="R53" i="38"/>
  <c r="R51" i="38"/>
  <c r="R50" i="38"/>
  <c r="R58" i="37"/>
  <c r="R56" i="37"/>
  <c r="R54" i="37"/>
  <c r="R52" i="37"/>
  <c r="R50" i="37"/>
  <c r="R48" i="37"/>
  <c r="R46" i="37"/>
  <c r="R44" i="37"/>
  <c r="R42" i="37"/>
  <c r="R40" i="37"/>
  <c r="R38" i="37"/>
  <c r="R97" i="3"/>
  <c r="R95" i="3"/>
  <c r="R94" i="3"/>
  <c r="R81" i="3"/>
  <c r="R79" i="3"/>
  <c r="R78" i="3"/>
  <c r="R65" i="3"/>
  <c r="R63" i="3"/>
  <c r="R62" i="3"/>
  <c r="R49" i="3"/>
  <c r="R47" i="3"/>
  <c r="R46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38" i="39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39" s="1"/>
  <c r="Z4" i="38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Z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<sst xmlns="http://schemas.openxmlformats.org/spreadsheetml/2006/main" count="17054" uniqueCount="2964">
  <si>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</si>
  <si>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</si>
  <si>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</si>
  <si>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</si>
  <si>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</si>
  <si>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</si>
  <si>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</si>
  <si>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</si>
  <si>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</si>
  <si>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</si>
  <si>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</si>
  <si>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</si>
  <si>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</si>
  <si>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</si>
  <si>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</si>
  <si>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</si>
  <si>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</si>
  <si>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</si>
  <si>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</si>
  <si>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</si>
  <si>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</si>
  <si>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</si>
  <si>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</si>
  <si>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</si>
  <si>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</si>
  <si>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</si>
  <si>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</si>
  <si>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</si>
  <si>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</si>
  <si>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</si>
  <si>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</si>
  <si>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</si>
  <si>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</si>
  <si>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</si>
  <si>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</si>
  <si>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</si>
  <si>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</si>
  <si>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</si>
  <si>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</si>
  <si>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</si>
  <si>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</si>
  <si>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</si>
  <si>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</si>
  <si>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</si>
  <si>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</si>
  <si>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Nyakasharu</t>
  </si>
  <si>
    <t>Kigali</t>
  </si>
  <si>
    <t>Congo</t>
  </si>
  <si>
    <t>Kagezi</t>
  </si>
  <si>
    <t>Bwindi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</si>
  <si>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</si>
  <si>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</si>
  <si>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</si>
  <si>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</si>
  <si>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</si>
  <si>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</si>
  <si>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</si>
  <si>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</si>
  <si>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</si>
  <si>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</si>
  <si>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Dar-el-salama</t>
  </si>
  <si>
    <t>kampala</t>
  </si>
  <si>
    <t>Nkugute</t>
  </si>
  <si>
    <t>Kisenyi</t>
  </si>
  <si>
    <t>Kalinzu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</si>
  <si>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</si>
  <si>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</si>
  <si>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</si>
  <si>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</si>
  <si>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</si>
  <si>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</si>
  <si>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</si>
  <si>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</si>
  <si>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</si>
  <si>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</si>
  <si>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</si>
  <si>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</si>
  <si>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</si>
  <si>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</si>
  <si>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</si>
  <si>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</si>
  <si>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</si>
  <si>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</si>
  <si>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</si>
  <si>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</si>
  <si>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</si>
  <si>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</si>
  <si>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</si>
  <si>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</si>
  <si>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</si>
  <si>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</si>
  <si>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</si>
  <si>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</si>
  <si>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</si>
  <si>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</si>
  <si>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</si>
  <si>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</si>
  <si>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</si>
  <si>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</si>
  <si>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</si>
  <si>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</si>
  <si>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</si>
  <si>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</si>
  <si>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</si>
  <si>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</si>
  <si>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</si>
  <si>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</si>
  <si>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</si>
  <si>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</si>
  <si>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</si>
  <si>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</si>
  <si>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</si>
  <si>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</si>
  <si>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</si>
  <si>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</si>
  <si>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</si>
  <si>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</si>
  <si>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</si>
  <si>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</si>
  <si>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</si>
  <si>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</si>
  <si>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</si>
  <si>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</si>
  <si>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</si>
  <si>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</si>
  <si>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</si>
  <si>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</si>
  <si>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</si>
  <si>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</si>
  <si>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</si>
  <si>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</si>
  <si>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</si>
  <si>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</si>
  <si>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</si>
  <si>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</si>
  <si>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</si>
  <si>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</si>
  <si>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</si>
  <si>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</si>
  <si>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</si>
  <si>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</si>
  <si>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</si>
  <si>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</si>
  <si>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</si>
  <si>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</si>
  <si>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</si>
  <si>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</si>
  <si>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</si>
  <si>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</si>
  <si>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</si>
  <si>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</si>
  <si>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</si>
  <si>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</si>
  <si>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</si>
  <si>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</si>
  <si>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</si>
  <si>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</si>
  <si>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</si>
  <si>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</si>
  <si>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01.08.19</t>
  </si>
  <si>
    <t>Irene, Enock B, Goeffrey I</t>
  </si>
  <si>
    <t>Isaac</t>
  </si>
  <si>
    <t>Goeffrey I, Justus B,</t>
  </si>
  <si>
    <t>02.08.19</t>
  </si>
  <si>
    <t>Irene, Enock</t>
  </si>
  <si>
    <t>Geoffrey I, Justus B</t>
  </si>
  <si>
    <t>Atiak Nimule</t>
  </si>
  <si>
    <t>Nimule</t>
  </si>
  <si>
    <t>Atiak</t>
  </si>
  <si>
    <t>03.08.19</t>
  </si>
  <si>
    <t>Elegu</t>
  </si>
  <si>
    <t>Amuru</t>
  </si>
  <si>
    <t>Gulu</t>
  </si>
  <si>
    <t>Juba</t>
  </si>
  <si>
    <t>Logo</t>
  </si>
  <si>
    <t>Mayeri</t>
  </si>
  <si>
    <t>Abolokodi</t>
  </si>
  <si>
    <t>Lego</t>
  </si>
  <si>
    <t>Bibio</t>
  </si>
  <si>
    <t>UGA</t>
  </si>
  <si>
    <t>CON</t>
  </si>
  <si>
    <t xml:space="preserve">Bombo </t>
  </si>
  <si>
    <t>Luweero</t>
  </si>
  <si>
    <t>Kampala</t>
  </si>
  <si>
    <t>Mombasa</t>
  </si>
  <si>
    <t>Nateete</t>
  </si>
  <si>
    <t>Jinja</t>
  </si>
  <si>
    <t>Molole</t>
  </si>
  <si>
    <t>Kawempe</t>
  </si>
  <si>
    <t>Eldoret</t>
  </si>
  <si>
    <t>Nairobi</t>
  </si>
  <si>
    <t>Kyolulangira</t>
  </si>
  <si>
    <t>Rakai</t>
  </si>
  <si>
    <t>Yabu</t>
  </si>
  <si>
    <t>Aboke</t>
  </si>
  <si>
    <t>Nalukolongo</t>
  </si>
  <si>
    <t>Bweyare</t>
  </si>
  <si>
    <t>Kiryandongo</t>
  </si>
  <si>
    <t>Munyonyo</t>
  </si>
  <si>
    <t>Kibuye</t>
  </si>
  <si>
    <t>KEN</t>
  </si>
  <si>
    <t>Tororo</t>
  </si>
  <si>
    <t>Bukasa</t>
  </si>
  <si>
    <t>Ntinda</t>
  </si>
  <si>
    <t>Nakawa</t>
  </si>
  <si>
    <t>Muyenga</t>
  </si>
  <si>
    <t>Pabor</t>
  </si>
  <si>
    <t>Pawer Ba Ngeta</t>
  </si>
  <si>
    <t>Bibia</t>
  </si>
  <si>
    <t>South Sudan</t>
  </si>
  <si>
    <t>Iregu</t>
  </si>
  <si>
    <t>Igeru</t>
  </si>
  <si>
    <t>SUD</t>
  </si>
  <si>
    <t>Lira</t>
  </si>
  <si>
    <t>Makindye</t>
  </si>
  <si>
    <t>Eldort</t>
  </si>
  <si>
    <t>Bugolobi</t>
  </si>
  <si>
    <t>Kayunga</t>
  </si>
  <si>
    <t>Namboole</t>
  </si>
  <si>
    <t>Otwe</t>
  </si>
  <si>
    <t>Kitgum</t>
  </si>
  <si>
    <t>Parra Bek</t>
  </si>
  <si>
    <t>Lamwo</t>
  </si>
  <si>
    <t>Industrial Area</t>
  </si>
  <si>
    <t>Orel Sugar Works</t>
  </si>
  <si>
    <t>Pakiso</t>
  </si>
  <si>
    <t>Namanve</t>
  </si>
  <si>
    <t>Ndeeba</t>
  </si>
  <si>
    <t>Mbale</t>
  </si>
  <si>
    <t>Kasenge</t>
  </si>
  <si>
    <t>Mbarara</t>
  </si>
  <si>
    <t>Pakwach</t>
  </si>
  <si>
    <t>Luzira</t>
  </si>
  <si>
    <t>Nakuru</t>
  </si>
  <si>
    <t>Lacor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</si>
  <si>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</si>
  <si>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</si>
  <si>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</si>
  <si>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</si>
  <si>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</si>
  <si>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</si>
  <si>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</si>
  <si>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</si>
  <si>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</si>
  <si>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</si>
  <si>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</si>
  <si>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</si>
  <si>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</si>
  <si>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</si>
  <si>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</si>
  <si>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</si>
  <si>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</si>
  <si>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</si>
  <si>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</si>
  <si>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</si>
  <si>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</si>
  <si>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</si>
  <si>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</si>
  <si>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</si>
  <si>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</si>
  <si>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</si>
  <si>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</si>
  <si>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</si>
  <si>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</si>
  <si>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</si>
  <si>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</si>
  <si>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</si>
  <si>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</si>
  <si>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</si>
  <si>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</si>
  <si>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</si>
  <si>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</si>
  <si>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</si>
  <si>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</si>
  <si>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</si>
  <si>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</si>
  <si>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</si>
  <si>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</si>
  <si>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</si>
  <si>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</si>
  <si>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</si>
  <si>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</si>
  <si>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</si>
  <si>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</si>
  <si>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</si>
  <si>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</si>
  <si>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</si>
  <si>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</si>
  <si>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</si>
  <si>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</si>
  <si>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</si>
  <si>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</si>
  <si>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</si>
  <si>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</si>
  <si>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</si>
  <si>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</si>
  <si>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</si>
  <si>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</si>
  <si>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</si>
  <si>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</si>
  <si>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</si>
  <si>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</si>
  <si>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</si>
  <si>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</si>
  <si>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</si>
  <si>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</si>
  <si>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</si>
  <si>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</si>
  <si>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</si>
  <si>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</si>
  <si>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</si>
  <si>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</si>
  <si>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</si>
  <si>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</si>
  <si>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</si>
  <si>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</si>
  <si>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</si>
  <si>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</si>
  <si>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</si>
  <si>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</si>
  <si>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</si>
  <si>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</si>
  <si>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</si>
  <si>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Kilak</t>
  </si>
  <si>
    <t>Amuru Town Council</t>
  </si>
  <si>
    <t>Amur town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</si>
  <si>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</si>
  <si>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</si>
  <si>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</si>
  <si>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</si>
  <si>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</si>
  <si>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</si>
  <si>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</si>
  <si>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</si>
  <si>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</si>
  <si>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</si>
  <si>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</si>
  <si>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</si>
  <si>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</si>
  <si>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</si>
  <si>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</si>
  <si>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</si>
  <si>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</si>
  <si>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</si>
  <si>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</si>
  <si>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</si>
  <si>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</si>
  <si>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</si>
  <si>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</si>
  <si>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</si>
  <si>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</si>
  <si>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</si>
  <si>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</si>
  <si>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</si>
  <si>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</si>
  <si>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</si>
  <si>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</si>
  <si>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</si>
  <si>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</si>
  <si>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</si>
  <si>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</si>
  <si>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</si>
  <si>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</si>
  <si>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</si>
  <si>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</si>
  <si>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</si>
  <si>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</si>
  <si>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</si>
  <si>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</si>
  <si>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</si>
  <si>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</si>
  <si>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</si>
  <si>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</si>
  <si>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</si>
  <si>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</si>
  <si>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</si>
  <si>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</si>
  <si>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</si>
  <si>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</si>
  <si>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</si>
  <si>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</si>
  <si>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</si>
  <si>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</si>
  <si>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</si>
  <si>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</si>
  <si>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</si>
  <si>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</si>
  <si>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</si>
  <si>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</si>
  <si>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</si>
  <si>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</si>
  <si>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</si>
  <si>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</si>
  <si>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</si>
  <si>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</si>
  <si>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</si>
  <si>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</si>
  <si>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</si>
  <si>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</si>
  <si>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</si>
  <si>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</si>
  <si>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</si>
  <si>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</si>
  <si>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</si>
  <si>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</si>
  <si>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</si>
  <si>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</si>
  <si>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</si>
  <si>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</si>
  <si>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</si>
  <si>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</si>
  <si>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</si>
  <si>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</si>
  <si>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</si>
  <si>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</si>
  <si>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</si>
  <si>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</si>
  <si>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</si>
  <si>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</si>
  <si>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BUHWEJJU</t>
  </si>
  <si>
    <t>Bitsya</t>
  </si>
  <si>
    <t>Burere</t>
  </si>
  <si>
    <t>Engaju</t>
  </si>
  <si>
    <t>Karungu</t>
  </si>
  <si>
    <t>Nsiika Town Council</t>
  </si>
  <si>
    <t>NSIKA</t>
  </si>
  <si>
    <t>NSIIKA</t>
  </si>
  <si>
    <t>Nyakishana</t>
  </si>
  <si>
    <t>Rwengwe</t>
  </si>
  <si>
    <t>Buikwe</t>
  </si>
  <si>
    <t>Namalili</t>
  </si>
  <si>
    <t>Butaale</t>
  </si>
  <si>
    <t>Lweru</t>
  </si>
  <si>
    <t>Buikwe Town Council</t>
  </si>
  <si>
    <t>NAJJEMBA</t>
  </si>
  <si>
    <t>NAJEMBA</t>
  </si>
  <si>
    <t>Buyikwe</t>
  </si>
  <si>
    <t>BUIKWE TOWN</t>
  </si>
  <si>
    <t>Lugazi Municipality</t>
  </si>
  <si>
    <t>LUGAZI</t>
  </si>
  <si>
    <t>Namagunga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</si>
  <si>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</si>
  <si>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</si>
  <si>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</si>
  <si>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</si>
  <si>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</si>
  <si>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</si>
  <si>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</si>
  <si>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</si>
  <si>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</si>
  <si>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</si>
  <si>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</si>
  <si>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</si>
  <si>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</si>
  <si>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</si>
  <si>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</si>
  <si>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</si>
  <si>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</si>
  <si>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</si>
  <si>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</si>
  <si>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</si>
  <si>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</si>
  <si>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</si>
  <si>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</si>
  <si>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</si>
  <si>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</si>
  <si>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</si>
  <si>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</si>
  <si>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</si>
  <si>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</si>
  <si>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</si>
  <si>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</si>
  <si>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</si>
  <si>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</si>
  <si>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</si>
  <si>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</si>
  <si>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</si>
  <si>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</si>
  <si>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</si>
  <si>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</si>
  <si>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</si>
  <si>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</si>
  <si>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</si>
  <si>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</si>
  <si>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</si>
  <si>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</si>
  <si>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</si>
  <si>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</si>
  <si>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</si>
  <si>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</si>
  <si>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</si>
  <si>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</si>
  <si>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</si>
  <si>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</si>
  <si>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</si>
  <si>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</si>
  <si>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</si>
  <si>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</si>
  <si>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</si>
  <si>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</si>
  <si>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</si>
  <si>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</si>
  <si>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</si>
  <si>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</si>
  <si>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</si>
  <si>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BUNDIBUJO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</si>
  <si>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</si>
  <si>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</si>
  <si>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</si>
  <si>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</si>
  <si>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</si>
  <si>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</si>
  <si>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</si>
  <si>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</si>
  <si>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</si>
  <si>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</si>
  <si>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</si>
  <si>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</si>
  <si>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</si>
  <si>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</si>
  <si>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</si>
  <si>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</si>
  <si>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</si>
  <si>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</si>
  <si>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</si>
  <si>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</si>
  <si>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</si>
  <si>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</si>
  <si>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</si>
  <si>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</si>
  <si>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</si>
  <si>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</si>
  <si>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</si>
  <si>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</si>
  <si>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</si>
  <si>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</si>
  <si>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</si>
  <si>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</si>
  <si>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</si>
  <si>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BUSHENYI TOWN</t>
  </si>
  <si>
    <t>KYAMUNWUGA</t>
  </si>
  <si>
    <t>ISHAKA</t>
  </si>
  <si>
    <t>BWERENYANGI</t>
  </si>
  <si>
    <t>Munyonyi</t>
  </si>
  <si>
    <t>Ibaare</t>
  </si>
  <si>
    <t>Kakanju</t>
  </si>
  <si>
    <t>Kyabugimbi</t>
  </si>
  <si>
    <t>Kyamuhonga</t>
  </si>
  <si>
    <t>Mashonga</t>
  </si>
  <si>
    <t>Kyamuhunga Town Council</t>
  </si>
  <si>
    <t>Kyeizooba</t>
  </si>
  <si>
    <t>Nyabubare</t>
  </si>
  <si>
    <t>Kizinda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</si>
  <si>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</si>
  <si>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</si>
  <si>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</si>
  <si>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</si>
  <si>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</si>
  <si>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</si>
  <si>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</si>
  <si>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</si>
  <si>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</si>
  <si>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</si>
  <si>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</si>
  <si>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</si>
  <si>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</si>
  <si>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</si>
  <si>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</si>
  <si>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</si>
  <si>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</si>
  <si>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</si>
  <si>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</si>
  <si>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</si>
  <si>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</si>
  <si>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</si>
  <si>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</si>
  <si>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</si>
  <si>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</si>
  <si>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</si>
  <si>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</si>
  <si>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</si>
  <si>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</si>
  <si>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</si>
  <si>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</si>
  <si>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</si>
  <si>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</si>
  <si>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</si>
  <si>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</si>
  <si>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</si>
  <si>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</si>
  <si>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</si>
  <si>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Buyala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</si>
  <si>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</si>
  <si>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</si>
  <si>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</si>
  <si>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</si>
  <si>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</si>
  <si>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</si>
  <si>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</si>
  <si>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</si>
  <si>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 xml:space="preserve">KIBALE 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</si>
  <si>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</si>
  <si>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</si>
  <si>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</si>
  <si>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</si>
  <si>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</si>
  <si>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</si>
  <si>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</si>
  <si>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</si>
  <si>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</si>
  <si>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</si>
  <si>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Lusaze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</si>
  <si>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</si>
  <si>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</si>
  <si>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</si>
  <si>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</si>
  <si>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</si>
  <si>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</si>
  <si>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</si>
  <si>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</si>
  <si>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</si>
  <si>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</si>
  <si>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</si>
  <si>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</si>
  <si>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</si>
  <si>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</si>
  <si>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</si>
  <si>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</si>
  <si>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</si>
  <si>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</si>
  <si>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</si>
  <si>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</si>
  <si>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</si>
  <si>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</si>
  <si>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</si>
  <si>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</si>
  <si>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</si>
  <si>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</si>
  <si>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</si>
  <si>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</si>
  <si>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</si>
  <si>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</si>
  <si>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</si>
  <si>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</si>
  <si>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</si>
  <si>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</si>
  <si>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</si>
  <si>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</si>
  <si>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Hoima</t>
  </si>
  <si>
    <t>Buhaguzi</t>
  </si>
  <si>
    <t>Kitwetwe</t>
  </si>
  <si>
    <t>Buhanika</t>
  </si>
  <si>
    <t>Bugahya</t>
  </si>
  <si>
    <t>Buhimba</t>
  </si>
  <si>
    <t>Hoima Municipality</t>
  </si>
  <si>
    <t>HOIMA</t>
  </si>
  <si>
    <t>HOIMA TOWN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</si>
  <si>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</si>
  <si>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</si>
  <si>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</si>
  <si>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</si>
  <si>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</si>
  <si>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</si>
  <si>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</si>
  <si>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</si>
  <si>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Bugoma</t>
  </si>
  <si>
    <t>Ibanda Municipality</t>
  </si>
  <si>
    <t>IBANDA</t>
  </si>
  <si>
    <t>Kyambula</t>
  </si>
  <si>
    <t>Kyambura</t>
  </si>
  <si>
    <t>IBANDA TOWN</t>
  </si>
  <si>
    <t>RUHUMBA</t>
  </si>
  <si>
    <t>Kakinga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</si>
  <si>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</si>
  <si>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</si>
  <si>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</si>
  <si>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</si>
  <si>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</si>
  <si>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</si>
  <si>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</si>
  <si>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</si>
  <si>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IGORORA</t>
  </si>
  <si>
    <t>Nyamarebe</t>
  </si>
  <si>
    <t>Rukiri</t>
  </si>
  <si>
    <t>KASHARI</t>
  </si>
  <si>
    <t>KAGONGO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</si>
  <si>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</si>
  <si>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</si>
  <si>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</si>
  <si>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</si>
  <si>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</si>
  <si>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</si>
  <si>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</si>
  <si>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</si>
  <si>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</si>
  <si>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</si>
  <si>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</si>
  <si>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</si>
  <si>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</si>
  <si>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</si>
  <si>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</si>
  <si>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</si>
  <si>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</si>
  <si>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</si>
  <si>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</si>
  <si>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</si>
  <si>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</si>
  <si>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</si>
  <si>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Kyera</t>
  </si>
  <si>
    <t>KISHURO</t>
  </si>
  <si>
    <t>RWAKIRURI</t>
  </si>
  <si>
    <t>KYAMUSHOKA</t>
  </si>
  <si>
    <t>KAHENDA</t>
  </si>
  <si>
    <t>KASHUMBA</t>
  </si>
  <si>
    <t>Endiinzi</t>
  </si>
  <si>
    <t>Bukanga</t>
  </si>
  <si>
    <t>Endiinzi Town Council</t>
  </si>
  <si>
    <t>Isingiro Town Council</t>
  </si>
  <si>
    <t>ISINGRO</t>
  </si>
  <si>
    <t>ISIGIRO TOWN</t>
  </si>
  <si>
    <t>ISINGIRO TOWN</t>
  </si>
  <si>
    <t>ISINGIRO</t>
  </si>
  <si>
    <t>KIKAGATI</t>
  </si>
  <si>
    <t>KIGAGATI</t>
  </si>
  <si>
    <t>KITAGATI</t>
  </si>
  <si>
    <t>Kaberebere Town Council</t>
  </si>
  <si>
    <t>KABEREBERE</t>
  </si>
  <si>
    <t>Kabingo</t>
  </si>
  <si>
    <t>MABONA</t>
  </si>
  <si>
    <t>Kabuyanda</t>
  </si>
  <si>
    <t>Kabuyanda Town Council</t>
  </si>
  <si>
    <t>Kakamba-Isingiro</t>
  </si>
  <si>
    <t>Kikagate</t>
  </si>
  <si>
    <t>Masha</t>
  </si>
  <si>
    <t>NYABUSHOZI</t>
  </si>
  <si>
    <t>NYABUSHONZI</t>
  </si>
  <si>
    <t>NYAMISINDO</t>
  </si>
  <si>
    <t>Nyamitsindo</t>
  </si>
  <si>
    <t>Mbaare</t>
  </si>
  <si>
    <t>Nakivale Refugee Camp</t>
  </si>
  <si>
    <t>NAKIVALE</t>
  </si>
  <si>
    <t>NAKIVALA</t>
  </si>
  <si>
    <t>Ngarama</t>
  </si>
  <si>
    <t>Nyakitunda</t>
  </si>
  <si>
    <t>NTUNGU</t>
  </si>
  <si>
    <t>Nyamuyanja</t>
  </si>
  <si>
    <t>Oruchinga Refugee Camp</t>
  </si>
  <si>
    <t>Ruborogota</t>
  </si>
  <si>
    <t>Rugaaga</t>
  </si>
  <si>
    <t>RUGAGA</t>
  </si>
  <si>
    <t>KITYAZA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</si>
  <si>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</si>
  <si>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</si>
  <si>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</si>
  <si>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</si>
  <si>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</si>
  <si>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</si>
  <si>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</si>
  <si>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</si>
  <si>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</si>
  <si>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</si>
  <si>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</si>
  <si>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Walukuba</t>
  </si>
  <si>
    <t>Nagalama</t>
  </si>
  <si>
    <t>Masese</t>
  </si>
  <si>
    <t>Jinja town</t>
  </si>
  <si>
    <t>Kakira Town Council</t>
  </si>
  <si>
    <t xml:space="preserve">Kakira  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</si>
  <si>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</si>
  <si>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</si>
  <si>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</si>
  <si>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</si>
  <si>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</si>
  <si>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</si>
  <si>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</si>
  <si>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</si>
  <si>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</si>
  <si>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</si>
  <si>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</si>
  <si>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</si>
  <si>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</si>
  <si>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</si>
  <si>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</si>
  <si>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</si>
  <si>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</si>
  <si>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</si>
  <si>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</si>
  <si>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</si>
  <si>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</si>
  <si>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</si>
  <si>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</si>
  <si>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Bunyonyi</t>
  </si>
  <si>
    <t>KABALE</t>
  </si>
  <si>
    <t>Rubanda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</si>
  <si>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</si>
  <si>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</si>
  <si>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</si>
  <si>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</si>
  <si>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</si>
  <si>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</si>
  <si>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</si>
  <si>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</si>
  <si>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</si>
  <si>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</si>
  <si>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</si>
  <si>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</si>
  <si>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</si>
  <si>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</si>
  <si>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 xml:space="preserve">FORT </t>
  </si>
  <si>
    <t>FORT PORTAL TOWN</t>
  </si>
  <si>
    <t>FORT 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</si>
  <si>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</si>
  <si>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</si>
  <si>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</si>
  <si>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</si>
  <si>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</si>
  <si>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</si>
  <si>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</si>
  <si>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</si>
  <si>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</si>
  <si>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Kitojjo</t>
  </si>
  <si>
    <t>Kitojo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</si>
  <si>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</si>
  <si>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</si>
  <si>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</si>
  <si>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</si>
  <si>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</si>
  <si>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</si>
  <si>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</si>
  <si>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</si>
  <si>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</si>
  <si>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</si>
  <si>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</si>
  <si>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</si>
  <si>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</si>
  <si>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</si>
  <si>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</si>
  <si>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</si>
  <si>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</si>
  <si>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</si>
  <si>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</si>
  <si>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</si>
  <si>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</si>
  <si>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</si>
  <si>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</si>
  <si>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</si>
  <si>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</si>
  <si>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</si>
  <si>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</si>
  <si>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</si>
  <si>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</si>
  <si>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</si>
  <si>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</si>
  <si>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</si>
  <si>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</si>
  <si>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</si>
  <si>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</si>
  <si>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</si>
  <si>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</si>
  <si>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</si>
  <si>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</si>
  <si>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</si>
  <si>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</si>
  <si>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</si>
  <si>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</si>
  <si>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</si>
  <si>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</si>
  <si>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</si>
  <si>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</si>
  <si>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</si>
  <si>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</si>
  <si>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</si>
  <si>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</si>
  <si>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</si>
  <si>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</si>
  <si>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</si>
  <si>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</si>
  <si>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</si>
  <si>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</si>
  <si>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</si>
  <si>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</si>
  <si>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</si>
  <si>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</si>
  <si>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</si>
  <si>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 TOWN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</si>
  <si>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</si>
  <si>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</si>
  <si>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</si>
  <si>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</si>
  <si>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</si>
  <si>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</si>
  <si>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</si>
  <si>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</si>
  <si>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</si>
  <si>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</si>
  <si>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</si>
  <si>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</si>
  <si>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</si>
  <si>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</si>
  <si>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KCCA</t>
  </si>
  <si>
    <t>Nakawa Division</t>
  </si>
  <si>
    <t>Namuwonge</t>
  </si>
  <si>
    <t>Village mall</t>
  </si>
  <si>
    <t>VILLAGE MLL</t>
  </si>
  <si>
    <t>Namuwongo</t>
  </si>
  <si>
    <t>WABIGOLO</t>
  </si>
  <si>
    <t>IHK</t>
  </si>
  <si>
    <t>Tanka</t>
  </si>
  <si>
    <t>Makindye Division</t>
  </si>
  <si>
    <t>NAKABUGO</t>
  </si>
  <si>
    <t>Bukesa</t>
  </si>
  <si>
    <t>Central Division</t>
  </si>
  <si>
    <t>KABIRA C.C</t>
  </si>
  <si>
    <t>Neo Genesis</t>
  </si>
  <si>
    <t>KPS</t>
  </si>
  <si>
    <t>KAMPALA PARENTS SCHOOL</t>
  </si>
  <si>
    <t>Kikulu Zone</t>
  </si>
  <si>
    <t>Kira road</t>
  </si>
  <si>
    <t>KIIRA ROAD</t>
  </si>
  <si>
    <t>Busega</t>
  </si>
  <si>
    <t>Rubaga Division</t>
  </si>
  <si>
    <t>Lugala</t>
  </si>
  <si>
    <t>LUNGALA</t>
  </si>
  <si>
    <t>Munaku</t>
  </si>
  <si>
    <t>Wakasanke</t>
  </si>
  <si>
    <t>Masanafu</t>
  </si>
  <si>
    <t>Butabika</t>
  </si>
  <si>
    <t>Kirombe</t>
  </si>
  <si>
    <t>Buziga</t>
  </si>
  <si>
    <t>Bwaise</t>
  </si>
  <si>
    <t>Kawempe Division</t>
  </si>
  <si>
    <t>Civic Centre</t>
  </si>
  <si>
    <t>KCCA CITY HALL</t>
  </si>
  <si>
    <t>Wilson Road</t>
  </si>
  <si>
    <t>UMI</t>
  </si>
  <si>
    <t>1st street</t>
  </si>
  <si>
    <t>Uga Chick</t>
  </si>
  <si>
    <t>Kamukamu</t>
  </si>
  <si>
    <t>William strt</t>
  </si>
  <si>
    <t>UMA show ground</t>
  </si>
  <si>
    <t>Bus park kla</t>
  </si>
  <si>
    <t>Bus Park</t>
  </si>
  <si>
    <t>Planning House</t>
  </si>
  <si>
    <t>MTN Arena</t>
  </si>
  <si>
    <t>KAMPALA  ROAD</t>
  </si>
  <si>
    <t>Kampala rd</t>
  </si>
  <si>
    <t>KPALA</t>
  </si>
  <si>
    <t>CITY KAMPALA</t>
  </si>
  <si>
    <t>FOREIGN AFFAIRS</t>
  </si>
  <si>
    <t xml:space="preserve"> KAMPALA CITY</t>
  </si>
  <si>
    <t>Buganda road</t>
  </si>
  <si>
    <t>Equtorial hotel</t>
  </si>
  <si>
    <t>Uganda house</t>
  </si>
  <si>
    <t>SHOPRITE</t>
  </si>
  <si>
    <t>Oasis mall</t>
  </si>
  <si>
    <t>kk hotel</t>
  </si>
  <si>
    <t>TOWN KAMPALA</t>
  </si>
  <si>
    <t>MINISTRY OF WORKS</t>
  </si>
  <si>
    <t>Namirembe road</t>
  </si>
  <si>
    <t>QUALICELL</t>
  </si>
  <si>
    <t>Ssebagala rd</t>
  </si>
  <si>
    <t>INDUSTRAIL AREA</t>
  </si>
  <si>
    <t>NABUGABO PLAZA</t>
  </si>
  <si>
    <t>Mini price</t>
  </si>
  <si>
    <t>MINI PRIZE</t>
  </si>
  <si>
    <t>CAPITAL SHOPPERS</t>
  </si>
  <si>
    <t>William street</t>
  </si>
  <si>
    <t>KAMPALA CENTRAL</t>
  </si>
  <si>
    <t>Down town</t>
  </si>
  <si>
    <t>KIIKUBO</t>
  </si>
  <si>
    <t>Parliament</t>
  </si>
  <si>
    <t>MUKWANO ARCADE</t>
  </si>
  <si>
    <t>Gazaland</t>
  </si>
  <si>
    <t>PIONEER MALL</t>
  </si>
  <si>
    <t>New vision</t>
  </si>
  <si>
    <t>Sheraton</t>
  </si>
  <si>
    <t>Hotel african</t>
  </si>
  <si>
    <t>AFRICANA</t>
  </si>
  <si>
    <t>Clement rd</t>
  </si>
  <si>
    <t>Entebbe rd</t>
  </si>
  <si>
    <t>Sselumaga Rd</t>
  </si>
  <si>
    <t>Speke hotel</t>
  </si>
  <si>
    <t>MUKWANO</t>
  </si>
  <si>
    <t>Jinja rd</t>
  </si>
  <si>
    <t>OWINO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</si>
  <si>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</si>
  <si>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</si>
  <si>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</si>
  <si>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</si>
  <si>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</si>
  <si>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</si>
  <si>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</si>
  <si>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</si>
  <si>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</si>
  <si>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</si>
  <si>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</si>
  <si>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</si>
  <si>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>Jinja road</t>
  </si>
  <si>
    <t xml:space="preserve">JINJA ROAD </t>
  </si>
  <si>
    <t>NAMIREMBE PARK</t>
  </si>
  <si>
    <t>OWINO MARKET</t>
  </si>
  <si>
    <t>KAMPALA ROARD</t>
  </si>
  <si>
    <t>NEW TAX PARK</t>
  </si>
  <si>
    <t>NAKASERO MARKET</t>
  </si>
  <si>
    <t xml:space="preserve">Kinawa  </t>
  </si>
  <si>
    <t>Kampala industrian</t>
  </si>
  <si>
    <t>CITY SQUARE</t>
  </si>
  <si>
    <t>CITYSQUARE</t>
  </si>
  <si>
    <t>OLDTAXIPARK</t>
  </si>
  <si>
    <t>NEWTAXIPARK</t>
  </si>
  <si>
    <t>TAX PARK</t>
  </si>
  <si>
    <t>bela</t>
  </si>
  <si>
    <t>Workers house</t>
  </si>
  <si>
    <t>Mega standard</t>
  </si>
  <si>
    <t>Lumumba avenue</t>
  </si>
  <si>
    <t>Luwumba Avenue</t>
  </si>
  <si>
    <t>Mapeera</t>
  </si>
  <si>
    <t>Namayiba taxi park</t>
  </si>
  <si>
    <t>Namayimba</t>
  </si>
  <si>
    <t>Namayiba</t>
  </si>
  <si>
    <t>NAMAYUBA</t>
  </si>
  <si>
    <t>Kampala road</t>
  </si>
  <si>
    <t>Mukwano mall</t>
  </si>
  <si>
    <t>New taxi park</t>
  </si>
  <si>
    <t>Equatorial mall</t>
  </si>
  <si>
    <t>kasajja</t>
  </si>
  <si>
    <t>Nasser road</t>
  </si>
  <si>
    <t>NKURUMAH ROAD</t>
  </si>
  <si>
    <t>Nkrumah Rd</t>
  </si>
  <si>
    <t>Nkrumah Road</t>
  </si>
  <si>
    <t>NKRUMAH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</si>
  <si>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</si>
  <si>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</si>
  <si>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</si>
  <si>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</si>
  <si>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</si>
  <si>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</si>
  <si>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</si>
  <si>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</si>
  <si>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</si>
  <si>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</si>
  <si>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</si>
  <si>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</si>
  <si>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</si>
  <si>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</si>
  <si>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</si>
  <si>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</si>
  <si>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</si>
  <si>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</si>
  <si>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</si>
  <si>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Serena Hotel</t>
  </si>
  <si>
    <t>Northeern bypass</t>
  </si>
  <si>
    <t>Northern bypass</t>
  </si>
  <si>
    <t>NORTHAN BY PASS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</si>
  <si>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</si>
  <si>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</si>
  <si>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</si>
  <si>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</si>
  <si>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</si>
  <si>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</si>
  <si>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</si>
  <si>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</si>
  <si>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</si>
  <si>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 xml:space="preserve">KAMPALA </t>
  </si>
  <si>
    <t>Bahai</t>
  </si>
  <si>
    <t>Bahai tempo</t>
  </si>
  <si>
    <t>Kampala town</t>
  </si>
  <si>
    <t>City center</t>
  </si>
  <si>
    <t>CITY CENTRE</t>
  </si>
  <si>
    <t>CITYCENTRE</t>
  </si>
  <si>
    <t>CITYCENTER</t>
  </si>
  <si>
    <t>Gaba</t>
  </si>
  <si>
    <t>Gabba</t>
  </si>
  <si>
    <t>BALAMU</t>
  </si>
  <si>
    <t>Soya</t>
  </si>
  <si>
    <t>Auto spa</t>
  </si>
  <si>
    <t>BUGU</t>
  </si>
  <si>
    <t>Kibiri</t>
  </si>
  <si>
    <t>Ggangu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</si>
  <si>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</si>
  <si>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</si>
  <si>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</si>
  <si>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</si>
  <si>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</si>
  <si>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</si>
  <si>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</si>
  <si>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</si>
  <si>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</si>
  <si>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Kakoola</t>
  </si>
  <si>
    <t>Kiggo</t>
  </si>
  <si>
    <t>Kigo</t>
  </si>
  <si>
    <t>KIGO SERENE</t>
  </si>
  <si>
    <t>Busabala</t>
  </si>
  <si>
    <t>BUSAABALA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</si>
  <si>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</si>
  <si>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</si>
  <si>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</si>
  <si>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</si>
  <si>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</si>
  <si>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</si>
  <si>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</si>
  <si>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</si>
  <si>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</si>
  <si>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</si>
  <si>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</si>
  <si>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>Kirudu hospital</t>
  </si>
  <si>
    <t xml:space="preserve">Bunga </t>
  </si>
  <si>
    <t>Bungu</t>
  </si>
  <si>
    <t>BUNGA</t>
  </si>
  <si>
    <t>Ggaba</t>
  </si>
  <si>
    <t>Konge</t>
  </si>
  <si>
    <t>6th street</t>
  </si>
  <si>
    <t>Itek</t>
  </si>
  <si>
    <t>Kabalagala</t>
  </si>
  <si>
    <t>Nyakana</t>
  </si>
  <si>
    <t>Kabowa</t>
  </si>
  <si>
    <t>Kagugube</t>
  </si>
  <si>
    <t>Kamwokya</t>
  </si>
  <si>
    <t>KAMOKYA</t>
  </si>
  <si>
    <t>Mawanda</t>
  </si>
  <si>
    <t>Mawanda rd</t>
  </si>
  <si>
    <t>KAWOKYA</t>
  </si>
  <si>
    <t>KAMWOJA</t>
  </si>
  <si>
    <t>NBS</t>
  </si>
  <si>
    <t>Acacia mall</t>
  </si>
  <si>
    <t>ACACIA</t>
  </si>
  <si>
    <t>ACASSIA MALL</t>
  </si>
  <si>
    <t>ACACIA MALL KAMOKYA</t>
  </si>
  <si>
    <t>Kansanga</t>
  </si>
  <si>
    <t>NABUTITI</t>
  </si>
  <si>
    <t>Nganda</t>
  </si>
  <si>
    <t>Kasanga</t>
  </si>
  <si>
    <t>Kanyanya</t>
  </si>
  <si>
    <t>Kiteezi</t>
  </si>
  <si>
    <t>Lusanja</t>
  </si>
  <si>
    <t>Bamba</t>
  </si>
  <si>
    <t>Kasubi</t>
  </si>
  <si>
    <t>Hoima rd</t>
  </si>
  <si>
    <t>Namugona</t>
  </si>
  <si>
    <t>Namungona</t>
  </si>
  <si>
    <t>Namungoona</t>
  </si>
  <si>
    <t>NAMUNGHONA</t>
  </si>
  <si>
    <t>MAMUNGONA</t>
  </si>
  <si>
    <t>Cleanex petrol station</t>
  </si>
  <si>
    <t>Nasere</t>
  </si>
  <si>
    <t>KAWALA</t>
  </si>
  <si>
    <t>Kawaala</t>
  </si>
  <si>
    <t>Katwe</t>
  </si>
  <si>
    <t>QUEENS WAY</t>
  </si>
  <si>
    <t>CENTRAL KAWEMPE</t>
  </si>
  <si>
    <t>Tula</t>
  </si>
  <si>
    <t>Agakhan</t>
  </si>
  <si>
    <t>Kazo Angola</t>
  </si>
  <si>
    <t>Kibuli</t>
  </si>
  <si>
    <t>Kikaaya</t>
  </si>
  <si>
    <t xml:space="preserve">Kisenyi </t>
  </si>
  <si>
    <t>KISENYI</t>
  </si>
  <si>
    <t>MUKASA ROAD</t>
  </si>
  <si>
    <t>KISENYI  PARK</t>
  </si>
  <si>
    <t>KISENYI BUS TERMINAL</t>
  </si>
  <si>
    <t>Kasenyi</t>
  </si>
  <si>
    <t>Kisugu</t>
  </si>
  <si>
    <t>Kiswa</t>
  </si>
  <si>
    <t>Kiwatule</t>
  </si>
  <si>
    <t>KIWAATULE</t>
  </si>
  <si>
    <t>POLICE STATION KIWATULE</t>
  </si>
  <si>
    <t>KIGOWA</t>
  </si>
  <si>
    <t>Wamala</t>
  </si>
  <si>
    <t>Kajiri</t>
  </si>
  <si>
    <t>Kololo</t>
  </si>
  <si>
    <t>Upper Kololo</t>
  </si>
  <si>
    <t>ADONAI</t>
  </si>
  <si>
    <t>Garden City</t>
  </si>
  <si>
    <t>YUSUF LULE ROAD</t>
  </si>
  <si>
    <t>Yusuf Lule</t>
  </si>
  <si>
    <t>Kitante</t>
  </si>
  <si>
    <t>Bulemezi</t>
  </si>
  <si>
    <t>NYONYI GARDENS</t>
  </si>
  <si>
    <t>Lugogo</t>
  </si>
  <si>
    <t>Kinyara</t>
  </si>
  <si>
    <t>WAVA WATER-LUGOGO</t>
  </si>
  <si>
    <t>GAME SHOPPING CENTRE</t>
  </si>
  <si>
    <t>GAME</t>
  </si>
  <si>
    <t>LUGOGO BY PASS</t>
  </si>
  <si>
    <t>Lugogo Bypass</t>
  </si>
  <si>
    <t>Kyadondo</t>
  </si>
  <si>
    <t>Forest mall</t>
  </si>
  <si>
    <t>Kabojja</t>
  </si>
  <si>
    <t>KABOGGA</t>
  </si>
  <si>
    <t>KABOGA</t>
  </si>
  <si>
    <t>Wampewo</t>
  </si>
  <si>
    <t>Wampeewo</t>
  </si>
  <si>
    <t>Masoli</t>
  </si>
  <si>
    <t>MASOOLI</t>
  </si>
  <si>
    <t>Luteete</t>
  </si>
  <si>
    <t>Lutete</t>
  </si>
  <si>
    <t>Komamboga</t>
  </si>
  <si>
    <t>Ndundu</t>
  </si>
  <si>
    <t>Kyambogo</t>
  </si>
  <si>
    <t>KYBOGO</t>
  </si>
  <si>
    <t>MBOGO</t>
  </si>
  <si>
    <t>Kyambogo university</t>
  </si>
  <si>
    <t>Kyanja</t>
  </si>
  <si>
    <t>Kyanga</t>
  </si>
  <si>
    <t>Kyanjja</t>
  </si>
  <si>
    <t>Kumbuzi</t>
  </si>
  <si>
    <t>Kumbusi</t>
  </si>
  <si>
    <t>Kyebando</t>
  </si>
  <si>
    <t>Kikaya</t>
  </si>
  <si>
    <t>Kalerwe</t>
  </si>
  <si>
    <t>Kalelwe</t>
  </si>
  <si>
    <t>Kalerwa</t>
  </si>
  <si>
    <t>Lubaga</t>
  </si>
  <si>
    <t>Lukuli</t>
  </si>
  <si>
    <t>Lungujja</t>
  </si>
  <si>
    <t>Lunguja</t>
  </si>
  <si>
    <t xml:space="preserve">WAKALIGA </t>
  </si>
  <si>
    <t>Wakaliga</t>
  </si>
  <si>
    <t>Stabex</t>
  </si>
  <si>
    <t>Luwafu</t>
  </si>
  <si>
    <t>Mirembe</t>
  </si>
  <si>
    <t>Luzira Prisons</t>
  </si>
  <si>
    <t>Makerere</t>
  </si>
  <si>
    <t>MAKRERE</t>
  </si>
  <si>
    <t>Bila</t>
  </si>
  <si>
    <t>Billa</t>
  </si>
  <si>
    <t>KIKONI</t>
  </si>
  <si>
    <t>Sir Apollo Kaggwa Road</t>
  </si>
  <si>
    <t>Makerere University</t>
  </si>
  <si>
    <t>Gangu</t>
  </si>
  <si>
    <t>Mbuya</t>
  </si>
  <si>
    <t>Mengo</t>
  </si>
  <si>
    <t>MENGO HOSPITAL</t>
  </si>
  <si>
    <t>Kabaka njagala</t>
  </si>
  <si>
    <t>Rubaga</t>
  </si>
  <si>
    <t>Kayanja</t>
  </si>
  <si>
    <t>Mpererwe</t>
  </si>
  <si>
    <t>Mpelerwe</t>
  </si>
  <si>
    <t>MPERRWE</t>
  </si>
  <si>
    <t>MPERWERWE</t>
  </si>
  <si>
    <t>MPEREWE</t>
  </si>
  <si>
    <t>MPERERE</t>
  </si>
  <si>
    <t>BUGERERE</t>
  </si>
  <si>
    <t>KAGOMA</t>
  </si>
  <si>
    <t>KATALEMWA</t>
  </si>
  <si>
    <t>Kitezi</t>
  </si>
  <si>
    <t>KITEZII</t>
  </si>
  <si>
    <t>Lusanja-Gayaza</t>
  </si>
  <si>
    <t>KOMANBOGA</t>
  </si>
  <si>
    <t>KITETIKA</t>
  </si>
  <si>
    <t>Mulago</t>
  </si>
  <si>
    <t>MASULITA</t>
  </si>
  <si>
    <t>ST JUDE</t>
  </si>
  <si>
    <t>Mulogo</t>
  </si>
  <si>
    <t>MASUULITA</t>
  </si>
  <si>
    <t>Mutundwe</t>
  </si>
  <si>
    <t>Mutunde</t>
  </si>
  <si>
    <t>KITEBI</t>
  </si>
  <si>
    <t>Mutungo</t>
  </si>
  <si>
    <t>MUTONGO BIINA</t>
  </si>
  <si>
    <t>Binna</t>
  </si>
  <si>
    <t>Mutungu</t>
  </si>
  <si>
    <t>Kitiko</t>
  </si>
  <si>
    <t>Mutugo</t>
  </si>
  <si>
    <t>BWEYA</t>
  </si>
  <si>
    <t>Kitintale</t>
  </si>
  <si>
    <t>KITANTALE</t>
  </si>
  <si>
    <t>KINTINTALE</t>
  </si>
  <si>
    <t>Muntungo</t>
  </si>
  <si>
    <t>Nabisunsa</t>
  </si>
  <si>
    <t>Naguru</t>
  </si>
  <si>
    <t>NAGULU POLICE</t>
  </si>
  <si>
    <t>NAGURU UPPER</t>
  </si>
  <si>
    <t>Lower Naguru</t>
  </si>
  <si>
    <t>Katalima</t>
  </si>
  <si>
    <t>SCHOOL CHERUBS</t>
  </si>
  <si>
    <t>KEMBABAZI</t>
  </si>
  <si>
    <t>NAGGULU</t>
  </si>
  <si>
    <t>NAGULU</t>
  </si>
  <si>
    <t>VICTORIA HOSPITAL</t>
  </si>
  <si>
    <t>Najjanankumbi</t>
  </si>
  <si>
    <t>Freedom city</t>
  </si>
  <si>
    <t>Stella</t>
  </si>
  <si>
    <t>Nyanama</t>
  </si>
  <si>
    <t>NAJJANAMKUMBI</t>
  </si>
  <si>
    <t>NAJJANAKUMBI</t>
  </si>
  <si>
    <t>Lubowa</t>
  </si>
  <si>
    <t>Lubuguma</t>
  </si>
  <si>
    <t>Lumbugu</t>
  </si>
  <si>
    <t>Lubugumu</t>
  </si>
  <si>
    <t>Lumbugumu</t>
  </si>
  <si>
    <t>NAJANANKUMBI</t>
  </si>
  <si>
    <t>NAJANAKUMBI</t>
  </si>
  <si>
    <t>Wankulukuku</t>
  </si>
  <si>
    <t>Kabusu</t>
  </si>
  <si>
    <t>Lubiri</t>
  </si>
  <si>
    <t>kabugo</t>
  </si>
  <si>
    <t>Zana</t>
  </si>
  <si>
    <t>Zzana</t>
  </si>
  <si>
    <t>ZAANA</t>
  </si>
  <si>
    <t>Namasuba</t>
  </si>
  <si>
    <t>Nakasero</t>
  </si>
  <si>
    <t>NAKASEERO</t>
  </si>
  <si>
    <t>Mboga</t>
  </si>
  <si>
    <t>Pearl Africa</t>
  </si>
  <si>
    <t>Kyagwe</t>
  </si>
  <si>
    <t>KAWANGA</t>
  </si>
  <si>
    <t>COLVILLE STREET</t>
  </si>
  <si>
    <t>Dembe</t>
  </si>
  <si>
    <t>Usafi</t>
  </si>
  <si>
    <t>Rwenzori courts</t>
  </si>
  <si>
    <t>MUBS</t>
  </si>
  <si>
    <t xml:space="preserve">CAPITAL SHOPPERS NAKAWA </t>
  </si>
  <si>
    <t>NAKAWA  MARKET</t>
  </si>
  <si>
    <t>Nakawa stage</t>
  </si>
  <si>
    <t>Kinawataka</t>
  </si>
  <si>
    <t>UNRA</t>
  </si>
  <si>
    <t>UNRA OFFICES</t>
  </si>
  <si>
    <t>URA</t>
  </si>
  <si>
    <t>Nakawa Institute</t>
  </si>
  <si>
    <t>Nakivubo Shauriyaako</t>
  </si>
  <si>
    <t>Nakivubo</t>
  </si>
  <si>
    <t>Namirembe</t>
  </si>
  <si>
    <t>Bakuli</t>
  </si>
  <si>
    <t>Bukuli</t>
  </si>
  <si>
    <t>Bakuuli</t>
  </si>
  <si>
    <t>Nankulabye</t>
  </si>
  <si>
    <t>Nakulabye</t>
  </si>
  <si>
    <t>NABULAGALA</t>
  </si>
  <si>
    <t>Natete</t>
  </si>
  <si>
    <t>Sawuliyako</t>
  </si>
  <si>
    <t>Mundebba</t>
  </si>
  <si>
    <t>Ndeba</t>
  </si>
  <si>
    <t>Nsambya</t>
  </si>
  <si>
    <t>Nsambya hospital</t>
  </si>
  <si>
    <t>Nsamya hospital</t>
  </si>
  <si>
    <t xml:space="preserve">NSAMBYA </t>
  </si>
  <si>
    <t>GOGONYA</t>
  </si>
  <si>
    <t>Nsambya Police Barracks</t>
  </si>
  <si>
    <t>Nsambya Railway</t>
  </si>
  <si>
    <t>CAPITAL SHOPPERS NTINDA</t>
  </si>
  <si>
    <t>Container village</t>
  </si>
  <si>
    <t>UNEB NTINDA</t>
  </si>
  <si>
    <t>Kumunana</t>
  </si>
  <si>
    <t>SEMAWATA ROAD</t>
  </si>
  <si>
    <t>Kisasi</t>
  </si>
  <si>
    <t>KISAASI</t>
  </si>
  <si>
    <t>Kisota</t>
  </si>
  <si>
    <t>Kulambiro</t>
  </si>
  <si>
    <t>Kulambilo</t>
  </si>
  <si>
    <t>Sebagala</t>
  </si>
  <si>
    <t>Old Kampala</t>
  </si>
  <si>
    <t>OLD KAMPALA STAGE</t>
  </si>
  <si>
    <t>Kiseka</t>
  </si>
  <si>
    <t>NALUSUGA</t>
  </si>
  <si>
    <t>Salaama</t>
  </si>
  <si>
    <t>Saalama</t>
  </si>
  <si>
    <t>Busiga</t>
  </si>
  <si>
    <t>Kyamula</t>
  </si>
  <si>
    <t>Lubwama</t>
  </si>
  <si>
    <t>Salama</t>
  </si>
  <si>
    <t>Wavamuno road</t>
  </si>
  <si>
    <t>Salaama road</t>
  </si>
  <si>
    <t>Salama road</t>
  </si>
  <si>
    <t>Kulekaana</t>
  </si>
  <si>
    <t>Upk</t>
  </si>
  <si>
    <t>Upper Estate</t>
  </si>
  <si>
    <t>Wabigalo</t>
  </si>
  <si>
    <t>Wandegeya</t>
  </si>
  <si>
    <t>YMCA WANDEGEYA</t>
  </si>
  <si>
    <t>Kavule</t>
  </si>
  <si>
    <t xml:space="preserve">WANDEYA </t>
  </si>
  <si>
    <t>Wandekeya</t>
  </si>
  <si>
    <t>Bombo road</t>
  </si>
  <si>
    <t>Case Hospital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</si>
  <si>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</si>
  <si>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</si>
  <si>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</si>
  <si>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</si>
  <si>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</si>
  <si>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</si>
  <si>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</si>
  <si>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</si>
  <si>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</si>
  <si>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</si>
  <si>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</si>
  <si>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</si>
  <si>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</si>
  <si>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</si>
  <si>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</si>
  <si>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</si>
  <si>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</si>
  <si>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</si>
  <si>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</si>
  <si>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</si>
  <si>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</si>
  <si>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</si>
  <si>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</si>
  <si>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</si>
  <si>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</si>
  <si>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</si>
  <si>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</si>
  <si>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</si>
  <si>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NYAKASHURA</t>
  </si>
  <si>
    <t>OMUKIHOGO</t>
  </si>
  <si>
    <t>MUKIHOGO</t>
  </si>
  <si>
    <t>MUKIHORGO</t>
  </si>
  <si>
    <t>OMUKIHONGO</t>
  </si>
  <si>
    <t>Nkoma</t>
  </si>
  <si>
    <t>ssanga</t>
  </si>
  <si>
    <t>Kungu</t>
  </si>
  <si>
    <t>Kkungu</t>
  </si>
  <si>
    <t>Ntara</t>
  </si>
  <si>
    <t>Nyabbani</t>
  </si>
  <si>
    <t>Rwamwanja Refugee Camp</t>
  </si>
  <si>
    <t>Lwamwanja</t>
  </si>
  <si>
    <t>RWAMWAZA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</si>
  <si>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</si>
  <si>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</si>
  <si>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</si>
  <si>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</si>
  <si>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</si>
  <si>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</si>
  <si>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</si>
  <si>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</si>
  <si>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</si>
  <si>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</si>
  <si>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</si>
  <si>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</si>
  <si>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</si>
  <si>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</si>
  <si>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</si>
  <si>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</si>
  <si>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</si>
  <si>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</si>
  <si>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</si>
  <si>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</si>
  <si>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</si>
  <si>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</si>
  <si>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</si>
  <si>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</si>
  <si>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</si>
  <si>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</si>
  <si>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</si>
  <si>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</si>
  <si>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</si>
  <si>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</si>
  <si>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</si>
  <si>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</si>
  <si>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</si>
  <si>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</si>
  <si>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</si>
  <si>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</si>
  <si>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</si>
  <si>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KYEMPALA</t>
  </si>
  <si>
    <t>Bwesumbu</t>
  </si>
  <si>
    <t>Hima Town Council</t>
  </si>
  <si>
    <t>HIMA</t>
  </si>
  <si>
    <t>Ihandiro</t>
  </si>
  <si>
    <t>Isango</t>
  </si>
  <si>
    <t>Karambi-Kasese</t>
  </si>
  <si>
    <t>Karusandara</t>
  </si>
  <si>
    <t>Kasese Municipality</t>
  </si>
  <si>
    <t>KASUMBA</t>
  </si>
  <si>
    <t>RWENZORI</t>
  </si>
  <si>
    <t>KASEESE</t>
  </si>
  <si>
    <t>KASEESE TOWN</t>
  </si>
  <si>
    <t>Kasese town</t>
  </si>
  <si>
    <t>Katwe Kabatoro Town Council</t>
  </si>
  <si>
    <t>Kilembe</t>
  </si>
  <si>
    <t>QUEEN ELIZABETH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</si>
  <si>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</si>
  <si>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</si>
  <si>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</si>
  <si>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</si>
  <si>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</si>
  <si>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</si>
  <si>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</si>
  <si>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</si>
  <si>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</si>
  <si>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</si>
  <si>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</si>
  <si>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</si>
  <si>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</si>
  <si>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</si>
  <si>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</si>
  <si>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</si>
  <si>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</si>
  <si>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</si>
  <si>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</si>
  <si>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</si>
  <si>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</si>
  <si>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</si>
  <si>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</si>
  <si>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</si>
  <si>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</si>
  <si>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</si>
  <si>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</si>
  <si>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</si>
  <si>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</si>
  <si>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</si>
  <si>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</si>
  <si>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</si>
  <si>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Kangulumila</t>
  </si>
  <si>
    <t>Kayunga Town Council</t>
  </si>
  <si>
    <t xml:space="preserve">Kayunga town  </t>
  </si>
  <si>
    <t>KAYUNGA TOWN</t>
  </si>
  <si>
    <t>Busana</t>
  </si>
  <si>
    <t>NDESE</t>
  </si>
  <si>
    <t>Ssenge</t>
  </si>
  <si>
    <t>Kitimbwa</t>
  </si>
  <si>
    <t>Nazigo</t>
  </si>
  <si>
    <t>Bubango</t>
  </si>
  <si>
    <t>Kibaale</t>
  </si>
  <si>
    <t>Buyanja</t>
  </si>
  <si>
    <t>Bwamiramira</t>
  </si>
  <si>
    <t>KITOMA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</si>
  <si>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</si>
  <si>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</si>
  <si>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</si>
  <si>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</si>
  <si>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</si>
  <si>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</si>
  <si>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</si>
  <si>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</si>
  <si>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</si>
  <si>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Bukomelo</t>
  </si>
  <si>
    <t>KATERA</t>
  </si>
  <si>
    <t>Bukomero Town Council</t>
  </si>
  <si>
    <t>Ddwaniro-Kiboga</t>
  </si>
  <si>
    <t>Kapeke</t>
  </si>
  <si>
    <t>Kibiga</t>
  </si>
  <si>
    <t>Kiboga Town Council</t>
  </si>
  <si>
    <t>KIBOGA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</si>
  <si>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</si>
  <si>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</si>
  <si>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</si>
  <si>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</si>
  <si>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</si>
  <si>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</si>
  <si>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</si>
  <si>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</si>
  <si>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</si>
  <si>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</si>
  <si>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</si>
  <si>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</si>
  <si>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</si>
  <si>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</si>
  <si>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</si>
  <si>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</si>
  <si>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</si>
  <si>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</si>
  <si>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</si>
  <si>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</si>
  <si>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</si>
  <si>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</si>
  <si>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Kayanga</t>
  </si>
  <si>
    <t>KANZO</t>
  </si>
  <si>
    <t>Buteraniro</t>
  </si>
  <si>
    <t>Rwakitura</t>
  </si>
  <si>
    <t>Kazo Town Council</t>
  </si>
  <si>
    <t>Kenshunga</t>
  </si>
  <si>
    <t>Nshwerenkye</t>
  </si>
  <si>
    <t>Nyakasharara</t>
  </si>
  <si>
    <t>Nyakashara</t>
  </si>
  <si>
    <t>RUSHERE</t>
  </si>
  <si>
    <t xml:space="preserve">Rushere </t>
  </si>
  <si>
    <t>Kikaatsi</t>
  </si>
  <si>
    <t>Kinoni-Kiruhura</t>
  </si>
  <si>
    <t>Kiruhura Town Council</t>
  </si>
  <si>
    <t>KIRUHURA</t>
  </si>
  <si>
    <t>L.mburo</t>
  </si>
  <si>
    <t>Kakyenkye</t>
  </si>
  <si>
    <t>KIRIHURA</t>
  </si>
  <si>
    <t>Kitura</t>
  </si>
  <si>
    <t>Nkungu</t>
  </si>
  <si>
    <t>Nyakashashara</t>
  </si>
  <si>
    <t>Kyakabunga</t>
  </si>
  <si>
    <t>Rwemikoma</t>
  </si>
  <si>
    <t>Sanga</t>
  </si>
  <si>
    <t>Sanga Town Council</t>
  </si>
  <si>
    <t>Bweyale Town Council</t>
  </si>
  <si>
    <t>Kibanda</t>
  </si>
  <si>
    <t>Bweyale</t>
  </si>
  <si>
    <t>Kigumba</t>
  </si>
  <si>
    <t>Kigumba Town Council</t>
  </si>
  <si>
    <t>Karuma</t>
  </si>
  <si>
    <t>Kiryandongo Refugee Camp</t>
  </si>
  <si>
    <t>Kiryandongo Town Council</t>
  </si>
  <si>
    <t>KIRYANDONGO TOWN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</si>
  <si>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</si>
  <si>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</si>
  <si>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</si>
  <si>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</si>
  <si>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</si>
  <si>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</si>
  <si>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</si>
  <si>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</si>
  <si>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</si>
  <si>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</si>
  <si>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L.Bunyonyi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</si>
  <si>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</si>
  <si>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</si>
  <si>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</si>
  <si>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</si>
  <si>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</si>
  <si>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</si>
  <si>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</si>
  <si>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</si>
  <si>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</si>
  <si>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</si>
  <si>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</si>
  <si>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</si>
  <si>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</si>
  <si>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</si>
  <si>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</si>
  <si>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</si>
  <si>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</si>
  <si>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</si>
  <si>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</si>
  <si>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</si>
  <si>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</si>
  <si>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</si>
  <si>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</si>
  <si>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</si>
  <si>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</si>
  <si>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</si>
  <si>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</si>
  <si>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</si>
  <si>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</si>
  <si>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</si>
  <si>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</si>
  <si>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</si>
  <si>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</si>
  <si>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</si>
  <si>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</si>
  <si>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</si>
  <si>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</si>
  <si>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</si>
  <si>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</si>
  <si>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</si>
  <si>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</si>
  <si>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</si>
  <si>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</si>
  <si>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</si>
  <si>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</si>
  <si>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</si>
  <si>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</si>
  <si>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</si>
  <si>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</si>
  <si>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</si>
  <si>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</si>
  <si>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</si>
  <si>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</si>
  <si>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</si>
  <si>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</si>
  <si>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</si>
  <si>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</si>
  <si>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</si>
  <si>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</si>
  <si>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</si>
  <si>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</si>
  <si>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</si>
  <si>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</si>
  <si>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</si>
  <si>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</si>
  <si>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</si>
  <si>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</si>
  <si>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</si>
  <si>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Kyetume</t>
  </si>
  <si>
    <t>Kyetune</t>
  </si>
  <si>
    <t>Cannan Estates</t>
  </si>
  <si>
    <t>Kabubu</t>
  </si>
  <si>
    <t>Kumusaanvu</t>
  </si>
  <si>
    <t>Kumusanvu</t>
  </si>
  <si>
    <t>Namavundu</t>
  </si>
  <si>
    <t>Kayebe</t>
  </si>
  <si>
    <t>Kabanyoro</t>
  </si>
  <si>
    <t>Manyangwa</t>
  </si>
  <si>
    <t>Gayaza rd</t>
  </si>
  <si>
    <t>kumunaana</t>
  </si>
  <si>
    <t>NAKWERO</t>
  </si>
  <si>
    <t>Nakweero</t>
  </si>
  <si>
    <t>Kabumba</t>
  </si>
  <si>
    <t>Namulonge</t>
  </si>
  <si>
    <t>KIWENDA</t>
  </si>
  <si>
    <t>Bugema</t>
  </si>
  <si>
    <t>KAYNKWANZI</t>
  </si>
  <si>
    <t>Kyankwanzi Town Council</t>
  </si>
  <si>
    <t>BYELIMA</t>
  </si>
  <si>
    <t>KYANKWANZI TOWN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</si>
  <si>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</si>
  <si>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</si>
  <si>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</si>
  <si>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</si>
  <si>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</si>
  <si>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</si>
  <si>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</si>
  <si>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</si>
  <si>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</si>
  <si>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</si>
  <si>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</si>
  <si>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</si>
  <si>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</si>
  <si>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</si>
  <si>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</si>
  <si>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</si>
  <si>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</si>
  <si>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</si>
  <si>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</si>
  <si>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</si>
  <si>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Bitoma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</si>
  <si>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</si>
  <si>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</si>
  <si>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</si>
  <si>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</si>
  <si>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</si>
  <si>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</si>
  <si>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</si>
  <si>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</si>
  <si>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</si>
  <si>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</si>
  <si>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</si>
  <si>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</si>
  <si>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</si>
  <si>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</si>
  <si>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</si>
  <si>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</si>
  <si>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</si>
  <si>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</si>
  <si>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</si>
  <si>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</si>
  <si>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</si>
  <si>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</si>
  <si>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</si>
  <si>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KIRUMBA</t>
  </si>
  <si>
    <t>Kyebe</t>
  </si>
  <si>
    <t>Kyotera Town Council</t>
  </si>
  <si>
    <t xml:space="preserve">KYOTERA </t>
  </si>
  <si>
    <t>KYOTERA</t>
  </si>
  <si>
    <t>Lwankoni</t>
  </si>
  <si>
    <t>Nabigasa</t>
  </si>
  <si>
    <t>Agoro</t>
  </si>
  <si>
    <t>Lamwo Town Council</t>
  </si>
  <si>
    <t>Lokung</t>
  </si>
  <si>
    <t>Madi Opei</t>
  </si>
  <si>
    <t>Padibe</t>
  </si>
  <si>
    <t>Palabek</t>
  </si>
  <si>
    <t>Paloga</t>
  </si>
  <si>
    <t>Adekokwok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</si>
  <si>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</si>
  <si>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</si>
  <si>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</si>
  <si>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</si>
  <si>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</si>
  <si>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</si>
  <si>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</si>
  <si>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</si>
  <si>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</si>
  <si>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</si>
  <si>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</si>
  <si>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</si>
  <si>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</si>
  <si>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</si>
  <si>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</si>
  <si>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</si>
  <si>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</si>
  <si>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</si>
  <si>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</si>
  <si>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</si>
  <si>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</si>
  <si>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</si>
  <si>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barax</t>
  </si>
  <si>
    <t>NAKWAYA</t>
  </si>
  <si>
    <t>Butuntumula</t>
  </si>
  <si>
    <t>Kiwoko</t>
  </si>
  <si>
    <t>Kalagala</t>
  </si>
  <si>
    <t>Vvumba</t>
  </si>
  <si>
    <t>Vumba</t>
  </si>
  <si>
    <t>Kamira</t>
  </si>
  <si>
    <t>Bukalasa</t>
  </si>
  <si>
    <t>Kikyusa</t>
  </si>
  <si>
    <t>LUWEROO</t>
  </si>
  <si>
    <t>LUWERO TOWN</t>
  </si>
  <si>
    <t>Luwero Town Council</t>
  </si>
  <si>
    <t>Kalule</t>
  </si>
  <si>
    <t>Makulubita</t>
  </si>
  <si>
    <t>Nyimbwa</t>
  </si>
  <si>
    <t>Wobulenzi Town Council</t>
  </si>
  <si>
    <t xml:space="preserve">Wobulenzi  </t>
  </si>
  <si>
    <t>Wobulenzi</t>
  </si>
  <si>
    <t>WOBULEZI</t>
  </si>
  <si>
    <t>Zirobwe</t>
  </si>
  <si>
    <t>ZIROBWA ROAD</t>
  </si>
  <si>
    <t>Zirobwa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</si>
  <si>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</si>
  <si>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</si>
  <si>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</si>
  <si>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</si>
  <si>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</si>
  <si>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</si>
  <si>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</si>
  <si>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</si>
  <si>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KOLANOLYA</t>
  </si>
  <si>
    <t>Ndagwe</t>
  </si>
  <si>
    <t>Kaliiro</t>
  </si>
  <si>
    <t>Lyantonde</t>
  </si>
  <si>
    <t>Kabula</t>
  </si>
  <si>
    <t>Kasagama</t>
  </si>
  <si>
    <t>Kinuuka</t>
  </si>
  <si>
    <t>Lyantobde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</si>
  <si>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</si>
  <si>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</si>
  <si>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</si>
  <si>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</si>
  <si>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</si>
  <si>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</si>
  <si>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</si>
  <si>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</si>
  <si>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</si>
  <si>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</si>
  <si>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</si>
  <si>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</si>
  <si>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</si>
  <si>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</si>
  <si>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</si>
  <si>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</si>
  <si>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</si>
  <si>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</si>
  <si>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</si>
  <si>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</si>
  <si>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</si>
  <si>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</si>
  <si>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</si>
  <si>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</si>
  <si>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</si>
  <si>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</si>
  <si>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</si>
  <si>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</si>
  <si>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</si>
  <si>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</si>
  <si>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</si>
  <si>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</si>
  <si>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</si>
  <si>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</si>
  <si>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</si>
  <si>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</si>
  <si>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</si>
  <si>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</si>
  <si>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MAAYA</t>
  </si>
  <si>
    <t xml:space="preserve">MASAKA TOWN </t>
  </si>
  <si>
    <t>masaka town</t>
  </si>
  <si>
    <t>Nabugabo</t>
  </si>
  <si>
    <t>Masaka road</t>
  </si>
  <si>
    <t xml:space="preserve">Masaka  </t>
  </si>
  <si>
    <t>MASAKA</t>
  </si>
  <si>
    <t>Mukungwe</t>
  </si>
  <si>
    <t>Kinoni</t>
  </si>
  <si>
    <t>Budongo</t>
  </si>
  <si>
    <t>Masindi</t>
  </si>
  <si>
    <t>Bujenje</t>
  </si>
  <si>
    <t>Bwijanga</t>
  </si>
  <si>
    <t>Kimengo</t>
  </si>
  <si>
    <t>Buruli</t>
  </si>
  <si>
    <t>Kyema</t>
  </si>
  <si>
    <t>Masindi Municipality</t>
  </si>
  <si>
    <t>Miirya</t>
  </si>
  <si>
    <t>Pakanyi</t>
  </si>
  <si>
    <t>Baitambogwe</t>
  </si>
  <si>
    <t>Mayuge</t>
  </si>
  <si>
    <t>Bunya</t>
  </si>
  <si>
    <t>Nkombe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</si>
  <si>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</si>
  <si>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</si>
  <si>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</si>
  <si>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</si>
  <si>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</si>
  <si>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</si>
  <si>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</si>
  <si>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</si>
  <si>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</si>
  <si>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</si>
  <si>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</si>
  <si>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</si>
  <si>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</si>
  <si>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</si>
  <si>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</si>
  <si>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</si>
  <si>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</si>
  <si>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</si>
  <si>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</si>
  <si>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</si>
  <si>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</si>
  <si>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</si>
  <si>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</si>
  <si>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</si>
  <si>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</si>
  <si>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</si>
  <si>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</si>
  <si>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</si>
  <si>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</si>
  <si>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</si>
  <si>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</si>
  <si>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 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</si>
  <si>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</si>
  <si>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</si>
  <si>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</si>
  <si>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</si>
  <si>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</si>
  <si>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</si>
  <si>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</si>
  <si>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</si>
  <si>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</si>
  <si>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</si>
  <si>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</si>
  <si>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NYARUBUNGO</t>
  </si>
  <si>
    <t>RWIZIRINGIRO</t>
  </si>
  <si>
    <t>RWEZIRINGIRO</t>
  </si>
  <si>
    <t>Kagongi</t>
  </si>
  <si>
    <t>BWENGURE</t>
  </si>
  <si>
    <t>Kashare</t>
  </si>
  <si>
    <t>Mbarara Municipality</t>
  </si>
  <si>
    <t>Mbarara town</t>
  </si>
  <si>
    <t>MBARARAR</t>
  </si>
  <si>
    <t>RWEBIKOONA</t>
  </si>
  <si>
    <t>RWABIKONA</t>
  </si>
  <si>
    <t>RWEBIKONA</t>
  </si>
  <si>
    <t>MBARARA TOWN</t>
  </si>
  <si>
    <t>MBARARA CITY</t>
  </si>
  <si>
    <t>NYAMITANGA</t>
  </si>
  <si>
    <t>Ruti</t>
  </si>
  <si>
    <t>Ntale</t>
  </si>
  <si>
    <t>KAKIIKA</t>
  </si>
  <si>
    <t>KAKIKA</t>
  </si>
  <si>
    <t>MAKENKE</t>
  </si>
  <si>
    <t>MBARARA</t>
  </si>
  <si>
    <t>LAKE MBURO PARK</t>
  </si>
  <si>
    <t>KAGANGO</t>
  </si>
  <si>
    <t>Mwizi</t>
  </si>
  <si>
    <t>KAKOBA</t>
  </si>
  <si>
    <t>KIZUNGU</t>
  </si>
  <si>
    <t>Ndeija</t>
  </si>
  <si>
    <t>Nyeihanga</t>
  </si>
  <si>
    <t>Kakigani</t>
  </si>
  <si>
    <t>Rubaya-Mbarara</t>
  </si>
  <si>
    <t>BIHARWE</t>
  </si>
  <si>
    <t>KASHAKA</t>
  </si>
  <si>
    <t>Rubindi</t>
  </si>
  <si>
    <t>KABARE</t>
  </si>
  <si>
    <t>Rugando</t>
  </si>
  <si>
    <t>Rwanyamahembe</t>
  </si>
  <si>
    <t>BWIZIBWERA</t>
  </si>
  <si>
    <t>Rwampala</t>
  </si>
  <si>
    <t>Wrampara</t>
  </si>
  <si>
    <t>Wampera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</si>
  <si>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</si>
  <si>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</si>
  <si>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</si>
  <si>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</si>
  <si>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</si>
  <si>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</si>
  <si>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</si>
  <si>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</si>
  <si>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CITY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</si>
  <si>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</si>
  <si>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</si>
  <si>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</si>
  <si>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</si>
  <si>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</si>
  <si>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</si>
  <si>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</si>
  <si>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</si>
  <si>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</si>
  <si>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</si>
  <si>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</si>
  <si>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Busunjo</t>
  </si>
  <si>
    <t>BUSINJU</t>
  </si>
  <si>
    <t>Busunjju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</si>
  <si>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</si>
  <si>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</si>
  <si>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</si>
  <si>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</si>
  <si>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</si>
  <si>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</si>
  <si>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</si>
  <si>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Busula</t>
  </si>
  <si>
    <t>MITIYANA</t>
  </si>
  <si>
    <t>KOONA</t>
  </si>
  <si>
    <t>SEKANYONYI</t>
  </si>
  <si>
    <t>Mityana town</t>
  </si>
  <si>
    <t>Mitiyana town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</si>
  <si>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</si>
  <si>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</si>
  <si>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</si>
  <si>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</si>
  <si>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</si>
  <si>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</si>
  <si>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</si>
  <si>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</si>
  <si>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</si>
  <si>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</si>
  <si>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</si>
  <si>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</si>
  <si>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</si>
  <si>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</si>
  <si>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</si>
  <si>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</si>
  <si>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</si>
  <si>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</si>
  <si>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</si>
  <si>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</si>
  <si>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</si>
  <si>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</si>
  <si>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</si>
  <si>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</si>
  <si>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</si>
  <si>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</si>
  <si>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</si>
  <si>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 xml:space="preserve">MPIGI TOWN </t>
  </si>
  <si>
    <t>Kayabwe</t>
  </si>
  <si>
    <t>Watubba</t>
  </si>
  <si>
    <t>Kayebwe</t>
  </si>
  <si>
    <t>MPIGI</t>
  </si>
  <si>
    <t>Muduuma</t>
  </si>
  <si>
    <t>Nkozi</t>
  </si>
  <si>
    <t>Bagezza</t>
  </si>
  <si>
    <t>Mubende</t>
  </si>
  <si>
    <t>Kasambya</t>
  </si>
  <si>
    <t>Bukuya</t>
  </si>
  <si>
    <t>Kassanda</t>
  </si>
  <si>
    <t>Kamengo</t>
  </si>
  <si>
    <t>Butoloogo</t>
  </si>
  <si>
    <t>Buwekula</t>
  </si>
  <si>
    <t>Kalwana</t>
  </si>
  <si>
    <t>Kasambya-Mubende</t>
  </si>
  <si>
    <t>Kasanda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</si>
  <si>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</si>
  <si>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</si>
  <si>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</si>
  <si>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</si>
  <si>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</si>
  <si>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</si>
  <si>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</si>
  <si>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</si>
  <si>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</si>
  <si>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</si>
  <si>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</si>
  <si>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Kigezi</t>
  </si>
  <si>
    <t>FORTPOTAL</t>
  </si>
  <si>
    <t>MUBENDE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</si>
  <si>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</si>
  <si>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</si>
  <si>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</si>
  <si>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</si>
  <si>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</si>
  <si>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</si>
  <si>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</si>
  <si>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</si>
  <si>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Ddundu</t>
  </si>
  <si>
    <t>Kiwumu</t>
  </si>
  <si>
    <t>Mpatta</t>
  </si>
  <si>
    <t>Mpunge</t>
  </si>
  <si>
    <t>Mukono Municipality</t>
  </si>
  <si>
    <t>TOWN MUKONO</t>
  </si>
  <si>
    <t>Kauga</t>
  </si>
  <si>
    <t xml:space="preserve">MUKONO TOWN </t>
  </si>
  <si>
    <t xml:space="preserve">MUKONO </t>
  </si>
  <si>
    <t>Bukerere</t>
  </si>
  <si>
    <t>Nakasajja</t>
  </si>
  <si>
    <t>NANVE</t>
  </si>
  <si>
    <t>Kalagi</t>
  </si>
  <si>
    <t>NAKIFUMA</t>
  </si>
  <si>
    <t>Nakituma</t>
  </si>
  <si>
    <t>Mbalala</t>
  </si>
  <si>
    <t>Mukono park</t>
  </si>
  <si>
    <t>MUKONO</t>
  </si>
  <si>
    <t>Mukono Town</t>
  </si>
  <si>
    <t>Nabbaale</t>
  </si>
  <si>
    <t>Nagojje</t>
  </si>
  <si>
    <t>Nakisunga</t>
  </si>
  <si>
    <t>Nama</t>
  </si>
  <si>
    <t>Kubiiri</t>
  </si>
  <si>
    <t>Kubiri</t>
  </si>
  <si>
    <t>Kubbiri</t>
  </si>
  <si>
    <t>Ntunda</t>
  </si>
  <si>
    <t>SEETA</t>
  </si>
  <si>
    <t>SETTA</t>
  </si>
  <si>
    <t>GWAFU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</si>
  <si>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</si>
  <si>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</si>
  <si>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</si>
  <si>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</si>
  <si>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</si>
  <si>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</si>
  <si>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</si>
  <si>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</si>
  <si>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</si>
  <si>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</si>
  <si>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</si>
  <si>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</si>
  <si>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</si>
  <si>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</si>
  <si>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</si>
  <si>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</si>
  <si>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</si>
  <si>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</si>
  <si>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</si>
  <si>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</si>
  <si>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</si>
  <si>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</si>
  <si>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</si>
  <si>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</si>
  <si>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</si>
  <si>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>Ngoma-Nakaseke</t>
  </si>
  <si>
    <t>Semuto</t>
  </si>
  <si>
    <t>Ssomuto</t>
  </si>
  <si>
    <t>KAPEKA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</si>
  <si>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</si>
  <si>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</si>
  <si>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</si>
  <si>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</si>
  <si>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</si>
  <si>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</si>
  <si>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</si>
  <si>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</si>
  <si>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</si>
  <si>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</si>
  <si>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</si>
  <si>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</si>
  <si>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 TOWN</t>
  </si>
  <si>
    <t>NAKASONGOLA</t>
  </si>
  <si>
    <t>Nakitoma</t>
  </si>
  <si>
    <t>Wabinyonyi</t>
  </si>
  <si>
    <t>Namayingo</t>
  </si>
  <si>
    <t>Bukooli</t>
  </si>
  <si>
    <t>Banda stage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</si>
  <si>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</si>
  <si>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</si>
  <si>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</si>
  <si>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</si>
  <si>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</si>
  <si>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</si>
  <si>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</si>
  <si>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</si>
  <si>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</si>
  <si>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</si>
  <si>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</si>
  <si>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</si>
  <si>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</si>
  <si>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</si>
  <si>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</si>
  <si>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</si>
  <si>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</si>
  <si>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</si>
  <si>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</si>
  <si>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</si>
  <si>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</si>
  <si>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</si>
  <si>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</si>
  <si>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</si>
  <si>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</si>
  <si>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</si>
  <si>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</si>
  <si>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</si>
  <si>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</si>
  <si>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</si>
  <si>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</si>
  <si>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</si>
  <si>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</si>
  <si>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</si>
  <si>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</si>
  <si>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</si>
  <si>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</si>
  <si>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</si>
  <si>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</si>
  <si>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</si>
  <si>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</si>
  <si>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</si>
  <si>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</si>
  <si>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</si>
  <si>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</si>
  <si>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</si>
  <si>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</si>
  <si>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</si>
  <si>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</si>
  <si>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</si>
  <si>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</si>
  <si>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</si>
  <si>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</si>
  <si>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</si>
  <si>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</si>
  <si>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</si>
  <si>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</si>
  <si>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</si>
  <si>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</si>
  <si>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</si>
  <si>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</si>
  <si>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</si>
  <si>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</si>
  <si>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</si>
  <si>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</si>
  <si>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</si>
  <si>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</si>
  <si>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</si>
  <si>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</si>
  <si>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</si>
  <si>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</si>
  <si>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</si>
  <si>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</si>
  <si>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</si>
  <si>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</si>
  <si>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</si>
  <si>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KASHENYI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</si>
  <si>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</si>
  <si>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</si>
  <si>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</si>
  <si>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</si>
  <si>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</si>
  <si>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</si>
  <si>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</si>
  <si>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</si>
  <si>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Karegyeya</t>
  </si>
  <si>
    <t>NTUNGANO</t>
  </si>
  <si>
    <t>NTUNGAMO TOWN</t>
  </si>
  <si>
    <t>NYAMUKANA</t>
  </si>
  <si>
    <t>Nyabihoko</t>
  </si>
  <si>
    <t>Nyakyera</t>
  </si>
  <si>
    <t>Rubare</t>
  </si>
  <si>
    <t>Rubale</t>
  </si>
  <si>
    <t>Rubaare Town Council</t>
  </si>
  <si>
    <t>Rugarama-Ntungamo</t>
  </si>
  <si>
    <t>Rukoni East</t>
  </si>
  <si>
    <t>Rukoni West</t>
  </si>
  <si>
    <t>Rwoho</t>
  </si>
  <si>
    <t>Rwashamaire Town Council</t>
  </si>
  <si>
    <t>Rwashamire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</si>
  <si>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</si>
  <si>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</si>
  <si>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</si>
  <si>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</si>
  <si>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</si>
  <si>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</si>
  <si>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</si>
  <si>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</si>
  <si>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</si>
  <si>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</si>
  <si>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</si>
  <si>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</si>
  <si>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</si>
  <si>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</si>
  <si>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</si>
  <si>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</si>
  <si>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</si>
  <si>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</si>
  <si>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</si>
  <si>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</si>
  <si>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</si>
  <si>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</si>
  <si>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</si>
  <si>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</si>
  <si>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</si>
  <si>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</si>
  <si>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</si>
  <si>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</si>
  <si>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</si>
  <si>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</si>
  <si>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Kamudini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</si>
  <si>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</si>
  <si>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</si>
  <si>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</si>
  <si>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</si>
  <si>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</si>
  <si>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</si>
  <si>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</si>
  <si>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</si>
  <si>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</si>
  <si>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</si>
  <si>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</si>
  <si>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</si>
  <si>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</si>
  <si>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</si>
  <si>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</si>
  <si>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</si>
  <si>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</si>
  <si>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</si>
  <si>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</si>
  <si>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</si>
  <si>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Jonam</t>
  </si>
  <si>
    <t>Parkwach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</si>
  <si>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</si>
  <si>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</si>
  <si>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</si>
  <si>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</si>
  <si>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</si>
  <si>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</si>
  <si>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</si>
  <si>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</si>
  <si>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</si>
  <si>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</si>
  <si>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</si>
  <si>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</si>
  <si>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</si>
  <si>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</si>
  <si>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</si>
  <si>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</si>
  <si>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</si>
  <si>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</si>
  <si>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Kacheera</t>
  </si>
  <si>
    <t>Kagamba</t>
  </si>
  <si>
    <t>Kahunga</t>
  </si>
  <si>
    <t>Kakuuto</t>
  </si>
  <si>
    <t xml:space="preserve">Mutukula </t>
  </si>
  <si>
    <t>Kifamba</t>
  </si>
  <si>
    <t>Kiziba</t>
  </si>
  <si>
    <t>Kyalulangira</t>
  </si>
  <si>
    <t>Lwamaggwa</t>
  </si>
  <si>
    <t>KYANIKA</t>
  </si>
  <si>
    <t>Lwanda</t>
  </si>
  <si>
    <t>Rakai Town Council</t>
  </si>
  <si>
    <t>RAKAI</t>
  </si>
  <si>
    <t>Kiluli</t>
  </si>
  <si>
    <t>Kisansa</t>
  </si>
  <si>
    <t>Bubaare-Rubanda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</si>
  <si>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</si>
  <si>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</si>
  <si>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</si>
  <si>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</si>
  <si>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</si>
  <si>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</si>
  <si>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</si>
  <si>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</si>
  <si>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</si>
  <si>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</si>
  <si>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</si>
  <si>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</si>
  <si>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</si>
  <si>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</si>
  <si>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</si>
  <si>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</si>
  <si>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</si>
  <si>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Nyakiyanja</t>
  </si>
  <si>
    <t>RUBIRIZI TOWN</t>
  </si>
  <si>
    <t>BUNYARUGURU</t>
  </si>
  <si>
    <t>RUMBIRIZI</t>
  </si>
  <si>
    <t>Rutoto</t>
  </si>
  <si>
    <t>Ryeru</t>
  </si>
  <si>
    <t>Buzenga</t>
  </si>
  <si>
    <t>Ndekye</t>
  </si>
  <si>
    <t>Bukinda</t>
  </si>
  <si>
    <t>Rukiga</t>
  </si>
  <si>
    <t>Muhanga</t>
  </si>
  <si>
    <t>Kamwezi</t>
  </si>
  <si>
    <t>Kashambya</t>
  </si>
  <si>
    <t>KARUBANDA</t>
  </si>
  <si>
    <t>Mparo Town Council</t>
  </si>
  <si>
    <t>Muhanga Town Council</t>
  </si>
  <si>
    <t>Rwamucucu</t>
  </si>
  <si>
    <t xml:space="preserve">RUTOMA </t>
  </si>
  <si>
    <t>Bugangari</t>
  </si>
  <si>
    <t>Rujumbura</t>
  </si>
  <si>
    <t>Kagati</t>
  </si>
  <si>
    <t>Kagiti</t>
  </si>
  <si>
    <t>Buhunga</t>
  </si>
  <si>
    <t>RUSHESHE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</si>
  <si>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</si>
  <si>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</si>
  <si>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</si>
  <si>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</si>
  <si>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</si>
  <si>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</si>
  <si>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</si>
  <si>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</si>
  <si>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RUHINDI</t>
  </si>
  <si>
    <t>Rukungiri Municipality</t>
  </si>
  <si>
    <t>Kisizi</t>
  </si>
  <si>
    <t>RUKUNGIRI TOWN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</si>
  <si>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</si>
  <si>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</si>
  <si>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</si>
  <si>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</si>
  <si>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</si>
  <si>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</si>
  <si>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</si>
  <si>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</si>
  <si>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</si>
  <si>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</si>
  <si>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</si>
  <si>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</si>
  <si>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</si>
  <si>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</si>
  <si>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</si>
  <si>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KIHUNDA</t>
  </si>
  <si>
    <t>Kakindo Town Council</t>
  </si>
  <si>
    <t>Kabwohe</t>
  </si>
  <si>
    <t>KIBINGO</t>
  </si>
  <si>
    <t>MUSHANGA</t>
  </si>
  <si>
    <t>ITENDERO</t>
  </si>
  <si>
    <t>Kasaana</t>
  </si>
  <si>
    <t>Kigarama</t>
  </si>
  <si>
    <t>Kitagata</t>
  </si>
  <si>
    <t>Kasinga</t>
  </si>
  <si>
    <t>Kyangyenyi</t>
  </si>
  <si>
    <t>Masheruka</t>
  </si>
  <si>
    <t>Rugarama-Sheema</t>
  </si>
  <si>
    <t>SHEEMA</t>
  </si>
  <si>
    <t>Shema</t>
  </si>
  <si>
    <t>SHEEMA TOWN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</si>
  <si>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</si>
  <si>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</si>
  <si>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</si>
  <si>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</si>
  <si>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</si>
  <si>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</si>
  <si>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</si>
  <si>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</si>
  <si>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</si>
  <si>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</si>
  <si>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</si>
  <si>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</si>
  <si>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</si>
  <si>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</si>
  <si>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</si>
  <si>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</si>
  <si>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</si>
  <si>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</si>
  <si>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</si>
  <si>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</si>
  <si>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</si>
  <si>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</si>
  <si>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</si>
  <si>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</si>
  <si>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</si>
  <si>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</si>
  <si>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</si>
  <si>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</si>
  <si>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</si>
  <si>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</si>
  <si>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</si>
  <si>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</si>
  <si>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</si>
  <si>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</si>
  <si>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</si>
  <si>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</si>
  <si>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</si>
  <si>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</si>
  <si>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</si>
  <si>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</si>
  <si>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</si>
  <si>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</si>
  <si>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</si>
  <si>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</si>
  <si>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</si>
  <si>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Ganda</t>
  </si>
  <si>
    <t>Gganda</t>
  </si>
  <si>
    <t>Iyolwa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</si>
  <si>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</si>
  <si>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</si>
  <si>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</si>
  <si>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</si>
  <si>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</si>
  <si>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</si>
  <si>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</si>
  <si>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</si>
  <si>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</si>
  <si>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</si>
  <si>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</si>
  <si>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</si>
  <si>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</si>
  <si>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</si>
  <si>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</si>
  <si>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</si>
  <si>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</si>
  <si>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</si>
  <si>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</si>
  <si>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</si>
  <si>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town</t>
  </si>
  <si>
    <t>Bunamwaya</t>
  </si>
  <si>
    <t>Wakiso</t>
  </si>
  <si>
    <t>Makindye Ssabagabo Municipality</t>
  </si>
  <si>
    <t>KINAAWA</t>
  </si>
  <si>
    <t>Bussi</t>
  </si>
  <si>
    <t>Busiro</t>
  </si>
  <si>
    <t>Busukuma</t>
  </si>
  <si>
    <t>Nansana Municipality</t>
  </si>
  <si>
    <t>magigye</t>
  </si>
  <si>
    <t>Kira Municipality</t>
  </si>
  <si>
    <t xml:space="preserve"> BWEYOGERERE</t>
  </si>
  <si>
    <t>BWEYOGERER</t>
  </si>
  <si>
    <t>BYWOGERERE</t>
  </si>
  <si>
    <t>BWEYOGERE</t>
  </si>
  <si>
    <t>KIRINYA</t>
  </si>
  <si>
    <t>Nambole</t>
  </si>
  <si>
    <t>Nanboole</t>
  </si>
  <si>
    <t>Entebbe Airport</t>
  </si>
  <si>
    <t>Entebbe Municipality</t>
  </si>
  <si>
    <t>Airport</t>
  </si>
  <si>
    <t>ENTEBBE</t>
  </si>
  <si>
    <t>ENTEBBE TOWN</t>
  </si>
  <si>
    <t>Entebba</t>
  </si>
  <si>
    <t xml:space="preserve">Entebbe </t>
  </si>
  <si>
    <t xml:space="preserve">ENTEBE </t>
  </si>
  <si>
    <t>NTEBBE</t>
  </si>
  <si>
    <t>Enttebe</t>
  </si>
  <si>
    <t>Kitoro</t>
  </si>
  <si>
    <t>Kitooro</t>
  </si>
  <si>
    <t>Kawuku</t>
  </si>
  <si>
    <t>Kawuka</t>
  </si>
  <si>
    <t>Namulanda</t>
  </si>
  <si>
    <t>Gombe</t>
  </si>
  <si>
    <t>Kajjansi Town Council</t>
  </si>
  <si>
    <t xml:space="preserve">Kajjansi  </t>
  </si>
  <si>
    <t>KAJANSI</t>
  </si>
  <si>
    <t>Kajjasi</t>
  </si>
  <si>
    <t>KANJJASI</t>
  </si>
  <si>
    <t>Muwana</t>
  </si>
  <si>
    <t>Sseguku</t>
  </si>
  <si>
    <t>SEGGUKU</t>
  </si>
  <si>
    <t>Lunya</t>
  </si>
  <si>
    <t>Bwebajja</t>
  </si>
  <si>
    <t>BWEBAJA</t>
  </si>
  <si>
    <t>Dewe</t>
  </si>
  <si>
    <t>Lweza</t>
  </si>
  <si>
    <t>Lweeza</t>
  </si>
  <si>
    <t>Lwera</t>
  </si>
  <si>
    <t>LWERE</t>
  </si>
  <si>
    <t>Kasana</t>
  </si>
  <si>
    <t>KAJJANSI</t>
  </si>
  <si>
    <t>Kitende</t>
  </si>
  <si>
    <t xml:space="preserve">KITENDE </t>
  </si>
  <si>
    <t>Kakiri</t>
  </si>
  <si>
    <t>BUKALANGO</t>
  </si>
  <si>
    <t>Nkowe</t>
  </si>
  <si>
    <t>Sentema</t>
  </si>
  <si>
    <t>Ssentema</t>
  </si>
  <si>
    <t>Kakiri Town Council</t>
  </si>
  <si>
    <t>Kasangati Town Council</t>
  </si>
  <si>
    <t>Kasangatu</t>
  </si>
  <si>
    <t>KASANGATTI</t>
  </si>
  <si>
    <t>Miles</t>
  </si>
  <si>
    <t>Kyankima</t>
  </si>
  <si>
    <t>BULAMU</t>
  </si>
  <si>
    <t>KITEGOMBA</t>
  </si>
  <si>
    <t>KITEGOMBWA</t>
  </si>
  <si>
    <t>GITTA</t>
  </si>
  <si>
    <t>GIITA</t>
  </si>
  <si>
    <t>NANGABO</t>
  </si>
  <si>
    <t>NANGBO</t>
  </si>
  <si>
    <t>MAWULE</t>
  </si>
  <si>
    <t>Busiika</t>
  </si>
  <si>
    <t>Busika</t>
  </si>
  <si>
    <t>KASANGATI</t>
  </si>
  <si>
    <t>Kansangati</t>
  </si>
  <si>
    <t>Kasanje</t>
  </si>
  <si>
    <t>Kawoko</t>
  </si>
  <si>
    <t>Katabi Town Council</t>
  </si>
  <si>
    <t>Gombolola</t>
  </si>
  <si>
    <t>Kira</t>
  </si>
  <si>
    <t xml:space="preserve">KIIRA </t>
  </si>
  <si>
    <t>Kijabijo</t>
  </si>
  <si>
    <t>KIRA MUNICIPAL</t>
  </si>
  <si>
    <t>Mulawa</t>
  </si>
  <si>
    <t>Kireka</t>
  </si>
  <si>
    <t>Garage</t>
  </si>
  <si>
    <t>KAMULI A ZONE</t>
  </si>
  <si>
    <t>Kamuli rd</t>
  </si>
  <si>
    <t>Agenda</t>
  </si>
  <si>
    <t>Kiira</t>
  </si>
  <si>
    <t>Bulindo</t>
  </si>
  <si>
    <t>KITIKUTWE</t>
  </si>
  <si>
    <t xml:space="preserve">BULINDO </t>
  </si>
  <si>
    <t>Nsasa</t>
  </si>
  <si>
    <t>NABUSAGWE</t>
  </si>
  <si>
    <t>KITUKUTWE</t>
  </si>
  <si>
    <t>KIWOLOGOMA</t>
  </si>
  <si>
    <t>Kyengera Town Council</t>
  </si>
  <si>
    <t>KYENGERA</t>
  </si>
  <si>
    <t>NABINGO</t>
  </si>
  <si>
    <t>Namagoma</t>
  </si>
  <si>
    <t>Nsangi</t>
  </si>
  <si>
    <t>Buddo</t>
  </si>
  <si>
    <t>Nsanji</t>
  </si>
  <si>
    <t>Kitaala</t>
  </si>
  <si>
    <t>Kayembe</t>
  </si>
  <si>
    <t>Masajja</t>
  </si>
  <si>
    <t>Masjja</t>
  </si>
  <si>
    <t>Massajja</t>
  </si>
  <si>
    <t>KIBUTIKA</t>
  </si>
  <si>
    <t>Masuliita</t>
  </si>
  <si>
    <t>Masulita Town Council</t>
  </si>
  <si>
    <t>Mende</t>
  </si>
  <si>
    <t>Nabweru</t>
  </si>
  <si>
    <t>Nabwero</t>
  </si>
  <si>
    <t>Mabwero</t>
  </si>
  <si>
    <t>Nabwera</t>
  </si>
  <si>
    <t>NABWERU ROAD</t>
  </si>
  <si>
    <t>Lubigi</t>
  </si>
  <si>
    <t>Rubigi town</t>
  </si>
  <si>
    <t>LIBINGI</t>
  </si>
  <si>
    <t>Rubigi</t>
  </si>
  <si>
    <t>Kawanda</t>
  </si>
  <si>
    <t>Namarere</t>
  </si>
  <si>
    <t>Maganjo</t>
  </si>
  <si>
    <t>Senge</t>
  </si>
  <si>
    <t>Matugo</t>
  </si>
  <si>
    <t>Matugga</t>
  </si>
  <si>
    <t>Kabunza</t>
  </si>
  <si>
    <t>Kigogwa</t>
  </si>
  <si>
    <t>Kiggogwa</t>
  </si>
  <si>
    <t>Kikgogwa</t>
  </si>
  <si>
    <t>Buwambo</t>
  </si>
  <si>
    <t>BUYERA</t>
  </si>
  <si>
    <t>KITTI</t>
  </si>
  <si>
    <t>KITI</t>
  </si>
  <si>
    <t>Kasengejje</t>
  </si>
  <si>
    <t>KASEGEJJE</t>
  </si>
  <si>
    <t>Kasengeje</t>
  </si>
  <si>
    <t>KIMANYA</t>
  </si>
  <si>
    <t>Matuga</t>
  </si>
  <si>
    <t>Mayirikiti</t>
  </si>
  <si>
    <t>Kiryagonja</t>
  </si>
  <si>
    <t>Watindo</t>
  </si>
  <si>
    <t>Ssemuto</t>
  </si>
  <si>
    <t>Ssemutto</t>
  </si>
  <si>
    <t>Namengo</t>
  </si>
  <si>
    <t>Green valley</t>
  </si>
  <si>
    <t>Namayumba</t>
  </si>
  <si>
    <t>Namayumba Town Council</t>
  </si>
  <si>
    <t>Namugongo</t>
  </si>
  <si>
    <t>NUGONGO</t>
  </si>
  <si>
    <t>ssonde</t>
  </si>
  <si>
    <t>NAMUGONGO SHRINE</t>
  </si>
  <si>
    <t>Sonde</t>
  </si>
  <si>
    <t>Naalya</t>
  </si>
  <si>
    <t>MBALWA</t>
  </si>
  <si>
    <t>Nalya</t>
  </si>
  <si>
    <t>Kyaliwajala</t>
  </si>
  <si>
    <t>KYALIWAJALA ROAD</t>
  </si>
  <si>
    <t>KYALUWAJALA</t>
  </si>
  <si>
    <t>KYALIWAJJALA</t>
  </si>
  <si>
    <t>KYALIWAJARA</t>
  </si>
  <si>
    <t>KALIWAJJALA</t>
  </si>
  <si>
    <t>Najera</t>
  </si>
  <si>
    <t>Najjera</t>
  </si>
  <si>
    <t>Nagyera</t>
  </si>
  <si>
    <t>Najeera</t>
  </si>
  <si>
    <t>Najeera 1</t>
  </si>
  <si>
    <t>Najeera 2</t>
  </si>
  <si>
    <t xml:space="preserve">NAJEERA </t>
  </si>
  <si>
    <t>NAJJEERA</t>
  </si>
  <si>
    <t>PK SUPERMARKET</t>
  </si>
  <si>
    <t>BULABIRA</t>
  </si>
  <si>
    <t>Buwate</t>
  </si>
  <si>
    <t>Buwaate</t>
  </si>
  <si>
    <t>Bwate</t>
  </si>
  <si>
    <t>BUWATTE</t>
  </si>
  <si>
    <t>Green hill</t>
  </si>
  <si>
    <t>KIBIRA</t>
  </si>
  <si>
    <t>Nansana</t>
  </si>
  <si>
    <t>NANSANA STORES</t>
  </si>
  <si>
    <t>KAZINGA</t>
  </si>
  <si>
    <t>Kaziga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</si>
  <si>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</si>
  <si>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</si>
  <si>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</si>
  <si>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</si>
  <si>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</si>
  <si>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</si>
  <si>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</si>
  <si>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</si>
  <si>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</si>
  <si>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</si>
  <si>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</si>
  <si>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</si>
  <si>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Ndejje</t>
  </si>
  <si>
    <t>Zanta</t>
  </si>
  <si>
    <t>Ndejja</t>
  </si>
  <si>
    <t>Wakiso town</t>
  </si>
  <si>
    <t>KITALYA</t>
  </si>
  <si>
    <t>Wakiso road</t>
  </si>
  <si>
    <t>kavumba</t>
  </si>
  <si>
    <t>Watuba</t>
  </si>
  <si>
    <t>Kitagobwa</t>
  </si>
  <si>
    <t>NAKANAKU</t>
  </si>
  <si>
    <t>KITEGOBWA</t>
  </si>
  <si>
    <t>KITEGOMWA</t>
  </si>
  <si>
    <t>KITEGAMBA</t>
  </si>
  <si>
    <t>KITEGOMA</t>
  </si>
  <si>
    <t>MPUNGA</t>
  </si>
  <si>
    <t>KISIMBIRI</t>
  </si>
  <si>
    <t>Mbuga</t>
  </si>
  <si>
    <t>NAMUSERA</t>
  </si>
  <si>
    <t>NKOOWE</t>
  </si>
  <si>
    <t>Entebbe road</t>
  </si>
  <si>
    <t>Bulenga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</si>
  <si>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</si>
  <si>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</si>
  <si>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</si>
  <si>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</si>
  <si>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</si>
  <si>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</si>
  <si>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</si>
  <si>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</si>
  <si>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Buloba</t>
  </si>
  <si>
    <t xml:space="preserve">BULOBA </t>
  </si>
  <si>
    <t>Bujuko</t>
  </si>
  <si>
    <t>Bujuuko</t>
  </si>
  <si>
    <t>BUJJUKO</t>
  </si>
  <si>
    <t>Kisamula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</si>
  <si>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</si>
  <si>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</si>
  <si>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</si>
  <si>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</si>
  <si>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</si>
  <si>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</si>
  <si>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</si>
  <si>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</si>
  <si>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</si>
  <si>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</si>
  <si>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</si>
  <si>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</si>
  <si>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</si>
  <si>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</si>
  <si>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</si>
  <si>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</si>
  <si>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</si>
  <si>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</si>
  <si>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</si>
  <si>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</si>
  <si>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</si>
  <si>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</si>
  <si>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</si>
  <si>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</si>
  <si>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</si>
  <si>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</si>
  <si>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</si>
  <si>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</si>
  <si>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</si>
  <si>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</si>
  <si>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</si>
  <si>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Kakunga</t>
  </si>
  <si>
    <t>Mutukula</t>
  </si>
  <si>
    <t>Kigoma</t>
  </si>
  <si>
    <t>Buruma</t>
  </si>
  <si>
    <t>TANZANIA TOWN</t>
  </si>
  <si>
    <t>KYERWA TOWN</t>
  </si>
  <si>
    <t>Karegwe</t>
  </si>
  <si>
    <t>Katuna</t>
  </si>
  <si>
    <t>Nyaruguru</t>
  </si>
  <si>
    <t>Rwahi</t>
  </si>
  <si>
    <t>Manzi</t>
  </si>
  <si>
    <t>Cyanika</t>
  </si>
  <si>
    <t>MUHORORO</t>
  </si>
  <si>
    <t>Bunagana</t>
  </si>
  <si>
    <t>D.R.C</t>
  </si>
  <si>
    <t>Goma</t>
  </si>
  <si>
    <t>RWENZIRINGIRO</t>
  </si>
  <si>
    <t>Busumba</t>
  </si>
  <si>
    <t>Mpondwe</t>
  </si>
  <si>
    <t xml:space="preserve">Kasese  </t>
  </si>
  <si>
    <t>Goli</t>
  </si>
  <si>
    <t xml:space="preserve">Nebbi  </t>
  </si>
  <si>
    <t>Sudan</t>
  </si>
  <si>
    <t>Mirama Hills</t>
  </si>
  <si>
    <t xml:space="preserve">Ntungamo  </t>
  </si>
  <si>
    <t>Mirama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</si>
  <si>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</si>
  <si>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</si>
  <si>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</si>
  <si>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</si>
  <si>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</si>
  <si>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</si>
  <si>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</si>
  <si>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</si>
  <si>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</si>
  <si>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</si>
  <si>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</si>
  <si>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</si>
  <si>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</si>
  <si>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</si>
  <si>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</si>
  <si>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</si>
  <si>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</si>
  <si>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</si>
  <si>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</si>
  <si>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</si>
  <si>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</si>
  <si>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</si>
  <si>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</si>
  <si>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</si>
  <si>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</si>
  <si>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</si>
  <si>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</si>
  <si>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</si>
  <si>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</si>
  <si>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</si>
  <si>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</si>
  <si>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</si>
  <si>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</si>
  <si>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</si>
  <si>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</si>
  <si>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</si>
  <si>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</si>
  <si>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</si>
  <si>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</si>
  <si>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</si>
  <si>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</si>
  <si>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</si>
  <si>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</si>
  <si>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</si>
  <si>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</si>
  <si>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</si>
  <si>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</si>
  <si>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</si>
  <si>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</si>
  <si>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</si>
  <si>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</si>
  <si>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</si>
  <si>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</si>
  <si>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</si>
  <si>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</si>
  <si>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</si>
  <si>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</si>
  <si>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</si>
  <si>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</si>
  <si>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</si>
  <si>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</si>
  <si>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</si>
  <si>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</si>
  <si>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</si>
  <si>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</si>
  <si>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</si>
  <si>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</si>
  <si>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</si>
  <si>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</si>
  <si>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</si>
  <si>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</si>
  <si>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</si>
  <si>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</si>
  <si>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</si>
  <si>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</si>
  <si>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</si>
  <si>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</si>
  <si>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</si>
  <si>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</si>
  <si>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</si>
  <si>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</si>
  <si>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</si>
  <si>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</si>
  <si>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</si>
  <si>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</si>
  <si>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</si>
  <si>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</si>
  <si>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</si>
  <si>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</si>
  <si>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</si>
  <si>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</si>
  <si>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</si>
  <si>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</si>
  <si>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</si>
  <si>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</si>
  <si>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</si>
  <si>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</si>
  <si>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</si>
  <si>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</si>
  <si>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</si>
  <si>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</si>
  <si>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</si>
  <si>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</si>
  <si>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</si>
  <si>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</si>
  <si>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</si>
  <si>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</si>
  <si>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</si>
  <si>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</si>
  <si>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</si>
  <si>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</si>
  <si>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</si>
  <si>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</si>
  <si>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</si>
  <si>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</si>
  <si>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</si>
  <si>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</si>
  <si>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</si>
  <si>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</si>
  <si>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</si>
  <si>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</si>
  <si>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</si>
  <si>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</si>
  <si>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</si>
  <si>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</si>
  <si>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</si>
  <si>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</si>
  <si>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</si>
  <si>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</si>
  <si>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</si>
  <si>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</si>
  <si>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</si>
  <si>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</si>
  <si>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</si>
  <si>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</si>
  <si>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</si>
  <si>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</si>
  <si>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</si>
  <si>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</si>
  <si>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</si>
  <si>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</si>
  <si>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</si>
  <si>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</si>
  <si>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</si>
  <si>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</si>
  <si>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</si>
  <si>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</si>
  <si>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</si>
  <si>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</si>
  <si>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</si>
  <si>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</si>
  <si>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</si>
  <si>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</si>
  <si>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</si>
  <si>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</si>
  <si>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</si>
  <si>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South sudan</t>
  </si>
  <si>
    <t>kenya</t>
  </si>
  <si>
    <t>OYAM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</si>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</sst>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1" fillId="0" borderId="0"/>
    <xf numFmtId="0" fontId="13" fillId="0" borderId="0">
      <alignment vertical="center"/>
    </xf>
  </cellStyleXfs>
  <cellXfs count="16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7" fillId="2" borderId="2" xfId="0" applyNumberFormat="1" applyFont="1" applyFill="1" applyBorder="1" applyAlignment="1">
      <alignment vertical="center"/>
    </xf>
    <xf numFmtId="0" fontId="7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7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20" fontId="7" fillId="3" borderId="2" xfId="0" applyNumberFormat="1" applyFont="1" applyFill="1" applyBorder="1" applyAlignment="1">
      <alignment vertical="center"/>
    </xf>
    <xf numFmtId="0" fontId="7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3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3" applyNumberFormat="1" applyFont="1" applyFill="1" applyBorder="1"/>
    <xf numFmtId="3" fontId="0" fillId="3" borderId="3" xfId="0" applyNumberForma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5" fillId="3" borderId="3" xfId="0" applyNumberFormat="1" applyFont="1" applyFill="1" applyBorder="1" applyAlignment="1">
      <alignment horizontal="lef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2" fillId="5" borderId="7" xfId="4" applyFont="1" applyFill="1" applyBorder="1" applyAlignment="1">
      <alignment horizontal="center"/>
    </xf>
    <xf numFmtId="0" fontId="12" fillId="5" borderId="0" xfId="4" applyFont="1" applyFill="1" applyAlignment="1">
      <alignment horizontal="center"/>
    </xf>
    <xf numFmtId="0" fontId="13" fillId="0" borderId="0" xfId="5">
      <alignment vertical="center"/>
    </xf>
    <xf numFmtId="0" fontId="13" fillId="6" borderId="0" xfId="5" applyFill="1">
      <alignment vertical="center"/>
    </xf>
    <xf numFmtId="0" fontId="15" fillId="5" borderId="24" xfId="5" applyFont="1" applyFill="1" applyBorder="1" applyAlignment="1">
      <alignment horizontal="center" vertical="center"/>
    </xf>
    <xf numFmtId="0" fontId="12" fillId="5" borderId="24" xfId="4" applyFont="1" applyFill="1" applyBorder="1" applyAlignment="1">
      <alignment horizontal="center"/>
    </xf>
    <xf numFmtId="0" fontId="16" fillId="0" borderId="3" xfId="5" applyFont="1" applyBorder="1" applyAlignment="1">
      <alignment horizontal="center" vertical="center"/>
    </xf>
    <xf numFmtId="0" fontId="11" fillId="0" borderId="3" xfId="4" applyBorder="1" applyAlignment="1">
      <alignment wrapText="1"/>
    </xf>
    <xf numFmtId="0" fontId="16" fillId="0" borderId="2" xfId="5" applyFont="1" applyBorder="1" applyAlignment="1">
      <alignment horizontal="center" vertical="center"/>
    </xf>
    <xf numFmtId="0" fontId="11" fillId="0" borderId="2" xfId="4" applyBorder="1" applyAlignment="1">
      <alignment wrapText="1"/>
    </xf>
    <xf numFmtId="0" fontId="11" fillId="6" borderId="2" xfId="4" applyFill="1" applyBorder="1" applyAlignment="1">
      <alignment wrapText="1"/>
    </xf>
    <xf numFmtId="0" fontId="11" fillId="0" borderId="2" xfId="4" applyBorder="1" applyAlignment="1">
      <alignment vertical="center" wrapText="1"/>
    </xf>
    <xf numFmtId="0" fontId="11" fillId="6" borderId="2" xfId="4" applyFill="1" applyBorder="1" applyAlignment="1">
      <alignment vertical="center" wrapText="1"/>
    </xf>
    <xf numFmtId="0" fontId="11" fillId="2" borderId="2" xfId="4" applyFill="1" applyBorder="1" applyAlignment="1">
      <alignment wrapText="1"/>
    </xf>
    <xf numFmtId="0" fontId="13" fillId="2" borderId="0" xfId="5" applyFill="1">
      <alignment vertical="center"/>
    </xf>
    <xf numFmtId="0" fontId="11" fillId="2" borderId="2" xfId="4" applyFill="1" applyBorder="1" applyAlignment="1">
      <alignment vertical="center" wrapText="1"/>
    </xf>
    <xf numFmtId="0" fontId="16" fillId="2" borderId="2" xfId="5" applyFont="1" applyFill="1" applyBorder="1" applyAlignment="1">
      <alignment horizontal="center" vertical="center"/>
    </xf>
    <xf numFmtId="0" fontId="11" fillId="6" borderId="7" xfId="4" applyFill="1" applyBorder="1" applyAlignment="1">
      <alignment wrapText="1"/>
    </xf>
    <xf numFmtId="0" fontId="16" fillId="0" borderId="0" xfId="5" applyFont="1" applyAlignment="1">
      <alignment horizontal="center" vertical="center"/>
    </xf>
    <xf numFmtId="0" fontId="16" fillId="0" borderId="0" xfId="5" applyFont="1">
      <alignment vertical="center"/>
    </xf>
    <xf numFmtId="0" fontId="12" fillId="0" borderId="0" xfId="4" applyFont="1" applyFill="1" applyBorder="1" applyAlignment="1">
      <alignment horizontal="center"/>
    </xf>
    <xf numFmtId="0" fontId="10" fillId="0" borderId="0" xfId="5" applyFont="1" applyFill="1" applyBorder="1">
      <alignment vertical="center"/>
    </xf>
    <xf numFmtId="0" fontId="13" fillId="0" borderId="0" xfId="5" applyFill="1" applyBorder="1">
      <alignment vertical="center"/>
    </xf>
    <xf numFmtId="0" fontId="14" fillId="0" borderId="0" xfId="5" applyFont="1" applyFill="1" applyBorder="1">
      <alignment vertical="center"/>
    </xf>
    <xf numFmtId="0" fontId="10" fillId="7" borderId="0" xfId="5" applyFont="1" applyFill="1" applyBorder="1">
      <alignment vertic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1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3" applyNumberFormat="1" applyFont="1" applyFill="1" applyBorder="1"/>
    <xf numFmtId="167" fontId="0" fillId="6" borderId="2" xfId="0" applyNumberFormat="1" applyFill="1" applyBorder="1"/>
    <xf numFmtId="168" fontId="0" fillId="6" borderId="2" xfId="1" applyNumberFormat="1" applyFont="1" applyFill="1" applyBorder="1"/>
    <xf numFmtId="0" fontId="1" fillId="10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10" borderId="2" xfId="0" applyFont="1" applyFill="1" applyBorder="1"/>
    <xf numFmtId="167" fontId="0" fillId="10" borderId="2" xfId="3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1" applyNumberFormat="1" applyFont="1" applyFill="1" applyBorder="1"/>
    <xf numFmtId="0" fontId="1" fillId="13" borderId="2" xfId="0" applyFont="1" applyFill="1" applyBorder="1"/>
    <xf numFmtId="167" fontId="1" fillId="10" borderId="2" xfId="3" applyNumberFormat="1" applyFont="1" applyFill="1" applyBorder="1"/>
    <xf numFmtId="0" fontId="1" fillId="9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3" applyNumberFormat="1" applyFont="1" applyFill="1" applyBorder="1"/>
    <xf numFmtId="167" fontId="0" fillId="16" borderId="2" xfId="0" applyNumberFormat="1" applyFill="1" applyBorder="1"/>
    <xf numFmtId="168" fontId="0" fillId="16" borderId="2" xfId="1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11" fillId="2" borderId="8" xfId="4" applyFill="1" applyBorder="1" applyAlignment="1">
      <alignment horizontal="left" vertical="center" wrapText="1"/>
    </xf>
    <xf numFmtId="0" fontId="11" fillId="2" borderId="3" xfId="4" applyFill="1" applyBorder="1" applyAlignment="1">
      <alignment horizontal="left" vertical="center" wrapText="1"/>
    </xf>
    <xf numFmtId="0" fontId="11" fillId="2" borderId="7" xfId="4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7" fillId="0" borderId="21" xfId="0" applyFont="1" applyFill="1" applyBorder="1" applyAlignment="1">
      <alignment horizontal="center" vertical="center"/>
    </xf>
    <xf numFmtId="0" fontId="7" fillId="0" borderId="23" xfId="0" applyFont="1" applyFill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1" applyNumberFormat="1" applyFont="1" applyFill="1" applyBorder="1"/>
  </cellXfs>
  <cellStyles count="6">
    <cellStyle name="Comma 2" xfId="3" xr:uid="{00000000-0005-0000-0000-000001000000}"/>
    <cellStyle name="Normal" xfId="0" builtinId="0"/>
    <cellStyle name="Normal 2" xfId="2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1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27A-41B0-AF1A-5DDCF89735D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27A-41B0-AF1A-5DDCF89735D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27A-41B0-AF1A-5DDCF89735D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27A-41B0-AF1A-5DDCF89735D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27A-41B0-AF1A-5DDCF89735D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27A-41B0-AF1A-5DDCF89735D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27A-41B0-AF1A-5DDCF89735D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27A-41B0-AF1A-5DDCF89735D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27A-41B0-AF1A-5DDCF8973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27A-41B0-AF1A-5DDCF89735D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27A-41B0-AF1A-5DDCF89735D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27A-41B0-AF1A-5DDCF89735D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7A-41B0-AF1A-5DDCF8973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115</c:v>
                </c:pt>
                <c:pt idx="1">
                  <c:v>45</c:v>
                </c:pt>
                <c:pt idx="2">
                  <c:v>3</c:v>
                </c:pt>
                <c:pt idx="3">
                  <c:v>1</c:v>
                </c:pt>
                <c:pt idx="4">
                  <c:v>15</c:v>
                </c:pt>
                <c:pt idx="5">
                  <c:v>28</c:v>
                </c:pt>
                <c:pt idx="6">
                  <c:v>13</c:v>
                </c:pt>
                <c:pt idx="7">
                  <c:v>73</c:v>
                </c:pt>
                <c:pt idx="8">
                  <c:v>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27A-41B0-AF1A-5DDCF8973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D89-4C1E-AE12-CD46D6AFC4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D89-4C1E-AE12-CD46D6AFC48B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D89-4C1E-AE12-CD46D6AFC4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D89-4C1E-AE12-CD46D6AFC48B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D89-4C1E-AE12-CD46D6AFC48B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89-4C1E-AE12-CD46D6AFC48B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89-4C1E-AE12-CD46D6AFC48B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89-4C1E-AE12-CD46D6AFC48B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89-4C1E-AE12-CD46D6AFC4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12</c:v>
                </c:pt>
                <c:pt idx="1">
                  <c:v>0</c:v>
                </c:pt>
                <c:pt idx="2">
                  <c:v>74</c:v>
                </c:pt>
                <c:pt idx="3">
                  <c:v>188</c:v>
                </c:pt>
                <c:pt idx="4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D89-4C1E-AE12-CD46D6AFC4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2-4D6C-B7FD-1FAAED740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D-44C0-A72B-0269A8C492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72-4058-B571-488D59F9C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</c:v>
                </c:pt>
                <c:pt idx="1">
                  <c:v>22</c:v>
                </c:pt>
                <c:pt idx="2">
                  <c:v>13</c:v>
                </c:pt>
                <c:pt idx="3">
                  <c:v>20</c:v>
                </c:pt>
                <c:pt idx="4">
                  <c:v>46</c:v>
                </c:pt>
                <c:pt idx="5">
                  <c:v>71</c:v>
                </c:pt>
                <c:pt idx="6">
                  <c:v>14</c:v>
                </c:pt>
                <c:pt idx="7">
                  <c:v>8</c:v>
                </c:pt>
                <c:pt idx="8">
                  <c:v>5</c:v>
                </c:pt>
                <c:pt idx="9">
                  <c:v>12</c:v>
                </c:pt>
                <c:pt idx="10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B5-41DB-B647-E4BBF77D0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24B-4419-BA32-5CE7F23F53FE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24B-4419-BA32-5CE7F23F53FE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24B-4419-BA32-5CE7F23F53FE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24B-4419-BA32-5CE7F23F53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24B-4419-BA32-5CE7F23F53FE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24B-4419-BA32-5CE7F23F53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117</c:v>
                </c:pt>
                <c:pt idx="1">
                  <c:v>46</c:v>
                </c:pt>
                <c:pt idx="2">
                  <c:v>136</c:v>
                </c:pt>
                <c:pt idx="3">
                  <c:v>80</c:v>
                </c:pt>
                <c:pt idx="4">
                  <c:v>8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24B-4419-BA32-5CE7F23F53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3</xdr:row>
      <xdr:rowOff>12700</xdr:rowOff>
    </xdr:from>
    <xdr:to>
      <xdr:col>11</xdr:col>
      <xdr:colOff>307241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770805-ED7C-4D3E-B617-FE7AD9BABF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465021</xdr:rowOff>
    </xdr:from>
    <xdr:to>
      <xdr:col>11</xdr:col>
      <xdr:colOff>30283</xdr:colOff>
      <xdr:row>38</xdr:row>
      <xdr:rowOff>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7FB523-00FC-4112-B0E4-699E8BD6E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39</xdr:row>
      <xdr:rowOff>153379</xdr:rowOff>
    </xdr:from>
    <xdr:to>
      <xdr:col>11</xdr:col>
      <xdr:colOff>316033</xdr:colOff>
      <xdr:row>56</xdr:row>
      <xdr:rowOff>93787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C440FB-A046-4BE8-AFD6-39EAB7DD7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171940</xdr:rowOff>
    </xdr:from>
    <xdr:to>
      <xdr:col>10</xdr:col>
      <xdr:colOff>546100</xdr:colOff>
      <xdr:row>74</xdr:row>
      <xdr:rowOff>99648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424CA79-E5B5-4B3C-966F-7CF51F7A0E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186594</xdr:rowOff>
    </xdr:from>
    <xdr:to>
      <xdr:col>12</xdr:col>
      <xdr:colOff>542192</xdr:colOff>
      <xdr:row>94</xdr:row>
      <xdr:rowOff>63502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B1300E4-DD35-45DE-90E6-2C46100229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161194</xdr:rowOff>
    </xdr:from>
    <xdr:to>
      <xdr:col>25</xdr:col>
      <xdr:colOff>203200</xdr:colOff>
      <xdr:row>18</xdr:row>
      <xdr:rowOff>114302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A4C2E65-81F8-431D-9B0B-395D34E60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20</xdr:row>
      <xdr:rowOff>129931</xdr:rowOff>
    </xdr:from>
    <xdr:to>
      <xdr:col>24</xdr:col>
      <xdr:colOff>380999</xdr:colOff>
      <xdr:row>39</xdr:row>
      <xdr:rowOff>43962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B71D46C-BCE4-495C-B5DB-B91A8E703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/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/>
          <cell r="F10"/>
        </row>
        <row r="11">
          <cell r="C11" t="str">
            <v>Kole</v>
          </cell>
          <cell r="D11" t="str">
            <v>Aboke</v>
          </cell>
          <cell r="E11"/>
          <cell r="F11"/>
        </row>
        <row r="12">
          <cell r="C12" t="str">
            <v>Kwania</v>
          </cell>
          <cell r="D12" t="str">
            <v>Abongomola</v>
          </cell>
          <cell r="E12"/>
          <cell r="F12"/>
        </row>
        <row r="13">
          <cell r="C13" t="str">
            <v>Koboko</v>
          </cell>
          <cell r="D13" t="str">
            <v>Abuku</v>
          </cell>
          <cell r="E13"/>
          <cell r="F13"/>
        </row>
        <row r="14">
          <cell r="C14" t="str">
            <v>Oyam</v>
          </cell>
          <cell r="D14" t="str">
            <v>Acaba</v>
          </cell>
          <cell r="E14"/>
          <cell r="F14"/>
        </row>
        <row r="15">
          <cell r="C15" t="str">
            <v>Aruu</v>
          </cell>
          <cell r="D15" t="str">
            <v>Acholibur</v>
          </cell>
          <cell r="E15"/>
          <cell r="F15"/>
        </row>
        <row r="16">
          <cell r="C16" t="str">
            <v>Kapelebyong</v>
          </cell>
          <cell r="D16" t="str">
            <v>Acowa</v>
          </cell>
          <cell r="E16"/>
          <cell r="F16"/>
        </row>
        <row r="17">
          <cell r="C17" t="str">
            <v>Dokolo</v>
          </cell>
          <cell r="D17" t="str">
            <v>Adeknino</v>
          </cell>
          <cell r="E17"/>
          <cell r="F17"/>
        </row>
        <row r="18">
          <cell r="C18" t="str">
            <v>Erute</v>
          </cell>
          <cell r="D18" t="str">
            <v>Adekokwok</v>
          </cell>
          <cell r="E18"/>
          <cell r="F18"/>
        </row>
        <row r="19">
          <cell r="C19" t="str">
            <v>Agago</v>
          </cell>
          <cell r="D19" t="str">
            <v>Adilang</v>
          </cell>
          <cell r="E19"/>
          <cell r="F19"/>
        </row>
        <row r="20">
          <cell r="C20" t="str">
            <v>East Moyo</v>
          </cell>
          <cell r="D20" t="str">
            <v>Adjumani Town Council</v>
          </cell>
          <cell r="E20"/>
          <cell r="F20"/>
        </row>
        <row r="21">
          <cell r="C21" t="str">
            <v>Dokolo</v>
          </cell>
          <cell r="D21" t="str">
            <v>Adok</v>
          </cell>
          <cell r="E21"/>
          <cell r="F21"/>
        </row>
        <row r="22">
          <cell r="C22" t="str">
            <v>East Moyo</v>
          </cell>
          <cell r="D22" t="str">
            <v>Adropi</v>
          </cell>
          <cell r="E22"/>
          <cell r="F22"/>
        </row>
        <row r="23">
          <cell r="C23" t="str">
            <v>Kwania</v>
          </cell>
          <cell r="D23" t="str">
            <v>Aduku</v>
          </cell>
          <cell r="E23"/>
          <cell r="F23"/>
        </row>
        <row r="24">
          <cell r="C24" t="str">
            <v>Kwania</v>
          </cell>
          <cell r="D24" t="str">
            <v>Aduku Town Council</v>
          </cell>
          <cell r="E24"/>
          <cell r="F24"/>
        </row>
        <row r="25">
          <cell r="C25" t="str">
            <v>Ayivu</v>
          </cell>
          <cell r="D25" t="str">
            <v>Adumi</v>
          </cell>
          <cell r="E25"/>
          <cell r="F25"/>
        </row>
        <row r="26">
          <cell r="C26" t="str">
            <v>Otuke</v>
          </cell>
          <cell r="D26" t="str">
            <v>Adwari</v>
          </cell>
          <cell r="E26"/>
          <cell r="F26"/>
        </row>
        <row r="27">
          <cell r="C27" t="str">
            <v>Apac Municipality</v>
          </cell>
          <cell r="D27" t="str">
            <v>Apac Town Council</v>
          </cell>
          <cell r="E27"/>
          <cell r="F27"/>
        </row>
        <row r="28">
          <cell r="C28" t="str">
            <v>Agago</v>
          </cell>
          <cell r="D28" t="str">
            <v>Agago Town Council</v>
          </cell>
          <cell r="E28"/>
        </row>
        <row r="29">
          <cell r="C29" t="str">
            <v>Erute</v>
          </cell>
          <cell r="D29" t="str">
            <v>Agali</v>
          </cell>
          <cell r="E29"/>
        </row>
        <row r="30">
          <cell r="C30" t="str">
            <v>Kioga</v>
          </cell>
          <cell r="D30" t="str">
            <v>Agikdak</v>
          </cell>
          <cell r="E30"/>
        </row>
        <row r="31">
          <cell r="C31" t="str">
            <v>Lamwo</v>
          </cell>
          <cell r="D31" t="str">
            <v>Agoro</v>
          </cell>
          <cell r="E31"/>
        </row>
        <row r="32">
          <cell r="C32" t="str">
            <v>Agule</v>
          </cell>
          <cell r="D32" t="str">
            <v>Agule</v>
          </cell>
          <cell r="E32"/>
        </row>
        <row r="33">
          <cell r="C33" t="str">
            <v>Dokolo</v>
          </cell>
          <cell r="D33" t="str">
            <v>Agwata</v>
          </cell>
          <cell r="E33"/>
        </row>
        <row r="34">
          <cell r="C34" t="str">
            <v>Erute</v>
          </cell>
          <cell r="D34" t="str">
            <v>Agweng</v>
          </cell>
          <cell r="E34"/>
        </row>
        <row r="35">
          <cell r="C35" t="str">
            <v>Kioga</v>
          </cell>
          <cell r="D35" t="str">
            <v>Agwingiri</v>
          </cell>
          <cell r="E35"/>
        </row>
        <row r="36">
          <cell r="C36" t="str">
            <v>Terego</v>
          </cell>
          <cell r="D36" t="str">
            <v>Aii-Vu</v>
          </cell>
          <cell r="E36"/>
        </row>
        <row r="37">
          <cell r="C37" t="str">
            <v>Vurra</v>
          </cell>
          <cell r="D37" t="str">
            <v>Ajia</v>
          </cell>
          <cell r="E37"/>
        </row>
        <row r="38">
          <cell r="C38" t="str">
            <v>Kole</v>
          </cell>
          <cell r="D38" t="str">
            <v>Akalo</v>
          </cell>
          <cell r="E38"/>
        </row>
        <row r="39">
          <cell r="C39" t="str">
            <v>Amuria</v>
          </cell>
          <cell r="D39" t="str">
            <v>Akeriau</v>
          </cell>
          <cell r="E39"/>
        </row>
        <row r="40">
          <cell r="C40" t="str">
            <v>Agule</v>
          </cell>
          <cell r="D40" t="str">
            <v>Akisim</v>
          </cell>
          <cell r="E40"/>
        </row>
        <row r="41">
          <cell r="C41" t="str">
            <v>Maruzi</v>
          </cell>
          <cell r="D41" t="str">
            <v>Akokoro</v>
          </cell>
          <cell r="E41"/>
        </row>
        <row r="42">
          <cell r="C42" t="str">
            <v>Kapelebyong</v>
          </cell>
          <cell r="D42" t="str">
            <v>Akoromit</v>
          </cell>
          <cell r="E42"/>
        </row>
        <row r="43">
          <cell r="C43" t="str">
            <v>Moroto</v>
          </cell>
          <cell r="D43" t="str">
            <v>Akura</v>
          </cell>
          <cell r="E43"/>
        </row>
        <row r="44">
          <cell r="C44" t="str">
            <v>Kioga</v>
          </cell>
          <cell r="D44" t="str">
            <v>Akwon</v>
          </cell>
          <cell r="E44"/>
        </row>
        <row r="45">
          <cell r="C45" t="str">
            <v>Padyere</v>
          </cell>
          <cell r="D45" t="str">
            <v>Akworo</v>
          </cell>
          <cell r="E45"/>
        </row>
        <row r="46">
          <cell r="C46" t="str">
            <v>Otuke</v>
          </cell>
          <cell r="D46" t="str">
            <v>Alango</v>
          </cell>
          <cell r="E46"/>
        </row>
        <row r="47">
          <cell r="C47" t="str">
            <v>Moroto</v>
          </cell>
          <cell r="D47" t="str">
            <v>Alebtong Town Council</v>
          </cell>
          <cell r="E47"/>
        </row>
        <row r="48">
          <cell r="C48" t="str">
            <v>Oyam</v>
          </cell>
          <cell r="D48" t="str">
            <v>Aleka</v>
          </cell>
          <cell r="E48"/>
        </row>
        <row r="49">
          <cell r="C49" t="str">
            <v>Labwor</v>
          </cell>
          <cell r="D49" t="str">
            <v>Alerek</v>
          </cell>
          <cell r="E49"/>
        </row>
        <row r="50">
          <cell r="C50" t="str">
            <v>Nwoya</v>
          </cell>
          <cell r="D50" t="str">
            <v>Alero</v>
          </cell>
          <cell r="E50"/>
        </row>
        <row r="51">
          <cell r="C51" t="str">
            <v>Obongi</v>
          </cell>
          <cell r="D51" t="str">
            <v>Aliba</v>
          </cell>
          <cell r="E51"/>
        </row>
        <row r="52">
          <cell r="C52" t="str">
            <v>Kole</v>
          </cell>
          <cell r="D52" t="str">
            <v>Alito</v>
          </cell>
          <cell r="E52"/>
        </row>
        <row r="53">
          <cell r="C53" t="str">
            <v>Moroto</v>
          </cell>
          <cell r="D53" t="str">
            <v>Aloi</v>
          </cell>
          <cell r="E53"/>
        </row>
        <row r="54">
          <cell r="C54" t="str">
            <v>Kaberamaido</v>
          </cell>
          <cell r="D54" t="str">
            <v>Alwa</v>
          </cell>
          <cell r="E54"/>
        </row>
        <row r="55">
          <cell r="C55" t="str">
            <v>Jonam</v>
          </cell>
          <cell r="D55" t="str">
            <v>Alwi</v>
          </cell>
          <cell r="E55"/>
        </row>
        <row r="56">
          <cell r="C56" t="str">
            <v>Erute</v>
          </cell>
          <cell r="D56" t="str">
            <v>Amach</v>
          </cell>
          <cell r="E56"/>
        </row>
        <row r="57">
          <cell r="C57" t="str">
            <v>Kioga</v>
          </cell>
          <cell r="D57" t="str">
            <v>Amolatar Town Council</v>
          </cell>
          <cell r="E57"/>
        </row>
        <row r="58">
          <cell r="C58" t="str">
            <v>Pokot</v>
          </cell>
          <cell r="D58" t="str">
            <v>Amudat</v>
          </cell>
          <cell r="E58"/>
        </row>
        <row r="59">
          <cell r="C59" t="str">
            <v>Pokot</v>
          </cell>
          <cell r="D59" t="str">
            <v>Amudat Town Council</v>
          </cell>
          <cell r="E59"/>
        </row>
        <row r="60">
          <cell r="C60" t="str">
            <v>Moroto</v>
          </cell>
          <cell r="D60" t="str">
            <v>Amugu</v>
          </cell>
          <cell r="E60"/>
        </row>
        <row r="61">
          <cell r="C61" t="str">
            <v>Tingey</v>
          </cell>
          <cell r="D61" t="str">
            <v>Amukol</v>
          </cell>
          <cell r="E61"/>
        </row>
        <row r="62">
          <cell r="C62" t="str">
            <v>Amuria</v>
          </cell>
          <cell r="D62" t="str">
            <v>Amuria Town Council</v>
          </cell>
          <cell r="E62"/>
        </row>
        <row r="63">
          <cell r="C63" t="str">
            <v>Kilak</v>
          </cell>
          <cell r="D63" t="str">
            <v>Amuru</v>
          </cell>
          <cell r="E63"/>
        </row>
        <row r="64">
          <cell r="C64" t="str">
            <v>Kilak</v>
          </cell>
          <cell r="D64" t="str">
            <v>Amuru Town Council</v>
          </cell>
          <cell r="E64"/>
        </row>
        <row r="65">
          <cell r="C65" t="str">
            <v>Dokolo</v>
          </cell>
          <cell r="D65" t="str">
            <v>Amwoma</v>
          </cell>
          <cell r="E65"/>
        </row>
        <row r="66">
          <cell r="C66" t="str">
            <v>Nwoya</v>
          </cell>
          <cell r="D66" t="str">
            <v>Anaka Payira</v>
          </cell>
          <cell r="E66"/>
        </row>
        <row r="67">
          <cell r="C67" t="str">
            <v>Nwoya</v>
          </cell>
          <cell r="D67" t="str">
            <v>Anaka Town Council</v>
          </cell>
          <cell r="E67"/>
        </row>
        <row r="68">
          <cell r="C68" t="str">
            <v>Aruu</v>
          </cell>
          <cell r="D68" t="str">
            <v>Angagura</v>
          </cell>
          <cell r="E68"/>
        </row>
        <row r="69">
          <cell r="C69" t="str">
            <v>Kalaki</v>
          </cell>
          <cell r="D69" t="str">
            <v>Anyara</v>
          </cell>
          <cell r="E69"/>
        </row>
        <row r="70">
          <cell r="C70" t="str">
            <v>Madi Okollo</v>
          </cell>
          <cell r="D70" t="str">
            <v>Anyiribu</v>
          </cell>
          <cell r="E70"/>
        </row>
        <row r="71">
          <cell r="C71" t="str">
            <v>Arua Municipality</v>
          </cell>
          <cell r="D71" t="str">
            <v>Arua Hill Division</v>
          </cell>
          <cell r="E71"/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/>
          <cell r="F72"/>
        </row>
        <row r="73">
          <cell r="C73" t="str">
            <v>Moroto</v>
          </cell>
          <cell r="D73" t="str">
            <v>Apala</v>
          </cell>
          <cell r="E73"/>
        </row>
        <row r="74">
          <cell r="C74" t="str">
            <v>Kalaki</v>
          </cell>
          <cell r="D74" t="str">
            <v>Apapai</v>
          </cell>
          <cell r="E74"/>
        </row>
        <row r="75">
          <cell r="C75" t="str">
            <v>Amuria</v>
          </cell>
          <cell r="D75" t="str">
            <v>Apeduru</v>
          </cell>
          <cell r="E75"/>
        </row>
        <row r="76">
          <cell r="C76" t="str">
            <v>Kaberamaido</v>
          </cell>
          <cell r="D76" t="str">
            <v>Aperkira</v>
          </cell>
          <cell r="E76"/>
        </row>
        <row r="77">
          <cell r="C77" t="str">
            <v>Aringa</v>
          </cell>
          <cell r="D77" t="str">
            <v>Apo</v>
          </cell>
          <cell r="E77"/>
        </row>
        <row r="78">
          <cell r="C78" t="str">
            <v>Agule</v>
          </cell>
          <cell r="D78" t="str">
            <v>Apopong</v>
          </cell>
          <cell r="E78"/>
        </row>
        <row r="79">
          <cell r="C79" t="str">
            <v>Kioga</v>
          </cell>
          <cell r="D79" t="str">
            <v>Aputi</v>
          </cell>
          <cell r="E79"/>
        </row>
        <row r="80">
          <cell r="C80" t="str">
            <v>Soroti</v>
          </cell>
          <cell r="D80" t="str">
            <v>Arapai</v>
          </cell>
          <cell r="E80"/>
        </row>
        <row r="81">
          <cell r="C81" t="str">
            <v>East Moyo</v>
          </cell>
          <cell r="D81" t="str">
            <v>Arinyapi</v>
          </cell>
          <cell r="E81"/>
        </row>
        <row r="82">
          <cell r="C82" t="str">
            <v>Vurra</v>
          </cell>
          <cell r="D82" t="str">
            <v>Arivu</v>
          </cell>
          <cell r="E82"/>
        </row>
        <row r="83">
          <cell r="C83" t="str">
            <v>Aringa</v>
          </cell>
          <cell r="D83" t="str">
            <v>Ariwa</v>
          </cell>
          <cell r="E83"/>
        </row>
        <row r="84">
          <cell r="C84" t="str">
            <v>Ayivu</v>
          </cell>
          <cell r="D84" t="str">
            <v>Aroi</v>
          </cell>
          <cell r="E84"/>
        </row>
        <row r="85">
          <cell r="C85" t="str">
            <v>Erute</v>
          </cell>
          <cell r="D85" t="str">
            <v>Aromo</v>
          </cell>
          <cell r="E85"/>
        </row>
        <row r="86">
          <cell r="C86" t="str">
            <v>Bugiri Municipality</v>
          </cell>
          <cell r="D86" t="str">
            <v>Eastern Division</v>
          </cell>
          <cell r="E86"/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/>
          <cell r="F87"/>
        </row>
        <row r="88">
          <cell r="C88" t="str">
            <v>Kioga</v>
          </cell>
          <cell r="D88" t="str">
            <v>Arwotcek</v>
          </cell>
          <cell r="E88"/>
          <cell r="F88"/>
        </row>
        <row r="89">
          <cell r="C89" t="str">
            <v>Amuria</v>
          </cell>
          <cell r="D89" t="str">
            <v>Asamuk</v>
          </cell>
          <cell r="E89"/>
          <cell r="F89"/>
        </row>
        <row r="90">
          <cell r="C90" t="str">
            <v>Soroti</v>
          </cell>
          <cell r="D90" t="str">
            <v>Asuret</v>
          </cell>
          <cell r="E90"/>
          <cell r="F90"/>
        </row>
        <row r="91">
          <cell r="C91" t="str">
            <v>Aruu</v>
          </cell>
          <cell r="D91" t="str">
            <v>Atanga</v>
          </cell>
          <cell r="E91"/>
          <cell r="F91"/>
        </row>
        <row r="92">
          <cell r="C92" t="str">
            <v>Padyere</v>
          </cell>
          <cell r="D92" t="str">
            <v>Atego</v>
          </cell>
          <cell r="E92"/>
          <cell r="F92"/>
        </row>
        <row r="93">
          <cell r="C93" t="str">
            <v>Serere</v>
          </cell>
          <cell r="D93" t="str">
            <v>Atiira</v>
          </cell>
          <cell r="E93"/>
          <cell r="F93"/>
        </row>
        <row r="94">
          <cell r="C94" t="str">
            <v>Kilak</v>
          </cell>
          <cell r="D94" t="str">
            <v>Attiak</v>
          </cell>
          <cell r="E94"/>
          <cell r="F94"/>
        </row>
        <row r="95">
          <cell r="C95" t="str">
            <v>Kumi</v>
          </cell>
          <cell r="D95" t="str">
            <v>Atutur</v>
          </cell>
          <cell r="E95"/>
          <cell r="F95"/>
        </row>
        <row r="96">
          <cell r="C96" t="str">
            <v>Okoro</v>
          </cell>
          <cell r="D96" t="str">
            <v>Atyak</v>
          </cell>
          <cell r="E96"/>
          <cell r="F96"/>
        </row>
        <row r="97">
          <cell r="C97" t="str">
            <v>Aswa</v>
          </cell>
          <cell r="D97" t="str">
            <v>Awach</v>
          </cell>
          <cell r="E97"/>
          <cell r="F97"/>
        </row>
        <row r="98">
          <cell r="C98" t="str">
            <v>Moroto</v>
          </cell>
          <cell r="D98" t="str">
            <v>Awei</v>
          </cell>
          <cell r="E98"/>
          <cell r="F98"/>
        </row>
        <row r="99">
          <cell r="C99" t="str">
            <v>Kioga</v>
          </cell>
          <cell r="D99" t="str">
            <v>Awelo</v>
          </cell>
          <cell r="E99"/>
          <cell r="F99"/>
        </row>
        <row r="100">
          <cell r="C100" t="str">
            <v>Aruu</v>
          </cell>
          <cell r="D100" t="str">
            <v>Awere</v>
          </cell>
          <cell r="E100"/>
          <cell r="F100"/>
        </row>
        <row r="101">
          <cell r="C101" t="str">
            <v>Kole</v>
          </cell>
          <cell r="D101" t="str">
            <v>Ayer</v>
          </cell>
          <cell r="E101"/>
          <cell r="F101"/>
        </row>
        <row r="102">
          <cell r="C102" t="str">
            <v>Ayivu</v>
          </cell>
          <cell r="D102" t="str">
            <v>Ayivuni</v>
          </cell>
          <cell r="E102"/>
          <cell r="F102"/>
        </row>
        <row r="103">
          <cell r="C103" t="str">
            <v>Kasambya</v>
          </cell>
          <cell r="D103" t="str">
            <v>Bagezza</v>
          </cell>
          <cell r="E103"/>
          <cell r="F103"/>
        </row>
        <row r="104">
          <cell r="C104" t="str">
            <v>Bunya</v>
          </cell>
          <cell r="D104" t="str">
            <v>Baitambogwe</v>
          </cell>
          <cell r="E104"/>
          <cell r="F104"/>
        </row>
        <row r="105">
          <cell r="C105" t="str">
            <v>Kole</v>
          </cell>
          <cell r="D105" t="str">
            <v>Bala</v>
          </cell>
          <cell r="E105"/>
          <cell r="F105"/>
        </row>
        <row r="106">
          <cell r="C106" t="str">
            <v>Bugabula</v>
          </cell>
          <cell r="D106" t="str">
            <v>Balawoli</v>
          </cell>
          <cell r="E106"/>
          <cell r="F106"/>
        </row>
        <row r="107">
          <cell r="C107" t="str">
            <v>Bamunanika</v>
          </cell>
          <cell r="D107" t="str">
            <v>Bamunanika</v>
          </cell>
          <cell r="E107"/>
          <cell r="F107"/>
        </row>
        <row r="108">
          <cell r="C108" t="str">
            <v>Kiboga</v>
          </cell>
          <cell r="D108" t="str">
            <v>Bananywa</v>
          </cell>
          <cell r="E108"/>
          <cell r="F108"/>
        </row>
        <row r="109">
          <cell r="C109" t="str">
            <v>Bukooli</v>
          </cell>
          <cell r="D109" t="str">
            <v>Banda</v>
          </cell>
          <cell r="E109"/>
          <cell r="F109"/>
        </row>
        <row r="110">
          <cell r="C110" t="str">
            <v>Bugiri Municipality</v>
          </cell>
          <cell r="D110" t="str">
            <v>Western Division</v>
          </cell>
          <cell r="E110"/>
          <cell r="F110"/>
        </row>
        <row r="111">
          <cell r="C111" t="str">
            <v>Erute</v>
          </cell>
          <cell r="D111" t="str">
            <v>Barr</v>
          </cell>
          <cell r="E111"/>
        </row>
        <row r="112">
          <cell r="C112" t="str">
            <v>Dokolo</v>
          </cell>
          <cell r="D112" t="str">
            <v>Batta</v>
          </cell>
          <cell r="E112"/>
        </row>
        <row r="113">
          <cell r="C113" t="str">
            <v>Bbaale</v>
          </cell>
          <cell r="D113" t="str">
            <v>Bbaale</v>
          </cell>
          <cell r="E113"/>
        </row>
        <row r="114">
          <cell r="C114" t="str">
            <v>Busujju</v>
          </cell>
          <cell r="D114" t="str">
            <v>Bbanda</v>
          </cell>
          <cell r="E114"/>
        </row>
        <row r="115">
          <cell r="C115" t="str">
            <v>Kween</v>
          </cell>
          <cell r="D115" t="str">
            <v>Benet</v>
          </cell>
          <cell r="E115"/>
        </row>
        <row r="116">
          <cell r="C116" t="str">
            <v>Bukomansimbi</v>
          </cell>
          <cell r="D116" t="str">
            <v>Bigasa</v>
          </cell>
          <cell r="E116"/>
        </row>
        <row r="117">
          <cell r="C117" t="str">
            <v>Kibale</v>
          </cell>
          <cell r="D117" t="str">
            <v>Biguli</v>
          </cell>
          <cell r="E117"/>
        </row>
        <row r="118">
          <cell r="C118" t="str">
            <v>Kibale</v>
          </cell>
          <cell r="D118" t="str">
            <v>Bihanga</v>
          </cell>
          <cell r="E118"/>
        </row>
        <row r="119">
          <cell r="C119" t="str">
            <v>Buhweju</v>
          </cell>
          <cell r="D119" t="str">
            <v>Bihanga</v>
          </cell>
          <cell r="E119"/>
        </row>
        <row r="120">
          <cell r="C120" t="str">
            <v>Bushenyi-Ishaka Municipality</v>
          </cell>
          <cell r="D120" t="str">
            <v>Central Divison</v>
          </cell>
          <cell r="E120"/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/>
          <cell r="F121"/>
        </row>
        <row r="122">
          <cell r="C122" t="str">
            <v>Terego</v>
          </cell>
          <cell r="D122" t="str">
            <v>Bileafe</v>
          </cell>
          <cell r="E122"/>
          <cell r="F122"/>
        </row>
        <row r="123">
          <cell r="C123" t="str">
            <v>Kween</v>
          </cell>
          <cell r="D123" t="str">
            <v>Binyiny</v>
          </cell>
          <cell r="E123"/>
          <cell r="F123"/>
        </row>
        <row r="124">
          <cell r="C124" t="str">
            <v>Kween</v>
          </cell>
          <cell r="D124" t="str">
            <v>Binyiny Town Council</v>
          </cell>
          <cell r="E124"/>
          <cell r="F124"/>
        </row>
        <row r="125">
          <cell r="C125" t="str">
            <v>Bugangaizi</v>
          </cell>
          <cell r="D125" t="str">
            <v>Birembo</v>
          </cell>
          <cell r="E125"/>
          <cell r="F125"/>
        </row>
        <row r="126">
          <cell r="C126" t="str">
            <v>Isingiro</v>
          </cell>
          <cell r="D126" t="str">
            <v>Birere</v>
          </cell>
          <cell r="E126"/>
          <cell r="F126"/>
        </row>
        <row r="127">
          <cell r="C127" t="str">
            <v>Bushenyi-Ishaka Municipality</v>
          </cell>
          <cell r="D127" t="str">
            <v>Ishaka Divison</v>
          </cell>
          <cell r="E127"/>
          <cell r="F127"/>
        </row>
        <row r="128">
          <cell r="C128" t="str">
            <v>Ruhinda</v>
          </cell>
          <cell r="D128" t="str">
            <v>Bitereko</v>
          </cell>
          <cell r="E128"/>
          <cell r="F128"/>
        </row>
        <row r="129">
          <cell r="C129" t="str">
            <v>Igara</v>
          </cell>
          <cell r="D129" t="str">
            <v>Bitooma</v>
          </cell>
          <cell r="E129"/>
          <cell r="F129"/>
        </row>
        <row r="130">
          <cell r="C130" t="str">
            <v>Buhweju</v>
          </cell>
          <cell r="D130" t="str">
            <v>Bitsya</v>
          </cell>
          <cell r="E130"/>
          <cell r="F130"/>
        </row>
        <row r="131">
          <cell r="C131" t="str">
            <v>Omoro</v>
          </cell>
          <cell r="D131" t="str">
            <v>Bobi</v>
          </cell>
          <cell r="E131"/>
          <cell r="F131"/>
        </row>
        <row r="132">
          <cell r="C132" t="str">
            <v>Katikamu</v>
          </cell>
          <cell r="D132" t="str">
            <v>Bombo Town Council</v>
          </cell>
          <cell r="E132"/>
          <cell r="F132"/>
        </row>
        <row r="133">
          <cell r="C133" t="str">
            <v>Kashari</v>
          </cell>
          <cell r="D133" t="str">
            <v>Bubaare</v>
          </cell>
          <cell r="E133"/>
          <cell r="F133"/>
        </row>
        <row r="134">
          <cell r="C134" t="str">
            <v>Rubanda</v>
          </cell>
          <cell r="D134" t="str">
            <v>Bubaare</v>
          </cell>
          <cell r="E134"/>
          <cell r="F134"/>
        </row>
        <row r="135">
          <cell r="C135" t="str">
            <v>Bwamba</v>
          </cell>
          <cell r="D135" t="str">
            <v>Bubandi</v>
          </cell>
          <cell r="E135"/>
          <cell r="F135"/>
        </row>
        <row r="136">
          <cell r="C136" t="str">
            <v>Buyanja</v>
          </cell>
          <cell r="D136" t="str">
            <v>Bubango</v>
          </cell>
          <cell r="E136"/>
          <cell r="F136"/>
        </row>
        <row r="137">
          <cell r="C137" t="str">
            <v>Kyamuswa</v>
          </cell>
          <cell r="D137" t="str">
            <v>Bubeke</v>
          </cell>
          <cell r="E137"/>
          <cell r="F137"/>
        </row>
        <row r="138">
          <cell r="C138" t="str">
            <v>Manjiya</v>
          </cell>
          <cell r="D138" t="str">
            <v>Bubiita</v>
          </cell>
          <cell r="E138"/>
          <cell r="F138"/>
        </row>
        <row r="139">
          <cell r="C139" t="str">
            <v>Bwamba</v>
          </cell>
          <cell r="D139" t="str">
            <v>Bubukwanga</v>
          </cell>
          <cell r="E139"/>
          <cell r="F139"/>
        </row>
        <row r="140">
          <cell r="C140" t="str">
            <v>Namisindwa</v>
          </cell>
          <cell r="D140" t="str">
            <v>Bubutu</v>
          </cell>
          <cell r="E140"/>
          <cell r="F140"/>
        </row>
        <row r="141">
          <cell r="C141" t="str">
            <v>Bungokho</v>
          </cell>
          <cell r="D141" t="str">
            <v>Bubyangu</v>
          </cell>
          <cell r="E141"/>
          <cell r="F141"/>
        </row>
        <row r="142">
          <cell r="C142" t="str">
            <v>Budadiri</v>
          </cell>
          <cell r="D142" t="str">
            <v>Budadiri Town Council</v>
          </cell>
          <cell r="E142"/>
          <cell r="F142"/>
        </row>
        <row r="143">
          <cell r="C143" t="str">
            <v>Budaka</v>
          </cell>
          <cell r="D143" t="str">
            <v>Budaka</v>
          </cell>
          <cell r="E143"/>
          <cell r="F143"/>
        </row>
        <row r="144">
          <cell r="C144" t="str">
            <v>Budaka</v>
          </cell>
          <cell r="D144" t="str">
            <v>Budaka Town Council</v>
          </cell>
          <cell r="E144"/>
          <cell r="F144"/>
        </row>
        <row r="145">
          <cell r="C145" t="str">
            <v>Butambala</v>
          </cell>
          <cell r="D145" t="str">
            <v>Budde</v>
          </cell>
          <cell r="E145"/>
          <cell r="F145"/>
        </row>
        <row r="146">
          <cell r="C146" t="str">
            <v>Bukooli North</v>
          </cell>
          <cell r="D146" t="str">
            <v>Budhaya</v>
          </cell>
          <cell r="E146"/>
          <cell r="F146"/>
        </row>
        <row r="147">
          <cell r="C147" t="str">
            <v>Bulamogi</v>
          </cell>
          <cell r="D147" t="str">
            <v>Budomero</v>
          </cell>
          <cell r="E147"/>
          <cell r="F147"/>
        </row>
        <row r="148">
          <cell r="C148" t="str">
            <v>Kagoma</v>
          </cell>
          <cell r="D148" t="str">
            <v>Budondo</v>
          </cell>
          <cell r="E148"/>
          <cell r="F148"/>
        </row>
        <row r="149">
          <cell r="C149" t="str">
            <v>Bujenje</v>
          </cell>
          <cell r="D149" t="str">
            <v>Budongo</v>
          </cell>
          <cell r="E149"/>
          <cell r="F149"/>
        </row>
        <row r="150">
          <cell r="C150" t="str">
            <v>Manjiya</v>
          </cell>
          <cell r="D150" t="str">
            <v>Bududa</v>
          </cell>
          <cell r="E150"/>
          <cell r="F150"/>
        </row>
        <row r="151">
          <cell r="C151" t="str">
            <v>Manjiya</v>
          </cell>
          <cell r="D151" t="str">
            <v>Bududa Town Council</v>
          </cell>
          <cell r="E151"/>
          <cell r="F151"/>
        </row>
        <row r="152">
          <cell r="C152" t="str">
            <v>Bunyole</v>
          </cell>
          <cell r="D152" t="str">
            <v>Budumba</v>
          </cell>
          <cell r="E152"/>
          <cell r="F152"/>
        </row>
        <row r="153">
          <cell r="C153" t="str">
            <v>Bungokho</v>
          </cell>
          <cell r="D153" t="str">
            <v>Budwale</v>
          </cell>
          <cell r="E153"/>
          <cell r="F153"/>
        </row>
        <row r="154">
          <cell r="C154" t="str">
            <v>Bungokho</v>
          </cell>
          <cell r="D154" t="str">
            <v>Bufumbo</v>
          </cell>
          <cell r="E154"/>
          <cell r="F154"/>
        </row>
        <row r="155">
          <cell r="C155" t="str">
            <v>Kyamuswa</v>
          </cell>
          <cell r="D155" t="str">
            <v>Bufumira</v>
          </cell>
          <cell r="E155"/>
          <cell r="F155"/>
        </row>
        <row r="156">
          <cell r="C156" t="str">
            <v>Bushenyi-Ishaka Municipality</v>
          </cell>
          <cell r="D156" t="str">
            <v>Nyakabirizi Division</v>
          </cell>
          <cell r="E156"/>
          <cell r="F156"/>
        </row>
        <row r="157">
          <cell r="C157" t="str">
            <v>Rubanda</v>
          </cell>
          <cell r="D157" t="str">
            <v>Bufundi</v>
          </cell>
          <cell r="E157"/>
        </row>
        <row r="158">
          <cell r="C158" t="str">
            <v>Mwenge</v>
          </cell>
          <cell r="D158" t="str">
            <v>Bufunjo</v>
          </cell>
          <cell r="E158"/>
        </row>
        <row r="159">
          <cell r="C159" t="str">
            <v>Mwenge</v>
          </cell>
          <cell r="D159" t="str">
            <v>Bugaaki</v>
          </cell>
          <cell r="E159"/>
        </row>
        <row r="160">
          <cell r="C160" t="str">
            <v>Rwampara</v>
          </cell>
          <cell r="D160" t="str">
            <v>Bugamba</v>
          </cell>
          <cell r="E160"/>
        </row>
        <row r="161">
          <cell r="C161" t="str">
            <v>Buhaguzi</v>
          </cell>
          <cell r="D161" t="str">
            <v>Bugambe</v>
          </cell>
          <cell r="E161"/>
        </row>
        <row r="162">
          <cell r="C162" t="str">
            <v>Rujumbura</v>
          </cell>
          <cell r="D162" t="str">
            <v>Bugangari</v>
          </cell>
          <cell r="E162"/>
        </row>
        <row r="163">
          <cell r="C163" t="str">
            <v>Buvuma Island</v>
          </cell>
          <cell r="D163" t="str">
            <v>Bugaya</v>
          </cell>
          <cell r="E163"/>
        </row>
        <row r="164">
          <cell r="C164" t="str">
            <v>Budiope</v>
          </cell>
          <cell r="D164" t="str">
            <v>Bugaya</v>
          </cell>
          <cell r="E164"/>
        </row>
        <row r="165">
          <cell r="C165" t="str">
            <v>Butembe</v>
          </cell>
          <cell r="D165" t="str">
            <v>Bugembe Town Council</v>
          </cell>
          <cell r="E165"/>
        </row>
        <row r="166">
          <cell r="C166" t="str">
            <v>Bulambuli</v>
          </cell>
          <cell r="D166" t="str">
            <v>Buginyanya</v>
          </cell>
          <cell r="E166"/>
        </row>
        <row r="167">
          <cell r="C167" t="str">
            <v>Budadiri</v>
          </cell>
          <cell r="D167" t="str">
            <v>Bugitimwa</v>
          </cell>
          <cell r="E167"/>
        </row>
        <row r="168">
          <cell r="C168" t="str">
            <v>Bubulo</v>
          </cell>
          <cell r="D168" t="str">
            <v>Bugobero</v>
          </cell>
          <cell r="E168"/>
        </row>
        <row r="169">
          <cell r="C169" t="str">
            <v>Kasilo</v>
          </cell>
          <cell r="D169" t="str">
            <v>Bugondo</v>
          </cell>
          <cell r="E169"/>
        </row>
        <row r="170">
          <cell r="C170" t="str">
            <v>Sheema</v>
          </cell>
          <cell r="D170" t="str">
            <v>Bugongi Town Council</v>
          </cell>
          <cell r="E170"/>
        </row>
        <row r="171">
          <cell r="C171" t="str">
            <v>Busongora</v>
          </cell>
          <cell r="D171" t="str">
            <v>Bugoye</v>
          </cell>
          <cell r="E171"/>
        </row>
        <row r="172">
          <cell r="C172" t="str">
            <v>Buzaaya</v>
          </cell>
          <cell r="D172" t="str">
            <v>Bugulumbya</v>
          </cell>
          <cell r="E172"/>
        </row>
        <row r="173">
          <cell r="C173" t="str">
            <v>Kitagwenda</v>
          </cell>
          <cell r="D173" t="str">
            <v>Buhanda</v>
          </cell>
          <cell r="E173"/>
        </row>
        <row r="174">
          <cell r="C174" t="str">
            <v>Bugahya</v>
          </cell>
          <cell r="D174" t="str">
            <v>Buhanika</v>
          </cell>
          <cell r="E174"/>
        </row>
        <row r="175">
          <cell r="C175" t="str">
            <v>Ndorwa</v>
          </cell>
          <cell r="D175" t="str">
            <v>Buhara</v>
          </cell>
          <cell r="E175"/>
        </row>
        <row r="176">
          <cell r="C176" t="str">
            <v>Bunyangabu</v>
          </cell>
          <cell r="D176" t="str">
            <v>Buheesi</v>
          </cell>
          <cell r="E176"/>
        </row>
        <row r="177">
          <cell r="C177" t="str">
            <v>Bunyangabu</v>
          </cell>
          <cell r="D177" t="str">
            <v>Buheesi Town Council</v>
          </cell>
          <cell r="E177"/>
        </row>
        <row r="178">
          <cell r="C178" t="str">
            <v>Samia-Bugwe</v>
          </cell>
          <cell r="D178" t="str">
            <v>Buhehe</v>
          </cell>
          <cell r="E178"/>
        </row>
        <row r="179">
          <cell r="C179" t="str">
            <v>Bukooli</v>
          </cell>
          <cell r="D179" t="str">
            <v>Buhemba</v>
          </cell>
          <cell r="E179"/>
        </row>
        <row r="180">
          <cell r="C180" t="str">
            <v>Buhaguzi</v>
          </cell>
          <cell r="D180" t="str">
            <v>Buhimba</v>
          </cell>
          <cell r="E180"/>
        </row>
        <row r="181">
          <cell r="C181" t="str">
            <v>Budadiri</v>
          </cell>
          <cell r="D181" t="str">
            <v>Buhugu</v>
          </cell>
          <cell r="E181"/>
        </row>
        <row r="182">
          <cell r="C182" t="str">
            <v>Busongora</v>
          </cell>
          <cell r="D182" t="str">
            <v>Buhuhira</v>
          </cell>
          <cell r="E182"/>
        </row>
        <row r="183">
          <cell r="C183" t="str">
            <v>Rujumbura</v>
          </cell>
          <cell r="D183" t="str">
            <v>Buhunga</v>
          </cell>
          <cell r="E183"/>
        </row>
        <row r="184">
          <cell r="C184" t="str">
            <v>Buikwe</v>
          </cell>
          <cell r="D184" t="str">
            <v>Buikwe</v>
          </cell>
          <cell r="E184"/>
        </row>
        <row r="185">
          <cell r="C185" t="str">
            <v>Buikwe</v>
          </cell>
          <cell r="D185" t="str">
            <v>Buikwe Town Council</v>
          </cell>
          <cell r="E185"/>
        </row>
        <row r="186">
          <cell r="C186" t="str">
            <v>Bujumba</v>
          </cell>
          <cell r="D186" t="str">
            <v>Bujumba</v>
          </cell>
          <cell r="E186"/>
        </row>
        <row r="187">
          <cell r="C187" t="str">
            <v>Entebbe Municipality</v>
          </cell>
          <cell r="D187" t="str">
            <v>Division A</v>
          </cell>
          <cell r="E187"/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/>
          <cell r="F188"/>
        </row>
        <row r="189">
          <cell r="C189" t="str">
            <v>Bukoto</v>
          </cell>
          <cell r="D189" t="str">
            <v>Bukakata</v>
          </cell>
          <cell r="E189"/>
          <cell r="F189"/>
        </row>
        <row r="190">
          <cell r="C190" t="str">
            <v>Manjiya</v>
          </cell>
          <cell r="D190" t="str">
            <v>Bukalasi</v>
          </cell>
          <cell r="E190"/>
          <cell r="F190"/>
        </row>
        <row r="191">
          <cell r="C191" t="str">
            <v>Bulamogi</v>
          </cell>
          <cell r="D191" t="str">
            <v>Bukamba</v>
          </cell>
          <cell r="E191"/>
          <cell r="F191"/>
        </row>
        <row r="192">
          <cell r="C192" t="str">
            <v>Bukooli</v>
          </cell>
          <cell r="D192" t="str">
            <v>Bukana</v>
          </cell>
          <cell r="E192"/>
          <cell r="F192"/>
        </row>
        <row r="193">
          <cell r="C193" t="str">
            <v>Luuka</v>
          </cell>
          <cell r="D193" t="str">
            <v>Bukanga</v>
          </cell>
          <cell r="E193"/>
          <cell r="F193"/>
        </row>
        <row r="194">
          <cell r="C194" t="str">
            <v>Bungokho</v>
          </cell>
          <cell r="D194" t="str">
            <v>Bukasakya</v>
          </cell>
          <cell r="E194"/>
          <cell r="F194"/>
        </row>
        <row r="195">
          <cell r="C195" t="str">
            <v>Bunya</v>
          </cell>
          <cell r="D195" t="str">
            <v>Bukatube</v>
          </cell>
          <cell r="E195"/>
          <cell r="F195"/>
        </row>
        <row r="196">
          <cell r="C196" t="str">
            <v>Bukedea</v>
          </cell>
          <cell r="D196" t="str">
            <v>Bukedea</v>
          </cell>
          <cell r="E196"/>
          <cell r="F196"/>
        </row>
        <row r="197">
          <cell r="C197" t="str">
            <v>Bukedea</v>
          </cell>
          <cell r="D197" t="str">
            <v>Bukedea Town Council</v>
          </cell>
          <cell r="E197"/>
          <cell r="F197"/>
        </row>
        <row r="198">
          <cell r="C198" t="str">
            <v>Namisindwa</v>
          </cell>
          <cell r="D198" t="str">
            <v>Bukhabusi</v>
          </cell>
          <cell r="E198"/>
          <cell r="F198"/>
        </row>
        <row r="199">
          <cell r="C199" t="str">
            <v>Bulambuli</v>
          </cell>
          <cell r="D199" t="str">
            <v>Bukhalu</v>
          </cell>
          <cell r="E199"/>
          <cell r="F199"/>
        </row>
        <row r="200">
          <cell r="C200" t="str">
            <v>Namisindwa</v>
          </cell>
          <cell r="D200" t="str">
            <v>Bukhaweka</v>
          </cell>
          <cell r="E200"/>
          <cell r="F200"/>
        </row>
        <row r="201">
          <cell r="C201" t="str">
            <v>Bubulo</v>
          </cell>
          <cell r="D201" t="str">
            <v>Bukhofu</v>
          </cell>
          <cell r="E201"/>
          <cell r="F201"/>
        </row>
        <row r="202">
          <cell r="C202" t="str">
            <v>Budadiri</v>
          </cell>
          <cell r="D202" t="str">
            <v>Bukhulo</v>
          </cell>
          <cell r="E202"/>
          <cell r="F202"/>
        </row>
        <row r="203">
          <cell r="C203" t="str">
            <v>Namisindwa</v>
          </cell>
          <cell r="D203" t="str">
            <v>Bukiabi</v>
          </cell>
          <cell r="E203"/>
          <cell r="F203"/>
        </row>
        <row r="204">
          <cell r="C204" t="str">
            <v>Manjiya</v>
          </cell>
          <cell r="D204" t="str">
            <v>Bukibokolo</v>
          </cell>
          <cell r="E204"/>
          <cell r="F204"/>
        </row>
        <row r="205">
          <cell r="C205" t="str">
            <v>Bungokho</v>
          </cell>
          <cell r="D205" t="str">
            <v>Bukiende</v>
          </cell>
          <cell r="E205"/>
          <cell r="F205"/>
        </row>
        <row r="206">
          <cell r="C206" t="str">
            <v>Manjiya</v>
          </cell>
          <cell r="D206" t="str">
            <v>Bukigai</v>
          </cell>
          <cell r="E206"/>
          <cell r="F206"/>
        </row>
        <row r="207">
          <cell r="C207" t="str">
            <v>Budadiri</v>
          </cell>
          <cell r="D207" t="str">
            <v>Bukiise</v>
          </cell>
          <cell r="E207"/>
          <cell r="F207"/>
        </row>
        <row r="208">
          <cell r="C208" t="str">
            <v>Bufumbira</v>
          </cell>
          <cell r="D208" t="str">
            <v>Bukimbiri</v>
          </cell>
          <cell r="E208"/>
          <cell r="F208"/>
        </row>
        <row r="209">
          <cell r="C209" t="str">
            <v>Rukiga</v>
          </cell>
          <cell r="D209" t="str">
            <v>Bukinda</v>
          </cell>
          <cell r="E209"/>
          <cell r="F209"/>
        </row>
        <row r="210">
          <cell r="C210" t="str">
            <v>Kashari</v>
          </cell>
          <cell r="D210" t="str">
            <v>Bukiro</v>
          </cell>
          <cell r="E210"/>
          <cell r="F210"/>
        </row>
        <row r="211">
          <cell r="C211" t="str">
            <v>Budadiri</v>
          </cell>
          <cell r="D211" t="str">
            <v>Bukiyi</v>
          </cell>
          <cell r="E211"/>
          <cell r="F211"/>
        </row>
        <row r="212">
          <cell r="C212" t="str">
            <v>Namisindwa</v>
          </cell>
          <cell r="D212" t="str">
            <v>Bukokho</v>
          </cell>
          <cell r="E212"/>
          <cell r="F212"/>
        </row>
        <row r="213">
          <cell r="C213" t="str">
            <v>Bukomansimbi</v>
          </cell>
          <cell r="D213" t="str">
            <v>Bukomansimbi Town Council</v>
          </cell>
          <cell r="E213"/>
          <cell r="F213"/>
        </row>
        <row r="214">
          <cell r="C214" t="str">
            <v>Kiboga</v>
          </cell>
          <cell r="D214" t="str">
            <v>Bukomero</v>
          </cell>
          <cell r="E214"/>
          <cell r="F214"/>
        </row>
        <row r="215">
          <cell r="C215" t="str">
            <v>Kiboga</v>
          </cell>
          <cell r="D215" t="str">
            <v>Bukomero Town Council</v>
          </cell>
          <cell r="E215"/>
          <cell r="F215"/>
        </row>
        <row r="216">
          <cell r="C216" t="str">
            <v>Bungokho</v>
          </cell>
          <cell r="D216" t="str">
            <v>Bukonde</v>
          </cell>
          <cell r="E216"/>
          <cell r="F216"/>
        </row>
        <row r="217">
          <cell r="C217" t="str">
            <v>Bughendera</v>
          </cell>
          <cell r="D217" t="str">
            <v>Bukonzo</v>
          </cell>
          <cell r="E217"/>
          <cell r="F217"/>
        </row>
        <row r="218">
          <cell r="C218" t="str">
            <v>Luuka</v>
          </cell>
          <cell r="D218" t="str">
            <v>Bukooma</v>
          </cell>
          <cell r="E218"/>
          <cell r="F218"/>
        </row>
        <row r="219">
          <cell r="C219" t="str">
            <v>Kalungu</v>
          </cell>
          <cell r="D219" t="str">
            <v>Bukulula</v>
          </cell>
          <cell r="E219"/>
          <cell r="F219"/>
        </row>
        <row r="220">
          <cell r="C220" t="str">
            <v>Bubulo</v>
          </cell>
          <cell r="D220" t="str">
            <v>Bukusu</v>
          </cell>
          <cell r="E220"/>
          <cell r="F220"/>
        </row>
        <row r="221">
          <cell r="C221" t="str">
            <v>Burahya</v>
          </cell>
          <cell r="D221" t="str">
            <v>Bukuuku</v>
          </cell>
          <cell r="E221"/>
          <cell r="F221"/>
        </row>
        <row r="222">
          <cell r="C222" t="str">
            <v>Kassanda</v>
          </cell>
          <cell r="D222" t="str">
            <v>Bukuya</v>
          </cell>
          <cell r="E222"/>
          <cell r="F222"/>
        </row>
        <row r="223">
          <cell r="C223" t="str">
            <v>Kongasis</v>
          </cell>
          <cell r="D223" t="str">
            <v>Bukwo</v>
          </cell>
          <cell r="E223"/>
          <cell r="F223"/>
        </row>
        <row r="224">
          <cell r="C224" t="str">
            <v>Kongasis</v>
          </cell>
          <cell r="D224" t="str">
            <v>Bukwo Town Council</v>
          </cell>
          <cell r="E224"/>
          <cell r="F224"/>
        </row>
        <row r="225">
          <cell r="C225" t="str">
            <v>Budadiri</v>
          </cell>
          <cell r="D225" t="str">
            <v>Bukyabo</v>
          </cell>
          <cell r="E225"/>
          <cell r="F225"/>
        </row>
        <row r="226">
          <cell r="C226" t="str">
            <v>Budadiri</v>
          </cell>
          <cell r="D226" t="str">
            <v>Bukyambi</v>
          </cell>
          <cell r="E226"/>
          <cell r="F226"/>
        </row>
        <row r="227">
          <cell r="C227" t="str">
            <v>Bulambuli</v>
          </cell>
          <cell r="D227" t="str">
            <v>Bulaago</v>
          </cell>
          <cell r="E227"/>
          <cell r="F227"/>
        </row>
        <row r="228">
          <cell r="C228" t="str">
            <v>Bulambuli</v>
          </cell>
          <cell r="D228" t="str">
            <v>Bulambuli Town Council</v>
          </cell>
          <cell r="E228"/>
          <cell r="F228"/>
        </row>
        <row r="229">
          <cell r="C229" t="str">
            <v>Kigulu</v>
          </cell>
          <cell r="D229" t="str">
            <v>Bulamogi</v>
          </cell>
          <cell r="E229"/>
          <cell r="F229"/>
        </row>
        <row r="230">
          <cell r="C230" t="str">
            <v>Busiki</v>
          </cell>
          <cell r="D230" t="str">
            <v>Bulange</v>
          </cell>
          <cell r="E230"/>
          <cell r="F230"/>
        </row>
        <row r="231">
          <cell r="C231" t="str">
            <v>Kibuku</v>
          </cell>
          <cell r="D231" t="str">
            <v>Bulangira</v>
          </cell>
          <cell r="E231"/>
          <cell r="F231"/>
        </row>
        <row r="232">
          <cell r="C232" t="str">
            <v>Bulambuli</v>
          </cell>
          <cell r="D232" t="str">
            <v>Bulegeni</v>
          </cell>
          <cell r="E232"/>
          <cell r="F232"/>
        </row>
        <row r="233">
          <cell r="C233" t="str">
            <v>Bulambuli</v>
          </cell>
          <cell r="D233" t="str">
            <v>Bulegeni Town Council</v>
          </cell>
          <cell r="E233"/>
          <cell r="F233"/>
        </row>
        <row r="234">
          <cell r="C234" t="str">
            <v>Entebbe Municipality</v>
          </cell>
          <cell r="D234" t="str">
            <v>Division B</v>
          </cell>
          <cell r="E234"/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/>
        </row>
        <row r="236">
          <cell r="C236" t="str">
            <v>Bukooli North</v>
          </cell>
          <cell r="D236" t="str">
            <v>Bulesa</v>
          </cell>
          <cell r="E236"/>
        </row>
        <row r="237">
          <cell r="C237" t="str">
            <v>Bukooli North</v>
          </cell>
          <cell r="D237" t="str">
            <v>Bulidha</v>
          </cell>
          <cell r="E237"/>
        </row>
        <row r="238">
          <cell r="C238" t="str">
            <v>Buliisa</v>
          </cell>
          <cell r="D238" t="str">
            <v>Buliisa</v>
          </cell>
          <cell r="E238"/>
        </row>
        <row r="239">
          <cell r="C239" t="str">
            <v>Buliisa</v>
          </cell>
          <cell r="D239" t="str">
            <v>Buliisa Town Council</v>
          </cell>
          <cell r="E239"/>
        </row>
        <row r="240">
          <cell r="C240" t="str">
            <v>Butambala</v>
          </cell>
          <cell r="D240" t="str">
            <v>Bulo</v>
          </cell>
          <cell r="E240"/>
        </row>
        <row r="241">
          <cell r="C241" t="str">
            <v>Luuka</v>
          </cell>
          <cell r="D241" t="str">
            <v>Bulongo</v>
          </cell>
          <cell r="E241"/>
        </row>
        <row r="242">
          <cell r="C242" t="str">
            <v>Bugabula</v>
          </cell>
          <cell r="D242" t="str">
            <v>Bulopa</v>
          </cell>
          <cell r="E242"/>
        </row>
        <row r="243">
          <cell r="C243" t="str">
            <v>Manjiya</v>
          </cell>
          <cell r="D243" t="str">
            <v>Bulucheke</v>
          </cell>
          <cell r="E243"/>
        </row>
        <row r="244">
          <cell r="C244" t="str">
            <v>Bulambuli</v>
          </cell>
          <cell r="D244" t="str">
            <v>Buluganya</v>
          </cell>
          <cell r="E244"/>
        </row>
        <row r="245">
          <cell r="C245" t="str">
            <v>Bukooli North</v>
          </cell>
          <cell r="D245" t="str">
            <v>Buluguyi</v>
          </cell>
          <cell r="E245"/>
        </row>
        <row r="246">
          <cell r="C246" t="str">
            <v>Kalaki</v>
          </cell>
          <cell r="D246" t="str">
            <v>Bululu</v>
          </cell>
          <cell r="E246"/>
        </row>
        <row r="247">
          <cell r="C247" t="str">
            <v>Samia-Bugwe</v>
          </cell>
          <cell r="D247" t="str">
            <v>Bulumbi</v>
          </cell>
          <cell r="E247"/>
        </row>
        <row r="248">
          <cell r="C248" t="str">
            <v>Budadiri</v>
          </cell>
          <cell r="D248" t="str">
            <v>Bumalimba</v>
          </cell>
          <cell r="E248"/>
        </row>
        <row r="249">
          <cell r="C249" t="str">
            <v>Bulamogi</v>
          </cell>
          <cell r="D249" t="str">
            <v>Bumanya</v>
          </cell>
          <cell r="E249"/>
        </row>
        <row r="250">
          <cell r="C250" t="str">
            <v>Manjiya</v>
          </cell>
          <cell r="D250" t="str">
            <v>Bumasheti</v>
          </cell>
          <cell r="E250"/>
        </row>
        <row r="251">
          <cell r="C251" t="str">
            <v>Budadiri</v>
          </cell>
          <cell r="D251" t="str">
            <v>Bumasifwa</v>
          </cell>
          <cell r="E251"/>
        </row>
        <row r="252">
          <cell r="C252" t="str">
            <v>Bungokho</v>
          </cell>
          <cell r="D252" t="str">
            <v>Bumasikye</v>
          </cell>
          <cell r="E252"/>
        </row>
        <row r="253">
          <cell r="C253" t="str">
            <v>Bulambuli</v>
          </cell>
          <cell r="D253" t="str">
            <v>Bumasobo</v>
          </cell>
          <cell r="E253"/>
        </row>
        <row r="254">
          <cell r="C254" t="str">
            <v>Manjiya</v>
          </cell>
          <cell r="D254" t="str">
            <v>Bumayoka</v>
          </cell>
          <cell r="E254"/>
        </row>
        <row r="255">
          <cell r="C255" t="str">
            <v>Igara</v>
          </cell>
          <cell r="D255" t="str">
            <v>Bumbaire</v>
          </cell>
          <cell r="E255"/>
        </row>
        <row r="256">
          <cell r="C256" t="str">
            <v>Namisindwa</v>
          </cell>
          <cell r="D256" t="str">
            <v>Bumbo</v>
          </cell>
          <cell r="E256"/>
        </row>
        <row r="257">
          <cell r="C257" t="str">
            <v>Bungokho</v>
          </cell>
          <cell r="D257" t="str">
            <v>Bumbobi</v>
          </cell>
          <cell r="E257"/>
        </row>
        <row r="258">
          <cell r="C258" t="str">
            <v>Bulambuli</v>
          </cell>
          <cell r="D258" t="str">
            <v>Bumugibole</v>
          </cell>
          <cell r="E258"/>
        </row>
        <row r="259">
          <cell r="C259" t="str">
            <v>Namisindwa</v>
          </cell>
          <cell r="D259" t="str">
            <v>Bumwoni</v>
          </cell>
          <cell r="E259"/>
        </row>
        <row r="260">
          <cell r="C260" t="str">
            <v>Bubulo</v>
          </cell>
          <cell r="D260" t="str">
            <v>Bunabwana</v>
          </cell>
          <cell r="E260"/>
        </row>
        <row r="261">
          <cell r="C261" t="str">
            <v>Bulambuli</v>
          </cell>
          <cell r="D261" t="str">
            <v>Bunambutye</v>
          </cell>
          <cell r="E261"/>
        </row>
        <row r="262">
          <cell r="C262" t="str">
            <v>Fort Portal Municipality</v>
          </cell>
          <cell r="D262" t="str">
            <v>Eastern Division</v>
          </cell>
          <cell r="E262"/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/>
          <cell r="F263"/>
        </row>
        <row r="264">
          <cell r="C264" t="str">
            <v>Bwamba</v>
          </cell>
          <cell r="D264" t="str">
            <v>Bundingoma</v>
          </cell>
          <cell r="E264"/>
          <cell r="F264"/>
        </row>
        <row r="265">
          <cell r="C265" t="str">
            <v>Aswa</v>
          </cell>
          <cell r="D265" t="str">
            <v>Bungatira</v>
          </cell>
          <cell r="E265"/>
          <cell r="F265"/>
        </row>
        <row r="266">
          <cell r="C266" t="str">
            <v>Bungokho</v>
          </cell>
          <cell r="D266" t="str">
            <v>Bungokho</v>
          </cell>
          <cell r="E266"/>
          <cell r="F266"/>
        </row>
        <row r="267">
          <cell r="C267" t="str">
            <v>Bungokho</v>
          </cell>
          <cell r="D267" t="str">
            <v>Bungokho Mutoto</v>
          </cell>
          <cell r="E267"/>
          <cell r="F267"/>
        </row>
        <row r="268">
          <cell r="C268" t="str">
            <v>Budadiri</v>
          </cell>
          <cell r="D268" t="str">
            <v>Bunyafa</v>
          </cell>
          <cell r="E268"/>
          <cell r="F268"/>
        </row>
        <row r="269">
          <cell r="C269" t="str">
            <v>Bubulo</v>
          </cell>
          <cell r="D269" t="str">
            <v>Bunyinza Town Council</v>
          </cell>
          <cell r="E269"/>
          <cell r="F269"/>
        </row>
        <row r="270">
          <cell r="C270" t="str">
            <v>Namisindwa</v>
          </cell>
          <cell r="D270" t="str">
            <v>Bupoto</v>
          </cell>
          <cell r="E270"/>
          <cell r="F270"/>
        </row>
        <row r="271">
          <cell r="C271" t="str">
            <v>Kazo</v>
          </cell>
          <cell r="D271" t="str">
            <v>Buremba</v>
          </cell>
          <cell r="E271"/>
          <cell r="F271"/>
        </row>
        <row r="272">
          <cell r="C272" t="str">
            <v>Buhweju</v>
          </cell>
          <cell r="D272" t="str">
            <v>Burere</v>
          </cell>
          <cell r="E272"/>
          <cell r="F272"/>
        </row>
        <row r="273">
          <cell r="C273" t="str">
            <v>Bughendera</v>
          </cell>
          <cell r="D273" t="str">
            <v>Burondo</v>
          </cell>
          <cell r="E273"/>
          <cell r="F273"/>
        </row>
        <row r="274">
          <cell r="C274" t="str">
            <v>Buyaga</v>
          </cell>
          <cell r="D274" t="str">
            <v>Burora</v>
          </cell>
          <cell r="E274"/>
          <cell r="F274"/>
        </row>
        <row r="275">
          <cell r="C275" t="str">
            <v>Kazo</v>
          </cell>
          <cell r="D275" t="str">
            <v>Burunga</v>
          </cell>
          <cell r="E275"/>
          <cell r="F275"/>
        </row>
        <row r="276">
          <cell r="C276" t="str">
            <v>Ntenjeru</v>
          </cell>
          <cell r="D276" t="str">
            <v>Busaana</v>
          </cell>
          <cell r="E276"/>
          <cell r="F276"/>
        </row>
        <row r="277">
          <cell r="C277" t="str">
            <v>Bunyole</v>
          </cell>
          <cell r="D277" t="str">
            <v>Busaba</v>
          </cell>
          <cell r="E277"/>
          <cell r="F277"/>
        </row>
        <row r="278">
          <cell r="C278" t="str">
            <v>Bunyole</v>
          </cell>
          <cell r="D278" t="str">
            <v>Busabi</v>
          </cell>
          <cell r="E278"/>
          <cell r="F278"/>
        </row>
        <row r="279">
          <cell r="C279" t="str">
            <v>Bunya</v>
          </cell>
          <cell r="D279" t="str">
            <v>Busakira</v>
          </cell>
          <cell r="E279"/>
          <cell r="F279"/>
        </row>
        <row r="280">
          <cell r="C280" t="str">
            <v>Buvuma Island</v>
          </cell>
          <cell r="D280" t="str">
            <v>Busamuzi</v>
          </cell>
          <cell r="E280"/>
          <cell r="F280"/>
        </row>
        <row r="281">
          <cell r="C281" t="str">
            <v>Bungokho</v>
          </cell>
          <cell r="D281" t="str">
            <v>Busano</v>
          </cell>
          <cell r="E281"/>
          <cell r="F281"/>
        </row>
        <row r="282">
          <cell r="C282" t="str">
            <v>Bufumbira</v>
          </cell>
          <cell r="D282" t="str">
            <v>Busanza</v>
          </cell>
          <cell r="E282"/>
          <cell r="F282"/>
        </row>
        <row r="283">
          <cell r="C283" t="str">
            <v>Bwamba</v>
          </cell>
          <cell r="D283" t="str">
            <v>Busaru</v>
          </cell>
          <cell r="E283"/>
          <cell r="F283"/>
        </row>
        <row r="284">
          <cell r="C284" t="str">
            <v>Butembe</v>
          </cell>
          <cell r="D284" t="str">
            <v>Busedde</v>
          </cell>
          <cell r="E284"/>
          <cell r="F284"/>
        </row>
        <row r="285">
          <cell r="C285" t="str">
            <v>Bugweri</v>
          </cell>
          <cell r="D285" t="str">
            <v>Busembatia Town Council</v>
          </cell>
          <cell r="E285"/>
          <cell r="F285"/>
        </row>
        <row r="286">
          <cell r="C286" t="str">
            <v>Kibuku</v>
          </cell>
          <cell r="D286" t="str">
            <v>Buseta</v>
          </cell>
          <cell r="E286"/>
          <cell r="F286"/>
        </row>
        <row r="287">
          <cell r="C287" t="str">
            <v>Manjiya</v>
          </cell>
          <cell r="D287" t="str">
            <v>Bushika</v>
          </cell>
          <cell r="E287"/>
          <cell r="F287"/>
        </row>
        <row r="288">
          <cell r="C288" t="str">
            <v>Manjiya</v>
          </cell>
          <cell r="D288" t="str">
            <v>Bushiribo</v>
          </cell>
          <cell r="E288"/>
          <cell r="F288"/>
        </row>
        <row r="289">
          <cell r="C289" t="str">
            <v>Manjiya</v>
          </cell>
          <cell r="D289" t="str">
            <v>Bushiyi</v>
          </cell>
          <cell r="E289"/>
          <cell r="F289"/>
        </row>
        <row r="290">
          <cell r="C290" t="str">
            <v>Fort Portal Municipality</v>
          </cell>
          <cell r="D290" t="str">
            <v>Southern Division</v>
          </cell>
          <cell r="E290"/>
          <cell r="F290"/>
        </row>
        <row r="291">
          <cell r="C291" t="str">
            <v>Fort Portal Municipality</v>
          </cell>
          <cell r="D291" t="str">
            <v>Western Division</v>
          </cell>
          <cell r="E291"/>
          <cell r="F291"/>
        </row>
        <row r="292">
          <cell r="C292" t="str">
            <v>Samia-Bugwe</v>
          </cell>
          <cell r="D292" t="str">
            <v>Busime</v>
          </cell>
          <cell r="E292"/>
        </row>
        <row r="293">
          <cell r="C293" t="str">
            <v>Kibale</v>
          </cell>
          <cell r="D293" t="str">
            <v>Busiriba</v>
          </cell>
          <cell r="E293"/>
        </row>
        <row r="294">
          <cell r="C294" t="str">
            <v>Samia-Bugwe</v>
          </cell>
          <cell r="D294" t="str">
            <v>Busitema</v>
          </cell>
          <cell r="E294"/>
        </row>
        <row r="295">
          <cell r="C295" t="str">
            <v>Bungokho</v>
          </cell>
          <cell r="D295" t="str">
            <v>Busiu</v>
          </cell>
          <cell r="E295"/>
        </row>
        <row r="296">
          <cell r="C296" t="str">
            <v>Bungokho</v>
          </cell>
          <cell r="D296" t="str">
            <v>Busiu Town Council</v>
          </cell>
          <cell r="E296"/>
        </row>
        <row r="297">
          <cell r="C297" t="str">
            <v>Bungokho</v>
          </cell>
          <cell r="D297" t="str">
            <v>Busoba</v>
          </cell>
          <cell r="E297"/>
        </row>
        <row r="298">
          <cell r="C298" t="str">
            <v>Bunyole</v>
          </cell>
          <cell r="D298" t="str">
            <v>Busolwe</v>
          </cell>
          <cell r="E298"/>
        </row>
        <row r="299">
          <cell r="C299" t="str">
            <v>Bunyole</v>
          </cell>
          <cell r="D299" t="str">
            <v>Busolwe Town Council</v>
          </cell>
          <cell r="E299"/>
        </row>
        <row r="300">
          <cell r="C300" t="str">
            <v>Burahya</v>
          </cell>
          <cell r="D300" t="str">
            <v>Busoro</v>
          </cell>
          <cell r="E300"/>
        </row>
        <row r="301">
          <cell r="C301" t="str">
            <v>Busiro</v>
          </cell>
          <cell r="D301" t="str">
            <v>Bussi</v>
          </cell>
          <cell r="E301"/>
        </row>
        <row r="302">
          <cell r="C302" t="str">
            <v>Gulu Municipality</v>
          </cell>
          <cell r="D302" t="str">
            <v>Bar Dege Division</v>
          </cell>
          <cell r="E302"/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/>
          <cell r="F303"/>
        </row>
        <row r="304">
          <cell r="C304" t="str">
            <v>Budadiri</v>
          </cell>
          <cell r="D304" t="str">
            <v>Busulani</v>
          </cell>
          <cell r="E304"/>
          <cell r="F304"/>
        </row>
        <row r="305">
          <cell r="C305" t="str">
            <v>Mityana</v>
          </cell>
          <cell r="D305" t="str">
            <v>Busunju Town Council</v>
          </cell>
          <cell r="E305"/>
          <cell r="F305"/>
        </row>
        <row r="306">
          <cell r="C306" t="str">
            <v>Bukooli</v>
          </cell>
          <cell r="D306" t="str">
            <v>Buswale</v>
          </cell>
          <cell r="E306"/>
          <cell r="F306"/>
        </row>
        <row r="307">
          <cell r="C307" t="str">
            <v>Kagoma</v>
          </cell>
          <cell r="D307" t="str">
            <v>Butagaya</v>
          </cell>
          <cell r="E307"/>
          <cell r="F307"/>
        </row>
        <row r="308">
          <cell r="C308" t="str">
            <v>Nakaseke</v>
          </cell>
          <cell r="D308" t="str">
            <v>Butalangu Town Council</v>
          </cell>
          <cell r="E308"/>
          <cell r="F308"/>
        </row>
        <row r="309">
          <cell r="C309" t="str">
            <v>Bunyole</v>
          </cell>
          <cell r="D309" t="str">
            <v>Butaleja</v>
          </cell>
          <cell r="E309"/>
          <cell r="F309"/>
        </row>
        <row r="310">
          <cell r="C310" t="str">
            <v>Bunyole</v>
          </cell>
          <cell r="D310" t="str">
            <v>Butaleja Town Council</v>
          </cell>
          <cell r="E310"/>
          <cell r="F310"/>
        </row>
        <row r="311">
          <cell r="C311" t="str">
            <v>Ndorwa</v>
          </cell>
          <cell r="D311" t="str">
            <v>Butanda</v>
          </cell>
          <cell r="E311"/>
          <cell r="F311"/>
        </row>
        <row r="312">
          <cell r="C312" t="str">
            <v>Budadiri</v>
          </cell>
          <cell r="D312" t="str">
            <v>Butandiga</v>
          </cell>
          <cell r="E312"/>
          <cell r="F312"/>
        </row>
        <row r="313">
          <cell r="C313" t="str">
            <v>Bugabula</v>
          </cell>
          <cell r="D313" t="str">
            <v>Butansi</v>
          </cell>
          <cell r="E313"/>
          <cell r="F313"/>
        </row>
        <row r="314">
          <cell r="C314" t="str">
            <v>Busujju</v>
          </cell>
          <cell r="D314" t="str">
            <v>Butayunja</v>
          </cell>
          <cell r="E314"/>
          <cell r="F314"/>
        </row>
        <row r="315">
          <cell r="C315" t="str">
            <v>Samia-Bugwe</v>
          </cell>
          <cell r="D315" t="str">
            <v>Buteba</v>
          </cell>
          <cell r="E315"/>
          <cell r="F315"/>
        </row>
        <row r="316">
          <cell r="C316" t="str">
            <v>Butebo Town Council</v>
          </cell>
          <cell r="D316" t="str">
            <v>Butebo</v>
          </cell>
          <cell r="E316"/>
          <cell r="F316"/>
        </row>
        <row r="317">
          <cell r="C317" t="str">
            <v>Kiboga</v>
          </cell>
          <cell r="D317" t="str">
            <v>Butemba</v>
          </cell>
          <cell r="E317"/>
          <cell r="F317"/>
        </row>
        <row r="318">
          <cell r="C318" t="str">
            <v>Kiboga</v>
          </cell>
          <cell r="D318" t="str">
            <v>Butemba Town Council</v>
          </cell>
          <cell r="E318"/>
          <cell r="F318"/>
        </row>
        <row r="319">
          <cell r="C319" t="str">
            <v>Bukomansimbi</v>
          </cell>
          <cell r="D319" t="str">
            <v>Butenga</v>
          </cell>
          <cell r="E319"/>
          <cell r="F319"/>
        </row>
        <row r="320">
          <cell r="C320" t="str">
            <v>Budadiri</v>
          </cell>
          <cell r="D320" t="str">
            <v>Buteza</v>
          </cell>
          <cell r="E320"/>
          <cell r="F320"/>
        </row>
        <row r="321">
          <cell r="C321" t="str">
            <v>Buliisa</v>
          </cell>
          <cell r="D321" t="str">
            <v>Butiaba</v>
          </cell>
          <cell r="E321"/>
          <cell r="F321"/>
        </row>
        <row r="322">
          <cell r="C322" t="str">
            <v>Mwenge</v>
          </cell>
          <cell r="D322" t="str">
            <v>Butiiti</v>
          </cell>
          <cell r="E322"/>
          <cell r="F322"/>
        </row>
        <row r="323">
          <cell r="C323" t="str">
            <v>Bubulo</v>
          </cell>
          <cell r="D323" t="str">
            <v>Butiru</v>
          </cell>
          <cell r="E323"/>
          <cell r="F323"/>
        </row>
        <row r="324">
          <cell r="C324" t="str">
            <v>Kinkiizi</v>
          </cell>
          <cell r="D324" t="str">
            <v>Butogota Town Council</v>
          </cell>
          <cell r="E324"/>
          <cell r="F324"/>
        </row>
        <row r="325">
          <cell r="C325" t="str">
            <v>Buwekula</v>
          </cell>
          <cell r="D325" t="str">
            <v>Butoloogo</v>
          </cell>
          <cell r="E325"/>
          <cell r="F325"/>
        </row>
        <row r="326">
          <cell r="C326" t="str">
            <v>Bubulo</v>
          </cell>
          <cell r="D326" t="str">
            <v>Butta</v>
          </cell>
          <cell r="E326"/>
          <cell r="F326"/>
        </row>
        <row r="327">
          <cell r="C327" t="str">
            <v>Mwenge</v>
          </cell>
          <cell r="D327" t="str">
            <v>Butunduzi</v>
          </cell>
          <cell r="E327"/>
          <cell r="F327"/>
        </row>
        <row r="328">
          <cell r="C328" t="str">
            <v>Mwenge</v>
          </cell>
          <cell r="D328" t="str">
            <v>Butunduzi Town Council</v>
          </cell>
          <cell r="E328"/>
          <cell r="F328"/>
        </row>
        <row r="329">
          <cell r="C329" t="str">
            <v>Ntoroko</v>
          </cell>
          <cell r="D329" t="str">
            <v>Butungama</v>
          </cell>
          <cell r="E329"/>
          <cell r="F329"/>
        </row>
        <row r="330">
          <cell r="C330" t="str">
            <v>Katikamu</v>
          </cell>
          <cell r="D330" t="str">
            <v>Butuntumula</v>
          </cell>
          <cell r="E330"/>
          <cell r="F330"/>
        </row>
        <row r="331">
          <cell r="C331" t="str">
            <v>Buvuma Island</v>
          </cell>
          <cell r="D331" t="str">
            <v>Buvuma Town Council</v>
          </cell>
          <cell r="E331"/>
          <cell r="F331"/>
        </row>
        <row r="332">
          <cell r="C332" t="str">
            <v>Bunya</v>
          </cell>
          <cell r="D332" t="str">
            <v>Buwaaya</v>
          </cell>
          <cell r="E332"/>
          <cell r="F332"/>
        </row>
        <row r="333">
          <cell r="C333" t="str">
            <v>Namisindwa</v>
          </cell>
          <cell r="D333" t="str">
            <v>Buwabwala</v>
          </cell>
          <cell r="E333"/>
          <cell r="F333"/>
        </row>
        <row r="334">
          <cell r="C334" t="str">
            <v>Bubulo</v>
          </cell>
          <cell r="D334" t="str">
            <v>Buwagogo</v>
          </cell>
          <cell r="E334"/>
          <cell r="F334"/>
        </row>
        <row r="335">
          <cell r="C335" t="str">
            <v>Budadiri</v>
          </cell>
          <cell r="D335" t="str">
            <v>Buwalasi</v>
          </cell>
          <cell r="E335"/>
          <cell r="F335"/>
        </row>
        <row r="336">
          <cell r="C336" t="str">
            <v>Manjiya</v>
          </cell>
          <cell r="D336" t="str">
            <v>Buwali</v>
          </cell>
          <cell r="E336"/>
          <cell r="F336"/>
        </row>
        <row r="337">
          <cell r="C337" t="str">
            <v>Mawokota</v>
          </cell>
          <cell r="D337" t="str">
            <v>Buwama</v>
          </cell>
          <cell r="E337"/>
          <cell r="F337"/>
        </row>
        <row r="338">
          <cell r="C338" t="str">
            <v>Bubulo</v>
          </cell>
          <cell r="D338" t="str">
            <v>Buwangani Town Council</v>
          </cell>
          <cell r="E338"/>
          <cell r="F338"/>
        </row>
        <row r="339">
          <cell r="C339" t="str">
            <v>Budadiri</v>
          </cell>
          <cell r="D339" t="str">
            <v>Buwasa</v>
          </cell>
          <cell r="E339"/>
          <cell r="F339"/>
        </row>
        <row r="340">
          <cell r="C340" t="str">
            <v>Kagoma</v>
          </cell>
          <cell r="D340" t="str">
            <v>Buwenge</v>
          </cell>
          <cell r="E340"/>
          <cell r="F340"/>
        </row>
        <row r="341">
          <cell r="C341" t="str">
            <v>Kagoma</v>
          </cell>
          <cell r="D341" t="str">
            <v>Buwenge Town Council</v>
          </cell>
          <cell r="E341"/>
          <cell r="F341"/>
        </row>
        <row r="342">
          <cell r="C342" t="str">
            <v>Buvuma Island</v>
          </cell>
          <cell r="D342" t="str">
            <v>Buwooya</v>
          </cell>
          <cell r="E342"/>
          <cell r="F342"/>
        </row>
        <row r="343">
          <cell r="C343" t="str">
            <v>Bukoto</v>
          </cell>
          <cell r="D343" t="str">
            <v>Buwunga</v>
          </cell>
          <cell r="E343"/>
          <cell r="F343"/>
        </row>
        <row r="344">
          <cell r="C344" t="str">
            <v>Bukooli North</v>
          </cell>
          <cell r="D344" t="str">
            <v>Buwunga</v>
          </cell>
          <cell r="E344"/>
          <cell r="F344"/>
        </row>
        <row r="345">
          <cell r="C345" t="str">
            <v>Samia-Bugwe</v>
          </cell>
          <cell r="D345" t="str">
            <v>Buyanga</v>
          </cell>
          <cell r="E345"/>
          <cell r="F345"/>
        </row>
        <row r="346">
          <cell r="C346" t="str">
            <v>Bugweri</v>
          </cell>
          <cell r="D346" t="str">
            <v>Buyanga</v>
          </cell>
          <cell r="E346"/>
          <cell r="F346"/>
        </row>
        <row r="347">
          <cell r="C347" t="str">
            <v>Rubabo</v>
          </cell>
          <cell r="D347" t="str">
            <v>Buyanja</v>
          </cell>
          <cell r="E347"/>
          <cell r="F347"/>
        </row>
        <row r="348">
          <cell r="C348" t="str">
            <v>Rubabo</v>
          </cell>
          <cell r="D348" t="str">
            <v>Buyanja Town Council</v>
          </cell>
          <cell r="E348"/>
          <cell r="F348"/>
        </row>
        <row r="349">
          <cell r="C349" t="str">
            <v>Budiope</v>
          </cell>
          <cell r="D349" t="str">
            <v>Buyende</v>
          </cell>
          <cell r="E349"/>
          <cell r="F349"/>
        </row>
        <row r="350">
          <cell r="C350" t="str">
            <v>Budiope</v>
          </cell>
          <cell r="D350" t="str">
            <v>Buyende Town Council</v>
          </cell>
          <cell r="E350"/>
          <cell r="F350"/>
        </row>
        <row r="351">
          <cell r="C351" t="str">
            <v>Kagoma</v>
          </cell>
          <cell r="D351" t="str">
            <v>Buyengo</v>
          </cell>
          <cell r="E351"/>
          <cell r="F351"/>
        </row>
        <row r="352">
          <cell r="C352" t="str">
            <v>Bulamogi</v>
          </cell>
          <cell r="D352" t="str">
            <v>Buyinda</v>
          </cell>
          <cell r="E352"/>
          <cell r="F352"/>
        </row>
        <row r="353">
          <cell r="C353" t="str">
            <v>Bukooli</v>
          </cell>
          <cell r="D353" t="str">
            <v>Buyinja</v>
          </cell>
          <cell r="E353"/>
          <cell r="F353"/>
        </row>
        <row r="354">
          <cell r="C354" t="str">
            <v>Budadiri</v>
          </cell>
          <cell r="D354" t="str">
            <v>Buyobo</v>
          </cell>
          <cell r="E354"/>
          <cell r="F354"/>
        </row>
        <row r="355">
          <cell r="C355" t="str">
            <v>Rujumbura</v>
          </cell>
          <cell r="D355" t="str">
            <v>Bwambara</v>
          </cell>
          <cell r="E355"/>
          <cell r="F355"/>
        </row>
        <row r="356">
          <cell r="C356" t="str">
            <v>Buyanja</v>
          </cell>
          <cell r="D356" t="str">
            <v>Bwamiramira</v>
          </cell>
          <cell r="E356"/>
          <cell r="F356"/>
        </row>
        <row r="357">
          <cell r="C357" t="str">
            <v>Bugangaizi</v>
          </cell>
          <cell r="D357" t="str">
            <v>Bwanswa</v>
          </cell>
          <cell r="E357"/>
          <cell r="F357"/>
        </row>
        <row r="358">
          <cell r="C358" t="str">
            <v>Buvuma Island</v>
          </cell>
          <cell r="D358" t="str">
            <v>Bweema</v>
          </cell>
          <cell r="E358"/>
          <cell r="F358"/>
        </row>
        <row r="359">
          <cell r="C359" t="str">
            <v>Bukonzo</v>
          </cell>
          <cell r="D359" t="str">
            <v>Bwera</v>
          </cell>
          <cell r="E359"/>
          <cell r="F359"/>
        </row>
        <row r="360">
          <cell r="C360" t="str">
            <v>Ntoroko</v>
          </cell>
          <cell r="D360" t="str">
            <v>Bweramule</v>
          </cell>
          <cell r="E360"/>
          <cell r="F360"/>
        </row>
        <row r="361">
          <cell r="C361" t="str">
            <v>Busongora</v>
          </cell>
          <cell r="D361" t="str">
            <v>Bwesumbu</v>
          </cell>
          <cell r="E361"/>
          <cell r="F361"/>
        </row>
        <row r="362">
          <cell r="C362" t="str">
            <v>Kibanda</v>
          </cell>
          <cell r="D362" t="str">
            <v>Bweyale Town Council</v>
          </cell>
          <cell r="E362"/>
          <cell r="F362"/>
        </row>
        <row r="363">
          <cell r="C363" t="str">
            <v>Gulu Municipality</v>
          </cell>
          <cell r="D363" t="str">
            <v>Laroo Division</v>
          </cell>
          <cell r="E363"/>
          <cell r="F363"/>
        </row>
        <row r="364">
          <cell r="C364" t="str">
            <v>Bujenje</v>
          </cell>
          <cell r="D364" t="str">
            <v>Bwijanga</v>
          </cell>
          <cell r="E364"/>
          <cell r="F364"/>
        </row>
        <row r="365">
          <cell r="C365" t="str">
            <v>Buyaga</v>
          </cell>
          <cell r="D365" t="str">
            <v>Bwikara</v>
          </cell>
          <cell r="E365"/>
          <cell r="F365"/>
        </row>
        <row r="366">
          <cell r="C366" t="str">
            <v>Bulambuli</v>
          </cell>
          <cell r="D366" t="str">
            <v>Bwikhonge</v>
          </cell>
          <cell r="E366"/>
          <cell r="F366"/>
        </row>
        <row r="367">
          <cell r="C367" t="str">
            <v>Kibale</v>
          </cell>
          <cell r="D367" t="str">
            <v>Bwizi</v>
          </cell>
          <cell r="E367"/>
          <cell r="F367"/>
        </row>
        <row r="368">
          <cell r="C368" t="str">
            <v>Kajara</v>
          </cell>
          <cell r="D368" t="str">
            <v>Bwongyera</v>
          </cell>
          <cell r="E368"/>
          <cell r="F368"/>
        </row>
        <row r="369">
          <cell r="C369" t="str">
            <v>Kooki</v>
          </cell>
          <cell r="D369" t="str">
            <v>Byakabanda</v>
          </cell>
          <cell r="E369"/>
          <cell r="F369"/>
        </row>
        <row r="370">
          <cell r="C370" t="str">
            <v>Kiboga</v>
          </cell>
          <cell r="D370" t="str">
            <v>Byerima</v>
          </cell>
          <cell r="E370"/>
          <cell r="F370"/>
        </row>
        <row r="371">
          <cell r="C371" t="str">
            <v>Gulu Municipality</v>
          </cell>
          <cell r="D371" t="str">
            <v>Layibi Division</v>
          </cell>
          <cell r="E371"/>
          <cell r="F371"/>
        </row>
        <row r="372">
          <cell r="C372" t="str">
            <v>Gulu Municipality</v>
          </cell>
          <cell r="D372" t="str">
            <v>Pece Division</v>
          </cell>
          <cell r="E372"/>
          <cell r="F372"/>
        </row>
        <row r="373">
          <cell r="C373" t="str">
            <v>Hoima Municipality</v>
          </cell>
          <cell r="D373" t="str">
            <v>Bujumbura Division</v>
          </cell>
          <cell r="E373"/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/>
          <cell r="F374"/>
        </row>
        <row r="375">
          <cell r="C375" t="str">
            <v>Hoima Municipality</v>
          </cell>
          <cell r="D375" t="str">
            <v>Kahoora Divison</v>
          </cell>
          <cell r="E375"/>
          <cell r="F375"/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/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/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/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/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/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/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/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/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/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/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/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/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/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/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/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/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/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/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/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/>
        </row>
        <row r="396">
          <cell r="C396" t="str">
            <v>Hoima Municipality</v>
          </cell>
          <cell r="D396" t="str">
            <v>Mparo Divison</v>
          </cell>
          <cell r="E396"/>
          <cell r="F396"/>
        </row>
        <row r="397">
          <cell r="C397" t="str">
            <v>Ibanda Municipality</v>
          </cell>
          <cell r="D397" t="str">
            <v>Bisheshe Division</v>
          </cell>
          <cell r="E397"/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/>
          <cell r="F398"/>
        </row>
        <row r="399">
          <cell r="C399" t="str">
            <v>Ibanda Municipality</v>
          </cell>
          <cell r="D399" t="str">
            <v>Kagango Division</v>
          </cell>
          <cell r="E399"/>
          <cell r="F399"/>
        </row>
        <row r="400">
          <cell r="C400" t="str">
            <v>Iganga Municipality</v>
          </cell>
          <cell r="D400" t="str">
            <v>Central Division</v>
          </cell>
          <cell r="E400"/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/>
          <cell r="F401"/>
        </row>
        <row r="402">
          <cell r="C402" t="str">
            <v>Jinja Municipality</v>
          </cell>
          <cell r="D402" t="str">
            <v>Central Division</v>
          </cell>
          <cell r="E402"/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/>
          <cell r="F403"/>
        </row>
        <row r="404">
          <cell r="C404" t="str">
            <v>Jinja Municipality</v>
          </cell>
          <cell r="D404" t="str">
            <v>Mpumudde Division</v>
          </cell>
          <cell r="E404"/>
          <cell r="F404"/>
        </row>
        <row r="405">
          <cell r="C405" t="str">
            <v>Kabale Municipality</v>
          </cell>
          <cell r="D405" t="str">
            <v>Central Division</v>
          </cell>
          <cell r="E405"/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/>
          <cell r="F406"/>
        </row>
        <row r="407">
          <cell r="C407" t="str">
            <v>Bufumbira</v>
          </cell>
          <cell r="D407" t="str">
            <v>Chahi</v>
          </cell>
          <cell r="E407"/>
          <cell r="F407"/>
        </row>
        <row r="408">
          <cell r="C408" t="str">
            <v>Kwania</v>
          </cell>
          <cell r="D408" t="str">
            <v>Chawente</v>
          </cell>
          <cell r="E408"/>
          <cell r="F408"/>
        </row>
        <row r="409">
          <cell r="C409" t="str">
            <v>Maruzi</v>
          </cell>
          <cell r="D409" t="str">
            <v>Chegere</v>
          </cell>
          <cell r="E409"/>
          <cell r="F409"/>
        </row>
        <row r="410">
          <cell r="C410" t="str">
            <v>Agule</v>
          </cell>
          <cell r="D410" t="str">
            <v>Chelekura</v>
          </cell>
          <cell r="E410"/>
          <cell r="F410"/>
        </row>
        <row r="411">
          <cell r="C411" t="str">
            <v>Tingey</v>
          </cell>
          <cell r="D411" t="str">
            <v>Chema</v>
          </cell>
          <cell r="E411"/>
          <cell r="F411"/>
        </row>
        <row r="412">
          <cell r="C412" t="str">
            <v>Kongasis</v>
          </cell>
          <cell r="D412" t="str">
            <v>Chepkwasta</v>
          </cell>
          <cell r="E412"/>
          <cell r="F412"/>
        </row>
        <row r="413">
          <cell r="C413" t="str">
            <v>Tingey</v>
          </cell>
          <cell r="D413" t="str">
            <v>Chepterech</v>
          </cell>
          <cell r="E413"/>
          <cell r="F413"/>
        </row>
        <row r="414">
          <cell r="C414" t="str">
            <v>Kongasis</v>
          </cell>
          <cell r="D414" t="str">
            <v>Chesower</v>
          </cell>
          <cell r="E414"/>
          <cell r="F414"/>
        </row>
        <row r="415">
          <cell r="C415" t="str">
            <v>East Moyo</v>
          </cell>
          <cell r="D415" t="str">
            <v>Ciforo</v>
          </cell>
          <cell r="E415"/>
          <cell r="F415"/>
        </row>
        <row r="416">
          <cell r="C416" t="str">
            <v>Samia-Bugwe</v>
          </cell>
          <cell r="D416" t="str">
            <v>Dabani</v>
          </cell>
          <cell r="E416"/>
          <cell r="F416"/>
        </row>
        <row r="417">
          <cell r="C417" t="str">
            <v>Ayivu</v>
          </cell>
          <cell r="D417" t="str">
            <v>Dadamu</v>
          </cell>
          <cell r="E417"/>
          <cell r="F417"/>
        </row>
        <row r="418">
          <cell r="C418" t="str">
            <v>Kiboga</v>
          </cell>
          <cell r="D418" t="str">
            <v>Ddwaniro</v>
          </cell>
          <cell r="E418"/>
          <cell r="F418"/>
        </row>
        <row r="419">
          <cell r="C419" t="str">
            <v>Kooki</v>
          </cell>
          <cell r="D419" t="str">
            <v>Ddwaniro</v>
          </cell>
          <cell r="E419"/>
          <cell r="F419"/>
        </row>
        <row r="420">
          <cell r="C420" t="str">
            <v>West Moyo</v>
          </cell>
          <cell r="D420" t="str">
            <v>Difule</v>
          </cell>
          <cell r="E420"/>
          <cell r="F420"/>
        </row>
        <row r="421">
          <cell r="C421" t="str">
            <v>Kabale Municipality</v>
          </cell>
          <cell r="D421" t="str">
            <v>Southern Division</v>
          </cell>
          <cell r="E421"/>
          <cell r="F421"/>
        </row>
        <row r="422">
          <cell r="C422" t="str">
            <v>Kamuli Municipality</v>
          </cell>
          <cell r="D422" t="str">
            <v>Northern Division</v>
          </cell>
          <cell r="E422"/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/>
          <cell r="F423"/>
        </row>
        <row r="424">
          <cell r="C424" t="str">
            <v>Dokolo</v>
          </cell>
          <cell r="D424" t="str">
            <v>Dokolo Tc</v>
          </cell>
          <cell r="E424"/>
          <cell r="F424"/>
        </row>
        <row r="425">
          <cell r="C425" t="str">
            <v>Aringa</v>
          </cell>
          <cell r="D425" t="str">
            <v>Drajini</v>
          </cell>
          <cell r="E425"/>
          <cell r="F425"/>
        </row>
        <row r="426">
          <cell r="C426" t="str">
            <v>Koboko</v>
          </cell>
          <cell r="D426" t="str">
            <v>Dranya</v>
          </cell>
          <cell r="E426"/>
          <cell r="F426"/>
        </row>
        <row r="427">
          <cell r="C427" t="str">
            <v>East Moyo</v>
          </cell>
          <cell r="D427" t="str">
            <v>Dzaipi</v>
          </cell>
          <cell r="E427"/>
          <cell r="F427"/>
        </row>
        <row r="428">
          <cell r="C428" t="str">
            <v>Kamuli Municipality</v>
          </cell>
          <cell r="D428" t="str">
            <v>Southern Division</v>
          </cell>
          <cell r="E428"/>
          <cell r="F428"/>
        </row>
        <row r="429">
          <cell r="C429" t="str">
            <v>Kapchorwa Municipality</v>
          </cell>
          <cell r="D429" t="str">
            <v>Central Division</v>
          </cell>
          <cell r="E429"/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/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/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/>
          <cell r="F432"/>
        </row>
        <row r="433">
          <cell r="C433" t="str">
            <v>Kasese Municipality</v>
          </cell>
          <cell r="D433" t="str">
            <v>Bulembia Division</v>
          </cell>
          <cell r="E433"/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/>
          <cell r="F434"/>
        </row>
        <row r="435">
          <cell r="C435" t="str">
            <v>Kasese Municipality</v>
          </cell>
          <cell r="D435" t="str">
            <v>Nyamwamba Division</v>
          </cell>
          <cell r="E435"/>
          <cell r="F435"/>
        </row>
        <row r="436">
          <cell r="C436" t="str">
            <v>Kira Municipality</v>
          </cell>
          <cell r="D436" t="str">
            <v>Bweyogerere Division</v>
          </cell>
          <cell r="E436"/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/>
          <cell r="F437"/>
        </row>
        <row r="438">
          <cell r="C438" t="str">
            <v>Bukanga</v>
          </cell>
          <cell r="D438" t="str">
            <v>Endiinzi Town Council</v>
          </cell>
          <cell r="E438"/>
          <cell r="F438"/>
        </row>
        <row r="439">
          <cell r="C439" t="str">
            <v>Buhweju</v>
          </cell>
          <cell r="D439" t="str">
            <v>Engaju</v>
          </cell>
          <cell r="E439"/>
          <cell r="F439"/>
        </row>
        <row r="440">
          <cell r="C440" t="str">
            <v>Kazo</v>
          </cell>
          <cell r="D440" t="str">
            <v>Engari</v>
          </cell>
          <cell r="E440"/>
          <cell r="F440"/>
        </row>
        <row r="441">
          <cell r="C441" t="str">
            <v>Padyere</v>
          </cell>
          <cell r="D441" t="str">
            <v>Erussi</v>
          </cell>
          <cell r="E441"/>
          <cell r="F441"/>
        </row>
        <row r="442">
          <cell r="C442" t="str">
            <v>Kioga</v>
          </cell>
          <cell r="D442" t="str">
            <v>Etam</v>
          </cell>
          <cell r="E442"/>
          <cell r="F442"/>
        </row>
        <row r="443">
          <cell r="C443" t="str">
            <v>Madi Okollo</v>
          </cell>
          <cell r="D443" t="str">
            <v>Ewanga</v>
          </cell>
          <cell r="E443"/>
          <cell r="F443"/>
        </row>
        <row r="444">
          <cell r="C444" t="str">
            <v>Bulamogi</v>
          </cell>
          <cell r="D444" t="str">
            <v>Gadumire</v>
          </cell>
          <cell r="E444"/>
          <cell r="F444"/>
        </row>
        <row r="445">
          <cell r="C445" t="str">
            <v>Bbaale</v>
          </cell>
          <cell r="D445" t="str">
            <v>Galiraya</v>
          </cell>
          <cell r="E445"/>
          <cell r="F445"/>
        </row>
        <row r="446">
          <cell r="C446" t="str">
            <v>Tingey</v>
          </cell>
          <cell r="D446" t="str">
            <v>Gamogo</v>
          </cell>
          <cell r="E446"/>
          <cell r="F446"/>
        </row>
        <row r="447">
          <cell r="C447" t="str">
            <v>Kiboga</v>
          </cell>
          <cell r="D447" t="str">
            <v>Gayaza</v>
          </cell>
          <cell r="E447"/>
          <cell r="F447"/>
        </row>
        <row r="448">
          <cell r="C448" t="str">
            <v>Obongi</v>
          </cell>
          <cell r="D448" t="str">
            <v>Gimara</v>
          </cell>
          <cell r="E448"/>
          <cell r="F448"/>
        </row>
        <row r="449">
          <cell r="C449" t="str">
            <v>Agule</v>
          </cell>
          <cell r="D449" t="str">
            <v>Gogonyo</v>
          </cell>
          <cell r="E449"/>
          <cell r="F449"/>
        </row>
        <row r="450">
          <cell r="C450" t="str">
            <v>Kira Municipality</v>
          </cell>
          <cell r="D450" t="str">
            <v>Kira Division</v>
          </cell>
          <cell r="E450"/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/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/>
        </row>
        <row r="453">
          <cell r="C453" t="str">
            <v>Soroti</v>
          </cell>
          <cell r="D453" t="str">
            <v>Gweri</v>
          </cell>
          <cell r="E453"/>
        </row>
        <row r="454">
          <cell r="C454" t="str">
            <v>Burahya</v>
          </cell>
          <cell r="D454" t="str">
            <v>Hakibaale</v>
          </cell>
          <cell r="E454"/>
        </row>
        <row r="455">
          <cell r="C455" t="str">
            <v>Rubanda</v>
          </cell>
          <cell r="D455" t="str">
            <v>Hamurwa</v>
          </cell>
          <cell r="E455"/>
        </row>
        <row r="456">
          <cell r="C456" t="str">
            <v>Rubanda</v>
          </cell>
          <cell r="D456" t="str">
            <v>Hamurwa Town Council</v>
          </cell>
          <cell r="E456"/>
        </row>
        <row r="457">
          <cell r="C457" t="str">
            <v>Kyaka</v>
          </cell>
          <cell r="D457" t="str">
            <v>Hapuuyo</v>
          </cell>
          <cell r="E457"/>
        </row>
        <row r="458">
          <cell r="C458" t="str">
            <v>Bughendera</v>
          </cell>
          <cell r="D458" t="str">
            <v>Harugale</v>
          </cell>
          <cell r="E458"/>
        </row>
        <row r="459">
          <cell r="C459" t="str">
            <v>Busongora</v>
          </cell>
          <cell r="D459" t="str">
            <v>Hima Town Council</v>
          </cell>
          <cell r="E459"/>
        </row>
        <row r="460">
          <cell r="C460" t="str">
            <v>Bunyole</v>
          </cell>
          <cell r="D460" t="str">
            <v>Himutu</v>
          </cell>
          <cell r="E460"/>
        </row>
        <row r="461">
          <cell r="C461" t="str">
            <v>Igara</v>
          </cell>
          <cell r="D461" t="str">
            <v>Ibaare</v>
          </cell>
          <cell r="E461"/>
        </row>
        <row r="462">
          <cell r="C462" t="str">
            <v>Maruzi</v>
          </cell>
          <cell r="D462" t="str">
            <v>Ibuje</v>
          </cell>
          <cell r="E462"/>
        </row>
        <row r="463">
          <cell r="C463" t="str">
            <v>Bugweri</v>
          </cell>
          <cell r="D463" t="str">
            <v>Ibulanku</v>
          </cell>
          <cell r="E463"/>
        </row>
        <row r="464">
          <cell r="C464" t="str">
            <v>Oyam</v>
          </cell>
          <cell r="D464" t="str">
            <v>Iceme</v>
          </cell>
          <cell r="E464"/>
        </row>
        <row r="465">
          <cell r="C465" t="str">
            <v>Bugweri</v>
          </cell>
          <cell r="D465" t="str">
            <v>Igombe</v>
          </cell>
          <cell r="E465"/>
        </row>
        <row r="466">
          <cell r="C466" t="str">
            <v>Ibanda</v>
          </cell>
          <cell r="D466" t="str">
            <v>Igorora Town Council</v>
          </cell>
          <cell r="E466"/>
        </row>
        <row r="467">
          <cell r="C467" t="str">
            <v>Bukonzo</v>
          </cell>
          <cell r="D467" t="str">
            <v>Ihandiro</v>
          </cell>
          <cell r="E467"/>
        </row>
        <row r="468">
          <cell r="C468" t="str">
            <v>Kajara</v>
          </cell>
          <cell r="D468" t="str">
            <v>Ihunga</v>
          </cell>
          <cell r="E468"/>
        </row>
        <row r="469">
          <cell r="C469" t="str">
            <v>Iki-Iki</v>
          </cell>
          <cell r="D469" t="str">
            <v>Iki-Iki</v>
          </cell>
          <cell r="E469"/>
        </row>
        <row r="470">
          <cell r="C470" t="str">
            <v>Rubanda</v>
          </cell>
          <cell r="D470" t="str">
            <v>Ikumba</v>
          </cell>
          <cell r="E470"/>
        </row>
        <row r="471">
          <cell r="C471" t="str">
            <v>Luuka</v>
          </cell>
          <cell r="D471" t="str">
            <v>Ikumbya</v>
          </cell>
          <cell r="E471"/>
        </row>
        <row r="472">
          <cell r="C472" t="str">
            <v>Bunya</v>
          </cell>
          <cell r="D472" t="str">
            <v>Imanyiro</v>
          </cell>
          <cell r="E472"/>
        </row>
        <row r="473">
          <cell r="C473" t="str">
            <v>Kisoro Municipality</v>
          </cell>
          <cell r="D473" t="str">
            <v>Central</v>
          </cell>
          <cell r="E473"/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/>
          <cell r="F474"/>
        </row>
        <row r="475">
          <cell r="C475" t="str">
            <v>Bokora</v>
          </cell>
          <cell r="D475" t="str">
            <v>Iriiri</v>
          </cell>
          <cell r="E475"/>
          <cell r="F475"/>
        </row>
        <row r="476">
          <cell r="C476" t="str">
            <v>Luuka</v>
          </cell>
          <cell r="D476" t="str">
            <v>Irongo</v>
          </cell>
          <cell r="E476"/>
          <cell r="F476"/>
        </row>
        <row r="477">
          <cell r="C477" t="str">
            <v>Bukonzo</v>
          </cell>
          <cell r="D477" t="str">
            <v>Isango</v>
          </cell>
          <cell r="E477"/>
          <cell r="F477"/>
        </row>
        <row r="478">
          <cell r="C478" t="str">
            <v>Kisoro Municipality</v>
          </cell>
          <cell r="D478" t="str">
            <v>Northern</v>
          </cell>
          <cell r="E478"/>
          <cell r="F478"/>
        </row>
        <row r="479">
          <cell r="C479" t="str">
            <v>Ibanda</v>
          </cell>
          <cell r="D479" t="str">
            <v>Ishongororo</v>
          </cell>
          <cell r="E479"/>
          <cell r="F479"/>
        </row>
        <row r="480">
          <cell r="C480" t="str">
            <v>Ibanda</v>
          </cell>
          <cell r="D480" t="str">
            <v>Ishongororo Town Council</v>
          </cell>
          <cell r="E480"/>
          <cell r="F480"/>
        </row>
        <row r="481">
          <cell r="C481" t="str">
            <v>Isingiro</v>
          </cell>
          <cell r="D481" t="str">
            <v>Isingiro Town Council</v>
          </cell>
          <cell r="E481"/>
          <cell r="F481"/>
        </row>
        <row r="482">
          <cell r="C482" t="str">
            <v>East Moyo</v>
          </cell>
          <cell r="D482" t="str">
            <v>Itirikwa</v>
          </cell>
          <cell r="E482"/>
          <cell r="F482"/>
        </row>
        <row r="483">
          <cell r="C483" t="str">
            <v>Ruhaama</v>
          </cell>
          <cell r="D483" t="str">
            <v>Itojo</v>
          </cell>
          <cell r="E483"/>
          <cell r="F483"/>
        </row>
        <row r="484">
          <cell r="C484" t="str">
            <v>Obongi</v>
          </cell>
          <cell r="D484" t="str">
            <v>Itula</v>
          </cell>
          <cell r="E484"/>
          <cell r="F484"/>
        </row>
        <row r="485">
          <cell r="C485" t="str">
            <v>Busiki</v>
          </cell>
          <cell r="D485" t="str">
            <v>Ivukula</v>
          </cell>
          <cell r="E485"/>
          <cell r="F485"/>
        </row>
        <row r="486">
          <cell r="C486" t="str">
            <v>Bukooli North</v>
          </cell>
          <cell r="D486" t="str">
            <v>Iwemba</v>
          </cell>
          <cell r="E486"/>
          <cell r="F486"/>
        </row>
        <row r="487">
          <cell r="C487" t="str">
            <v>West Budama</v>
          </cell>
          <cell r="D487" t="str">
            <v>Iyolwa</v>
          </cell>
          <cell r="E487"/>
          <cell r="F487"/>
        </row>
        <row r="488">
          <cell r="C488" t="str">
            <v>Bunya</v>
          </cell>
          <cell r="D488" t="str">
            <v>Jaguzi</v>
          </cell>
          <cell r="E488"/>
          <cell r="F488"/>
        </row>
        <row r="489">
          <cell r="C489" t="str">
            <v>Okoro</v>
          </cell>
          <cell r="D489" t="str">
            <v>Jangokoro</v>
          </cell>
          <cell r="E489"/>
          <cell r="F489"/>
        </row>
        <row r="490">
          <cell r="C490" t="str">
            <v>Dodoth</v>
          </cell>
          <cell r="D490" t="str">
            <v>Kaabong East</v>
          </cell>
          <cell r="E490"/>
          <cell r="F490"/>
        </row>
        <row r="491">
          <cell r="C491" t="str">
            <v>Dodoth</v>
          </cell>
          <cell r="D491" t="str">
            <v>Kaabong Town Council</v>
          </cell>
          <cell r="E491"/>
          <cell r="F491"/>
        </row>
        <row r="492">
          <cell r="C492" t="str">
            <v>Dodoth</v>
          </cell>
          <cell r="D492" t="str">
            <v>Kaabong West</v>
          </cell>
          <cell r="E492"/>
          <cell r="F492"/>
        </row>
        <row r="493">
          <cell r="C493" t="str">
            <v>Bubulo</v>
          </cell>
          <cell r="D493" t="str">
            <v>Kaato</v>
          </cell>
          <cell r="E493"/>
          <cell r="F493"/>
        </row>
        <row r="494">
          <cell r="C494" t="str">
            <v>Buyaga</v>
          </cell>
          <cell r="D494" t="str">
            <v>Kabamba</v>
          </cell>
          <cell r="E494"/>
          <cell r="F494"/>
        </row>
        <row r="495">
          <cell r="C495" t="str">
            <v>Kibale</v>
          </cell>
          <cell r="D495" t="str">
            <v>Kabambiro</v>
          </cell>
          <cell r="E495"/>
          <cell r="F495"/>
        </row>
        <row r="496">
          <cell r="C496" t="str">
            <v>Buyanja</v>
          </cell>
          <cell r="D496" t="str">
            <v>Kabasekende</v>
          </cell>
          <cell r="E496"/>
          <cell r="F496"/>
        </row>
        <row r="497">
          <cell r="C497" t="str">
            <v>Kongasis</v>
          </cell>
          <cell r="D497" t="str">
            <v>Kabei</v>
          </cell>
          <cell r="E497"/>
          <cell r="F497"/>
        </row>
        <row r="498">
          <cell r="C498" t="str">
            <v>Kaberamaido</v>
          </cell>
          <cell r="D498" t="str">
            <v>Kaberamaido</v>
          </cell>
          <cell r="E498"/>
          <cell r="F498"/>
        </row>
        <row r="499">
          <cell r="C499" t="str">
            <v>Kaberamaido</v>
          </cell>
          <cell r="D499" t="str">
            <v>Kaberamaido Town Council</v>
          </cell>
          <cell r="E499"/>
          <cell r="F499"/>
        </row>
        <row r="500">
          <cell r="C500" t="str">
            <v>Isingiro</v>
          </cell>
          <cell r="D500" t="str">
            <v>Kaberebere Town Council</v>
          </cell>
          <cell r="E500"/>
          <cell r="F500"/>
        </row>
        <row r="501">
          <cell r="C501" t="str">
            <v>Tingey</v>
          </cell>
          <cell r="D501" t="str">
            <v>Kabeywa</v>
          </cell>
          <cell r="E501"/>
          <cell r="F501"/>
        </row>
        <row r="502">
          <cell r="C502" t="str">
            <v>Isingiro</v>
          </cell>
          <cell r="D502" t="str">
            <v>Kabingo</v>
          </cell>
          <cell r="E502"/>
          <cell r="F502"/>
        </row>
        <row r="503">
          <cell r="C503" t="str">
            <v>Kyotera</v>
          </cell>
          <cell r="D503" t="str">
            <v>Kabira</v>
          </cell>
          <cell r="E503"/>
          <cell r="F503"/>
        </row>
        <row r="504">
          <cell r="C504" t="str">
            <v>Ruhinda</v>
          </cell>
          <cell r="D504" t="str">
            <v>Kabira</v>
          </cell>
          <cell r="E504"/>
          <cell r="F504"/>
        </row>
        <row r="505">
          <cell r="C505" t="str">
            <v>Bukoto</v>
          </cell>
          <cell r="D505" t="str">
            <v>Kabonera</v>
          </cell>
          <cell r="E505"/>
          <cell r="F505"/>
        </row>
        <row r="506">
          <cell r="C506" t="str">
            <v>Bunyangabu</v>
          </cell>
          <cell r="D506" t="str">
            <v>Kabonero</v>
          </cell>
          <cell r="E506"/>
          <cell r="F506"/>
        </row>
        <row r="507">
          <cell r="C507" t="str">
            <v>Gomba</v>
          </cell>
          <cell r="D507" t="str">
            <v>Kabulasoke</v>
          </cell>
          <cell r="E507"/>
          <cell r="F507"/>
        </row>
        <row r="508">
          <cell r="C508" t="str">
            <v>Isingiro</v>
          </cell>
          <cell r="D508" t="str">
            <v>Kabuyanda</v>
          </cell>
          <cell r="E508"/>
          <cell r="F508"/>
        </row>
        <row r="509">
          <cell r="C509" t="str">
            <v>Isingiro</v>
          </cell>
          <cell r="D509" t="str">
            <v>Kabuyanda Town Council</v>
          </cell>
          <cell r="E509"/>
          <cell r="F509"/>
        </row>
        <row r="510">
          <cell r="C510" t="str">
            <v>Butebo Town Council</v>
          </cell>
          <cell r="D510" t="str">
            <v>Kabwangasi</v>
          </cell>
          <cell r="E510"/>
          <cell r="F510"/>
        </row>
        <row r="511">
          <cell r="C511" t="str">
            <v>Kibuku</v>
          </cell>
          <cell r="D511" t="str">
            <v>Kabweri</v>
          </cell>
          <cell r="E511"/>
          <cell r="F511"/>
        </row>
        <row r="512">
          <cell r="C512" t="str">
            <v>Kyaka</v>
          </cell>
          <cell r="D512" t="str">
            <v>Kabweza Kyegegwa</v>
          </cell>
          <cell r="E512"/>
          <cell r="F512"/>
        </row>
        <row r="513">
          <cell r="C513" t="str">
            <v>Kisoro Municipality</v>
          </cell>
          <cell r="D513" t="str">
            <v>Southern</v>
          </cell>
          <cell r="E513"/>
          <cell r="F513"/>
        </row>
        <row r="514">
          <cell r="C514" t="str">
            <v>Buhaguzi</v>
          </cell>
          <cell r="D514" t="str">
            <v>Kabwoya</v>
          </cell>
          <cell r="E514"/>
        </row>
        <row r="515">
          <cell r="C515" t="str">
            <v>Kooki</v>
          </cell>
          <cell r="D515" t="str">
            <v>Kacheera</v>
          </cell>
          <cell r="E515"/>
        </row>
        <row r="516">
          <cell r="C516" t="str">
            <v>Jie</v>
          </cell>
          <cell r="D516" t="str">
            <v>Kacheri</v>
          </cell>
          <cell r="E516"/>
        </row>
        <row r="517">
          <cell r="C517" t="str">
            <v>Budaka</v>
          </cell>
          <cell r="D517" t="str">
            <v>Kachomo</v>
          </cell>
          <cell r="E517"/>
        </row>
        <row r="518">
          <cell r="C518" t="str">
            <v>Bunyole</v>
          </cell>
          <cell r="D518" t="str">
            <v>Kachonga</v>
          </cell>
          <cell r="E518"/>
        </row>
        <row r="519">
          <cell r="C519" t="str">
            <v>Bukedea</v>
          </cell>
          <cell r="D519" t="str">
            <v>Kachumbala</v>
          </cell>
          <cell r="E519"/>
        </row>
        <row r="520">
          <cell r="C520" t="str">
            <v>Kibuku</v>
          </cell>
          <cell r="D520" t="str">
            <v>Kadama</v>
          </cell>
          <cell r="E520"/>
        </row>
        <row r="521">
          <cell r="C521" t="str">
            <v>Budaka</v>
          </cell>
          <cell r="D521" t="str">
            <v>Kaderuna</v>
          </cell>
          <cell r="E521"/>
        </row>
        <row r="522">
          <cell r="C522" t="str">
            <v>Kasilo</v>
          </cell>
          <cell r="D522" t="str">
            <v>Kadungulu</v>
          </cell>
          <cell r="E522"/>
        </row>
        <row r="523">
          <cell r="C523" t="str">
            <v>Buyaga</v>
          </cell>
          <cell r="D523" t="str">
            <v>Kagadi</v>
          </cell>
          <cell r="E523"/>
        </row>
        <row r="524">
          <cell r="C524" t="str">
            <v>Buyaga</v>
          </cell>
          <cell r="D524" t="str">
            <v>Kagadi Town Council</v>
          </cell>
          <cell r="E524"/>
        </row>
        <row r="525">
          <cell r="C525" t="str">
            <v>Kooki</v>
          </cell>
          <cell r="D525" t="str">
            <v>Kagamba</v>
          </cell>
          <cell r="E525"/>
        </row>
        <row r="526">
          <cell r="C526" t="str">
            <v>Kitgum Municipality</v>
          </cell>
          <cell r="D526" t="str">
            <v>Central Division</v>
          </cell>
          <cell r="E526"/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/>
          <cell r="F527"/>
        </row>
        <row r="528">
          <cell r="C528" t="str">
            <v>Kajara</v>
          </cell>
          <cell r="D528" t="str">
            <v>Kagarama Town Council</v>
          </cell>
          <cell r="E528"/>
          <cell r="F528"/>
        </row>
        <row r="529">
          <cell r="C529" t="str">
            <v>Kashari</v>
          </cell>
          <cell r="D529" t="str">
            <v>Kagongi</v>
          </cell>
          <cell r="E529"/>
          <cell r="F529"/>
        </row>
        <row r="530">
          <cell r="C530" t="str">
            <v>Bughendera</v>
          </cell>
          <cell r="D530" t="str">
            <v>Kagugu</v>
          </cell>
          <cell r="E530"/>
          <cell r="F530"/>
        </row>
        <row r="531">
          <cell r="C531" t="str">
            <v>Budiope</v>
          </cell>
          <cell r="D531" t="str">
            <v>Kagulu</v>
          </cell>
          <cell r="E531"/>
          <cell r="F531"/>
        </row>
        <row r="532">
          <cell r="C532" t="str">
            <v>Kibuku</v>
          </cell>
          <cell r="D532" t="str">
            <v>Kagumu</v>
          </cell>
          <cell r="E532"/>
          <cell r="F532"/>
        </row>
        <row r="533">
          <cell r="C533" t="str">
            <v>Ndorwa</v>
          </cell>
          <cell r="D533" t="str">
            <v>Kaharo</v>
          </cell>
          <cell r="E533"/>
          <cell r="F533"/>
        </row>
        <row r="534">
          <cell r="C534" t="str">
            <v>Kitgum Municipality</v>
          </cell>
          <cell r="D534" t="str">
            <v>Pandwong Division</v>
          </cell>
          <cell r="E534"/>
          <cell r="F534"/>
        </row>
        <row r="535">
          <cell r="C535" t="str">
            <v>Kibale</v>
          </cell>
          <cell r="D535" t="str">
            <v>Kahunge</v>
          </cell>
          <cell r="E535"/>
        </row>
        <row r="536">
          <cell r="C536" t="str">
            <v>Busiro</v>
          </cell>
          <cell r="D536" t="str">
            <v>Kajjansi Town Council</v>
          </cell>
          <cell r="E536"/>
        </row>
        <row r="537">
          <cell r="C537" t="str">
            <v>Kyaka</v>
          </cell>
          <cell r="D537" t="str">
            <v>Kakabara</v>
          </cell>
          <cell r="E537"/>
        </row>
        <row r="538">
          <cell r="C538" t="str">
            <v>Bukanga</v>
          </cell>
          <cell r="D538" t="str">
            <v>Kakamba</v>
          </cell>
          <cell r="E538"/>
        </row>
        <row r="539">
          <cell r="C539" t="str">
            <v>Bukanga</v>
          </cell>
          <cell r="D539" t="str">
            <v>Kakamba</v>
          </cell>
          <cell r="E539"/>
        </row>
        <row r="540">
          <cell r="C540" t="str">
            <v>Igara</v>
          </cell>
          <cell r="D540" t="str">
            <v>Kakanju</v>
          </cell>
          <cell r="E540"/>
        </row>
        <row r="541">
          <cell r="C541" t="str">
            <v>Koboko Municipality</v>
          </cell>
          <cell r="D541" t="str">
            <v>Northern Divison</v>
          </cell>
          <cell r="E541"/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/>
          <cell r="F542"/>
        </row>
        <row r="543">
          <cell r="C543" t="str">
            <v>Sheema</v>
          </cell>
          <cell r="D543" t="str">
            <v>Kakindo Town Council</v>
          </cell>
          <cell r="E543"/>
          <cell r="F543"/>
        </row>
        <row r="544">
          <cell r="C544" t="str">
            <v>Busujju</v>
          </cell>
          <cell r="D544" t="str">
            <v>Kakindu</v>
          </cell>
          <cell r="E544"/>
          <cell r="F544"/>
        </row>
        <row r="545">
          <cell r="C545" t="str">
            <v>Butembe</v>
          </cell>
          <cell r="D545" t="str">
            <v>Kakira Town Council</v>
          </cell>
          <cell r="E545"/>
          <cell r="F545"/>
        </row>
        <row r="546">
          <cell r="C546" t="str">
            <v>Busiro</v>
          </cell>
          <cell r="D546" t="str">
            <v>Kakiri</v>
          </cell>
          <cell r="E546"/>
          <cell r="F546"/>
        </row>
        <row r="547">
          <cell r="C547" t="str">
            <v>Busiro</v>
          </cell>
          <cell r="D547" t="str">
            <v>Kakiri Town Council</v>
          </cell>
          <cell r="E547"/>
          <cell r="F547"/>
        </row>
        <row r="548">
          <cell r="C548" t="str">
            <v>Koboko Municipality</v>
          </cell>
          <cell r="D548" t="str">
            <v>Southern Division</v>
          </cell>
          <cell r="E548"/>
          <cell r="F548"/>
        </row>
        <row r="549">
          <cell r="C549" t="str">
            <v>Chekwii</v>
          </cell>
          <cell r="D549" t="str">
            <v>Kakomongole</v>
          </cell>
          <cell r="E549"/>
          <cell r="F549"/>
        </row>
        <row r="550">
          <cell r="C550" t="str">
            <v>Buruli</v>
          </cell>
          <cell r="D550" t="str">
            <v>Kakooge</v>
          </cell>
          <cell r="E550"/>
          <cell r="F550"/>
        </row>
        <row r="551">
          <cell r="C551" t="str">
            <v>Buruli</v>
          </cell>
          <cell r="D551" t="str">
            <v>Kakooge Town Council</v>
          </cell>
          <cell r="E551"/>
          <cell r="F551"/>
        </row>
        <row r="552">
          <cell r="C552" t="str">
            <v>Butebo Town Council</v>
          </cell>
          <cell r="D552" t="str">
            <v>Kakoro</v>
          </cell>
          <cell r="E552"/>
          <cell r="F552"/>
        </row>
        <row r="553">
          <cell r="C553" t="str">
            <v>Budaka</v>
          </cell>
          <cell r="D553" t="str">
            <v>Kakule</v>
          </cell>
          <cell r="E553"/>
          <cell r="F553"/>
        </row>
        <row r="554">
          <cell r="C554" t="str">
            <v>Bugangaizi</v>
          </cell>
          <cell r="D554" t="str">
            <v>Kakumiro Town Council</v>
          </cell>
          <cell r="E554"/>
          <cell r="F554"/>
        </row>
        <row r="555">
          <cell r="C555" t="str">
            <v>Kalaki</v>
          </cell>
          <cell r="D555" t="str">
            <v>Kakure</v>
          </cell>
          <cell r="E555"/>
          <cell r="F555"/>
        </row>
        <row r="556">
          <cell r="C556" t="str">
            <v>Kakuuto</v>
          </cell>
          <cell r="D556" t="str">
            <v>Kakuuto</v>
          </cell>
          <cell r="E556"/>
          <cell r="F556"/>
        </row>
        <row r="557">
          <cell r="C557" t="str">
            <v>Bamunanika</v>
          </cell>
          <cell r="D557" t="str">
            <v>Kalagala</v>
          </cell>
          <cell r="E557"/>
          <cell r="F557"/>
        </row>
        <row r="558">
          <cell r="C558" t="str">
            <v>Kalaki</v>
          </cell>
          <cell r="D558" t="str">
            <v>Kalaki</v>
          </cell>
          <cell r="E558"/>
          <cell r="F558"/>
        </row>
        <row r="559">
          <cell r="C559" t="str">
            <v>Butambala</v>
          </cell>
          <cell r="D559" t="str">
            <v>Kalamba</v>
          </cell>
          <cell r="E559"/>
          <cell r="F559"/>
        </row>
        <row r="560">
          <cell r="C560" t="str">
            <v>Mityana</v>
          </cell>
          <cell r="D560" t="str">
            <v>Kalangaalo</v>
          </cell>
          <cell r="E560"/>
          <cell r="F560"/>
        </row>
        <row r="561">
          <cell r="C561" t="str">
            <v>Bujumba</v>
          </cell>
          <cell r="D561" t="str">
            <v>Kalangala Town Council</v>
          </cell>
          <cell r="E561"/>
          <cell r="F561"/>
        </row>
        <row r="562">
          <cell r="C562" t="str">
            <v>Dodoth</v>
          </cell>
          <cell r="D562" t="str">
            <v>Kalapata</v>
          </cell>
          <cell r="E562"/>
          <cell r="F562"/>
        </row>
        <row r="563">
          <cell r="C563" t="str">
            <v>Kabula</v>
          </cell>
          <cell r="D563" t="str">
            <v>Kaliiro</v>
          </cell>
          <cell r="E563"/>
          <cell r="F563"/>
        </row>
        <row r="564">
          <cell r="C564" t="str">
            <v>Bulamogi</v>
          </cell>
          <cell r="D564" t="str">
            <v>Kaliro Town Council</v>
          </cell>
          <cell r="E564"/>
          <cell r="F564"/>
        </row>
        <row r="565">
          <cell r="C565" t="str">
            <v>Kyotera</v>
          </cell>
          <cell r="D565" t="str">
            <v>Kalisizo</v>
          </cell>
          <cell r="E565"/>
          <cell r="F565"/>
        </row>
        <row r="566">
          <cell r="C566" t="str">
            <v>Kyotera</v>
          </cell>
          <cell r="D566" t="str">
            <v>Kalisizo Town Council</v>
          </cell>
          <cell r="E566"/>
          <cell r="F566"/>
        </row>
        <row r="567">
          <cell r="C567" t="str">
            <v>Buruli</v>
          </cell>
          <cell r="D567" t="str">
            <v>Kalongo</v>
          </cell>
          <cell r="E567"/>
          <cell r="F567"/>
        </row>
        <row r="568">
          <cell r="C568" t="str">
            <v>Agago</v>
          </cell>
          <cell r="D568" t="str">
            <v>Kalongo Town Council</v>
          </cell>
          <cell r="E568"/>
          <cell r="F568"/>
        </row>
        <row r="569">
          <cell r="C569" t="str">
            <v>Buruli</v>
          </cell>
          <cell r="D569" t="str">
            <v>Kalungi</v>
          </cell>
          <cell r="E569"/>
          <cell r="F569"/>
        </row>
        <row r="570">
          <cell r="C570" t="str">
            <v>Kalungu</v>
          </cell>
          <cell r="D570" t="str">
            <v>Kalungu</v>
          </cell>
          <cell r="E570"/>
          <cell r="F570"/>
        </row>
        <row r="571">
          <cell r="C571" t="str">
            <v>Kalungu</v>
          </cell>
          <cell r="D571" t="str">
            <v>Kalungu Town Council</v>
          </cell>
          <cell r="E571"/>
          <cell r="F571"/>
        </row>
        <row r="572">
          <cell r="C572" t="str">
            <v>Kassanda</v>
          </cell>
          <cell r="D572" t="str">
            <v>Kalwana</v>
          </cell>
          <cell r="E572"/>
          <cell r="F572"/>
        </row>
        <row r="573">
          <cell r="C573" t="str">
            <v>Kinkiizi</v>
          </cell>
          <cell r="D573" t="str">
            <v>Kambuga</v>
          </cell>
          <cell r="E573"/>
          <cell r="F573"/>
        </row>
        <row r="574">
          <cell r="C574" t="str">
            <v>Kinkiizi</v>
          </cell>
          <cell r="D574" t="str">
            <v>Kambuga Town Council</v>
          </cell>
          <cell r="E574"/>
          <cell r="F574"/>
        </row>
        <row r="575">
          <cell r="C575" t="str">
            <v>Oyam</v>
          </cell>
          <cell r="D575" t="str">
            <v>Kamdini</v>
          </cell>
          <cell r="E575"/>
          <cell r="F575"/>
        </row>
        <row r="576">
          <cell r="C576" t="str">
            <v>Agule</v>
          </cell>
          <cell r="D576" t="str">
            <v>Kameke</v>
          </cell>
          <cell r="E576"/>
          <cell r="F576"/>
        </row>
        <row r="577">
          <cell r="C577" t="str">
            <v>Iki-Iki</v>
          </cell>
          <cell r="D577" t="str">
            <v>Kameruka</v>
          </cell>
          <cell r="E577"/>
          <cell r="F577"/>
        </row>
        <row r="578">
          <cell r="C578" t="str">
            <v>Kongasis</v>
          </cell>
          <cell r="D578" t="str">
            <v>Kamet</v>
          </cell>
          <cell r="E578"/>
          <cell r="F578"/>
        </row>
        <row r="579">
          <cell r="C579" t="str">
            <v>Dodoth</v>
          </cell>
          <cell r="D579" t="str">
            <v>Kamion</v>
          </cell>
          <cell r="E579"/>
          <cell r="F579"/>
        </row>
        <row r="580">
          <cell r="C580" t="str">
            <v>Bamunanika</v>
          </cell>
          <cell r="D580" t="str">
            <v>Kamira</v>
          </cell>
          <cell r="E580"/>
          <cell r="F580"/>
        </row>
        <row r="581">
          <cell r="C581" t="str">
            <v>Mawokota</v>
          </cell>
          <cell r="D581" t="str">
            <v>Kammengo</v>
          </cell>
          <cell r="E581"/>
          <cell r="F581"/>
        </row>
        <row r="582">
          <cell r="C582" t="str">
            <v>Iki-Iki</v>
          </cell>
          <cell r="D582" t="str">
            <v>Kamonkoli</v>
          </cell>
          <cell r="E582"/>
          <cell r="F582"/>
        </row>
        <row r="583">
          <cell r="C583" t="str">
            <v>Bulambuli</v>
          </cell>
          <cell r="D583" t="str">
            <v>Kamu</v>
          </cell>
          <cell r="E583"/>
          <cell r="F583"/>
        </row>
        <row r="584">
          <cell r="C584" t="str">
            <v>Soroti</v>
          </cell>
          <cell r="D584" t="str">
            <v>Kamuda</v>
          </cell>
          <cell r="E584"/>
          <cell r="F584"/>
        </row>
        <row r="585">
          <cell r="C585" t="str">
            <v>Ndorwa</v>
          </cell>
          <cell r="D585" t="str">
            <v>Kamuganguzi</v>
          </cell>
          <cell r="E585"/>
          <cell r="F585"/>
        </row>
        <row r="586">
          <cell r="C586" t="str">
            <v>Pallisa</v>
          </cell>
          <cell r="D586" t="str">
            <v>Kamuge</v>
          </cell>
          <cell r="E586"/>
          <cell r="F586"/>
        </row>
        <row r="587">
          <cell r="C587" t="str">
            <v>Koboko Municipality</v>
          </cell>
          <cell r="D587" t="str">
            <v>Western Division</v>
          </cell>
          <cell r="E587"/>
          <cell r="F587"/>
        </row>
        <row r="588">
          <cell r="C588" t="str">
            <v>Kibale</v>
          </cell>
          <cell r="D588" t="str">
            <v>Kamwenge</v>
          </cell>
          <cell r="E588"/>
        </row>
        <row r="589">
          <cell r="C589" t="str">
            <v>Kibale</v>
          </cell>
          <cell r="D589" t="str">
            <v>Kamwenge Town Council</v>
          </cell>
          <cell r="E589"/>
        </row>
        <row r="590">
          <cell r="C590" t="str">
            <v>Rukiga</v>
          </cell>
          <cell r="D590" t="str">
            <v>Kamwezi</v>
          </cell>
          <cell r="E590"/>
        </row>
        <row r="591">
          <cell r="C591" t="str">
            <v>Bufumbira</v>
          </cell>
          <cell r="D591" t="str">
            <v>Kanaba</v>
          </cell>
          <cell r="E591"/>
        </row>
        <row r="592">
          <cell r="C592" t="str">
            <v>Kitagwenda</v>
          </cell>
          <cell r="D592" t="str">
            <v>Kanara</v>
          </cell>
          <cell r="E592"/>
        </row>
        <row r="593">
          <cell r="C593" t="str">
            <v>Ntoroko</v>
          </cell>
          <cell r="D593" t="str">
            <v>Kanara</v>
          </cell>
          <cell r="E593"/>
        </row>
        <row r="594">
          <cell r="C594" t="str">
            <v>Ntoroko</v>
          </cell>
          <cell r="D594" t="str">
            <v>Kanara Town Council</v>
          </cell>
          <cell r="E594"/>
        </row>
        <row r="595">
          <cell r="C595" t="str">
            <v>Kotido Municipality</v>
          </cell>
          <cell r="D595" t="str">
            <v>Central Division</v>
          </cell>
          <cell r="E595"/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/>
          <cell r="F596"/>
        </row>
        <row r="597">
          <cell r="C597" t="str">
            <v>Butebo Town Council</v>
          </cell>
          <cell r="D597" t="str">
            <v>Kanginima</v>
          </cell>
          <cell r="E597"/>
          <cell r="F597"/>
        </row>
        <row r="598">
          <cell r="C598" t="str">
            <v>Okoro</v>
          </cell>
          <cell r="D598" t="str">
            <v>Kango</v>
          </cell>
          <cell r="E598"/>
          <cell r="F598"/>
        </row>
        <row r="599">
          <cell r="C599" t="str">
            <v>Ntenjeru</v>
          </cell>
          <cell r="D599" t="str">
            <v>Kangulumira</v>
          </cell>
          <cell r="E599"/>
          <cell r="F599"/>
        </row>
        <row r="600">
          <cell r="C600" t="str">
            <v>Kazo</v>
          </cell>
          <cell r="D600" t="str">
            <v>Kanoni</v>
          </cell>
          <cell r="E600"/>
          <cell r="F600"/>
        </row>
        <row r="601">
          <cell r="C601" t="str">
            <v>Gomba</v>
          </cell>
          <cell r="D601" t="str">
            <v>Kanoni Town Council</v>
          </cell>
          <cell r="E601"/>
          <cell r="F601"/>
        </row>
        <row r="602">
          <cell r="C602" t="str">
            <v>Kinkiizi</v>
          </cell>
          <cell r="D602" t="str">
            <v>Kanungu Town Council</v>
          </cell>
          <cell r="E602"/>
          <cell r="F602"/>
        </row>
        <row r="603">
          <cell r="C603" t="str">
            <v>Ruhinda</v>
          </cell>
          <cell r="D603" t="str">
            <v>Kanyabwanga</v>
          </cell>
          <cell r="E603"/>
          <cell r="F603"/>
        </row>
        <row r="604">
          <cell r="C604" t="str">
            <v>Kinkiizi</v>
          </cell>
          <cell r="D604" t="str">
            <v>Kanyantorogo</v>
          </cell>
          <cell r="E604"/>
          <cell r="F604"/>
        </row>
        <row r="605">
          <cell r="C605" t="str">
            <v>Nyabushozi</v>
          </cell>
          <cell r="D605" t="str">
            <v>Kanyaryeru</v>
          </cell>
          <cell r="E605"/>
          <cell r="F605"/>
        </row>
        <row r="606">
          <cell r="C606" t="str">
            <v>Kumi</v>
          </cell>
          <cell r="D606" t="str">
            <v>Kanyum</v>
          </cell>
          <cell r="E606"/>
          <cell r="F606"/>
        </row>
        <row r="607">
          <cell r="C607" t="str">
            <v>Kotido Municipality</v>
          </cell>
          <cell r="D607" t="str">
            <v>Kanawat Division</v>
          </cell>
          <cell r="E607"/>
          <cell r="F607"/>
        </row>
        <row r="608">
          <cell r="C608" t="str">
            <v>Dodoth</v>
          </cell>
          <cell r="D608" t="str">
            <v>Kapedo</v>
          </cell>
          <cell r="E608"/>
          <cell r="F608"/>
        </row>
        <row r="609">
          <cell r="C609" t="str">
            <v>Nakaseke</v>
          </cell>
          <cell r="D609" t="str">
            <v>Kapeeka</v>
          </cell>
          <cell r="E609"/>
          <cell r="F609"/>
        </row>
        <row r="610">
          <cell r="C610" t="str">
            <v>Kiboga</v>
          </cell>
          <cell r="D610" t="str">
            <v>Kapeke</v>
          </cell>
          <cell r="E610"/>
          <cell r="F610"/>
        </row>
        <row r="611">
          <cell r="C611" t="str">
            <v>Kapelebyong</v>
          </cell>
          <cell r="D611" t="str">
            <v>Kapelebyong</v>
          </cell>
          <cell r="E611"/>
          <cell r="F611"/>
        </row>
        <row r="612">
          <cell r="C612" t="str">
            <v>Ngora</v>
          </cell>
          <cell r="D612" t="str">
            <v>Kapir</v>
          </cell>
          <cell r="E612"/>
          <cell r="F612"/>
        </row>
        <row r="613">
          <cell r="C613" t="str">
            <v>Kween</v>
          </cell>
          <cell r="D613" t="str">
            <v>Kaproron</v>
          </cell>
          <cell r="E613"/>
          <cell r="F613"/>
        </row>
        <row r="614">
          <cell r="C614" t="str">
            <v>Tingey</v>
          </cell>
          <cell r="D614" t="str">
            <v>Kapsinda</v>
          </cell>
          <cell r="E614"/>
          <cell r="F614"/>
        </row>
        <row r="615">
          <cell r="C615" t="str">
            <v>Tingey</v>
          </cell>
          <cell r="D615" t="str">
            <v>Kaptanya</v>
          </cell>
          <cell r="E615"/>
          <cell r="F615"/>
        </row>
        <row r="616">
          <cell r="C616" t="str">
            <v>Kongasis</v>
          </cell>
          <cell r="D616" t="str">
            <v>Kaptererwo</v>
          </cell>
          <cell r="E616"/>
          <cell r="F616"/>
        </row>
        <row r="617">
          <cell r="C617" t="str">
            <v>Kween</v>
          </cell>
          <cell r="D617" t="str">
            <v>Kaptoyoy</v>
          </cell>
          <cell r="E617"/>
          <cell r="F617"/>
        </row>
        <row r="618">
          <cell r="C618" t="str">
            <v>Kween</v>
          </cell>
          <cell r="D618" t="str">
            <v>Kaptum</v>
          </cell>
          <cell r="E618"/>
          <cell r="F618"/>
        </row>
        <row r="619">
          <cell r="C619" t="str">
            <v>Toroma</v>
          </cell>
          <cell r="D619" t="str">
            <v>Kapujan</v>
          </cell>
          <cell r="E619"/>
          <cell r="F619"/>
        </row>
        <row r="620">
          <cell r="C620" t="str">
            <v>Bukooli North</v>
          </cell>
          <cell r="D620" t="str">
            <v>Kapyanga</v>
          </cell>
          <cell r="E620"/>
          <cell r="F620"/>
        </row>
        <row r="621">
          <cell r="C621" t="str">
            <v>Burahya</v>
          </cell>
          <cell r="D621" t="str">
            <v>Karago Town Council</v>
          </cell>
          <cell r="E621"/>
          <cell r="F621"/>
        </row>
        <row r="622">
          <cell r="C622" t="str">
            <v>Burahya</v>
          </cell>
          <cell r="D622" t="str">
            <v>Karambi</v>
          </cell>
          <cell r="E622"/>
          <cell r="F622"/>
        </row>
        <row r="623">
          <cell r="C623" t="str">
            <v>Bukonzo</v>
          </cell>
          <cell r="D623" t="str">
            <v>Karambi</v>
          </cell>
          <cell r="E623"/>
          <cell r="F623"/>
        </row>
        <row r="624">
          <cell r="C624" t="str">
            <v>Burahya</v>
          </cell>
          <cell r="D624" t="str">
            <v>Karangura</v>
          </cell>
          <cell r="E624"/>
          <cell r="F624"/>
        </row>
        <row r="625">
          <cell r="C625" t="str">
            <v>Pokot</v>
          </cell>
          <cell r="D625" t="str">
            <v>Karita</v>
          </cell>
          <cell r="E625"/>
          <cell r="F625"/>
        </row>
        <row r="626">
          <cell r="C626" t="str">
            <v>Ntoroko</v>
          </cell>
          <cell r="D626" t="str">
            <v>Karugutu</v>
          </cell>
          <cell r="E626"/>
          <cell r="F626"/>
        </row>
        <row r="627">
          <cell r="C627" t="str">
            <v>Ntoroko</v>
          </cell>
          <cell r="D627" t="str">
            <v>Karugutu Town Council</v>
          </cell>
          <cell r="E627"/>
          <cell r="F627"/>
        </row>
        <row r="628">
          <cell r="C628" t="str">
            <v>Kotido Municipality</v>
          </cell>
          <cell r="D628" t="str">
            <v>Kapadakook Division</v>
          </cell>
          <cell r="E628"/>
          <cell r="F628"/>
        </row>
        <row r="629">
          <cell r="C629" t="str">
            <v>Buhweju</v>
          </cell>
          <cell r="D629" t="str">
            <v>Karungu</v>
          </cell>
          <cell r="E629"/>
          <cell r="F629"/>
        </row>
        <row r="630">
          <cell r="C630" t="str">
            <v>Busongora</v>
          </cell>
          <cell r="D630" t="str">
            <v>Karusandara</v>
          </cell>
          <cell r="E630"/>
          <cell r="F630"/>
        </row>
        <row r="631">
          <cell r="C631" t="str">
            <v>Sheema</v>
          </cell>
          <cell r="D631" t="str">
            <v>Kasaana</v>
          </cell>
          <cell r="E631"/>
          <cell r="F631"/>
        </row>
        <row r="632">
          <cell r="C632" t="str">
            <v>Kabula</v>
          </cell>
          <cell r="D632" t="str">
            <v>Kasagama</v>
          </cell>
          <cell r="E632"/>
          <cell r="F632"/>
        </row>
        <row r="633">
          <cell r="C633" t="str">
            <v>Kasambya</v>
          </cell>
          <cell r="D633" t="str">
            <v>Kasambya</v>
          </cell>
          <cell r="E633"/>
          <cell r="F633"/>
        </row>
        <row r="634">
          <cell r="C634" t="str">
            <v>Bugangaizi</v>
          </cell>
          <cell r="D634" t="str">
            <v>Kasambya</v>
          </cell>
          <cell r="E634"/>
          <cell r="F634"/>
        </row>
        <row r="635">
          <cell r="C635" t="str">
            <v>Kyadondo</v>
          </cell>
          <cell r="D635" t="str">
            <v>Kasangati Town Council</v>
          </cell>
          <cell r="E635"/>
          <cell r="F635"/>
        </row>
        <row r="636">
          <cell r="C636" t="str">
            <v>Nakaseke</v>
          </cell>
          <cell r="D636" t="str">
            <v>Kasangombe</v>
          </cell>
          <cell r="E636"/>
          <cell r="F636"/>
        </row>
        <row r="637">
          <cell r="C637" t="str">
            <v>Busiro</v>
          </cell>
          <cell r="D637" t="str">
            <v>Kasanje</v>
          </cell>
          <cell r="E637"/>
          <cell r="F637"/>
        </row>
        <row r="638">
          <cell r="C638" t="str">
            <v>Kooki</v>
          </cell>
          <cell r="D638" t="str">
            <v>Kasasa</v>
          </cell>
          <cell r="E638"/>
          <cell r="F638"/>
        </row>
        <row r="639">
          <cell r="C639" t="str">
            <v>Kibuku</v>
          </cell>
          <cell r="D639" t="str">
            <v>Kasasira</v>
          </cell>
          <cell r="E639"/>
          <cell r="F639"/>
        </row>
        <row r="640">
          <cell r="C640" t="str">
            <v>Nakifuma</v>
          </cell>
          <cell r="D640" t="str">
            <v>Kasawo</v>
          </cell>
          <cell r="E640"/>
          <cell r="F640"/>
        </row>
        <row r="641">
          <cell r="C641" t="str">
            <v>Burahya</v>
          </cell>
          <cell r="D641" t="str">
            <v>Kasenda</v>
          </cell>
          <cell r="E641"/>
          <cell r="F641"/>
        </row>
        <row r="642">
          <cell r="C642" t="str">
            <v>Tingey</v>
          </cell>
          <cell r="D642" t="str">
            <v>Kaserem</v>
          </cell>
          <cell r="E642"/>
          <cell r="F642"/>
        </row>
        <row r="643">
          <cell r="C643" t="str">
            <v>Rukiga</v>
          </cell>
          <cell r="D643" t="str">
            <v>Kashambya</v>
          </cell>
          <cell r="E643"/>
          <cell r="F643"/>
        </row>
        <row r="644">
          <cell r="C644" t="str">
            <v>Kashari</v>
          </cell>
          <cell r="D644" t="str">
            <v>Kashare</v>
          </cell>
          <cell r="E644"/>
          <cell r="F644"/>
        </row>
        <row r="645">
          <cell r="C645" t="str">
            <v>Ruhinda</v>
          </cell>
          <cell r="D645" t="str">
            <v>Kashenshero</v>
          </cell>
          <cell r="E645"/>
          <cell r="F645"/>
        </row>
        <row r="646">
          <cell r="C646" t="str">
            <v>Ruhinda</v>
          </cell>
          <cell r="D646" t="str">
            <v>Kashenshero Town Council</v>
          </cell>
          <cell r="E646"/>
          <cell r="F646"/>
        </row>
        <row r="647">
          <cell r="C647" t="str">
            <v>Nyabushozi</v>
          </cell>
          <cell r="D647" t="str">
            <v>Kashongi</v>
          </cell>
          <cell r="E647"/>
          <cell r="F647"/>
        </row>
        <row r="648">
          <cell r="C648" t="str">
            <v>Kotido Municipality</v>
          </cell>
          <cell r="D648" t="str">
            <v>Losilang Division</v>
          </cell>
          <cell r="E648"/>
          <cell r="F648"/>
        </row>
        <row r="649">
          <cell r="C649" t="str">
            <v>Kasilo</v>
          </cell>
          <cell r="D649" t="str">
            <v>Kasilo Town Council</v>
          </cell>
          <cell r="E649"/>
        </row>
        <row r="650">
          <cell r="C650" t="str">
            <v>Buyanja</v>
          </cell>
          <cell r="D650" t="str">
            <v>Kasimbi</v>
          </cell>
          <cell r="E650"/>
        </row>
        <row r="651">
          <cell r="C651" t="str">
            <v>Bughendera</v>
          </cell>
          <cell r="D651" t="str">
            <v>Kasitu</v>
          </cell>
          <cell r="E651"/>
        </row>
        <row r="652">
          <cell r="C652" t="str">
            <v>Pallisa</v>
          </cell>
          <cell r="D652" t="str">
            <v>Kasodo</v>
          </cell>
          <cell r="E652"/>
        </row>
        <row r="653">
          <cell r="C653" t="str">
            <v>Bulamogi</v>
          </cell>
          <cell r="D653" t="str">
            <v>Kasokwe</v>
          </cell>
          <cell r="E653"/>
        </row>
        <row r="654">
          <cell r="C654" t="str">
            <v>Kassanda</v>
          </cell>
          <cell r="D654" t="str">
            <v>Kassanda</v>
          </cell>
          <cell r="E654"/>
        </row>
        <row r="655">
          <cell r="C655" t="str">
            <v>Kyaka</v>
          </cell>
          <cell r="D655" t="str">
            <v>Kasule</v>
          </cell>
          <cell r="E655"/>
        </row>
        <row r="656">
          <cell r="C656" t="str">
            <v>Busiro</v>
          </cell>
          <cell r="D656" t="str">
            <v>Katabi Town Council</v>
          </cell>
          <cell r="E656"/>
        </row>
        <row r="657">
          <cell r="C657" t="str">
            <v>Usuk</v>
          </cell>
          <cell r="D657" t="str">
            <v>Katakwi</v>
          </cell>
          <cell r="E657"/>
        </row>
        <row r="658">
          <cell r="C658" t="str">
            <v>Usuk</v>
          </cell>
          <cell r="D658" t="str">
            <v>Katakwi Town Council</v>
          </cell>
          <cell r="E658"/>
        </row>
        <row r="659">
          <cell r="C659" t="str">
            <v>Katerera</v>
          </cell>
          <cell r="D659" t="str">
            <v>Katanda</v>
          </cell>
          <cell r="E659"/>
        </row>
        <row r="660">
          <cell r="C660" t="str">
            <v>Bunyangabu</v>
          </cell>
          <cell r="D660" t="str">
            <v>Katebwa</v>
          </cell>
          <cell r="E660"/>
        </row>
        <row r="661">
          <cell r="C661" t="str">
            <v>Ruhinda</v>
          </cell>
          <cell r="D661" t="str">
            <v>Katenga</v>
          </cell>
          <cell r="E661"/>
        </row>
        <row r="662">
          <cell r="C662" t="str">
            <v>Katerera</v>
          </cell>
          <cell r="D662" t="str">
            <v>Katerera</v>
          </cell>
          <cell r="E662"/>
        </row>
        <row r="663">
          <cell r="C663" t="str">
            <v>Katerera</v>
          </cell>
          <cell r="D663" t="str">
            <v>Katerera Town Council</v>
          </cell>
          <cell r="E663"/>
        </row>
        <row r="664">
          <cell r="C664" t="str">
            <v>Serere</v>
          </cell>
          <cell r="D664" t="str">
            <v>Kateta</v>
          </cell>
          <cell r="E664"/>
        </row>
        <row r="665">
          <cell r="C665" t="str">
            <v>Kinkiizi</v>
          </cell>
          <cell r="D665" t="str">
            <v>Katete</v>
          </cell>
          <cell r="E665"/>
        </row>
        <row r="666">
          <cell r="C666" t="str">
            <v>Dodoth</v>
          </cell>
          <cell r="D666" t="str">
            <v>Kathile</v>
          </cell>
          <cell r="E666"/>
        </row>
        <row r="667">
          <cell r="C667" t="str">
            <v>Iki-Iki</v>
          </cell>
          <cell r="D667" t="str">
            <v>Katiira</v>
          </cell>
          <cell r="E667"/>
        </row>
        <row r="668">
          <cell r="C668" t="str">
            <v>Katikamu</v>
          </cell>
          <cell r="D668" t="str">
            <v>Katikamu</v>
          </cell>
          <cell r="E668"/>
        </row>
        <row r="669">
          <cell r="C669" t="str">
            <v>Matheniko</v>
          </cell>
          <cell r="D669" t="str">
            <v>Katikekile</v>
          </cell>
          <cell r="E669"/>
        </row>
        <row r="670">
          <cell r="C670" t="str">
            <v>Soroti</v>
          </cell>
          <cell r="D670" t="str">
            <v>Katine</v>
          </cell>
          <cell r="E670"/>
        </row>
        <row r="671">
          <cell r="C671" t="str">
            <v>Mwenge</v>
          </cell>
          <cell r="D671" t="str">
            <v>Katooke</v>
          </cell>
          <cell r="E671"/>
        </row>
        <row r="672">
          <cell r="C672" t="str">
            <v>Mwenge</v>
          </cell>
          <cell r="D672" t="str">
            <v>Katooke Town Council</v>
          </cell>
          <cell r="E672"/>
        </row>
        <row r="673">
          <cell r="C673" t="str">
            <v>Terego</v>
          </cell>
          <cell r="D673" t="str">
            <v>Katrini</v>
          </cell>
          <cell r="E673"/>
        </row>
        <row r="674">
          <cell r="C674" t="str">
            <v>Ndorwa</v>
          </cell>
          <cell r="D674" t="str">
            <v>Katuna Town Council</v>
          </cell>
          <cell r="E674"/>
        </row>
        <row r="675">
          <cell r="C675" t="str">
            <v>Bunyaruguru</v>
          </cell>
          <cell r="D675" t="str">
            <v>Katunguru</v>
          </cell>
          <cell r="E675"/>
        </row>
        <row r="676">
          <cell r="C676" t="str">
            <v>Busongora</v>
          </cell>
          <cell r="D676" t="str">
            <v>Katwe Kabatoro Town Council</v>
          </cell>
          <cell r="E676"/>
        </row>
        <row r="677">
          <cell r="C677" t="str">
            <v>Kumi Municipality</v>
          </cell>
          <cell r="D677" t="str">
            <v>Northern Divison</v>
          </cell>
          <cell r="E677"/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/>
          <cell r="F678"/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/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/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/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/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/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/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/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/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/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/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/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/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/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/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/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/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/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/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/>
        </row>
        <row r="698">
          <cell r="C698" t="str">
            <v>Kumi Municipality</v>
          </cell>
          <cell r="D698" t="str">
            <v>Southern Division</v>
          </cell>
          <cell r="E698"/>
          <cell r="F698"/>
        </row>
        <row r="699">
          <cell r="C699" t="str">
            <v>Tingey</v>
          </cell>
          <cell r="D699" t="str">
            <v>Kawowo</v>
          </cell>
          <cell r="E699"/>
        </row>
        <row r="700">
          <cell r="C700" t="str">
            <v>Bbaale</v>
          </cell>
          <cell r="D700" t="str">
            <v>Kayonza</v>
          </cell>
          <cell r="E700"/>
        </row>
        <row r="701">
          <cell r="C701" t="str">
            <v>Rushenyi</v>
          </cell>
          <cell r="D701" t="str">
            <v>Kayonza</v>
          </cell>
          <cell r="E701"/>
        </row>
        <row r="702">
          <cell r="C702" t="str">
            <v>Kinkiizi</v>
          </cell>
          <cell r="D702" t="str">
            <v>Kayonza</v>
          </cell>
          <cell r="E702"/>
        </row>
        <row r="703">
          <cell r="C703" t="str">
            <v>Ntenjeru</v>
          </cell>
          <cell r="D703" t="str">
            <v>Kayunga</v>
          </cell>
          <cell r="E703"/>
        </row>
        <row r="704">
          <cell r="C704" t="str">
            <v>Ntenjeru</v>
          </cell>
          <cell r="D704" t="str">
            <v>Kayunga Town Council</v>
          </cell>
          <cell r="E704"/>
        </row>
        <row r="705">
          <cell r="C705" t="str">
            <v>Kazo</v>
          </cell>
          <cell r="D705" t="str">
            <v>Kazo</v>
          </cell>
          <cell r="E705"/>
        </row>
        <row r="706">
          <cell r="C706" t="str">
            <v>Kazo</v>
          </cell>
          <cell r="D706" t="str">
            <v>Kazo Town Council</v>
          </cell>
          <cell r="E706"/>
        </row>
        <row r="707">
          <cell r="C707" t="str">
            <v>Rubabo</v>
          </cell>
          <cell r="D707" t="str">
            <v>Kebisoni</v>
          </cell>
          <cell r="E707"/>
        </row>
        <row r="708">
          <cell r="C708" t="str">
            <v>Rubabo</v>
          </cell>
          <cell r="D708" t="str">
            <v>Kebisoni Town Council</v>
          </cell>
          <cell r="E708"/>
        </row>
        <row r="709">
          <cell r="C709" t="str">
            <v>Aringa</v>
          </cell>
          <cell r="D709" t="str">
            <v>Kei</v>
          </cell>
          <cell r="E709"/>
        </row>
        <row r="710">
          <cell r="C710" t="str">
            <v>Ibanda</v>
          </cell>
          <cell r="D710" t="str">
            <v>Keihangara</v>
          </cell>
          <cell r="E710"/>
        </row>
        <row r="711">
          <cell r="C711" t="str">
            <v>Nyabushozi</v>
          </cell>
          <cell r="D711" t="str">
            <v>Kenshunga</v>
          </cell>
          <cell r="E711"/>
        </row>
        <row r="712">
          <cell r="C712" t="str">
            <v>Aringa</v>
          </cell>
          <cell r="D712" t="str">
            <v>Kerwa</v>
          </cell>
          <cell r="E712"/>
        </row>
        <row r="713">
          <cell r="C713" t="str">
            <v>Bubulo</v>
          </cell>
          <cell r="D713" t="str">
            <v>Khabutoola</v>
          </cell>
          <cell r="E713"/>
        </row>
        <row r="714">
          <cell r="C714" t="str">
            <v>Busiki</v>
          </cell>
          <cell r="D714" t="str">
            <v>Kibaale</v>
          </cell>
          <cell r="E714"/>
        </row>
        <row r="715">
          <cell r="C715" t="str">
            <v>Buyanja</v>
          </cell>
          <cell r="D715" t="str">
            <v>Kibaale Town Council</v>
          </cell>
          <cell r="E715"/>
        </row>
        <row r="716">
          <cell r="C716" t="str">
            <v>Butebo Town Council</v>
          </cell>
          <cell r="D716" t="str">
            <v>Kibale</v>
          </cell>
          <cell r="E716"/>
        </row>
        <row r="717">
          <cell r="C717" t="str">
            <v>Kasambya</v>
          </cell>
          <cell r="D717" t="str">
            <v>Kibalinga</v>
          </cell>
          <cell r="E717"/>
        </row>
        <row r="718">
          <cell r="C718" t="str">
            <v>Kooki</v>
          </cell>
          <cell r="D718" t="str">
            <v>Kibanda</v>
          </cell>
          <cell r="E718"/>
        </row>
        <row r="719">
          <cell r="C719" t="str">
            <v>Kajara</v>
          </cell>
          <cell r="D719" t="str">
            <v>Kibatsi</v>
          </cell>
          <cell r="E719"/>
        </row>
        <row r="720">
          <cell r="C720" t="str">
            <v>Butambala</v>
          </cell>
          <cell r="D720" t="str">
            <v>Kibibi</v>
          </cell>
          <cell r="E720"/>
        </row>
        <row r="721">
          <cell r="C721" t="str">
            <v>Kiboga</v>
          </cell>
          <cell r="D721" t="str">
            <v>Kibiga</v>
          </cell>
          <cell r="E721"/>
        </row>
        <row r="722">
          <cell r="C722" t="str">
            <v>Bunyangabu</v>
          </cell>
          <cell r="D722" t="str">
            <v>Kibiito</v>
          </cell>
          <cell r="E722"/>
        </row>
        <row r="723">
          <cell r="C723" t="str">
            <v>Bunyangabu</v>
          </cell>
          <cell r="D723" t="str">
            <v>Kibiito Town Council</v>
          </cell>
          <cell r="E723"/>
        </row>
        <row r="724">
          <cell r="C724" t="str">
            <v>Bukomansimbi</v>
          </cell>
          <cell r="D724" t="str">
            <v>Kibinge</v>
          </cell>
          <cell r="E724"/>
        </row>
        <row r="725">
          <cell r="C725" t="str">
            <v>Kiboga</v>
          </cell>
          <cell r="D725" t="str">
            <v>Kiboga Town Council</v>
          </cell>
          <cell r="E725"/>
        </row>
        <row r="726">
          <cell r="C726" t="str">
            <v>Kibuku</v>
          </cell>
          <cell r="D726" t="str">
            <v>Kibuku</v>
          </cell>
          <cell r="E726"/>
        </row>
        <row r="727">
          <cell r="C727" t="str">
            <v>Kibuku</v>
          </cell>
          <cell r="D727" t="str">
            <v>Kibuku Town Council</v>
          </cell>
          <cell r="E727"/>
        </row>
        <row r="728">
          <cell r="C728" t="str">
            <v>Ntoroko</v>
          </cell>
          <cell r="D728" t="str">
            <v>Kibuuku Town Council</v>
          </cell>
          <cell r="E728"/>
        </row>
        <row r="729">
          <cell r="C729" t="str">
            <v>Kitagwenda</v>
          </cell>
          <cell r="D729" t="str">
            <v>Kicheche</v>
          </cell>
          <cell r="E729"/>
        </row>
        <row r="730">
          <cell r="C730" t="str">
            <v>Bunyaruguru</v>
          </cell>
          <cell r="D730" t="str">
            <v>Kichwamba</v>
          </cell>
          <cell r="E730"/>
        </row>
        <row r="731">
          <cell r="C731" t="str">
            <v>Ibanda</v>
          </cell>
          <cell r="D731" t="str">
            <v>Kicuzi</v>
          </cell>
          <cell r="E731"/>
        </row>
        <row r="732">
          <cell r="C732" t="str">
            <v>Burahya</v>
          </cell>
          <cell r="D732" t="str">
            <v>Kicwamba</v>
          </cell>
          <cell r="E732"/>
        </row>
        <row r="733">
          <cell r="C733" t="str">
            <v>Budiope</v>
          </cell>
          <cell r="D733" t="str">
            <v>Kidera</v>
          </cell>
          <cell r="E733"/>
        </row>
        <row r="734">
          <cell r="C734" t="str">
            <v>Bukedea</v>
          </cell>
          <cell r="D734" t="str">
            <v>Kidongole</v>
          </cell>
          <cell r="E734"/>
        </row>
        <row r="735">
          <cell r="C735" t="str">
            <v>Kakuuto</v>
          </cell>
          <cell r="D735" t="str">
            <v>Kifamba</v>
          </cell>
          <cell r="E735"/>
        </row>
        <row r="736">
          <cell r="C736" t="str">
            <v>Kassanda</v>
          </cell>
          <cell r="D736" t="str">
            <v>Kiganda</v>
          </cell>
          <cell r="E736"/>
        </row>
        <row r="737">
          <cell r="C737" t="str">
            <v>Bunya</v>
          </cell>
          <cell r="D737" t="str">
            <v>Kigandalo</v>
          </cell>
          <cell r="E737"/>
        </row>
        <row r="738">
          <cell r="C738" t="str">
            <v>Kasambya</v>
          </cell>
          <cell r="D738" t="str">
            <v>Kigando</v>
          </cell>
          <cell r="E738"/>
        </row>
        <row r="739">
          <cell r="C739" t="str">
            <v>Mwenge</v>
          </cell>
          <cell r="D739" t="str">
            <v>Kigaraale</v>
          </cell>
          <cell r="E739"/>
        </row>
        <row r="740">
          <cell r="C740" t="str">
            <v>Sheema</v>
          </cell>
          <cell r="D740" t="str">
            <v>Kigarama</v>
          </cell>
          <cell r="E740"/>
        </row>
        <row r="741">
          <cell r="C741" t="str">
            <v>Bugahya</v>
          </cell>
          <cell r="D741" t="str">
            <v>Kigorobya</v>
          </cell>
          <cell r="E741"/>
        </row>
        <row r="742">
          <cell r="C742" t="str">
            <v>Bugahya</v>
          </cell>
          <cell r="D742" t="str">
            <v>Kigorobya Town Council</v>
          </cell>
          <cell r="E742"/>
        </row>
        <row r="743">
          <cell r="C743" t="str">
            <v>Lira Municipality</v>
          </cell>
          <cell r="D743" t="str">
            <v>Adyel Division</v>
          </cell>
          <cell r="E743"/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/>
          <cell r="F744"/>
        </row>
        <row r="745">
          <cell r="C745" t="str">
            <v>Kibanda</v>
          </cell>
          <cell r="D745" t="str">
            <v>Kigumba Town Council</v>
          </cell>
          <cell r="E745"/>
          <cell r="F745"/>
        </row>
        <row r="746">
          <cell r="C746" t="str">
            <v>Buliisa</v>
          </cell>
          <cell r="D746" t="str">
            <v>Kigwera</v>
          </cell>
          <cell r="E746"/>
          <cell r="F746"/>
        </row>
        <row r="747">
          <cell r="C747" t="str">
            <v>Kinkiizi</v>
          </cell>
          <cell r="D747" t="str">
            <v>Kihihi</v>
          </cell>
          <cell r="E747"/>
          <cell r="F747"/>
        </row>
        <row r="748">
          <cell r="C748" t="str">
            <v>Kinkiizi</v>
          </cell>
          <cell r="D748" t="str">
            <v>Kihiihi Town Council</v>
          </cell>
          <cell r="E748"/>
          <cell r="F748"/>
        </row>
        <row r="749">
          <cell r="C749" t="str">
            <v>Buliisa</v>
          </cell>
          <cell r="D749" t="str">
            <v>Kihungya</v>
          </cell>
          <cell r="E749"/>
          <cell r="F749"/>
        </row>
        <row r="750">
          <cell r="C750" t="str">
            <v>Mwenge</v>
          </cell>
          <cell r="D750" t="str">
            <v>Kihuura</v>
          </cell>
          <cell r="E750"/>
          <cell r="F750"/>
        </row>
        <row r="751">
          <cell r="C751" t="str">
            <v>Maracha</v>
          </cell>
          <cell r="D751" t="str">
            <v>Kijomoro</v>
          </cell>
          <cell r="E751"/>
          <cell r="F751"/>
        </row>
        <row r="752">
          <cell r="C752" t="str">
            <v>Ibanda</v>
          </cell>
          <cell r="D752" t="str">
            <v>Kijongo</v>
          </cell>
          <cell r="E752"/>
          <cell r="F752"/>
        </row>
        <row r="753">
          <cell r="C753" t="str">
            <v>Burahya</v>
          </cell>
          <cell r="D753" t="str">
            <v>Kijura Town Council</v>
          </cell>
          <cell r="E753"/>
          <cell r="F753"/>
        </row>
        <row r="754">
          <cell r="C754" t="str">
            <v>Nyabushozi</v>
          </cell>
          <cell r="D754" t="str">
            <v>Kikaatsi</v>
          </cell>
          <cell r="E754"/>
          <cell r="F754"/>
        </row>
        <row r="755">
          <cell r="C755" t="str">
            <v>Isingiro</v>
          </cell>
          <cell r="D755" t="str">
            <v>Kikagate</v>
          </cell>
          <cell r="E755"/>
          <cell r="F755"/>
        </row>
        <row r="756">
          <cell r="C756" t="str">
            <v>Nakaseke</v>
          </cell>
          <cell r="D756" t="str">
            <v>Kikamulo</v>
          </cell>
          <cell r="E756"/>
          <cell r="F756"/>
        </row>
        <row r="757">
          <cell r="C757" t="str">
            <v>Mityana</v>
          </cell>
          <cell r="D757" t="str">
            <v>Kikandwa</v>
          </cell>
          <cell r="E757"/>
          <cell r="F757"/>
        </row>
        <row r="758">
          <cell r="C758" t="str">
            <v>Burahya</v>
          </cell>
          <cell r="D758" t="str">
            <v>Kiko Town Council</v>
          </cell>
          <cell r="E758"/>
          <cell r="F758"/>
        </row>
        <row r="759">
          <cell r="C759" t="str">
            <v>Bugangaizi</v>
          </cell>
          <cell r="D759" t="str">
            <v>Kikwaya</v>
          </cell>
          <cell r="E759"/>
          <cell r="F759"/>
        </row>
        <row r="760">
          <cell r="C760" t="str">
            <v>Ibanda</v>
          </cell>
          <cell r="D760" t="str">
            <v>Kikyenkye</v>
          </cell>
          <cell r="E760"/>
          <cell r="F760"/>
        </row>
        <row r="761">
          <cell r="C761" t="str">
            <v>Bamunanika</v>
          </cell>
          <cell r="D761" t="str">
            <v>Kikyusa</v>
          </cell>
          <cell r="E761"/>
          <cell r="F761"/>
        </row>
        <row r="762">
          <cell r="C762" t="str">
            <v>Busongora</v>
          </cell>
          <cell r="D762" t="str">
            <v>Kilembe</v>
          </cell>
          <cell r="E762"/>
          <cell r="F762"/>
        </row>
        <row r="763">
          <cell r="C763" t="str">
            <v>Lira Municipality</v>
          </cell>
          <cell r="D763" t="str">
            <v>Central Division</v>
          </cell>
          <cell r="E763"/>
          <cell r="F763"/>
        </row>
        <row r="764">
          <cell r="C764" t="str">
            <v>Buruli</v>
          </cell>
          <cell r="D764" t="str">
            <v>Kimengo</v>
          </cell>
          <cell r="E764"/>
          <cell r="F764"/>
        </row>
        <row r="765">
          <cell r="C765" t="str">
            <v>Nakifuma</v>
          </cell>
          <cell r="D765" t="str">
            <v>Kimenyedde</v>
          </cell>
          <cell r="E765"/>
          <cell r="F765"/>
        </row>
        <row r="766">
          <cell r="C766" t="str">
            <v>Kinkiizi</v>
          </cell>
          <cell r="D766" t="str">
            <v>Kinaaba</v>
          </cell>
          <cell r="E766"/>
          <cell r="F766"/>
        </row>
        <row r="767">
          <cell r="C767" t="str">
            <v>Nakaseke</v>
          </cell>
          <cell r="D767" t="str">
            <v>Kinoni</v>
          </cell>
          <cell r="E767"/>
          <cell r="F767"/>
        </row>
        <row r="768">
          <cell r="C768" t="str">
            <v>Nyabushozi</v>
          </cell>
          <cell r="D768" t="str">
            <v>Kinoni</v>
          </cell>
          <cell r="E768"/>
          <cell r="F768"/>
        </row>
        <row r="769">
          <cell r="C769" t="str">
            <v>Kabula</v>
          </cell>
          <cell r="D769" t="str">
            <v>Kinuuka</v>
          </cell>
          <cell r="E769"/>
          <cell r="F769"/>
        </row>
        <row r="770">
          <cell r="C770" t="str">
            <v>Nakaseke</v>
          </cell>
          <cell r="D770" t="str">
            <v>Kinyogoga</v>
          </cell>
          <cell r="E770"/>
          <cell r="F770"/>
        </row>
        <row r="771">
          <cell r="C771" t="str">
            <v>Lira Municipality</v>
          </cell>
          <cell r="D771" t="str">
            <v>Ojwina Division</v>
          </cell>
          <cell r="E771"/>
          <cell r="F771"/>
        </row>
        <row r="772">
          <cell r="C772" t="str">
            <v>West Budama</v>
          </cell>
          <cell r="D772" t="str">
            <v>Kirewa</v>
          </cell>
          <cell r="E772"/>
          <cell r="F772"/>
        </row>
        <row r="773">
          <cell r="C773" t="str">
            <v>Kibuku</v>
          </cell>
          <cell r="D773" t="str">
            <v>Kirika</v>
          </cell>
          <cell r="E773"/>
          <cell r="F773"/>
        </row>
        <row r="774">
          <cell r="C774" t="str">
            <v>Kween</v>
          </cell>
          <cell r="D774" t="str">
            <v>Kiriki</v>
          </cell>
          <cell r="E774"/>
          <cell r="F774"/>
        </row>
        <row r="775">
          <cell r="C775" t="str">
            <v>Kinkiizi</v>
          </cell>
          <cell r="D775" t="str">
            <v>Kirima</v>
          </cell>
          <cell r="E775"/>
          <cell r="F775"/>
        </row>
        <row r="776">
          <cell r="C776" t="str">
            <v>Mawokota</v>
          </cell>
          <cell r="D776" t="str">
            <v>Kiringente</v>
          </cell>
          <cell r="E776"/>
          <cell r="F776"/>
        </row>
        <row r="777">
          <cell r="C777" t="str">
            <v>Katerera</v>
          </cell>
          <cell r="D777" t="str">
            <v>Kirugu</v>
          </cell>
          <cell r="E777"/>
          <cell r="F777"/>
        </row>
        <row r="778">
          <cell r="C778" t="str">
            <v>Nyabushozi</v>
          </cell>
          <cell r="D778" t="str">
            <v>Kiruhura Town Council</v>
          </cell>
          <cell r="E778"/>
          <cell r="F778"/>
        </row>
        <row r="779">
          <cell r="C779" t="str">
            <v>Kyotera</v>
          </cell>
          <cell r="D779" t="str">
            <v>Kirumba</v>
          </cell>
          <cell r="E779"/>
          <cell r="F779"/>
        </row>
        <row r="780">
          <cell r="C780" t="str">
            <v>Bwamba</v>
          </cell>
          <cell r="D780" t="str">
            <v>Kirumya</v>
          </cell>
          <cell r="E780"/>
          <cell r="F780"/>
        </row>
        <row r="781">
          <cell r="C781" t="str">
            <v>Bufumbira</v>
          </cell>
          <cell r="D781" t="str">
            <v>Kirundo</v>
          </cell>
          <cell r="E781"/>
          <cell r="F781"/>
        </row>
        <row r="782">
          <cell r="C782" t="str">
            <v>Kibanda</v>
          </cell>
          <cell r="D782" t="str">
            <v>Kiryandongo</v>
          </cell>
          <cell r="E782"/>
          <cell r="F782"/>
        </row>
        <row r="783">
          <cell r="C783" t="str">
            <v>Kibanda</v>
          </cell>
          <cell r="D783" t="str">
            <v>Kiryandongo Refugee Camp</v>
          </cell>
          <cell r="E783"/>
          <cell r="F783"/>
        </row>
        <row r="784">
          <cell r="C784" t="str">
            <v>Kibanda</v>
          </cell>
          <cell r="D784" t="str">
            <v>Kiryandongo Town Council</v>
          </cell>
          <cell r="E784"/>
          <cell r="F784"/>
        </row>
        <row r="785">
          <cell r="C785" t="str">
            <v>Buyaga</v>
          </cell>
          <cell r="D785" t="str">
            <v>Kiryanga</v>
          </cell>
          <cell r="E785"/>
          <cell r="F785"/>
        </row>
        <row r="786">
          <cell r="C786" t="str">
            <v>Bukoto</v>
          </cell>
          <cell r="D786" t="str">
            <v>Kisekka</v>
          </cell>
          <cell r="E786"/>
          <cell r="F786"/>
        </row>
        <row r="787">
          <cell r="C787" t="str">
            <v>Bugangaizi</v>
          </cell>
          <cell r="D787" t="str">
            <v>Kisiita</v>
          </cell>
          <cell r="E787"/>
          <cell r="F787"/>
        </row>
        <row r="788">
          <cell r="C788" t="str">
            <v>Bulamogi</v>
          </cell>
          <cell r="D788" t="str">
            <v>Kisinda</v>
          </cell>
          <cell r="E788"/>
          <cell r="F788"/>
        </row>
        <row r="789">
          <cell r="C789" t="str">
            <v>Bukonzo</v>
          </cell>
          <cell r="D789" t="str">
            <v>Kisinga</v>
          </cell>
          <cell r="E789"/>
          <cell r="F789"/>
        </row>
        <row r="790">
          <cell r="C790" t="str">
            <v>Bukonzo</v>
          </cell>
          <cell r="D790" t="str">
            <v>Kisinga Town Council</v>
          </cell>
          <cell r="E790"/>
          <cell r="F790"/>
        </row>
        <row r="791">
          <cell r="C791" t="str">
            <v>Mwenge</v>
          </cell>
          <cell r="D791" t="str">
            <v>Kisojo</v>
          </cell>
          <cell r="E791"/>
          <cell r="F791"/>
        </row>
        <row r="792">
          <cell r="C792" t="str">
            <v>West Budama</v>
          </cell>
          <cell r="D792" t="str">
            <v>Kisoko</v>
          </cell>
          <cell r="E792"/>
          <cell r="F792"/>
        </row>
        <row r="793">
          <cell r="C793" t="str">
            <v>Bunyangabu</v>
          </cell>
          <cell r="D793" t="str">
            <v>Kisomoro</v>
          </cell>
          <cell r="E793"/>
          <cell r="F793"/>
        </row>
        <row r="794">
          <cell r="C794" t="str">
            <v>Buzaaya</v>
          </cell>
          <cell r="D794" t="str">
            <v>Kisozi</v>
          </cell>
          <cell r="E794"/>
          <cell r="F794"/>
        </row>
        <row r="795">
          <cell r="C795" t="str">
            <v>Bwamba</v>
          </cell>
          <cell r="D795" t="str">
            <v>Kisubba</v>
          </cell>
          <cell r="E795"/>
          <cell r="F795"/>
        </row>
        <row r="796">
          <cell r="C796" t="str">
            <v>Sheema</v>
          </cell>
          <cell r="D796" t="str">
            <v>Kitagata</v>
          </cell>
          <cell r="E796"/>
          <cell r="F796"/>
        </row>
        <row r="797">
          <cell r="C797" t="str">
            <v>Bugangaizi</v>
          </cell>
          <cell r="D797" t="str">
            <v>Kitaihuka</v>
          </cell>
          <cell r="E797"/>
          <cell r="F797"/>
        </row>
        <row r="798">
          <cell r="C798" t="str">
            <v>Bukomansimbi</v>
          </cell>
          <cell r="D798" t="str">
            <v>Kitanda</v>
          </cell>
          <cell r="E798"/>
          <cell r="F798"/>
        </row>
        <row r="799">
          <cell r="C799" t="str">
            <v>Kween</v>
          </cell>
          <cell r="D799" t="str">
            <v>Kitawoi</v>
          </cell>
          <cell r="E799"/>
          <cell r="F799"/>
        </row>
        <row r="800">
          <cell r="C800" t="str">
            <v>Bugabula</v>
          </cell>
          <cell r="D800" t="str">
            <v>Kitayunjwa</v>
          </cell>
          <cell r="E800"/>
          <cell r="F800"/>
        </row>
        <row r="801">
          <cell r="C801" t="str">
            <v>Buwekula</v>
          </cell>
          <cell r="D801" t="str">
            <v>Kitenga</v>
          </cell>
          <cell r="E801"/>
          <cell r="F801"/>
        </row>
        <row r="802">
          <cell r="C802" t="str">
            <v>Chua</v>
          </cell>
          <cell r="D802" t="str">
            <v>Kitgum Matidi</v>
          </cell>
          <cell r="E802"/>
          <cell r="F802"/>
        </row>
        <row r="803">
          <cell r="C803" t="str">
            <v>Bukonzo</v>
          </cell>
          <cell r="D803" t="str">
            <v>Kitholhu</v>
          </cell>
          <cell r="E803"/>
          <cell r="F803"/>
        </row>
        <row r="804">
          <cell r="C804" t="str">
            <v>Bbaale</v>
          </cell>
          <cell r="D804" t="str">
            <v>Kitimbwa</v>
          </cell>
          <cell r="E804"/>
          <cell r="F804"/>
        </row>
        <row r="805">
          <cell r="C805" t="str">
            <v>Nakaseke</v>
          </cell>
          <cell r="D805" t="str">
            <v>Kito</v>
          </cell>
          <cell r="E805"/>
          <cell r="F805"/>
        </row>
        <row r="806">
          <cell r="C806" t="str">
            <v>Bugahya</v>
          </cell>
          <cell r="D806" t="str">
            <v>Kitoba</v>
          </cell>
          <cell r="E806"/>
          <cell r="F806"/>
        </row>
        <row r="807">
          <cell r="C807" t="str">
            <v>Busongora</v>
          </cell>
          <cell r="D807" t="str">
            <v>Kitswamba</v>
          </cell>
          <cell r="E807"/>
          <cell r="F807"/>
        </row>
        <row r="808">
          <cell r="C808" t="str">
            <v>Ndorwa</v>
          </cell>
          <cell r="D808" t="str">
            <v>Kitumba</v>
          </cell>
          <cell r="E808"/>
          <cell r="F808"/>
        </row>
        <row r="809">
          <cell r="C809" t="str">
            <v>Kassanda</v>
          </cell>
          <cell r="D809" t="str">
            <v>Kitumbi</v>
          </cell>
          <cell r="E809"/>
          <cell r="F809"/>
        </row>
        <row r="810">
          <cell r="C810" t="str">
            <v>Mawokota</v>
          </cell>
          <cell r="D810" t="str">
            <v>Kituntu</v>
          </cell>
          <cell r="E810"/>
          <cell r="F810"/>
        </row>
        <row r="811">
          <cell r="C811" t="str">
            <v>Nyabushozi</v>
          </cell>
          <cell r="D811" t="str">
            <v>Kitura</v>
          </cell>
          <cell r="E811"/>
          <cell r="F811"/>
        </row>
        <row r="812">
          <cell r="C812" t="str">
            <v>Ruhaama</v>
          </cell>
          <cell r="D812" t="str">
            <v>Kitwe Town Council</v>
          </cell>
          <cell r="E812"/>
          <cell r="F812"/>
        </row>
        <row r="813">
          <cell r="C813" t="str">
            <v>Bunya</v>
          </cell>
          <cell r="D813" t="str">
            <v>Kityerera</v>
          </cell>
          <cell r="E813"/>
          <cell r="F813"/>
        </row>
        <row r="814">
          <cell r="C814" t="str">
            <v>Nakaseke</v>
          </cell>
          <cell r="D814" t="str">
            <v>Kiwoko Town Council</v>
          </cell>
          <cell r="E814"/>
          <cell r="F814"/>
        </row>
        <row r="815">
          <cell r="C815" t="str">
            <v>Ruhinda</v>
          </cell>
          <cell r="D815" t="str">
            <v>Kiyanga</v>
          </cell>
          <cell r="E815"/>
          <cell r="F815"/>
        </row>
        <row r="816">
          <cell r="C816" t="str">
            <v>Buwekula</v>
          </cell>
          <cell r="D816" t="str">
            <v>Kiyuni</v>
          </cell>
          <cell r="E816"/>
          <cell r="F816"/>
        </row>
        <row r="817">
          <cell r="C817" t="str">
            <v>Kooki</v>
          </cell>
          <cell r="D817" t="str">
            <v>Kiziba</v>
          </cell>
          <cell r="E817"/>
          <cell r="F817"/>
        </row>
        <row r="818">
          <cell r="C818" t="str">
            <v>Buhaguzi</v>
          </cell>
          <cell r="D818" t="str">
            <v>Kiziranfumbi</v>
          </cell>
          <cell r="E818"/>
          <cell r="F818"/>
        </row>
        <row r="819">
          <cell r="C819" t="str">
            <v>Bukoto</v>
          </cell>
          <cell r="D819" t="str">
            <v>Kkingo</v>
          </cell>
          <cell r="E819"/>
          <cell r="F819"/>
        </row>
        <row r="820">
          <cell r="C820" t="str">
            <v>Kaberamaido</v>
          </cell>
          <cell r="D820" t="str">
            <v>Kobulubulu</v>
          </cell>
          <cell r="E820"/>
          <cell r="F820"/>
        </row>
        <row r="821">
          <cell r="C821" t="str">
            <v>Ngora</v>
          </cell>
          <cell r="D821" t="str">
            <v>Kobwin</v>
          </cell>
          <cell r="E821"/>
          <cell r="F821"/>
        </row>
        <row r="822">
          <cell r="C822" t="str">
            <v>Nwoya</v>
          </cell>
          <cell r="D822" t="str">
            <v>Koch-Goma</v>
          </cell>
          <cell r="E822"/>
          <cell r="F822"/>
        </row>
        <row r="823">
          <cell r="C823" t="str">
            <v>Aringa</v>
          </cell>
          <cell r="D823" t="str">
            <v>Kochi</v>
          </cell>
          <cell r="E823"/>
          <cell r="F823"/>
        </row>
        <row r="824">
          <cell r="C824" t="str">
            <v>Kole</v>
          </cell>
          <cell r="D824" t="str">
            <v>Kole Town Council</v>
          </cell>
          <cell r="E824"/>
          <cell r="F824"/>
        </row>
        <row r="825">
          <cell r="C825" t="str">
            <v>Bukedea</v>
          </cell>
          <cell r="D825" t="str">
            <v>Kolir</v>
          </cell>
          <cell r="E825"/>
          <cell r="F825"/>
        </row>
        <row r="826">
          <cell r="C826" t="str">
            <v>Mukono</v>
          </cell>
          <cell r="D826" t="str">
            <v>Koome Island</v>
          </cell>
          <cell r="E826"/>
          <cell r="F826"/>
        </row>
        <row r="827">
          <cell r="C827" t="str">
            <v>Omoro</v>
          </cell>
          <cell r="D827" t="str">
            <v>Koro</v>
          </cell>
          <cell r="E827"/>
          <cell r="F827"/>
        </row>
        <row r="828">
          <cell r="C828" t="str">
            <v>Kongasis</v>
          </cell>
          <cell r="D828" t="str">
            <v>Kortek</v>
          </cell>
          <cell r="E828"/>
          <cell r="F828"/>
        </row>
        <row r="829">
          <cell r="C829" t="str">
            <v>Jie</v>
          </cell>
          <cell r="D829" t="str">
            <v>Kotido</v>
          </cell>
          <cell r="E829"/>
          <cell r="F829"/>
        </row>
        <row r="830">
          <cell r="C830" t="str">
            <v>Agago</v>
          </cell>
          <cell r="D830" t="str">
            <v>Kotomol</v>
          </cell>
          <cell r="E830"/>
          <cell r="F830"/>
        </row>
        <row r="831">
          <cell r="C831" t="str">
            <v>Padyere</v>
          </cell>
          <cell r="D831" t="str">
            <v>Kucwiny</v>
          </cell>
          <cell r="E831"/>
          <cell r="F831"/>
        </row>
        <row r="832">
          <cell r="C832" t="str">
            <v>Amuria</v>
          </cell>
          <cell r="D832" t="str">
            <v>Kuju</v>
          </cell>
          <cell r="E832"/>
          <cell r="F832"/>
        </row>
        <row r="833">
          <cell r="C833" t="str">
            <v>Koboko</v>
          </cell>
          <cell r="D833" t="str">
            <v>Kuluba</v>
          </cell>
          <cell r="E833"/>
          <cell r="F833"/>
        </row>
        <row r="834">
          <cell r="C834" t="str">
            <v>Aringa</v>
          </cell>
          <cell r="D834" t="str">
            <v>Kululu</v>
          </cell>
          <cell r="E834"/>
          <cell r="F834"/>
        </row>
        <row r="835">
          <cell r="C835" t="str">
            <v>Kumi</v>
          </cell>
          <cell r="D835" t="str">
            <v>Kumi</v>
          </cell>
          <cell r="E835"/>
          <cell r="F835"/>
        </row>
        <row r="836">
          <cell r="C836" t="str">
            <v>Aringa</v>
          </cell>
          <cell r="D836" t="str">
            <v>Kuru</v>
          </cell>
          <cell r="E836"/>
          <cell r="F836"/>
        </row>
        <row r="837">
          <cell r="C837" t="str">
            <v>Kween</v>
          </cell>
          <cell r="D837" t="str">
            <v>Kwanyiy</v>
          </cell>
          <cell r="E837"/>
          <cell r="F837"/>
        </row>
        <row r="838">
          <cell r="C838" t="str">
            <v>Tororo</v>
          </cell>
          <cell r="D838" t="str">
            <v>Kwapa</v>
          </cell>
          <cell r="E838"/>
          <cell r="F838"/>
        </row>
        <row r="839">
          <cell r="C839" t="str">
            <v>Dokolo</v>
          </cell>
          <cell r="D839" t="str">
            <v>Kwera</v>
          </cell>
          <cell r="E839"/>
          <cell r="F839"/>
        </row>
        <row r="840">
          <cell r="C840" t="str">
            <v>Kween</v>
          </cell>
          <cell r="D840" t="str">
            <v>Kwosir</v>
          </cell>
          <cell r="E840"/>
          <cell r="F840"/>
        </row>
        <row r="841">
          <cell r="C841" t="str">
            <v>Katerera</v>
          </cell>
          <cell r="D841" t="str">
            <v>Kyabakara</v>
          </cell>
          <cell r="E841"/>
          <cell r="F841"/>
        </row>
        <row r="842">
          <cell r="C842" t="str">
            <v>Busongora</v>
          </cell>
          <cell r="D842" t="str">
            <v>Kyabarungira</v>
          </cell>
          <cell r="E842"/>
          <cell r="F842"/>
        </row>
        <row r="843">
          <cell r="C843" t="str">
            <v>Bugahya</v>
          </cell>
          <cell r="D843" t="str">
            <v>Kyabigambire</v>
          </cell>
          <cell r="E843"/>
          <cell r="F843"/>
        </row>
        <row r="844">
          <cell r="C844" t="str">
            <v>Igara</v>
          </cell>
          <cell r="D844" t="str">
            <v>Kyabugimbi</v>
          </cell>
          <cell r="E844"/>
          <cell r="F844"/>
        </row>
        <row r="845">
          <cell r="C845" t="str">
            <v>Kyaka</v>
          </cell>
          <cell r="D845" t="str">
            <v>Kyaka Ii Refugee Camp</v>
          </cell>
          <cell r="E845"/>
          <cell r="F845"/>
        </row>
        <row r="846">
          <cell r="C846" t="str">
            <v>Buyaga</v>
          </cell>
          <cell r="D846" t="str">
            <v>Kyakabadiima</v>
          </cell>
          <cell r="E846"/>
          <cell r="F846"/>
        </row>
        <row r="847">
          <cell r="C847" t="str">
            <v>Kooki</v>
          </cell>
          <cell r="D847" t="str">
            <v>Kyalulangira</v>
          </cell>
          <cell r="E847"/>
          <cell r="F847"/>
        </row>
        <row r="848">
          <cell r="C848" t="str">
            <v>Mukono</v>
          </cell>
          <cell r="D848" t="str">
            <v>Kyampisi</v>
          </cell>
          <cell r="E848"/>
          <cell r="F848"/>
        </row>
        <row r="849">
          <cell r="C849" t="str">
            <v>Igara</v>
          </cell>
          <cell r="D849" t="str">
            <v>Kyamuhunga</v>
          </cell>
          <cell r="E849"/>
          <cell r="F849"/>
        </row>
        <row r="850">
          <cell r="C850" t="str">
            <v>Igara</v>
          </cell>
          <cell r="D850" t="str">
            <v>Kyamuhunga Town Council</v>
          </cell>
          <cell r="E850"/>
          <cell r="F850"/>
        </row>
        <row r="851">
          <cell r="C851" t="str">
            <v>Bunyangabu</v>
          </cell>
          <cell r="D851" t="str">
            <v>Kyamukube Town Council</v>
          </cell>
          <cell r="E851"/>
          <cell r="F851"/>
        </row>
        <row r="852">
          <cell r="C852" t="str">
            <v>Kalungu</v>
          </cell>
          <cell r="D852" t="str">
            <v>Kyamulibwa</v>
          </cell>
          <cell r="E852"/>
          <cell r="F852"/>
        </row>
        <row r="853">
          <cell r="C853" t="str">
            <v>Kalungu</v>
          </cell>
          <cell r="D853" t="str">
            <v>Kyamulibwa Town Council</v>
          </cell>
          <cell r="E853"/>
          <cell r="F853"/>
        </row>
        <row r="854">
          <cell r="C854" t="str">
            <v>Kyamuswa</v>
          </cell>
          <cell r="D854" t="str">
            <v>Kyamuswa</v>
          </cell>
          <cell r="E854"/>
          <cell r="F854"/>
        </row>
        <row r="855">
          <cell r="C855" t="str">
            <v>Buyaga</v>
          </cell>
          <cell r="D855" t="str">
            <v>Kyanaisoke</v>
          </cell>
          <cell r="E855"/>
          <cell r="F855"/>
        </row>
        <row r="856">
          <cell r="C856" t="str">
            <v>Ndorwa</v>
          </cell>
          <cell r="D856" t="str">
            <v>Kyanamira</v>
          </cell>
          <cell r="E856"/>
          <cell r="F856"/>
        </row>
        <row r="857">
          <cell r="C857" t="str">
            <v>Bukoto</v>
          </cell>
          <cell r="D857" t="str">
            <v>Kyanamukaaka</v>
          </cell>
          <cell r="E857"/>
          <cell r="F857"/>
        </row>
        <row r="858">
          <cell r="C858" t="str">
            <v>Buhaguzi</v>
          </cell>
          <cell r="D858" t="str">
            <v>Kyangwali</v>
          </cell>
          <cell r="E858"/>
          <cell r="F858"/>
        </row>
        <row r="859">
          <cell r="C859" t="str">
            <v>Sheema</v>
          </cell>
          <cell r="D859" t="str">
            <v>Kyangyenyi</v>
          </cell>
          <cell r="E859"/>
          <cell r="F859"/>
        </row>
        <row r="860">
          <cell r="C860" t="str">
            <v>Kiboga</v>
          </cell>
          <cell r="D860" t="str">
            <v>Kyankwanzi</v>
          </cell>
          <cell r="E860"/>
          <cell r="F860"/>
        </row>
        <row r="861">
          <cell r="C861" t="str">
            <v>Kiboga</v>
          </cell>
          <cell r="D861" t="str">
            <v>Kyankwanzi Town Council</v>
          </cell>
          <cell r="E861"/>
          <cell r="F861"/>
        </row>
        <row r="862">
          <cell r="C862" t="str">
            <v>Bukonzo</v>
          </cell>
          <cell r="D862" t="str">
            <v>Kyarumba</v>
          </cell>
          <cell r="E862"/>
          <cell r="F862"/>
        </row>
        <row r="863">
          <cell r="C863" t="str">
            <v>Mwenge</v>
          </cell>
          <cell r="D863" t="str">
            <v>Kyarusozi</v>
          </cell>
          <cell r="E863"/>
          <cell r="F863"/>
        </row>
        <row r="864">
          <cell r="C864" t="str">
            <v>Mwenge</v>
          </cell>
          <cell r="D864" t="str">
            <v>Kyarusozi Town Council</v>
          </cell>
          <cell r="E864"/>
          <cell r="F864"/>
        </row>
        <row r="865">
          <cell r="C865" t="str">
            <v>Buyaga</v>
          </cell>
          <cell r="D865" t="str">
            <v>Kyaterekera</v>
          </cell>
          <cell r="E865"/>
          <cell r="F865"/>
        </row>
        <row r="866">
          <cell r="C866" t="str">
            <v>Bukoto</v>
          </cell>
          <cell r="D866" t="str">
            <v>Kyazanga</v>
          </cell>
          <cell r="E866"/>
          <cell r="F866"/>
        </row>
        <row r="867">
          <cell r="C867" t="str">
            <v>Bukoto</v>
          </cell>
          <cell r="D867" t="str">
            <v>Kyazanga Town Council</v>
          </cell>
          <cell r="E867"/>
          <cell r="F867"/>
        </row>
        <row r="868">
          <cell r="C868" t="str">
            <v>Buyanja</v>
          </cell>
          <cell r="D868" t="str">
            <v>Kyebando</v>
          </cell>
          <cell r="E868"/>
          <cell r="F868"/>
        </row>
        <row r="869">
          <cell r="C869" t="str">
            <v>Kooki</v>
          </cell>
          <cell r="D869" t="str">
            <v>Kyebe</v>
          </cell>
          <cell r="E869"/>
          <cell r="F869"/>
        </row>
        <row r="870">
          <cell r="C870" t="str">
            <v>Kyaka</v>
          </cell>
          <cell r="D870" t="str">
            <v>Kyegegwa Town Council</v>
          </cell>
          <cell r="E870"/>
          <cell r="F870"/>
        </row>
        <row r="871">
          <cell r="C871" t="str">
            <v>Gomba</v>
          </cell>
          <cell r="D871" t="str">
            <v>Kyegonza</v>
          </cell>
          <cell r="E871"/>
          <cell r="F871"/>
        </row>
        <row r="872">
          <cell r="C872" t="str">
            <v>Igara</v>
          </cell>
          <cell r="D872" t="str">
            <v>Kyeizooba</v>
          </cell>
          <cell r="E872"/>
          <cell r="F872"/>
        </row>
        <row r="873">
          <cell r="C873" t="str">
            <v>Busiro</v>
          </cell>
          <cell r="D873" t="str">
            <v>Kyengera Town Council</v>
          </cell>
          <cell r="E873"/>
          <cell r="F873"/>
        </row>
        <row r="874">
          <cell r="C874" t="str">
            <v>Mwenge</v>
          </cell>
          <cell r="D874" t="str">
            <v>Kyenjojo Town Council</v>
          </cell>
          <cell r="E874"/>
          <cell r="F874"/>
        </row>
        <row r="875">
          <cell r="C875" t="str">
            <v>Buyaga</v>
          </cell>
          <cell r="D875" t="str">
            <v>Kyenzige</v>
          </cell>
          <cell r="E875"/>
          <cell r="F875"/>
        </row>
        <row r="876">
          <cell r="C876" t="str">
            <v>Serere</v>
          </cell>
          <cell r="D876" t="str">
            <v>Kyere</v>
          </cell>
          <cell r="E876"/>
          <cell r="F876"/>
        </row>
        <row r="877">
          <cell r="C877" t="str">
            <v>Bukoto</v>
          </cell>
          <cell r="D877" t="str">
            <v>Kyesiiga</v>
          </cell>
          <cell r="E877"/>
          <cell r="F877"/>
        </row>
        <row r="878">
          <cell r="C878" t="str">
            <v>Bukonzo</v>
          </cell>
          <cell r="D878" t="str">
            <v>Kyondo</v>
          </cell>
          <cell r="E878"/>
          <cell r="F878"/>
        </row>
        <row r="879">
          <cell r="C879" t="str">
            <v>Kyotera</v>
          </cell>
          <cell r="D879" t="str">
            <v>Kyotera Town Council</v>
          </cell>
          <cell r="E879"/>
          <cell r="F879"/>
        </row>
        <row r="880">
          <cell r="C880" t="str">
            <v>Chua</v>
          </cell>
          <cell r="D880" t="str">
            <v>Labongo Akwang</v>
          </cell>
          <cell r="E880"/>
          <cell r="F880"/>
        </row>
        <row r="881">
          <cell r="C881" t="str">
            <v>Chua</v>
          </cell>
          <cell r="D881" t="str">
            <v>Labongo Amida</v>
          </cell>
          <cell r="E881"/>
          <cell r="F881"/>
        </row>
        <row r="882">
          <cell r="C882" t="str">
            <v>Chua</v>
          </cell>
          <cell r="D882" t="str">
            <v>Labongo Layamo</v>
          </cell>
          <cell r="E882"/>
          <cell r="F882"/>
        </row>
        <row r="883">
          <cell r="C883" t="str">
            <v>Kasilo</v>
          </cell>
          <cell r="D883" t="str">
            <v>Labori</v>
          </cell>
          <cell r="E883"/>
          <cell r="F883"/>
        </row>
        <row r="884">
          <cell r="C884" t="str">
            <v>Chua</v>
          </cell>
          <cell r="D884" t="str">
            <v>Lagoro</v>
          </cell>
          <cell r="E884"/>
          <cell r="F884"/>
        </row>
        <row r="885">
          <cell r="C885" t="str">
            <v>Aruu</v>
          </cell>
          <cell r="D885" t="str">
            <v>Laguti</v>
          </cell>
          <cell r="E885"/>
          <cell r="F885"/>
        </row>
        <row r="886">
          <cell r="C886" t="str">
            <v>Busongora</v>
          </cell>
          <cell r="D886" t="str">
            <v>Lake Katwe</v>
          </cell>
          <cell r="E886"/>
          <cell r="F886"/>
        </row>
        <row r="887">
          <cell r="C887" t="str">
            <v>Omoro</v>
          </cell>
          <cell r="D887" t="str">
            <v>Lakwana</v>
          </cell>
          <cell r="E887"/>
          <cell r="F887"/>
        </row>
        <row r="888">
          <cell r="C888" t="str">
            <v>Omoro</v>
          </cell>
          <cell r="D888" t="str">
            <v>Lalogi</v>
          </cell>
          <cell r="E888"/>
          <cell r="F888"/>
        </row>
        <row r="889">
          <cell r="C889" t="str">
            <v>Agago</v>
          </cell>
          <cell r="D889" t="str">
            <v>Lamiyo</v>
          </cell>
          <cell r="E889"/>
          <cell r="F889"/>
        </row>
        <row r="890">
          <cell r="C890" t="str">
            <v>Kilak</v>
          </cell>
          <cell r="D890" t="str">
            <v>Lamogi</v>
          </cell>
          <cell r="E890"/>
          <cell r="F890"/>
        </row>
        <row r="891">
          <cell r="C891" t="str">
            <v>Lamwo</v>
          </cell>
          <cell r="D891" t="str">
            <v>Lamwo Town Council</v>
          </cell>
          <cell r="E891"/>
          <cell r="F891"/>
        </row>
        <row r="892">
          <cell r="C892" t="str">
            <v>Agago</v>
          </cell>
          <cell r="D892" t="str">
            <v>Lapono</v>
          </cell>
          <cell r="E892"/>
          <cell r="F892"/>
        </row>
        <row r="893">
          <cell r="C893" t="str">
            <v>Aruu</v>
          </cell>
          <cell r="D893" t="str">
            <v>Lapul</v>
          </cell>
          <cell r="E893"/>
          <cell r="F893"/>
        </row>
        <row r="894">
          <cell r="C894" t="str">
            <v>Lira Municipality</v>
          </cell>
          <cell r="D894" t="str">
            <v>Railway Division</v>
          </cell>
          <cell r="E894"/>
          <cell r="F894"/>
        </row>
        <row r="895">
          <cell r="C895" t="str">
            <v>West Moyo</v>
          </cell>
          <cell r="D895" t="str">
            <v>Laropi</v>
          </cell>
          <cell r="E895"/>
        </row>
        <row r="896">
          <cell r="C896" t="str">
            <v>Aruu</v>
          </cell>
          <cell r="D896" t="str">
            <v>Latanya</v>
          </cell>
          <cell r="E896"/>
        </row>
        <row r="897">
          <cell r="C897" t="str">
            <v>Lugazi Municipality</v>
          </cell>
          <cell r="D897" t="str">
            <v>Central Division</v>
          </cell>
          <cell r="E897"/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/>
          <cell r="F898"/>
        </row>
        <row r="899">
          <cell r="C899" t="str">
            <v>Erute</v>
          </cell>
          <cell r="D899" t="str">
            <v>Lira</v>
          </cell>
          <cell r="E899"/>
          <cell r="F899"/>
        </row>
        <row r="900">
          <cell r="C900" t="str">
            <v>Agago</v>
          </cell>
          <cell r="D900" t="str">
            <v>Lira Palwo</v>
          </cell>
          <cell r="E900"/>
          <cell r="F900"/>
        </row>
        <row r="901">
          <cell r="C901" t="str">
            <v>Dodoth</v>
          </cell>
          <cell r="D901" t="str">
            <v>Lobalangit</v>
          </cell>
          <cell r="E901"/>
          <cell r="F901"/>
        </row>
        <row r="902">
          <cell r="C902" t="str">
            <v>Koboko</v>
          </cell>
          <cell r="D902" t="str">
            <v>Lobule</v>
          </cell>
          <cell r="E902"/>
          <cell r="F902"/>
        </row>
        <row r="903">
          <cell r="C903" t="str">
            <v>Dodoth</v>
          </cell>
          <cell r="D903" t="str">
            <v>Lodiko</v>
          </cell>
          <cell r="E903"/>
          <cell r="F903"/>
        </row>
        <row r="904">
          <cell r="C904" t="str">
            <v>Aringa</v>
          </cell>
          <cell r="D904" t="str">
            <v>Lodonga</v>
          </cell>
          <cell r="E904"/>
          <cell r="F904"/>
        </row>
        <row r="905">
          <cell r="C905" t="str">
            <v>Vurra</v>
          </cell>
          <cell r="D905" t="str">
            <v>Logiri</v>
          </cell>
          <cell r="E905"/>
          <cell r="F905"/>
        </row>
        <row r="906">
          <cell r="C906" t="str">
            <v>Agago</v>
          </cell>
          <cell r="D906" t="str">
            <v>Lokole</v>
          </cell>
          <cell r="E906"/>
          <cell r="F906"/>
        </row>
        <row r="907">
          <cell r="C907" t="str">
            <v>Bokora</v>
          </cell>
          <cell r="D907" t="str">
            <v>Lokopo</v>
          </cell>
          <cell r="E907"/>
          <cell r="F907"/>
        </row>
        <row r="908">
          <cell r="C908" t="str">
            <v>Lamwo</v>
          </cell>
          <cell r="D908" t="str">
            <v>Lokung</v>
          </cell>
          <cell r="E908"/>
          <cell r="F908"/>
        </row>
        <row r="909">
          <cell r="C909" t="str">
            <v>Pian</v>
          </cell>
          <cell r="D909" t="str">
            <v>Lolachat</v>
          </cell>
          <cell r="E909"/>
          <cell r="F909"/>
        </row>
        <row r="910">
          <cell r="C910" t="str">
            <v>Dodoth</v>
          </cell>
          <cell r="D910" t="str">
            <v>Lolelia</v>
          </cell>
          <cell r="E910"/>
          <cell r="F910"/>
        </row>
        <row r="911">
          <cell r="C911" t="str">
            <v>Bukooli</v>
          </cell>
          <cell r="D911" t="str">
            <v>Lolwe</v>
          </cell>
          <cell r="E911"/>
          <cell r="F911"/>
        </row>
        <row r="912">
          <cell r="C912" t="str">
            <v>Bokora</v>
          </cell>
          <cell r="D912" t="str">
            <v>Lopeei</v>
          </cell>
          <cell r="E912"/>
          <cell r="F912"/>
        </row>
        <row r="913">
          <cell r="C913" t="str">
            <v>Chekwii</v>
          </cell>
          <cell r="D913" t="str">
            <v>Loregae</v>
          </cell>
          <cell r="E913"/>
          <cell r="F913"/>
        </row>
        <row r="914">
          <cell r="C914" t="str">
            <v>Bokora</v>
          </cell>
          <cell r="D914" t="str">
            <v>Lorengecora</v>
          </cell>
          <cell r="E914"/>
          <cell r="F914"/>
        </row>
        <row r="915">
          <cell r="C915" t="str">
            <v>Pian</v>
          </cell>
          <cell r="D915" t="str">
            <v>Lorengedwat</v>
          </cell>
          <cell r="E915"/>
          <cell r="F915"/>
        </row>
        <row r="916">
          <cell r="C916" t="str">
            <v>Oyam</v>
          </cell>
          <cell r="D916" t="str">
            <v>Loro</v>
          </cell>
          <cell r="E916"/>
          <cell r="F916"/>
        </row>
        <row r="917">
          <cell r="C917" t="str">
            <v>Pokot</v>
          </cell>
          <cell r="D917" t="str">
            <v>Loroo</v>
          </cell>
          <cell r="E917"/>
          <cell r="F917"/>
        </row>
        <row r="918">
          <cell r="C918" t="str">
            <v>Lugazi Municipality</v>
          </cell>
          <cell r="D918" t="str">
            <v>Kawolo Division</v>
          </cell>
          <cell r="E918"/>
          <cell r="F918"/>
        </row>
        <row r="919">
          <cell r="C919" t="str">
            <v>Bokora</v>
          </cell>
          <cell r="D919" t="str">
            <v>Lotome</v>
          </cell>
          <cell r="E919"/>
          <cell r="F919"/>
        </row>
        <row r="920">
          <cell r="C920" t="str">
            <v>Labwor</v>
          </cell>
          <cell r="D920" t="str">
            <v>Lotukei</v>
          </cell>
          <cell r="E920"/>
          <cell r="F920"/>
        </row>
        <row r="921">
          <cell r="C921" t="str">
            <v>Dodoth</v>
          </cell>
          <cell r="D921" t="str">
            <v>Loyoro</v>
          </cell>
          <cell r="E921"/>
          <cell r="F921"/>
        </row>
        <row r="922">
          <cell r="C922" t="str">
            <v>Buvuma Island</v>
          </cell>
          <cell r="D922" t="str">
            <v>Lubya</v>
          </cell>
          <cell r="E922"/>
          <cell r="F922"/>
        </row>
        <row r="923">
          <cell r="C923" t="str">
            <v>Koboko</v>
          </cell>
          <cell r="D923" t="str">
            <v>Ludara</v>
          </cell>
          <cell r="E923"/>
          <cell r="F923"/>
        </row>
        <row r="924">
          <cell r="C924" t="str">
            <v>Mawogola</v>
          </cell>
          <cell r="D924" t="str">
            <v>Lugusulu</v>
          </cell>
          <cell r="E924"/>
          <cell r="F924"/>
        </row>
        <row r="925">
          <cell r="C925" t="str">
            <v>Kalungu</v>
          </cell>
          <cell r="D925" t="str">
            <v>Lukaya Town Council</v>
          </cell>
          <cell r="E925"/>
          <cell r="F925"/>
        </row>
        <row r="926">
          <cell r="C926" t="str">
            <v>Bungokho</v>
          </cell>
          <cell r="D926" t="str">
            <v>Lukhonge</v>
          </cell>
          <cell r="E926"/>
          <cell r="F926"/>
        </row>
        <row r="927">
          <cell r="C927" t="str">
            <v>Samia-Bugwe</v>
          </cell>
          <cell r="D927" t="str">
            <v>Lumino</v>
          </cell>
          <cell r="E927"/>
          <cell r="F927"/>
        </row>
        <row r="928">
          <cell r="C928" t="str">
            <v>Samia-Bugwe</v>
          </cell>
          <cell r="D928" t="str">
            <v>Lunyo</v>
          </cell>
          <cell r="E928"/>
          <cell r="F928"/>
        </row>
        <row r="929">
          <cell r="C929" t="str">
            <v>Bulambuli</v>
          </cell>
          <cell r="D929" t="str">
            <v>Lusha</v>
          </cell>
          <cell r="E929"/>
          <cell r="F929"/>
        </row>
        <row r="930">
          <cell r="C930" t="str">
            <v>Luuka</v>
          </cell>
          <cell r="D930" t="str">
            <v>Luuka Town Council</v>
          </cell>
          <cell r="E930"/>
          <cell r="F930"/>
        </row>
        <row r="931">
          <cell r="C931" t="str">
            <v>Katikamu</v>
          </cell>
          <cell r="D931" t="str">
            <v>Luwero</v>
          </cell>
          <cell r="E931"/>
          <cell r="F931"/>
        </row>
        <row r="932">
          <cell r="C932" t="str">
            <v>Katikamu</v>
          </cell>
          <cell r="D932" t="str">
            <v>Luwero Town Council</v>
          </cell>
          <cell r="E932"/>
          <cell r="F932"/>
        </row>
        <row r="933">
          <cell r="C933" t="str">
            <v>Kalungu</v>
          </cell>
          <cell r="D933" t="str">
            <v>Lwabenge</v>
          </cell>
          <cell r="E933"/>
          <cell r="F933"/>
        </row>
        <row r="934">
          <cell r="C934" t="str">
            <v>Buruli</v>
          </cell>
          <cell r="D934" t="str">
            <v>Lwabiyata</v>
          </cell>
          <cell r="E934"/>
          <cell r="F934"/>
        </row>
        <row r="935">
          <cell r="C935" t="str">
            <v>Buvuma Island</v>
          </cell>
          <cell r="D935" t="str">
            <v>Lwajje</v>
          </cell>
          <cell r="E935"/>
          <cell r="F935"/>
        </row>
        <row r="936">
          <cell r="C936" t="str">
            <v>Namisindwa</v>
          </cell>
          <cell r="D936" t="str">
            <v>Lwakhakha Town Council</v>
          </cell>
          <cell r="E936"/>
          <cell r="F936"/>
        </row>
        <row r="937">
          <cell r="C937" t="str">
            <v>Kooki</v>
          </cell>
          <cell r="D937" t="str">
            <v>Lwamaggwa</v>
          </cell>
          <cell r="E937"/>
          <cell r="F937"/>
        </row>
        <row r="938">
          <cell r="C938" t="str">
            <v>Kiboga</v>
          </cell>
          <cell r="D938" t="str">
            <v>Lwamata</v>
          </cell>
          <cell r="E938"/>
          <cell r="F938"/>
        </row>
        <row r="939">
          <cell r="C939" t="str">
            <v>Buruli</v>
          </cell>
          <cell r="D939" t="str">
            <v>Lwampanga</v>
          </cell>
          <cell r="E939"/>
          <cell r="F939"/>
        </row>
        <row r="940">
          <cell r="C940" t="str">
            <v>Kooki</v>
          </cell>
          <cell r="D940" t="str">
            <v>Lwanda</v>
          </cell>
          <cell r="E940"/>
          <cell r="F940"/>
        </row>
        <row r="941">
          <cell r="C941" t="str">
            <v>Kyotera</v>
          </cell>
          <cell r="D941" t="str">
            <v>Lwankoni</v>
          </cell>
          <cell r="E941"/>
          <cell r="F941"/>
        </row>
        <row r="942">
          <cell r="C942" t="str">
            <v>Bungokho</v>
          </cell>
          <cell r="D942" t="str">
            <v>Lwasso</v>
          </cell>
          <cell r="E942"/>
          <cell r="F942"/>
        </row>
        <row r="943">
          <cell r="C943" t="str">
            <v>Mawogola</v>
          </cell>
          <cell r="D943" t="str">
            <v>Lwebitakuli</v>
          </cell>
          <cell r="E943"/>
          <cell r="F943"/>
        </row>
        <row r="944">
          <cell r="C944" t="str">
            <v>Lwemiyaga</v>
          </cell>
          <cell r="D944" t="str">
            <v>Lwemiyaga</v>
          </cell>
          <cell r="E944"/>
          <cell r="F944"/>
        </row>
        <row r="945">
          <cell r="C945" t="str">
            <v>Bukoto</v>
          </cell>
          <cell r="D945" t="str">
            <v>Lwengo</v>
          </cell>
          <cell r="E945"/>
          <cell r="F945"/>
        </row>
        <row r="946">
          <cell r="C946" t="str">
            <v>Bukoto</v>
          </cell>
          <cell r="D946" t="str">
            <v>Lwengo Town Council</v>
          </cell>
          <cell r="E946"/>
          <cell r="F946"/>
        </row>
        <row r="947">
          <cell r="C947" t="str">
            <v>Buvuma Island</v>
          </cell>
          <cell r="D947" t="str">
            <v>Lyabaana</v>
          </cell>
          <cell r="E947"/>
          <cell r="F947"/>
        </row>
        <row r="948">
          <cell r="C948" t="str">
            <v>Budaka</v>
          </cell>
          <cell r="D948" t="str">
            <v>Lyama</v>
          </cell>
          <cell r="E948"/>
          <cell r="F948"/>
        </row>
        <row r="949">
          <cell r="C949" t="str">
            <v>Kabula</v>
          </cell>
          <cell r="D949" t="str">
            <v>Lyantonde</v>
          </cell>
          <cell r="E949"/>
          <cell r="F949"/>
        </row>
        <row r="950">
          <cell r="C950" t="str">
            <v>Kabula</v>
          </cell>
          <cell r="D950" t="str">
            <v>Lyantonde Town Council</v>
          </cell>
          <cell r="E950"/>
          <cell r="F950"/>
        </row>
        <row r="951">
          <cell r="C951" t="str">
            <v>Busujju</v>
          </cell>
          <cell r="D951" t="str">
            <v>Maanyi</v>
          </cell>
          <cell r="E951"/>
          <cell r="F951"/>
        </row>
        <row r="952">
          <cell r="C952" t="str">
            <v>Buyaga</v>
          </cell>
          <cell r="D952" t="str">
            <v>Mabaale</v>
          </cell>
          <cell r="E952"/>
          <cell r="F952"/>
        </row>
        <row r="953">
          <cell r="C953" t="str">
            <v>Gomba</v>
          </cell>
          <cell r="D953" t="str">
            <v>Maddu</v>
          </cell>
          <cell r="E953"/>
          <cell r="F953"/>
        </row>
        <row r="954">
          <cell r="C954" t="str">
            <v>Lamwo</v>
          </cell>
          <cell r="D954" t="str">
            <v>Madi Opei</v>
          </cell>
          <cell r="E954"/>
          <cell r="F954"/>
        </row>
        <row r="955">
          <cell r="C955" t="str">
            <v>Buwekula</v>
          </cell>
          <cell r="D955" t="str">
            <v>Madudu</v>
          </cell>
          <cell r="E955"/>
          <cell r="F955"/>
        </row>
        <row r="956">
          <cell r="C956" t="str">
            <v>Butembe</v>
          </cell>
          <cell r="D956" t="str">
            <v>Mafubira</v>
          </cell>
          <cell r="E956"/>
          <cell r="F956"/>
        </row>
        <row r="957">
          <cell r="C957" t="str">
            <v>Busiki</v>
          </cell>
          <cell r="D957" t="str">
            <v>Magada</v>
          </cell>
          <cell r="E957"/>
          <cell r="F957"/>
        </row>
        <row r="958">
          <cell r="C958" t="str">
            <v>Namisindwa</v>
          </cell>
          <cell r="D958" t="str">
            <v>Magale</v>
          </cell>
          <cell r="E958"/>
          <cell r="F958"/>
        </row>
        <row r="959">
          <cell r="C959" t="str">
            <v>Namisindwa</v>
          </cell>
          <cell r="D959" t="str">
            <v>Magale Town Council</v>
          </cell>
          <cell r="E959"/>
          <cell r="F959"/>
        </row>
        <row r="960">
          <cell r="C960" t="str">
            <v>Bunya</v>
          </cell>
          <cell r="D960" t="str">
            <v>Magamaga Town Council</v>
          </cell>
          <cell r="E960"/>
          <cell r="F960"/>
        </row>
        <row r="961">
          <cell r="C961" t="str">
            <v>Bunyaruguru</v>
          </cell>
          <cell r="D961" t="str">
            <v>Magambo</v>
          </cell>
          <cell r="E961"/>
          <cell r="F961"/>
        </row>
        <row r="962">
          <cell r="C962" t="str">
            <v>West Budama</v>
          </cell>
          <cell r="D962" t="str">
            <v>Magola</v>
          </cell>
          <cell r="E962"/>
          <cell r="F962"/>
        </row>
        <row r="963">
          <cell r="C963" t="str">
            <v>Toroma</v>
          </cell>
          <cell r="D963" t="str">
            <v>Magoro</v>
          </cell>
          <cell r="E963"/>
          <cell r="F963"/>
        </row>
        <row r="964">
          <cell r="C964" t="str">
            <v>Bukonzo</v>
          </cell>
          <cell r="D964" t="str">
            <v>Mahango</v>
          </cell>
          <cell r="E964"/>
          <cell r="F964"/>
        </row>
        <row r="965">
          <cell r="C965" t="str">
            <v>Kitagwenda</v>
          </cell>
          <cell r="D965" t="str">
            <v>Mahyoro</v>
          </cell>
          <cell r="E965"/>
          <cell r="F965"/>
        </row>
        <row r="966">
          <cell r="C966" t="str">
            <v>Samia-Bugwe</v>
          </cell>
          <cell r="D966" t="str">
            <v>Majanji</v>
          </cell>
          <cell r="E966"/>
          <cell r="F966"/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/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/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/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/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/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/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/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/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/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/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/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/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/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/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/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/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/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/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/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/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/>
        </row>
        <row r="988">
          <cell r="C988" t="str">
            <v>Kassanda</v>
          </cell>
          <cell r="D988" t="str">
            <v>Makokoto</v>
          </cell>
          <cell r="E988"/>
          <cell r="F988"/>
        </row>
        <row r="989">
          <cell r="C989" t="str">
            <v>Katikamu</v>
          </cell>
          <cell r="D989" t="str">
            <v>Makulubita</v>
          </cell>
          <cell r="E989"/>
          <cell r="F989"/>
        </row>
        <row r="990">
          <cell r="C990" t="str">
            <v>Bugweri</v>
          </cell>
          <cell r="D990" t="str">
            <v>Makuutu</v>
          </cell>
          <cell r="E990"/>
          <cell r="F990"/>
        </row>
        <row r="991">
          <cell r="C991" t="str">
            <v>Tororo</v>
          </cell>
          <cell r="D991" t="str">
            <v>Malaba Town Council</v>
          </cell>
          <cell r="E991"/>
          <cell r="F991"/>
        </row>
        <row r="992">
          <cell r="C992" t="str">
            <v>Busujju</v>
          </cell>
          <cell r="D992" t="str">
            <v>Malangala</v>
          </cell>
          <cell r="E992"/>
          <cell r="F992"/>
        </row>
        <row r="993">
          <cell r="C993" t="str">
            <v>Bukedea</v>
          </cell>
          <cell r="D993" t="str">
            <v>Malera</v>
          </cell>
          <cell r="E993"/>
          <cell r="F993"/>
        </row>
        <row r="994">
          <cell r="C994" t="str">
            <v>Busongora</v>
          </cell>
          <cell r="D994" t="str">
            <v>Maliba</v>
          </cell>
          <cell r="E994"/>
          <cell r="F994"/>
        </row>
        <row r="995">
          <cell r="C995" t="str">
            <v>Bukoto</v>
          </cell>
          <cell r="D995" t="str">
            <v>Malongo</v>
          </cell>
          <cell r="E995"/>
          <cell r="F995"/>
        </row>
        <row r="996">
          <cell r="C996" t="str">
            <v>Bunya</v>
          </cell>
          <cell r="D996" t="str">
            <v>Malongo</v>
          </cell>
          <cell r="E996"/>
          <cell r="F996"/>
        </row>
        <row r="997">
          <cell r="C997" t="str">
            <v>Bubulo</v>
          </cell>
          <cell r="D997" t="str">
            <v>Manafwa Town Council</v>
          </cell>
          <cell r="E997"/>
          <cell r="F997"/>
        </row>
        <row r="998">
          <cell r="C998" t="str">
            <v>Ayivu</v>
          </cell>
          <cell r="D998" t="str">
            <v>Manibe</v>
          </cell>
          <cell r="E998"/>
          <cell r="F998"/>
        </row>
        <row r="999">
          <cell r="C999" t="str">
            <v>Kassanda</v>
          </cell>
          <cell r="D999" t="str">
            <v>Manyogaseka</v>
          </cell>
          <cell r="E999"/>
          <cell r="F999"/>
        </row>
        <row r="1000">
          <cell r="C1000" t="str">
            <v>Maracha</v>
          </cell>
          <cell r="D1000" t="str">
            <v>Maracha Town Council</v>
          </cell>
          <cell r="E1000"/>
          <cell r="F1000"/>
        </row>
        <row r="1001">
          <cell r="C1001" t="str">
            <v>Samia-Bugwe</v>
          </cell>
          <cell r="D1001" t="str">
            <v>Masaba</v>
          </cell>
          <cell r="E1001"/>
          <cell r="F1001"/>
        </row>
        <row r="1002">
          <cell r="C1002" t="str">
            <v>Budadiri</v>
          </cell>
          <cell r="D1002" t="str">
            <v>Masaba</v>
          </cell>
          <cell r="E1002"/>
          <cell r="F1002"/>
        </row>
        <row r="1003">
          <cell r="C1003" t="str">
            <v>Samia-Bugwe</v>
          </cell>
          <cell r="D1003" t="str">
            <v>Masafu</v>
          </cell>
          <cell r="E1003"/>
          <cell r="F1003"/>
        </row>
        <row r="1004">
          <cell r="C1004" t="str">
            <v>Lugazi Municipality</v>
          </cell>
          <cell r="D1004" t="str">
            <v>Najjembe Division</v>
          </cell>
          <cell r="E1004"/>
          <cell r="F1004"/>
        </row>
        <row r="1005">
          <cell r="C1005" t="str">
            <v>Makindye Ssabagabo Municipality</v>
          </cell>
          <cell r="D1005" t="str">
            <v>Bunamwaya Division</v>
          </cell>
          <cell r="E1005"/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/>
        </row>
        <row r="1007">
          <cell r="C1007" t="str">
            <v>Sheema</v>
          </cell>
          <cell r="D1007" t="str">
            <v>Masheruka</v>
          </cell>
          <cell r="E1007"/>
        </row>
        <row r="1008">
          <cell r="C1008" t="str">
            <v>Bulambuli</v>
          </cell>
          <cell r="D1008" t="str">
            <v>Masiira</v>
          </cell>
          <cell r="E1008"/>
        </row>
        <row r="1009">
          <cell r="C1009" t="str">
            <v>Kibanda</v>
          </cell>
          <cell r="D1009" t="str">
            <v>Masindi Port</v>
          </cell>
          <cell r="E1009"/>
        </row>
        <row r="1010">
          <cell r="C1010" t="str">
            <v>Samia-Bugwe</v>
          </cell>
          <cell r="D1010" t="str">
            <v>Masinya</v>
          </cell>
          <cell r="E1010"/>
        </row>
        <row r="1011">
          <cell r="C1011" t="str">
            <v>Busiro</v>
          </cell>
          <cell r="D1011" t="str">
            <v>Masuliita</v>
          </cell>
          <cell r="E1011"/>
        </row>
        <row r="1012">
          <cell r="C1012" t="str">
            <v>Busiro</v>
          </cell>
          <cell r="D1012" t="str">
            <v>Masulita Town Council</v>
          </cell>
          <cell r="E1012"/>
        </row>
        <row r="1013">
          <cell r="C1013" t="str">
            <v>Buyanja</v>
          </cell>
          <cell r="D1013" t="str">
            <v>Matale</v>
          </cell>
          <cell r="E1013"/>
        </row>
        <row r="1014">
          <cell r="C1014" t="str">
            <v>Bokora</v>
          </cell>
          <cell r="D1014" t="str">
            <v>Matany</v>
          </cell>
          <cell r="E1014"/>
        </row>
        <row r="1015">
          <cell r="C1015" t="str">
            <v>Mawogola</v>
          </cell>
          <cell r="D1015" t="str">
            <v>Mateete</v>
          </cell>
          <cell r="E1015"/>
        </row>
        <row r="1016">
          <cell r="C1016" t="str">
            <v>Mawogola</v>
          </cell>
          <cell r="D1016" t="str">
            <v>Mateete Town Council</v>
          </cell>
          <cell r="E1016"/>
        </row>
        <row r="1017">
          <cell r="C1017" t="str">
            <v>Ruhinda</v>
          </cell>
          <cell r="D1017" t="str">
            <v>Mayanga</v>
          </cell>
          <cell r="E1017"/>
        </row>
        <row r="1018">
          <cell r="C1018" t="str">
            <v>Bunya</v>
          </cell>
          <cell r="D1018" t="str">
            <v>Mayuge Town Council</v>
          </cell>
          <cell r="E1018"/>
        </row>
        <row r="1019">
          <cell r="C1019" t="str">
            <v>Ndorwa</v>
          </cell>
          <cell r="D1019" t="str">
            <v>Maziba</v>
          </cell>
          <cell r="E1019"/>
        </row>
        <row r="1020">
          <cell r="C1020" t="str">
            <v>Bunyole</v>
          </cell>
          <cell r="D1020" t="str">
            <v>Mazimasa</v>
          </cell>
          <cell r="E1020"/>
        </row>
        <row r="1021">
          <cell r="C1021" t="str">
            <v>Kyamuswa</v>
          </cell>
          <cell r="D1021" t="str">
            <v>Mazinga</v>
          </cell>
          <cell r="E1021"/>
        </row>
        <row r="1022">
          <cell r="C1022" t="str">
            <v>Bukanga</v>
          </cell>
          <cell r="D1022" t="str">
            <v>Mbaare</v>
          </cell>
          <cell r="E1022"/>
        </row>
        <row r="1023">
          <cell r="C1023" t="str">
            <v>Buzaaya</v>
          </cell>
          <cell r="D1023" t="str">
            <v>Mbulamuti</v>
          </cell>
          <cell r="E1023"/>
        </row>
        <row r="1024">
          <cell r="C1024" t="str">
            <v>Tororo</v>
          </cell>
          <cell r="D1024" t="str">
            <v>Mella</v>
          </cell>
          <cell r="E1024"/>
        </row>
        <row r="1025">
          <cell r="C1025" t="str">
            <v>Busiro</v>
          </cell>
          <cell r="D1025" t="str">
            <v>Mende</v>
          </cell>
          <cell r="E1025"/>
        </row>
        <row r="1026">
          <cell r="C1026" t="str">
            <v>Tororo</v>
          </cell>
          <cell r="D1026" t="str">
            <v>Merikit</v>
          </cell>
          <cell r="E1026"/>
        </row>
        <row r="1027">
          <cell r="C1027" t="str">
            <v>West Moyo</v>
          </cell>
          <cell r="D1027" t="str">
            <v>Metu</v>
          </cell>
          <cell r="E1027"/>
        </row>
        <row r="1028">
          <cell r="C1028" t="str">
            <v>Koboko</v>
          </cell>
          <cell r="D1028" t="str">
            <v>Midia</v>
          </cell>
          <cell r="E1028"/>
        </row>
        <row r="1029">
          <cell r="C1029" t="str">
            <v>Aringa</v>
          </cell>
          <cell r="D1029" t="str">
            <v>Midigo</v>
          </cell>
          <cell r="E1029"/>
        </row>
        <row r="1030">
          <cell r="C1030" t="str">
            <v>Buruli</v>
          </cell>
          <cell r="D1030" t="str">
            <v>Migeera Town Council</v>
          </cell>
          <cell r="E1030"/>
        </row>
        <row r="1031">
          <cell r="C1031" t="str">
            <v>Buruli</v>
          </cell>
          <cell r="D1031" t="str">
            <v>Miirya</v>
          </cell>
          <cell r="E1031"/>
        </row>
        <row r="1032">
          <cell r="C1032" t="str">
            <v>Mawogola</v>
          </cell>
          <cell r="D1032" t="str">
            <v>Mijwala</v>
          </cell>
          <cell r="E1032"/>
        </row>
        <row r="1033">
          <cell r="C1033" t="str">
            <v>Oyam</v>
          </cell>
          <cell r="D1033" t="str">
            <v>Minakulu</v>
          </cell>
          <cell r="E1033"/>
        </row>
        <row r="1034">
          <cell r="C1034" t="str">
            <v>Bwamba</v>
          </cell>
          <cell r="D1034" t="str">
            <v>Mirambi</v>
          </cell>
          <cell r="E1034"/>
        </row>
        <row r="1035">
          <cell r="C1035" t="str">
            <v>Ruhinda</v>
          </cell>
          <cell r="D1035" t="str">
            <v>Mitooma</v>
          </cell>
          <cell r="E1035"/>
        </row>
        <row r="1036">
          <cell r="C1036" t="str">
            <v>Ruhinda</v>
          </cell>
          <cell r="D1036" t="str">
            <v>Mitooma Town Council</v>
          </cell>
          <cell r="E1036"/>
        </row>
        <row r="1037">
          <cell r="C1037" t="str">
            <v>Tororo</v>
          </cell>
          <cell r="D1037" t="str">
            <v>Molo</v>
          </cell>
          <cell r="E1037"/>
        </row>
        <row r="1038">
          <cell r="C1038" t="str">
            <v>Chekwii</v>
          </cell>
          <cell r="D1038" t="str">
            <v>Moruita</v>
          </cell>
          <cell r="E1038"/>
        </row>
        <row r="1039">
          <cell r="C1039" t="str">
            <v>Labwor</v>
          </cell>
          <cell r="D1039" t="str">
            <v>Morulem</v>
          </cell>
          <cell r="E1039"/>
        </row>
        <row r="1040">
          <cell r="C1040" t="str">
            <v>Amuria</v>
          </cell>
          <cell r="D1040" t="str">
            <v>Morungatuny</v>
          </cell>
          <cell r="E1040"/>
        </row>
        <row r="1041">
          <cell r="C1041" t="str">
            <v>West Moyo</v>
          </cell>
          <cell r="D1041" t="str">
            <v>Moyo</v>
          </cell>
          <cell r="E1041"/>
        </row>
        <row r="1042">
          <cell r="C1042" t="str">
            <v>West Moyo</v>
          </cell>
          <cell r="D1042" t="str">
            <v>Moyo Town Council</v>
          </cell>
          <cell r="E1042"/>
        </row>
        <row r="1043">
          <cell r="C1043" t="str">
            <v>Kween</v>
          </cell>
          <cell r="D1043" t="str">
            <v>Moyok</v>
          </cell>
          <cell r="E1043"/>
        </row>
        <row r="1044">
          <cell r="C1044" t="str">
            <v>Kyaka</v>
          </cell>
          <cell r="D1044" t="str">
            <v>Mpara</v>
          </cell>
          <cell r="E1044"/>
        </row>
        <row r="1045">
          <cell r="C1045" t="str">
            <v>Makindye Ssabagabo Municipality</v>
          </cell>
          <cell r="D1045" t="str">
            <v>Masajja Division</v>
          </cell>
          <cell r="E1045"/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/>
        </row>
        <row r="1047">
          <cell r="C1047" t="str">
            <v>Bugangaizi</v>
          </cell>
          <cell r="D1047" t="str">
            <v>Mpasaana</v>
          </cell>
          <cell r="E1047"/>
        </row>
        <row r="1048">
          <cell r="C1048" t="str">
            <v>Mukono</v>
          </cell>
          <cell r="D1048" t="str">
            <v>Mpatta</v>
          </cell>
          <cell r="E1048"/>
        </row>
        <row r="1049">
          <cell r="C1049" t="str">
            <v>Buyaga</v>
          </cell>
          <cell r="D1049" t="str">
            <v>Mpeefu</v>
          </cell>
          <cell r="E1049"/>
        </row>
        <row r="1050">
          <cell r="C1050" t="str">
            <v>Gomba</v>
          </cell>
          <cell r="D1050" t="str">
            <v>Mpenja</v>
          </cell>
          <cell r="E1050"/>
        </row>
        <row r="1051">
          <cell r="C1051" t="str">
            <v>Mawokota</v>
          </cell>
          <cell r="D1051" t="str">
            <v>Mpigi Town Council</v>
          </cell>
          <cell r="E1051"/>
        </row>
        <row r="1052">
          <cell r="C1052" t="str">
            <v>Bukonzo</v>
          </cell>
          <cell r="D1052" t="str">
            <v>Mpondwe-Lhubiriha</v>
          </cell>
          <cell r="E1052"/>
        </row>
        <row r="1053">
          <cell r="C1053" t="str">
            <v>Kabula</v>
          </cell>
          <cell r="D1053" t="str">
            <v>Mpumudde</v>
          </cell>
          <cell r="E1053"/>
        </row>
        <row r="1054">
          <cell r="C1054" t="str">
            <v>Makindye Ssabagabo Municipality</v>
          </cell>
          <cell r="D1054" t="str">
            <v>Ndejje Division</v>
          </cell>
          <cell r="E1054"/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/>
        </row>
        <row r="1056">
          <cell r="C1056" t="str">
            <v>Kinkiizi</v>
          </cell>
          <cell r="D1056" t="str">
            <v>Mpungu</v>
          </cell>
          <cell r="E1056"/>
        </row>
        <row r="1057">
          <cell r="C1057" t="str">
            <v>Bunya</v>
          </cell>
          <cell r="D1057" t="str">
            <v>Mpungwe</v>
          </cell>
          <cell r="E1057"/>
        </row>
        <row r="1058">
          <cell r="C1058" t="str">
            <v>Chua</v>
          </cell>
          <cell r="D1058" t="str">
            <v>Mucwini</v>
          </cell>
          <cell r="E1058"/>
        </row>
        <row r="1059">
          <cell r="C1059" t="str">
            <v>Mawokota</v>
          </cell>
          <cell r="D1059" t="str">
            <v>Muduuma</v>
          </cell>
          <cell r="E1059"/>
        </row>
        <row r="1060">
          <cell r="C1060" t="str">
            <v>Buyanja</v>
          </cell>
          <cell r="D1060" t="str">
            <v>Mugarama</v>
          </cell>
          <cell r="E1060"/>
        </row>
        <row r="1061">
          <cell r="C1061" t="str">
            <v>Iki-Iki</v>
          </cell>
          <cell r="D1061" t="str">
            <v>Mugiti</v>
          </cell>
          <cell r="E1061"/>
        </row>
        <row r="1062">
          <cell r="C1062" t="str">
            <v>Bujumba</v>
          </cell>
          <cell r="D1062" t="str">
            <v>Mugoye</v>
          </cell>
          <cell r="E1062"/>
        </row>
        <row r="1063">
          <cell r="C1063" t="str">
            <v>Burahya</v>
          </cell>
          <cell r="D1063" t="str">
            <v>Mugusu</v>
          </cell>
          <cell r="E1063"/>
        </row>
        <row r="1064">
          <cell r="C1064" t="str">
            <v>Burahya</v>
          </cell>
          <cell r="D1064" t="str">
            <v>Mugusu Town Council</v>
          </cell>
          <cell r="E1064"/>
        </row>
        <row r="1065">
          <cell r="C1065" t="str">
            <v>Rukiga</v>
          </cell>
          <cell r="D1065" t="str">
            <v>Muhanga Town Council</v>
          </cell>
          <cell r="E1065"/>
        </row>
        <row r="1066">
          <cell r="C1066" t="str">
            <v>Busongora</v>
          </cell>
          <cell r="D1066" t="str">
            <v>Muhokya</v>
          </cell>
          <cell r="E1066"/>
        </row>
        <row r="1067">
          <cell r="C1067" t="str">
            <v>Buyaga</v>
          </cell>
          <cell r="D1067" t="str">
            <v>Muhorro</v>
          </cell>
          <cell r="E1067"/>
        </row>
        <row r="1068">
          <cell r="C1068" t="str">
            <v>Buyaga</v>
          </cell>
          <cell r="D1068" t="str">
            <v>Muhorro Town Council</v>
          </cell>
          <cell r="E1068"/>
        </row>
        <row r="1069">
          <cell r="C1069" t="str">
            <v>Rubanda</v>
          </cell>
          <cell r="D1069" t="str">
            <v>Muko</v>
          </cell>
          <cell r="E1069"/>
        </row>
        <row r="1070">
          <cell r="C1070" t="str">
            <v>Kumi</v>
          </cell>
          <cell r="D1070" t="str">
            <v>Mukongoro</v>
          </cell>
          <cell r="E1070"/>
        </row>
        <row r="1071">
          <cell r="C1071" t="str">
            <v>Namisindwa</v>
          </cell>
          <cell r="D1071" t="str">
            <v>Mukoto</v>
          </cell>
          <cell r="E1071"/>
        </row>
        <row r="1072">
          <cell r="C1072" t="str">
            <v>Tororo</v>
          </cell>
          <cell r="D1072" t="str">
            <v>Mukuju</v>
          </cell>
          <cell r="E1072"/>
        </row>
        <row r="1073">
          <cell r="C1073" t="str">
            <v>Bukoto</v>
          </cell>
          <cell r="D1073" t="str">
            <v>Mukungwe</v>
          </cell>
          <cell r="E1073"/>
        </row>
        <row r="1074">
          <cell r="C1074" t="str">
            <v>Ngora</v>
          </cell>
          <cell r="D1074" t="str">
            <v>Mukura</v>
          </cell>
          <cell r="E1074"/>
        </row>
        <row r="1075">
          <cell r="C1075" t="str">
            <v>Kiboga</v>
          </cell>
          <cell r="D1075" t="str">
            <v>Mulagi</v>
          </cell>
          <cell r="E1075"/>
        </row>
        <row r="1076">
          <cell r="C1076" t="str">
            <v>West Budama</v>
          </cell>
          <cell r="D1076" t="str">
            <v>Mulanda</v>
          </cell>
          <cell r="E1076"/>
        </row>
        <row r="1077">
          <cell r="C1077" t="str">
            <v>Tingey</v>
          </cell>
          <cell r="D1077" t="str">
            <v>Munarya</v>
          </cell>
          <cell r="E1077"/>
        </row>
        <row r="1078">
          <cell r="C1078" t="str">
            <v>Bukonzo</v>
          </cell>
          <cell r="D1078" t="str">
            <v>Munkunyu</v>
          </cell>
          <cell r="E1078"/>
        </row>
        <row r="1079">
          <cell r="C1079" t="str">
            <v>Kioga</v>
          </cell>
          <cell r="D1079" t="str">
            <v>Muntu</v>
          </cell>
          <cell r="E1079"/>
        </row>
        <row r="1080">
          <cell r="C1080" t="str">
            <v>Bufumbira</v>
          </cell>
          <cell r="D1080" t="str">
            <v>Muramba</v>
          </cell>
          <cell r="E1080"/>
        </row>
        <row r="1081">
          <cell r="C1081" t="str">
            <v>Bufumbira</v>
          </cell>
          <cell r="D1081" t="str">
            <v>Murora</v>
          </cell>
          <cell r="E1081"/>
        </row>
        <row r="1082">
          <cell r="C1082" t="str">
            <v>Ruhinda</v>
          </cell>
          <cell r="D1082" t="str">
            <v>Mutara</v>
          </cell>
          <cell r="E1082"/>
        </row>
        <row r="1083">
          <cell r="C1083" t="str">
            <v>Bukooli North</v>
          </cell>
          <cell r="D1083" t="str">
            <v>Muterere</v>
          </cell>
          <cell r="E1083"/>
        </row>
        <row r="1084">
          <cell r="C1084" t="str">
            <v>Bukooli</v>
          </cell>
          <cell r="D1084" t="str">
            <v>Mutumba</v>
          </cell>
          <cell r="E1084"/>
        </row>
        <row r="1085">
          <cell r="C1085" t="str">
            <v>Kibanda</v>
          </cell>
          <cell r="D1085" t="str">
            <v>Mutunda</v>
          </cell>
          <cell r="E1085"/>
        </row>
        <row r="1086">
          <cell r="C1086" t="str">
            <v>Kiboga</v>
          </cell>
          <cell r="D1086" t="str">
            <v>Muwanga</v>
          </cell>
          <cell r="E1086"/>
        </row>
        <row r="1087">
          <cell r="C1087" t="str">
            <v>Bulambuli</v>
          </cell>
          <cell r="D1087" t="str">
            <v>Muyembe</v>
          </cell>
          <cell r="E1087"/>
        </row>
        <row r="1088">
          <cell r="C1088" t="str">
            <v>Rwampara</v>
          </cell>
          <cell r="D1088" t="str">
            <v>Mwizi</v>
          </cell>
          <cell r="E1088"/>
        </row>
        <row r="1089">
          <cell r="C1089" t="str">
            <v>Kassanda</v>
          </cell>
          <cell r="D1089" t="str">
            <v>Myanzi</v>
          </cell>
          <cell r="E1089"/>
        </row>
        <row r="1090">
          <cell r="C1090" t="str">
            <v>Oyam</v>
          </cell>
          <cell r="D1090" t="str">
            <v>Myene</v>
          </cell>
          <cell r="E1090"/>
        </row>
        <row r="1091">
          <cell r="C1091" t="str">
            <v>Nakifuma</v>
          </cell>
          <cell r="D1091" t="str">
            <v>Nabbaale</v>
          </cell>
          <cell r="E1091"/>
        </row>
        <row r="1092">
          <cell r="C1092" t="str">
            <v>Bulambuli</v>
          </cell>
          <cell r="D1092" t="str">
            <v>Nabbongo</v>
          </cell>
          <cell r="E1092"/>
        </row>
        <row r="1093">
          <cell r="C1093" t="str">
            <v>Kyotera</v>
          </cell>
          <cell r="D1093" t="str">
            <v>Nabigasa</v>
          </cell>
          <cell r="E1093"/>
        </row>
        <row r="1094">
          <cell r="C1094" t="str">
            <v>Pian</v>
          </cell>
          <cell r="D1094" t="str">
            <v>Nabilatuk</v>
          </cell>
          <cell r="E1094"/>
        </row>
        <row r="1095">
          <cell r="C1095" t="str">
            <v>Kasambya</v>
          </cell>
          <cell r="D1095" t="str">
            <v>Nabingoola</v>
          </cell>
          <cell r="E1095"/>
        </row>
        <row r="1096">
          <cell r="C1096" t="str">
            <v>Buruli</v>
          </cell>
          <cell r="D1096" t="str">
            <v>Nabisweera</v>
          </cell>
          <cell r="E1096"/>
        </row>
        <row r="1097">
          <cell r="C1097" t="str">
            <v>Kigulu</v>
          </cell>
          <cell r="D1097" t="str">
            <v>Nabitende</v>
          </cell>
          <cell r="E1097"/>
        </row>
        <row r="1098">
          <cell r="C1098" t="str">
            <v>Budaka</v>
          </cell>
          <cell r="D1098" t="str">
            <v>Naboa</v>
          </cell>
          <cell r="E1098"/>
        </row>
        <row r="1099">
          <cell r="C1099" t="str">
            <v>Bukooli North</v>
          </cell>
          <cell r="D1099" t="str">
            <v>Nabukalu</v>
          </cell>
          <cell r="E1099"/>
        </row>
        <row r="1100">
          <cell r="C1100" t="str">
            <v>Bungokho</v>
          </cell>
          <cell r="D1100" t="str">
            <v>Nabumali Town Council</v>
          </cell>
          <cell r="E1100"/>
        </row>
        <row r="1101">
          <cell r="C1101" t="str">
            <v>West Budama</v>
          </cell>
          <cell r="D1101" t="str">
            <v>Nabuyoga</v>
          </cell>
          <cell r="E1101"/>
        </row>
        <row r="1102">
          <cell r="C1102" t="str">
            <v>Masaka Municipality</v>
          </cell>
          <cell r="D1102" t="str">
            <v>Katwe-Butego Division</v>
          </cell>
          <cell r="E1102"/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/>
          <cell r="F1103"/>
        </row>
        <row r="1104">
          <cell r="C1104" t="str">
            <v>Busiki</v>
          </cell>
          <cell r="D1104" t="str">
            <v>Nabweyo</v>
          </cell>
          <cell r="E1104"/>
          <cell r="F1104"/>
        </row>
        <row r="1105">
          <cell r="C1105" t="str">
            <v>Bugabula</v>
          </cell>
          <cell r="D1105" t="str">
            <v>Nabwigulu</v>
          </cell>
          <cell r="E1105"/>
          <cell r="F1105"/>
        </row>
        <row r="1106">
          <cell r="C1106" t="str">
            <v>Matheniko</v>
          </cell>
          <cell r="D1106" t="str">
            <v>Nadunget</v>
          </cell>
          <cell r="E1106"/>
          <cell r="F1106"/>
        </row>
        <row r="1107">
          <cell r="C1107" t="str">
            <v>Nakifuma</v>
          </cell>
          <cell r="D1107" t="str">
            <v>Nagojje</v>
          </cell>
          <cell r="E1107"/>
          <cell r="F1107"/>
        </row>
        <row r="1108">
          <cell r="C1108" t="str">
            <v>West Budama</v>
          </cell>
          <cell r="D1108" t="str">
            <v>Nagongera</v>
          </cell>
          <cell r="E1108"/>
          <cell r="F1108"/>
        </row>
        <row r="1109">
          <cell r="C1109" t="str">
            <v>West Budama</v>
          </cell>
          <cell r="D1109" t="str">
            <v>Nagongera Town Council</v>
          </cell>
          <cell r="E1109"/>
          <cell r="F1109"/>
        </row>
        <row r="1110">
          <cell r="C1110" t="str">
            <v>Buvuma Island</v>
          </cell>
          <cell r="D1110" t="str">
            <v>Nairambi</v>
          </cell>
          <cell r="E1110"/>
          <cell r="F1110"/>
        </row>
        <row r="1111">
          <cell r="C1111" t="str">
            <v>Buikwe</v>
          </cell>
          <cell r="D1111" t="str">
            <v>Najja</v>
          </cell>
          <cell r="E1111"/>
          <cell r="F1111"/>
        </row>
        <row r="1112">
          <cell r="C1112" t="str">
            <v>Masaka Municipality</v>
          </cell>
          <cell r="D1112" t="str">
            <v>Kimaanya-Kyabakuza Division</v>
          </cell>
          <cell r="E1112"/>
          <cell r="F1112"/>
        </row>
        <row r="1113">
          <cell r="C1113" t="str">
            <v>Kigulu</v>
          </cell>
          <cell r="D1113" t="str">
            <v>Nakalama</v>
          </cell>
          <cell r="E1113"/>
          <cell r="F1113"/>
        </row>
        <row r="1114">
          <cell r="C1114" t="str">
            <v>Bungokho</v>
          </cell>
          <cell r="D1114" t="str">
            <v>Nakaloke</v>
          </cell>
          <cell r="E1114"/>
          <cell r="F1114"/>
        </row>
        <row r="1115">
          <cell r="C1115" t="str">
            <v>Bungokho</v>
          </cell>
          <cell r="D1115" t="str">
            <v>Nakaloke Town Council</v>
          </cell>
          <cell r="E1115"/>
          <cell r="F1115"/>
        </row>
        <row r="1116">
          <cell r="C1116" t="str">
            <v>Jie</v>
          </cell>
          <cell r="D1116" t="str">
            <v>Nakapelimoru</v>
          </cell>
          <cell r="E1116"/>
          <cell r="F1116"/>
        </row>
        <row r="1117">
          <cell r="C1117" t="str">
            <v>Chekwii</v>
          </cell>
          <cell r="D1117" t="str">
            <v>Nakapiripirit Town Council</v>
          </cell>
          <cell r="E1117"/>
          <cell r="F1117"/>
        </row>
        <row r="1118">
          <cell r="C1118" t="str">
            <v>Nakaseke</v>
          </cell>
          <cell r="D1118" t="str">
            <v>Nakaseke</v>
          </cell>
          <cell r="E1118"/>
          <cell r="F1118"/>
        </row>
        <row r="1119">
          <cell r="C1119" t="str">
            <v>Nakaseke</v>
          </cell>
          <cell r="D1119" t="str">
            <v>Nakaseke Town Council</v>
          </cell>
          <cell r="E1119"/>
          <cell r="F1119"/>
        </row>
        <row r="1120">
          <cell r="C1120" t="str">
            <v>Buruli</v>
          </cell>
          <cell r="D1120" t="str">
            <v>Nakasongola Town Council</v>
          </cell>
          <cell r="E1120"/>
          <cell r="F1120"/>
        </row>
        <row r="1121">
          <cell r="C1121" t="str">
            <v>Manjiya</v>
          </cell>
          <cell r="D1121" t="str">
            <v>Nakatsi</v>
          </cell>
          <cell r="E1121"/>
          <cell r="F1121"/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/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/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/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/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/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/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/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/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/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/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/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/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/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/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/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/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/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/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/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/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/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/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/>
        </row>
        <row r="1145">
          <cell r="C1145" t="str">
            <v>Kigulu</v>
          </cell>
          <cell r="D1145" t="str">
            <v>Nakigo</v>
          </cell>
          <cell r="E1145"/>
          <cell r="F1145"/>
        </row>
        <row r="1146">
          <cell r="C1146" t="str">
            <v>Mukono</v>
          </cell>
          <cell r="D1146" t="str">
            <v>Nakisunga</v>
          </cell>
          <cell r="E1146"/>
          <cell r="F1146"/>
        </row>
        <row r="1147">
          <cell r="C1147" t="str">
            <v>Buruli</v>
          </cell>
          <cell r="D1147" t="str">
            <v>Nakitoma</v>
          </cell>
          <cell r="E1147"/>
          <cell r="F1147"/>
        </row>
        <row r="1148">
          <cell r="C1148" t="str">
            <v>Bukanga</v>
          </cell>
          <cell r="D1148" t="str">
            <v>Nakivale Refugee Camp</v>
          </cell>
          <cell r="E1148"/>
          <cell r="F1148"/>
        </row>
        <row r="1149">
          <cell r="C1149" t="str">
            <v>Bubulo</v>
          </cell>
          <cell r="D1149" t="str">
            <v>Nalondo</v>
          </cell>
          <cell r="E1149"/>
          <cell r="F1149"/>
        </row>
        <row r="1150">
          <cell r="C1150" t="str">
            <v>Budadiri</v>
          </cell>
          <cell r="D1150" t="str">
            <v>Nalusala</v>
          </cell>
          <cell r="E1150"/>
          <cell r="F1150"/>
        </row>
        <row r="1151">
          <cell r="C1151" t="str">
            <v>Manjiya</v>
          </cell>
          <cell r="D1151" t="str">
            <v>Nalwanza</v>
          </cell>
          <cell r="E1151"/>
          <cell r="F1151"/>
        </row>
        <row r="1152">
          <cell r="C1152" t="str">
            <v>Bugangaizi</v>
          </cell>
          <cell r="D1152" t="str">
            <v>Nalweyo</v>
          </cell>
          <cell r="E1152"/>
          <cell r="F1152"/>
        </row>
        <row r="1153">
          <cell r="C1153" t="str">
            <v>Mukono</v>
          </cell>
          <cell r="D1153" t="str">
            <v>Nama</v>
          </cell>
          <cell r="E1153"/>
          <cell r="F1153"/>
        </row>
        <row r="1154">
          <cell r="C1154" t="str">
            <v>Namisindwa</v>
          </cell>
          <cell r="D1154" t="str">
            <v>Namabya</v>
          </cell>
          <cell r="E1154"/>
          <cell r="F1154"/>
        </row>
        <row r="1155">
          <cell r="C1155" t="str">
            <v>Bugweri</v>
          </cell>
          <cell r="D1155" t="str">
            <v>Namalemba</v>
          </cell>
          <cell r="E1155"/>
          <cell r="F1155"/>
        </row>
        <row r="1156">
          <cell r="C1156" t="str">
            <v>Chekwii</v>
          </cell>
          <cell r="D1156" t="str">
            <v>Namalu</v>
          </cell>
          <cell r="E1156"/>
          <cell r="F1156"/>
        </row>
        <row r="1157">
          <cell r="C1157" t="str">
            <v>Bungokho</v>
          </cell>
          <cell r="D1157" t="str">
            <v>Namanyonyi</v>
          </cell>
          <cell r="E1157"/>
          <cell r="F1157"/>
        </row>
        <row r="1158">
          <cell r="C1158" t="str">
            <v>Bugabula</v>
          </cell>
          <cell r="D1158" t="str">
            <v>Namasagali</v>
          </cell>
          <cell r="E1158"/>
          <cell r="F1158"/>
        </row>
        <row r="1159">
          <cell r="C1159" t="str">
            <v>Kioga</v>
          </cell>
          <cell r="D1159" t="str">
            <v>Namasale</v>
          </cell>
          <cell r="E1159"/>
          <cell r="F1159"/>
        </row>
        <row r="1160">
          <cell r="C1160" t="str">
            <v>Kioga</v>
          </cell>
          <cell r="D1160" t="str">
            <v>Namasale Town Council</v>
          </cell>
          <cell r="E1160"/>
          <cell r="F1160"/>
        </row>
        <row r="1161">
          <cell r="C1161" t="str">
            <v>Bukooli</v>
          </cell>
          <cell r="D1161" t="str">
            <v>Namayingo Town Council</v>
          </cell>
          <cell r="E1161"/>
          <cell r="F1161"/>
        </row>
        <row r="1162">
          <cell r="C1162" t="str">
            <v>Busiro</v>
          </cell>
          <cell r="D1162" t="str">
            <v>Namayumba</v>
          </cell>
          <cell r="E1162"/>
          <cell r="F1162"/>
        </row>
        <row r="1163">
          <cell r="C1163" t="str">
            <v>Busiro</v>
          </cell>
          <cell r="D1163" t="str">
            <v>Namayumba Town Council</v>
          </cell>
          <cell r="E1163"/>
          <cell r="F1163"/>
        </row>
        <row r="1164">
          <cell r="C1164" t="str">
            <v>Kigulu</v>
          </cell>
          <cell r="D1164" t="str">
            <v>Nambale</v>
          </cell>
          <cell r="E1164"/>
          <cell r="F1164"/>
        </row>
        <row r="1165">
          <cell r="C1165" t="str">
            <v>Kwania</v>
          </cell>
          <cell r="D1165" t="str">
            <v>Nambieso</v>
          </cell>
          <cell r="E1165"/>
          <cell r="F1165"/>
        </row>
        <row r="1166">
          <cell r="C1166" t="str">
            <v>Namisindwa</v>
          </cell>
          <cell r="D1166" t="str">
            <v>Namboko</v>
          </cell>
          <cell r="E1166"/>
          <cell r="F1166"/>
        </row>
        <row r="1167">
          <cell r="C1167" t="str">
            <v>Namisindwa</v>
          </cell>
          <cell r="D1167" t="str">
            <v>Namisindwa Town Council</v>
          </cell>
          <cell r="E1167"/>
          <cell r="F1167"/>
        </row>
        <row r="1168">
          <cell r="C1168" t="str">
            <v>Bulambuli</v>
          </cell>
          <cell r="D1168" t="str">
            <v>Namisuni</v>
          </cell>
          <cell r="E1168"/>
          <cell r="F1168"/>
        </row>
        <row r="1169">
          <cell r="C1169" t="str">
            <v>Chua</v>
          </cell>
          <cell r="D1169" t="str">
            <v>Namokora</v>
          </cell>
          <cell r="E1169"/>
          <cell r="F1169"/>
        </row>
        <row r="1170">
          <cell r="C1170" t="str">
            <v>Bulamogi</v>
          </cell>
          <cell r="D1170" t="str">
            <v>Namugongo</v>
          </cell>
          <cell r="E1170"/>
          <cell r="F1170"/>
        </row>
        <row r="1171">
          <cell r="C1171" t="str">
            <v>Masaka Municipality</v>
          </cell>
          <cell r="D1171" t="str">
            <v>Nyendo-Ssenyange Division</v>
          </cell>
          <cell r="E1171"/>
          <cell r="F1171"/>
        </row>
        <row r="1172">
          <cell r="C1172" t="str">
            <v>Kigulu</v>
          </cell>
          <cell r="D1172" t="str">
            <v>Namungalwe</v>
          </cell>
          <cell r="E1172"/>
        </row>
        <row r="1173">
          <cell r="C1173" t="str">
            <v>Mityana</v>
          </cell>
          <cell r="D1173" t="str">
            <v>Namungo</v>
          </cell>
          <cell r="E1173"/>
        </row>
        <row r="1174">
          <cell r="C1174" t="str">
            <v>Busiki</v>
          </cell>
          <cell r="D1174" t="str">
            <v>Namutumba</v>
          </cell>
          <cell r="E1174"/>
        </row>
        <row r="1175">
          <cell r="C1175" t="str">
            <v>Busiki</v>
          </cell>
          <cell r="D1175" t="str">
            <v>Namutumba Town Council</v>
          </cell>
          <cell r="E1175"/>
        </row>
        <row r="1176">
          <cell r="C1176" t="str">
            <v>Bugabula</v>
          </cell>
          <cell r="D1176" t="str">
            <v>Namwendwa</v>
          </cell>
          <cell r="E1176"/>
        </row>
        <row r="1177">
          <cell r="C1177" t="str">
            <v>Bulamogi</v>
          </cell>
          <cell r="D1177" t="str">
            <v>Namwiwa</v>
          </cell>
          <cell r="E1177"/>
        </row>
        <row r="1178">
          <cell r="C1178" t="str">
            <v>Busiki</v>
          </cell>
          <cell r="D1178" t="str">
            <v>Nangonde</v>
          </cell>
          <cell r="E1178"/>
        </row>
        <row r="1179">
          <cell r="C1179" t="str">
            <v>Bukooli North</v>
          </cell>
          <cell r="D1179" t="str">
            <v>Nankoma</v>
          </cell>
          <cell r="E1179"/>
        </row>
        <row r="1180">
          <cell r="C1180" t="str">
            <v>Masindi Municipality</v>
          </cell>
          <cell r="D1180" t="str">
            <v>Central Division</v>
          </cell>
          <cell r="E1180"/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/>
          <cell r="F1181"/>
        </row>
        <row r="1182">
          <cell r="C1182" t="str">
            <v>Bulamogi</v>
          </cell>
          <cell r="D1182" t="str">
            <v>Nansololo</v>
          </cell>
          <cell r="E1182"/>
          <cell r="F1182"/>
        </row>
        <row r="1183">
          <cell r="C1183" t="str">
            <v>Bokora</v>
          </cell>
          <cell r="D1183" t="str">
            <v>Napak Town Council</v>
          </cell>
          <cell r="E1183"/>
          <cell r="F1183"/>
        </row>
        <row r="1184">
          <cell r="C1184" t="str">
            <v>Dodoth</v>
          </cell>
          <cell r="D1184" t="str">
            <v>Napore Karenga</v>
          </cell>
          <cell r="E1184"/>
          <cell r="F1184"/>
        </row>
        <row r="1185">
          <cell r="C1185" t="str">
            <v>Bulamogi</v>
          </cell>
          <cell r="D1185" t="str">
            <v>Nawaikoke</v>
          </cell>
          <cell r="E1185"/>
          <cell r="F1185"/>
        </row>
        <row r="1186">
          <cell r="C1186" t="str">
            <v>Luuka</v>
          </cell>
          <cell r="D1186" t="str">
            <v>Nawampiti</v>
          </cell>
          <cell r="E1186"/>
          <cell r="F1186"/>
        </row>
        <row r="1187">
          <cell r="C1187" t="str">
            <v>Kigulu</v>
          </cell>
          <cell r="D1187" t="str">
            <v>Nawandala</v>
          </cell>
          <cell r="E1187"/>
          <cell r="F1187"/>
        </row>
        <row r="1188">
          <cell r="C1188" t="str">
            <v>Bunyole</v>
          </cell>
          <cell r="D1188" t="str">
            <v>Nawanjofu</v>
          </cell>
          <cell r="E1188"/>
          <cell r="F1188"/>
        </row>
        <row r="1189">
          <cell r="C1189" t="str">
            <v>Buzaaya</v>
          </cell>
          <cell r="D1189" t="str">
            <v>Nawanyago</v>
          </cell>
          <cell r="E1189"/>
          <cell r="F1189"/>
        </row>
        <row r="1190">
          <cell r="C1190" t="str">
            <v>Kigulu</v>
          </cell>
          <cell r="D1190" t="str">
            <v>Nawanyingi</v>
          </cell>
          <cell r="E1190"/>
          <cell r="F1190"/>
        </row>
        <row r="1191">
          <cell r="C1191" t="str">
            <v>Bunyole</v>
          </cell>
          <cell r="D1191" t="str">
            <v>Naweyo</v>
          </cell>
          <cell r="E1191"/>
          <cell r="F1191"/>
        </row>
        <row r="1192">
          <cell r="C1192" t="str">
            <v>Ntenjeru</v>
          </cell>
          <cell r="D1192" t="str">
            <v>Nazigo</v>
          </cell>
          <cell r="E1192"/>
          <cell r="F1192"/>
        </row>
        <row r="1193">
          <cell r="C1193" t="str">
            <v>Bukoto</v>
          </cell>
          <cell r="D1193" t="str">
            <v>Ndagwe</v>
          </cell>
          <cell r="E1193"/>
          <cell r="F1193"/>
        </row>
        <row r="1194">
          <cell r="C1194" t="str">
            <v>Buyaga</v>
          </cell>
          <cell r="D1194" t="str">
            <v>Ndaiga</v>
          </cell>
          <cell r="E1194"/>
          <cell r="F1194"/>
        </row>
        <row r="1195">
          <cell r="C1195" t="str">
            <v>Rwampara</v>
          </cell>
          <cell r="D1195" t="str">
            <v>Ndeija</v>
          </cell>
          <cell r="E1195"/>
          <cell r="F1195"/>
        </row>
        <row r="1196">
          <cell r="C1196" t="str">
            <v>Masindi Municipality</v>
          </cell>
          <cell r="D1196" t="str">
            <v>Karujubu Division</v>
          </cell>
          <cell r="E1196"/>
          <cell r="F1196"/>
        </row>
        <row r="1197">
          <cell r="C1197" t="str">
            <v>Padyere</v>
          </cell>
          <cell r="D1197" t="str">
            <v>Ndhew</v>
          </cell>
          <cell r="E1197"/>
          <cell r="F1197"/>
        </row>
        <row r="1198">
          <cell r="C1198" t="str">
            <v>Bughendera</v>
          </cell>
          <cell r="D1198" t="str">
            <v>Nduguto</v>
          </cell>
          <cell r="E1198"/>
          <cell r="F1198"/>
        </row>
        <row r="1199">
          <cell r="C1199" t="str">
            <v>Padyere</v>
          </cell>
          <cell r="D1199" t="str">
            <v>Nebbi</v>
          </cell>
          <cell r="E1199"/>
          <cell r="F1199"/>
        </row>
        <row r="1200">
          <cell r="C1200" t="str">
            <v>Oyam</v>
          </cell>
          <cell r="D1200" t="str">
            <v>Ngai</v>
          </cell>
          <cell r="E1200"/>
          <cell r="F1200"/>
        </row>
        <row r="1201">
          <cell r="C1201" t="str">
            <v>Bughendera</v>
          </cell>
          <cell r="D1201" t="str">
            <v>Ngamba</v>
          </cell>
          <cell r="E1201"/>
          <cell r="F1201"/>
        </row>
        <row r="1202">
          <cell r="C1202" t="str">
            <v>Butambala</v>
          </cell>
          <cell r="D1202" t="str">
            <v>Ngando</v>
          </cell>
          <cell r="E1202"/>
          <cell r="F1202"/>
        </row>
        <row r="1203">
          <cell r="C1203" t="str">
            <v>Bukanga</v>
          </cell>
          <cell r="D1203" t="str">
            <v>Ngarama</v>
          </cell>
          <cell r="E1203"/>
          <cell r="F1203"/>
        </row>
        <row r="1204">
          <cell r="C1204" t="str">
            <v>Usuk</v>
          </cell>
          <cell r="D1204" t="str">
            <v>Ngariam</v>
          </cell>
          <cell r="E1204"/>
          <cell r="F1204"/>
        </row>
        <row r="1205">
          <cell r="C1205" t="str">
            <v>Kween</v>
          </cell>
          <cell r="D1205" t="str">
            <v>Ngenge</v>
          </cell>
          <cell r="E1205"/>
          <cell r="F1205"/>
        </row>
        <row r="1206">
          <cell r="C1206" t="str">
            <v>Erute</v>
          </cell>
          <cell r="D1206" t="str">
            <v>Ngetta</v>
          </cell>
          <cell r="E1206"/>
          <cell r="F1206"/>
        </row>
        <row r="1207">
          <cell r="C1207" t="str">
            <v>Buikwe</v>
          </cell>
          <cell r="D1207" t="str">
            <v>Ngogwe</v>
          </cell>
          <cell r="E1207"/>
          <cell r="F1207"/>
        </row>
        <row r="1208">
          <cell r="C1208" t="str">
            <v>Bokora</v>
          </cell>
          <cell r="D1208" t="str">
            <v>Ngoleriet</v>
          </cell>
          <cell r="E1208"/>
          <cell r="F1208"/>
        </row>
        <row r="1209">
          <cell r="C1209" t="str">
            <v>Nakaseke</v>
          </cell>
          <cell r="D1209" t="str">
            <v>Ngoma</v>
          </cell>
          <cell r="E1209"/>
          <cell r="F1209"/>
        </row>
        <row r="1210">
          <cell r="C1210" t="str">
            <v>Rushenyi</v>
          </cell>
          <cell r="D1210" t="str">
            <v>Ngoma</v>
          </cell>
          <cell r="E1210"/>
          <cell r="F1210"/>
        </row>
        <row r="1211">
          <cell r="C1211" t="str">
            <v>Nakaseke</v>
          </cell>
          <cell r="D1211" t="str">
            <v>Ngoma Town Council</v>
          </cell>
          <cell r="E1211"/>
          <cell r="F1211"/>
        </row>
        <row r="1212">
          <cell r="C1212" t="str">
            <v>Ngora</v>
          </cell>
          <cell r="D1212" t="str">
            <v>Ngora</v>
          </cell>
          <cell r="E1212"/>
          <cell r="F1212"/>
        </row>
        <row r="1213">
          <cell r="C1213" t="str">
            <v>Ngora</v>
          </cell>
          <cell r="D1213" t="str">
            <v>Ngora Town Council</v>
          </cell>
          <cell r="E1213"/>
          <cell r="F1213"/>
        </row>
        <row r="1214">
          <cell r="C1214" t="str">
            <v>Buliisa</v>
          </cell>
          <cell r="D1214" t="str">
            <v>Ngwedo</v>
          </cell>
          <cell r="E1214"/>
          <cell r="F1214"/>
        </row>
        <row r="1215">
          <cell r="C1215" t="str">
            <v>Masindi Municipality</v>
          </cell>
          <cell r="D1215" t="str">
            <v>Kigulya Division</v>
          </cell>
          <cell r="E1215"/>
          <cell r="F1215"/>
        </row>
        <row r="1216">
          <cell r="C1216" t="str">
            <v>Kiboga</v>
          </cell>
          <cell r="D1216" t="str">
            <v>Nkandwa</v>
          </cell>
          <cell r="E1216"/>
          <cell r="F1216"/>
        </row>
        <row r="1217">
          <cell r="C1217" t="str">
            <v>Buikwe</v>
          </cell>
          <cell r="D1217" t="str">
            <v>Nkokonjeru Town Council</v>
          </cell>
          <cell r="E1217"/>
          <cell r="F1217"/>
        </row>
        <row r="1218">
          <cell r="C1218" t="str">
            <v>Kibale</v>
          </cell>
          <cell r="D1218" t="str">
            <v>Nkoma</v>
          </cell>
          <cell r="E1218"/>
          <cell r="F1218"/>
        </row>
        <row r="1219">
          <cell r="C1219" t="str">
            <v>Budiope</v>
          </cell>
          <cell r="D1219" t="str">
            <v>Nkondo</v>
          </cell>
          <cell r="E1219"/>
          <cell r="F1219"/>
        </row>
        <row r="1220">
          <cell r="C1220" t="str">
            <v>Bugangaizi</v>
          </cell>
          <cell r="D1220" t="str">
            <v>Nkooko</v>
          </cell>
          <cell r="E1220"/>
          <cell r="F1220"/>
        </row>
        <row r="1221">
          <cell r="C1221" t="str">
            <v>Mawokota</v>
          </cell>
          <cell r="D1221" t="str">
            <v>Nkozi</v>
          </cell>
          <cell r="E1221"/>
          <cell r="F1221"/>
        </row>
        <row r="1222">
          <cell r="C1222" t="str">
            <v>Kazo</v>
          </cell>
          <cell r="D1222" t="str">
            <v>Nkungu</v>
          </cell>
          <cell r="E1222"/>
          <cell r="F1222"/>
        </row>
        <row r="1223">
          <cell r="C1223" t="str">
            <v>Ntoroko</v>
          </cell>
          <cell r="D1223" t="str">
            <v>Nombe</v>
          </cell>
          <cell r="E1223"/>
          <cell r="F1223"/>
        </row>
        <row r="1224">
          <cell r="C1224" t="str">
            <v>Masindi Municipality</v>
          </cell>
          <cell r="D1224" t="str">
            <v>Nyangahya Division</v>
          </cell>
          <cell r="E1224"/>
          <cell r="F1224"/>
        </row>
        <row r="1225">
          <cell r="C1225" t="str">
            <v>Mbale Municipality</v>
          </cell>
          <cell r="D1225" t="str">
            <v>Industrial Divison</v>
          </cell>
          <cell r="E1225"/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/>
          <cell r="F1226"/>
        </row>
        <row r="1227">
          <cell r="C1227" t="str">
            <v>Mbale Municipality</v>
          </cell>
          <cell r="D1227" t="str">
            <v>Wanale Division</v>
          </cell>
          <cell r="E1227"/>
          <cell r="F1227"/>
        </row>
        <row r="1228">
          <cell r="C1228" t="str">
            <v>Mbarara Municipality</v>
          </cell>
          <cell r="D1228" t="str">
            <v>Biharwe Division</v>
          </cell>
          <cell r="E1228"/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/>
          <cell r="F1229"/>
        </row>
        <row r="1230">
          <cell r="C1230" t="str">
            <v>Mbarara Municipality</v>
          </cell>
          <cell r="D1230" t="str">
            <v>Kakoba Division</v>
          </cell>
          <cell r="E1230"/>
          <cell r="F1230"/>
        </row>
        <row r="1231">
          <cell r="C1231" t="str">
            <v>Mbarara Municipality</v>
          </cell>
          <cell r="D1231" t="str">
            <v>Kamukuzi Division</v>
          </cell>
          <cell r="E1231"/>
          <cell r="F1231"/>
        </row>
        <row r="1232">
          <cell r="C1232" t="str">
            <v>Mbarara Municipality</v>
          </cell>
          <cell r="D1232" t="str">
            <v>Nyakayojo Division</v>
          </cell>
          <cell r="E1232"/>
          <cell r="F1232"/>
        </row>
        <row r="1233">
          <cell r="C1233" t="str">
            <v>Kiboga</v>
          </cell>
          <cell r="D1233" t="str">
            <v>Nsambya</v>
          </cell>
          <cell r="E1233"/>
          <cell r="F1233"/>
        </row>
        <row r="1234">
          <cell r="C1234" t="str">
            <v>Buhweju</v>
          </cell>
          <cell r="D1234" t="str">
            <v>Nsiika Town Council</v>
          </cell>
          <cell r="E1234"/>
          <cell r="F1234"/>
        </row>
        <row r="1235">
          <cell r="C1235" t="str">
            <v>Busiki</v>
          </cell>
          <cell r="D1235" t="str">
            <v>Nsinze</v>
          </cell>
          <cell r="E1235"/>
          <cell r="F1235"/>
        </row>
        <row r="1236">
          <cell r="C1236" t="str">
            <v>Bughendera</v>
          </cell>
          <cell r="D1236" t="str">
            <v>Ntandi Town Council</v>
          </cell>
          <cell r="E1236"/>
          <cell r="F1236"/>
        </row>
        <row r="1237">
          <cell r="C1237" t="str">
            <v>Kitagwenda</v>
          </cell>
          <cell r="D1237" t="str">
            <v>Ntara</v>
          </cell>
          <cell r="E1237"/>
          <cell r="F1237"/>
        </row>
        <row r="1238">
          <cell r="C1238" t="str">
            <v>Mukono</v>
          </cell>
          <cell r="D1238" t="str">
            <v>Ntenjeru</v>
          </cell>
          <cell r="E1238"/>
          <cell r="F1238"/>
        </row>
        <row r="1239">
          <cell r="C1239" t="str">
            <v>Bughendera</v>
          </cell>
          <cell r="D1239" t="str">
            <v>Ntotoro</v>
          </cell>
          <cell r="E1239"/>
          <cell r="F1239"/>
        </row>
        <row r="1240">
          <cell r="C1240" t="str">
            <v>Nakifuma</v>
          </cell>
          <cell r="D1240" t="str">
            <v>Ntunda</v>
          </cell>
          <cell r="E1240"/>
          <cell r="F1240"/>
        </row>
        <row r="1241">
          <cell r="C1241" t="str">
            <v>Ruhaama</v>
          </cell>
          <cell r="D1241" t="str">
            <v>Ntungamo</v>
          </cell>
          <cell r="E1241"/>
          <cell r="F1241"/>
        </row>
        <row r="1242">
          <cell r="C1242" t="str">
            <v>Lwemiyaga</v>
          </cell>
          <cell r="D1242" t="str">
            <v>Ntuusi</v>
          </cell>
          <cell r="E1242"/>
          <cell r="F1242"/>
        </row>
        <row r="1243">
          <cell r="C1243" t="str">
            <v>Kiboga</v>
          </cell>
          <cell r="D1243" t="str">
            <v>Ntwetwe</v>
          </cell>
          <cell r="E1243"/>
          <cell r="F1243"/>
        </row>
        <row r="1244">
          <cell r="C1244" t="str">
            <v>Kiboga</v>
          </cell>
          <cell r="D1244" t="str">
            <v>Ntwetwe Town Council</v>
          </cell>
          <cell r="E1244"/>
          <cell r="F1244"/>
        </row>
        <row r="1245">
          <cell r="C1245" t="str">
            <v>Kitagwenda</v>
          </cell>
          <cell r="D1245" t="str">
            <v>Nyabbani</v>
          </cell>
          <cell r="E1245"/>
          <cell r="F1245"/>
        </row>
        <row r="1246">
          <cell r="C1246" t="str">
            <v>Kajara</v>
          </cell>
          <cell r="D1246" t="str">
            <v>Nyabihoko</v>
          </cell>
          <cell r="E1246"/>
          <cell r="F1246"/>
        </row>
        <row r="1247">
          <cell r="C1247" t="str">
            <v>Igara</v>
          </cell>
          <cell r="D1247" t="str">
            <v>Nyabubare</v>
          </cell>
          <cell r="E1247"/>
          <cell r="F1247"/>
        </row>
        <row r="1248">
          <cell r="C1248" t="str">
            <v>Mwenge</v>
          </cell>
          <cell r="D1248" t="str">
            <v>Nyabuharwa</v>
          </cell>
          <cell r="E1248"/>
          <cell r="F1248"/>
        </row>
        <row r="1249">
          <cell r="C1249" t="str">
            <v>Bufumbira</v>
          </cell>
          <cell r="D1249" t="str">
            <v>Nyabwishenya</v>
          </cell>
          <cell r="E1249"/>
          <cell r="F1249"/>
        </row>
        <row r="1250">
          <cell r="C1250" t="str">
            <v>Maracha</v>
          </cell>
          <cell r="D1250" t="str">
            <v>Nyadri</v>
          </cell>
          <cell r="E1250"/>
          <cell r="F1250"/>
        </row>
        <row r="1251">
          <cell r="C1251" t="str">
            <v>Bwamba</v>
          </cell>
          <cell r="D1251" t="str">
            <v>Nyahuka Town Council</v>
          </cell>
          <cell r="E1251"/>
          <cell r="F1251"/>
        </row>
        <row r="1252">
          <cell r="C1252" t="str">
            <v>Bufumbira</v>
          </cell>
          <cell r="D1252" t="str">
            <v>Nyakabande</v>
          </cell>
          <cell r="E1252"/>
          <cell r="F1252"/>
        </row>
        <row r="1253">
          <cell r="C1253" t="str">
            <v>Mbarara Municipality</v>
          </cell>
          <cell r="D1253" t="str">
            <v>Nyamitanga Division</v>
          </cell>
          <cell r="E1253"/>
          <cell r="F1253"/>
        </row>
        <row r="1254">
          <cell r="C1254" t="str">
            <v>Rujumbura</v>
          </cell>
          <cell r="D1254" t="str">
            <v>Nyakagyeme</v>
          </cell>
          <cell r="E1254"/>
        </row>
        <row r="1255">
          <cell r="C1255" t="str">
            <v>Nyabushozi</v>
          </cell>
          <cell r="D1255" t="str">
            <v>Nyakashashara</v>
          </cell>
          <cell r="E1255"/>
        </row>
        <row r="1256">
          <cell r="C1256" t="str">
            <v>Bukonzo</v>
          </cell>
          <cell r="D1256" t="str">
            <v>Nyakatonzi</v>
          </cell>
          <cell r="E1256"/>
        </row>
        <row r="1257">
          <cell r="C1257" t="str">
            <v>Mityana Municipality</v>
          </cell>
          <cell r="D1257" t="str">
            <v>Busimbi Division</v>
          </cell>
          <cell r="E1257"/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/>
          <cell r="F1258"/>
        </row>
        <row r="1259">
          <cell r="C1259" t="str">
            <v>Kinkiizi</v>
          </cell>
          <cell r="D1259" t="str">
            <v>Nyakinoni</v>
          </cell>
          <cell r="E1259"/>
          <cell r="F1259"/>
        </row>
        <row r="1260">
          <cell r="C1260" t="str">
            <v>Buhweju</v>
          </cell>
          <cell r="D1260" t="str">
            <v>Nyakishana</v>
          </cell>
          <cell r="E1260"/>
          <cell r="F1260"/>
        </row>
        <row r="1261">
          <cell r="C1261" t="str">
            <v>Rubabo</v>
          </cell>
          <cell r="D1261" t="str">
            <v>Nyakishenyi</v>
          </cell>
          <cell r="E1261"/>
          <cell r="F1261"/>
        </row>
        <row r="1262">
          <cell r="C1262" t="str">
            <v>Isingiro</v>
          </cell>
          <cell r="D1262" t="str">
            <v>Nyakitunda</v>
          </cell>
          <cell r="E1262"/>
          <cell r="F1262"/>
        </row>
        <row r="1263">
          <cell r="C1263" t="str">
            <v>Bukonzo</v>
          </cell>
          <cell r="D1263" t="str">
            <v>Nyakiyumbu</v>
          </cell>
          <cell r="E1263"/>
          <cell r="F1263"/>
        </row>
        <row r="1264">
          <cell r="C1264" t="str">
            <v>Labwor</v>
          </cell>
          <cell r="D1264" t="str">
            <v>Nyakwae</v>
          </cell>
          <cell r="E1264"/>
          <cell r="F1264"/>
        </row>
        <row r="1265">
          <cell r="C1265" t="str">
            <v>Ruhaama</v>
          </cell>
          <cell r="D1265" t="str">
            <v>Nyakyera</v>
          </cell>
          <cell r="E1265"/>
          <cell r="F1265"/>
        </row>
        <row r="1266">
          <cell r="C1266" t="str">
            <v>Ibanda</v>
          </cell>
          <cell r="D1266" t="str">
            <v>Nyamarebe</v>
          </cell>
          <cell r="E1266"/>
          <cell r="F1266"/>
        </row>
        <row r="1267">
          <cell r="C1267" t="str">
            <v>Buyanja</v>
          </cell>
          <cell r="D1267" t="str">
            <v>Nyamarunda</v>
          </cell>
          <cell r="E1267"/>
          <cell r="F1267"/>
        </row>
        <row r="1268">
          <cell r="C1268" t="str">
            <v>Buyanja</v>
          </cell>
          <cell r="D1268" t="str">
            <v>Nyamarwa</v>
          </cell>
          <cell r="E1268"/>
          <cell r="F1268"/>
        </row>
        <row r="1269">
          <cell r="C1269" t="str">
            <v>Kinkiizi</v>
          </cell>
          <cell r="D1269" t="str">
            <v>Nyamirama</v>
          </cell>
          <cell r="E1269"/>
          <cell r="F1269"/>
        </row>
        <row r="1270">
          <cell r="C1270" t="str">
            <v>Mityana Municipality</v>
          </cell>
          <cell r="D1270" t="str">
            <v>Central Division</v>
          </cell>
          <cell r="E1270"/>
          <cell r="F1270"/>
        </row>
        <row r="1271">
          <cell r="C1271" t="str">
            <v>Isingiro</v>
          </cell>
          <cell r="D1271" t="str">
            <v>Nyamuyanja</v>
          </cell>
          <cell r="E1271"/>
          <cell r="F1271"/>
        </row>
        <row r="1272">
          <cell r="C1272" t="str">
            <v>Mityana Municipality</v>
          </cell>
          <cell r="D1272" t="str">
            <v>Ttamu Division</v>
          </cell>
          <cell r="E1272"/>
          <cell r="F1272"/>
        </row>
        <row r="1273">
          <cell r="C1273" t="str">
            <v>Rubanda</v>
          </cell>
          <cell r="D1273" t="str">
            <v>Nyamweru</v>
          </cell>
          <cell r="E1273"/>
        </row>
        <row r="1274">
          <cell r="C1274" t="str">
            <v>Kinkiizi</v>
          </cell>
          <cell r="D1274" t="str">
            <v>Nyanga</v>
          </cell>
          <cell r="E1274"/>
        </row>
        <row r="1275">
          <cell r="C1275" t="str">
            <v>Moroto Municipality</v>
          </cell>
          <cell r="D1275" t="str">
            <v>Northern Division</v>
          </cell>
          <cell r="E1275"/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/>
          <cell r="F1276"/>
        </row>
        <row r="1277">
          <cell r="C1277" t="str">
            <v>Mwenge</v>
          </cell>
          <cell r="D1277" t="str">
            <v>Nyantungo</v>
          </cell>
          <cell r="E1277"/>
          <cell r="F1277"/>
        </row>
        <row r="1278">
          <cell r="C1278" t="str">
            <v>Okoro</v>
          </cell>
          <cell r="D1278" t="str">
            <v>Nyapea</v>
          </cell>
          <cell r="E1278"/>
          <cell r="F1278"/>
        </row>
        <row r="1279">
          <cell r="C1279" t="str">
            <v>Padyere</v>
          </cell>
          <cell r="D1279" t="str">
            <v>Nyaravur</v>
          </cell>
          <cell r="E1279"/>
          <cell r="F1279"/>
        </row>
        <row r="1280">
          <cell r="C1280" t="str">
            <v>Bufumbira</v>
          </cell>
          <cell r="D1280" t="str">
            <v>Nyarubuye</v>
          </cell>
          <cell r="E1280"/>
          <cell r="F1280"/>
        </row>
        <row r="1281">
          <cell r="C1281" t="str">
            <v>Rubabo</v>
          </cell>
          <cell r="D1281" t="str">
            <v>Nyarushanje</v>
          </cell>
          <cell r="E1281"/>
          <cell r="F1281"/>
        </row>
        <row r="1282">
          <cell r="C1282" t="str">
            <v>Bufumbira</v>
          </cell>
          <cell r="D1282" t="str">
            <v>Nyarusiza</v>
          </cell>
          <cell r="E1282"/>
          <cell r="F1282"/>
        </row>
        <row r="1283">
          <cell r="C1283" t="str">
            <v>Moroto Municipality</v>
          </cell>
          <cell r="D1283" t="str">
            <v>Southern Divison</v>
          </cell>
          <cell r="E1283"/>
          <cell r="F1283"/>
        </row>
        <row r="1284">
          <cell r="C1284" t="str">
            <v>Mubende Municipality</v>
          </cell>
          <cell r="D1284" t="str">
            <v>Eastern Division</v>
          </cell>
          <cell r="E1284"/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/>
          <cell r="F1285"/>
        </row>
        <row r="1286">
          <cell r="C1286" t="str">
            <v>Katikamu</v>
          </cell>
          <cell r="D1286" t="str">
            <v>Nyimbwa</v>
          </cell>
          <cell r="E1286"/>
          <cell r="F1286"/>
        </row>
        <row r="1287">
          <cell r="C1287" t="str">
            <v>Bungokho</v>
          </cell>
          <cell r="D1287" t="str">
            <v>Nyondo</v>
          </cell>
          <cell r="E1287"/>
          <cell r="F1287"/>
        </row>
        <row r="1288">
          <cell r="C1288" t="str">
            <v>Bufumbira</v>
          </cell>
          <cell r="D1288" t="str">
            <v>Nyundo</v>
          </cell>
          <cell r="E1288"/>
          <cell r="F1288"/>
        </row>
        <row r="1289">
          <cell r="C1289" t="str">
            <v>Kapelebyong</v>
          </cell>
          <cell r="D1289" t="str">
            <v>Obalanga</v>
          </cell>
          <cell r="E1289"/>
          <cell r="F1289"/>
        </row>
        <row r="1290">
          <cell r="C1290" t="str">
            <v>Kaberamaido</v>
          </cell>
          <cell r="D1290" t="str">
            <v>Ochero</v>
          </cell>
          <cell r="E1290"/>
          <cell r="F1290"/>
        </row>
        <row r="1291">
          <cell r="C1291" t="str">
            <v>Omoro</v>
          </cell>
          <cell r="D1291" t="str">
            <v>Odek</v>
          </cell>
          <cell r="E1291"/>
          <cell r="F1291"/>
        </row>
        <row r="1292">
          <cell r="C1292" t="str">
            <v>Aringa</v>
          </cell>
          <cell r="D1292" t="str">
            <v>Odravu</v>
          </cell>
          <cell r="E1292"/>
          <cell r="F1292"/>
        </row>
        <row r="1293">
          <cell r="C1293" t="str">
            <v>Terego</v>
          </cell>
          <cell r="D1293" t="str">
            <v>Odupi</v>
          </cell>
          <cell r="E1293"/>
          <cell r="F1293"/>
        </row>
        <row r="1294">
          <cell r="C1294" t="str">
            <v>Madi Okollo</v>
          </cell>
          <cell r="D1294" t="str">
            <v>Offaka</v>
          </cell>
          <cell r="E1294"/>
          <cell r="F1294"/>
        </row>
        <row r="1295">
          <cell r="C1295" t="str">
            <v>East Moyo</v>
          </cell>
          <cell r="D1295" t="str">
            <v>Ofua</v>
          </cell>
          <cell r="E1295"/>
          <cell r="F1295"/>
        </row>
        <row r="1296">
          <cell r="C1296" t="str">
            <v>Madi Okollo</v>
          </cell>
          <cell r="D1296" t="str">
            <v>Ogoko</v>
          </cell>
          <cell r="E1296"/>
          <cell r="F1296"/>
        </row>
        <row r="1297">
          <cell r="C1297" t="str">
            <v>Amuria</v>
          </cell>
          <cell r="D1297" t="str">
            <v>Ogolai</v>
          </cell>
          <cell r="E1297"/>
          <cell r="F1297"/>
        </row>
        <row r="1298">
          <cell r="C1298" t="str">
            <v>Aruu</v>
          </cell>
          <cell r="D1298" t="str">
            <v>Ogom</v>
          </cell>
          <cell r="E1298"/>
          <cell r="F1298"/>
        </row>
        <row r="1299">
          <cell r="C1299" t="str">
            <v>Otuke</v>
          </cell>
          <cell r="D1299" t="str">
            <v>Ogor</v>
          </cell>
          <cell r="E1299"/>
          <cell r="F1299"/>
        </row>
        <row r="1300">
          <cell r="C1300" t="str">
            <v>Erute</v>
          </cell>
          <cell r="D1300" t="str">
            <v>Ogur</v>
          </cell>
          <cell r="E1300"/>
          <cell r="F1300"/>
        </row>
        <row r="1301">
          <cell r="C1301" t="str">
            <v>Otuke</v>
          </cell>
          <cell r="D1301" t="str">
            <v>Ogwette</v>
          </cell>
          <cell r="E1301"/>
          <cell r="F1301"/>
        </row>
        <row r="1302">
          <cell r="C1302" t="str">
            <v>Mubende Municipality</v>
          </cell>
          <cell r="D1302" t="str">
            <v>Southern Division</v>
          </cell>
          <cell r="E1302"/>
          <cell r="F1302"/>
        </row>
        <row r="1303">
          <cell r="C1303" t="str">
            <v>Madi Okollo</v>
          </cell>
          <cell r="D1303" t="str">
            <v>Okollo</v>
          </cell>
          <cell r="E1303"/>
          <cell r="F1303"/>
        </row>
        <row r="1304">
          <cell r="C1304" t="str">
            <v>Kapelebyong</v>
          </cell>
          <cell r="D1304" t="str">
            <v>Okungur</v>
          </cell>
          <cell r="E1304"/>
          <cell r="F1304"/>
        </row>
        <row r="1305">
          <cell r="C1305" t="str">
            <v>Dokolo</v>
          </cell>
          <cell r="D1305" t="str">
            <v>Okwalongwen</v>
          </cell>
          <cell r="E1305"/>
          <cell r="F1305"/>
        </row>
        <row r="1306">
          <cell r="C1306" t="str">
            <v>Otuke</v>
          </cell>
          <cell r="D1306" t="str">
            <v>Okwang</v>
          </cell>
          <cell r="E1306"/>
          <cell r="F1306"/>
        </row>
        <row r="1307">
          <cell r="C1307" t="str">
            <v>Kole</v>
          </cell>
          <cell r="D1307" t="str">
            <v>Okwerodot</v>
          </cell>
          <cell r="E1307"/>
          <cell r="F1307"/>
        </row>
        <row r="1308">
          <cell r="C1308" t="str">
            <v>Dokolo</v>
          </cell>
          <cell r="D1308" t="str">
            <v>Okwongodul</v>
          </cell>
          <cell r="E1308"/>
          <cell r="F1308"/>
        </row>
        <row r="1309">
          <cell r="C1309" t="str">
            <v>Maracha</v>
          </cell>
          <cell r="D1309" t="str">
            <v>Oleba</v>
          </cell>
          <cell r="E1309"/>
          <cell r="F1309"/>
        </row>
        <row r="1310">
          <cell r="C1310" t="str">
            <v>Otuke</v>
          </cell>
          <cell r="D1310" t="str">
            <v>Olilim</v>
          </cell>
          <cell r="E1310"/>
          <cell r="F1310"/>
        </row>
        <row r="1311">
          <cell r="C1311" t="str">
            <v>Serere</v>
          </cell>
          <cell r="D1311" t="str">
            <v>Olio</v>
          </cell>
          <cell r="E1311"/>
          <cell r="F1311"/>
        </row>
        <row r="1312">
          <cell r="C1312" t="str">
            <v>Pallisa</v>
          </cell>
          <cell r="D1312" t="str">
            <v>Olok</v>
          </cell>
          <cell r="E1312"/>
          <cell r="F1312"/>
        </row>
        <row r="1313">
          <cell r="C1313" t="str">
            <v>Maracha</v>
          </cell>
          <cell r="D1313" t="str">
            <v>Oluffe</v>
          </cell>
          <cell r="E1313"/>
          <cell r="F1313"/>
        </row>
        <row r="1314">
          <cell r="C1314" t="str">
            <v>Ayivu</v>
          </cell>
          <cell r="D1314" t="str">
            <v>Oluko</v>
          </cell>
          <cell r="E1314"/>
          <cell r="F1314"/>
        </row>
        <row r="1315">
          <cell r="C1315" t="str">
            <v>Maracha</v>
          </cell>
          <cell r="D1315" t="str">
            <v>Oluvu</v>
          </cell>
          <cell r="E1315"/>
          <cell r="F1315"/>
        </row>
        <row r="1316">
          <cell r="C1316" t="str">
            <v>Chua</v>
          </cell>
          <cell r="D1316" t="str">
            <v>Omiya Anyima</v>
          </cell>
          <cell r="E1316"/>
          <cell r="F1316"/>
        </row>
        <row r="1317">
          <cell r="C1317" t="str">
            <v>Agago</v>
          </cell>
          <cell r="D1317" t="str">
            <v>Omiya Pacwa</v>
          </cell>
          <cell r="E1317"/>
          <cell r="F1317"/>
        </row>
        <row r="1318">
          <cell r="C1318" t="str">
            <v>Toroma</v>
          </cell>
          <cell r="D1318" t="str">
            <v>Omodoi</v>
          </cell>
          <cell r="E1318"/>
          <cell r="F1318"/>
        </row>
        <row r="1319">
          <cell r="C1319" t="str">
            <v>Moroto</v>
          </cell>
          <cell r="D1319" t="str">
            <v>Omoro</v>
          </cell>
          <cell r="E1319"/>
          <cell r="F1319"/>
        </row>
        <row r="1320">
          <cell r="C1320" t="str">
            <v>Omoro</v>
          </cell>
          <cell r="D1320" t="str">
            <v>Omoro Town Council</v>
          </cell>
          <cell r="E1320"/>
          <cell r="F1320"/>
        </row>
        <row r="1321">
          <cell r="C1321" t="str">
            <v>Agago</v>
          </cell>
          <cell r="D1321" t="str">
            <v>Omot</v>
          </cell>
          <cell r="E1321"/>
          <cell r="F1321"/>
        </row>
        <row r="1322">
          <cell r="C1322" t="str">
            <v>Terego</v>
          </cell>
          <cell r="D1322" t="str">
            <v>Omugo</v>
          </cell>
          <cell r="E1322"/>
          <cell r="F1322"/>
        </row>
        <row r="1323">
          <cell r="C1323" t="str">
            <v>Omoro</v>
          </cell>
          <cell r="D1323" t="str">
            <v>Ongako</v>
          </cell>
          <cell r="E1323"/>
          <cell r="F1323"/>
        </row>
        <row r="1324">
          <cell r="C1324" t="str">
            <v>Kumi</v>
          </cell>
          <cell r="D1324" t="str">
            <v>Ongino</v>
          </cell>
          <cell r="E1324"/>
          <cell r="F1324"/>
        </row>
        <row r="1325">
          <cell r="C1325" t="str">
            <v>Usuk</v>
          </cell>
          <cell r="D1325" t="str">
            <v>Ongongoja</v>
          </cell>
          <cell r="E1325"/>
          <cell r="F1325"/>
        </row>
        <row r="1326">
          <cell r="C1326" t="str">
            <v>Butebo Town Council</v>
          </cell>
          <cell r="D1326" t="str">
            <v>Opwateta</v>
          </cell>
          <cell r="E1326"/>
          <cell r="F1326"/>
        </row>
        <row r="1327">
          <cell r="C1327" t="str">
            <v>Chua</v>
          </cell>
          <cell r="D1327" t="str">
            <v>Orom</v>
          </cell>
          <cell r="E1327"/>
          <cell r="F1327"/>
        </row>
        <row r="1328">
          <cell r="C1328" t="str">
            <v>Isingiro</v>
          </cell>
          <cell r="D1328" t="str">
            <v>Oruchinga Refugee Camp</v>
          </cell>
          <cell r="E1328"/>
          <cell r="F1328"/>
        </row>
        <row r="1329">
          <cell r="C1329" t="str">
            <v>Otuke</v>
          </cell>
          <cell r="D1329" t="str">
            <v>Orum</v>
          </cell>
          <cell r="E1329"/>
          <cell r="F1329"/>
        </row>
        <row r="1330">
          <cell r="C1330" t="str">
            <v>Amuria</v>
          </cell>
          <cell r="D1330" t="str">
            <v>Orungo</v>
          </cell>
          <cell r="E1330"/>
          <cell r="F1330"/>
        </row>
        <row r="1331">
          <cell r="C1331" t="str">
            <v>Tororo</v>
          </cell>
          <cell r="D1331" t="str">
            <v>Osukuru</v>
          </cell>
          <cell r="E1331"/>
          <cell r="F1331"/>
        </row>
        <row r="1332">
          <cell r="C1332" t="str">
            <v>Kalaki</v>
          </cell>
          <cell r="D1332" t="str">
            <v>Otuboi</v>
          </cell>
          <cell r="E1332"/>
          <cell r="F1332"/>
        </row>
        <row r="1333">
          <cell r="C1333" t="str">
            <v>Otuke</v>
          </cell>
          <cell r="D1333" t="str">
            <v>Otuke Town Council</v>
          </cell>
          <cell r="E1333"/>
          <cell r="F1333"/>
        </row>
        <row r="1334">
          <cell r="C1334" t="str">
            <v>Oyam</v>
          </cell>
          <cell r="D1334" t="str">
            <v>Otwal</v>
          </cell>
          <cell r="E1334"/>
          <cell r="F1334"/>
        </row>
        <row r="1335">
          <cell r="C1335" t="str">
            <v>Oyam</v>
          </cell>
          <cell r="D1335" t="str">
            <v>Oyam Town Council</v>
          </cell>
          <cell r="E1335"/>
          <cell r="F1335"/>
        </row>
        <row r="1336">
          <cell r="C1336" t="str">
            <v>Buyaga</v>
          </cell>
          <cell r="D1336" t="str">
            <v>Paacwa</v>
          </cell>
          <cell r="E1336"/>
          <cell r="F1336"/>
        </row>
        <row r="1337">
          <cell r="C1337" t="str">
            <v>Kilak</v>
          </cell>
          <cell r="D1337" t="str">
            <v>Pabo</v>
          </cell>
          <cell r="E1337"/>
          <cell r="F1337"/>
        </row>
        <row r="1338">
          <cell r="C1338" t="str">
            <v>East Moyo</v>
          </cell>
          <cell r="D1338" t="str">
            <v>Pacara</v>
          </cell>
          <cell r="E1338"/>
          <cell r="F1338"/>
        </row>
        <row r="1339">
          <cell r="C1339" t="str">
            <v>Aruu</v>
          </cell>
          <cell r="D1339" t="str">
            <v>Pader</v>
          </cell>
          <cell r="E1339"/>
          <cell r="F1339"/>
        </row>
        <row r="1340">
          <cell r="C1340" t="str">
            <v>Aruu</v>
          </cell>
          <cell r="D1340" t="str">
            <v>Pader Town Council</v>
          </cell>
          <cell r="E1340"/>
          <cell r="F1340"/>
        </row>
        <row r="1341">
          <cell r="C1341" t="str">
            <v>Lamwo</v>
          </cell>
          <cell r="D1341" t="str">
            <v>Padibe East</v>
          </cell>
          <cell r="E1341"/>
          <cell r="F1341"/>
        </row>
        <row r="1342">
          <cell r="C1342" t="str">
            <v>Lamwo</v>
          </cell>
          <cell r="D1342" t="str">
            <v>Padibe Town Council</v>
          </cell>
          <cell r="E1342"/>
          <cell r="F1342"/>
        </row>
        <row r="1343">
          <cell r="C1343" t="str">
            <v>Lamwo</v>
          </cell>
          <cell r="D1343" t="str">
            <v>Padibe West</v>
          </cell>
          <cell r="E1343"/>
          <cell r="F1343"/>
        </row>
        <row r="1344">
          <cell r="C1344" t="str">
            <v>Mubende Municipality</v>
          </cell>
          <cell r="D1344" t="str">
            <v>Western Division</v>
          </cell>
          <cell r="E1344"/>
          <cell r="F1344"/>
        </row>
        <row r="1345">
          <cell r="C1345" t="str">
            <v>Aswa</v>
          </cell>
          <cell r="D1345" t="str">
            <v>Paicho</v>
          </cell>
          <cell r="E1345"/>
        </row>
        <row r="1346">
          <cell r="C1346" t="str">
            <v>Okoro</v>
          </cell>
          <cell r="D1346" t="str">
            <v>Paidha</v>
          </cell>
          <cell r="E1346"/>
        </row>
        <row r="1347">
          <cell r="C1347" t="str">
            <v>Okoro</v>
          </cell>
          <cell r="D1347" t="str">
            <v>Paidha Town Council</v>
          </cell>
          <cell r="E1347"/>
        </row>
        <row r="1348">
          <cell r="C1348" t="str">
            <v>Agago</v>
          </cell>
          <cell r="D1348" t="str">
            <v>Paimol</v>
          </cell>
          <cell r="E1348"/>
        </row>
        <row r="1349">
          <cell r="C1349" t="str">
            <v>Aruu</v>
          </cell>
          <cell r="D1349" t="str">
            <v>Pajule</v>
          </cell>
          <cell r="E1349"/>
        </row>
        <row r="1350">
          <cell r="C1350" t="str">
            <v>Ayivu</v>
          </cell>
          <cell r="D1350" t="str">
            <v>Pajulu</v>
          </cell>
          <cell r="E1350"/>
        </row>
        <row r="1351">
          <cell r="C1351" t="str">
            <v>Buruli</v>
          </cell>
          <cell r="D1351" t="str">
            <v>Pakanyi</v>
          </cell>
          <cell r="E1351"/>
        </row>
        <row r="1352">
          <cell r="C1352" t="str">
            <v>East Moyo</v>
          </cell>
          <cell r="D1352" t="str">
            <v>Pakele</v>
          </cell>
          <cell r="E1352"/>
        </row>
        <row r="1353">
          <cell r="C1353" t="str">
            <v>Jonam</v>
          </cell>
          <cell r="D1353" t="str">
            <v>Pakwach</v>
          </cell>
          <cell r="E1353"/>
        </row>
        <row r="1354">
          <cell r="C1354" t="str">
            <v>Jonam</v>
          </cell>
          <cell r="D1354" t="str">
            <v>Pakwach Town Council</v>
          </cell>
          <cell r="E1354"/>
        </row>
        <row r="1355">
          <cell r="C1355" t="str">
            <v>Lamwo</v>
          </cell>
          <cell r="D1355" t="str">
            <v>Palabek Gem</v>
          </cell>
          <cell r="E1355"/>
        </row>
        <row r="1356">
          <cell r="C1356" t="str">
            <v>Lamwo</v>
          </cell>
          <cell r="D1356" t="str">
            <v>Palabek Kal</v>
          </cell>
          <cell r="E1356"/>
        </row>
        <row r="1357">
          <cell r="C1357" t="str">
            <v>Lamwo</v>
          </cell>
          <cell r="D1357" t="str">
            <v>Palabek Ogili</v>
          </cell>
          <cell r="E1357"/>
        </row>
        <row r="1358">
          <cell r="C1358" t="str">
            <v>Usuk</v>
          </cell>
          <cell r="D1358" t="str">
            <v>Palam</v>
          </cell>
          <cell r="E1358"/>
        </row>
        <row r="1359">
          <cell r="C1359" t="str">
            <v>Pallisa</v>
          </cell>
          <cell r="D1359" t="str">
            <v>Pallisa</v>
          </cell>
          <cell r="E1359"/>
        </row>
        <row r="1360">
          <cell r="C1360" t="str">
            <v>Pallisa</v>
          </cell>
          <cell r="D1360" t="str">
            <v>Pallisa Town Council</v>
          </cell>
          <cell r="E1360"/>
        </row>
        <row r="1361">
          <cell r="C1361" t="str">
            <v>Lamwo</v>
          </cell>
          <cell r="D1361" t="str">
            <v>Paloga</v>
          </cell>
          <cell r="E1361"/>
        </row>
        <row r="1362">
          <cell r="C1362" t="str">
            <v>Mukono Municipality</v>
          </cell>
          <cell r="D1362" t="str">
            <v>Central Division</v>
          </cell>
          <cell r="E1362"/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/>
          <cell r="F1363"/>
        </row>
        <row r="1364">
          <cell r="C1364" t="str">
            <v>Jonam</v>
          </cell>
          <cell r="D1364" t="str">
            <v>Panyango</v>
          </cell>
          <cell r="E1364"/>
          <cell r="F1364"/>
        </row>
        <row r="1365">
          <cell r="C1365" t="str">
            <v>Jonam</v>
          </cell>
          <cell r="D1365" t="str">
            <v>Panyimur</v>
          </cell>
          <cell r="E1365"/>
          <cell r="F1365"/>
        </row>
        <row r="1366">
          <cell r="C1366" t="str">
            <v>Agago</v>
          </cell>
          <cell r="D1366" t="str">
            <v>Parabongo</v>
          </cell>
          <cell r="E1366"/>
          <cell r="F1366"/>
        </row>
        <row r="1367">
          <cell r="C1367" t="str">
            <v>Padyere</v>
          </cell>
          <cell r="D1367" t="str">
            <v>Parombo</v>
          </cell>
          <cell r="E1367"/>
          <cell r="F1367"/>
        </row>
        <row r="1368">
          <cell r="C1368" t="str">
            <v>Agago</v>
          </cell>
          <cell r="D1368" t="str">
            <v>Patongo</v>
          </cell>
          <cell r="E1368"/>
          <cell r="F1368"/>
        </row>
        <row r="1369">
          <cell r="C1369" t="str">
            <v>Agago</v>
          </cell>
          <cell r="D1369" t="str">
            <v>Patongo Town Council</v>
          </cell>
          <cell r="E1369"/>
          <cell r="F1369"/>
        </row>
        <row r="1370">
          <cell r="C1370" t="str">
            <v>Madi Okollo</v>
          </cell>
          <cell r="D1370" t="str">
            <v>Pawor</v>
          </cell>
          <cell r="E1370"/>
          <cell r="F1370"/>
        </row>
        <row r="1371">
          <cell r="C1371" t="str">
            <v>West Budama</v>
          </cell>
          <cell r="D1371" t="str">
            <v>Paya</v>
          </cell>
          <cell r="E1371"/>
          <cell r="F1371"/>
        </row>
        <row r="1372">
          <cell r="C1372" t="str">
            <v>Mukono Municipality</v>
          </cell>
          <cell r="D1372" t="str">
            <v>Goma Division</v>
          </cell>
          <cell r="E1372"/>
          <cell r="F1372"/>
        </row>
        <row r="1373">
          <cell r="C1373" t="str">
            <v>Butebo Town Council</v>
          </cell>
          <cell r="D1373" t="str">
            <v>Petete</v>
          </cell>
          <cell r="E1373"/>
        </row>
        <row r="1374">
          <cell r="C1374" t="str">
            <v>West Budama</v>
          </cell>
          <cell r="D1374" t="str">
            <v>Petta</v>
          </cell>
          <cell r="E1374"/>
        </row>
        <row r="1375">
          <cell r="C1375" t="str">
            <v>Kasilo</v>
          </cell>
          <cell r="D1375" t="str">
            <v>Pingire</v>
          </cell>
          <cell r="E1375"/>
        </row>
        <row r="1376">
          <cell r="C1376" t="str">
            <v>Aruu</v>
          </cell>
          <cell r="D1376" t="str">
            <v>Puranga</v>
          </cell>
          <cell r="E1376"/>
        </row>
        <row r="1377">
          <cell r="C1377" t="str">
            <v>Nwoya</v>
          </cell>
          <cell r="D1377" t="str">
            <v>Purongo</v>
          </cell>
          <cell r="E1377"/>
        </row>
        <row r="1378">
          <cell r="C1378" t="str">
            <v>Pallisa</v>
          </cell>
          <cell r="D1378" t="str">
            <v>Puti-Puti</v>
          </cell>
          <cell r="E1378"/>
        </row>
        <row r="1379">
          <cell r="C1379" t="str">
            <v>Nansana Municipality</v>
          </cell>
          <cell r="D1379" t="str">
            <v>Busukuma Division</v>
          </cell>
          <cell r="E1379"/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/>
        </row>
        <row r="1381">
          <cell r="C1381" t="str">
            <v>Jie</v>
          </cell>
          <cell r="D1381" t="str">
            <v>Rengen</v>
          </cell>
          <cell r="E1381"/>
        </row>
        <row r="1382">
          <cell r="C1382" t="str">
            <v>Madi Okollo</v>
          </cell>
          <cell r="D1382" t="str">
            <v>Rhino Camp</v>
          </cell>
          <cell r="E1382"/>
        </row>
        <row r="1383">
          <cell r="C1383" t="str">
            <v>Madi Okollo</v>
          </cell>
          <cell r="D1383" t="str">
            <v>Rigbo</v>
          </cell>
          <cell r="E1383"/>
        </row>
        <row r="1384">
          <cell r="C1384" t="str">
            <v>Nansana Municipality</v>
          </cell>
          <cell r="D1384" t="str">
            <v>Gombe Division</v>
          </cell>
          <cell r="E1384"/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/>
        </row>
        <row r="1386">
          <cell r="C1386" t="str">
            <v>Aringa</v>
          </cell>
          <cell r="D1386" t="str">
            <v>Romogi</v>
          </cell>
          <cell r="E1386"/>
        </row>
        <row r="1387">
          <cell r="C1387" t="str">
            <v>Rushenyi</v>
          </cell>
          <cell r="D1387" t="str">
            <v>Rubaare</v>
          </cell>
          <cell r="E1387"/>
        </row>
        <row r="1388">
          <cell r="C1388" t="str">
            <v>Rushenyi</v>
          </cell>
          <cell r="D1388" t="str">
            <v>Rubaare Town Council</v>
          </cell>
          <cell r="E1388"/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/>
        </row>
        <row r="1403">
          <cell r="C1403" t="str">
            <v>Ndorwa</v>
          </cell>
          <cell r="D1403" t="str">
            <v>Rubaya</v>
          </cell>
          <cell r="E1403"/>
        </row>
        <row r="1404">
          <cell r="C1404" t="str">
            <v>Kashari</v>
          </cell>
          <cell r="D1404" t="str">
            <v>Rubaya</v>
          </cell>
          <cell r="E1404"/>
        </row>
        <row r="1405">
          <cell r="C1405" t="str">
            <v>Kashari</v>
          </cell>
          <cell r="D1405" t="str">
            <v>Rubindi</v>
          </cell>
          <cell r="E1405"/>
        </row>
        <row r="1406">
          <cell r="C1406" t="str">
            <v>Bunyaruguru</v>
          </cell>
          <cell r="D1406" t="str">
            <v>Rubiriziri Town Council</v>
          </cell>
          <cell r="E1406"/>
        </row>
        <row r="1407">
          <cell r="C1407" t="str">
            <v>Bunyangabu</v>
          </cell>
          <cell r="D1407" t="str">
            <v>Rubona Town Council</v>
          </cell>
          <cell r="E1407"/>
        </row>
        <row r="1408">
          <cell r="C1408" t="str">
            <v>West Budama</v>
          </cell>
          <cell r="D1408" t="str">
            <v>Rubongi</v>
          </cell>
          <cell r="E1408"/>
        </row>
        <row r="1409">
          <cell r="C1409" t="str">
            <v>Isingiro</v>
          </cell>
          <cell r="D1409" t="str">
            <v>Ruborogota</v>
          </cell>
          <cell r="E1409"/>
        </row>
        <row r="1410">
          <cell r="C1410" t="str">
            <v>Bufumbira</v>
          </cell>
          <cell r="D1410" t="str">
            <v>Rubuguri Town Council</v>
          </cell>
          <cell r="E1410"/>
        </row>
        <row r="1411">
          <cell r="C1411" t="str">
            <v>Bukanga</v>
          </cell>
          <cell r="D1411" t="str">
            <v>Rugaaga</v>
          </cell>
          <cell r="E1411"/>
        </row>
        <row r="1412">
          <cell r="C1412" t="str">
            <v>Rwampara</v>
          </cell>
          <cell r="D1412" t="str">
            <v>Rugando</v>
          </cell>
          <cell r="E1412"/>
        </row>
        <row r="1413">
          <cell r="C1413" t="str">
            <v>Rushenyi</v>
          </cell>
          <cell r="D1413" t="str">
            <v>Rugarama</v>
          </cell>
          <cell r="E1413"/>
        </row>
        <row r="1414">
          <cell r="C1414" t="str">
            <v>Sheema</v>
          </cell>
          <cell r="D1414" t="str">
            <v>Rugarama</v>
          </cell>
          <cell r="E1414"/>
        </row>
        <row r="1415">
          <cell r="C1415" t="str">
            <v>Buyaga</v>
          </cell>
          <cell r="D1415" t="str">
            <v>Rugashari</v>
          </cell>
          <cell r="E1415"/>
        </row>
        <row r="1416">
          <cell r="C1416" t="str">
            <v>Kinkiizi</v>
          </cell>
          <cell r="D1416" t="str">
            <v>Rugyeyo</v>
          </cell>
          <cell r="E1416"/>
        </row>
        <row r="1417">
          <cell r="C1417" t="str">
            <v>Ruhaama</v>
          </cell>
          <cell r="D1417" t="str">
            <v>Ruhaama</v>
          </cell>
          <cell r="E1417"/>
        </row>
        <row r="1418">
          <cell r="C1418" t="str">
            <v>Rubanda</v>
          </cell>
          <cell r="D1418" t="str">
            <v>Ruhija</v>
          </cell>
          <cell r="E1418"/>
        </row>
        <row r="1419">
          <cell r="C1419" t="str">
            <v>Rujumbura</v>
          </cell>
          <cell r="D1419" t="str">
            <v>Ruhinda</v>
          </cell>
          <cell r="E1419"/>
        </row>
        <row r="1420">
          <cell r="C1420" t="str">
            <v>Igara</v>
          </cell>
          <cell r="D1420" t="str">
            <v>Ruhumuro</v>
          </cell>
          <cell r="E1420"/>
        </row>
        <row r="1421">
          <cell r="C1421" t="str">
            <v>Ibanda</v>
          </cell>
          <cell r="D1421" t="str">
            <v>Rukiri</v>
          </cell>
          <cell r="E1421"/>
        </row>
        <row r="1422">
          <cell r="C1422" t="str">
            <v>Busongora</v>
          </cell>
          <cell r="D1422" t="str">
            <v>Rukoki</v>
          </cell>
          <cell r="E1422"/>
        </row>
        <row r="1423">
          <cell r="C1423" t="str">
            <v>Ruhaama</v>
          </cell>
          <cell r="D1423" t="str">
            <v>Rukoni East</v>
          </cell>
          <cell r="E1423"/>
        </row>
        <row r="1424">
          <cell r="C1424" t="str">
            <v>Ruhaama</v>
          </cell>
          <cell r="D1424" t="str">
            <v>Rukoni West</v>
          </cell>
          <cell r="E1424"/>
        </row>
        <row r="1425">
          <cell r="C1425" t="str">
            <v>Matheniko</v>
          </cell>
          <cell r="D1425" t="str">
            <v>Rupa</v>
          </cell>
          <cell r="E1425"/>
        </row>
        <row r="1426">
          <cell r="C1426" t="str">
            <v>Ruhinda</v>
          </cell>
          <cell r="D1426" t="str">
            <v>Rurehe</v>
          </cell>
          <cell r="E1426"/>
        </row>
        <row r="1427">
          <cell r="C1427" t="str">
            <v>Ibanda</v>
          </cell>
          <cell r="D1427" t="str">
            <v>Rushango Town Council</v>
          </cell>
          <cell r="E1427"/>
        </row>
        <row r="1428">
          <cell r="C1428" t="str">
            <v>Bukanga</v>
          </cell>
          <cell r="D1428" t="str">
            <v>Rushasha</v>
          </cell>
          <cell r="E1428"/>
        </row>
        <row r="1429">
          <cell r="C1429" t="str">
            <v>Burahya</v>
          </cell>
          <cell r="D1429" t="str">
            <v>Ruteete</v>
          </cell>
          <cell r="E1429"/>
        </row>
        <row r="1430">
          <cell r="C1430" t="str">
            <v>Buyaga</v>
          </cell>
          <cell r="D1430" t="str">
            <v>Ruteete</v>
          </cell>
          <cell r="E1430"/>
        </row>
        <row r="1431">
          <cell r="C1431" t="str">
            <v>Kinkiizi</v>
          </cell>
          <cell r="D1431" t="str">
            <v>Rutenga</v>
          </cell>
          <cell r="E1431"/>
        </row>
        <row r="1432">
          <cell r="C1432" t="str">
            <v>Bunyaruguru</v>
          </cell>
          <cell r="D1432" t="str">
            <v>Rutoto</v>
          </cell>
          <cell r="E1432"/>
        </row>
        <row r="1433">
          <cell r="C1433" t="str">
            <v>Kyaka</v>
          </cell>
          <cell r="D1433" t="str">
            <v>Ruyonza</v>
          </cell>
          <cell r="E1433"/>
        </row>
        <row r="1434">
          <cell r="C1434" t="str">
            <v>Rukiga</v>
          </cell>
          <cell r="D1434" t="str">
            <v>Rwamucucu</v>
          </cell>
          <cell r="E1434"/>
        </row>
        <row r="1435">
          <cell r="C1435" t="str">
            <v>Kibale</v>
          </cell>
          <cell r="D1435" t="str">
            <v>Rwamwanja Refugee Camp</v>
          </cell>
          <cell r="E1435"/>
        </row>
        <row r="1436">
          <cell r="C1436" t="str">
            <v>Kashari</v>
          </cell>
          <cell r="D1436" t="str">
            <v>Rwanyamahembe</v>
          </cell>
          <cell r="E1436"/>
        </row>
        <row r="1437">
          <cell r="C1437" t="str">
            <v>Kajara</v>
          </cell>
          <cell r="D1437" t="str">
            <v>Rwashamaire Town Council</v>
          </cell>
          <cell r="E1437"/>
        </row>
        <row r="1438">
          <cell r="C1438" t="str">
            <v>Ntoroko</v>
          </cell>
          <cell r="D1438" t="str">
            <v>Rwebisengo</v>
          </cell>
          <cell r="E1438"/>
        </row>
        <row r="1439">
          <cell r="C1439" t="str">
            <v>Ntoroko</v>
          </cell>
          <cell r="D1439" t="str">
            <v>Rwebisengo Town Council</v>
          </cell>
          <cell r="E1439"/>
        </row>
        <row r="1440">
          <cell r="C1440" t="str">
            <v>Ruhaama</v>
          </cell>
          <cell r="D1440" t="str">
            <v>Rweikiniro</v>
          </cell>
          <cell r="E1440"/>
        </row>
        <row r="1441">
          <cell r="C1441" t="str">
            <v>Kazo</v>
          </cell>
          <cell r="D1441" t="str">
            <v>Rwemikoma</v>
          </cell>
          <cell r="E1441"/>
        </row>
        <row r="1442">
          <cell r="C1442" t="str">
            <v>Buhweju</v>
          </cell>
          <cell r="D1442" t="str">
            <v>Rwengwe</v>
          </cell>
          <cell r="E1442"/>
        </row>
        <row r="1443">
          <cell r="C1443" t="str">
            <v>Kyaka</v>
          </cell>
          <cell r="D1443" t="str">
            <v>Rwentuha</v>
          </cell>
          <cell r="E1443"/>
        </row>
        <row r="1444">
          <cell r="C1444" t="str">
            <v>Bunyangabu</v>
          </cell>
          <cell r="D1444" t="str">
            <v>Rwimi</v>
          </cell>
          <cell r="E1444"/>
        </row>
        <row r="1445">
          <cell r="C1445" t="str">
            <v>Bunyangabu</v>
          </cell>
          <cell r="D1445" t="str">
            <v>Rwimi Town Council</v>
          </cell>
          <cell r="E1445"/>
        </row>
        <row r="1446">
          <cell r="C1446" t="str">
            <v>Ndorwa</v>
          </cell>
          <cell r="D1446" t="str">
            <v>Ryakirimira Town Council</v>
          </cell>
          <cell r="E1446"/>
        </row>
        <row r="1447">
          <cell r="C1447" t="str">
            <v>Bunyaruguru</v>
          </cell>
          <cell r="D1447" t="str">
            <v>Ryeru</v>
          </cell>
          <cell r="E1447"/>
        </row>
        <row r="1448">
          <cell r="C1448" t="str">
            <v>Nyabushozi</v>
          </cell>
          <cell r="D1448" t="str">
            <v>Sanga</v>
          </cell>
          <cell r="E1448"/>
        </row>
        <row r="1449">
          <cell r="C1449" t="str">
            <v>Nyabushozi</v>
          </cell>
          <cell r="D1449" t="str">
            <v>Sanga Town Council</v>
          </cell>
          <cell r="E1449"/>
        </row>
        <row r="1450">
          <cell r="C1450" t="str">
            <v>Nakifuma</v>
          </cell>
          <cell r="D1450" t="str">
            <v>Seeta Namuganga</v>
          </cell>
          <cell r="E1450"/>
        </row>
        <row r="1451">
          <cell r="C1451" t="str">
            <v>Mawogola</v>
          </cell>
          <cell r="D1451" t="str">
            <v>Sembabule Town Council</v>
          </cell>
          <cell r="E1451"/>
        </row>
        <row r="1452">
          <cell r="C1452" t="str">
            <v>Nakaseke</v>
          </cell>
          <cell r="D1452" t="str">
            <v>Semuto</v>
          </cell>
          <cell r="E1452"/>
        </row>
        <row r="1453">
          <cell r="C1453" t="str">
            <v>Nakaseke</v>
          </cell>
          <cell r="D1453" t="str">
            <v>Semuto Town Council</v>
          </cell>
          <cell r="E1453"/>
        </row>
        <row r="1454">
          <cell r="C1454" t="str">
            <v>Kongasis</v>
          </cell>
          <cell r="D1454" t="str">
            <v>Senendet</v>
          </cell>
          <cell r="E1454"/>
        </row>
        <row r="1455">
          <cell r="C1455" t="str">
            <v>Serere</v>
          </cell>
          <cell r="D1455" t="str">
            <v>Serere Town Council</v>
          </cell>
          <cell r="E1455"/>
        </row>
        <row r="1456">
          <cell r="C1456" t="str">
            <v>Nansana Municipality</v>
          </cell>
          <cell r="D1456" t="str">
            <v>Nabweru Division</v>
          </cell>
          <cell r="E1456"/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/>
        </row>
        <row r="1458">
          <cell r="C1458" t="str">
            <v>Sheema</v>
          </cell>
          <cell r="D1458" t="str">
            <v>Shuuku Town Council</v>
          </cell>
          <cell r="E1458"/>
        </row>
        <row r="1459">
          <cell r="C1459" t="str">
            <v>Bubulo</v>
          </cell>
          <cell r="D1459" t="str">
            <v>Sibanga</v>
          </cell>
          <cell r="E1459"/>
        </row>
        <row r="1460">
          <cell r="C1460" t="str">
            <v>Dodoth</v>
          </cell>
          <cell r="D1460" t="str">
            <v>Sidok</v>
          </cell>
          <cell r="E1460"/>
        </row>
        <row r="1461">
          <cell r="C1461" t="str">
            <v>Bukooli</v>
          </cell>
          <cell r="D1461" t="str">
            <v>Sigulu Island</v>
          </cell>
          <cell r="E1461"/>
        </row>
        <row r="1462">
          <cell r="C1462" t="str">
            <v>Samia-Bugwe</v>
          </cell>
          <cell r="D1462" t="str">
            <v>Sikuda</v>
          </cell>
          <cell r="E1462"/>
        </row>
        <row r="1463">
          <cell r="C1463" t="str">
            <v>Bulambuli</v>
          </cell>
          <cell r="D1463" t="str">
            <v>Simu</v>
          </cell>
          <cell r="E1463"/>
        </row>
        <row r="1464">
          <cell r="C1464" t="str">
            <v>Bughendera</v>
          </cell>
          <cell r="D1464" t="str">
            <v>Sindila</v>
          </cell>
          <cell r="E1464"/>
        </row>
        <row r="1465">
          <cell r="C1465" t="str">
            <v>Tingey</v>
          </cell>
          <cell r="D1465" t="str">
            <v>Sipi</v>
          </cell>
          <cell r="E1465"/>
        </row>
        <row r="1466">
          <cell r="C1466" t="str">
            <v>Budadiri</v>
          </cell>
          <cell r="D1466" t="str">
            <v>Sironko Town Council</v>
          </cell>
          <cell r="E1466"/>
        </row>
        <row r="1467">
          <cell r="C1467" t="str">
            <v>Bulambuli</v>
          </cell>
          <cell r="D1467" t="str">
            <v>Sisiyi</v>
          </cell>
          <cell r="E1467"/>
        </row>
        <row r="1468">
          <cell r="C1468" t="str">
            <v>Bubulo</v>
          </cell>
          <cell r="D1468" t="str">
            <v>Sisuni</v>
          </cell>
          <cell r="E1468"/>
        </row>
        <row r="1469">
          <cell r="C1469" t="str">
            <v>West Budama</v>
          </cell>
          <cell r="D1469" t="str">
            <v>Sop-Sop</v>
          </cell>
          <cell r="E1469"/>
        </row>
        <row r="1470">
          <cell r="C1470" t="str">
            <v>Soroti</v>
          </cell>
          <cell r="D1470" t="str">
            <v>Soroti</v>
          </cell>
          <cell r="E1470"/>
        </row>
        <row r="1471">
          <cell r="C1471" t="str">
            <v>Nansana Municipality</v>
          </cell>
          <cell r="D1471" t="str">
            <v>Nansana Division</v>
          </cell>
          <cell r="E1471"/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/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/>
          <cell r="F1473"/>
        </row>
        <row r="1474">
          <cell r="C1474" t="str">
            <v>Nebbi Municipality</v>
          </cell>
          <cell r="D1474" t="str">
            <v>Thatha Division</v>
          </cell>
          <cell r="E1474"/>
          <cell r="F1474"/>
        </row>
        <row r="1475">
          <cell r="C1475" t="str">
            <v>Njeru Municipality</v>
          </cell>
          <cell r="D1475" t="str">
            <v>Njeru Division</v>
          </cell>
          <cell r="E1475"/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/>
          <cell r="F1476"/>
        </row>
        <row r="1477">
          <cell r="C1477" t="str">
            <v>Njeru Municipality</v>
          </cell>
          <cell r="D1477" t="str">
            <v>Wakisi Division</v>
          </cell>
          <cell r="E1477"/>
          <cell r="F1477"/>
        </row>
        <row r="1478">
          <cell r="C1478" t="str">
            <v>Ntungamo Municipality</v>
          </cell>
          <cell r="D1478" t="str">
            <v>Central Division</v>
          </cell>
          <cell r="E1478"/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/>
          <cell r="F1479"/>
        </row>
        <row r="1480">
          <cell r="C1480" t="str">
            <v>Mityana</v>
          </cell>
          <cell r="D1480" t="str">
            <v>Ssekanyonyi</v>
          </cell>
          <cell r="E1480"/>
          <cell r="F1480"/>
        </row>
        <row r="1481">
          <cell r="C1481" t="str">
            <v>Buikwe</v>
          </cell>
          <cell r="D1481" t="str">
            <v>Ssi-Bukunja</v>
          </cell>
          <cell r="E1481"/>
          <cell r="F1481"/>
        </row>
        <row r="1482">
          <cell r="C1482" t="str">
            <v>Kongasis</v>
          </cell>
          <cell r="D1482" t="str">
            <v>Suam</v>
          </cell>
          <cell r="E1482"/>
          <cell r="F1482"/>
        </row>
        <row r="1483">
          <cell r="C1483" t="str">
            <v>Matheniko</v>
          </cell>
          <cell r="D1483" t="str">
            <v>Tapac</v>
          </cell>
          <cell r="E1483"/>
          <cell r="F1483"/>
        </row>
        <row r="1484">
          <cell r="C1484" t="str">
            <v>Maracha</v>
          </cell>
          <cell r="D1484" t="str">
            <v>Tara</v>
          </cell>
          <cell r="E1484"/>
          <cell r="F1484"/>
        </row>
        <row r="1485">
          <cell r="C1485" t="str">
            <v>Ntungamo Municipality</v>
          </cell>
          <cell r="D1485" t="str">
            <v>Western Division</v>
          </cell>
          <cell r="E1485"/>
          <cell r="F1485"/>
        </row>
        <row r="1486">
          <cell r="C1486" t="str">
            <v>Kibuku</v>
          </cell>
          <cell r="D1486" t="str">
            <v>Tirinyi</v>
          </cell>
          <cell r="E1486"/>
        </row>
        <row r="1487">
          <cell r="C1487" t="str">
            <v>Bwamba</v>
          </cell>
          <cell r="D1487" t="str">
            <v>Tokwe</v>
          </cell>
          <cell r="E1487"/>
        </row>
        <row r="1488">
          <cell r="C1488" t="str">
            <v>Toroma</v>
          </cell>
          <cell r="D1488" t="str">
            <v>Toroma</v>
          </cell>
          <cell r="E1488"/>
        </row>
        <row r="1489">
          <cell r="C1489" t="str">
            <v>Namisindwa</v>
          </cell>
          <cell r="D1489" t="str">
            <v>Tsekululu</v>
          </cell>
          <cell r="E1489"/>
        </row>
        <row r="1490">
          <cell r="C1490" t="str">
            <v>Rukungiri Municipality</v>
          </cell>
          <cell r="D1490" t="str">
            <v>Eastern Divison</v>
          </cell>
          <cell r="E1490"/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/>
          <cell r="F1491"/>
        </row>
        <row r="1492">
          <cell r="C1492" t="str">
            <v>Kongasis</v>
          </cell>
          <cell r="D1492" t="str">
            <v>Tulel</v>
          </cell>
          <cell r="E1492"/>
          <cell r="F1492"/>
        </row>
        <row r="1493">
          <cell r="C1493" t="str">
            <v>East Moyo</v>
          </cell>
          <cell r="D1493" t="str">
            <v>Ukusijoni</v>
          </cell>
          <cell r="E1493"/>
          <cell r="F1493"/>
        </row>
        <row r="1494">
          <cell r="C1494" t="str">
            <v>Madi Okollo</v>
          </cell>
          <cell r="D1494" t="str">
            <v>Uleppi</v>
          </cell>
          <cell r="E1494"/>
          <cell r="F1494"/>
        </row>
        <row r="1495">
          <cell r="C1495" t="str">
            <v>Aswa</v>
          </cell>
          <cell r="D1495" t="str">
            <v>Unyama</v>
          </cell>
          <cell r="E1495"/>
          <cell r="F1495"/>
        </row>
        <row r="1496">
          <cell r="C1496" t="str">
            <v>Terego</v>
          </cell>
          <cell r="D1496" t="str">
            <v>Uriama</v>
          </cell>
          <cell r="E1496"/>
          <cell r="F1496"/>
        </row>
        <row r="1497">
          <cell r="C1497" t="str">
            <v>Usuk</v>
          </cell>
          <cell r="D1497" t="str">
            <v>Usuk</v>
          </cell>
          <cell r="E1497"/>
          <cell r="F1497"/>
        </row>
        <row r="1498">
          <cell r="C1498" t="str">
            <v>Vurra</v>
          </cell>
          <cell r="D1498" t="str">
            <v>Vurra</v>
          </cell>
          <cell r="E1498"/>
          <cell r="F1498"/>
        </row>
        <row r="1499">
          <cell r="C1499" t="str">
            <v>Buruli</v>
          </cell>
          <cell r="D1499" t="str">
            <v>Wabinyonyi</v>
          </cell>
          <cell r="E1499"/>
          <cell r="F1499"/>
        </row>
        <row r="1500">
          <cell r="C1500" t="str">
            <v>Jonam</v>
          </cell>
          <cell r="D1500" t="str">
            <v>Wadelai</v>
          </cell>
          <cell r="E1500"/>
          <cell r="F1500"/>
        </row>
        <row r="1501">
          <cell r="C1501" t="str">
            <v>Luuka</v>
          </cell>
          <cell r="D1501" t="str">
            <v>Waibuga</v>
          </cell>
          <cell r="E1501"/>
          <cell r="F1501"/>
        </row>
        <row r="1502">
          <cell r="C1502" t="str">
            <v>Bunya</v>
          </cell>
          <cell r="D1502" t="str">
            <v>Wairasa</v>
          </cell>
          <cell r="E1502"/>
          <cell r="F1502"/>
        </row>
        <row r="1503">
          <cell r="C1503" t="str">
            <v>Rukungiri Municipality</v>
          </cell>
          <cell r="D1503" t="str">
            <v>Southern Division</v>
          </cell>
          <cell r="E1503"/>
          <cell r="F1503"/>
        </row>
        <row r="1504">
          <cell r="C1504" t="str">
            <v>Busiro</v>
          </cell>
          <cell r="D1504" t="str">
            <v>Wakiso</v>
          </cell>
          <cell r="E1504"/>
          <cell r="F1504"/>
        </row>
        <row r="1505">
          <cell r="C1505" t="str">
            <v>Busiro</v>
          </cell>
          <cell r="D1505" t="str">
            <v>Wakiso Town Council</v>
          </cell>
          <cell r="E1505"/>
          <cell r="F1505"/>
        </row>
        <row r="1506">
          <cell r="C1506" t="str">
            <v>Nakaseke</v>
          </cell>
          <cell r="D1506" t="str">
            <v>Wakyato</v>
          </cell>
          <cell r="E1506"/>
          <cell r="F1506"/>
        </row>
        <row r="1507">
          <cell r="C1507" t="str">
            <v>Bungokho</v>
          </cell>
          <cell r="D1507" t="str">
            <v>Wanale</v>
          </cell>
          <cell r="E1507"/>
          <cell r="F1507"/>
        </row>
        <row r="1508">
          <cell r="C1508" t="str">
            <v>Rukungiri Municipality</v>
          </cell>
          <cell r="D1508" t="str">
            <v>Western Division</v>
          </cell>
          <cell r="E1508"/>
          <cell r="F1508"/>
        </row>
        <row r="1509">
          <cell r="C1509" t="str">
            <v>Buzaaya</v>
          </cell>
          <cell r="D1509" t="str">
            <v>Wankole</v>
          </cell>
          <cell r="E1509"/>
        </row>
        <row r="1510">
          <cell r="C1510" t="str">
            <v>Okoro</v>
          </cell>
          <cell r="D1510" t="str">
            <v>Warr</v>
          </cell>
          <cell r="E1510"/>
        </row>
        <row r="1511">
          <cell r="C1511" t="str">
            <v>Kiboga</v>
          </cell>
          <cell r="D1511" t="str">
            <v>Wattuba</v>
          </cell>
          <cell r="E1511"/>
        </row>
        <row r="1512">
          <cell r="C1512" t="str">
            <v>Amuria</v>
          </cell>
          <cell r="D1512" t="str">
            <v>Wera</v>
          </cell>
          <cell r="E1512"/>
        </row>
        <row r="1513">
          <cell r="C1513" t="str">
            <v>Sheema Municipality</v>
          </cell>
          <cell r="D1513" t="str">
            <v>Kabwohe Division</v>
          </cell>
          <cell r="E1513"/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/>
          <cell r="F1514"/>
        </row>
        <row r="1515">
          <cell r="C1515" t="str">
            <v>Sheema Municipality</v>
          </cell>
          <cell r="D1515" t="str">
            <v>Kashozi Division</v>
          </cell>
          <cell r="E1515"/>
          <cell r="F1515"/>
        </row>
        <row r="1516">
          <cell r="C1516" t="str">
            <v>Busia Municipality</v>
          </cell>
          <cell r="D1516" t="str">
            <v>Western Division</v>
          </cell>
          <cell r="E1516"/>
          <cell r="F1516"/>
        </row>
        <row r="1517">
          <cell r="C1517" t="str">
            <v>Sheema Municipality</v>
          </cell>
          <cell r="D1517" t="str">
            <v>Sheema Central Division</v>
          </cell>
          <cell r="E1517"/>
          <cell r="F1517"/>
        </row>
        <row r="1518">
          <cell r="C1518" t="str">
            <v>Soroti Municipality</v>
          </cell>
          <cell r="D1518" t="str">
            <v>Eastern Division</v>
          </cell>
          <cell r="E1518"/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/>
          <cell r="F1519"/>
        </row>
        <row r="1520">
          <cell r="C1520" t="str">
            <v>Soroti Municipality</v>
          </cell>
          <cell r="D1520" t="str">
            <v>Western Division</v>
          </cell>
          <cell r="E1520"/>
          <cell r="F1520"/>
        </row>
        <row r="1521">
          <cell r="C1521" t="str">
            <v>Tororo Municipality</v>
          </cell>
          <cell r="D1521" t="str">
            <v>Eastern Division</v>
          </cell>
          <cell r="E1521"/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/>
          <cell r="F1522"/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F9EF4-883A-4C75-9BD3-C8778889E5A4}">
  <dimension ref="A2:Y88"/>
  <sheetViews>
    <sheetView tabSelected="1" view="pageBreakPreview" topLeftCell="A19" zoomScale="60" zoomScaleNormal="65" workbookViewId="0">
      <selection activeCell="P47" sqref="P47:Y76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94" t="s">
        <v>2924</v>
      </c>
      <c r="N3" s="1" t="s">
        <v>2925</v>
      </c>
    </row>
    <row r="4" spans="1:17" ht="38.25">
      <c r="B4" s="95" t="s">
        <v>149</v>
      </c>
      <c r="C4" s="95" t="s">
        <v>2926</v>
      </c>
      <c r="D4" s="95" t="s">
        <v>2927</v>
      </c>
      <c r="N4" s="96" t="s">
        <v>2928</v>
      </c>
      <c r="O4" s="96" t="s">
        <v>2929</v>
      </c>
      <c r="P4" s="96" t="s">
        <v>2930</v>
      </c>
      <c r="Q4" s="97" t="s">
        <v>2931</v>
      </c>
    </row>
    <row r="5" spans="1:17" ht="15" customHeight="1">
      <c r="B5" s="98" t="s">
        <v>83</v>
      </c>
      <c r="C5" s="99">
        <f>COUNTIF('ALL DATA'!$D$9:$D$5000,"1")</f>
        <v>115</v>
      </c>
      <c r="D5" s="100">
        <f t="shared" ref="D5:D16" si="0">C5/$C$17</f>
        <v>0.29336734693877553</v>
      </c>
      <c r="N5" s="101" t="s">
        <v>2932</v>
      </c>
      <c r="O5" s="102">
        <f>COUNTIF(Jtime,"&lt;=0.25")</f>
        <v>3</v>
      </c>
      <c r="P5" s="103">
        <f>O5</f>
        <v>3</v>
      </c>
      <c r="Q5" s="104">
        <f>P5/$O$15</f>
        <v>1.1583011583011582E-2</v>
      </c>
    </row>
    <row r="6" spans="1:17" ht="15" customHeight="1">
      <c r="B6" s="98" t="s">
        <v>84</v>
      </c>
      <c r="C6" s="99">
        <f>COUNTIF('ALL DATA'!$D$9:$D$5000,"2")</f>
        <v>45</v>
      </c>
      <c r="D6" s="100">
        <f t="shared" si="0"/>
        <v>0.11479591836734694</v>
      </c>
      <c r="N6" s="101" t="s">
        <v>2933</v>
      </c>
      <c r="O6" s="102">
        <f>COUNTIF(Jtime,"&lt;=0.5")</f>
        <v>25</v>
      </c>
      <c r="P6" s="103">
        <f>O6-O5</f>
        <v>22</v>
      </c>
      <c r="Q6" s="104">
        <f t="shared" ref="Q6:Q15" si="1">P6/$O$15</f>
        <v>8.4942084942084939E-2</v>
      </c>
    </row>
    <row r="7" spans="1:17" ht="15" customHeight="1">
      <c r="B7" s="98" t="s">
        <v>85</v>
      </c>
      <c r="C7" s="99">
        <f>COUNTIF('ALL DATA'!$D$9:$D$5000,"3")</f>
        <v>3</v>
      </c>
      <c r="D7" s="100">
        <f t="shared" si="0"/>
        <v>7.6530612244897957E-3</v>
      </c>
      <c r="N7" s="101" t="s">
        <v>2934</v>
      </c>
      <c r="O7" s="102">
        <f>COUNTIF(Jtime,"&lt;=0.75")</f>
        <v>38</v>
      </c>
      <c r="P7" s="103">
        <f t="shared" ref="P7:P15" si="2">O7-O6</f>
        <v>13</v>
      </c>
      <c r="Q7" s="104">
        <f t="shared" si="1"/>
        <v>5.019305019305019E-2</v>
      </c>
    </row>
    <row r="8" spans="1:17" ht="15" customHeight="1">
      <c r="B8" s="98" t="s">
        <v>86</v>
      </c>
      <c r="C8" s="99">
        <f>COUNTIF('ALL DATA'!$D$9:$D$5000,"4")</f>
        <v>1</v>
      </c>
      <c r="D8" s="100">
        <f t="shared" si="0"/>
        <v>2.5510204081632651E-3</v>
      </c>
      <c r="N8" s="101" t="s">
        <v>2935</v>
      </c>
      <c r="O8" s="102">
        <f>COUNTIF(Jtime,"&lt;=1.0")</f>
        <v>58</v>
      </c>
      <c r="P8" s="103">
        <f t="shared" si="2"/>
        <v>20</v>
      </c>
      <c r="Q8" s="104">
        <f t="shared" si="1"/>
        <v>7.7220077220077218E-2</v>
      </c>
    </row>
    <row r="9" spans="1:17" ht="15" customHeight="1">
      <c r="B9" s="98" t="s">
        <v>87</v>
      </c>
      <c r="C9" s="99">
        <f>COUNTIF('ALL DATA'!$D$9:$D$5000,"5")</f>
        <v>15</v>
      </c>
      <c r="D9" s="100">
        <f t="shared" si="0"/>
        <v>3.826530612244898E-2</v>
      </c>
      <c r="N9" s="101" t="s">
        <v>2936</v>
      </c>
      <c r="O9" s="102">
        <f>COUNTIF(Jtime,"&lt;=1.5")</f>
        <v>104</v>
      </c>
      <c r="P9" s="103">
        <f t="shared" si="2"/>
        <v>46</v>
      </c>
      <c r="Q9" s="104">
        <f t="shared" si="1"/>
        <v>0.17760617760617761</v>
      </c>
    </row>
    <row r="10" spans="1:17" ht="15" customHeight="1">
      <c r="B10" s="98" t="s">
        <v>88</v>
      </c>
      <c r="C10" s="99">
        <f>COUNTIF('ALL DATA'!$D$9:$D$5000,"6")</f>
        <v>28</v>
      </c>
      <c r="D10" s="100">
        <f t="shared" si="0"/>
        <v>7.1428571428571425E-2</v>
      </c>
      <c r="N10" s="101" t="s">
        <v>2937</v>
      </c>
      <c r="O10" s="102">
        <f>COUNTIF(Jtime,"&lt;=2")</f>
        <v>175</v>
      </c>
      <c r="P10" s="103">
        <f t="shared" si="2"/>
        <v>71</v>
      </c>
      <c r="Q10" s="104">
        <f t="shared" si="1"/>
        <v>0.27413127413127414</v>
      </c>
    </row>
    <row r="11" spans="1:17" ht="15" customHeight="1">
      <c r="B11" s="98" t="s">
        <v>89</v>
      </c>
      <c r="C11" s="99">
        <f>COUNTIF('ALL DATA'!$D$9:$D$5000,"7")</f>
        <v>13</v>
      </c>
      <c r="D11" s="100">
        <f t="shared" si="0"/>
        <v>3.3163265306122451E-2</v>
      </c>
      <c r="N11" s="101" t="s">
        <v>2938</v>
      </c>
      <c r="O11" s="102">
        <f>COUNTIF(Jtime,"&lt;=3")</f>
        <v>189</v>
      </c>
      <c r="P11" s="103">
        <f t="shared" si="2"/>
        <v>14</v>
      </c>
      <c r="Q11" s="104">
        <f t="shared" si="1"/>
        <v>5.4054054054054057E-2</v>
      </c>
    </row>
    <row r="12" spans="1:17" ht="15" customHeight="1">
      <c r="B12" s="98" t="s">
        <v>90</v>
      </c>
      <c r="C12" s="99">
        <f>COUNTIF('ALL DATA'!$D$9:$D$5000,"8")</f>
        <v>73</v>
      </c>
      <c r="D12" s="100">
        <f t="shared" si="0"/>
        <v>0.18622448979591838</v>
      </c>
      <c r="N12" s="101" t="s">
        <v>2939</v>
      </c>
      <c r="O12" s="102">
        <f>COUNTIF(Jtime,"&lt;=5")</f>
        <v>197</v>
      </c>
      <c r="P12" s="103">
        <f t="shared" si="2"/>
        <v>8</v>
      </c>
      <c r="Q12" s="104">
        <f t="shared" si="1"/>
        <v>3.0888030888030889E-2</v>
      </c>
    </row>
    <row r="13" spans="1:17" ht="15" customHeight="1">
      <c r="B13" s="98" t="s">
        <v>91</v>
      </c>
      <c r="C13" s="99">
        <f>COUNTIF('ALL DATA'!$D$9:$D$5000,"9")</f>
        <v>99</v>
      </c>
      <c r="D13" s="100">
        <f t="shared" si="0"/>
        <v>0.25255102040816324</v>
      </c>
      <c r="N13" s="101" t="s">
        <v>2940</v>
      </c>
      <c r="O13" s="102">
        <f>COUNTIF(Jtime,"&lt;=7.5")</f>
        <v>202</v>
      </c>
      <c r="P13" s="103">
        <f t="shared" si="2"/>
        <v>5</v>
      </c>
      <c r="Q13" s="104">
        <f t="shared" si="1"/>
        <v>1.9305019305019305E-2</v>
      </c>
    </row>
    <row r="14" spans="1:17" ht="15" customHeight="1">
      <c r="B14" s="98" t="s">
        <v>92</v>
      </c>
      <c r="C14" s="99">
        <f>COUNTIF('ALL DATA'!$D$9:$D$5000,"10")</f>
        <v>0</v>
      </c>
      <c r="D14" s="100">
        <f t="shared" si="0"/>
        <v>0</v>
      </c>
      <c r="N14" s="101" t="s">
        <v>2941</v>
      </c>
      <c r="O14" s="102">
        <f>COUNTIF(Jtime,"&lt;=10")</f>
        <v>214</v>
      </c>
      <c r="P14" s="103">
        <f t="shared" si="2"/>
        <v>12</v>
      </c>
      <c r="Q14" s="104">
        <f t="shared" si="1"/>
        <v>4.633204633204633E-2</v>
      </c>
    </row>
    <row r="15" spans="1:17" ht="15" customHeight="1">
      <c r="B15" s="98" t="s">
        <v>94</v>
      </c>
      <c r="C15" s="99">
        <f>COUNTIF('ALL DATA'!$D$9:$D$5000,"11")</f>
        <v>0</v>
      </c>
      <c r="D15" s="100">
        <f t="shared" si="0"/>
        <v>0</v>
      </c>
      <c r="N15" s="101" t="s">
        <v>2942</v>
      </c>
      <c r="O15" s="102">
        <f>COUNTIF(Jtime,"&lt;=15")</f>
        <v>259</v>
      </c>
      <c r="P15" s="103">
        <f t="shared" si="2"/>
        <v>45</v>
      </c>
      <c r="Q15" s="104">
        <f t="shared" si="1"/>
        <v>0.17374517374517376</v>
      </c>
    </row>
    <row r="16" spans="1:17">
      <c r="B16" s="98" t="s">
        <v>93</v>
      </c>
      <c r="C16" s="99">
        <f>COUNTIF('ALL DATA'!$D$9:$D$5000,"12")</f>
        <v>0</v>
      </c>
      <c r="D16" s="100">
        <f t="shared" si="0"/>
        <v>0</v>
      </c>
    </row>
    <row r="17" spans="2:16">
      <c r="B17" s="99"/>
      <c r="C17" s="105">
        <f>SUM(C5:C16)</f>
        <v>392</v>
      </c>
      <c r="D17" s="99"/>
    </row>
    <row r="21" spans="2:16">
      <c r="N21" s="1" t="s">
        <v>120</v>
      </c>
    </row>
    <row r="22" spans="2:16" ht="39">
      <c r="B22" s="94" t="s">
        <v>150</v>
      </c>
      <c r="N22" s="106" t="s">
        <v>120</v>
      </c>
      <c r="O22" s="106" t="s">
        <v>2930</v>
      </c>
      <c r="P22" s="107" t="s">
        <v>2931</v>
      </c>
    </row>
    <row r="23" spans="2:16" ht="15" customHeight="1">
      <c r="B23" s="108" t="s">
        <v>2943</v>
      </c>
      <c r="C23" s="108" t="s">
        <v>2944</v>
      </c>
      <c r="D23" s="108" t="s">
        <v>2945</v>
      </c>
      <c r="N23" s="109" t="s">
        <v>2946</v>
      </c>
      <c r="O23" s="110">
        <f>COUNTIF(Tripfreq,"=1")</f>
        <v>117</v>
      </c>
      <c r="P23" s="100">
        <f>O23/$O$29</f>
        <v>0.29846938775510207</v>
      </c>
    </row>
    <row r="24" spans="2:16" ht="15" customHeight="1">
      <c r="B24" s="111" t="s">
        <v>151</v>
      </c>
      <c r="C24" s="112">
        <f>COUNTIF('ALL DATA'!$R$9:$R$5000,"Home-Work")</f>
        <v>12</v>
      </c>
      <c r="D24" s="113">
        <f>C24/$C$29</f>
        <v>3.0612244897959183E-2</v>
      </c>
      <c r="N24" s="109" t="s">
        <v>122</v>
      </c>
      <c r="O24" s="110">
        <f>COUNTIF(Tripfreq,"=2")</f>
        <v>46</v>
      </c>
      <c r="P24" s="100">
        <f t="shared" ref="P24:P28" si="3">O24/$O$29</f>
        <v>0.11734693877551021</v>
      </c>
    </row>
    <row r="25" spans="2:16" ht="15" customHeight="1">
      <c r="B25" s="111" t="s">
        <v>152</v>
      </c>
      <c r="C25" s="112">
        <f>COUNTIF('ALL DATA'!$R$9:$R$369,"Home-Study")</f>
        <v>0</v>
      </c>
      <c r="D25" s="113">
        <f>C25/$C$29</f>
        <v>0</v>
      </c>
      <c r="N25" s="109" t="s">
        <v>123</v>
      </c>
      <c r="O25" s="110">
        <f>COUNTIF(Tripfreq,"=3")</f>
        <v>136</v>
      </c>
      <c r="P25" s="100">
        <f t="shared" si="3"/>
        <v>0.34693877551020408</v>
      </c>
    </row>
    <row r="26" spans="2:16" ht="15" customHeight="1">
      <c r="B26" s="111" t="s">
        <v>153</v>
      </c>
      <c r="C26" s="112">
        <f>COUNTIF('ALL DATA'!$R$9:$R$369,"Work-Home")</f>
        <v>74</v>
      </c>
      <c r="D26" s="113">
        <f>C26/$C$29</f>
        <v>0.18877551020408162</v>
      </c>
      <c r="N26" s="109" t="s">
        <v>124</v>
      </c>
      <c r="O26" s="110">
        <f>COUNTIF(Tripfreq,"=4")</f>
        <v>80</v>
      </c>
      <c r="P26" s="100">
        <f t="shared" si="3"/>
        <v>0.20408163265306123</v>
      </c>
    </row>
    <row r="27" spans="2:16" ht="15" customHeight="1">
      <c r="B27" s="111" t="s">
        <v>154</v>
      </c>
      <c r="C27" s="112">
        <f>COUNTIF('ALL DATA'!$R$9:$R$369,"Work-Work")</f>
        <v>188</v>
      </c>
      <c r="D27" s="113">
        <f>C27/$C$29</f>
        <v>0.47959183673469385</v>
      </c>
      <c r="N27" s="109" t="s">
        <v>125</v>
      </c>
      <c r="O27" s="110">
        <f>COUNTIF(Tripfreq,"=5")</f>
        <v>8</v>
      </c>
      <c r="P27" s="100">
        <f t="shared" si="3"/>
        <v>2.0408163265306121E-2</v>
      </c>
    </row>
    <row r="28" spans="2:16" ht="15" customHeight="1">
      <c r="B28" s="111" t="s">
        <v>119</v>
      </c>
      <c r="C28" s="112">
        <f>C29-SUM(C24:C27)</f>
        <v>118</v>
      </c>
      <c r="D28" s="113">
        <f>C28/$C$29</f>
        <v>0.30102040816326531</v>
      </c>
      <c r="N28" s="109" t="s">
        <v>126</v>
      </c>
      <c r="O28" s="110">
        <f>COUNTIF(Tripfreq,"=6")</f>
        <v>5</v>
      </c>
      <c r="P28" s="100">
        <f t="shared" si="3"/>
        <v>1.2755102040816327E-2</v>
      </c>
    </row>
    <row r="29" spans="2:16" ht="15" customHeight="1">
      <c r="B29" s="114" t="s">
        <v>155</v>
      </c>
      <c r="C29" s="114">
        <f>C17</f>
        <v>392</v>
      </c>
      <c r="D29" s="112"/>
      <c r="N29" s="98"/>
      <c r="O29" s="115">
        <f>SUM(O23:O28)</f>
        <v>392</v>
      </c>
      <c r="P29" s="100"/>
    </row>
    <row r="40" spans="2:25">
      <c r="B40" s="1" t="s">
        <v>156</v>
      </c>
    </row>
    <row r="41" spans="2:25">
      <c r="B41" s="116" t="s">
        <v>2947</v>
      </c>
      <c r="C41" s="116" t="s">
        <v>2948</v>
      </c>
      <c r="D41" s="116" t="s">
        <v>2945</v>
      </c>
    </row>
    <row r="42" spans="2:25">
      <c r="B42" s="117" t="s">
        <v>32</v>
      </c>
      <c r="C42" s="118">
        <f>COUNTIF('ALL DATA'!$Y$9:$Y$5000,"Y")</f>
        <v>0</v>
      </c>
      <c r="D42" s="104">
        <f>C42/$C$44</f>
        <v>0</v>
      </c>
    </row>
    <row r="43" spans="2:25">
      <c r="B43" s="117" t="s">
        <v>157</v>
      </c>
      <c r="C43" s="118">
        <f>C44-C42</f>
        <v>392</v>
      </c>
      <c r="D43" s="104">
        <f>C43/$C$44</f>
        <v>1</v>
      </c>
    </row>
    <row r="44" spans="2:25">
      <c r="B44" s="119" t="s">
        <v>155</v>
      </c>
      <c r="C44" s="119">
        <f>C29</f>
        <v>392</v>
      </c>
      <c r="D44" s="118"/>
    </row>
    <row r="47" spans="2:25">
      <c r="R47" s="162" t="s">
        <v>113</v>
      </c>
      <c r="S47" s="162" t="s">
        <v>114</v>
      </c>
      <c r="T47" s="162" t="s">
        <v>115</v>
      </c>
      <c r="U47" s="162" t="s">
        <v>116</v>
      </c>
      <c r="V47" s="162" t="s">
        <v>117</v>
      </c>
      <c r="W47" s="162" t="s">
        <v>118</v>
      </c>
      <c r="X47" s="162" t="s">
        <v>100</v>
      </c>
      <c r="Y47" s="162" t="s">
        <v>119</v>
      </c>
    </row>
    <row r="48" spans="2:25">
      <c r="P48">
        <v>1</v>
      </c>
      <c r="Q48" s="163" t="s">
        <v>113</v>
      </c>
      <c r="R48" s="164">
        <f t="shared" ref="R48:Y55" si="4">R59/SUM($R$59:$Y$66)</f>
        <v>1.020408163265306E-2</v>
      </c>
      <c r="S48" s="164">
        <f t="shared" si="4"/>
        <v>3.0612244897959183E-2</v>
      </c>
      <c r="T48" s="164">
        <f t="shared" si="4"/>
        <v>0</v>
      </c>
      <c r="U48" s="164">
        <f t="shared" si="4"/>
        <v>0</v>
      </c>
      <c r="V48" s="164">
        <f t="shared" si="4"/>
        <v>0</v>
      </c>
      <c r="W48" s="164">
        <f t="shared" si="4"/>
        <v>7.6530612244897957E-3</v>
      </c>
      <c r="X48" s="164">
        <f t="shared" si="4"/>
        <v>1.2755102040816327E-2</v>
      </c>
      <c r="Y48" s="164">
        <f t="shared" si="4"/>
        <v>0</v>
      </c>
    </row>
    <row r="49" spans="2:25">
      <c r="P49">
        <v>2</v>
      </c>
      <c r="Q49" s="163" t="s">
        <v>114</v>
      </c>
      <c r="R49" s="164">
        <f t="shared" si="4"/>
        <v>0.19132653061224489</v>
      </c>
      <c r="S49" s="164">
        <f t="shared" si="4"/>
        <v>0.48469387755102039</v>
      </c>
      <c r="T49" s="164">
        <f t="shared" si="4"/>
        <v>2.5510204081632651E-3</v>
      </c>
      <c r="U49" s="164">
        <f t="shared" si="4"/>
        <v>0</v>
      </c>
      <c r="V49" s="164">
        <f t="shared" si="4"/>
        <v>2.5510204081632651E-3</v>
      </c>
      <c r="W49" s="164">
        <f t="shared" si="4"/>
        <v>2.5510204081632651E-3</v>
      </c>
      <c r="X49" s="164">
        <f t="shared" si="4"/>
        <v>2.5510204081632651E-3</v>
      </c>
      <c r="Y49" s="164">
        <f t="shared" si="4"/>
        <v>0</v>
      </c>
    </row>
    <row r="50" spans="2:25">
      <c r="P50">
        <v>3</v>
      </c>
      <c r="Q50" s="163" t="s">
        <v>115</v>
      </c>
      <c r="R50" s="164">
        <f t="shared" si="4"/>
        <v>0</v>
      </c>
      <c r="S50" s="164">
        <f t="shared" si="4"/>
        <v>0</v>
      </c>
      <c r="T50" s="164">
        <f t="shared" si="4"/>
        <v>0</v>
      </c>
      <c r="U50" s="164">
        <f t="shared" si="4"/>
        <v>0</v>
      </c>
      <c r="V50" s="164">
        <f t="shared" si="4"/>
        <v>0</v>
      </c>
      <c r="W50" s="164">
        <f t="shared" si="4"/>
        <v>0</v>
      </c>
      <c r="X50" s="164">
        <f t="shared" si="4"/>
        <v>0</v>
      </c>
      <c r="Y50" s="164">
        <f t="shared" si="4"/>
        <v>0</v>
      </c>
    </row>
    <row r="51" spans="2:25">
      <c r="P51">
        <v>4</v>
      </c>
      <c r="Q51" s="163" t="s">
        <v>116</v>
      </c>
      <c r="R51" s="164">
        <f t="shared" si="4"/>
        <v>2.5510204081632654E-2</v>
      </c>
      <c r="S51" s="164">
        <f t="shared" si="4"/>
        <v>2.5510204081632651E-3</v>
      </c>
      <c r="T51" s="164">
        <f t="shared" si="4"/>
        <v>0</v>
      </c>
      <c r="U51" s="164">
        <f t="shared" si="4"/>
        <v>0.20918367346938777</v>
      </c>
      <c r="V51" s="164">
        <f t="shared" si="4"/>
        <v>0</v>
      </c>
      <c r="W51" s="164">
        <f t="shared" si="4"/>
        <v>0</v>
      </c>
      <c r="X51" s="164">
        <f t="shared" si="4"/>
        <v>0</v>
      </c>
      <c r="Y51" s="164">
        <f t="shared" si="4"/>
        <v>0</v>
      </c>
    </row>
    <row r="52" spans="2:25">
      <c r="P52">
        <v>5</v>
      </c>
      <c r="Q52" s="163" t="s">
        <v>117</v>
      </c>
      <c r="R52" s="164">
        <f t="shared" si="4"/>
        <v>2.5510204081632651E-3</v>
      </c>
      <c r="S52" s="164">
        <f t="shared" si="4"/>
        <v>0</v>
      </c>
      <c r="T52" s="164">
        <f t="shared" si="4"/>
        <v>0</v>
      </c>
      <c r="U52" s="164">
        <f t="shared" si="4"/>
        <v>0</v>
      </c>
      <c r="V52" s="164">
        <f t="shared" si="4"/>
        <v>0</v>
      </c>
      <c r="W52" s="164">
        <f t="shared" si="4"/>
        <v>0</v>
      </c>
      <c r="X52" s="164">
        <f t="shared" si="4"/>
        <v>0</v>
      </c>
      <c r="Y52" s="164">
        <f t="shared" si="4"/>
        <v>0</v>
      </c>
    </row>
    <row r="53" spans="2:25">
      <c r="P53">
        <v>6</v>
      </c>
      <c r="Q53" s="163" t="s">
        <v>118</v>
      </c>
      <c r="R53" s="164">
        <f t="shared" si="4"/>
        <v>0</v>
      </c>
      <c r="S53" s="164">
        <f t="shared" si="4"/>
        <v>2.5510204081632651E-3</v>
      </c>
      <c r="T53" s="164">
        <f t="shared" si="4"/>
        <v>0</v>
      </c>
      <c r="U53" s="164">
        <f t="shared" si="4"/>
        <v>0</v>
      </c>
      <c r="V53" s="164">
        <f t="shared" si="4"/>
        <v>0</v>
      </c>
      <c r="W53" s="164">
        <f t="shared" si="4"/>
        <v>0</v>
      </c>
      <c r="X53" s="164">
        <f t="shared" si="4"/>
        <v>0</v>
      </c>
      <c r="Y53" s="164">
        <f t="shared" si="4"/>
        <v>0</v>
      </c>
    </row>
    <row r="54" spans="2:25">
      <c r="P54">
        <v>7</v>
      </c>
      <c r="Q54" s="163" t="s">
        <v>100</v>
      </c>
      <c r="R54" s="164">
        <f t="shared" si="4"/>
        <v>0</v>
      </c>
      <c r="S54" s="164">
        <f t="shared" si="4"/>
        <v>0</v>
      </c>
      <c r="T54" s="164">
        <f t="shared" si="4"/>
        <v>0</v>
      </c>
      <c r="U54" s="164">
        <f t="shared" si="4"/>
        <v>2.5510204081632651E-3</v>
      </c>
      <c r="V54" s="164">
        <f t="shared" si="4"/>
        <v>0</v>
      </c>
      <c r="W54" s="164">
        <f t="shared" si="4"/>
        <v>0</v>
      </c>
      <c r="X54" s="164">
        <f t="shared" si="4"/>
        <v>0</v>
      </c>
      <c r="Y54" s="164">
        <f t="shared" si="4"/>
        <v>0</v>
      </c>
    </row>
    <row r="55" spans="2:25">
      <c r="P55">
        <v>8</v>
      </c>
      <c r="Q55" s="163" t="s">
        <v>119</v>
      </c>
      <c r="R55" s="164">
        <f t="shared" si="4"/>
        <v>0</v>
      </c>
      <c r="S55" s="164">
        <f t="shared" si="4"/>
        <v>0</v>
      </c>
      <c r="T55" s="164">
        <f t="shared" si="4"/>
        <v>0</v>
      </c>
      <c r="U55" s="164">
        <f t="shared" si="4"/>
        <v>0</v>
      </c>
      <c r="V55" s="164">
        <f t="shared" si="4"/>
        <v>0</v>
      </c>
      <c r="W55" s="164">
        <f t="shared" si="4"/>
        <v>0</v>
      </c>
      <c r="X55" s="164">
        <f t="shared" si="4"/>
        <v>0</v>
      </c>
      <c r="Y55" s="164">
        <f t="shared" si="4"/>
        <v>7.6530612244897957E-3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2949</v>
      </c>
      <c r="R58" t="s">
        <v>113</v>
      </c>
      <c r="S58" t="s">
        <v>114</v>
      </c>
      <c r="T58" t="s">
        <v>115</v>
      </c>
      <c r="U58" t="s">
        <v>116</v>
      </c>
      <c r="V58" t="s">
        <v>117</v>
      </c>
      <c r="W58" t="s">
        <v>118</v>
      </c>
      <c r="X58" t="s">
        <v>100</v>
      </c>
      <c r="Y58" t="s">
        <v>119</v>
      </c>
    </row>
    <row r="59" spans="2:25">
      <c r="B59" s="120" t="s">
        <v>149</v>
      </c>
      <c r="C59" s="121" t="s">
        <v>2950</v>
      </c>
      <c r="P59">
        <v>1</v>
      </c>
      <c r="Q59" t="s">
        <v>113</v>
      </c>
      <c r="R59">
        <f>COUNTIF('ALL DATA'!$R$9:$R$5000,R69)</f>
        <v>4</v>
      </c>
      <c r="S59">
        <f>COUNTIF('ALL DATA'!$R$9:$R$5000,S69)</f>
        <v>12</v>
      </c>
      <c r="T59">
        <f>COUNTIF('ALL DATA'!$R$9:$R$5000,T69)</f>
        <v>0</v>
      </c>
      <c r="U59">
        <f>COUNTIF('ALL DATA'!$R$9:$R$5000,U69)</f>
        <v>0</v>
      </c>
      <c r="V59">
        <f>COUNTIF('ALL DATA'!$R$9:$R$5000,V69)</f>
        <v>0</v>
      </c>
      <c r="W59">
        <f>COUNTIF('ALL DATA'!$R$9:$R$5000,W69)</f>
        <v>3</v>
      </c>
      <c r="X59">
        <f>COUNTIF('ALL DATA'!$R$9:$R$5000,X69)</f>
        <v>5</v>
      </c>
      <c r="Y59">
        <f>COUNTIF('ALL DATA'!$R$9:$R$5000,Y69)</f>
        <v>0</v>
      </c>
    </row>
    <row r="60" spans="2:25" ht="15" customHeight="1">
      <c r="B60" s="101" t="s">
        <v>83</v>
      </c>
      <c r="C60" s="102" t="e">
        <f ca="1">AVERAGEIF(Veh,"=1",'ALL DATA'!$Z$9:$Z$5000)</f>
        <v>#DIV/0!</v>
      </c>
      <c r="P60">
        <v>2</v>
      </c>
      <c r="Q60" t="s">
        <v>114</v>
      </c>
      <c r="R60">
        <f>COUNTIF('ALL DATA'!$R$9:$R$5000,R70)</f>
        <v>75</v>
      </c>
      <c r="S60">
        <f>COUNTIF('ALL DATA'!$R$9:$R$5000,S70)</f>
        <v>190</v>
      </c>
      <c r="T60">
        <f>COUNTIF('ALL DATA'!$R$9:$R$5000,T70)</f>
        <v>1</v>
      </c>
      <c r="U60">
        <f>COUNTIF('ALL DATA'!$R$9:$R$5000,U70)</f>
        <v>0</v>
      </c>
      <c r="V60">
        <f>COUNTIF('ALL DATA'!$R$9:$R$5000,V70)</f>
        <v>1</v>
      </c>
      <c r="W60">
        <f>COUNTIF('ALL DATA'!$R$9:$R$5000,W70)</f>
        <v>1</v>
      </c>
      <c r="X60">
        <f>COUNTIF('ALL DATA'!$R$9:$R$5000,X70)</f>
        <v>1</v>
      </c>
      <c r="Y60">
        <f>COUNTIF('ALL DATA'!$R$9:$R$5000,Y70)</f>
        <v>0</v>
      </c>
    </row>
    <row r="61" spans="2:25" ht="15" customHeight="1">
      <c r="B61" s="101" t="s">
        <v>84</v>
      </c>
      <c r="C61" s="102" t="e">
        <f ca="1">AVERAGEIF(Veh,"=2",'ALL DATA'!$Z$9:$Z$5000)</f>
        <v>#DIV/0!</v>
      </c>
      <c r="P61">
        <v>3</v>
      </c>
      <c r="Q61" t="s">
        <v>115</v>
      </c>
      <c r="R61">
        <f>COUNTIF('ALL DATA'!$R$9:$R$5000,R71)</f>
        <v>0</v>
      </c>
      <c r="S61">
        <f>COUNTIF('ALL DATA'!$R$9:$R$5000,S71)</f>
        <v>0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1" t="s">
        <v>85</v>
      </c>
      <c r="C62" s="102" t="e">
        <f ca="1">AVERAGEIF(Veh,"=3",'ALL DATA'!$Z$9:$Z$5000)</f>
        <v>#DIV/0!</v>
      </c>
      <c r="P62">
        <v>4</v>
      </c>
      <c r="Q62" t="s">
        <v>116</v>
      </c>
      <c r="R62">
        <f>COUNTIF('ALL DATA'!$R$9:$R$5000,R72)</f>
        <v>10</v>
      </c>
      <c r="S62">
        <f>COUNTIF('ALL DATA'!$R$9:$R$5000,S72)</f>
        <v>1</v>
      </c>
      <c r="T62">
        <f>COUNTIF('ALL DATA'!$R$9:$R$5000,T72)</f>
        <v>0</v>
      </c>
      <c r="U62">
        <f>COUNTIF('ALL DATA'!$R$9:$R$5000,U72)</f>
        <v>82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101" t="s">
        <v>86</v>
      </c>
      <c r="C63" s="102" t="e">
        <f ca="1">AVERAGEIF(Veh,"=4",'ALL DATA'!$Z$9:$Z$5000)</f>
        <v>#DIV/0!</v>
      </c>
      <c r="P63">
        <v>5</v>
      </c>
      <c r="Q63" t="s">
        <v>117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1" t="s">
        <v>87</v>
      </c>
      <c r="C64" s="102" t="e">
        <f ca="1">AVERAGEIF(Veh,"=5",'ALL DATA'!$Z$9:$Z$5000)</f>
        <v>#DIV/0!</v>
      </c>
      <c r="P64">
        <v>6</v>
      </c>
      <c r="Q64" t="s">
        <v>118</v>
      </c>
      <c r="R64">
        <f>COUNTIF('ALL DATA'!$R$9:$R$5000,R74)</f>
        <v>0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1" t="s">
        <v>88</v>
      </c>
      <c r="C65" s="102" t="e">
        <f ca="1">AVERAGEIF(Veh,"=6",'ALL DATA'!$Z$9:$Z$5000)</f>
        <v>#DIV/0!</v>
      </c>
      <c r="P65">
        <v>7</v>
      </c>
      <c r="Q65" t="s">
        <v>100</v>
      </c>
      <c r="R65">
        <f>COUNTIF('ALL DATA'!$R$9:$R$5000,R75)</f>
        <v>0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1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01" t="s">
        <v>89</v>
      </c>
      <c r="C66" s="102" t="e">
        <f ca="1">AVERAGEIF(Veh,"=7",'ALL DATA'!$Z$9:$Z$5000)</f>
        <v>#DIV/0!</v>
      </c>
      <c r="P66">
        <v>8</v>
      </c>
      <c r="Q66" t="s">
        <v>119</v>
      </c>
      <c r="R66">
        <f>COUNTIF('ALL DATA'!$R$9:$R$5000,R76)</f>
        <v>0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3</v>
      </c>
    </row>
    <row r="67" spans="2:25" ht="15" customHeight="1">
      <c r="B67" s="101" t="s">
        <v>90</v>
      </c>
      <c r="C67" s="102" t="e">
        <f ca="1">AVERAGEIF(Veh,"=8",'ALL DATA'!$Z$9:$Z$5000)</f>
        <v>#DIV/0!</v>
      </c>
    </row>
    <row r="68" spans="2:25" ht="15" customHeight="1">
      <c r="B68" s="101" t="s">
        <v>91</v>
      </c>
      <c r="C68" s="102" t="e">
        <f ca="1">AVERAGEIF(Veh,"=9",'ALL DATA'!$Z$9:$Z$5000)</f>
        <v>#DIV/0!</v>
      </c>
      <c r="R68" t="s">
        <v>113</v>
      </c>
      <c r="S68" t="s">
        <v>114</v>
      </c>
      <c r="T68" t="s">
        <v>115</v>
      </c>
      <c r="U68" t="s">
        <v>116</v>
      </c>
      <c r="V68" t="s">
        <v>117</v>
      </c>
      <c r="W68" t="s">
        <v>118</v>
      </c>
      <c r="X68" t="s">
        <v>100</v>
      </c>
      <c r="Y68" t="s">
        <v>119</v>
      </c>
    </row>
    <row r="69" spans="2:25" ht="15" customHeight="1">
      <c r="B69" s="101" t="s">
        <v>92</v>
      </c>
      <c r="C69" s="102" t="e">
        <f ca="1">AVERAGEIF(Veh,"=10",'ALL DATA'!$Z$9:$Z$5000)</f>
        <v>#DIV/0!</v>
      </c>
      <c r="P69">
        <v>1</v>
      </c>
      <c r="Q69" t="s">
        <v>113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1" t="s">
        <v>94</v>
      </c>
      <c r="C70" s="102" t="e">
        <f ca="1">AVERAGEIF(Veh,"=11",'ALL DATA'!$Z$9:$Z$5000)</f>
        <v>#DIV/0!</v>
      </c>
      <c r="P70">
        <v>2</v>
      </c>
      <c r="Q70" t="s">
        <v>114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1" t="s">
        <v>93</v>
      </c>
      <c r="C71" s="102" t="e">
        <f ca="1">AVERAGEIF(Veh,"=12",'ALL DATA'!$Z$9:$Z$5000)</f>
        <v>#DIV/0!</v>
      </c>
      <c r="P71">
        <v>3</v>
      </c>
      <c r="Q71" t="s">
        <v>115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116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117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100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2951</v>
      </c>
    </row>
    <row r="79" spans="2:25" ht="25.5">
      <c r="B79" s="122" t="s">
        <v>2952</v>
      </c>
      <c r="C79" s="123" t="s">
        <v>2953</v>
      </c>
      <c r="D79" s="124" t="s">
        <v>2930</v>
      </c>
      <c r="E79" s="125" t="s">
        <v>2954</v>
      </c>
    </row>
    <row r="80" spans="2:25" ht="15" customHeight="1">
      <c r="B80" s="126" t="s">
        <v>2955</v>
      </c>
      <c r="C80" s="127">
        <f>COUNTIF(Dist,"&lt;=1")</f>
        <v>0</v>
      </c>
      <c r="D80" s="128">
        <f>C80</f>
        <v>0</v>
      </c>
      <c r="E80" s="129" t="e">
        <f>D80/$C$88</f>
        <v>#DIV/0!</v>
      </c>
    </row>
    <row r="81" spans="2:5" ht="15" customHeight="1">
      <c r="B81" s="126" t="s">
        <v>2956</v>
      </c>
      <c r="C81" s="127">
        <f>COUNTIF(Dist,"&lt;=2.5")</f>
        <v>0</v>
      </c>
      <c r="D81" s="128">
        <f>C81-C80</f>
        <v>0</v>
      </c>
      <c r="E81" s="129" t="e">
        <f t="shared" ref="E81:E88" si="6">D81/$C$88</f>
        <v>#DIV/0!</v>
      </c>
    </row>
    <row r="82" spans="2:5" ht="15" customHeight="1">
      <c r="B82" s="126" t="s">
        <v>2957</v>
      </c>
      <c r="C82" s="127">
        <f>COUNTIF(Dist,"&lt;=5")</f>
        <v>0</v>
      </c>
      <c r="D82" s="128">
        <f t="shared" ref="D82:D88" si="7">C82-C81</f>
        <v>0</v>
      </c>
      <c r="E82" s="129" t="e">
        <f t="shared" si="6"/>
        <v>#DIV/0!</v>
      </c>
    </row>
    <row r="83" spans="2:5" ht="15" customHeight="1">
      <c r="B83" s="126" t="s">
        <v>2958</v>
      </c>
      <c r="C83" s="127">
        <f>COUNTIF(Dist,"&lt;=10")</f>
        <v>0</v>
      </c>
      <c r="D83" s="128">
        <f t="shared" si="7"/>
        <v>0</v>
      </c>
      <c r="E83" s="129" t="e">
        <f t="shared" si="6"/>
        <v>#DIV/0!</v>
      </c>
    </row>
    <row r="84" spans="2:5" ht="15" customHeight="1">
      <c r="B84" s="126" t="s">
        <v>2959</v>
      </c>
      <c r="C84" s="127">
        <f>COUNTIF(Dist,"&lt;=20")</f>
        <v>0</v>
      </c>
      <c r="D84" s="128">
        <f t="shared" si="7"/>
        <v>0</v>
      </c>
      <c r="E84" s="129" t="e">
        <f t="shared" si="6"/>
        <v>#DIV/0!</v>
      </c>
    </row>
    <row r="85" spans="2:5" ht="15" customHeight="1">
      <c r="B85" s="126" t="s">
        <v>2960</v>
      </c>
      <c r="C85" s="127">
        <f>COUNTIF(Dist,"&lt;=50")</f>
        <v>0</v>
      </c>
      <c r="D85" s="128">
        <f t="shared" si="7"/>
        <v>0</v>
      </c>
      <c r="E85" s="129" t="e">
        <f t="shared" si="6"/>
        <v>#DIV/0!</v>
      </c>
    </row>
    <row r="86" spans="2:5" ht="15" customHeight="1">
      <c r="B86" s="126" t="s">
        <v>2961</v>
      </c>
      <c r="C86" s="127">
        <f>COUNTIF(Dist,"&lt;=100")</f>
        <v>0</v>
      </c>
      <c r="D86" s="128">
        <f t="shared" si="7"/>
        <v>0</v>
      </c>
      <c r="E86" s="129" t="e">
        <f t="shared" si="6"/>
        <v>#DIV/0!</v>
      </c>
    </row>
    <row r="87" spans="2:5" ht="15" customHeight="1">
      <c r="B87" s="126" t="s">
        <v>2962</v>
      </c>
      <c r="C87" s="127">
        <f>COUNTIF(Dist,"&lt;=250")</f>
        <v>0</v>
      </c>
      <c r="D87" s="128">
        <f t="shared" si="7"/>
        <v>0</v>
      </c>
      <c r="E87" s="129" t="e">
        <f t="shared" si="6"/>
        <v>#DIV/0!</v>
      </c>
    </row>
    <row r="88" spans="2:5" ht="15" customHeight="1">
      <c r="B88" s="126" t="s">
        <v>2963</v>
      </c>
      <c r="C88" s="127">
        <f>COUNTIF(Dist,"&lt;=700")</f>
        <v>0</v>
      </c>
      <c r="D88" s="128">
        <f t="shared" si="7"/>
        <v>0</v>
      </c>
      <c r="E88" s="129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400"/>
  <sheetViews>
    <sheetView zoomScale="60" zoomScaleNormal="60" zoomScaleSheetLayoutView="80" workbookViewId="0">
      <selection activeCell="Z5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140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51" t="s">
        <v>159</v>
      </c>
      <c r="E4" s="1" t="s">
        <v>76</v>
      </c>
      <c r="F4" s="140" t="s">
        <v>166</v>
      </c>
      <c r="G4" s="141"/>
      <c r="I4" s="27" t="s">
        <v>77</v>
      </c>
      <c r="J4" s="5"/>
      <c r="K4" s="5"/>
      <c r="L4" s="52" t="s">
        <v>167</v>
      </c>
      <c r="M4" s="68"/>
      <c r="N4" s="1" t="s">
        <v>79</v>
      </c>
      <c r="O4" s="142" t="s">
        <v>160</v>
      </c>
      <c r="P4" s="143"/>
      <c r="Q4" s="143"/>
      <c r="R4" s="143"/>
      <c r="S4" s="143"/>
      <c r="T4" s="143"/>
      <c r="V4" s="1" t="s">
        <v>80</v>
      </c>
      <c r="W4" s="43" t="s">
        <v>161</v>
      </c>
      <c r="Y4" s="27" t="s">
        <v>6</v>
      </c>
      <c r="Z4" s="54" t="s">
        <v>158</v>
      </c>
      <c r="AA4" s="32" t="s">
        <v>7</v>
      </c>
      <c r="AB4" s="54" t="s">
        <v>81</v>
      </c>
      <c r="AE4" s="10"/>
      <c r="AF4" s="5"/>
    </row>
    <row r="5" spans="2:35" ht="15" customHeight="1">
      <c r="B5" s="68"/>
      <c r="C5" s="68"/>
      <c r="D5" s="68"/>
      <c r="E5" s="22"/>
      <c r="F5" s="68"/>
      <c r="G5" s="68"/>
      <c r="I5" s="28" t="s">
        <v>78</v>
      </c>
      <c r="J5" s="68"/>
      <c r="K5" s="68"/>
      <c r="L5" s="53" t="s">
        <v>168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44" t="s">
        <v>34</v>
      </c>
      <c r="C7" s="130" t="s">
        <v>67</v>
      </c>
      <c r="D7" s="132" t="s">
        <v>9</v>
      </c>
      <c r="E7" s="130" t="s">
        <v>35</v>
      </c>
      <c r="F7" s="147" t="s">
        <v>12</v>
      </c>
      <c r="G7" s="148"/>
      <c r="H7" s="149"/>
      <c r="I7" s="132" t="s">
        <v>70</v>
      </c>
      <c r="J7" s="130" t="s">
        <v>15</v>
      </c>
      <c r="K7" s="130" t="s">
        <v>141</v>
      </c>
      <c r="L7" s="147" t="s">
        <v>17</v>
      </c>
      <c r="M7" s="148"/>
      <c r="N7" s="149"/>
      <c r="O7" s="132" t="s">
        <v>71</v>
      </c>
      <c r="P7" s="130" t="s">
        <v>18</v>
      </c>
      <c r="Q7" s="130" t="s">
        <v>142</v>
      </c>
      <c r="R7" s="130" t="s">
        <v>143</v>
      </c>
      <c r="S7" s="130" t="s">
        <v>145</v>
      </c>
      <c r="T7" s="130" t="s">
        <v>144</v>
      </c>
      <c r="U7" s="130" t="s">
        <v>72</v>
      </c>
      <c r="V7" s="136" t="s">
        <v>75</v>
      </c>
      <c r="W7" s="137"/>
      <c r="X7" s="138"/>
      <c r="Y7" s="130" t="s">
        <v>74</v>
      </c>
      <c r="Z7" s="130" t="s">
        <v>148</v>
      </c>
      <c r="AA7" s="132" t="s">
        <v>20</v>
      </c>
      <c r="AB7" s="134" t="s">
        <v>21</v>
      </c>
      <c r="AD7" s="19"/>
    </row>
    <row r="8" spans="2:35" ht="38.25" customHeight="1">
      <c r="B8" s="145"/>
      <c r="C8" s="131"/>
      <c r="D8" s="133"/>
      <c r="E8" s="146"/>
      <c r="F8" s="67" t="s">
        <v>82</v>
      </c>
      <c r="G8" s="67" t="s">
        <v>68</v>
      </c>
      <c r="H8" s="24" t="s">
        <v>69</v>
      </c>
      <c r="I8" s="133"/>
      <c r="J8" s="131"/>
      <c r="K8" s="131"/>
      <c r="L8" s="67" t="s">
        <v>82</v>
      </c>
      <c r="M8" s="67" t="s">
        <v>68</v>
      </c>
      <c r="N8" s="67" t="s">
        <v>69</v>
      </c>
      <c r="O8" s="133"/>
      <c r="P8" s="131"/>
      <c r="Q8" s="131"/>
      <c r="R8" s="131"/>
      <c r="S8" s="131"/>
      <c r="T8" s="131"/>
      <c r="U8" s="131"/>
      <c r="V8" s="29" t="s">
        <v>73</v>
      </c>
      <c r="W8" s="30" t="s">
        <v>146</v>
      </c>
      <c r="X8" s="30" t="s">
        <v>147</v>
      </c>
      <c r="Y8" s="131"/>
      <c r="Z8" s="131"/>
      <c r="AA8" s="133"/>
      <c r="AB8" s="135"/>
    </row>
    <row r="9" spans="2:35" s="19" customFormat="1">
      <c r="B9" s="40">
        <v>0.32569444444444445</v>
      </c>
      <c r="C9" s="40"/>
      <c r="D9" s="41">
        <v>1</v>
      </c>
      <c r="E9" s="41">
        <v>2</v>
      </c>
      <c r="F9" s="42" t="s">
        <v>170</v>
      </c>
      <c r="G9" s="42" t="s">
        <v>171</v>
      </c>
      <c r="H9" s="42" t="s">
        <v>179</v>
      </c>
      <c r="I9" s="42"/>
      <c r="J9" s="42">
        <v>2</v>
      </c>
      <c r="K9" s="25" t="str">
        <f>VLOOKUP(J9,Key!$E$2:$F$9,2,FALSE)</f>
        <v>Work</v>
      </c>
      <c r="L9" s="42" t="s">
        <v>1771</v>
      </c>
      <c r="M9" s="43" t="s">
        <v>182</v>
      </c>
      <c r="N9" s="50" t="s">
        <v>179</v>
      </c>
      <c r="O9" s="43"/>
      <c r="P9" s="43">
        <v>5</v>
      </c>
      <c r="Q9" s="25" t="str">
        <f>VLOOKUP(P9,Key!$E$2:$F$9,2,FALSE)</f>
        <v>Tourism</v>
      </c>
      <c r="R9" s="25" t="str">
        <f>K9&amp;"-"&amp;Q9</f>
        <v>Work-Tourism</v>
      </c>
      <c r="S9" s="49"/>
      <c r="T9" s="49">
        <v>5</v>
      </c>
      <c r="U9" s="58">
        <v>4</v>
      </c>
      <c r="V9" s="58"/>
      <c r="W9" s="49"/>
      <c r="X9" s="49"/>
      <c r="Y9" s="50"/>
      <c r="Z9" s="59"/>
      <c r="AA9" s="25">
        <f>VLOOKUP(F9,Zones!$A$2:$F$15907,6,FALSE)</f>
        <v>1443</v>
      </c>
      <c r="AB9" s="25">
        <f>VLOOKUP(L9,Zones!$A$2:$F$15907,6,FALSE)</f>
        <v>881</v>
      </c>
    </row>
    <row r="10" spans="2:35" s="19" customFormat="1">
      <c r="B10" s="40">
        <v>0.3298611111111111</v>
      </c>
      <c r="C10" s="40"/>
      <c r="D10" s="41">
        <v>6</v>
      </c>
      <c r="E10" s="41">
        <v>1</v>
      </c>
      <c r="F10" s="42" t="s">
        <v>170</v>
      </c>
      <c r="G10" s="42" t="s">
        <v>171</v>
      </c>
      <c r="H10" s="42" t="s">
        <v>179</v>
      </c>
      <c r="I10" s="42"/>
      <c r="J10" s="42">
        <v>2</v>
      </c>
      <c r="K10" s="25" t="str">
        <f>VLOOKUP(J10,Key!$E$2:$F$9,2,FALSE)</f>
        <v>Work</v>
      </c>
      <c r="L10" s="42" t="s">
        <v>168</v>
      </c>
      <c r="M10" s="43" t="s">
        <v>171</v>
      </c>
      <c r="N10" s="50" t="s">
        <v>179</v>
      </c>
      <c r="O10" s="43"/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9"/>
      <c r="T10" s="49">
        <v>0.3</v>
      </c>
      <c r="U10" s="58">
        <v>1</v>
      </c>
      <c r="V10" s="58"/>
      <c r="W10" s="49"/>
      <c r="X10" s="49"/>
      <c r="Y10" s="50"/>
      <c r="Z10" s="59"/>
      <c r="AA10" s="25">
        <f>VLOOKUP(F10,Zones!$A$2:$F$15907,6,FALSE)</f>
        <v>1443</v>
      </c>
      <c r="AB10" s="25">
        <f>VLOOKUP(L10,Zones!$A$2:$F$15907,6,FALSE)</f>
        <v>75</v>
      </c>
    </row>
    <row r="11" spans="2:35" s="19" customFormat="1">
      <c r="B11" s="40">
        <v>0.33194444444444443</v>
      </c>
      <c r="C11" s="40"/>
      <c r="D11" s="41">
        <v>1</v>
      </c>
      <c r="E11" s="41">
        <v>2</v>
      </c>
      <c r="F11" s="42" t="s">
        <v>167</v>
      </c>
      <c r="G11" s="42" t="s">
        <v>172</v>
      </c>
      <c r="H11" s="42" t="s">
        <v>179</v>
      </c>
      <c r="I11" s="42"/>
      <c r="J11" s="42">
        <v>2</v>
      </c>
      <c r="K11" s="25" t="str">
        <f>VLOOKUP(J11,Key!$E$2:$F$9,2,FALSE)</f>
        <v>Work</v>
      </c>
      <c r="L11" s="42" t="s">
        <v>172</v>
      </c>
      <c r="M11" s="43" t="s">
        <v>172</v>
      </c>
      <c r="N11" s="50" t="s">
        <v>179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9"/>
      <c r="T11" s="49">
        <v>3</v>
      </c>
      <c r="U11" s="58">
        <v>2</v>
      </c>
      <c r="V11" s="58"/>
      <c r="W11" s="49"/>
      <c r="X11" s="49"/>
      <c r="Y11" s="50"/>
      <c r="Z11" s="59"/>
      <c r="AA11" s="25">
        <f>VLOOKUP(F11,Zones!$A$2:$F$15907,6,FALSE)</f>
        <v>1443</v>
      </c>
      <c r="AB11" s="25">
        <f>VLOOKUP(L11,Zones!$A$2:$F$15907,6,FALSE)</f>
        <v>335</v>
      </c>
    </row>
    <row r="12" spans="2:35" s="19" customFormat="1">
      <c r="B12" s="40">
        <v>0.3347222222222222</v>
      </c>
      <c r="C12" s="40"/>
      <c r="D12" s="41">
        <v>8</v>
      </c>
      <c r="E12" s="41">
        <v>2</v>
      </c>
      <c r="F12" s="42" t="s">
        <v>170</v>
      </c>
      <c r="G12" s="42" t="s">
        <v>172</v>
      </c>
      <c r="H12" s="42" t="s">
        <v>179</v>
      </c>
      <c r="I12" s="42"/>
      <c r="J12" s="42">
        <v>2</v>
      </c>
      <c r="K12" s="25" t="str">
        <f>VLOOKUP(J12,Key!$E$2:$F$9,2,FALSE)</f>
        <v>Work</v>
      </c>
      <c r="L12" s="42" t="s">
        <v>172</v>
      </c>
      <c r="M12" s="43" t="s">
        <v>172</v>
      </c>
      <c r="N12" s="50" t="s">
        <v>179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2</v>
      </c>
      <c r="U12" s="58">
        <v>2</v>
      </c>
      <c r="V12" s="58">
        <v>9</v>
      </c>
      <c r="W12" s="49">
        <v>3</v>
      </c>
      <c r="X12" s="49"/>
      <c r="Y12" s="50"/>
      <c r="Z12" s="59"/>
      <c r="AA12" s="25">
        <f>VLOOKUP(F12,Zones!$A$2:$F$15907,6,FALSE)</f>
        <v>1443</v>
      </c>
      <c r="AB12" s="25">
        <f>VLOOKUP(L12,Zones!$A$2:$F$15907,6,FALSE)</f>
        <v>335</v>
      </c>
    </row>
    <row r="13" spans="2:35" s="19" customFormat="1">
      <c r="B13" s="40">
        <v>0.33958333333333335</v>
      </c>
      <c r="C13" s="40"/>
      <c r="D13" s="41">
        <v>9</v>
      </c>
      <c r="E13" s="41">
        <v>2</v>
      </c>
      <c r="F13" s="42" t="s">
        <v>173</v>
      </c>
      <c r="G13" s="42" t="s">
        <v>167</v>
      </c>
      <c r="H13" s="42" t="s">
        <v>180</v>
      </c>
      <c r="I13" s="42"/>
      <c r="J13" s="42">
        <v>1</v>
      </c>
      <c r="K13" s="25" t="str">
        <f>VLOOKUP(J13,Key!$E$2:$F$9,2,FALSE)</f>
        <v>Home</v>
      </c>
      <c r="L13" s="42" t="s">
        <v>183</v>
      </c>
      <c r="M13" s="43" t="s">
        <v>183</v>
      </c>
      <c r="N13" s="50" t="s">
        <v>179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Home-Home</v>
      </c>
      <c r="S13" s="49"/>
      <c r="T13" s="49">
        <v>15</v>
      </c>
      <c r="U13" s="58">
        <v>3</v>
      </c>
      <c r="V13" s="58">
        <v>5</v>
      </c>
      <c r="W13" s="49">
        <v>5</v>
      </c>
      <c r="X13" s="49"/>
      <c r="Y13" s="50"/>
      <c r="Z13" s="59"/>
      <c r="AA13" s="25">
        <f>VLOOKUP(F13,Zones!$A$2:$F$15907,6,FALSE)</f>
        <v>1443</v>
      </c>
      <c r="AB13" s="25">
        <f>VLOOKUP(L13,Zones!$A$2:$F$15907,6,FALSE)</f>
        <v>521</v>
      </c>
    </row>
    <row r="14" spans="2:35" s="19" customFormat="1">
      <c r="B14" s="40">
        <v>0.36527777777777781</v>
      </c>
      <c r="C14" s="40"/>
      <c r="D14" s="41">
        <v>1</v>
      </c>
      <c r="E14" s="41"/>
      <c r="F14" s="42" t="s">
        <v>173</v>
      </c>
      <c r="G14" s="42" t="s">
        <v>167</v>
      </c>
      <c r="H14" s="42" t="s">
        <v>180</v>
      </c>
      <c r="I14" s="42"/>
      <c r="J14" s="42">
        <v>2</v>
      </c>
      <c r="K14" s="25" t="str">
        <f>VLOOKUP(J14,Key!$E$2:$F$9,2,FALSE)</f>
        <v>Work</v>
      </c>
      <c r="L14" s="42" t="s">
        <v>172</v>
      </c>
      <c r="M14" s="43" t="s">
        <v>172</v>
      </c>
      <c r="N14" s="50" t="s">
        <v>179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1.5</v>
      </c>
      <c r="U14" s="58">
        <v>3</v>
      </c>
      <c r="V14" s="58"/>
      <c r="W14" s="49"/>
      <c r="X14" s="49"/>
      <c r="Y14" s="50"/>
      <c r="Z14" s="59"/>
      <c r="AA14" s="25">
        <f>VLOOKUP(F14,Zones!$A$2:$F$15907,6,FALSE)</f>
        <v>1443</v>
      </c>
      <c r="AB14" s="25">
        <f>VLOOKUP(L14,Zones!$A$2:$F$15907,6,FALSE)</f>
        <v>335</v>
      </c>
    </row>
    <row r="15" spans="2:35" s="19" customFormat="1">
      <c r="B15" s="40">
        <v>0.36944444444444446</v>
      </c>
      <c r="C15" s="40"/>
      <c r="D15" s="41">
        <v>8</v>
      </c>
      <c r="E15" s="41">
        <v>2</v>
      </c>
      <c r="F15" s="42" t="s">
        <v>173</v>
      </c>
      <c r="G15" s="42" t="s">
        <v>167</v>
      </c>
      <c r="H15" s="42" t="s">
        <v>180</v>
      </c>
      <c r="I15" s="42"/>
      <c r="J15" s="42">
        <v>1</v>
      </c>
      <c r="K15" s="25" t="str">
        <f>VLOOKUP(J15,Key!$E$2:$F$9,2,FALSE)</f>
        <v>Home</v>
      </c>
      <c r="L15" s="42" t="s">
        <v>183</v>
      </c>
      <c r="M15" s="43" t="s">
        <v>183</v>
      </c>
      <c r="N15" s="50" t="s">
        <v>179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9"/>
      <c r="T15" s="49">
        <v>48</v>
      </c>
      <c r="U15" s="58">
        <v>3</v>
      </c>
      <c r="V15" s="58"/>
      <c r="W15" s="49">
        <v>12</v>
      </c>
      <c r="X15" s="49"/>
      <c r="Y15" s="50"/>
      <c r="Z15" s="59"/>
      <c r="AA15" s="25">
        <f>VLOOKUP(F15,Zones!$A$2:$F$15907,6,FALSE)</f>
        <v>1443</v>
      </c>
      <c r="AB15" s="25">
        <f>VLOOKUP(L15,Zones!$A$2:$F$15907,6,FALSE)</f>
        <v>521</v>
      </c>
    </row>
    <row r="16" spans="2:35" s="19" customFormat="1">
      <c r="B16" s="40">
        <v>0.37708333333333338</v>
      </c>
      <c r="C16" s="40"/>
      <c r="D16" s="41">
        <v>8</v>
      </c>
      <c r="E16" s="41">
        <v>2</v>
      </c>
      <c r="F16" s="42" t="s">
        <v>173</v>
      </c>
      <c r="G16" s="42" t="s">
        <v>167</v>
      </c>
      <c r="H16" s="42" t="s">
        <v>180</v>
      </c>
      <c r="I16" s="42"/>
      <c r="J16" s="42">
        <v>2</v>
      </c>
      <c r="K16" s="25" t="str">
        <f>VLOOKUP(J16,Key!$E$2:$F$9,2,FALSE)</f>
        <v>Work</v>
      </c>
      <c r="L16" s="42" t="s">
        <v>184</v>
      </c>
      <c r="M16" s="43" t="s">
        <v>184</v>
      </c>
      <c r="N16" s="50" t="s">
        <v>200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72</v>
      </c>
      <c r="U16" s="58">
        <v>4</v>
      </c>
      <c r="V16" s="58">
        <v>5</v>
      </c>
      <c r="W16" s="49">
        <v>14</v>
      </c>
      <c r="X16" s="49"/>
      <c r="Y16" s="50"/>
      <c r="Z16" s="59"/>
      <c r="AA16" s="25">
        <f>VLOOKUP(F16,Zones!$A$2:$F$15907,6,FALSE)</f>
        <v>1443</v>
      </c>
      <c r="AB16" s="25">
        <f>VLOOKUP(L16,Zones!$A$2:$F$15907,6,FALSE)</f>
        <v>1434</v>
      </c>
    </row>
    <row r="17" spans="2:28" s="19" customFormat="1">
      <c r="B17" s="40">
        <v>0.3833333333333333</v>
      </c>
      <c r="C17" s="40"/>
      <c r="D17" s="41">
        <v>9</v>
      </c>
      <c r="E17" s="41">
        <v>2</v>
      </c>
      <c r="F17" s="42" t="s">
        <v>173</v>
      </c>
      <c r="G17" s="42" t="s">
        <v>167</v>
      </c>
      <c r="H17" s="42" t="s">
        <v>180</v>
      </c>
      <c r="I17" s="42"/>
      <c r="J17" s="42">
        <v>1</v>
      </c>
      <c r="K17" s="25" t="str">
        <f>VLOOKUP(J17,Key!$E$2:$F$9,2,FALSE)</f>
        <v>Home</v>
      </c>
      <c r="L17" s="42" t="s">
        <v>185</v>
      </c>
      <c r="M17" s="43" t="s">
        <v>183</v>
      </c>
      <c r="N17" s="50" t="s">
        <v>179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9"/>
      <c r="T17" s="49">
        <v>12</v>
      </c>
      <c r="U17" s="58">
        <v>3</v>
      </c>
      <c r="V17" s="58">
        <v>1</v>
      </c>
      <c r="W17" s="49">
        <v>25</v>
      </c>
      <c r="X17" s="49"/>
      <c r="Y17" s="50"/>
      <c r="Z17" s="59"/>
      <c r="AA17" s="25">
        <f>VLOOKUP(F17,Zones!$A$2:$F$15907,6,FALSE)</f>
        <v>1443</v>
      </c>
      <c r="AB17" s="25">
        <f>VLOOKUP(L17,Zones!$A$2:$F$15907,6,FALSE)</f>
        <v>572</v>
      </c>
    </row>
    <row r="18" spans="2:28" s="19" customFormat="1">
      <c r="B18" s="40">
        <v>0.40208333333333335</v>
      </c>
      <c r="C18" s="40"/>
      <c r="D18" s="41">
        <v>9</v>
      </c>
      <c r="E18" s="41">
        <v>1</v>
      </c>
      <c r="F18" s="42" t="s">
        <v>173</v>
      </c>
      <c r="G18" s="42" t="s">
        <v>167</v>
      </c>
      <c r="H18" s="42" t="s">
        <v>180</v>
      </c>
      <c r="I18" s="42"/>
      <c r="J18" s="42">
        <v>1</v>
      </c>
      <c r="K18" s="25" t="str">
        <f>VLOOKUP(J18,Key!$E$2:$F$9,2,FALSE)</f>
        <v>Home</v>
      </c>
      <c r="L18" s="42" t="s">
        <v>186</v>
      </c>
      <c r="M18" s="43" t="s">
        <v>186</v>
      </c>
      <c r="N18" s="50" t="s">
        <v>179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9"/>
      <c r="T18" s="49">
        <v>12</v>
      </c>
      <c r="U18" s="58">
        <v>3</v>
      </c>
      <c r="V18" s="58">
        <v>8</v>
      </c>
      <c r="W18" s="49">
        <v>30</v>
      </c>
      <c r="X18" s="49"/>
      <c r="Y18" s="50"/>
      <c r="Z18" s="59"/>
      <c r="AA18" s="25">
        <f>VLOOKUP(F18,Zones!$A$2:$F$15907,6,FALSE)</f>
        <v>1443</v>
      </c>
      <c r="AB18" s="25">
        <f>VLOOKUP(L18,Zones!$A$2:$F$15907,6,FALSE)</f>
        <v>403</v>
      </c>
    </row>
    <row r="19" spans="2:28" s="19" customFormat="1">
      <c r="B19" s="40">
        <v>0.40763888888888888</v>
      </c>
      <c r="C19" s="40"/>
      <c r="D19" s="41">
        <v>8</v>
      </c>
      <c r="E19" s="41">
        <v>1</v>
      </c>
      <c r="F19" s="42" t="s">
        <v>173</v>
      </c>
      <c r="G19" s="42" t="s">
        <v>167</v>
      </c>
      <c r="H19" s="42" t="s">
        <v>180</v>
      </c>
      <c r="I19" s="42"/>
      <c r="J19" s="42">
        <v>2</v>
      </c>
      <c r="K19" s="25" t="str">
        <f>VLOOKUP(J19,Key!$E$2:$F$9,2,FALSE)</f>
        <v>Work</v>
      </c>
      <c r="L19" s="42" t="s">
        <v>185</v>
      </c>
      <c r="M19" s="43" t="s">
        <v>183</v>
      </c>
      <c r="N19" s="50" t="s">
        <v>179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49"/>
      <c r="T19" s="49">
        <v>16</v>
      </c>
      <c r="U19" s="58">
        <v>3</v>
      </c>
      <c r="V19" s="58">
        <v>9</v>
      </c>
      <c r="W19" s="49">
        <v>30</v>
      </c>
      <c r="X19" s="49"/>
      <c r="Y19" s="50"/>
      <c r="Z19" s="59"/>
      <c r="AA19" s="25">
        <f>VLOOKUP(F19,Zones!$A$2:$F$15907,6,FALSE)</f>
        <v>1443</v>
      </c>
      <c r="AB19" s="25">
        <f>VLOOKUP(L19,Zones!$A$2:$F$15907,6,FALSE)</f>
        <v>572</v>
      </c>
    </row>
    <row r="20" spans="2:28" s="19" customFormat="1">
      <c r="B20" s="40">
        <v>0.41180555555555554</v>
      </c>
      <c r="C20" s="40"/>
      <c r="D20" s="41">
        <v>6</v>
      </c>
      <c r="E20" s="41">
        <v>65</v>
      </c>
      <c r="F20" s="42" t="s">
        <v>175</v>
      </c>
      <c r="G20" s="42" t="s">
        <v>171</v>
      </c>
      <c r="H20" s="42" t="s">
        <v>179</v>
      </c>
      <c r="I20" s="42"/>
      <c r="J20" s="42">
        <v>1</v>
      </c>
      <c r="K20" s="25" t="str">
        <f>VLOOKUP(J20,Key!$E$2:$F$9,2,FALSE)</f>
        <v>Home</v>
      </c>
      <c r="L20" s="42" t="s">
        <v>187</v>
      </c>
      <c r="M20" s="43" t="s">
        <v>171</v>
      </c>
      <c r="N20" s="50" t="s">
        <v>179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9"/>
      <c r="T20" s="49">
        <v>0.5</v>
      </c>
      <c r="U20" s="58">
        <v>2</v>
      </c>
      <c r="V20" s="58"/>
      <c r="W20" s="49"/>
      <c r="X20" s="49"/>
      <c r="Y20" s="50"/>
      <c r="Z20" s="59"/>
      <c r="AA20" s="25">
        <f>VLOOKUP(F20,Zones!$A$2:$F$15907,6,FALSE)</f>
        <v>1443</v>
      </c>
      <c r="AB20" s="25">
        <f>VLOOKUP(L20,Zones!$A$2:$F$15907,6,FALSE)</f>
        <v>1443</v>
      </c>
    </row>
    <row r="21" spans="2:28" s="19" customFormat="1">
      <c r="B21" s="40">
        <v>0.41736111111111113</v>
      </c>
      <c r="C21" s="40"/>
      <c r="D21" s="41">
        <v>6</v>
      </c>
      <c r="E21" s="41">
        <v>50</v>
      </c>
      <c r="F21" s="42" t="s">
        <v>176</v>
      </c>
      <c r="G21" s="42" t="s">
        <v>171</v>
      </c>
      <c r="H21" s="42" t="s">
        <v>179</v>
      </c>
      <c r="I21" s="42"/>
      <c r="J21" s="42">
        <v>1</v>
      </c>
      <c r="K21" s="25" t="str">
        <f>VLOOKUP(J21,Key!$E$2:$F$9,2,FALSE)</f>
        <v>Home</v>
      </c>
      <c r="L21" s="42" t="s">
        <v>168</v>
      </c>
      <c r="M21" s="43" t="s">
        <v>171</v>
      </c>
      <c r="N21" s="50" t="s">
        <v>179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9"/>
      <c r="T21" s="49">
        <v>0.75</v>
      </c>
      <c r="U21" s="58">
        <v>1</v>
      </c>
      <c r="V21" s="58"/>
      <c r="W21" s="49">
        <v>9</v>
      </c>
      <c r="X21" s="49"/>
      <c r="Y21" s="50"/>
      <c r="Z21" s="59"/>
      <c r="AA21" s="25">
        <f>VLOOKUP(F21,Zones!$A$2:$F$15907,6,FALSE)</f>
        <v>1443</v>
      </c>
      <c r="AB21" s="25">
        <f>VLOOKUP(L21,Zones!$A$2:$F$15907,6,FALSE)</f>
        <v>75</v>
      </c>
    </row>
    <row r="22" spans="2:28" s="19" customFormat="1">
      <c r="B22" s="40">
        <v>0.41944444444444445</v>
      </c>
      <c r="C22" s="40"/>
      <c r="D22" s="41">
        <v>7</v>
      </c>
      <c r="E22" s="41">
        <v>1</v>
      </c>
      <c r="F22" s="42" t="s">
        <v>167</v>
      </c>
      <c r="G22" s="42" t="s">
        <v>171</v>
      </c>
      <c r="H22" s="42" t="s">
        <v>179</v>
      </c>
      <c r="I22" s="42"/>
      <c r="J22" s="42">
        <v>2</v>
      </c>
      <c r="K22" s="25" t="str">
        <f>VLOOKUP(J22,Key!$E$2:$F$9,2,FALSE)</f>
        <v>Work</v>
      </c>
      <c r="L22" s="42" t="s">
        <v>188</v>
      </c>
      <c r="M22" s="43" t="s">
        <v>183</v>
      </c>
      <c r="N22" s="50" t="s">
        <v>179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49"/>
      <c r="T22" s="49">
        <v>48</v>
      </c>
      <c r="U22" s="58">
        <v>3</v>
      </c>
      <c r="V22" s="58">
        <v>8</v>
      </c>
      <c r="W22" s="49">
        <v>3</v>
      </c>
      <c r="X22" s="49"/>
      <c r="Y22" s="50"/>
      <c r="Z22" s="59"/>
      <c r="AA22" s="25">
        <f>VLOOKUP(F22,Zones!$A$2:$F$15907,6,FALSE)</f>
        <v>1443</v>
      </c>
      <c r="AB22" s="25">
        <f>VLOOKUP(L22,Zones!$A$2:$F$15907,6,FALSE)</f>
        <v>533</v>
      </c>
    </row>
    <row r="23" spans="2:28" s="19" customFormat="1">
      <c r="B23" s="40">
        <v>0.42291666666666666</v>
      </c>
      <c r="C23" s="40"/>
      <c r="D23" s="41">
        <v>7</v>
      </c>
      <c r="E23" s="41">
        <v>3</v>
      </c>
      <c r="F23" s="42" t="s">
        <v>177</v>
      </c>
      <c r="G23" s="42" t="s">
        <v>171</v>
      </c>
      <c r="H23" s="42" t="s">
        <v>179</v>
      </c>
      <c r="I23" s="42"/>
      <c r="J23" s="42">
        <v>2</v>
      </c>
      <c r="K23" s="25" t="str">
        <f>VLOOKUP(J23,Key!$E$2:$F$9,2,FALSE)</f>
        <v>Work</v>
      </c>
      <c r="L23" s="42" t="s">
        <v>183</v>
      </c>
      <c r="M23" s="43" t="s">
        <v>183</v>
      </c>
      <c r="N23" s="50" t="s">
        <v>179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49"/>
      <c r="T23" s="49">
        <v>12</v>
      </c>
      <c r="U23" s="58">
        <v>3</v>
      </c>
      <c r="V23" s="58">
        <v>8</v>
      </c>
      <c r="W23" s="49"/>
      <c r="X23" s="49"/>
      <c r="Y23" s="50"/>
      <c r="Z23" s="59"/>
      <c r="AA23" s="25">
        <f>VLOOKUP(F23,Zones!$A$2:$F$15907,6,FALSE)</f>
        <v>1443</v>
      </c>
      <c r="AB23" s="25">
        <f>VLOOKUP(L23,Zones!$A$2:$F$15907,6,FALSE)</f>
        <v>521</v>
      </c>
    </row>
    <row r="24" spans="2:28" s="19" customFormat="1">
      <c r="B24" s="40">
        <v>0.42638888888888887</v>
      </c>
      <c r="C24" s="40"/>
      <c r="D24" s="41">
        <v>9</v>
      </c>
      <c r="E24" s="41">
        <v>2</v>
      </c>
      <c r="F24" s="42" t="s">
        <v>173</v>
      </c>
      <c r="G24" s="42" t="s">
        <v>167</v>
      </c>
      <c r="H24" s="42" t="s">
        <v>180</v>
      </c>
      <c r="I24" s="42"/>
      <c r="J24" s="42">
        <v>2</v>
      </c>
      <c r="K24" s="25" t="str">
        <f>VLOOKUP(J24,Key!$E$2:$F$9,2,FALSE)</f>
        <v>Work</v>
      </c>
      <c r="L24" s="42" t="s">
        <v>189</v>
      </c>
      <c r="M24" s="43" t="s">
        <v>190</v>
      </c>
      <c r="N24" s="50" t="s">
        <v>179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9"/>
      <c r="T24" s="49">
        <v>72</v>
      </c>
      <c r="U24" s="58">
        <v>3</v>
      </c>
      <c r="V24" s="58">
        <v>6</v>
      </c>
      <c r="W24" s="49">
        <v>28</v>
      </c>
      <c r="X24" s="49"/>
      <c r="Y24" s="50"/>
      <c r="Z24" s="59"/>
      <c r="AA24" s="25">
        <f>VLOOKUP(F24,Zones!$A$2:$F$15907,6,FALSE)</f>
        <v>1443</v>
      </c>
      <c r="AB24" s="25">
        <f>VLOOKUP(L24,Zones!$A$2:$F$15907,6,FALSE)</f>
        <v>1434</v>
      </c>
    </row>
    <row r="25" spans="2:28" s="19" customFormat="1">
      <c r="B25" s="40">
        <v>0.43888888888888888</v>
      </c>
      <c r="C25" s="40"/>
      <c r="D25" s="41">
        <v>8</v>
      </c>
      <c r="E25" s="41">
        <v>2</v>
      </c>
      <c r="F25" s="42" t="s">
        <v>168</v>
      </c>
      <c r="G25" s="42" t="s">
        <v>171</v>
      </c>
      <c r="H25" s="42" t="s">
        <v>179</v>
      </c>
      <c r="I25" s="42"/>
      <c r="J25" s="42">
        <v>2</v>
      </c>
      <c r="K25" s="25" t="str">
        <f>VLOOKUP(J25,Key!$E$2:$F$9,2,FALSE)</f>
        <v>Work</v>
      </c>
      <c r="L25" s="42" t="s">
        <v>183</v>
      </c>
      <c r="M25" s="43" t="s">
        <v>183</v>
      </c>
      <c r="N25" s="50" t="s">
        <v>179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49"/>
      <c r="T25" s="49">
        <v>12</v>
      </c>
      <c r="U25" s="58">
        <v>3</v>
      </c>
      <c r="V25" s="58">
        <v>5</v>
      </c>
      <c r="W25" s="49">
        <v>12</v>
      </c>
      <c r="X25" s="49"/>
      <c r="Y25" s="50"/>
      <c r="Z25" s="59"/>
      <c r="AA25" s="25">
        <f>VLOOKUP(F25,Zones!$A$2:$F$15907,6,FALSE)</f>
        <v>75</v>
      </c>
      <c r="AB25" s="25">
        <f>VLOOKUP(L25,Zones!$A$2:$F$15907,6,FALSE)</f>
        <v>521</v>
      </c>
    </row>
    <row r="26" spans="2:28" s="19" customFormat="1">
      <c r="B26" s="40">
        <v>0.44305555555555554</v>
      </c>
      <c r="C26" s="40"/>
      <c r="D26" s="41">
        <v>1</v>
      </c>
      <c r="E26" s="41">
        <v>7</v>
      </c>
      <c r="F26" s="42" t="s">
        <v>170</v>
      </c>
      <c r="G26" s="42" t="s">
        <v>171</v>
      </c>
      <c r="H26" s="42" t="s">
        <v>179</v>
      </c>
      <c r="I26" s="42"/>
      <c r="J26" s="42">
        <v>2</v>
      </c>
      <c r="K26" s="25" t="str">
        <f>VLOOKUP(J26,Key!$E$2:$F$9,2,FALSE)</f>
        <v>Work</v>
      </c>
      <c r="L26" s="42" t="s">
        <v>172</v>
      </c>
      <c r="M26" s="43" t="s">
        <v>172</v>
      </c>
      <c r="N26" s="50" t="s">
        <v>179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2</v>
      </c>
      <c r="U26" s="58">
        <v>2</v>
      </c>
      <c r="V26" s="58"/>
      <c r="W26" s="49"/>
      <c r="X26" s="49"/>
      <c r="Y26" s="50"/>
      <c r="Z26" s="59"/>
      <c r="AA26" s="25">
        <f>VLOOKUP(F26,Zones!$A$2:$F$15907,6,FALSE)</f>
        <v>1443</v>
      </c>
      <c r="AB26" s="25">
        <f>VLOOKUP(L26,Zones!$A$2:$F$15907,6,FALSE)</f>
        <v>335</v>
      </c>
    </row>
    <row r="27" spans="2:28" s="19" customFormat="1">
      <c r="B27" s="40">
        <v>0.44930555555555557</v>
      </c>
      <c r="C27" s="40"/>
      <c r="D27" s="41">
        <v>1</v>
      </c>
      <c r="E27" s="41">
        <v>1</v>
      </c>
      <c r="F27" s="42" t="s">
        <v>173</v>
      </c>
      <c r="G27" s="42" t="s">
        <v>167</v>
      </c>
      <c r="H27" s="42" t="s">
        <v>180</v>
      </c>
      <c r="I27" s="42"/>
      <c r="J27" s="42">
        <v>8</v>
      </c>
      <c r="K27" s="25" t="str">
        <f>VLOOKUP(J27,Key!$E$2:$F$9,2,FALSE)</f>
        <v>Others</v>
      </c>
      <c r="L27" s="42" t="s">
        <v>191</v>
      </c>
      <c r="M27" s="43" t="s">
        <v>192</v>
      </c>
      <c r="N27" s="50" t="s">
        <v>179</v>
      </c>
      <c r="O27" s="43"/>
      <c r="P27" s="43">
        <v>8</v>
      </c>
      <c r="Q27" s="25" t="str">
        <f>VLOOKUP(P27,Key!$E$2:$F$9,2,FALSE)</f>
        <v>Others</v>
      </c>
      <c r="R27" s="25" t="str">
        <f t="shared" si="0"/>
        <v>Others-Others</v>
      </c>
      <c r="S27" s="49"/>
      <c r="T27" s="49">
        <v>48</v>
      </c>
      <c r="U27" s="58">
        <v>5</v>
      </c>
      <c r="V27" s="58"/>
      <c r="W27" s="49"/>
      <c r="X27" s="49"/>
      <c r="Y27" s="50"/>
      <c r="Z27" s="59"/>
      <c r="AA27" s="25">
        <f>VLOOKUP(F27,Zones!$A$2:$F$15907,6,FALSE)</f>
        <v>1443</v>
      </c>
      <c r="AB27" s="25">
        <f>VLOOKUP(L27,Zones!$A$2:$F$15907,6,FALSE)</f>
        <v>1265</v>
      </c>
    </row>
    <row r="28" spans="2:28" s="19" customFormat="1">
      <c r="B28" s="40">
        <v>0.4513888888888889</v>
      </c>
      <c r="C28" s="40"/>
      <c r="D28" s="41">
        <v>1</v>
      </c>
      <c r="E28" s="41">
        <v>5</v>
      </c>
      <c r="F28" s="42" t="s">
        <v>170</v>
      </c>
      <c r="G28" s="42" t="s">
        <v>171</v>
      </c>
      <c r="H28" s="42" t="s">
        <v>179</v>
      </c>
      <c r="I28" s="42"/>
      <c r="J28" s="42">
        <v>1</v>
      </c>
      <c r="K28" s="25" t="str">
        <f>VLOOKUP(J28,Key!$E$2:$F$9,2,FALSE)</f>
        <v>Home</v>
      </c>
      <c r="L28" s="42" t="s">
        <v>172</v>
      </c>
      <c r="M28" s="43" t="s">
        <v>172</v>
      </c>
      <c r="N28" s="50" t="s">
        <v>179</v>
      </c>
      <c r="O28" s="43"/>
      <c r="P28" s="43">
        <v>7</v>
      </c>
      <c r="Q28" s="25" t="str">
        <f>VLOOKUP(P28,Key!$E$2:$F$9,2,FALSE)</f>
        <v>Hospital</v>
      </c>
      <c r="R28" s="25" t="str">
        <f t="shared" si="0"/>
        <v>Home-Hospital</v>
      </c>
      <c r="S28" s="49"/>
      <c r="T28" s="49">
        <v>2</v>
      </c>
      <c r="U28" s="58">
        <v>4</v>
      </c>
      <c r="V28" s="58"/>
      <c r="W28" s="49"/>
      <c r="X28" s="49"/>
      <c r="Y28" s="50"/>
      <c r="Z28" s="59"/>
      <c r="AA28" s="25">
        <f>VLOOKUP(F28,Zones!$A$2:$F$15907,6,FALSE)</f>
        <v>1443</v>
      </c>
      <c r="AB28" s="25">
        <f>VLOOKUP(L28,Zones!$A$2:$F$15907,6,FALSE)</f>
        <v>335</v>
      </c>
    </row>
    <row r="29" spans="2:28" s="19" customFormat="1">
      <c r="B29" s="40">
        <v>0.46388888888888885</v>
      </c>
      <c r="C29" s="40"/>
      <c r="D29" s="41">
        <v>5</v>
      </c>
      <c r="E29" s="41">
        <v>20</v>
      </c>
      <c r="F29" s="42" t="s">
        <v>170</v>
      </c>
      <c r="G29" s="42" t="s">
        <v>171</v>
      </c>
      <c r="H29" s="42" t="s">
        <v>179</v>
      </c>
      <c r="I29" s="42"/>
      <c r="J29" s="42">
        <v>2</v>
      </c>
      <c r="K29" s="25" t="str">
        <f>VLOOKUP(J29,Key!$E$2:$F$9,2,FALSE)</f>
        <v>Work</v>
      </c>
      <c r="L29" s="42" t="s">
        <v>183</v>
      </c>
      <c r="M29" s="43" t="s">
        <v>183</v>
      </c>
      <c r="N29" s="50" t="s">
        <v>179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9</v>
      </c>
      <c r="U29" s="58">
        <v>2</v>
      </c>
      <c r="V29" s="58"/>
      <c r="W29" s="49"/>
      <c r="X29" s="49"/>
      <c r="Y29" s="50"/>
      <c r="Z29" s="59"/>
      <c r="AA29" s="25">
        <f>VLOOKUP(F29,Zones!$A$2:$F$15907,6,FALSE)</f>
        <v>1443</v>
      </c>
      <c r="AB29" s="25">
        <f>VLOOKUP(L29,Zones!$A$2:$F$15907,6,FALSE)</f>
        <v>521</v>
      </c>
    </row>
    <row r="30" spans="2:28" s="19" customFormat="1">
      <c r="B30" s="40">
        <v>0.47291666666666665</v>
      </c>
      <c r="C30" s="40"/>
      <c r="D30" s="41">
        <v>1</v>
      </c>
      <c r="E30" s="41">
        <v>6</v>
      </c>
      <c r="F30" s="42" t="s">
        <v>170</v>
      </c>
      <c r="G30" s="42" t="s">
        <v>171</v>
      </c>
      <c r="H30" s="42" t="s">
        <v>179</v>
      </c>
      <c r="I30" s="42"/>
      <c r="J30" s="42">
        <v>1</v>
      </c>
      <c r="K30" s="25" t="str">
        <f>VLOOKUP(J30,Key!$E$2:$F$9,2,FALSE)</f>
        <v>Home</v>
      </c>
      <c r="L30" s="42" t="s">
        <v>172</v>
      </c>
      <c r="M30" s="43" t="s">
        <v>172</v>
      </c>
      <c r="N30" s="50" t="s">
        <v>179</v>
      </c>
      <c r="O30" s="43"/>
      <c r="P30" s="43">
        <v>7</v>
      </c>
      <c r="Q30" s="25" t="str">
        <f>VLOOKUP(P30,Key!$E$2:$F$9,2,FALSE)</f>
        <v>Hospital</v>
      </c>
      <c r="R30" s="25" t="str">
        <f t="shared" si="0"/>
        <v>Home-Hospital</v>
      </c>
      <c r="S30" s="49"/>
      <c r="T30" s="49">
        <v>2</v>
      </c>
      <c r="U30" s="58">
        <v>2</v>
      </c>
      <c r="V30" s="58"/>
      <c r="W30" s="49"/>
      <c r="X30" s="49"/>
      <c r="Y30" s="50"/>
      <c r="Z30" s="59"/>
      <c r="AA30" s="25">
        <f>VLOOKUP(F30,Zones!$A$2:$F$15907,6,FALSE)</f>
        <v>1443</v>
      </c>
      <c r="AB30" s="25">
        <f>VLOOKUP(L30,Zones!$A$2:$F$15907,6,FALSE)</f>
        <v>335</v>
      </c>
    </row>
    <row r="31" spans="2:28" s="19" customFormat="1">
      <c r="B31" s="40">
        <v>0.4770833333333333</v>
      </c>
      <c r="C31" s="40"/>
      <c r="D31" s="41">
        <v>9</v>
      </c>
      <c r="E31" s="41">
        <v>3</v>
      </c>
      <c r="F31" s="42" t="s">
        <v>173</v>
      </c>
      <c r="G31" s="42" t="s">
        <v>167</v>
      </c>
      <c r="H31" s="42" t="s">
        <v>180</v>
      </c>
      <c r="I31" s="42"/>
      <c r="J31" s="42">
        <v>2</v>
      </c>
      <c r="K31" s="25" t="str">
        <f>VLOOKUP(J31,Key!$E$2:$F$9,2,FALSE)</f>
        <v>Work</v>
      </c>
      <c r="L31" s="42" t="s">
        <v>183</v>
      </c>
      <c r="M31" s="43" t="s">
        <v>183</v>
      </c>
      <c r="N31" s="50" t="s">
        <v>179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168</v>
      </c>
      <c r="U31" s="58">
        <v>3</v>
      </c>
      <c r="V31" s="58">
        <v>7</v>
      </c>
      <c r="W31" s="49">
        <v>20</v>
      </c>
      <c r="X31" s="49"/>
      <c r="Y31" s="50"/>
      <c r="Z31" s="59"/>
      <c r="AA31" s="25">
        <f>VLOOKUP(F31,Zones!$A$2:$F$15907,6,FALSE)</f>
        <v>1443</v>
      </c>
      <c r="AB31" s="25">
        <f>VLOOKUP(L31,Zones!$A$2:$F$15907,6,FALSE)</f>
        <v>521</v>
      </c>
    </row>
    <row r="32" spans="2:28" s="19" customFormat="1">
      <c r="B32" s="40">
        <v>0.47986111111111113</v>
      </c>
      <c r="C32" s="40"/>
      <c r="D32" s="41">
        <v>6</v>
      </c>
      <c r="E32" s="41">
        <v>10</v>
      </c>
      <c r="F32" s="42" t="s">
        <v>170</v>
      </c>
      <c r="G32" s="42" t="s">
        <v>171</v>
      </c>
      <c r="H32" s="42" t="s">
        <v>179</v>
      </c>
      <c r="I32" s="42"/>
      <c r="J32" s="42">
        <v>1</v>
      </c>
      <c r="K32" s="25" t="str">
        <f>VLOOKUP(J32,Key!$E$2:$F$9,2,FALSE)</f>
        <v>Home</v>
      </c>
      <c r="L32" s="42" t="s">
        <v>168</v>
      </c>
      <c r="M32" s="43" t="s">
        <v>171</v>
      </c>
      <c r="N32" s="50" t="s">
        <v>179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9"/>
      <c r="T32" s="49">
        <v>0.7</v>
      </c>
      <c r="U32" s="58">
        <v>2</v>
      </c>
      <c r="V32" s="58"/>
      <c r="W32" s="49"/>
      <c r="X32" s="49"/>
      <c r="Y32" s="50"/>
      <c r="Z32" s="59"/>
      <c r="AA32" s="25">
        <f>VLOOKUP(F32,Zones!$A$2:$F$15907,6,FALSE)</f>
        <v>1443</v>
      </c>
      <c r="AB32" s="25">
        <f>VLOOKUP(L32,Zones!$A$2:$F$15907,6,FALSE)</f>
        <v>75</v>
      </c>
    </row>
    <row r="33" spans="2:28" s="19" customFormat="1">
      <c r="B33" s="40">
        <v>0.4909722222222222</v>
      </c>
      <c r="C33" s="40"/>
      <c r="D33" s="41">
        <v>1</v>
      </c>
      <c r="E33" s="41">
        <v>3</v>
      </c>
      <c r="F33" s="42" t="s">
        <v>170</v>
      </c>
      <c r="G33" s="42" t="s">
        <v>171</v>
      </c>
      <c r="H33" s="42" t="s">
        <v>179</v>
      </c>
      <c r="I33" s="42"/>
      <c r="J33" s="42">
        <v>2</v>
      </c>
      <c r="K33" s="25" t="str">
        <f>VLOOKUP(J33,Key!$E$2:$F$9,2,FALSE)</f>
        <v>Work</v>
      </c>
      <c r="L33" s="42" t="s">
        <v>172</v>
      </c>
      <c r="M33" s="43" t="s">
        <v>172</v>
      </c>
      <c r="N33" s="50" t="s">
        <v>179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2</v>
      </c>
      <c r="U33" s="58">
        <v>1</v>
      </c>
      <c r="V33" s="58"/>
      <c r="W33" s="49"/>
      <c r="X33" s="49"/>
      <c r="Y33" s="50"/>
      <c r="Z33" s="59"/>
      <c r="AA33" s="25">
        <f>VLOOKUP(F33,Zones!$A$2:$F$15907,6,FALSE)</f>
        <v>1443</v>
      </c>
      <c r="AB33" s="25">
        <f>VLOOKUP(L33,Zones!$A$2:$F$15907,6,FALSE)</f>
        <v>335</v>
      </c>
    </row>
    <row r="34" spans="2:28" s="19" customFormat="1">
      <c r="B34" s="40">
        <v>0.49374999999999997</v>
      </c>
      <c r="C34" s="40"/>
      <c r="D34" s="41">
        <v>9</v>
      </c>
      <c r="E34" s="41">
        <v>3</v>
      </c>
      <c r="F34" s="42" t="s">
        <v>173</v>
      </c>
      <c r="G34" s="42" t="s">
        <v>167</v>
      </c>
      <c r="H34" s="42" t="s">
        <v>180</v>
      </c>
      <c r="I34" s="42"/>
      <c r="J34" s="42">
        <v>2</v>
      </c>
      <c r="K34" s="25" t="str">
        <f>VLOOKUP(J34,Key!$E$2:$F$9,2,FALSE)</f>
        <v>Work</v>
      </c>
      <c r="L34" s="42" t="s">
        <v>193</v>
      </c>
      <c r="M34" s="43" t="s">
        <v>194</v>
      </c>
      <c r="N34" s="50" t="s">
        <v>179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9"/>
      <c r="T34" s="49">
        <v>120</v>
      </c>
      <c r="U34" s="58">
        <v>3</v>
      </c>
      <c r="V34" s="58">
        <v>7</v>
      </c>
      <c r="W34" s="49">
        <v>7</v>
      </c>
      <c r="X34" s="49"/>
      <c r="Y34" s="50"/>
      <c r="Z34" s="59"/>
      <c r="AA34" s="25">
        <f>VLOOKUP(F34,Zones!$A$2:$F$15907,6,FALSE)</f>
        <v>1443</v>
      </c>
      <c r="AB34" s="25">
        <f>VLOOKUP(L34,Zones!$A$2:$F$15907,6,FALSE)</f>
        <v>775</v>
      </c>
    </row>
    <row r="35" spans="2:28" s="19" customFormat="1">
      <c r="B35" s="40">
        <v>0.50347222222222221</v>
      </c>
      <c r="C35" s="40"/>
      <c r="D35" s="41">
        <v>7</v>
      </c>
      <c r="E35" s="41">
        <v>3</v>
      </c>
      <c r="F35" s="42" t="s">
        <v>170</v>
      </c>
      <c r="G35" s="42" t="s">
        <v>171</v>
      </c>
      <c r="H35" s="42" t="s">
        <v>179</v>
      </c>
      <c r="I35" s="42"/>
      <c r="J35" s="42">
        <v>2</v>
      </c>
      <c r="K35" s="25" t="str">
        <f>VLOOKUP(J35,Key!$E$2:$F$9,2,FALSE)</f>
        <v>Work</v>
      </c>
      <c r="L35" s="42" t="s">
        <v>172</v>
      </c>
      <c r="M35" s="43" t="s">
        <v>172</v>
      </c>
      <c r="N35" s="50" t="s">
        <v>179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9"/>
      <c r="T35" s="49">
        <v>2</v>
      </c>
      <c r="U35" s="58">
        <v>3</v>
      </c>
      <c r="V35" s="58">
        <v>8</v>
      </c>
      <c r="W35" s="49">
        <v>3.5</v>
      </c>
      <c r="X35" s="49"/>
      <c r="Y35" s="50"/>
      <c r="Z35" s="59"/>
      <c r="AA35" s="25">
        <f>VLOOKUP(F35,Zones!$A$2:$F$15907,6,FALSE)</f>
        <v>1443</v>
      </c>
      <c r="AB35" s="25">
        <f>VLOOKUP(L35,Zones!$A$2:$F$15907,6,FALSE)</f>
        <v>335</v>
      </c>
    </row>
    <row r="36" spans="2:28" s="19" customFormat="1">
      <c r="B36" s="40">
        <v>0.50763888888888886</v>
      </c>
      <c r="C36" s="40"/>
      <c r="D36" s="41">
        <v>5</v>
      </c>
      <c r="E36" s="41">
        <v>24</v>
      </c>
      <c r="F36" s="42" t="s">
        <v>170</v>
      </c>
      <c r="G36" s="42" t="s">
        <v>171</v>
      </c>
      <c r="H36" s="42" t="s">
        <v>179</v>
      </c>
      <c r="I36" s="42"/>
      <c r="J36" s="42">
        <v>2</v>
      </c>
      <c r="K36" s="25" t="str">
        <f>VLOOKUP(J36,Key!$E$2:$F$9,2,FALSE)</f>
        <v>Work</v>
      </c>
      <c r="L36" s="42" t="s">
        <v>183</v>
      </c>
      <c r="M36" s="43" t="s">
        <v>183</v>
      </c>
      <c r="N36" s="50" t="s">
        <v>179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11</v>
      </c>
      <c r="U36" s="58">
        <v>2</v>
      </c>
      <c r="V36" s="58"/>
      <c r="W36" s="49"/>
      <c r="X36" s="49"/>
      <c r="Y36" s="50"/>
      <c r="Z36" s="59"/>
      <c r="AA36" s="25">
        <f>VLOOKUP(F36,Zones!$A$2:$F$15907,6,FALSE)</f>
        <v>1443</v>
      </c>
      <c r="AB36" s="25">
        <f>VLOOKUP(L36,Zones!$A$2:$F$15907,6,FALSE)</f>
        <v>521</v>
      </c>
    </row>
    <row r="37" spans="2:28" s="19" customFormat="1">
      <c r="B37" s="40">
        <v>0.5180555555555556</v>
      </c>
      <c r="C37" s="40"/>
      <c r="D37" s="41">
        <v>6</v>
      </c>
      <c r="E37" s="41">
        <v>1</v>
      </c>
      <c r="F37" s="42" t="s">
        <v>170</v>
      </c>
      <c r="G37" s="42" t="s">
        <v>171</v>
      </c>
      <c r="H37" s="42" t="s">
        <v>179</v>
      </c>
      <c r="I37" s="42"/>
      <c r="J37" s="42">
        <v>2</v>
      </c>
      <c r="K37" s="25" t="str">
        <f>VLOOKUP(J37,Key!$E$2:$F$9,2,FALSE)</f>
        <v>Work</v>
      </c>
      <c r="L37" s="42" t="s">
        <v>172</v>
      </c>
      <c r="M37" s="43" t="s">
        <v>172</v>
      </c>
      <c r="N37" s="50" t="s">
        <v>179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3</v>
      </c>
      <c r="U37" s="58">
        <v>3</v>
      </c>
      <c r="V37" s="58"/>
      <c r="W37" s="49"/>
      <c r="X37" s="49"/>
      <c r="Y37" s="50"/>
      <c r="Z37" s="59"/>
      <c r="AA37" s="25">
        <f>VLOOKUP(F37,Zones!$A$2:$F$15907,6,FALSE)</f>
        <v>1443</v>
      </c>
      <c r="AB37" s="25">
        <f>VLOOKUP(L37,Zones!$A$2:$F$15907,6,FALSE)</f>
        <v>335</v>
      </c>
    </row>
    <row r="38" spans="2:28" s="19" customFormat="1">
      <c r="B38" s="40">
        <v>0.51944444444444449</v>
      </c>
      <c r="C38" s="40"/>
      <c r="D38" s="41">
        <v>7</v>
      </c>
      <c r="E38" s="41">
        <v>2</v>
      </c>
      <c r="F38" s="42" t="s">
        <v>170</v>
      </c>
      <c r="G38" s="42" t="s">
        <v>171</v>
      </c>
      <c r="H38" s="42" t="s">
        <v>179</v>
      </c>
      <c r="I38" s="42"/>
      <c r="J38" s="42">
        <v>8</v>
      </c>
      <c r="K38" s="25" t="str">
        <f>VLOOKUP(J38,Key!$E$2:$F$9,2,FALSE)</f>
        <v>Others</v>
      </c>
      <c r="L38" s="42" t="s">
        <v>171</v>
      </c>
      <c r="M38" s="43" t="s">
        <v>171</v>
      </c>
      <c r="N38" s="50" t="s">
        <v>179</v>
      </c>
      <c r="O38" s="43"/>
      <c r="P38" s="43">
        <v>8</v>
      </c>
      <c r="Q38" s="25" t="str">
        <f>VLOOKUP(P38,Key!$E$2:$F$9,2,FALSE)</f>
        <v>Others</v>
      </c>
      <c r="R38" s="25" t="str">
        <f t="shared" si="0"/>
        <v>Others-Others</v>
      </c>
      <c r="S38" s="49"/>
      <c r="T38" s="49">
        <v>2</v>
      </c>
      <c r="U38" s="58">
        <v>4</v>
      </c>
      <c r="V38" s="58"/>
      <c r="W38" s="49"/>
      <c r="X38" s="49"/>
      <c r="Y38" s="50"/>
      <c r="Z38" s="59"/>
      <c r="AA38" s="25">
        <f>VLOOKUP(F38,Zones!$A$2:$F$15907,6,FALSE)</f>
        <v>1443</v>
      </c>
      <c r="AB38" s="25">
        <f>VLOOKUP(L38,Zones!$A$2:$F$15907,6,FALSE)</f>
        <v>73</v>
      </c>
    </row>
    <row r="39" spans="2:28" s="19" customFormat="1">
      <c r="B39" s="40">
        <v>0.53611111111111109</v>
      </c>
      <c r="C39" s="40"/>
      <c r="D39" s="41">
        <v>7</v>
      </c>
      <c r="E39" s="41">
        <v>3</v>
      </c>
      <c r="F39" s="42" t="s">
        <v>173</v>
      </c>
      <c r="G39" s="42" t="s">
        <v>167</v>
      </c>
      <c r="H39" s="42" t="s">
        <v>180</v>
      </c>
      <c r="I39" s="42"/>
      <c r="J39" s="42">
        <v>2</v>
      </c>
      <c r="K39" s="25" t="str">
        <f>VLOOKUP(J39,Key!$E$2:$F$9,2,FALSE)</f>
        <v>Work</v>
      </c>
      <c r="L39" s="42" t="s">
        <v>183</v>
      </c>
      <c r="M39" s="43" t="s">
        <v>183</v>
      </c>
      <c r="N39" s="50" t="s">
        <v>179</v>
      </c>
      <c r="O39" s="43"/>
      <c r="P39" s="43">
        <v>1</v>
      </c>
      <c r="Q39" s="25" t="str">
        <f>VLOOKUP(P39,Key!$E$2:$F$9,2,FALSE)</f>
        <v>Home</v>
      </c>
      <c r="R39" s="25" t="str">
        <f t="shared" si="0"/>
        <v>Work-Home</v>
      </c>
      <c r="S39" s="49"/>
      <c r="T39" s="49">
        <v>15</v>
      </c>
      <c r="U39" s="58">
        <v>3</v>
      </c>
      <c r="V39" s="58">
        <v>8</v>
      </c>
      <c r="W39" s="49">
        <v>12</v>
      </c>
      <c r="X39" s="49"/>
      <c r="Y39" s="50"/>
      <c r="Z39" s="59"/>
      <c r="AA39" s="25">
        <f>VLOOKUP(F39,Zones!$A$2:$F$15907,6,FALSE)</f>
        <v>1443</v>
      </c>
      <c r="AB39" s="25">
        <f>VLOOKUP(L39,Zones!$A$2:$F$15907,6,FALSE)</f>
        <v>521</v>
      </c>
    </row>
    <row r="40" spans="2:28" s="19" customFormat="1">
      <c r="B40" s="40">
        <v>0.54722222222222217</v>
      </c>
      <c r="C40" s="40"/>
      <c r="D40" s="41">
        <v>9</v>
      </c>
      <c r="E40" s="41">
        <v>1</v>
      </c>
      <c r="F40" s="42" t="s">
        <v>178</v>
      </c>
      <c r="G40" s="42" t="s">
        <v>171</v>
      </c>
      <c r="H40" s="42" t="s">
        <v>179</v>
      </c>
      <c r="I40" s="42"/>
      <c r="J40" s="42">
        <v>1</v>
      </c>
      <c r="K40" s="25" t="str">
        <f>VLOOKUP(J40,Key!$E$2:$F$9,2,FALSE)</f>
        <v>Home</v>
      </c>
      <c r="L40" s="42" t="s">
        <v>168</v>
      </c>
      <c r="M40" s="43" t="s">
        <v>171</v>
      </c>
      <c r="N40" s="50" t="s">
        <v>179</v>
      </c>
      <c r="O40" s="43"/>
      <c r="P40" s="43">
        <v>7</v>
      </c>
      <c r="Q40" s="25" t="str">
        <f>VLOOKUP(P40,Key!$E$2:$F$9,2,FALSE)</f>
        <v>Hospital</v>
      </c>
      <c r="R40" s="25" t="str">
        <f t="shared" si="0"/>
        <v>Home-Hospital</v>
      </c>
      <c r="S40" s="49"/>
      <c r="T40" s="49">
        <v>3</v>
      </c>
      <c r="U40" s="58">
        <v>1</v>
      </c>
      <c r="V40" s="58"/>
      <c r="W40" s="49"/>
      <c r="X40" s="49"/>
      <c r="Y40" s="50"/>
      <c r="Z40" s="59"/>
      <c r="AA40" s="25">
        <f>VLOOKUP(F40,Zones!$A$2:$F$15907,6,FALSE)</f>
        <v>1443</v>
      </c>
      <c r="AB40" s="25">
        <f>VLOOKUP(L40,Zones!$A$2:$F$15907,6,FALSE)</f>
        <v>75</v>
      </c>
    </row>
    <row r="41" spans="2:28" s="19" customFormat="1">
      <c r="B41" s="40">
        <v>0.55208333333333337</v>
      </c>
      <c r="C41" s="40"/>
      <c r="D41" s="41">
        <v>8</v>
      </c>
      <c r="E41" s="41">
        <v>2</v>
      </c>
      <c r="F41" s="42" t="s">
        <v>173</v>
      </c>
      <c r="G41" s="42" t="s">
        <v>167</v>
      </c>
      <c r="H41" s="42" t="s">
        <v>180</v>
      </c>
      <c r="I41" s="42"/>
      <c r="J41" s="42">
        <v>2</v>
      </c>
      <c r="K41" s="25" t="str">
        <f>VLOOKUP(J41,Key!$E$2:$F$9,2,FALSE)</f>
        <v>Work</v>
      </c>
      <c r="L41" s="42" t="s">
        <v>195</v>
      </c>
      <c r="M41" s="43" t="s">
        <v>183</v>
      </c>
      <c r="N41" s="50" t="s">
        <v>179</v>
      </c>
      <c r="O41" s="43"/>
      <c r="P41" s="43">
        <v>1</v>
      </c>
      <c r="Q41" s="25" t="str">
        <f>VLOOKUP(P41,Key!$E$2:$F$9,2,FALSE)</f>
        <v>Home</v>
      </c>
      <c r="R41" s="25" t="str">
        <f t="shared" si="0"/>
        <v>Work-Home</v>
      </c>
      <c r="S41" s="49"/>
      <c r="T41" s="49">
        <v>9</v>
      </c>
      <c r="U41" s="58">
        <v>3</v>
      </c>
      <c r="V41" s="58">
        <v>9</v>
      </c>
      <c r="W41" s="49">
        <v>28</v>
      </c>
      <c r="X41" s="49"/>
      <c r="Y41" s="50"/>
      <c r="Z41" s="59"/>
      <c r="AA41" s="25">
        <f>VLOOKUP(F41,Zones!$A$2:$F$15907,6,FALSE)</f>
        <v>1443</v>
      </c>
      <c r="AB41" s="25">
        <f>VLOOKUP(L41,Zones!$A$2:$F$15907,6,FALSE)</f>
        <v>565</v>
      </c>
    </row>
    <row r="42" spans="2:28" s="19" customFormat="1">
      <c r="B42" s="40">
        <v>0.55625000000000002</v>
      </c>
      <c r="C42" s="40"/>
      <c r="D42" s="41">
        <v>1</v>
      </c>
      <c r="E42" s="41">
        <v>5</v>
      </c>
      <c r="F42" s="42" t="s">
        <v>170</v>
      </c>
      <c r="G42" s="42" t="s">
        <v>171</v>
      </c>
      <c r="H42" s="42" t="s">
        <v>179</v>
      </c>
      <c r="I42" s="42"/>
      <c r="J42" s="42">
        <v>2</v>
      </c>
      <c r="K42" s="25" t="str">
        <f>VLOOKUP(J42,Key!$E$2:$F$9,2,FALSE)</f>
        <v>Work</v>
      </c>
      <c r="L42" s="42" t="s">
        <v>172</v>
      </c>
      <c r="M42" s="43" t="s">
        <v>172</v>
      </c>
      <c r="N42" s="50" t="s">
        <v>179</v>
      </c>
      <c r="O42" s="43"/>
      <c r="P42" s="43">
        <v>1</v>
      </c>
      <c r="Q42" s="25" t="str">
        <f>VLOOKUP(P42,Key!$E$2:$F$9,2,FALSE)</f>
        <v>Home</v>
      </c>
      <c r="R42" s="25" t="str">
        <f t="shared" si="0"/>
        <v>Work-Home</v>
      </c>
      <c r="S42" s="49"/>
      <c r="T42" s="49">
        <v>2</v>
      </c>
      <c r="U42" s="58">
        <v>2</v>
      </c>
      <c r="V42" s="58"/>
      <c r="W42" s="49"/>
      <c r="X42" s="49"/>
      <c r="Y42" s="50"/>
      <c r="Z42" s="59"/>
      <c r="AA42" s="25">
        <f>VLOOKUP(F42,Zones!$A$2:$F$15907,6,FALSE)</f>
        <v>1443</v>
      </c>
      <c r="AB42" s="25">
        <f>VLOOKUP(L42,Zones!$A$2:$F$15907,6,FALSE)</f>
        <v>335</v>
      </c>
    </row>
    <row r="43" spans="2:28" s="19" customFormat="1">
      <c r="B43" s="40">
        <v>0.55902777777777779</v>
      </c>
      <c r="C43" s="40"/>
      <c r="D43" s="41">
        <v>1</v>
      </c>
      <c r="E43" s="41">
        <v>1</v>
      </c>
      <c r="F43" s="42" t="s">
        <v>173</v>
      </c>
      <c r="G43" s="42" t="s">
        <v>167</v>
      </c>
      <c r="H43" s="42" t="s">
        <v>180</v>
      </c>
      <c r="I43" s="42"/>
      <c r="J43" s="42">
        <v>1</v>
      </c>
      <c r="K43" s="25" t="str">
        <f>VLOOKUP(J43,Key!$E$2:$F$9,2,FALSE)</f>
        <v>Home</v>
      </c>
      <c r="L43" s="42" t="s">
        <v>172</v>
      </c>
      <c r="M43" s="43" t="s">
        <v>172</v>
      </c>
      <c r="N43" s="50" t="s">
        <v>179</v>
      </c>
      <c r="O43" s="43"/>
      <c r="P43" s="43">
        <v>6</v>
      </c>
      <c r="Q43" s="25" t="str">
        <f>VLOOKUP(P43,Key!$E$2:$F$9,2,FALSE)</f>
        <v>Leisure/Social</v>
      </c>
      <c r="R43" s="25" t="str">
        <f t="shared" si="0"/>
        <v>Home-Leisure/Social</v>
      </c>
      <c r="S43" s="49"/>
      <c r="T43" s="49">
        <v>4</v>
      </c>
      <c r="U43" s="58">
        <v>4</v>
      </c>
      <c r="V43" s="58"/>
      <c r="W43" s="49"/>
      <c r="X43" s="49"/>
      <c r="Y43" s="50"/>
      <c r="Z43" s="59"/>
      <c r="AA43" s="25">
        <f>VLOOKUP(F43,Zones!$A$2:$F$15907,6,FALSE)</f>
        <v>1443</v>
      </c>
      <c r="AB43" s="25">
        <f>VLOOKUP(L43,Zones!$A$2:$F$15907,6,FALSE)</f>
        <v>335</v>
      </c>
    </row>
    <row r="44" spans="2:28" s="19" customFormat="1">
      <c r="B44" s="40">
        <v>0.5708333333333333</v>
      </c>
      <c r="C44" s="40"/>
      <c r="D44" s="41">
        <v>1</v>
      </c>
      <c r="E44" s="41">
        <v>5</v>
      </c>
      <c r="F44" s="42" t="s">
        <v>170</v>
      </c>
      <c r="G44" s="42" t="s">
        <v>171</v>
      </c>
      <c r="H44" s="42" t="s">
        <v>179</v>
      </c>
      <c r="I44" s="42"/>
      <c r="J44" s="42">
        <v>2</v>
      </c>
      <c r="K44" s="25" t="str">
        <f>VLOOKUP(J44,Key!$E$2:$F$9,2,FALSE)</f>
        <v>Work</v>
      </c>
      <c r="L44" s="42" t="s">
        <v>172</v>
      </c>
      <c r="M44" s="43" t="s">
        <v>172</v>
      </c>
      <c r="N44" s="50" t="s">
        <v>179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49"/>
      <c r="T44" s="49">
        <v>1.5</v>
      </c>
      <c r="U44" s="58">
        <v>1</v>
      </c>
      <c r="V44" s="58"/>
      <c r="W44" s="49"/>
      <c r="X44" s="49"/>
      <c r="Y44" s="50"/>
      <c r="Z44" s="59"/>
      <c r="AA44" s="25">
        <f>VLOOKUP(F44,Zones!$A$2:$F$15907,6,FALSE)</f>
        <v>1443</v>
      </c>
      <c r="AB44" s="25">
        <f>VLOOKUP(L44,Zones!$A$2:$F$15907,6,FALSE)</f>
        <v>335</v>
      </c>
    </row>
    <row r="45" spans="2:28" s="19" customFormat="1">
      <c r="B45" s="40">
        <v>0.57361111111111118</v>
      </c>
      <c r="C45" s="40"/>
      <c r="D45" s="41">
        <v>2</v>
      </c>
      <c r="E45" s="41">
        <v>3</v>
      </c>
      <c r="F45" s="42" t="s">
        <v>178</v>
      </c>
      <c r="G45" s="42" t="s">
        <v>171</v>
      </c>
      <c r="H45" s="42" t="s">
        <v>179</v>
      </c>
      <c r="I45" s="42"/>
      <c r="J45" s="42">
        <v>1</v>
      </c>
      <c r="K45" s="25" t="str">
        <f>VLOOKUP(J45,Key!$E$2:$F$9,2,FALSE)</f>
        <v>Home</v>
      </c>
      <c r="L45" s="42" t="s">
        <v>172</v>
      </c>
      <c r="M45" s="43" t="s">
        <v>172</v>
      </c>
      <c r="N45" s="50" t="s">
        <v>179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Home-Work</v>
      </c>
      <c r="S45" s="49"/>
      <c r="T45" s="49">
        <v>1</v>
      </c>
      <c r="U45" s="58">
        <v>1</v>
      </c>
      <c r="V45" s="58"/>
      <c r="W45" s="49"/>
      <c r="X45" s="49"/>
      <c r="Y45" s="50"/>
      <c r="Z45" s="59"/>
      <c r="AA45" s="25">
        <f>VLOOKUP(F45,Zones!$A$2:$F$15907,6,FALSE)</f>
        <v>1443</v>
      </c>
      <c r="AB45" s="25">
        <f>VLOOKUP(L45,Zones!$A$2:$F$15907,6,FALSE)</f>
        <v>335</v>
      </c>
    </row>
    <row r="46" spans="2:28" s="19" customFormat="1">
      <c r="B46" s="40">
        <v>0.60625000000000007</v>
      </c>
      <c r="C46" s="40"/>
      <c r="D46" s="41">
        <v>7</v>
      </c>
      <c r="E46" s="41">
        <v>2</v>
      </c>
      <c r="F46" s="42" t="s">
        <v>170</v>
      </c>
      <c r="G46" s="42" t="s">
        <v>171</v>
      </c>
      <c r="H46" s="42" t="s">
        <v>179</v>
      </c>
      <c r="I46" s="42"/>
      <c r="J46" s="42">
        <v>2</v>
      </c>
      <c r="K46" s="25" t="str">
        <f>VLOOKUP(J46,Key!$E$2:$F$9,2,FALSE)</f>
        <v>Work</v>
      </c>
      <c r="L46" s="42" t="s">
        <v>196</v>
      </c>
      <c r="M46" s="43" t="s">
        <v>197</v>
      </c>
      <c r="N46" s="50" t="s">
        <v>179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9"/>
      <c r="T46" s="49">
        <v>4</v>
      </c>
      <c r="U46" s="58">
        <v>2</v>
      </c>
      <c r="V46" s="58">
        <v>9</v>
      </c>
      <c r="W46" s="49">
        <v>4</v>
      </c>
      <c r="X46" s="49"/>
      <c r="Y46" s="50"/>
      <c r="Z46" s="59"/>
      <c r="AA46" s="25">
        <f>VLOOKUP(F46,Zones!$A$2:$F$15907,6,FALSE)</f>
        <v>1443</v>
      </c>
      <c r="AB46" s="25">
        <f>VLOOKUP(L46,Zones!$A$2:$F$15907,6,FALSE)</f>
        <v>735</v>
      </c>
    </row>
    <row r="47" spans="2:28" s="19" customFormat="1">
      <c r="B47" s="40">
        <v>0.60972222222222217</v>
      </c>
      <c r="C47" s="40"/>
      <c r="D47" s="41">
        <v>8</v>
      </c>
      <c r="E47" s="41">
        <v>2</v>
      </c>
      <c r="F47" s="42" t="s">
        <v>173</v>
      </c>
      <c r="G47" s="42" t="s">
        <v>167</v>
      </c>
      <c r="H47" s="42" t="s">
        <v>180</v>
      </c>
      <c r="I47" s="42"/>
      <c r="J47" s="42">
        <v>2</v>
      </c>
      <c r="K47" s="25" t="str">
        <f>VLOOKUP(J47,Key!$E$2:$F$9,2,FALSE)</f>
        <v>Work</v>
      </c>
      <c r="L47" s="42" t="s">
        <v>189</v>
      </c>
      <c r="M47" s="43" t="s">
        <v>190</v>
      </c>
      <c r="N47" s="50" t="s">
        <v>200</v>
      </c>
      <c r="O47" s="43"/>
      <c r="P47" s="43">
        <v>1</v>
      </c>
      <c r="Q47" s="25" t="str">
        <f>VLOOKUP(P47,Key!$E$2:$F$9,2,FALSE)</f>
        <v>Home</v>
      </c>
      <c r="R47" s="25" t="str">
        <f t="shared" si="0"/>
        <v>Work-Home</v>
      </c>
      <c r="S47" s="49"/>
      <c r="T47" s="49">
        <v>15</v>
      </c>
      <c r="U47" s="58">
        <v>3</v>
      </c>
      <c r="V47" s="58">
        <v>6</v>
      </c>
      <c r="W47" s="49">
        <v>28</v>
      </c>
      <c r="X47" s="49"/>
      <c r="Y47" s="50"/>
      <c r="Z47" s="59"/>
      <c r="AA47" s="25">
        <f>VLOOKUP(F47,Zones!$A$2:$F$15907,6,FALSE)</f>
        <v>1443</v>
      </c>
      <c r="AB47" s="25">
        <f>VLOOKUP(L47,Zones!$A$2:$F$15907,6,FALSE)</f>
        <v>1434</v>
      </c>
    </row>
    <row r="48" spans="2:28" s="19" customFormat="1">
      <c r="B48" s="40">
        <v>0.61319444444444449</v>
      </c>
      <c r="C48" s="40"/>
      <c r="D48" s="41">
        <v>8</v>
      </c>
      <c r="E48" s="41">
        <v>3</v>
      </c>
      <c r="F48" s="42" t="s">
        <v>173</v>
      </c>
      <c r="G48" s="42" t="s">
        <v>167</v>
      </c>
      <c r="H48" s="42" t="s">
        <v>180</v>
      </c>
      <c r="I48" s="42"/>
      <c r="J48" s="42">
        <v>2</v>
      </c>
      <c r="K48" s="25" t="str">
        <f>VLOOKUP(J48,Key!$E$2:$F$9,2,FALSE)</f>
        <v>Work</v>
      </c>
      <c r="L48" s="42" t="s">
        <v>40</v>
      </c>
      <c r="M48" s="43" t="s">
        <v>40</v>
      </c>
      <c r="N48" s="50" t="s">
        <v>179</v>
      </c>
      <c r="O48" s="43"/>
      <c r="P48" s="43">
        <v>1</v>
      </c>
      <c r="Q48" s="25" t="str">
        <f>VLOOKUP(P48,Key!$E$2:$F$9,2,FALSE)</f>
        <v>Home</v>
      </c>
      <c r="R48" s="25" t="str">
        <f t="shared" si="0"/>
        <v>Work-Home</v>
      </c>
      <c r="S48" s="49"/>
      <c r="T48" s="49">
        <v>14</v>
      </c>
      <c r="U48" s="58">
        <v>3</v>
      </c>
      <c r="V48" s="58">
        <v>9</v>
      </c>
      <c r="W48" s="49">
        <v>9</v>
      </c>
      <c r="X48" s="49"/>
      <c r="Y48" s="50"/>
      <c r="Z48" s="59"/>
      <c r="AA48" s="25">
        <f>VLOOKUP(F48,Zones!$A$2:$F$15907,6,FALSE)</f>
        <v>1443</v>
      </c>
      <c r="AB48" s="25">
        <f>VLOOKUP(L48,Zones!$A$2:$F$15907,6,FALSE)</f>
        <v>937</v>
      </c>
    </row>
    <row r="49" spans="2:28" s="19" customFormat="1">
      <c r="B49" s="40">
        <v>0.62361111111111112</v>
      </c>
      <c r="C49" s="40"/>
      <c r="D49" s="41">
        <v>1</v>
      </c>
      <c r="E49" s="41">
        <v>4</v>
      </c>
      <c r="F49" s="42" t="s">
        <v>170</v>
      </c>
      <c r="G49" s="42" t="s">
        <v>171</v>
      </c>
      <c r="H49" s="42" t="s">
        <v>179</v>
      </c>
      <c r="I49" s="42"/>
      <c r="J49" s="42">
        <v>2</v>
      </c>
      <c r="K49" s="25" t="str">
        <f>VLOOKUP(J49,Key!$E$2:$F$9,2,FALSE)</f>
        <v>Work</v>
      </c>
      <c r="L49" s="42" t="s">
        <v>172</v>
      </c>
      <c r="M49" s="43" t="s">
        <v>172</v>
      </c>
      <c r="N49" s="50" t="s">
        <v>179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49"/>
      <c r="T49" s="49">
        <v>2</v>
      </c>
      <c r="U49" s="58">
        <v>1</v>
      </c>
      <c r="V49" s="58"/>
      <c r="W49" s="49"/>
      <c r="X49" s="49"/>
      <c r="Y49" s="50"/>
      <c r="Z49" s="59"/>
      <c r="AA49" s="25">
        <f>VLOOKUP(F49,Zones!$A$2:$F$15907,6,FALSE)</f>
        <v>1443</v>
      </c>
      <c r="AB49" s="25">
        <f>VLOOKUP(L49,Zones!$A$2:$F$15907,6,FALSE)</f>
        <v>335</v>
      </c>
    </row>
    <row r="50" spans="2:28" s="19" customFormat="1">
      <c r="B50" s="40">
        <v>0.62638888888888888</v>
      </c>
      <c r="C50" s="40"/>
      <c r="D50" s="41">
        <v>1</v>
      </c>
      <c r="E50" s="41">
        <v>5</v>
      </c>
      <c r="F50" s="42" t="s">
        <v>170</v>
      </c>
      <c r="G50" s="42" t="s">
        <v>171</v>
      </c>
      <c r="H50" s="42" t="s">
        <v>179</v>
      </c>
      <c r="I50" s="42"/>
      <c r="J50" s="42">
        <v>2</v>
      </c>
      <c r="K50" s="25" t="str">
        <f>VLOOKUP(J50,Key!$E$2:$F$9,2,FALSE)</f>
        <v>Work</v>
      </c>
      <c r="L50" s="42" t="s">
        <v>172</v>
      </c>
      <c r="M50" s="43" t="s">
        <v>172</v>
      </c>
      <c r="N50" s="50" t="s">
        <v>179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9"/>
      <c r="T50" s="49">
        <v>1</v>
      </c>
      <c r="U50" s="58">
        <v>1</v>
      </c>
      <c r="V50" s="58"/>
      <c r="W50" s="49"/>
      <c r="X50" s="49"/>
      <c r="Y50" s="50"/>
      <c r="Z50" s="59"/>
      <c r="AA50" s="25">
        <f>VLOOKUP(F50,Zones!$A$2:$F$15907,6,FALSE)</f>
        <v>1443</v>
      </c>
      <c r="AB50" s="25">
        <f>VLOOKUP(L50,Zones!$A$2:$F$15907,6,FALSE)</f>
        <v>335</v>
      </c>
    </row>
    <row r="51" spans="2:28" s="19" customFormat="1">
      <c r="B51" s="40">
        <v>0.63124999999999998</v>
      </c>
      <c r="C51" s="40"/>
      <c r="D51" s="41">
        <v>9</v>
      </c>
      <c r="E51" s="41">
        <v>1</v>
      </c>
      <c r="F51" s="42" t="s">
        <v>173</v>
      </c>
      <c r="G51" s="42" t="s">
        <v>167</v>
      </c>
      <c r="H51" s="42" t="s">
        <v>180</v>
      </c>
      <c r="I51" s="42"/>
      <c r="J51" s="42">
        <v>2</v>
      </c>
      <c r="K51" s="25" t="str">
        <f>VLOOKUP(J51,Key!$E$2:$F$9,2,FALSE)</f>
        <v>Work</v>
      </c>
      <c r="L51" s="42" t="s">
        <v>183</v>
      </c>
      <c r="M51" s="43" t="s">
        <v>183</v>
      </c>
      <c r="N51" s="50" t="s">
        <v>179</v>
      </c>
      <c r="O51" s="43"/>
      <c r="P51" s="43">
        <v>1</v>
      </c>
      <c r="Q51" s="25" t="str">
        <f>VLOOKUP(P51,Key!$E$2:$F$9,2,FALSE)</f>
        <v>Home</v>
      </c>
      <c r="R51" s="25" t="str">
        <f t="shared" si="0"/>
        <v>Work-Home</v>
      </c>
      <c r="S51" s="49"/>
      <c r="T51" s="49">
        <v>96</v>
      </c>
      <c r="U51" s="58">
        <v>4</v>
      </c>
      <c r="V51" s="58">
        <v>4</v>
      </c>
      <c r="W51" s="49">
        <v>30</v>
      </c>
      <c r="X51" s="49"/>
      <c r="Y51" s="50"/>
      <c r="Z51" s="59"/>
      <c r="AA51" s="25">
        <f>VLOOKUP(F51,Zones!$A$2:$F$15907,6,FALSE)</f>
        <v>1443</v>
      </c>
      <c r="AB51" s="25">
        <f>VLOOKUP(L51,Zones!$A$2:$F$15907,6,FALSE)</f>
        <v>521</v>
      </c>
    </row>
    <row r="52" spans="2:28" s="19" customFormat="1">
      <c r="B52" s="40">
        <v>0.6333333333333333</v>
      </c>
      <c r="C52" s="40"/>
      <c r="D52" s="41">
        <v>8</v>
      </c>
      <c r="E52" s="41">
        <v>3</v>
      </c>
      <c r="F52" s="42" t="s">
        <v>170</v>
      </c>
      <c r="G52" s="42" t="s">
        <v>171</v>
      </c>
      <c r="H52" s="42" t="s">
        <v>179</v>
      </c>
      <c r="I52" s="42"/>
      <c r="J52" s="42">
        <v>2</v>
      </c>
      <c r="K52" s="25" t="str">
        <f>VLOOKUP(J52,Key!$E$2:$F$9,2,FALSE)</f>
        <v>Work</v>
      </c>
      <c r="L52" s="42" t="s">
        <v>172</v>
      </c>
      <c r="M52" s="43" t="s">
        <v>172</v>
      </c>
      <c r="N52" s="50" t="s">
        <v>179</v>
      </c>
      <c r="O52" s="43"/>
      <c r="P52" s="43">
        <v>1</v>
      </c>
      <c r="Q52" s="25" t="str">
        <f>VLOOKUP(P52,Key!$E$2:$F$9,2,FALSE)</f>
        <v>Home</v>
      </c>
      <c r="R52" s="25" t="str">
        <f t="shared" si="0"/>
        <v>Work-Home</v>
      </c>
      <c r="S52" s="49"/>
      <c r="T52" s="49">
        <v>2</v>
      </c>
      <c r="U52" s="58">
        <v>1</v>
      </c>
      <c r="V52" s="58"/>
      <c r="W52" s="49"/>
      <c r="X52" s="49"/>
      <c r="Y52" s="50"/>
      <c r="Z52" s="59"/>
      <c r="AA52" s="25">
        <f>VLOOKUP(F52,Zones!$A$2:$F$15907,6,FALSE)</f>
        <v>1443</v>
      </c>
      <c r="AB52" s="25">
        <f>VLOOKUP(L52,Zones!$A$2:$F$15907,6,FALSE)</f>
        <v>335</v>
      </c>
    </row>
    <row r="53" spans="2:28" s="19" customFormat="1">
      <c r="B53" s="40">
        <v>0.63541666666666663</v>
      </c>
      <c r="C53" s="40"/>
      <c r="D53" s="41">
        <v>9</v>
      </c>
      <c r="E53" s="41">
        <v>1</v>
      </c>
      <c r="F53" s="42" t="s">
        <v>173</v>
      </c>
      <c r="G53" s="42" t="s">
        <v>167</v>
      </c>
      <c r="H53" s="42" t="s">
        <v>180</v>
      </c>
      <c r="I53" s="42"/>
      <c r="J53" s="42">
        <v>2</v>
      </c>
      <c r="K53" s="25" t="str">
        <f>VLOOKUP(J53,Key!$E$2:$F$9,2,FALSE)</f>
        <v>Work</v>
      </c>
      <c r="L53" s="42" t="s">
        <v>190</v>
      </c>
      <c r="M53" s="43" t="s">
        <v>190</v>
      </c>
      <c r="N53" s="50" t="s">
        <v>200</v>
      </c>
      <c r="O53" s="43"/>
      <c r="P53" s="43">
        <v>1</v>
      </c>
      <c r="Q53" s="25" t="str">
        <f>VLOOKUP(P53,Key!$E$2:$F$9,2,FALSE)</f>
        <v>Home</v>
      </c>
      <c r="R53" s="25" t="str">
        <f t="shared" si="0"/>
        <v>Work-Home</v>
      </c>
      <c r="S53" s="49"/>
      <c r="T53" s="49">
        <v>20</v>
      </c>
      <c r="U53" s="58">
        <v>3</v>
      </c>
      <c r="V53" s="58">
        <v>4</v>
      </c>
      <c r="W53" s="49">
        <v>15</v>
      </c>
      <c r="X53" s="49"/>
      <c r="Y53" s="50"/>
      <c r="Z53" s="59"/>
      <c r="AA53" s="25">
        <f>VLOOKUP(F53,Zones!$A$2:$F$15907,6,FALSE)</f>
        <v>1443</v>
      </c>
      <c r="AB53" s="25">
        <f>VLOOKUP(L53,Zones!$A$2:$F$15907,6,FALSE)</f>
        <v>1434</v>
      </c>
    </row>
    <row r="54" spans="2:28" s="19" customFormat="1">
      <c r="B54" s="40">
        <v>0.64027777777777783</v>
      </c>
      <c r="C54" s="40"/>
      <c r="D54" s="41">
        <v>5</v>
      </c>
      <c r="E54" s="41">
        <v>25</v>
      </c>
      <c r="F54" s="42" t="s">
        <v>173</v>
      </c>
      <c r="G54" s="42" t="s">
        <v>167</v>
      </c>
      <c r="H54" s="42" t="s">
        <v>180</v>
      </c>
      <c r="I54" s="42"/>
      <c r="J54" s="42">
        <v>2</v>
      </c>
      <c r="K54" s="25" t="str">
        <f>VLOOKUP(J54,Key!$E$2:$F$9,2,FALSE)</f>
        <v>Work</v>
      </c>
      <c r="L54" s="42" t="s">
        <v>183</v>
      </c>
      <c r="M54" s="43" t="s">
        <v>183</v>
      </c>
      <c r="N54" s="50" t="s">
        <v>179</v>
      </c>
      <c r="O54" s="43"/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49"/>
      <c r="T54" s="49">
        <v>24</v>
      </c>
      <c r="U54" s="58">
        <v>2</v>
      </c>
      <c r="V54" s="58"/>
      <c r="W54" s="49"/>
      <c r="X54" s="49"/>
      <c r="Y54" s="50"/>
      <c r="Z54" s="59"/>
      <c r="AA54" s="25">
        <f>VLOOKUP(F54,Zones!$A$2:$F$15907,6,FALSE)</f>
        <v>1443</v>
      </c>
      <c r="AB54" s="25">
        <f>VLOOKUP(L54,Zones!$A$2:$F$15907,6,FALSE)</f>
        <v>521</v>
      </c>
    </row>
    <row r="55" spans="2:28" s="19" customFormat="1">
      <c r="B55" s="40">
        <v>0.64444444444444449</v>
      </c>
      <c r="C55" s="40"/>
      <c r="D55" s="41">
        <v>9</v>
      </c>
      <c r="E55" s="41">
        <v>2</v>
      </c>
      <c r="F55" s="42" t="s">
        <v>173</v>
      </c>
      <c r="G55" s="42" t="s">
        <v>167</v>
      </c>
      <c r="H55" s="42" t="s">
        <v>180</v>
      </c>
      <c r="I55" s="42"/>
      <c r="J55" s="42">
        <v>2</v>
      </c>
      <c r="K55" s="25" t="str">
        <f>VLOOKUP(J55,Key!$E$2:$F$9,2,FALSE)</f>
        <v>Work</v>
      </c>
      <c r="L55" s="42" t="s">
        <v>183</v>
      </c>
      <c r="M55" s="43" t="s">
        <v>183</v>
      </c>
      <c r="N55" s="50" t="s">
        <v>179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49"/>
      <c r="T55" s="49">
        <v>48</v>
      </c>
      <c r="U55" s="58">
        <v>3</v>
      </c>
      <c r="V55" s="58">
        <v>8</v>
      </c>
      <c r="W55" s="49">
        <v>19</v>
      </c>
      <c r="X55" s="49"/>
      <c r="Y55" s="50"/>
      <c r="Z55" s="59"/>
      <c r="AA55" s="25">
        <f>VLOOKUP(F55,Zones!$A$2:$F$15907,6,FALSE)</f>
        <v>1443</v>
      </c>
      <c r="AB55" s="25">
        <f>VLOOKUP(L55,Zones!$A$2:$F$15907,6,FALSE)</f>
        <v>521</v>
      </c>
    </row>
    <row r="56" spans="2:28" s="19" customFormat="1">
      <c r="B56" s="40">
        <v>0.64861111111111114</v>
      </c>
      <c r="C56" s="40"/>
      <c r="D56" s="41">
        <v>5</v>
      </c>
      <c r="E56" s="41">
        <v>20</v>
      </c>
      <c r="F56" s="42" t="s">
        <v>173</v>
      </c>
      <c r="G56" s="42" t="s">
        <v>167</v>
      </c>
      <c r="H56" s="42" t="s">
        <v>179</v>
      </c>
      <c r="I56" s="42"/>
      <c r="J56" s="42">
        <v>2</v>
      </c>
      <c r="K56" s="25" t="str">
        <f>VLOOKUP(J56,Key!$E$2:$F$9,2,FALSE)</f>
        <v>Work</v>
      </c>
      <c r="L56" s="42" t="s">
        <v>183</v>
      </c>
      <c r="M56" s="43" t="s">
        <v>183</v>
      </c>
      <c r="N56" s="50" t="s">
        <v>179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49"/>
      <c r="T56" s="49">
        <v>48</v>
      </c>
      <c r="U56" s="58">
        <v>3</v>
      </c>
      <c r="V56" s="58"/>
      <c r="W56" s="49"/>
      <c r="X56" s="49"/>
      <c r="Y56" s="50"/>
      <c r="Z56" s="59"/>
      <c r="AA56" s="25">
        <f>VLOOKUP(F56,Zones!$A$2:$F$15907,6,FALSE)</f>
        <v>1443</v>
      </c>
      <c r="AB56" s="25">
        <f>VLOOKUP(L56,Zones!$A$2:$F$15907,6,FALSE)</f>
        <v>521</v>
      </c>
    </row>
    <row r="57" spans="2:28" s="19" customFormat="1">
      <c r="B57" s="40">
        <v>0.65138888888888891</v>
      </c>
      <c r="C57" s="40"/>
      <c r="D57" s="41">
        <v>9</v>
      </c>
      <c r="E57" s="41">
        <v>1</v>
      </c>
      <c r="F57" s="42" t="s">
        <v>173</v>
      </c>
      <c r="G57" s="42" t="s">
        <v>167</v>
      </c>
      <c r="H57" s="42" t="s">
        <v>179</v>
      </c>
      <c r="I57" s="42"/>
      <c r="J57" s="42">
        <v>2</v>
      </c>
      <c r="K57" s="25" t="str">
        <f>VLOOKUP(J57,Key!$E$2:$F$9,2,FALSE)</f>
        <v>Work</v>
      </c>
      <c r="L57" s="42" t="s">
        <v>189</v>
      </c>
      <c r="M57" s="43" t="s">
        <v>190</v>
      </c>
      <c r="N57" s="50" t="s">
        <v>200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9"/>
      <c r="T57" s="49">
        <v>48</v>
      </c>
      <c r="U57" s="58">
        <v>3</v>
      </c>
      <c r="V57" s="58">
        <v>6</v>
      </c>
      <c r="W57" s="49">
        <v>26</v>
      </c>
      <c r="X57" s="49"/>
      <c r="Y57" s="50"/>
      <c r="Z57" s="59"/>
      <c r="AA57" s="25">
        <f>VLOOKUP(F57,Zones!$A$2:$F$15907,6,FALSE)</f>
        <v>1443</v>
      </c>
      <c r="AB57" s="25">
        <f>VLOOKUP(L57,Zones!$A$2:$F$15907,6,FALSE)</f>
        <v>1434</v>
      </c>
    </row>
    <row r="58" spans="2:28" s="19" customFormat="1">
      <c r="B58" s="40">
        <v>0.65416666666666667</v>
      </c>
      <c r="C58" s="40"/>
      <c r="D58" s="41">
        <v>5</v>
      </c>
      <c r="E58" s="41">
        <v>15</v>
      </c>
      <c r="F58" s="42" t="s">
        <v>173</v>
      </c>
      <c r="G58" s="42" t="s">
        <v>167</v>
      </c>
      <c r="H58" s="42" t="s">
        <v>179</v>
      </c>
      <c r="I58" s="42"/>
      <c r="J58" s="42">
        <v>2</v>
      </c>
      <c r="K58" s="25" t="str">
        <f>VLOOKUP(J58,Key!$E$2:$F$9,2,FALSE)</f>
        <v>Work</v>
      </c>
      <c r="L58" s="42" t="s">
        <v>183</v>
      </c>
      <c r="M58" s="43" t="s">
        <v>183</v>
      </c>
      <c r="N58" s="50" t="s">
        <v>179</v>
      </c>
      <c r="O58" s="43"/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49"/>
      <c r="T58" s="49">
        <v>48</v>
      </c>
      <c r="U58" s="58">
        <v>3</v>
      </c>
      <c r="V58" s="58"/>
      <c r="W58" s="49"/>
      <c r="X58" s="49"/>
      <c r="Y58" s="50"/>
      <c r="Z58" s="59"/>
      <c r="AA58" s="25">
        <f>VLOOKUP(F58,Zones!$A$2:$F$15907,6,FALSE)</f>
        <v>1443</v>
      </c>
      <c r="AB58" s="25">
        <f>VLOOKUP(L58,Zones!$A$2:$F$15907,6,FALSE)</f>
        <v>521</v>
      </c>
    </row>
    <row r="59" spans="2:28" s="19" customFormat="1">
      <c r="B59" s="40">
        <v>0.65833333333333333</v>
      </c>
      <c r="C59" s="40"/>
      <c r="D59" s="41">
        <v>1</v>
      </c>
      <c r="E59" s="41">
        <v>2</v>
      </c>
      <c r="F59" s="42" t="s">
        <v>170</v>
      </c>
      <c r="G59" s="42" t="s">
        <v>171</v>
      </c>
      <c r="H59" s="42" t="s">
        <v>179</v>
      </c>
      <c r="I59" s="42"/>
      <c r="J59" s="42">
        <v>2</v>
      </c>
      <c r="K59" s="25" t="str">
        <f>VLOOKUP(J59,Key!$E$2:$F$9,2,FALSE)</f>
        <v>Work</v>
      </c>
      <c r="L59" s="42" t="s">
        <v>198</v>
      </c>
      <c r="M59" s="43" t="s">
        <v>183</v>
      </c>
      <c r="N59" s="50" t="s">
        <v>179</v>
      </c>
      <c r="O59" s="43"/>
      <c r="P59" s="43">
        <v>1</v>
      </c>
      <c r="Q59" s="25" t="str">
        <f>VLOOKUP(P59,Key!$E$2:$F$9,2,FALSE)</f>
        <v>Home</v>
      </c>
      <c r="R59" s="25" t="str">
        <f t="shared" si="0"/>
        <v>Work-Home</v>
      </c>
      <c r="S59" s="49"/>
      <c r="T59" s="49">
        <v>6</v>
      </c>
      <c r="U59" s="58">
        <v>4</v>
      </c>
      <c r="V59" s="58"/>
      <c r="W59" s="49"/>
      <c r="X59" s="49"/>
      <c r="Y59" s="50"/>
      <c r="Z59" s="59"/>
      <c r="AA59" s="25">
        <f>VLOOKUP(F59,Zones!$A$2:$F$15907,6,FALSE)</f>
        <v>1443</v>
      </c>
      <c r="AB59" s="25">
        <f>VLOOKUP(L59,Zones!$A$2:$F$15907,6,FALSE)</f>
        <v>522</v>
      </c>
    </row>
    <row r="60" spans="2:28" s="19" customFormat="1">
      <c r="B60" s="40">
        <v>0.66319444444444442</v>
      </c>
      <c r="C60" s="40"/>
      <c r="D60" s="41">
        <v>5</v>
      </c>
      <c r="E60" s="41">
        <v>30</v>
      </c>
      <c r="F60" s="42" t="s">
        <v>173</v>
      </c>
      <c r="G60" s="42" t="s">
        <v>167</v>
      </c>
      <c r="H60" s="42" t="s">
        <v>180</v>
      </c>
      <c r="I60" s="42"/>
      <c r="J60" s="42">
        <v>2</v>
      </c>
      <c r="K60" s="25" t="str">
        <f>VLOOKUP(J60,Key!$E$2:$F$9,2,FALSE)</f>
        <v>Work</v>
      </c>
      <c r="L60" s="42" t="s">
        <v>183</v>
      </c>
      <c r="M60" s="43" t="s">
        <v>183</v>
      </c>
      <c r="N60" s="50" t="s">
        <v>179</v>
      </c>
      <c r="O60" s="43"/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49"/>
      <c r="T60" s="49">
        <v>72</v>
      </c>
      <c r="U60" s="58">
        <v>3</v>
      </c>
      <c r="V60" s="58"/>
      <c r="W60" s="49"/>
      <c r="X60" s="49"/>
      <c r="Y60" s="50"/>
      <c r="Z60" s="59"/>
      <c r="AA60" s="25">
        <f>VLOOKUP(F60,Zones!$A$2:$F$15907,6,FALSE)</f>
        <v>1443</v>
      </c>
      <c r="AB60" s="25">
        <f>VLOOKUP(L60,Zones!$A$2:$F$15907,6,FALSE)</f>
        <v>521</v>
      </c>
    </row>
    <row r="61" spans="2:28" s="19" customFormat="1">
      <c r="B61" s="40">
        <v>0.66666666666666663</v>
      </c>
      <c r="C61" s="40"/>
      <c r="D61" s="41">
        <v>1</v>
      </c>
      <c r="E61" s="41">
        <v>3</v>
      </c>
      <c r="F61" s="42" t="s">
        <v>170</v>
      </c>
      <c r="G61" s="42" t="s">
        <v>171</v>
      </c>
      <c r="H61" s="42" t="s">
        <v>179</v>
      </c>
      <c r="I61" s="42"/>
      <c r="J61" s="42">
        <v>2</v>
      </c>
      <c r="K61" s="25" t="str">
        <f>VLOOKUP(J61,Key!$E$2:$F$9,2,FALSE)</f>
        <v>Work</v>
      </c>
      <c r="L61" s="42" t="s">
        <v>168</v>
      </c>
      <c r="M61" s="43" t="s">
        <v>171</v>
      </c>
      <c r="N61" s="50" t="s">
        <v>179</v>
      </c>
      <c r="O61" s="43"/>
      <c r="P61" s="43">
        <v>1</v>
      </c>
      <c r="Q61" s="25" t="str">
        <f>VLOOKUP(P61,Key!$E$2:$F$9,2,FALSE)</f>
        <v>Home</v>
      </c>
      <c r="R61" s="25" t="str">
        <f t="shared" si="0"/>
        <v>Work-Home</v>
      </c>
      <c r="S61" s="49"/>
      <c r="T61" s="49">
        <v>0.5</v>
      </c>
      <c r="U61" s="58">
        <v>2</v>
      </c>
      <c r="V61" s="58"/>
      <c r="W61" s="49"/>
      <c r="X61" s="49"/>
      <c r="Y61" s="50"/>
      <c r="Z61" s="59"/>
      <c r="AA61" s="25">
        <f>VLOOKUP(F61,Zones!$A$2:$F$15907,6,FALSE)</f>
        <v>1443</v>
      </c>
      <c r="AB61" s="25">
        <f>VLOOKUP(L61,Zones!$A$2:$F$15907,6,FALSE)</f>
        <v>75</v>
      </c>
    </row>
    <row r="62" spans="2:28" s="19" customFormat="1">
      <c r="B62" s="40">
        <v>0.67222222222222217</v>
      </c>
      <c r="C62" s="40"/>
      <c r="D62" s="41">
        <v>9</v>
      </c>
      <c r="E62" s="41">
        <v>1</v>
      </c>
      <c r="F62" s="42" t="s">
        <v>173</v>
      </c>
      <c r="G62" s="42" t="s">
        <v>167</v>
      </c>
      <c r="H62" s="42" t="s">
        <v>180</v>
      </c>
      <c r="I62" s="42"/>
      <c r="J62" s="42">
        <v>2</v>
      </c>
      <c r="K62" s="25" t="str">
        <f>VLOOKUP(J62,Key!$E$2:$F$9,2,FALSE)</f>
        <v>Work</v>
      </c>
      <c r="L62" s="42" t="s">
        <v>189</v>
      </c>
      <c r="M62" s="43" t="s">
        <v>190</v>
      </c>
      <c r="N62" s="50" t="s">
        <v>200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49"/>
      <c r="T62" s="49">
        <v>72</v>
      </c>
      <c r="U62" s="58">
        <v>3</v>
      </c>
      <c r="V62" s="58">
        <v>8</v>
      </c>
      <c r="W62" s="49">
        <v>19</v>
      </c>
      <c r="X62" s="49"/>
      <c r="Y62" s="50"/>
      <c r="Z62" s="59"/>
      <c r="AA62" s="25">
        <f>VLOOKUP(F62,Zones!$A$2:$F$15907,6,FALSE)</f>
        <v>1443</v>
      </c>
      <c r="AB62" s="25">
        <f>VLOOKUP(L62,Zones!$A$2:$F$15907,6,FALSE)</f>
        <v>1434</v>
      </c>
    </row>
    <row r="63" spans="2:28" s="19" customFormat="1">
      <c r="B63" s="40">
        <v>0.67569444444444438</v>
      </c>
      <c r="C63" s="40"/>
      <c r="D63" s="41">
        <v>8</v>
      </c>
      <c r="E63" s="41">
        <v>2</v>
      </c>
      <c r="F63" s="42" t="s">
        <v>170</v>
      </c>
      <c r="G63" s="42" t="s">
        <v>171</v>
      </c>
      <c r="H63" s="42" t="s">
        <v>179</v>
      </c>
      <c r="I63" s="42"/>
      <c r="J63" s="42">
        <v>2</v>
      </c>
      <c r="K63" s="25" t="str">
        <f>VLOOKUP(J63,Key!$E$2:$F$9,2,FALSE)</f>
        <v>Work</v>
      </c>
      <c r="L63" s="42" t="s">
        <v>188</v>
      </c>
      <c r="M63" s="43" t="s">
        <v>183</v>
      </c>
      <c r="N63" s="50" t="s">
        <v>179</v>
      </c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9"/>
      <c r="T63" s="49">
        <v>12</v>
      </c>
      <c r="U63" s="58">
        <v>3</v>
      </c>
      <c r="V63" s="58">
        <v>8</v>
      </c>
      <c r="W63" s="49">
        <v>15</v>
      </c>
      <c r="X63" s="49"/>
      <c r="Y63" s="50"/>
      <c r="Z63" s="59"/>
      <c r="AA63" s="25">
        <f>VLOOKUP(F63,Zones!$A$2:$F$15907,6,FALSE)</f>
        <v>1443</v>
      </c>
      <c r="AB63" s="25">
        <f>VLOOKUP(L63,Zones!$A$2:$F$15907,6,FALSE)</f>
        <v>533</v>
      </c>
    </row>
    <row r="64" spans="2:28" s="19" customFormat="1">
      <c r="B64" s="40">
        <v>0.68263888888888891</v>
      </c>
      <c r="C64" s="40"/>
      <c r="D64" s="41">
        <v>5</v>
      </c>
      <c r="E64" s="41">
        <v>20</v>
      </c>
      <c r="F64" s="42" t="s">
        <v>173</v>
      </c>
      <c r="G64" s="42" t="s">
        <v>167</v>
      </c>
      <c r="H64" s="42" t="s">
        <v>180</v>
      </c>
      <c r="I64" s="42"/>
      <c r="J64" s="42">
        <v>2</v>
      </c>
      <c r="K64" s="25" t="str">
        <f>VLOOKUP(J64,Key!$E$2:$F$9,2,FALSE)</f>
        <v>Work</v>
      </c>
      <c r="L64" s="42" t="s">
        <v>55</v>
      </c>
      <c r="M64" s="43" t="s">
        <v>190</v>
      </c>
      <c r="N64" s="50" t="s">
        <v>200</v>
      </c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49"/>
      <c r="T64" s="49">
        <v>72</v>
      </c>
      <c r="U64" s="58">
        <v>3</v>
      </c>
      <c r="V64" s="58"/>
      <c r="W64" s="49"/>
      <c r="X64" s="49"/>
      <c r="Y64" s="50"/>
      <c r="Z64" s="59"/>
      <c r="AA64" s="25">
        <f>VLOOKUP(F64,Zones!$A$2:$F$15907,6,FALSE)</f>
        <v>1443</v>
      </c>
      <c r="AB64" s="25">
        <f>VLOOKUP(L64,Zones!$A$2:$F$15907,6,FALSE)</f>
        <v>1433</v>
      </c>
    </row>
    <row r="65" spans="2:28" s="19" customFormat="1">
      <c r="B65" s="40">
        <v>0.68402777777777779</v>
      </c>
      <c r="C65" s="40"/>
      <c r="D65" s="41">
        <v>1</v>
      </c>
      <c r="E65" s="41">
        <v>2</v>
      </c>
      <c r="F65" s="42" t="s">
        <v>170</v>
      </c>
      <c r="G65" s="42" t="s">
        <v>171</v>
      </c>
      <c r="H65" s="42" t="s">
        <v>179</v>
      </c>
      <c r="I65" s="42"/>
      <c r="J65" s="42">
        <v>2</v>
      </c>
      <c r="K65" s="25" t="str">
        <f>VLOOKUP(J65,Key!$E$2:$F$9,2,FALSE)</f>
        <v>Work</v>
      </c>
      <c r="L65" s="42" t="s">
        <v>168</v>
      </c>
      <c r="M65" s="43" t="s">
        <v>171</v>
      </c>
      <c r="N65" s="50" t="s">
        <v>179</v>
      </c>
      <c r="O65" s="43"/>
      <c r="P65" s="43">
        <v>1</v>
      </c>
      <c r="Q65" s="25" t="str">
        <f>VLOOKUP(P65,Key!$E$2:$F$9,2,FALSE)</f>
        <v>Home</v>
      </c>
      <c r="R65" s="25" t="str">
        <f t="shared" si="0"/>
        <v>Work-Home</v>
      </c>
      <c r="S65" s="49"/>
      <c r="T65" s="49">
        <v>0.5</v>
      </c>
      <c r="U65" s="58">
        <v>2</v>
      </c>
      <c r="V65" s="58"/>
      <c r="W65" s="49"/>
      <c r="X65" s="49"/>
      <c r="Y65" s="50"/>
      <c r="Z65" s="59"/>
      <c r="AA65" s="25">
        <f>VLOOKUP(F65,Zones!$A$2:$F$15907,6,FALSE)</f>
        <v>1443</v>
      </c>
      <c r="AB65" s="25">
        <f>VLOOKUP(L65,Zones!$A$2:$F$15907,6,FALSE)</f>
        <v>75</v>
      </c>
    </row>
    <row r="66" spans="2:28" s="19" customFormat="1">
      <c r="B66" s="40">
        <v>0.68680555555555556</v>
      </c>
      <c r="C66" s="40"/>
      <c r="D66" s="41">
        <v>1</v>
      </c>
      <c r="E66" s="41">
        <v>1</v>
      </c>
      <c r="F66" s="42" t="s">
        <v>167</v>
      </c>
      <c r="G66" s="42" t="s">
        <v>172</v>
      </c>
      <c r="H66" s="42" t="s">
        <v>179</v>
      </c>
      <c r="I66" s="42"/>
      <c r="J66" s="42">
        <v>2</v>
      </c>
      <c r="K66" s="25" t="str">
        <f>VLOOKUP(J66,Key!$E$2:$F$9,2,FALSE)</f>
        <v>Work</v>
      </c>
      <c r="L66" s="42" t="s">
        <v>172</v>
      </c>
      <c r="M66" s="43" t="s">
        <v>172</v>
      </c>
      <c r="N66" s="50" t="s">
        <v>179</v>
      </c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49"/>
      <c r="T66" s="49">
        <v>4</v>
      </c>
      <c r="U66" s="58">
        <v>2</v>
      </c>
      <c r="V66" s="58">
        <v>9</v>
      </c>
      <c r="W66" s="49">
        <v>7</v>
      </c>
      <c r="X66" s="49"/>
      <c r="Y66" s="50"/>
      <c r="Z66" s="59"/>
      <c r="AA66" s="25">
        <f>VLOOKUP(F66,Zones!$A$2:$F$15907,6,FALSE)</f>
        <v>1443</v>
      </c>
      <c r="AB66" s="25">
        <f>VLOOKUP(L66,Zones!$A$2:$F$15907,6,FALSE)</f>
        <v>335</v>
      </c>
    </row>
    <row r="67" spans="2:28" s="19" customFormat="1">
      <c r="B67" s="40">
        <v>0.68819444444444444</v>
      </c>
      <c r="C67" s="40"/>
      <c r="D67" s="41">
        <v>9</v>
      </c>
      <c r="E67" s="41">
        <v>1</v>
      </c>
      <c r="F67" s="42" t="s">
        <v>173</v>
      </c>
      <c r="G67" s="42" t="s">
        <v>167</v>
      </c>
      <c r="H67" s="42" t="s">
        <v>180</v>
      </c>
      <c r="I67" s="42"/>
      <c r="J67" s="42">
        <v>2</v>
      </c>
      <c r="K67" s="25" t="str">
        <f>VLOOKUP(J67,Key!$E$2:$F$9,2,FALSE)</f>
        <v>Work</v>
      </c>
      <c r="L67" s="42" t="s">
        <v>199</v>
      </c>
      <c r="M67" s="43" t="s">
        <v>183</v>
      </c>
      <c r="N67" s="50" t="s">
        <v>179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49"/>
      <c r="T67" s="49">
        <v>48</v>
      </c>
      <c r="U67" s="58">
        <v>3</v>
      </c>
      <c r="V67" s="58">
        <v>9</v>
      </c>
      <c r="W67" s="49">
        <v>19</v>
      </c>
      <c r="X67" s="49"/>
      <c r="Y67" s="50"/>
      <c r="Z67" s="59"/>
      <c r="AA67" s="25">
        <f>VLOOKUP(F67,Zones!$A$2:$F$15907,6,FALSE)</f>
        <v>1443</v>
      </c>
      <c r="AB67" s="25">
        <f>VLOOKUP(L67,Zones!$A$2:$F$15907,6,FALSE)</f>
        <v>536</v>
      </c>
    </row>
    <row r="68" spans="2:28" s="19" customFormat="1">
      <c r="B68" s="40">
        <v>0.69097222222222221</v>
      </c>
      <c r="C68" s="40"/>
      <c r="D68" s="41">
        <v>1</v>
      </c>
      <c r="E68" s="41">
        <v>1</v>
      </c>
      <c r="F68" s="42" t="s">
        <v>167</v>
      </c>
      <c r="G68" s="42" t="s">
        <v>172</v>
      </c>
      <c r="H68" s="42" t="s">
        <v>179</v>
      </c>
      <c r="I68" s="42"/>
      <c r="J68" s="42">
        <v>2</v>
      </c>
      <c r="K68" s="25" t="str">
        <f>VLOOKUP(J68,Key!$E$2:$F$9,2,FALSE)</f>
        <v>Work</v>
      </c>
      <c r="L68" s="42" t="s">
        <v>168</v>
      </c>
      <c r="M68" s="43" t="s">
        <v>171</v>
      </c>
      <c r="N68" s="50" t="s">
        <v>179</v>
      </c>
      <c r="O68" s="43"/>
      <c r="P68" s="43">
        <v>1</v>
      </c>
      <c r="Q68" s="25" t="str">
        <f>VLOOKUP(P68,Key!$E$2:$F$9,2,FALSE)</f>
        <v>Home</v>
      </c>
      <c r="R68" s="25" t="str">
        <f t="shared" si="0"/>
        <v>Work-Home</v>
      </c>
      <c r="S68" s="49"/>
      <c r="T68" s="49">
        <v>3</v>
      </c>
      <c r="U68" s="58">
        <v>2</v>
      </c>
      <c r="V68" s="58"/>
      <c r="W68" s="49"/>
      <c r="X68" s="49"/>
      <c r="Y68" s="50"/>
      <c r="Z68" s="59"/>
      <c r="AA68" s="25">
        <f>VLOOKUP(F68,Zones!$A$2:$F$15907,6,FALSE)</f>
        <v>1443</v>
      </c>
      <c r="AB68" s="25">
        <f>VLOOKUP(L68,Zones!$A$2:$F$15907,6,FALSE)</f>
        <v>75</v>
      </c>
    </row>
    <row r="69" spans="2:28" s="19" customFormat="1">
      <c r="B69" s="40">
        <v>0.69236111111111109</v>
      </c>
      <c r="C69" s="40"/>
      <c r="D69" s="41">
        <v>8</v>
      </c>
      <c r="E69" s="41">
        <v>2</v>
      </c>
      <c r="F69" s="42" t="s">
        <v>173</v>
      </c>
      <c r="G69" s="42" t="s">
        <v>167</v>
      </c>
      <c r="H69" s="42" t="s">
        <v>180</v>
      </c>
      <c r="I69" s="42"/>
      <c r="J69" s="42">
        <v>2</v>
      </c>
      <c r="K69" s="25" t="str">
        <f>VLOOKUP(J69,Key!$E$2:$F$9,2,FALSE)</f>
        <v>Work</v>
      </c>
      <c r="L69" s="42" t="s">
        <v>184</v>
      </c>
      <c r="M69" s="43" t="s">
        <v>184</v>
      </c>
      <c r="N69" s="50" t="s">
        <v>200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49"/>
      <c r="T69" s="49">
        <v>72</v>
      </c>
      <c r="U69" s="58">
        <v>3</v>
      </c>
      <c r="V69" s="58">
        <v>6</v>
      </c>
      <c r="W69" s="49">
        <v>20</v>
      </c>
      <c r="X69" s="49"/>
      <c r="Y69" s="50"/>
      <c r="Z69" s="59"/>
      <c r="AA69" s="25">
        <f>VLOOKUP(F69,Zones!$A$2:$F$15907,6,FALSE)</f>
        <v>1443</v>
      </c>
      <c r="AB69" s="25">
        <f>VLOOKUP(L69,Zones!$A$2:$F$15907,6,FALSE)</f>
        <v>1434</v>
      </c>
    </row>
    <row r="70" spans="2:28" s="19" customFormat="1">
      <c r="B70" s="40">
        <v>0.69444444444444453</v>
      </c>
      <c r="C70" s="40"/>
      <c r="D70" s="41">
        <v>9</v>
      </c>
      <c r="E70" s="41">
        <v>3</v>
      </c>
      <c r="F70" s="42" t="s">
        <v>173</v>
      </c>
      <c r="G70" s="42" t="s">
        <v>167</v>
      </c>
      <c r="H70" s="42" t="s">
        <v>180</v>
      </c>
      <c r="I70" s="42"/>
      <c r="J70" s="42">
        <v>2</v>
      </c>
      <c r="K70" s="25" t="str">
        <f>VLOOKUP(J70,Key!$E$2:$F$9,2,FALSE)</f>
        <v>Work</v>
      </c>
      <c r="L70" s="42" t="s">
        <v>184</v>
      </c>
      <c r="M70" s="43" t="s">
        <v>184</v>
      </c>
      <c r="N70" s="50" t="s">
        <v>200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49"/>
      <c r="T70" s="49">
        <v>168</v>
      </c>
      <c r="U70" s="58">
        <v>3</v>
      </c>
      <c r="V70" s="58">
        <v>8</v>
      </c>
      <c r="W70" s="49">
        <v>20</v>
      </c>
      <c r="X70" s="49"/>
      <c r="Y70" s="50"/>
      <c r="Z70" s="59"/>
      <c r="AA70" s="25">
        <f>VLOOKUP(F70,Zones!$A$2:$F$15907,6,FALSE)</f>
        <v>1443</v>
      </c>
      <c r="AB70" s="25">
        <f>VLOOKUP(L70,Zones!$A$2:$F$15907,6,FALSE)</f>
        <v>1434</v>
      </c>
    </row>
    <row r="71" spans="2:28" s="19" customFormat="1">
      <c r="B71" s="40">
        <v>0.69652777777777775</v>
      </c>
      <c r="C71" s="40"/>
      <c r="D71" s="41">
        <v>1</v>
      </c>
      <c r="E71" s="41">
        <v>6</v>
      </c>
      <c r="F71" s="42" t="s">
        <v>170</v>
      </c>
      <c r="G71" s="42" t="s">
        <v>171</v>
      </c>
      <c r="H71" s="42" t="s">
        <v>179</v>
      </c>
      <c r="I71" s="42"/>
      <c r="J71" s="42">
        <v>2</v>
      </c>
      <c r="K71" s="25" t="str">
        <f>VLOOKUP(J71,Key!$E$2:$F$9,2,FALSE)</f>
        <v>Work</v>
      </c>
      <c r="L71" s="42" t="s">
        <v>172</v>
      </c>
      <c r="M71" s="43" t="s">
        <v>172</v>
      </c>
      <c r="N71" s="50" t="s">
        <v>179</v>
      </c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9"/>
      <c r="T71" s="49">
        <v>105</v>
      </c>
      <c r="U71" s="58">
        <v>1</v>
      </c>
      <c r="V71" s="58"/>
      <c r="W71" s="49"/>
      <c r="X71" s="49"/>
      <c r="Y71" s="50"/>
      <c r="Z71" s="59"/>
      <c r="AA71" s="25">
        <f>VLOOKUP(F71,Zones!$A$2:$F$15907,6,FALSE)</f>
        <v>1443</v>
      </c>
      <c r="AB71" s="25">
        <f>VLOOKUP(L71,Zones!$A$2:$F$15907,6,FALSE)</f>
        <v>335</v>
      </c>
    </row>
    <row r="72" spans="2:28" s="19" customFormat="1">
      <c r="B72" s="40">
        <v>0.69861111111111107</v>
      </c>
      <c r="C72" s="40"/>
      <c r="D72" s="41">
        <v>1</v>
      </c>
      <c r="E72" s="41">
        <v>2</v>
      </c>
      <c r="F72" s="42" t="s">
        <v>170</v>
      </c>
      <c r="G72" s="42" t="s">
        <v>171</v>
      </c>
      <c r="H72" s="42" t="s">
        <v>179</v>
      </c>
      <c r="I72" s="42"/>
      <c r="J72" s="42">
        <v>2</v>
      </c>
      <c r="K72" s="25" t="str">
        <f>VLOOKUP(J72,Key!$E$2:$F$9,2,FALSE)</f>
        <v>Work</v>
      </c>
      <c r="L72" s="42" t="s">
        <v>168</v>
      </c>
      <c r="M72" s="43" t="s">
        <v>171</v>
      </c>
      <c r="N72" s="50" t="s">
        <v>179</v>
      </c>
      <c r="O72" s="43"/>
      <c r="P72" s="43">
        <v>1</v>
      </c>
      <c r="Q72" s="25" t="str">
        <f>VLOOKUP(P72,Key!$E$2:$F$9,2,FALSE)</f>
        <v>Home</v>
      </c>
      <c r="R72" s="25" t="str">
        <f t="shared" si="0"/>
        <v>Work-Home</v>
      </c>
      <c r="S72" s="49"/>
      <c r="T72" s="49">
        <v>0.7</v>
      </c>
      <c r="U72" s="58">
        <v>2</v>
      </c>
      <c r="V72" s="58"/>
      <c r="W72" s="49"/>
      <c r="X72" s="49"/>
      <c r="Y72" s="50"/>
      <c r="Z72" s="59"/>
      <c r="AA72" s="25">
        <f>VLOOKUP(F72,Zones!$A$2:$F$15907,6,FALSE)</f>
        <v>1443</v>
      </c>
      <c r="AB72" s="25">
        <f>VLOOKUP(L72,Zones!$A$2:$F$15907,6,FALSE)</f>
        <v>75</v>
      </c>
    </row>
    <row r="73" spans="2:28" s="19" customFormat="1">
      <c r="B73" s="40">
        <v>0.70138888888888884</v>
      </c>
      <c r="C73" s="40"/>
      <c r="D73" s="41">
        <v>1</v>
      </c>
      <c r="E73" s="41">
        <v>2</v>
      </c>
      <c r="F73" s="42" t="s">
        <v>167</v>
      </c>
      <c r="G73" s="42" t="s">
        <v>172</v>
      </c>
      <c r="H73" s="42" t="s">
        <v>179</v>
      </c>
      <c r="I73" s="42"/>
      <c r="J73" s="42">
        <v>2</v>
      </c>
      <c r="K73" s="25" t="str">
        <f>VLOOKUP(J73,Key!$E$2:$F$9,2,FALSE)</f>
        <v>Work</v>
      </c>
      <c r="L73" s="42" t="s">
        <v>172</v>
      </c>
      <c r="M73" s="43" t="s">
        <v>172</v>
      </c>
      <c r="N73" s="50" t="s">
        <v>179</v>
      </c>
      <c r="O73" s="43"/>
      <c r="P73" s="43">
        <v>6</v>
      </c>
      <c r="Q73" s="25" t="str">
        <f>VLOOKUP(P73,Key!$E$2:$F$9,2,FALSE)</f>
        <v>Leisure/Social</v>
      </c>
      <c r="R73" s="25" t="str">
        <f t="shared" si="0"/>
        <v>Work-Leisure/Social</v>
      </c>
      <c r="S73" s="49"/>
      <c r="T73" s="49">
        <v>7</v>
      </c>
      <c r="U73" s="58">
        <v>4</v>
      </c>
      <c r="V73" s="58"/>
      <c r="W73" s="49"/>
      <c r="X73" s="49"/>
      <c r="Y73" s="50"/>
      <c r="Z73" s="59"/>
      <c r="AA73" s="25">
        <f>VLOOKUP(F73,Zones!$A$2:$F$15907,6,FALSE)</f>
        <v>1443</v>
      </c>
      <c r="AB73" s="25">
        <f>VLOOKUP(L73,Zones!$A$2:$F$15907,6,FALSE)</f>
        <v>335</v>
      </c>
    </row>
    <row r="74" spans="2:28" s="19" customFormat="1">
      <c r="B74" s="40">
        <v>0.70486111111111116</v>
      </c>
      <c r="C74" s="40"/>
      <c r="D74" s="41">
        <v>1</v>
      </c>
      <c r="E74" s="41">
        <v>7</v>
      </c>
      <c r="F74" s="42" t="s">
        <v>170</v>
      </c>
      <c r="G74" s="42" t="s">
        <v>171</v>
      </c>
      <c r="H74" s="42" t="s">
        <v>179</v>
      </c>
      <c r="I74" s="42"/>
      <c r="J74" s="42">
        <v>2</v>
      </c>
      <c r="K74" s="25" t="str">
        <f>VLOOKUP(J74,Key!$E$2:$F$9,2,FALSE)</f>
        <v>Work</v>
      </c>
      <c r="L74" s="42" t="s">
        <v>172</v>
      </c>
      <c r="M74" s="43" t="s">
        <v>172</v>
      </c>
      <c r="N74" s="50" t="s">
        <v>179</v>
      </c>
      <c r="O74" s="43"/>
      <c r="P74" s="43">
        <v>2</v>
      </c>
      <c r="Q74" s="25" t="str">
        <f>VLOOKUP(P74,Key!$E$2:$F$9,2,FALSE)</f>
        <v>Work</v>
      </c>
      <c r="R74" s="25" t="str">
        <f t="shared" ref="R74:R98" si="1">K74&amp;"-"&amp;Q74</f>
        <v>Work-Work</v>
      </c>
      <c r="S74" s="49"/>
      <c r="T74" s="49">
        <v>2</v>
      </c>
      <c r="U74" s="58">
        <v>1</v>
      </c>
      <c r="V74" s="58"/>
      <c r="W74" s="49"/>
      <c r="X74" s="49"/>
      <c r="Y74" s="50"/>
      <c r="Z74" s="59"/>
      <c r="AA74" s="25">
        <f>VLOOKUP(F74,Zones!$A$2:$F$15907,6,FALSE)</f>
        <v>1443</v>
      </c>
      <c r="AB74" s="25">
        <f>VLOOKUP(L74,Zones!$A$2:$F$15907,6,FALSE)</f>
        <v>335</v>
      </c>
    </row>
    <row r="75" spans="2:28" s="19" customFormat="1">
      <c r="B75" s="40">
        <v>0.7055555555555556</v>
      </c>
      <c r="C75" s="40"/>
      <c r="D75" s="41">
        <v>5</v>
      </c>
      <c r="E75" s="41">
        <v>25</v>
      </c>
      <c r="F75" s="42" t="s">
        <v>173</v>
      </c>
      <c r="G75" s="42" t="s">
        <v>167</v>
      </c>
      <c r="H75" s="42" t="s">
        <v>180</v>
      </c>
      <c r="I75" s="42"/>
      <c r="J75" s="42">
        <v>2</v>
      </c>
      <c r="K75" s="25" t="str">
        <f>VLOOKUP(J75,Key!$E$2:$F$9,2,FALSE)</f>
        <v>Work</v>
      </c>
      <c r="L75" s="42" t="s">
        <v>183</v>
      </c>
      <c r="M75" s="43" t="s">
        <v>183</v>
      </c>
      <c r="N75" s="50" t="s">
        <v>179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24</v>
      </c>
      <c r="U75" s="58">
        <v>3</v>
      </c>
      <c r="V75" s="58"/>
      <c r="W75" s="49"/>
      <c r="X75" s="49"/>
      <c r="Y75" s="50"/>
      <c r="Z75" s="59"/>
      <c r="AA75" s="25">
        <f>VLOOKUP(F75,Zones!$A$2:$F$15907,6,FALSE)</f>
        <v>1443</v>
      </c>
      <c r="AB75" s="25">
        <f>VLOOKUP(L75,Zones!$A$2:$F$15907,6,FALSE)</f>
        <v>521</v>
      </c>
    </row>
    <row r="76" spans="2:28" s="19" customFormat="1">
      <c r="B76" s="40">
        <v>0.70624999999999993</v>
      </c>
      <c r="C76" s="40"/>
      <c r="D76" s="41">
        <v>6</v>
      </c>
      <c r="E76" s="41">
        <v>60</v>
      </c>
      <c r="F76" s="42" t="s">
        <v>170</v>
      </c>
      <c r="G76" s="42" t="s">
        <v>171</v>
      </c>
      <c r="H76" s="42" t="s">
        <v>179</v>
      </c>
      <c r="I76" s="42"/>
      <c r="J76" s="42">
        <v>2</v>
      </c>
      <c r="K76" s="25" t="str">
        <f>VLOOKUP(J76,Key!$E$2:$F$9,2,FALSE)</f>
        <v>Work</v>
      </c>
      <c r="L76" s="42" t="s">
        <v>168</v>
      </c>
      <c r="M76" s="43" t="s">
        <v>171</v>
      </c>
      <c r="N76" s="50" t="s">
        <v>179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0.7</v>
      </c>
      <c r="U76" s="58">
        <v>1</v>
      </c>
      <c r="V76" s="58"/>
      <c r="W76" s="49"/>
      <c r="X76" s="49"/>
      <c r="Y76" s="50"/>
      <c r="Z76" s="59"/>
      <c r="AA76" s="25">
        <f>VLOOKUP(F76,Zones!$A$2:$F$15907,6,FALSE)</f>
        <v>1443</v>
      </c>
      <c r="AB76" s="25">
        <f>VLOOKUP(L76,Zones!$A$2:$F$15907,6,FALSE)</f>
        <v>75</v>
      </c>
    </row>
    <row r="77" spans="2:28" s="19" customFormat="1">
      <c r="B77" s="40">
        <v>0.70763888888888893</v>
      </c>
      <c r="C77" s="40"/>
      <c r="D77" s="41">
        <v>9</v>
      </c>
      <c r="E77" s="41">
        <v>1</v>
      </c>
      <c r="F77" s="42" t="s">
        <v>173</v>
      </c>
      <c r="G77" s="42" t="s">
        <v>167</v>
      </c>
      <c r="H77" s="42" t="s">
        <v>180</v>
      </c>
      <c r="I77" s="42"/>
      <c r="J77" s="42">
        <v>2</v>
      </c>
      <c r="K77" s="25" t="str">
        <f>VLOOKUP(J77,Key!$E$2:$F$9,2,FALSE)</f>
        <v>Work</v>
      </c>
      <c r="L77" s="42" t="s">
        <v>184</v>
      </c>
      <c r="M77" s="43" t="s">
        <v>184</v>
      </c>
      <c r="N77" s="50" t="s">
        <v>200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36</v>
      </c>
      <c r="U77" s="58">
        <v>3</v>
      </c>
      <c r="V77" s="58">
        <v>7</v>
      </c>
      <c r="W77" s="49">
        <v>19</v>
      </c>
      <c r="X77" s="49"/>
      <c r="Y77" s="50"/>
      <c r="Z77" s="59"/>
      <c r="AA77" s="25">
        <f>VLOOKUP(F77,Zones!$A$2:$F$15907,6,FALSE)</f>
        <v>1443</v>
      </c>
      <c r="AB77" s="25">
        <f>VLOOKUP(L77,Zones!$A$2:$F$15907,6,FALSE)</f>
        <v>1434</v>
      </c>
    </row>
    <row r="78" spans="2:28" s="19" customFormat="1">
      <c r="B78" s="40">
        <v>0.7104166666666667</v>
      </c>
      <c r="C78" s="40"/>
      <c r="D78" s="41">
        <v>1</v>
      </c>
      <c r="E78" s="41">
        <v>4</v>
      </c>
      <c r="F78" s="42" t="s">
        <v>170</v>
      </c>
      <c r="G78" s="42" t="s">
        <v>171</v>
      </c>
      <c r="H78" s="42" t="s">
        <v>179</v>
      </c>
      <c r="I78" s="42"/>
      <c r="J78" s="42">
        <v>2</v>
      </c>
      <c r="K78" s="25" t="str">
        <f>VLOOKUP(J78,Key!$E$2:$F$9,2,FALSE)</f>
        <v>Work</v>
      </c>
      <c r="L78" s="42" t="s">
        <v>172</v>
      </c>
      <c r="M78" s="43" t="s">
        <v>172</v>
      </c>
      <c r="N78" s="50" t="s">
        <v>179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2</v>
      </c>
      <c r="U78" s="58">
        <v>1</v>
      </c>
      <c r="V78" s="58"/>
      <c r="W78" s="49"/>
      <c r="X78" s="49"/>
      <c r="Y78" s="50"/>
      <c r="Z78" s="59"/>
      <c r="AA78" s="25">
        <f>VLOOKUP(F78,Zones!$A$2:$F$15907,6,FALSE)</f>
        <v>1443</v>
      </c>
      <c r="AB78" s="25">
        <f>VLOOKUP(L78,Zones!$A$2:$F$15907,6,FALSE)</f>
        <v>335</v>
      </c>
    </row>
    <row r="79" spans="2:28" s="19" customFormat="1">
      <c r="B79" s="40">
        <v>0.71111111111111114</v>
      </c>
      <c r="C79" s="40"/>
      <c r="D79" s="41">
        <v>1</v>
      </c>
      <c r="E79" s="41">
        <v>5</v>
      </c>
      <c r="F79" s="42" t="s">
        <v>170</v>
      </c>
      <c r="G79" s="42" t="s">
        <v>171</v>
      </c>
      <c r="H79" s="42" t="s">
        <v>179</v>
      </c>
      <c r="I79" s="42"/>
      <c r="J79" s="42">
        <v>2</v>
      </c>
      <c r="K79" s="25" t="str">
        <f>VLOOKUP(J79,Key!$E$2:$F$9,2,FALSE)</f>
        <v>Work</v>
      </c>
      <c r="L79" s="42" t="s">
        <v>172</v>
      </c>
      <c r="M79" s="43" t="s">
        <v>172</v>
      </c>
      <c r="N79" s="50" t="s">
        <v>179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2</v>
      </c>
      <c r="U79" s="58">
        <v>1</v>
      </c>
      <c r="V79" s="58"/>
      <c r="W79" s="49"/>
      <c r="X79" s="49"/>
      <c r="Y79" s="50"/>
      <c r="Z79" s="59"/>
      <c r="AA79" s="25">
        <f>VLOOKUP(F79,Zones!$A$2:$F$15907,6,FALSE)</f>
        <v>1443</v>
      </c>
      <c r="AB79" s="25">
        <f>VLOOKUP(L79,Zones!$A$2:$F$15907,6,FALSE)</f>
        <v>335</v>
      </c>
    </row>
    <row r="80" spans="2:28" s="19" customFormat="1">
      <c r="B80" s="40">
        <v>0.71319444444444446</v>
      </c>
      <c r="C80" s="40"/>
      <c r="D80" s="41">
        <v>1</v>
      </c>
      <c r="E80" s="41">
        <v>2</v>
      </c>
      <c r="F80" s="42" t="s">
        <v>170</v>
      </c>
      <c r="G80" s="42" t="s">
        <v>171</v>
      </c>
      <c r="H80" s="42" t="s">
        <v>179</v>
      </c>
      <c r="I80" s="42"/>
      <c r="J80" s="42">
        <v>2</v>
      </c>
      <c r="K80" s="25" t="str">
        <f>VLOOKUP(J80,Key!$E$2:$F$9,2,FALSE)</f>
        <v>Work</v>
      </c>
      <c r="L80" s="42" t="s">
        <v>172</v>
      </c>
      <c r="M80" s="43" t="s">
        <v>172</v>
      </c>
      <c r="N80" s="50" t="s">
        <v>179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49"/>
      <c r="T80" s="49">
        <v>1</v>
      </c>
      <c r="U80" s="58">
        <v>1</v>
      </c>
      <c r="V80" s="58"/>
      <c r="W80" s="49"/>
      <c r="X80" s="49"/>
      <c r="Y80" s="50"/>
      <c r="Z80" s="59"/>
      <c r="AA80" s="25">
        <f>VLOOKUP(F80,Zones!$A$2:$F$15907,6,FALSE)</f>
        <v>1443</v>
      </c>
      <c r="AB80" s="25">
        <f>VLOOKUP(L80,Zones!$A$2:$F$15907,6,FALSE)</f>
        <v>335</v>
      </c>
    </row>
    <row r="81" spans="2:28" s="19" customFormat="1">
      <c r="B81" s="40">
        <v>0.71458333333333324</v>
      </c>
      <c r="C81" s="40"/>
      <c r="D81" s="41">
        <v>4</v>
      </c>
      <c r="E81" s="41">
        <v>10</v>
      </c>
      <c r="F81" s="42" t="s">
        <v>167</v>
      </c>
      <c r="G81" s="42" t="s">
        <v>172</v>
      </c>
      <c r="H81" s="42" t="s">
        <v>179</v>
      </c>
      <c r="I81" s="42"/>
      <c r="J81" s="42">
        <v>5</v>
      </c>
      <c r="K81" s="25" t="str">
        <f>VLOOKUP(J81,Key!$E$2:$F$9,2,FALSE)</f>
        <v>Tourism</v>
      </c>
      <c r="L81" s="42" t="s">
        <v>172</v>
      </c>
      <c r="M81" s="43" t="s">
        <v>172</v>
      </c>
      <c r="N81" s="50" t="s">
        <v>179</v>
      </c>
      <c r="O81" s="43"/>
      <c r="P81" s="43">
        <v>1</v>
      </c>
      <c r="Q81" s="25" t="str">
        <f>VLOOKUP(P81,Key!$E$2:$F$9,2,FALSE)</f>
        <v>Home</v>
      </c>
      <c r="R81" s="25" t="str">
        <f t="shared" si="1"/>
        <v>Tourism-Home</v>
      </c>
      <c r="S81" s="49"/>
      <c r="T81" s="49"/>
      <c r="U81" s="58">
        <v>4</v>
      </c>
      <c r="V81" s="58"/>
      <c r="W81" s="49"/>
      <c r="X81" s="49"/>
      <c r="Y81" s="50"/>
      <c r="Z81" s="59"/>
      <c r="AA81" s="25">
        <f>VLOOKUP(F81,Zones!$A$2:$F$15907,6,FALSE)</f>
        <v>1443</v>
      </c>
      <c r="AB81" s="25">
        <f>VLOOKUP(L81,Zones!$A$2:$F$15907,6,FALSE)</f>
        <v>335</v>
      </c>
    </row>
    <row r="82" spans="2:28" s="19" customFormat="1">
      <c r="B82" s="40">
        <v>0.71666666666666667</v>
      </c>
      <c r="C82" s="40"/>
      <c r="D82" s="41">
        <v>1</v>
      </c>
      <c r="E82" s="41">
        <v>3</v>
      </c>
      <c r="F82" s="42" t="s">
        <v>170</v>
      </c>
      <c r="G82" s="42" t="s">
        <v>171</v>
      </c>
      <c r="H82" s="42" t="s">
        <v>179</v>
      </c>
      <c r="I82" s="42"/>
      <c r="J82" s="42">
        <v>2</v>
      </c>
      <c r="K82" s="25" t="str">
        <f>VLOOKUP(J82,Key!$E$2:$F$9,2,FALSE)</f>
        <v>Work</v>
      </c>
      <c r="L82" s="42" t="s">
        <v>172</v>
      </c>
      <c r="M82" s="43" t="s">
        <v>172</v>
      </c>
      <c r="N82" s="50" t="s">
        <v>179</v>
      </c>
      <c r="O82" s="43"/>
      <c r="P82" s="43">
        <v>7</v>
      </c>
      <c r="Q82" s="25" t="str">
        <f>VLOOKUP(P82,Key!$E$2:$F$9,2,FALSE)</f>
        <v>Hospital</v>
      </c>
      <c r="R82" s="25" t="str">
        <f t="shared" si="1"/>
        <v>Work-Hospital</v>
      </c>
      <c r="S82" s="49"/>
      <c r="T82" s="49">
        <v>3</v>
      </c>
      <c r="U82" s="58">
        <v>3</v>
      </c>
      <c r="V82" s="58"/>
      <c r="W82" s="49"/>
      <c r="X82" s="49"/>
      <c r="Y82" s="50"/>
      <c r="Z82" s="59"/>
      <c r="AA82" s="25">
        <f>VLOOKUP(F82,Zones!$A$2:$F$15907,6,FALSE)</f>
        <v>1443</v>
      </c>
      <c r="AB82" s="25">
        <f>VLOOKUP(L82,Zones!$A$2:$F$15907,6,FALSE)</f>
        <v>335</v>
      </c>
    </row>
    <row r="83" spans="2:28" s="19" customFormat="1">
      <c r="B83" s="40">
        <v>0.71944444444444444</v>
      </c>
      <c r="C83" s="40"/>
      <c r="D83" s="41">
        <v>1</v>
      </c>
      <c r="E83" s="41">
        <v>3</v>
      </c>
      <c r="F83" s="42" t="s">
        <v>170</v>
      </c>
      <c r="G83" s="42" t="s">
        <v>171</v>
      </c>
      <c r="H83" s="42" t="s">
        <v>179</v>
      </c>
      <c r="I83" s="42"/>
      <c r="J83" s="42">
        <v>2</v>
      </c>
      <c r="K83" s="25" t="str">
        <f>VLOOKUP(J83,Key!$E$2:$F$9,2,FALSE)</f>
        <v>Work</v>
      </c>
      <c r="L83" s="42" t="s">
        <v>172</v>
      </c>
      <c r="M83" s="43" t="s">
        <v>172</v>
      </c>
      <c r="N83" s="50" t="s">
        <v>179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2</v>
      </c>
      <c r="U83" s="58">
        <v>1</v>
      </c>
      <c r="V83" s="58"/>
      <c r="W83" s="49"/>
      <c r="X83" s="49"/>
      <c r="Y83" s="50"/>
      <c r="Z83" s="59"/>
      <c r="AA83" s="25">
        <f>VLOOKUP(F83,Zones!$A$2:$F$15907,6,FALSE)</f>
        <v>1443</v>
      </c>
      <c r="AB83" s="25">
        <f>VLOOKUP(L83,Zones!$A$2:$F$15907,6,FALSE)</f>
        <v>335</v>
      </c>
    </row>
    <row r="84" spans="2:28" s="19" customFormat="1">
      <c r="B84" s="40">
        <v>0.72083333333333333</v>
      </c>
      <c r="C84" s="40"/>
      <c r="D84" s="41">
        <v>6</v>
      </c>
      <c r="E84" s="41">
        <v>50</v>
      </c>
      <c r="F84" s="42" t="s">
        <v>170</v>
      </c>
      <c r="G84" s="42" t="s">
        <v>171</v>
      </c>
      <c r="H84" s="42" t="s">
        <v>179</v>
      </c>
      <c r="I84" s="42"/>
      <c r="J84" s="42">
        <v>2</v>
      </c>
      <c r="K84" s="25" t="str">
        <f>VLOOKUP(J84,Key!$E$2:$F$9,2,FALSE)</f>
        <v>Work</v>
      </c>
      <c r="L84" s="42" t="s">
        <v>168</v>
      </c>
      <c r="M84" s="43" t="s">
        <v>171</v>
      </c>
      <c r="N84" s="50" t="s">
        <v>179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0.5</v>
      </c>
      <c r="U84" s="58">
        <v>1</v>
      </c>
      <c r="V84" s="58"/>
      <c r="W84" s="49"/>
      <c r="X84" s="49"/>
      <c r="Y84" s="50"/>
      <c r="Z84" s="59"/>
      <c r="AA84" s="25">
        <f>VLOOKUP(F84,Zones!$A$2:$F$15907,6,FALSE)</f>
        <v>1443</v>
      </c>
      <c r="AB84" s="25">
        <f>VLOOKUP(L84,Zones!$A$2:$F$15907,6,FALSE)</f>
        <v>75</v>
      </c>
    </row>
    <row r="85" spans="2:28" s="19" customFormat="1">
      <c r="B85" s="40">
        <v>0.72291666666666676</v>
      </c>
      <c r="C85" s="40"/>
      <c r="D85" s="41">
        <v>6</v>
      </c>
      <c r="E85" s="41">
        <v>55</v>
      </c>
      <c r="F85" s="42" t="s">
        <v>167</v>
      </c>
      <c r="G85" s="42" t="s">
        <v>172</v>
      </c>
      <c r="H85" s="42" t="s">
        <v>179</v>
      </c>
      <c r="I85" s="42"/>
      <c r="J85" s="42">
        <v>2</v>
      </c>
      <c r="K85" s="25" t="str">
        <f>VLOOKUP(J85,Key!$E$2:$F$9,2,FALSE)</f>
        <v>Work</v>
      </c>
      <c r="L85" s="42" t="s">
        <v>168</v>
      </c>
      <c r="M85" s="43" t="s">
        <v>171</v>
      </c>
      <c r="N85" s="50" t="s">
        <v>179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3</v>
      </c>
      <c r="U85" s="58">
        <v>1</v>
      </c>
      <c r="V85" s="58"/>
      <c r="W85" s="49"/>
      <c r="X85" s="49"/>
      <c r="Y85" s="50"/>
      <c r="Z85" s="59"/>
      <c r="AA85" s="25">
        <f>VLOOKUP(F85,Zones!$A$2:$F$15907,6,FALSE)</f>
        <v>1443</v>
      </c>
      <c r="AB85" s="25">
        <f>VLOOKUP(L85,Zones!$A$2:$F$15907,6,FALSE)</f>
        <v>75</v>
      </c>
    </row>
    <row r="86" spans="2:28" s="19" customFormat="1">
      <c r="B86" s="40">
        <v>0.72499999999999998</v>
      </c>
      <c r="C86" s="40"/>
      <c r="D86" s="41">
        <v>7</v>
      </c>
      <c r="E86" s="41">
        <v>3</v>
      </c>
      <c r="F86" s="42" t="s">
        <v>170</v>
      </c>
      <c r="G86" s="42" t="s">
        <v>171</v>
      </c>
      <c r="H86" s="42" t="s">
        <v>179</v>
      </c>
      <c r="I86" s="42"/>
      <c r="J86" s="42">
        <v>2</v>
      </c>
      <c r="K86" s="25" t="str">
        <f>VLOOKUP(J86,Key!$E$2:$F$9,2,FALSE)</f>
        <v>Work</v>
      </c>
      <c r="L86" s="42" t="s">
        <v>172</v>
      </c>
      <c r="M86" s="43" t="s">
        <v>172</v>
      </c>
      <c r="N86" s="50" t="s">
        <v>179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2</v>
      </c>
      <c r="U86" s="58">
        <v>1</v>
      </c>
      <c r="V86" s="58">
        <v>9</v>
      </c>
      <c r="W86" s="49">
        <v>5</v>
      </c>
      <c r="X86" s="49"/>
      <c r="Y86" s="50"/>
      <c r="Z86" s="59"/>
      <c r="AA86" s="25">
        <f>VLOOKUP(F86,Zones!$A$2:$F$15907,6,FALSE)</f>
        <v>1443</v>
      </c>
      <c r="AB86" s="25">
        <f>VLOOKUP(L86,Zones!$A$2:$F$15907,6,FALSE)</f>
        <v>335</v>
      </c>
    </row>
    <row r="87" spans="2:28" s="19" customFormat="1">
      <c r="B87" s="40">
        <v>0.7284722222222223</v>
      </c>
      <c r="C87" s="40"/>
      <c r="D87" s="41">
        <v>9</v>
      </c>
      <c r="E87" s="41">
        <v>2</v>
      </c>
      <c r="F87" s="42" t="s">
        <v>173</v>
      </c>
      <c r="G87" s="42" t="s">
        <v>167</v>
      </c>
      <c r="H87" s="42" t="s">
        <v>180</v>
      </c>
      <c r="I87" s="42"/>
      <c r="J87" s="42">
        <v>2</v>
      </c>
      <c r="K87" s="25" t="str">
        <f>VLOOKUP(J87,Key!$E$2:$F$9,2,FALSE)</f>
        <v>Work</v>
      </c>
      <c r="L87" s="42" t="s">
        <v>183</v>
      </c>
      <c r="M87" s="43" t="s">
        <v>183</v>
      </c>
      <c r="N87" s="50" t="s">
        <v>179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24</v>
      </c>
      <c r="U87" s="58">
        <v>3</v>
      </c>
      <c r="V87" s="58">
        <v>7</v>
      </c>
      <c r="W87" s="49">
        <v>19</v>
      </c>
      <c r="X87" s="49"/>
      <c r="Y87" s="50"/>
      <c r="Z87" s="59"/>
      <c r="AA87" s="25">
        <f>VLOOKUP(F87,Zones!$A$2:$F$15907,6,FALSE)</f>
        <v>1443</v>
      </c>
      <c r="AB87" s="25">
        <f>VLOOKUP(L87,Zones!$A$2:$F$15907,6,FALSE)</f>
        <v>521</v>
      </c>
    </row>
    <row r="88" spans="2:28" s="19" customFormat="1">
      <c r="B88" s="40">
        <v>0.72986111111111107</v>
      </c>
      <c r="C88" s="40"/>
      <c r="D88" s="41">
        <v>1</v>
      </c>
      <c r="E88" s="41">
        <v>2</v>
      </c>
      <c r="F88" s="42" t="s">
        <v>170</v>
      </c>
      <c r="G88" s="42" t="s">
        <v>171</v>
      </c>
      <c r="H88" s="42" t="s">
        <v>179</v>
      </c>
      <c r="I88" s="42"/>
      <c r="J88" s="42">
        <v>1</v>
      </c>
      <c r="K88" s="25" t="str">
        <f>VLOOKUP(J88,Key!$E$2:$F$9,2,FALSE)</f>
        <v>Home</v>
      </c>
      <c r="L88" s="42" t="s">
        <v>172</v>
      </c>
      <c r="M88" s="43" t="s">
        <v>172</v>
      </c>
      <c r="N88" s="50" t="s">
        <v>179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49"/>
      <c r="T88" s="49">
        <v>1</v>
      </c>
      <c r="U88" s="58">
        <v>4</v>
      </c>
      <c r="V88" s="58"/>
      <c r="W88" s="49"/>
      <c r="X88" s="49"/>
      <c r="Y88" s="50"/>
      <c r="Z88" s="59"/>
      <c r="AA88" s="25">
        <f>VLOOKUP(F88,Zones!$A$2:$F$15907,6,FALSE)</f>
        <v>1443</v>
      </c>
      <c r="AB88" s="25">
        <f>VLOOKUP(L88,Zones!$A$2:$F$15907,6,FALSE)</f>
        <v>335</v>
      </c>
    </row>
    <row r="89" spans="2:28" s="19" customFormat="1">
      <c r="B89" s="40">
        <v>0.7319444444444444</v>
      </c>
      <c r="C89" s="40"/>
      <c r="D89" s="41">
        <v>1</v>
      </c>
      <c r="E89" s="41">
        <v>1</v>
      </c>
      <c r="F89" s="42" t="s">
        <v>170</v>
      </c>
      <c r="G89" s="42" t="s">
        <v>171</v>
      </c>
      <c r="H89" s="42" t="s">
        <v>179</v>
      </c>
      <c r="I89" s="42"/>
      <c r="J89" s="42">
        <v>2</v>
      </c>
      <c r="K89" s="25" t="str">
        <f>VLOOKUP(J89,Key!$E$2:$F$9,2,FALSE)</f>
        <v>Work</v>
      </c>
      <c r="L89" s="42" t="s">
        <v>172</v>
      </c>
      <c r="M89" s="43" t="s">
        <v>172</v>
      </c>
      <c r="N89" s="50" t="s">
        <v>179</v>
      </c>
      <c r="O89" s="43"/>
      <c r="P89" s="43">
        <v>3</v>
      </c>
      <c r="Q89" s="25" t="str">
        <f>VLOOKUP(P89,Key!$E$2:$F$9,2,FALSE)</f>
        <v>Study</v>
      </c>
      <c r="R89" s="25" t="str">
        <f t="shared" si="1"/>
        <v>Work-Study</v>
      </c>
      <c r="S89" s="49"/>
      <c r="T89" s="49">
        <v>2</v>
      </c>
      <c r="U89" s="58">
        <v>3</v>
      </c>
      <c r="V89" s="58"/>
      <c r="W89" s="49"/>
      <c r="X89" s="49"/>
      <c r="Y89" s="50"/>
      <c r="Z89" s="59"/>
      <c r="AA89" s="25">
        <f>VLOOKUP(F89,Zones!$A$2:$F$15907,6,FALSE)</f>
        <v>1443</v>
      </c>
      <c r="AB89" s="25">
        <f>VLOOKUP(L89,Zones!$A$2:$F$15907,6,FALSE)</f>
        <v>335</v>
      </c>
    </row>
    <row r="90" spans="2:28" s="19" customFormat="1">
      <c r="B90" s="40">
        <v>0.73472222222222217</v>
      </c>
      <c r="C90" s="40"/>
      <c r="D90" s="41">
        <v>8</v>
      </c>
      <c r="E90" s="41">
        <v>3</v>
      </c>
      <c r="F90" s="42" t="s">
        <v>170</v>
      </c>
      <c r="G90" s="42" t="s">
        <v>171</v>
      </c>
      <c r="H90" s="42" t="s">
        <v>179</v>
      </c>
      <c r="I90" s="42"/>
      <c r="J90" s="42">
        <v>2</v>
      </c>
      <c r="K90" s="25" t="str">
        <f>VLOOKUP(J90,Key!$E$2:$F$9,2,FALSE)</f>
        <v>Work</v>
      </c>
      <c r="L90" s="42" t="s">
        <v>183</v>
      </c>
      <c r="M90" s="43" t="s">
        <v>183</v>
      </c>
      <c r="N90" s="50" t="s">
        <v>179</v>
      </c>
      <c r="O90" s="43"/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9"/>
      <c r="T90" s="49">
        <v>24</v>
      </c>
      <c r="U90" s="58">
        <v>3</v>
      </c>
      <c r="V90" s="58">
        <v>9</v>
      </c>
      <c r="W90" s="49">
        <v>12</v>
      </c>
      <c r="X90" s="49"/>
      <c r="Y90" s="50"/>
      <c r="Z90" s="59"/>
      <c r="AA90" s="25">
        <f>VLOOKUP(F90,Zones!$A$2:$F$15907,6,FALSE)</f>
        <v>1443</v>
      </c>
      <c r="AB90" s="25">
        <f>VLOOKUP(L90,Zones!$A$2:$F$15907,6,FALSE)</f>
        <v>521</v>
      </c>
    </row>
    <row r="91" spans="2:28" s="19" customFormat="1">
      <c r="B91" s="40">
        <v>0.7368055555555556</v>
      </c>
      <c r="C91" s="40"/>
      <c r="D91" s="41">
        <v>6</v>
      </c>
      <c r="E91" s="41">
        <v>1</v>
      </c>
      <c r="F91" s="42" t="s">
        <v>170</v>
      </c>
      <c r="G91" s="42" t="s">
        <v>171</v>
      </c>
      <c r="H91" s="42" t="s">
        <v>179</v>
      </c>
      <c r="I91" s="42"/>
      <c r="J91" s="42">
        <v>2</v>
      </c>
      <c r="K91" s="25" t="str">
        <f>VLOOKUP(J91,Key!$E$2:$F$9,2,FALSE)</f>
        <v>Work</v>
      </c>
      <c r="L91" s="42" t="s">
        <v>168</v>
      </c>
      <c r="M91" s="43" t="s">
        <v>171</v>
      </c>
      <c r="N91" s="50" t="s">
        <v>179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0.5</v>
      </c>
      <c r="U91" s="58">
        <v>1</v>
      </c>
      <c r="V91" s="58"/>
      <c r="W91" s="49"/>
      <c r="X91" s="49"/>
      <c r="Y91" s="50"/>
      <c r="Z91" s="59"/>
      <c r="AA91" s="25">
        <f>VLOOKUP(F91,Zones!$A$2:$F$15907,6,FALSE)</f>
        <v>1443</v>
      </c>
      <c r="AB91" s="25">
        <f>VLOOKUP(L91,Zones!$A$2:$F$15907,6,FALSE)</f>
        <v>75</v>
      </c>
    </row>
    <row r="92" spans="2:28" s="19" customFormat="1">
      <c r="B92" s="40">
        <v>0.73888888888888893</v>
      </c>
      <c r="C92" s="40"/>
      <c r="D92" s="41">
        <v>1</v>
      </c>
      <c r="E92" s="41">
        <v>2</v>
      </c>
      <c r="F92" s="42" t="s">
        <v>170</v>
      </c>
      <c r="G92" s="42" t="s">
        <v>171</v>
      </c>
      <c r="H92" s="42" t="s">
        <v>179</v>
      </c>
      <c r="I92" s="42"/>
      <c r="J92" s="42">
        <v>1</v>
      </c>
      <c r="K92" s="25" t="str">
        <f>VLOOKUP(J92,Key!$E$2:$F$9,2,FALSE)</f>
        <v>Home</v>
      </c>
      <c r="L92" s="42" t="s">
        <v>172</v>
      </c>
      <c r="M92" s="43" t="s">
        <v>172</v>
      </c>
      <c r="N92" s="50" t="s">
        <v>179</v>
      </c>
      <c r="O92" s="43"/>
      <c r="P92" s="43">
        <v>7</v>
      </c>
      <c r="Q92" s="25" t="str">
        <f>VLOOKUP(P92,Key!$E$2:$F$9,2,FALSE)</f>
        <v>Hospital</v>
      </c>
      <c r="R92" s="25" t="str">
        <f t="shared" si="1"/>
        <v>Home-Hospital</v>
      </c>
      <c r="S92" s="49"/>
      <c r="T92" s="49">
        <v>2</v>
      </c>
      <c r="U92" s="58">
        <v>3</v>
      </c>
      <c r="V92" s="58"/>
      <c r="W92" s="49"/>
      <c r="X92" s="49"/>
      <c r="Y92" s="50"/>
      <c r="Z92" s="59"/>
      <c r="AA92" s="25">
        <f>VLOOKUP(F92,Zones!$A$2:$F$15907,6,FALSE)</f>
        <v>1443</v>
      </c>
      <c r="AB92" s="25">
        <f>VLOOKUP(L92,Zones!$A$2:$F$15907,6,FALSE)</f>
        <v>335</v>
      </c>
    </row>
    <row r="93" spans="2:28" s="19" customFormat="1">
      <c r="B93" s="40">
        <v>0.7402777777777777</v>
      </c>
      <c r="C93" s="40"/>
      <c r="D93" s="41">
        <v>9</v>
      </c>
      <c r="E93" s="41">
        <v>1</v>
      </c>
      <c r="F93" s="42" t="s">
        <v>170</v>
      </c>
      <c r="G93" s="42" t="s">
        <v>171</v>
      </c>
      <c r="H93" s="42" t="s">
        <v>179</v>
      </c>
      <c r="I93" s="42"/>
      <c r="J93" s="42">
        <v>2</v>
      </c>
      <c r="K93" s="25" t="str">
        <f>VLOOKUP(J93,Key!$E$2:$F$9,2,FALSE)</f>
        <v>Work</v>
      </c>
      <c r="L93" s="42" t="s">
        <v>168</v>
      </c>
      <c r="M93" s="43" t="s">
        <v>172</v>
      </c>
      <c r="N93" s="50" t="s">
        <v>179</v>
      </c>
      <c r="O93" s="43"/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49"/>
      <c r="T93" s="49">
        <v>0.7</v>
      </c>
      <c r="U93" s="58">
        <v>1</v>
      </c>
      <c r="V93" s="58"/>
      <c r="W93" s="49"/>
      <c r="X93" s="49"/>
      <c r="Y93" s="50"/>
      <c r="Z93" s="59"/>
      <c r="AA93" s="25">
        <f>VLOOKUP(F93,Zones!$A$2:$F$15907,6,FALSE)</f>
        <v>1443</v>
      </c>
      <c r="AB93" s="25">
        <f>VLOOKUP(L93,Zones!$A$2:$F$15907,6,FALSE)</f>
        <v>75</v>
      </c>
    </row>
    <row r="94" spans="2:28" s="19" customFormat="1">
      <c r="B94" s="40">
        <v>0.77361111111111114</v>
      </c>
      <c r="C94" s="40"/>
      <c r="D94" s="41">
        <v>1</v>
      </c>
      <c r="E94" s="41">
        <v>2</v>
      </c>
      <c r="F94" s="42" t="s">
        <v>170</v>
      </c>
      <c r="G94" s="42" t="s">
        <v>171</v>
      </c>
      <c r="H94" s="42" t="s">
        <v>179</v>
      </c>
      <c r="I94" s="42"/>
      <c r="J94" s="42">
        <v>2</v>
      </c>
      <c r="K94" s="25" t="str">
        <f>VLOOKUP(J94,Key!$E$2:$F$9,2,FALSE)</f>
        <v>Work</v>
      </c>
      <c r="L94" s="42" t="s">
        <v>172</v>
      </c>
      <c r="M94" s="43" t="s">
        <v>172</v>
      </c>
      <c r="N94" s="50" t="s">
        <v>179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3</v>
      </c>
      <c r="U94" s="58">
        <v>3</v>
      </c>
      <c r="V94" s="58"/>
      <c r="W94" s="49"/>
      <c r="X94" s="49"/>
      <c r="Y94" s="50"/>
      <c r="Z94" s="59"/>
      <c r="AA94" s="25">
        <f>VLOOKUP(F94,Zones!$A$2:$F$15907,6,FALSE)</f>
        <v>1443</v>
      </c>
      <c r="AB94" s="25">
        <f>VLOOKUP(L94,Zones!$A$2:$F$15907,6,FALSE)</f>
        <v>335</v>
      </c>
    </row>
    <row r="95" spans="2:28" s="19" customFormat="1">
      <c r="B95" s="40">
        <v>0.77569444444444446</v>
      </c>
      <c r="C95" s="40"/>
      <c r="D95" s="41">
        <v>8</v>
      </c>
      <c r="E95" s="41">
        <v>3</v>
      </c>
      <c r="F95" s="42" t="s">
        <v>167</v>
      </c>
      <c r="G95" s="42" t="s">
        <v>172</v>
      </c>
      <c r="H95" s="42" t="s">
        <v>179</v>
      </c>
      <c r="I95" s="42"/>
      <c r="J95" s="42">
        <v>2</v>
      </c>
      <c r="K95" s="25" t="str">
        <f>VLOOKUP(J95,Key!$E$2:$F$9,2,FALSE)</f>
        <v>Work</v>
      </c>
      <c r="L95" s="42" t="s">
        <v>183</v>
      </c>
      <c r="M95" s="43" t="s">
        <v>183</v>
      </c>
      <c r="N95" s="50" t="s">
        <v>179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49"/>
      <c r="T95" s="49">
        <v>10</v>
      </c>
      <c r="U95" s="58">
        <v>3</v>
      </c>
      <c r="V95" s="58">
        <v>5</v>
      </c>
      <c r="W95" s="49">
        <v>15</v>
      </c>
      <c r="X95" s="49"/>
      <c r="Y95" s="50"/>
      <c r="Z95" s="59"/>
      <c r="AA95" s="25">
        <f>VLOOKUP(F95,Zones!$A$2:$F$15907,6,FALSE)</f>
        <v>1443</v>
      </c>
      <c r="AB95" s="25">
        <f>VLOOKUP(L95,Zones!$A$2:$F$15907,6,FALSE)</f>
        <v>521</v>
      </c>
    </row>
    <row r="96" spans="2:28" s="19" customFormat="1">
      <c r="B96" s="40">
        <v>0.77777777777777779</v>
      </c>
      <c r="C96" s="40"/>
      <c r="D96" s="41">
        <v>9</v>
      </c>
      <c r="E96" s="41">
        <v>1</v>
      </c>
      <c r="F96" s="42" t="s">
        <v>176</v>
      </c>
      <c r="G96" s="42" t="s">
        <v>172</v>
      </c>
      <c r="H96" s="42" t="s">
        <v>179</v>
      </c>
      <c r="I96" s="42"/>
      <c r="J96" s="42">
        <v>2</v>
      </c>
      <c r="K96" s="25" t="str">
        <f>VLOOKUP(J96,Key!$E$2:$F$9,2,FALSE)</f>
        <v>Work</v>
      </c>
      <c r="L96" s="42" t="s">
        <v>176</v>
      </c>
      <c r="M96" s="43" t="s">
        <v>172</v>
      </c>
      <c r="N96" s="50" t="s">
        <v>179</v>
      </c>
      <c r="O96" s="43"/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49"/>
      <c r="T96" s="49">
        <v>0.1</v>
      </c>
      <c r="U96" s="58">
        <v>1</v>
      </c>
      <c r="V96" s="58"/>
      <c r="W96" s="49"/>
      <c r="X96" s="49"/>
      <c r="Y96" s="50"/>
      <c r="Z96" s="59"/>
      <c r="AA96" s="25">
        <f>VLOOKUP(F96,Zones!$A$2:$F$15907,6,FALSE)</f>
        <v>1443</v>
      </c>
      <c r="AB96" s="25">
        <f>VLOOKUP(L96,Zones!$A$2:$F$15907,6,FALSE)</f>
        <v>1443</v>
      </c>
    </row>
    <row r="97" spans="2:28" s="19" customFormat="1">
      <c r="B97" s="40">
        <v>0.78125</v>
      </c>
      <c r="C97" s="40"/>
      <c r="D97" s="41">
        <v>6</v>
      </c>
      <c r="E97" s="41">
        <v>1</v>
      </c>
      <c r="F97" s="42" t="s">
        <v>170</v>
      </c>
      <c r="G97" s="42" t="s">
        <v>171</v>
      </c>
      <c r="H97" s="42" t="s">
        <v>179</v>
      </c>
      <c r="I97" s="42"/>
      <c r="J97" s="42">
        <v>2</v>
      </c>
      <c r="K97" s="25" t="str">
        <f>VLOOKUP(J97,Key!$E$2:$F$9,2,FALSE)</f>
        <v>Work</v>
      </c>
      <c r="L97" s="42" t="s">
        <v>168</v>
      </c>
      <c r="M97" s="43" t="s">
        <v>171</v>
      </c>
      <c r="N97" s="50" t="s">
        <v>179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0.7</v>
      </c>
      <c r="U97" s="58">
        <v>1</v>
      </c>
      <c r="V97" s="58"/>
      <c r="W97" s="49"/>
      <c r="X97" s="49"/>
      <c r="Y97" s="50"/>
      <c r="Z97" s="59"/>
      <c r="AA97" s="25">
        <f>VLOOKUP(F97,Zones!$A$2:$F$15907,6,FALSE)</f>
        <v>1443</v>
      </c>
      <c r="AB97" s="25">
        <f>VLOOKUP(L97,Zones!$A$2:$F$15907,6,FALSE)</f>
        <v>75</v>
      </c>
    </row>
    <row r="98" spans="2:28" s="19" customFormat="1">
      <c r="B98" s="40">
        <v>0.78680555555555554</v>
      </c>
      <c r="C98" s="40"/>
      <c r="D98" s="41">
        <v>7</v>
      </c>
      <c r="E98" s="41">
        <v>4</v>
      </c>
      <c r="F98" s="42" t="s">
        <v>170</v>
      </c>
      <c r="G98" s="42" t="s">
        <v>171</v>
      </c>
      <c r="H98" s="42" t="s">
        <v>179</v>
      </c>
      <c r="I98" s="42"/>
      <c r="J98" s="42">
        <v>2</v>
      </c>
      <c r="K98" s="25" t="str">
        <f>VLOOKUP(J98,Key!$E$2:$F$9,2,FALSE)</f>
        <v>Work</v>
      </c>
      <c r="L98" s="42" t="s">
        <v>172</v>
      </c>
      <c r="M98" s="43" t="s">
        <v>172</v>
      </c>
      <c r="N98" s="50" t="s">
        <v>179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>
        <v>1</v>
      </c>
      <c r="U98" s="58">
        <v>1</v>
      </c>
      <c r="V98" s="58">
        <v>9</v>
      </c>
      <c r="W98" s="49">
        <v>2</v>
      </c>
      <c r="X98" s="49"/>
      <c r="Y98" s="50"/>
      <c r="Z98" s="59"/>
      <c r="AA98" s="25">
        <f>VLOOKUP(F98,Zones!$A$2:$F$15907,6,FALSE)</f>
        <v>1443</v>
      </c>
      <c r="AB98" s="25">
        <f>VLOOKUP(L98,Zones!$A$2:$F$15907,6,FALSE)</f>
        <v>335</v>
      </c>
    </row>
    <row r="99" spans="2:28">
      <c r="B99" s="40">
        <v>0.30555555555555552</v>
      </c>
      <c r="C99" s="40"/>
      <c r="D99" s="41">
        <v>8</v>
      </c>
      <c r="E99" s="42">
        <v>1</v>
      </c>
      <c r="F99" s="42" t="s">
        <v>183</v>
      </c>
      <c r="G99" s="43" t="s">
        <v>183</v>
      </c>
      <c r="H99" s="42" t="s">
        <v>179</v>
      </c>
      <c r="I99" s="43"/>
      <c r="J99" s="43">
        <v>2</v>
      </c>
      <c r="K99" s="25" t="str">
        <f>VLOOKUP(J99,Key!$E$2:$F$9,2,FALSE)</f>
        <v>Work</v>
      </c>
      <c r="L99" s="42" t="s">
        <v>173</v>
      </c>
      <c r="M99" s="43" t="s">
        <v>167</v>
      </c>
      <c r="N99" s="42" t="s">
        <v>212</v>
      </c>
      <c r="O99" s="43"/>
      <c r="P99" s="43">
        <v>2</v>
      </c>
      <c r="Q99" s="25" t="str">
        <f>VLOOKUP(P99,Key!$E$2:$F$9,2,FALSE)</f>
        <v>Work</v>
      </c>
      <c r="R99" s="25" t="str">
        <f>K99&amp;"-"&amp;Q99</f>
        <v>Work-Work</v>
      </c>
      <c r="S99" s="49"/>
      <c r="T99" s="49">
        <v>24</v>
      </c>
      <c r="U99" s="43">
        <v>4</v>
      </c>
      <c r="V99" s="43">
        <v>5</v>
      </c>
      <c r="W99" s="49"/>
      <c r="X99" s="49"/>
      <c r="Y99" s="50"/>
      <c r="Z99" s="62"/>
      <c r="AA99" s="25">
        <f>VLOOKUP(F99,Zones!$A$2:$F$15907,6,FALSE)</f>
        <v>521</v>
      </c>
      <c r="AB99" s="25">
        <f>VLOOKUP(L99,Zones!$A$2:$F$15907,6,FALSE)</f>
        <v>1443</v>
      </c>
    </row>
    <row r="100" spans="2:28">
      <c r="B100" s="40">
        <v>0.31736111111111115</v>
      </c>
      <c r="C100" s="40"/>
      <c r="D100" s="41">
        <v>9</v>
      </c>
      <c r="E100" s="42">
        <v>1</v>
      </c>
      <c r="F100" s="42" t="s">
        <v>185</v>
      </c>
      <c r="G100" s="43" t="s">
        <v>183</v>
      </c>
      <c r="H100" s="42" t="s">
        <v>179</v>
      </c>
      <c r="I100" s="43"/>
      <c r="J100" s="43">
        <v>2</v>
      </c>
      <c r="K100" s="25" t="str">
        <f>VLOOKUP(J100,Key!$E$2:$F$9,2,FALSE)</f>
        <v>Work</v>
      </c>
      <c r="L100" s="42" t="s">
        <v>170</v>
      </c>
      <c r="M100" s="43" t="s">
        <v>171</v>
      </c>
      <c r="N100" s="42" t="s">
        <v>179</v>
      </c>
      <c r="O100" s="43"/>
      <c r="P100" s="43">
        <v>2</v>
      </c>
      <c r="Q100" s="25" t="str">
        <f>VLOOKUP(P100,Key!$E$2:$F$9,2,FALSE)</f>
        <v>Work</v>
      </c>
      <c r="R100" s="25" t="str">
        <f t="shared" ref="R100:R148" si="2">K100&amp;"-"&amp;Q100</f>
        <v>Work-Work</v>
      </c>
      <c r="S100" s="49"/>
      <c r="T100" s="49">
        <v>12</v>
      </c>
      <c r="U100" s="43">
        <v>4</v>
      </c>
      <c r="V100" s="43">
        <v>9</v>
      </c>
      <c r="W100" s="49"/>
      <c r="X100" s="49"/>
      <c r="Y100" s="50"/>
      <c r="Z100" s="62"/>
      <c r="AA100" s="25">
        <f>VLOOKUP(F100,Zones!$A$2:$F$15907,6,FALSE)</f>
        <v>572</v>
      </c>
      <c r="AB100" s="25">
        <f>VLOOKUP(L100,Zones!$A$2:$F$15907,6,FALSE)</f>
        <v>1443</v>
      </c>
    </row>
    <row r="101" spans="2:28">
      <c r="B101" s="40">
        <v>0.32013888888888892</v>
      </c>
      <c r="C101" s="40"/>
      <c r="D101" s="41">
        <v>1</v>
      </c>
      <c r="E101" s="42">
        <v>4</v>
      </c>
      <c r="F101" s="42" t="s">
        <v>172</v>
      </c>
      <c r="G101" s="43" t="s">
        <v>172</v>
      </c>
      <c r="H101" s="42" t="s">
        <v>179</v>
      </c>
      <c r="I101" s="43"/>
      <c r="J101" s="43">
        <v>2</v>
      </c>
      <c r="K101" s="25" t="str">
        <f>VLOOKUP(J101,Key!$E$2:$F$9,2,FALSE)</f>
        <v>Work</v>
      </c>
      <c r="L101" s="42" t="s">
        <v>170</v>
      </c>
      <c r="M101" s="43" t="s">
        <v>171</v>
      </c>
      <c r="N101" s="42" t="s">
        <v>179</v>
      </c>
      <c r="O101" s="43"/>
      <c r="P101" s="43">
        <v>2</v>
      </c>
      <c r="Q101" s="25" t="str">
        <f>VLOOKUP(P101,Key!$E$2:$F$9,2,FALSE)</f>
        <v>Work</v>
      </c>
      <c r="R101" s="25" t="str">
        <f t="shared" si="2"/>
        <v>Work-Work</v>
      </c>
      <c r="S101" s="49"/>
      <c r="T101" s="49">
        <v>2</v>
      </c>
      <c r="U101" s="43">
        <v>2</v>
      </c>
      <c r="V101" s="43"/>
      <c r="W101" s="49"/>
      <c r="X101" s="49"/>
      <c r="Y101" s="50"/>
      <c r="Z101" s="62"/>
      <c r="AA101" s="25">
        <f>VLOOKUP(F101,Zones!$A$2:$F$15907,6,FALSE)</f>
        <v>335</v>
      </c>
      <c r="AB101" s="25">
        <f>VLOOKUP(L101,Zones!$A$2:$F$15907,6,FALSE)</f>
        <v>1443</v>
      </c>
    </row>
    <row r="102" spans="2:28">
      <c r="B102" s="40">
        <v>0.3298611111111111</v>
      </c>
      <c r="C102" s="40"/>
      <c r="D102" s="41">
        <v>2</v>
      </c>
      <c r="E102" s="42">
        <v>1</v>
      </c>
      <c r="F102" s="42" t="s">
        <v>172</v>
      </c>
      <c r="G102" s="43" t="s">
        <v>172</v>
      </c>
      <c r="H102" s="42" t="s">
        <v>179</v>
      </c>
      <c r="I102" s="43"/>
      <c r="J102" s="43">
        <v>2</v>
      </c>
      <c r="K102" s="25" t="str">
        <f>VLOOKUP(J102,Key!$E$2:$F$9,2,FALSE)</f>
        <v>Work</v>
      </c>
      <c r="L102" s="42" t="s">
        <v>170</v>
      </c>
      <c r="M102" s="43" t="s">
        <v>171</v>
      </c>
      <c r="N102" s="42" t="s">
        <v>179</v>
      </c>
      <c r="O102" s="43"/>
      <c r="P102" s="43">
        <v>2</v>
      </c>
      <c r="Q102" s="25" t="str">
        <f>VLOOKUP(P102,Key!$E$2:$F$9,2,FALSE)</f>
        <v>Work</v>
      </c>
      <c r="R102" s="25" t="str">
        <f t="shared" si="2"/>
        <v>Work-Work</v>
      </c>
      <c r="S102" s="49"/>
      <c r="T102" s="49">
        <v>2</v>
      </c>
      <c r="U102" s="43">
        <v>2</v>
      </c>
      <c r="V102" s="43">
        <v>9</v>
      </c>
      <c r="W102" s="49"/>
      <c r="X102" s="49"/>
      <c r="Y102" s="50"/>
      <c r="Z102" s="62"/>
      <c r="AA102" s="25">
        <f>VLOOKUP(F102,Zones!$A$2:$F$15907,6,FALSE)</f>
        <v>335</v>
      </c>
      <c r="AB102" s="25">
        <f>VLOOKUP(L102,Zones!$A$2:$F$15907,6,FALSE)</f>
        <v>1443</v>
      </c>
    </row>
    <row r="103" spans="2:28">
      <c r="B103" s="40">
        <v>0.33819444444444446</v>
      </c>
      <c r="C103" s="40"/>
      <c r="D103" s="41">
        <v>8</v>
      </c>
      <c r="E103" s="42">
        <v>1</v>
      </c>
      <c r="F103" s="42" t="s">
        <v>183</v>
      </c>
      <c r="G103" s="43" t="s">
        <v>183</v>
      </c>
      <c r="H103" s="42" t="s">
        <v>179</v>
      </c>
      <c r="I103" s="43"/>
      <c r="J103" s="43">
        <v>4</v>
      </c>
      <c r="K103" s="25" t="str">
        <f>VLOOKUP(J103,Key!$E$2:$F$9,2,FALSE)</f>
        <v>Commercial</v>
      </c>
      <c r="L103" s="42" t="s">
        <v>173</v>
      </c>
      <c r="M103" s="43" t="s">
        <v>167</v>
      </c>
      <c r="N103" s="42" t="s">
        <v>212</v>
      </c>
      <c r="O103" s="43"/>
      <c r="P103" s="43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49"/>
      <c r="T103" s="49">
        <v>72</v>
      </c>
      <c r="U103" s="43">
        <v>5</v>
      </c>
      <c r="V103" s="43">
        <v>9</v>
      </c>
      <c r="W103" s="49"/>
      <c r="X103" s="49"/>
      <c r="Y103" s="50"/>
      <c r="Z103" s="62"/>
      <c r="AA103" s="25">
        <f>VLOOKUP(F103,Zones!$A$2:$F$15907,6,FALSE)</f>
        <v>521</v>
      </c>
      <c r="AB103" s="25">
        <f>VLOOKUP(L103,Zones!$A$2:$F$15907,6,FALSE)</f>
        <v>1443</v>
      </c>
    </row>
    <row r="104" spans="2:28">
      <c r="B104" s="40">
        <v>0.35416666666666669</v>
      </c>
      <c r="C104" s="40"/>
      <c r="D104" s="41">
        <v>2</v>
      </c>
      <c r="E104" s="42">
        <v>4</v>
      </c>
      <c r="F104" s="42" t="s">
        <v>172</v>
      </c>
      <c r="G104" s="43" t="s">
        <v>172</v>
      </c>
      <c r="H104" s="42" t="s">
        <v>179</v>
      </c>
      <c r="I104" s="43"/>
      <c r="J104" s="43">
        <v>2</v>
      </c>
      <c r="K104" s="25" t="str">
        <f>VLOOKUP(J104,Key!$E$2:$F$9,2,FALSE)</f>
        <v>Work</v>
      </c>
      <c r="L104" s="42" t="s">
        <v>170</v>
      </c>
      <c r="M104" s="43" t="s">
        <v>171</v>
      </c>
      <c r="N104" s="42" t="s">
        <v>179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9"/>
      <c r="T104" s="49">
        <v>2</v>
      </c>
      <c r="U104" s="43">
        <v>1</v>
      </c>
      <c r="V104" s="43"/>
      <c r="W104" s="49"/>
      <c r="X104" s="49"/>
      <c r="Y104" s="50"/>
      <c r="Z104" s="62"/>
      <c r="AA104" s="25">
        <f>VLOOKUP(F104,Zones!$A$2:$F$15907,6,FALSE)</f>
        <v>335</v>
      </c>
      <c r="AB104" s="25">
        <f>VLOOKUP(L104,Zones!$A$2:$F$15907,6,FALSE)</f>
        <v>1443</v>
      </c>
    </row>
    <row r="105" spans="2:28">
      <c r="B105" s="40">
        <v>0.36805555555555558</v>
      </c>
      <c r="C105" s="40"/>
      <c r="D105" s="41">
        <v>9</v>
      </c>
      <c r="E105" s="42">
        <v>2</v>
      </c>
      <c r="F105" s="42" t="s">
        <v>184</v>
      </c>
      <c r="G105" s="43" t="s">
        <v>184</v>
      </c>
      <c r="H105" s="42" t="s">
        <v>200</v>
      </c>
      <c r="I105" s="43"/>
      <c r="J105" s="43">
        <v>2</v>
      </c>
      <c r="K105" s="25" t="str">
        <f>VLOOKUP(J105,Key!$E$2:$F$9,2,FALSE)</f>
        <v>Work</v>
      </c>
      <c r="L105" s="42" t="s">
        <v>173</v>
      </c>
      <c r="M105" s="43" t="s">
        <v>167</v>
      </c>
      <c r="N105" s="42" t="s">
        <v>212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9"/>
      <c r="T105" s="49">
        <v>120</v>
      </c>
      <c r="U105" s="43">
        <v>4</v>
      </c>
      <c r="V105" s="43">
        <v>7</v>
      </c>
      <c r="W105" s="49"/>
      <c r="X105" s="49"/>
      <c r="Y105" s="50"/>
      <c r="Z105" s="62"/>
      <c r="AA105" s="25">
        <f>VLOOKUP(F105,Zones!$A$2:$F$15907,6,FALSE)</f>
        <v>1434</v>
      </c>
      <c r="AB105" s="25">
        <f>VLOOKUP(L105,Zones!$A$2:$F$15907,6,FALSE)</f>
        <v>1443</v>
      </c>
    </row>
    <row r="106" spans="2:28">
      <c r="B106" s="40">
        <v>0.37152777777777773</v>
      </c>
      <c r="C106" s="40"/>
      <c r="D106" s="41">
        <v>9</v>
      </c>
      <c r="E106" s="42">
        <v>1</v>
      </c>
      <c r="F106" s="42" t="s">
        <v>189</v>
      </c>
      <c r="G106" s="43" t="s">
        <v>190</v>
      </c>
      <c r="H106" s="42" t="s">
        <v>200</v>
      </c>
      <c r="I106" s="43"/>
      <c r="J106" s="43">
        <v>2</v>
      </c>
      <c r="K106" s="25" t="str">
        <f>VLOOKUP(J106,Key!$E$2:$F$9,2,FALSE)</f>
        <v>Work</v>
      </c>
      <c r="L106" s="42" t="s">
        <v>173</v>
      </c>
      <c r="M106" s="43" t="s">
        <v>167</v>
      </c>
      <c r="N106" s="42" t="s">
        <v>212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9"/>
      <c r="T106" s="49">
        <v>72</v>
      </c>
      <c r="U106" s="43">
        <v>4</v>
      </c>
      <c r="V106" s="43">
        <v>6</v>
      </c>
      <c r="W106" s="49"/>
      <c r="X106" s="49"/>
      <c r="Y106" s="50"/>
      <c r="Z106" s="62"/>
      <c r="AA106" s="25">
        <f>VLOOKUP(F106,Zones!$A$2:$F$15907,6,FALSE)</f>
        <v>1434</v>
      </c>
      <c r="AB106" s="25">
        <f>VLOOKUP(L106,Zones!$A$2:$F$15907,6,FALSE)</f>
        <v>1443</v>
      </c>
    </row>
    <row r="107" spans="2:28">
      <c r="B107" s="40">
        <v>0.37222222222222223</v>
      </c>
      <c r="C107" s="40"/>
      <c r="D107" s="41">
        <v>8</v>
      </c>
      <c r="E107" s="42">
        <v>3</v>
      </c>
      <c r="F107" s="42" t="s">
        <v>184</v>
      </c>
      <c r="G107" s="43" t="s">
        <v>184</v>
      </c>
      <c r="H107" s="42" t="s">
        <v>200</v>
      </c>
      <c r="I107" s="43"/>
      <c r="J107" s="43">
        <v>2</v>
      </c>
      <c r="K107" s="25" t="str">
        <f>VLOOKUP(J107,Key!$E$2:$F$9,2,FALSE)</f>
        <v>Work</v>
      </c>
      <c r="L107" s="42" t="s">
        <v>173</v>
      </c>
      <c r="M107" s="43" t="s">
        <v>167</v>
      </c>
      <c r="N107" s="42" t="s">
        <v>212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49"/>
      <c r="T107" s="49">
        <v>168</v>
      </c>
      <c r="U107" s="43">
        <v>4</v>
      </c>
      <c r="V107" s="43"/>
      <c r="W107" s="49"/>
      <c r="X107" s="49"/>
      <c r="Y107" s="50"/>
      <c r="Z107" s="62"/>
      <c r="AA107" s="25">
        <f>VLOOKUP(F107,Zones!$A$2:$F$15907,6,FALSE)</f>
        <v>1434</v>
      </c>
      <c r="AB107" s="25">
        <f>VLOOKUP(L107,Zones!$A$2:$F$15907,6,FALSE)</f>
        <v>1443</v>
      </c>
    </row>
    <row r="108" spans="2:28">
      <c r="B108" s="40">
        <v>0.38125000000000003</v>
      </c>
      <c r="C108" s="40"/>
      <c r="D108" s="41">
        <v>9</v>
      </c>
      <c r="E108" s="42">
        <v>1</v>
      </c>
      <c r="F108" s="42" t="s">
        <v>183</v>
      </c>
      <c r="G108" s="43" t="s">
        <v>183</v>
      </c>
      <c r="H108" s="42" t="s">
        <v>179</v>
      </c>
      <c r="I108" s="43"/>
      <c r="J108" s="43">
        <v>1</v>
      </c>
      <c r="K108" s="25" t="str">
        <f>VLOOKUP(J108,Key!$E$2:$F$9,2,FALSE)</f>
        <v>Home</v>
      </c>
      <c r="L108" s="42" t="s">
        <v>170</v>
      </c>
      <c r="M108" s="43" t="s">
        <v>171</v>
      </c>
      <c r="N108" s="42" t="s">
        <v>179</v>
      </c>
      <c r="O108" s="43"/>
      <c r="P108" s="43">
        <v>6</v>
      </c>
      <c r="Q108" s="25" t="str">
        <f>VLOOKUP(P108,Key!$E$2:$F$9,2,FALSE)</f>
        <v>Leisure/Social</v>
      </c>
      <c r="R108" s="25" t="str">
        <f t="shared" si="2"/>
        <v>Home-Leisure/Social</v>
      </c>
      <c r="S108" s="49"/>
      <c r="T108" s="49">
        <v>7</v>
      </c>
      <c r="U108" s="43">
        <v>4</v>
      </c>
      <c r="V108" s="43"/>
      <c r="W108" s="49"/>
      <c r="X108" s="49"/>
      <c r="Y108" s="50"/>
      <c r="Z108" s="62"/>
      <c r="AA108" s="25">
        <f>VLOOKUP(F108,Zones!$A$2:$F$15907,6,FALSE)</f>
        <v>521</v>
      </c>
      <c r="AB108" s="25">
        <f>VLOOKUP(L108,Zones!$A$2:$F$15907,6,FALSE)</f>
        <v>1443</v>
      </c>
    </row>
    <row r="109" spans="2:28">
      <c r="B109" s="40">
        <v>0.3833333333333333</v>
      </c>
      <c r="C109" s="40"/>
      <c r="D109" s="41">
        <v>9</v>
      </c>
      <c r="E109" s="42">
        <v>1</v>
      </c>
      <c r="F109" s="42" t="s">
        <v>186</v>
      </c>
      <c r="G109" s="43" t="s">
        <v>186</v>
      </c>
      <c r="H109" s="42" t="s">
        <v>179</v>
      </c>
      <c r="I109" s="43"/>
      <c r="J109" s="43">
        <v>2</v>
      </c>
      <c r="K109" s="25" t="str">
        <f>VLOOKUP(J109,Key!$E$2:$F$9,2,FALSE)</f>
        <v>Work</v>
      </c>
      <c r="L109" s="42" t="s">
        <v>173</v>
      </c>
      <c r="M109" s="43" t="s">
        <v>167</v>
      </c>
      <c r="N109" s="42" t="s">
        <v>212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49"/>
      <c r="T109" s="49">
        <v>36</v>
      </c>
      <c r="U109" s="43">
        <v>4</v>
      </c>
      <c r="V109" s="43">
        <v>4</v>
      </c>
      <c r="W109" s="49"/>
      <c r="X109" s="49"/>
      <c r="Y109" s="50"/>
      <c r="Z109" s="62"/>
      <c r="AA109" s="25">
        <f>VLOOKUP(F109,Zones!$A$2:$F$15907,6,FALSE)</f>
        <v>403</v>
      </c>
      <c r="AB109" s="25">
        <f>VLOOKUP(L109,Zones!$A$2:$F$15907,6,FALSE)</f>
        <v>1443</v>
      </c>
    </row>
    <row r="110" spans="2:28">
      <c r="B110" s="40">
        <v>0.38541666666666669</v>
      </c>
      <c r="C110" s="40"/>
      <c r="D110" s="41">
        <v>1</v>
      </c>
      <c r="E110" s="42">
        <v>1</v>
      </c>
      <c r="F110" s="42" t="s">
        <v>172</v>
      </c>
      <c r="G110" s="43" t="s">
        <v>172</v>
      </c>
      <c r="H110" s="42" t="s">
        <v>179</v>
      </c>
      <c r="I110" s="43"/>
      <c r="J110" s="43">
        <v>2</v>
      </c>
      <c r="K110" s="25" t="str">
        <f>VLOOKUP(J110,Key!$E$2:$F$9,2,FALSE)</f>
        <v>Work</v>
      </c>
      <c r="L110" s="42" t="s">
        <v>170</v>
      </c>
      <c r="M110" s="43" t="s">
        <v>171</v>
      </c>
      <c r="N110" s="42" t="s">
        <v>179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9"/>
      <c r="T110" s="49">
        <v>1.5</v>
      </c>
      <c r="U110" s="43">
        <v>1</v>
      </c>
      <c r="V110" s="43"/>
      <c r="W110" s="49"/>
      <c r="X110" s="49"/>
      <c r="Y110" s="50"/>
      <c r="Z110" s="62"/>
      <c r="AA110" s="25">
        <f>VLOOKUP(F110,Zones!$A$2:$F$15907,6,FALSE)</f>
        <v>335</v>
      </c>
      <c r="AB110" s="25">
        <f>VLOOKUP(L110,Zones!$A$2:$F$15907,6,FALSE)</f>
        <v>1443</v>
      </c>
    </row>
    <row r="111" spans="2:28">
      <c r="B111" s="40">
        <v>0.3888888888888889</v>
      </c>
      <c r="C111" s="40"/>
      <c r="D111" s="41">
        <v>8</v>
      </c>
      <c r="E111" s="42">
        <v>1</v>
      </c>
      <c r="F111" s="42" t="s">
        <v>183</v>
      </c>
      <c r="G111" s="43" t="s">
        <v>183</v>
      </c>
      <c r="H111" s="42" t="s">
        <v>179</v>
      </c>
      <c r="I111" s="43"/>
      <c r="J111" s="43">
        <v>2</v>
      </c>
      <c r="K111" s="25" t="str">
        <f>VLOOKUP(J111,Key!$E$2:$F$9,2,FALSE)</f>
        <v>Work</v>
      </c>
      <c r="L111" s="42" t="s">
        <v>173</v>
      </c>
      <c r="M111" s="43" t="s">
        <v>167</v>
      </c>
      <c r="N111" s="42" t="s">
        <v>212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9"/>
      <c r="T111" s="49">
        <v>24</v>
      </c>
      <c r="U111" s="43">
        <v>4</v>
      </c>
      <c r="V111" s="43">
        <v>5</v>
      </c>
      <c r="W111" s="49"/>
      <c r="X111" s="49"/>
      <c r="Y111" s="50"/>
      <c r="Z111" s="62"/>
      <c r="AA111" s="25">
        <f>VLOOKUP(F111,Zones!$A$2:$F$15907,6,FALSE)</f>
        <v>521</v>
      </c>
      <c r="AB111" s="25">
        <f>VLOOKUP(L111,Zones!$A$2:$F$15907,6,FALSE)</f>
        <v>1443</v>
      </c>
    </row>
    <row r="112" spans="2:28">
      <c r="B112" s="40">
        <v>0.40277777777777773</v>
      </c>
      <c r="C112" s="40"/>
      <c r="D112" s="41">
        <v>2</v>
      </c>
      <c r="E112" s="42">
        <v>1</v>
      </c>
      <c r="F112" s="42" t="s">
        <v>172</v>
      </c>
      <c r="G112" s="43" t="s">
        <v>172</v>
      </c>
      <c r="H112" s="42" t="s">
        <v>179</v>
      </c>
      <c r="I112" s="43"/>
      <c r="J112" s="43">
        <v>8</v>
      </c>
      <c r="K112" s="25" t="str">
        <f>VLOOKUP(J112,Key!$E$2:$F$9,2,FALSE)</f>
        <v>Others</v>
      </c>
      <c r="L112" s="42" t="s">
        <v>170</v>
      </c>
      <c r="M112" s="43" t="s">
        <v>171</v>
      </c>
      <c r="N112" s="42" t="s">
        <v>179</v>
      </c>
      <c r="O112" s="43"/>
      <c r="P112" s="43">
        <v>8</v>
      </c>
      <c r="Q112" s="25" t="str">
        <f>VLOOKUP(P112,Key!$E$2:$F$9,2,FALSE)</f>
        <v>Others</v>
      </c>
      <c r="R112" s="25" t="str">
        <f t="shared" si="2"/>
        <v>Others-Others</v>
      </c>
      <c r="S112" s="49"/>
      <c r="T112" s="49">
        <v>1.5</v>
      </c>
      <c r="U112" s="43">
        <v>4</v>
      </c>
      <c r="V112" s="43"/>
      <c r="W112" s="49"/>
      <c r="X112" s="49"/>
      <c r="Y112" s="50"/>
      <c r="Z112" s="62"/>
      <c r="AA112" s="25">
        <f>VLOOKUP(F112,Zones!$A$2:$F$15907,6,FALSE)</f>
        <v>335</v>
      </c>
      <c r="AB112" s="25">
        <f>VLOOKUP(L112,Zones!$A$2:$F$15907,6,FALSE)</f>
        <v>1443</v>
      </c>
    </row>
    <row r="113" spans="2:28">
      <c r="B113" s="40">
        <v>0.40625</v>
      </c>
      <c r="C113" s="40"/>
      <c r="D113" s="41">
        <v>9</v>
      </c>
      <c r="E113" s="42">
        <v>2</v>
      </c>
      <c r="F113" s="42" t="s">
        <v>183</v>
      </c>
      <c r="G113" s="43" t="s">
        <v>183</v>
      </c>
      <c r="H113" s="42" t="s">
        <v>179</v>
      </c>
      <c r="I113" s="43"/>
      <c r="J113" s="43">
        <v>2</v>
      </c>
      <c r="K113" s="25" t="str">
        <f>VLOOKUP(J113,Key!$E$2:$F$9,2,FALSE)</f>
        <v>Work</v>
      </c>
      <c r="L113" s="42" t="s">
        <v>173</v>
      </c>
      <c r="M113" s="43" t="s">
        <v>167</v>
      </c>
      <c r="N113" s="42" t="s">
        <v>212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9"/>
      <c r="T113" s="49">
        <v>168</v>
      </c>
      <c r="U113" s="43">
        <v>6</v>
      </c>
      <c r="V113" s="43">
        <v>9</v>
      </c>
      <c r="W113" s="49"/>
      <c r="X113" s="49"/>
      <c r="Y113" s="50"/>
      <c r="Z113" s="62"/>
      <c r="AA113" s="25">
        <f>VLOOKUP(F113,Zones!$A$2:$F$15907,6,FALSE)</f>
        <v>521</v>
      </c>
      <c r="AB113" s="25">
        <f>VLOOKUP(L113,Zones!$A$2:$F$15907,6,FALSE)</f>
        <v>1443</v>
      </c>
    </row>
    <row r="114" spans="2:28">
      <c r="B114" s="40">
        <v>0.40763888888888888</v>
      </c>
      <c r="C114" s="40"/>
      <c r="D114" s="41">
        <v>8</v>
      </c>
      <c r="E114" s="42">
        <v>1</v>
      </c>
      <c r="F114" s="42" t="s">
        <v>185</v>
      </c>
      <c r="G114" s="43" t="s">
        <v>183</v>
      </c>
      <c r="H114" s="42" t="s">
        <v>179</v>
      </c>
      <c r="I114" s="43"/>
      <c r="J114" s="43">
        <v>2</v>
      </c>
      <c r="K114" s="25" t="str">
        <f>VLOOKUP(J114,Key!$E$2:$F$9,2,FALSE)</f>
        <v>Work</v>
      </c>
      <c r="L114" s="42" t="s">
        <v>170</v>
      </c>
      <c r="M114" s="43" t="s">
        <v>171</v>
      </c>
      <c r="N114" s="42" t="s">
        <v>179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9"/>
      <c r="T114" s="49">
        <v>12</v>
      </c>
      <c r="U114" s="43">
        <v>4</v>
      </c>
      <c r="V114" s="43">
        <v>9</v>
      </c>
      <c r="W114" s="49"/>
      <c r="X114" s="49"/>
      <c r="Y114" s="50"/>
      <c r="Z114" s="62"/>
      <c r="AA114" s="25">
        <f>VLOOKUP(F114,Zones!$A$2:$F$15907,6,FALSE)</f>
        <v>572</v>
      </c>
      <c r="AB114" s="25">
        <f>VLOOKUP(L114,Zones!$A$2:$F$15907,6,FALSE)</f>
        <v>1443</v>
      </c>
    </row>
    <row r="115" spans="2:28">
      <c r="B115" s="40">
        <v>0.41319444444444442</v>
      </c>
      <c r="C115" s="40"/>
      <c r="D115" s="41">
        <v>1</v>
      </c>
      <c r="E115" s="42">
        <v>4</v>
      </c>
      <c r="F115" s="42" t="s">
        <v>172</v>
      </c>
      <c r="G115" s="43" t="s">
        <v>172</v>
      </c>
      <c r="H115" s="42" t="s">
        <v>179</v>
      </c>
      <c r="I115" s="43"/>
      <c r="J115" s="43">
        <v>2</v>
      </c>
      <c r="K115" s="25" t="str">
        <f>VLOOKUP(J115,Key!$E$2:$F$9,2,FALSE)</f>
        <v>Work</v>
      </c>
      <c r="L115" s="42" t="s">
        <v>170</v>
      </c>
      <c r="M115" s="43" t="s">
        <v>171</v>
      </c>
      <c r="N115" s="42" t="s">
        <v>179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9"/>
      <c r="T115" s="49">
        <v>2</v>
      </c>
      <c r="U115" s="43">
        <v>2</v>
      </c>
      <c r="V115" s="43"/>
      <c r="W115" s="49"/>
      <c r="X115" s="49"/>
      <c r="Y115" s="50"/>
      <c r="Z115" s="62"/>
      <c r="AA115" s="25">
        <f>VLOOKUP(F115,Zones!$A$2:$F$15907,6,FALSE)</f>
        <v>335</v>
      </c>
      <c r="AB115" s="25">
        <f>VLOOKUP(L115,Zones!$A$2:$F$15907,6,FALSE)</f>
        <v>1443</v>
      </c>
    </row>
    <row r="116" spans="2:28">
      <c r="B116" s="40">
        <v>0.4201388888888889</v>
      </c>
      <c r="C116" s="40"/>
      <c r="D116" s="41">
        <v>9</v>
      </c>
      <c r="E116" s="42">
        <v>1</v>
      </c>
      <c r="F116" s="42" t="s">
        <v>185</v>
      </c>
      <c r="G116" s="43" t="s">
        <v>183</v>
      </c>
      <c r="H116" s="42" t="s">
        <v>179</v>
      </c>
      <c r="I116" s="43"/>
      <c r="J116" s="43">
        <v>2</v>
      </c>
      <c r="K116" s="25" t="str">
        <f>VLOOKUP(J116,Key!$E$2:$F$9,2,FALSE)</f>
        <v>Work</v>
      </c>
      <c r="L116" s="42" t="s">
        <v>173</v>
      </c>
      <c r="M116" s="43" t="s">
        <v>167</v>
      </c>
      <c r="N116" s="42" t="s">
        <v>212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9"/>
      <c r="T116" s="49">
        <v>48</v>
      </c>
      <c r="U116" s="43">
        <v>4</v>
      </c>
      <c r="V116" s="43">
        <v>5</v>
      </c>
      <c r="W116" s="49"/>
      <c r="X116" s="49"/>
      <c r="Y116" s="50"/>
      <c r="Z116" s="62"/>
      <c r="AA116" s="25">
        <f>VLOOKUP(F116,Zones!$A$2:$F$15907,6,FALSE)</f>
        <v>572</v>
      </c>
      <c r="AB116" s="25">
        <f>VLOOKUP(L116,Zones!$A$2:$F$15907,6,FALSE)</f>
        <v>1443</v>
      </c>
    </row>
    <row r="117" spans="2:28">
      <c r="B117" s="40">
        <v>0.42499999999999999</v>
      </c>
      <c r="C117" s="40"/>
      <c r="D117" s="41">
        <v>8</v>
      </c>
      <c r="E117" s="42">
        <v>1</v>
      </c>
      <c r="F117" s="42" t="s">
        <v>189</v>
      </c>
      <c r="G117" s="43" t="s">
        <v>190</v>
      </c>
      <c r="H117" s="42" t="s">
        <v>200</v>
      </c>
      <c r="I117" s="43"/>
      <c r="J117" s="43">
        <v>2</v>
      </c>
      <c r="K117" s="25" t="str">
        <f>VLOOKUP(J117,Key!$E$2:$F$9,2,FALSE)</f>
        <v>Work</v>
      </c>
      <c r="L117" s="42" t="s">
        <v>173</v>
      </c>
      <c r="M117" s="43" t="s">
        <v>167</v>
      </c>
      <c r="N117" s="42" t="s">
        <v>212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9"/>
      <c r="T117" s="49">
        <v>96</v>
      </c>
      <c r="U117" s="43">
        <v>4</v>
      </c>
      <c r="V117" s="43">
        <v>6</v>
      </c>
      <c r="W117" s="49"/>
      <c r="X117" s="49"/>
      <c r="Y117" s="50"/>
      <c r="Z117" s="62"/>
      <c r="AA117" s="25">
        <f>VLOOKUP(F117,Zones!$A$2:$F$15907,6,FALSE)</f>
        <v>1434</v>
      </c>
      <c r="AB117" s="25">
        <f>VLOOKUP(L117,Zones!$A$2:$F$15907,6,FALSE)</f>
        <v>1443</v>
      </c>
    </row>
    <row r="118" spans="2:28">
      <c r="B118" s="40">
        <v>0.4284722222222222</v>
      </c>
      <c r="C118" s="40"/>
      <c r="D118" s="41">
        <v>2</v>
      </c>
      <c r="E118" s="42">
        <v>4</v>
      </c>
      <c r="F118" s="42" t="s">
        <v>172</v>
      </c>
      <c r="G118" s="43" t="s">
        <v>172</v>
      </c>
      <c r="H118" s="42" t="s">
        <v>179</v>
      </c>
      <c r="I118" s="43"/>
      <c r="J118" s="43">
        <v>2</v>
      </c>
      <c r="K118" s="25" t="str">
        <f>VLOOKUP(J118,Key!$E$2:$F$9,2,FALSE)</f>
        <v>Work</v>
      </c>
      <c r="L118" s="42" t="s">
        <v>170</v>
      </c>
      <c r="M118" s="43" t="s">
        <v>171</v>
      </c>
      <c r="N118" s="42" t="s">
        <v>179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9"/>
      <c r="T118" s="49">
        <v>2</v>
      </c>
      <c r="U118" s="43">
        <v>2</v>
      </c>
      <c r="V118" s="43"/>
      <c r="W118" s="49"/>
      <c r="X118" s="49"/>
      <c r="Y118" s="50"/>
      <c r="Z118" s="62"/>
      <c r="AA118" s="25">
        <f>VLOOKUP(F118,Zones!$A$2:$F$15907,6,FALSE)</f>
        <v>335</v>
      </c>
      <c r="AB118" s="25">
        <f>VLOOKUP(L118,Zones!$A$2:$F$15907,6,FALSE)</f>
        <v>1443</v>
      </c>
    </row>
    <row r="119" spans="2:28">
      <c r="B119" s="40">
        <v>0.45833333333333331</v>
      </c>
      <c r="C119" s="40"/>
      <c r="D119" s="41">
        <v>1</v>
      </c>
      <c r="E119" s="42">
        <v>1</v>
      </c>
      <c r="F119" s="42" t="s">
        <v>172</v>
      </c>
      <c r="G119" s="43" t="s">
        <v>172</v>
      </c>
      <c r="H119" s="42" t="s">
        <v>179</v>
      </c>
      <c r="I119" s="43"/>
      <c r="J119" s="43">
        <v>1</v>
      </c>
      <c r="K119" s="25" t="str">
        <f>VLOOKUP(J119,Key!$E$2:$F$9,2,FALSE)</f>
        <v>Home</v>
      </c>
      <c r="L119" s="42" t="s">
        <v>170</v>
      </c>
      <c r="M119" s="43" t="s">
        <v>171</v>
      </c>
      <c r="N119" s="42" t="s">
        <v>179</v>
      </c>
      <c r="O119" s="43"/>
      <c r="P119" s="43">
        <v>1</v>
      </c>
      <c r="Q119" s="25" t="str">
        <f>VLOOKUP(P119,Key!$E$2:$F$9,2,FALSE)</f>
        <v>Home</v>
      </c>
      <c r="R119" s="25" t="str">
        <f t="shared" si="2"/>
        <v>Home-Home</v>
      </c>
      <c r="S119" s="49"/>
      <c r="T119" s="49">
        <v>2</v>
      </c>
      <c r="U119" s="43">
        <v>6</v>
      </c>
      <c r="V119" s="43"/>
      <c r="W119" s="49"/>
      <c r="X119" s="49"/>
      <c r="Y119" s="50"/>
      <c r="Z119" s="62"/>
      <c r="AA119" s="25">
        <f>VLOOKUP(F119,Zones!$A$2:$F$15907,6,FALSE)</f>
        <v>335</v>
      </c>
      <c r="AB119" s="25">
        <f>VLOOKUP(L119,Zones!$A$2:$F$15907,6,FALSE)</f>
        <v>1443</v>
      </c>
    </row>
    <row r="120" spans="2:28">
      <c r="B120" s="40">
        <v>0.46180555555555558</v>
      </c>
      <c r="C120" s="40"/>
      <c r="D120" s="41">
        <v>1</v>
      </c>
      <c r="E120" s="42">
        <v>2</v>
      </c>
      <c r="F120" s="42" t="s">
        <v>172</v>
      </c>
      <c r="G120" s="43" t="s">
        <v>172</v>
      </c>
      <c r="H120" s="42" t="s">
        <v>179</v>
      </c>
      <c r="I120" s="43"/>
      <c r="J120" s="43">
        <v>1</v>
      </c>
      <c r="K120" s="25" t="str">
        <f>VLOOKUP(J120,Key!$E$2:$F$9,2,FALSE)</f>
        <v>Home</v>
      </c>
      <c r="L120" s="42" t="s">
        <v>170</v>
      </c>
      <c r="M120" s="43" t="s">
        <v>171</v>
      </c>
      <c r="N120" s="42" t="s">
        <v>179</v>
      </c>
      <c r="O120" s="43"/>
      <c r="P120" s="43">
        <v>1</v>
      </c>
      <c r="Q120" s="25" t="str">
        <f>VLOOKUP(P120,Key!$E$2:$F$9,2,FALSE)</f>
        <v>Home</v>
      </c>
      <c r="R120" s="25" t="str">
        <f t="shared" si="2"/>
        <v>Home-Home</v>
      </c>
      <c r="S120" s="49"/>
      <c r="T120" s="49">
        <v>1.5</v>
      </c>
      <c r="U120" s="43">
        <v>1</v>
      </c>
      <c r="V120" s="43"/>
      <c r="W120" s="49"/>
      <c r="X120" s="49"/>
      <c r="Y120" s="50"/>
      <c r="Z120" s="62"/>
      <c r="AA120" s="25">
        <f>VLOOKUP(F120,Zones!$A$2:$F$15907,6,FALSE)</f>
        <v>335</v>
      </c>
      <c r="AB120" s="25">
        <f>VLOOKUP(L120,Zones!$A$2:$F$15907,6,FALSE)</f>
        <v>1443</v>
      </c>
    </row>
    <row r="121" spans="2:28">
      <c r="B121" s="40">
        <v>0.4694444444444445</v>
      </c>
      <c r="C121" s="40"/>
      <c r="D121" s="41">
        <v>2</v>
      </c>
      <c r="E121" s="42">
        <v>3</v>
      </c>
      <c r="F121" s="42" t="s">
        <v>172</v>
      </c>
      <c r="G121" s="43" t="s">
        <v>172</v>
      </c>
      <c r="H121" s="42" t="s">
        <v>179</v>
      </c>
      <c r="I121" s="43"/>
      <c r="J121" s="43">
        <v>2</v>
      </c>
      <c r="K121" s="25" t="str">
        <f>VLOOKUP(J121,Key!$E$2:$F$9,2,FALSE)</f>
        <v>Work</v>
      </c>
      <c r="L121" s="42" t="s">
        <v>170</v>
      </c>
      <c r="M121" s="43" t="s">
        <v>171</v>
      </c>
      <c r="N121" s="42" t="s">
        <v>179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49"/>
      <c r="T121" s="49">
        <v>1.5</v>
      </c>
      <c r="U121" s="43">
        <v>2</v>
      </c>
      <c r="V121" s="43"/>
      <c r="W121" s="49"/>
      <c r="X121" s="49"/>
      <c r="Y121" s="50"/>
      <c r="Z121" s="62"/>
      <c r="AA121" s="25">
        <f>VLOOKUP(F121,Zones!$A$2:$F$15907,6,FALSE)</f>
        <v>335</v>
      </c>
      <c r="AB121" s="25">
        <f>VLOOKUP(L121,Zones!$A$2:$F$15907,6,FALSE)</f>
        <v>1443</v>
      </c>
    </row>
    <row r="122" spans="2:28">
      <c r="B122" s="40">
        <v>0.4861111111111111</v>
      </c>
      <c r="C122" s="40"/>
      <c r="D122" s="41">
        <v>2</v>
      </c>
      <c r="E122" s="42">
        <v>1</v>
      </c>
      <c r="F122" s="42" t="s">
        <v>172</v>
      </c>
      <c r="G122" s="43" t="s">
        <v>172</v>
      </c>
      <c r="H122" s="42" t="s">
        <v>179</v>
      </c>
      <c r="I122" s="43"/>
      <c r="J122" s="43">
        <v>2</v>
      </c>
      <c r="K122" s="25" t="str">
        <f>VLOOKUP(J122,Key!$E$2:$F$9,2,FALSE)</f>
        <v>Work</v>
      </c>
      <c r="L122" s="42" t="s">
        <v>170</v>
      </c>
      <c r="M122" s="43" t="s">
        <v>171</v>
      </c>
      <c r="N122" s="42" t="s">
        <v>179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49"/>
      <c r="T122" s="49">
        <v>2</v>
      </c>
      <c r="U122" s="43">
        <v>2</v>
      </c>
      <c r="V122" s="43">
        <v>9</v>
      </c>
      <c r="W122" s="49"/>
      <c r="X122" s="49"/>
      <c r="Y122" s="50"/>
      <c r="Z122" s="62"/>
      <c r="AA122" s="25">
        <f>VLOOKUP(F122,Zones!$A$2:$F$15907,6,FALSE)</f>
        <v>335</v>
      </c>
      <c r="AB122" s="25">
        <f>VLOOKUP(L122,Zones!$A$2:$F$15907,6,FALSE)</f>
        <v>1443</v>
      </c>
    </row>
    <row r="123" spans="2:28">
      <c r="B123" s="40">
        <v>0.5</v>
      </c>
      <c r="C123" s="40"/>
      <c r="D123" s="41">
        <v>9</v>
      </c>
      <c r="E123" s="42">
        <v>1</v>
      </c>
      <c r="F123" s="42" t="s">
        <v>184</v>
      </c>
      <c r="G123" s="43" t="s">
        <v>184</v>
      </c>
      <c r="H123" s="42" t="s">
        <v>200</v>
      </c>
      <c r="I123" s="43"/>
      <c r="J123" s="43">
        <v>7</v>
      </c>
      <c r="K123" s="25" t="str">
        <f>VLOOKUP(J123,Key!$E$2:$F$9,2,FALSE)</f>
        <v>Hospital</v>
      </c>
      <c r="L123" s="42" t="s">
        <v>173</v>
      </c>
      <c r="M123" s="43" t="s">
        <v>167</v>
      </c>
      <c r="N123" s="42" t="s">
        <v>212</v>
      </c>
      <c r="O123" s="43"/>
      <c r="P123" s="43">
        <v>4</v>
      </c>
      <c r="Q123" s="25" t="str">
        <f>VLOOKUP(P123,Key!$E$2:$F$9,2,FALSE)</f>
        <v>Commercial</v>
      </c>
      <c r="R123" s="25" t="str">
        <f t="shared" si="2"/>
        <v>Hospital-Commercial</v>
      </c>
      <c r="S123" s="49"/>
      <c r="T123" s="49">
        <v>96</v>
      </c>
      <c r="U123" s="43">
        <v>4</v>
      </c>
      <c r="V123" s="43">
        <v>7</v>
      </c>
      <c r="W123" s="49"/>
      <c r="X123" s="49"/>
      <c r="Y123" s="50"/>
      <c r="Z123" s="62"/>
      <c r="AA123" s="25">
        <f>VLOOKUP(F123,Zones!$A$2:$F$15907,6,FALSE)</f>
        <v>1434</v>
      </c>
      <c r="AB123" s="25">
        <f>VLOOKUP(L123,Zones!$A$2:$F$15907,6,FALSE)</f>
        <v>1443</v>
      </c>
    </row>
    <row r="124" spans="2:28">
      <c r="B124" s="40">
        <v>0.51041666666666663</v>
      </c>
      <c r="C124" s="40"/>
      <c r="D124" s="41">
        <v>8</v>
      </c>
      <c r="E124" s="42">
        <v>2</v>
      </c>
      <c r="F124" s="42" t="s">
        <v>201</v>
      </c>
      <c r="G124" s="43" t="s">
        <v>201</v>
      </c>
      <c r="H124" s="42" t="s">
        <v>179</v>
      </c>
      <c r="I124" s="43"/>
      <c r="J124" s="43">
        <v>4</v>
      </c>
      <c r="K124" s="25" t="str">
        <f>VLOOKUP(J124,Key!$E$2:$F$9,2,FALSE)</f>
        <v>Commercial</v>
      </c>
      <c r="L124" s="42" t="s">
        <v>173</v>
      </c>
      <c r="M124" s="43" t="s">
        <v>167</v>
      </c>
      <c r="N124" s="42" t="s">
        <v>212</v>
      </c>
      <c r="O124" s="43"/>
      <c r="P124" s="43">
        <v>4</v>
      </c>
      <c r="Q124" s="25" t="str">
        <f>VLOOKUP(P124,Key!$E$2:$F$9,2,FALSE)</f>
        <v>Commercial</v>
      </c>
      <c r="R124" s="25" t="str">
        <f t="shared" si="2"/>
        <v>Commercial-Commercial</v>
      </c>
      <c r="S124" s="49"/>
      <c r="T124" s="49">
        <v>24</v>
      </c>
      <c r="U124" s="43">
        <v>4</v>
      </c>
      <c r="V124" s="43">
        <v>7</v>
      </c>
      <c r="W124" s="49"/>
      <c r="X124" s="49"/>
      <c r="Y124" s="50"/>
      <c r="Z124" s="62"/>
      <c r="AA124" s="25">
        <f>VLOOKUP(F124,Zones!$A$2:$F$15907,6,FALSE)</f>
        <v>1382</v>
      </c>
      <c r="AB124" s="25">
        <f>VLOOKUP(L124,Zones!$A$2:$F$15907,6,FALSE)</f>
        <v>1443</v>
      </c>
    </row>
    <row r="125" spans="2:28">
      <c r="B125" s="40">
        <v>0.51458333333333328</v>
      </c>
      <c r="C125" s="40"/>
      <c r="D125" s="41">
        <v>9</v>
      </c>
      <c r="E125" s="42">
        <v>1</v>
      </c>
      <c r="F125" s="42" t="s">
        <v>201</v>
      </c>
      <c r="G125" s="43" t="s">
        <v>201</v>
      </c>
      <c r="H125" s="42" t="s">
        <v>179</v>
      </c>
      <c r="I125" s="43"/>
      <c r="J125" s="43">
        <v>4</v>
      </c>
      <c r="K125" s="25" t="str">
        <f>VLOOKUP(J125,Key!$E$2:$F$9,2,FALSE)</f>
        <v>Commercial</v>
      </c>
      <c r="L125" s="42" t="s">
        <v>173</v>
      </c>
      <c r="M125" s="43" t="s">
        <v>167</v>
      </c>
      <c r="N125" s="42" t="s">
        <v>212</v>
      </c>
      <c r="O125" s="43"/>
      <c r="P125" s="43">
        <v>4</v>
      </c>
      <c r="Q125" s="25" t="str">
        <f>VLOOKUP(P125,Key!$E$2:$F$9,2,FALSE)</f>
        <v>Commercial</v>
      </c>
      <c r="R125" s="25" t="str">
        <f t="shared" si="2"/>
        <v>Commercial-Commercial</v>
      </c>
      <c r="S125" s="49"/>
      <c r="T125" s="49">
        <v>48</v>
      </c>
      <c r="U125" s="43">
        <v>6</v>
      </c>
      <c r="V125" s="43">
        <v>7</v>
      </c>
      <c r="W125" s="49"/>
      <c r="X125" s="49"/>
      <c r="Y125" s="50"/>
      <c r="Z125" s="62"/>
      <c r="AA125" s="25">
        <f>VLOOKUP(F125,Zones!$A$2:$F$15907,6,FALSE)</f>
        <v>1382</v>
      </c>
      <c r="AB125" s="25">
        <f>VLOOKUP(L125,Zones!$A$2:$F$15907,6,FALSE)</f>
        <v>1443</v>
      </c>
    </row>
    <row r="126" spans="2:28">
      <c r="B126" s="40">
        <v>0.52083333333333337</v>
      </c>
      <c r="C126" s="40"/>
      <c r="D126" s="41">
        <v>8</v>
      </c>
      <c r="E126" s="42">
        <v>2</v>
      </c>
      <c r="F126" s="42" t="s">
        <v>183</v>
      </c>
      <c r="G126" s="43" t="s">
        <v>183</v>
      </c>
      <c r="H126" s="42" t="s">
        <v>179</v>
      </c>
      <c r="I126" s="43"/>
      <c r="J126" s="43">
        <v>4</v>
      </c>
      <c r="K126" s="25" t="str">
        <f>VLOOKUP(J126,Key!$E$2:$F$9,2,FALSE)</f>
        <v>Commercial</v>
      </c>
      <c r="L126" s="42" t="s">
        <v>173</v>
      </c>
      <c r="M126" s="43" t="s">
        <v>167</v>
      </c>
      <c r="N126" s="42" t="s">
        <v>212</v>
      </c>
      <c r="O126" s="43"/>
      <c r="P126" s="43">
        <v>4</v>
      </c>
      <c r="Q126" s="25" t="str">
        <f>VLOOKUP(P126,Key!$E$2:$F$9,2,FALSE)</f>
        <v>Commercial</v>
      </c>
      <c r="R126" s="25" t="str">
        <f t="shared" si="2"/>
        <v>Commercial-Commercial</v>
      </c>
      <c r="S126" s="49"/>
      <c r="T126" s="49">
        <v>72</v>
      </c>
      <c r="U126" s="43">
        <v>5</v>
      </c>
      <c r="V126" s="43">
        <v>9</v>
      </c>
      <c r="W126" s="49"/>
      <c r="X126" s="49"/>
      <c r="Y126" s="50"/>
      <c r="Z126" s="62"/>
      <c r="AA126" s="25">
        <f>VLOOKUP(F126,Zones!$A$2:$F$15907,6,FALSE)</f>
        <v>521</v>
      </c>
      <c r="AB126" s="25">
        <f>VLOOKUP(L126,Zones!$A$2:$F$15907,6,FALSE)</f>
        <v>1443</v>
      </c>
    </row>
    <row r="127" spans="2:28">
      <c r="B127" s="40">
        <v>0.52777777777777779</v>
      </c>
      <c r="C127" s="40"/>
      <c r="D127" s="41">
        <v>9</v>
      </c>
      <c r="E127" s="42">
        <v>2</v>
      </c>
      <c r="F127" s="42" t="s">
        <v>202</v>
      </c>
      <c r="G127" s="43" t="s">
        <v>183</v>
      </c>
      <c r="H127" s="42" t="s">
        <v>179</v>
      </c>
      <c r="I127" s="43"/>
      <c r="J127" s="43">
        <v>4</v>
      </c>
      <c r="K127" s="25" t="str">
        <f>VLOOKUP(J127,Key!$E$2:$F$9,2,FALSE)</f>
        <v>Commercial</v>
      </c>
      <c r="L127" s="42" t="s">
        <v>170</v>
      </c>
      <c r="M127" s="43" t="s">
        <v>171</v>
      </c>
      <c r="N127" s="42" t="s">
        <v>179</v>
      </c>
      <c r="O127" s="43"/>
      <c r="P127" s="43">
        <v>4</v>
      </c>
      <c r="Q127" s="25" t="str">
        <f>VLOOKUP(P127,Key!$E$2:$F$9,2,FALSE)</f>
        <v>Commercial</v>
      </c>
      <c r="R127" s="25" t="str">
        <f t="shared" si="2"/>
        <v>Commercial-Commercial</v>
      </c>
      <c r="S127" s="49"/>
      <c r="T127" s="49">
        <v>24</v>
      </c>
      <c r="U127" s="43">
        <v>4</v>
      </c>
      <c r="V127" s="43">
        <v>7</v>
      </c>
      <c r="W127" s="49"/>
      <c r="X127" s="49"/>
      <c r="Y127" s="50"/>
      <c r="Z127" s="62"/>
      <c r="AA127" s="25">
        <f>VLOOKUP(F127,Zones!$A$2:$F$15907,6,FALSE)</f>
        <v>514</v>
      </c>
      <c r="AB127" s="25">
        <f>VLOOKUP(L127,Zones!$A$2:$F$15907,6,FALSE)</f>
        <v>1443</v>
      </c>
    </row>
    <row r="128" spans="2:28">
      <c r="B128" s="40">
        <v>0.53125</v>
      </c>
      <c r="C128" s="40"/>
      <c r="D128" s="41">
        <v>2</v>
      </c>
      <c r="E128" s="42">
        <v>1</v>
      </c>
      <c r="F128" s="42" t="s">
        <v>203</v>
      </c>
      <c r="G128" s="43" t="s">
        <v>183</v>
      </c>
      <c r="H128" s="42" t="s">
        <v>179</v>
      </c>
      <c r="I128" s="43"/>
      <c r="J128" s="43">
        <v>2</v>
      </c>
      <c r="K128" s="25" t="str">
        <f>VLOOKUP(J128,Key!$E$2:$F$9,2,FALSE)</f>
        <v>Work</v>
      </c>
      <c r="L128" s="42" t="s">
        <v>173</v>
      </c>
      <c r="M128" s="43" t="s">
        <v>167</v>
      </c>
      <c r="N128" s="42" t="s">
        <v>180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9"/>
      <c r="T128" s="49">
        <v>24</v>
      </c>
      <c r="U128" s="43">
        <v>4</v>
      </c>
      <c r="V128" s="43"/>
      <c r="W128" s="49"/>
      <c r="X128" s="49"/>
      <c r="Y128" s="50"/>
      <c r="Z128" s="62"/>
      <c r="AA128" s="25">
        <f>VLOOKUP(F128,Zones!$A$2:$F$15907,6,FALSE)</f>
        <v>577</v>
      </c>
      <c r="AB128" s="25">
        <f>VLOOKUP(L128,Zones!$A$2:$F$15907,6,FALSE)</f>
        <v>1443</v>
      </c>
    </row>
    <row r="129" spans="2:28">
      <c r="B129" s="40">
        <v>0.54652777777777783</v>
      </c>
      <c r="C129" s="40"/>
      <c r="D129" s="41">
        <v>1</v>
      </c>
      <c r="E129" s="42">
        <v>4</v>
      </c>
      <c r="F129" s="42" t="s">
        <v>172</v>
      </c>
      <c r="G129" s="43" t="s">
        <v>172</v>
      </c>
      <c r="H129" s="42" t="s">
        <v>179</v>
      </c>
      <c r="I129" s="43"/>
      <c r="J129" s="43">
        <v>2</v>
      </c>
      <c r="K129" s="25" t="str">
        <f>VLOOKUP(J129,Key!$E$2:$F$9,2,FALSE)</f>
        <v>Work</v>
      </c>
      <c r="L129" s="42" t="s">
        <v>170</v>
      </c>
      <c r="M129" s="43" t="s">
        <v>171</v>
      </c>
      <c r="N129" s="42" t="s">
        <v>179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9"/>
      <c r="T129" s="49">
        <v>2</v>
      </c>
      <c r="U129" s="43">
        <v>1</v>
      </c>
      <c r="V129" s="43"/>
      <c r="W129" s="49"/>
      <c r="X129" s="49"/>
      <c r="Y129" s="50"/>
      <c r="Z129" s="62"/>
      <c r="AA129" s="25">
        <f>VLOOKUP(F129,Zones!$A$2:$F$15907,6,FALSE)</f>
        <v>335</v>
      </c>
      <c r="AB129" s="25">
        <f>VLOOKUP(L129,Zones!$A$2:$F$15907,6,FALSE)</f>
        <v>1443</v>
      </c>
    </row>
    <row r="130" spans="2:28">
      <c r="B130" s="40">
        <v>0.55208333333333337</v>
      </c>
      <c r="C130" s="40"/>
      <c r="D130" s="41">
        <v>1</v>
      </c>
      <c r="E130" s="42">
        <v>5</v>
      </c>
      <c r="F130" s="42" t="s">
        <v>172</v>
      </c>
      <c r="G130" s="43" t="s">
        <v>172</v>
      </c>
      <c r="H130" s="42" t="s">
        <v>179</v>
      </c>
      <c r="I130" s="43"/>
      <c r="J130" s="43">
        <v>2</v>
      </c>
      <c r="K130" s="25" t="str">
        <f>VLOOKUP(J130,Key!$E$2:$F$9,2,FALSE)</f>
        <v>Work</v>
      </c>
      <c r="L130" s="42" t="s">
        <v>170</v>
      </c>
      <c r="M130" s="43" t="s">
        <v>171</v>
      </c>
      <c r="N130" s="42" t="s">
        <v>179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9"/>
      <c r="T130" s="49">
        <v>2</v>
      </c>
      <c r="U130" s="43">
        <v>1</v>
      </c>
      <c r="V130" s="43">
        <v>10</v>
      </c>
      <c r="W130" s="49"/>
      <c r="X130" s="49"/>
      <c r="Y130" s="50"/>
      <c r="Z130" s="62"/>
      <c r="AA130" s="25">
        <f>VLOOKUP(F130,Zones!$A$2:$F$15907,6,FALSE)</f>
        <v>335</v>
      </c>
      <c r="AB130" s="25">
        <f>VLOOKUP(L130,Zones!$A$2:$F$15907,6,FALSE)</f>
        <v>1443</v>
      </c>
    </row>
    <row r="131" spans="2:28">
      <c r="B131" s="40">
        <v>0.55625000000000002</v>
      </c>
      <c r="C131" s="40"/>
      <c r="D131" s="41">
        <v>2</v>
      </c>
      <c r="E131" s="42">
        <v>5</v>
      </c>
      <c r="F131" s="42" t="s">
        <v>172</v>
      </c>
      <c r="G131" s="43" t="s">
        <v>172</v>
      </c>
      <c r="H131" s="42" t="s">
        <v>179</v>
      </c>
      <c r="I131" s="43"/>
      <c r="J131" s="43">
        <v>2</v>
      </c>
      <c r="K131" s="25" t="str">
        <f>VLOOKUP(J131,Key!$E$2:$F$9,2,FALSE)</f>
        <v>Work</v>
      </c>
      <c r="L131" s="42" t="s">
        <v>170</v>
      </c>
      <c r="M131" s="43" t="s">
        <v>171</v>
      </c>
      <c r="N131" s="42" t="s">
        <v>179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9"/>
      <c r="T131" s="49">
        <v>2</v>
      </c>
      <c r="U131" s="43">
        <v>1</v>
      </c>
      <c r="V131" s="43"/>
      <c r="W131" s="49"/>
      <c r="X131" s="49"/>
      <c r="Y131" s="50"/>
      <c r="Z131" s="62"/>
      <c r="AA131" s="25">
        <f>VLOOKUP(F131,Zones!$A$2:$F$15907,6,FALSE)</f>
        <v>335</v>
      </c>
      <c r="AB131" s="25">
        <f>VLOOKUP(L131,Zones!$A$2:$F$15907,6,FALSE)</f>
        <v>1443</v>
      </c>
    </row>
    <row r="132" spans="2:28">
      <c r="B132" s="40">
        <v>0.5625</v>
      </c>
      <c r="C132" s="40"/>
      <c r="D132" s="41">
        <v>2</v>
      </c>
      <c r="E132" s="42">
        <v>2</v>
      </c>
      <c r="F132" s="42" t="s">
        <v>172</v>
      </c>
      <c r="G132" s="43" t="s">
        <v>172</v>
      </c>
      <c r="H132" s="42" t="s">
        <v>179</v>
      </c>
      <c r="I132" s="43"/>
      <c r="J132" s="43">
        <v>2</v>
      </c>
      <c r="K132" s="25" t="str">
        <f>VLOOKUP(J132,Key!$E$2:$F$9,2,FALSE)</f>
        <v>Work</v>
      </c>
      <c r="L132" s="42" t="s">
        <v>170</v>
      </c>
      <c r="M132" s="43" t="s">
        <v>171</v>
      </c>
      <c r="N132" s="42" t="s">
        <v>179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49"/>
      <c r="T132" s="49">
        <v>2</v>
      </c>
      <c r="U132" s="43">
        <v>1</v>
      </c>
      <c r="V132" s="43"/>
      <c r="W132" s="49"/>
      <c r="X132" s="49"/>
      <c r="Y132" s="50"/>
      <c r="Z132" s="62"/>
      <c r="AA132" s="25">
        <f>VLOOKUP(F132,Zones!$A$2:$F$15907,6,FALSE)</f>
        <v>335</v>
      </c>
      <c r="AB132" s="25">
        <f>VLOOKUP(L132,Zones!$A$2:$F$15907,6,FALSE)</f>
        <v>1443</v>
      </c>
    </row>
    <row r="133" spans="2:28">
      <c r="B133" s="40">
        <v>0.56597222222222221</v>
      </c>
      <c r="C133" s="40"/>
      <c r="D133" s="41">
        <v>1</v>
      </c>
      <c r="E133" s="42">
        <v>1</v>
      </c>
      <c r="F133" s="42" t="s">
        <v>172</v>
      </c>
      <c r="G133" s="43" t="s">
        <v>172</v>
      </c>
      <c r="H133" s="42" t="s">
        <v>179</v>
      </c>
      <c r="I133" s="43"/>
      <c r="J133" s="43">
        <v>2</v>
      </c>
      <c r="K133" s="25" t="str">
        <f>VLOOKUP(J133,Key!$E$2:$F$9,2,FALSE)</f>
        <v>Work</v>
      </c>
      <c r="L133" s="42" t="s">
        <v>170</v>
      </c>
      <c r="M133" s="43" t="s">
        <v>171</v>
      </c>
      <c r="N133" s="42" t="s">
        <v>179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9"/>
      <c r="T133" s="49">
        <v>1</v>
      </c>
      <c r="U133" s="43">
        <v>4</v>
      </c>
      <c r="V133" s="43"/>
      <c r="W133" s="49"/>
      <c r="X133" s="49"/>
      <c r="Y133" s="50"/>
      <c r="Z133" s="62"/>
      <c r="AA133" s="25">
        <f>VLOOKUP(F133,Zones!$A$2:$F$15907,6,FALSE)</f>
        <v>335</v>
      </c>
      <c r="AB133" s="25">
        <f>VLOOKUP(L133,Zones!$A$2:$F$15907,6,FALSE)</f>
        <v>1443</v>
      </c>
    </row>
    <row r="134" spans="2:28">
      <c r="B134" s="40">
        <v>0.57291666666666663</v>
      </c>
      <c r="C134" s="40"/>
      <c r="D134" s="41">
        <v>2</v>
      </c>
      <c r="E134" s="42">
        <v>1</v>
      </c>
      <c r="F134" s="42" t="s">
        <v>172</v>
      </c>
      <c r="G134" s="43" t="s">
        <v>172</v>
      </c>
      <c r="H134" s="42" t="s">
        <v>179</v>
      </c>
      <c r="I134" s="43"/>
      <c r="J134" s="43">
        <v>2</v>
      </c>
      <c r="K134" s="25" t="str">
        <f>VLOOKUP(J134,Key!$E$2:$F$9,2,FALSE)</f>
        <v>Work</v>
      </c>
      <c r="L134" s="42" t="s">
        <v>208</v>
      </c>
      <c r="M134" s="43" t="s">
        <v>171</v>
      </c>
      <c r="N134" s="42" t="s">
        <v>179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9"/>
      <c r="T134" s="49">
        <v>1</v>
      </c>
      <c r="U134" s="43">
        <v>3</v>
      </c>
      <c r="V134" s="43"/>
      <c r="W134" s="49"/>
      <c r="X134" s="49"/>
      <c r="Y134" s="50"/>
      <c r="Z134" s="62"/>
      <c r="AA134" s="25">
        <f>VLOOKUP(F134,Zones!$A$2:$F$15907,6,FALSE)</f>
        <v>335</v>
      </c>
      <c r="AB134" s="25">
        <f>VLOOKUP(L134,Zones!$A$2:$F$15907,6,FALSE)</f>
        <v>75</v>
      </c>
    </row>
    <row r="135" spans="2:28">
      <c r="B135" s="40">
        <v>0.60416666666666663</v>
      </c>
      <c r="C135" s="40"/>
      <c r="D135" s="41">
        <v>9</v>
      </c>
      <c r="E135" s="42">
        <v>1</v>
      </c>
      <c r="F135" s="42" t="s">
        <v>204</v>
      </c>
      <c r="G135" s="43" t="s">
        <v>183</v>
      </c>
      <c r="H135" s="42" t="s">
        <v>179</v>
      </c>
      <c r="I135" s="43"/>
      <c r="J135" s="43">
        <v>4</v>
      </c>
      <c r="K135" s="25" t="str">
        <f>VLOOKUP(J135,Key!$E$2:$F$9,2,FALSE)</f>
        <v>Commercial</v>
      </c>
      <c r="L135" s="42" t="s">
        <v>173</v>
      </c>
      <c r="M135" s="43" t="s">
        <v>167</v>
      </c>
      <c r="N135" s="42" t="s">
        <v>180</v>
      </c>
      <c r="O135" s="43"/>
      <c r="P135" s="43">
        <v>4</v>
      </c>
      <c r="Q135" s="25" t="str">
        <f>VLOOKUP(P135,Key!$E$2:$F$9,2,FALSE)</f>
        <v>Commercial</v>
      </c>
      <c r="R135" s="25" t="str">
        <f t="shared" si="2"/>
        <v>Commercial-Commercial</v>
      </c>
      <c r="S135" s="49"/>
      <c r="T135" s="49">
        <v>48</v>
      </c>
      <c r="U135" s="43">
        <v>6</v>
      </c>
      <c r="V135" s="43">
        <v>3</v>
      </c>
      <c r="W135" s="49"/>
      <c r="X135" s="49"/>
      <c r="Y135" s="50"/>
      <c r="Z135" s="62"/>
      <c r="AA135" s="25">
        <f>VLOOKUP(F135,Zones!$A$2:$F$15907,6,FALSE)</f>
        <v>567</v>
      </c>
      <c r="AB135" s="25">
        <f>VLOOKUP(L135,Zones!$A$2:$F$15907,6,FALSE)</f>
        <v>1443</v>
      </c>
    </row>
    <row r="136" spans="2:28">
      <c r="B136" s="40">
        <v>0.61111111111111105</v>
      </c>
      <c r="C136" s="40"/>
      <c r="D136" s="41">
        <v>9</v>
      </c>
      <c r="E136" s="42">
        <v>2</v>
      </c>
      <c r="F136" s="42" t="s">
        <v>189</v>
      </c>
      <c r="G136" s="43" t="s">
        <v>190</v>
      </c>
      <c r="H136" s="42" t="s">
        <v>200</v>
      </c>
      <c r="I136" s="43"/>
      <c r="J136" s="43">
        <v>4</v>
      </c>
      <c r="K136" s="25" t="str">
        <f>VLOOKUP(J136,Key!$E$2:$F$9,2,FALSE)</f>
        <v>Commercial</v>
      </c>
      <c r="L136" s="42" t="s">
        <v>173</v>
      </c>
      <c r="M136" s="43" t="s">
        <v>167</v>
      </c>
      <c r="N136" s="42" t="s">
        <v>180</v>
      </c>
      <c r="O136" s="43"/>
      <c r="P136" s="43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49"/>
      <c r="T136" s="49">
        <v>240</v>
      </c>
      <c r="U136" s="43">
        <v>4</v>
      </c>
      <c r="V136" s="43">
        <v>6</v>
      </c>
      <c r="W136" s="49"/>
      <c r="X136" s="49"/>
      <c r="Y136" s="50"/>
      <c r="Z136" s="62"/>
      <c r="AA136" s="25">
        <f>VLOOKUP(F136,Zones!$A$2:$F$15907,6,FALSE)</f>
        <v>1434</v>
      </c>
      <c r="AB136" s="25">
        <f>VLOOKUP(L136,Zones!$A$2:$F$15907,6,FALSE)</f>
        <v>1443</v>
      </c>
    </row>
    <row r="137" spans="2:28">
      <c r="B137" s="40">
        <v>0.62152777777777779</v>
      </c>
      <c r="C137" s="40"/>
      <c r="D137" s="41">
        <v>2</v>
      </c>
      <c r="E137" s="42">
        <v>2</v>
      </c>
      <c r="F137" s="42" t="s">
        <v>205</v>
      </c>
      <c r="G137" s="43" t="s">
        <v>183</v>
      </c>
      <c r="H137" s="42" t="s">
        <v>179</v>
      </c>
      <c r="I137" s="43"/>
      <c r="J137" s="43">
        <v>4</v>
      </c>
      <c r="K137" s="25" t="str">
        <f>VLOOKUP(J137,Key!$E$2:$F$9,2,FALSE)</f>
        <v>Commercial</v>
      </c>
      <c r="L137" s="42" t="s">
        <v>173</v>
      </c>
      <c r="M137" s="43" t="s">
        <v>167</v>
      </c>
      <c r="N137" s="42" t="s">
        <v>180</v>
      </c>
      <c r="O137" s="43"/>
      <c r="P137" s="43">
        <v>4</v>
      </c>
      <c r="Q137" s="25" t="str">
        <f>VLOOKUP(P137,Key!$E$2:$F$9,2,FALSE)</f>
        <v>Commercial</v>
      </c>
      <c r="R137" s="25" t="str">
        <f t="shared" si="2"/>
        <v>Commercial-Commercial</v>
      </c>
      <c r="S137" s="49"/>
      <c r="T137" s="49">
        <v>9</v>
      </c>
      <c r="U137" s="43">
        <v>4</v>
      </c>
      <c r="V137" s="43"/>
      <c r="W137" s="49"/>
      <c r="X137" s="49"/>
      <c r="Y137" s="50"/>
      <c r="Z137" s="62"/>
      <c r="AA137" s="25">
        <f>VLOOKUP(F137,Zones!$A$2:$F$15907,6,FALSE)</f>
        <v>525</v>
      </c>
      <c r="AB137" s="25">
        <f>VLOOKUP(L137,Zones!$A$2:$F$15907,6,FALSE)</f>
        <v>1443</v>
      </c>
    </row>
    <row r="138" spans="2:28">
      <c r="B138" s="40">
        <v>0.63194444444444442</v>
      </c>
      <c r="C138" s="40"/>
      <c r="D138" s="41">
        <v>1</v>
      </c>
      <c r="E138" s="42">
        <v>4</v>
      </c>
      <c r="F138" s="42" t="s">
        <v>206</v>
      </c>
      <c r="G138" s="43" t="s">
        <v>171</v>
      </c>
      <c r="H138" s="42" t="s">
        <v>179</v>
      </c>
      <c r="I138" s="43"/>
      <c r="J138" s="43">
        <v>4</v>
      </c>
      <c r="K138" s="25" t="str">
        <f>VLOOKUP(J138,Key!$E$2:$F$9,2,FALSE)</f>
        <v>Commercial</v>
      </c>
      <c r="L138" s="42" t="s">
        <v>170</v>
      </c>
      <c r="M138" s="43" t="s">
        <v>171</v>
      </c>
      <c r="N138" s="42" t="s">
        <v>179</v>
      </c>
      <c r="O138" s="43"/>
      <c r="P138" s="43">
        <v>4</v>
      </c>
      <c r="Q138" s="25" t="str">
        <f>VLOOKUP(P138,Key!$E$2:$F$9,2,FALSE)</f>
        <v>Commercial</v>
      </c>
      <c r="R138" s="25" t="str">
        <f t="shared" si="2"/>
        <v>Commercial-Commercial</v>
      </c>
      <c r="S138" s="49"/>
      <c r="T138" s="49">
        <v>0.7</v>
      </c>
      <c r="U138" s="43">
        <v>3</v>
      </c>
      <c r="V138" s="43"/>
      <c r="W138" s="49"/>
      <c r="X138" s="49"/>
      <c r="Y138" s="50"/>
      <c r="Z138" s="62"/>
      <c r="AA138" s="25">
        <f>VLOOKUP(F138,Zones!$A$2:$F$15907,6,FALSE)</f>
        <v>77</v>
      </c>
      <c r="AB138" s="25">
        <f>VLOOKUP(L138,Zones!$A$2:$F$15907,6,FALSE)</f>
        <v>1443</v>
      </c>
    </row>
    <row r="139" spans="2:28">
      <c r="B139" s="40">
        <v>0.63541666666666663</v>
      </c>
      <c r="C139" s="40"/>
      <c r="D139" s="41">
        <v>2</v>
      </c>
      <c r="E139" s="42">
        <v>4</v>
      </c>
      <c r="F139" s="42" t="s">
        <v>207</v>
      </c>
      <c r="G139" s="43" t="s">
        <v>171</v>
      </c>
      <c r="H139" s="42" t="s">
        <v>179</v>
      </c>
      <c r="I139" s="43"/>
      <c r="J139" s="43">
        <v>4</v>
      </c>
      <c r="K139" s="25" t="str">
        <f>VLOOKUP(J139,Key!$E$2:$F$9,2,FALSE)</f>
        <v>Commercial</v>
      </c>
      <c r="L139" s="42" t="s">
        <v>170</v>
      </c>
      <c r="M139" s="43" t="s">
        <v>171</v>
      </c>
      <c r="N139" s="42" t="s">
        <v>179</v>
      </c>
      <c r="O139" s="43"/>
      <c r="P139" s="43">
        <v>4</v>
      </c>
      <c r="Q139" s="25" t="str">
        <f>VLOOKUP(P139,Key!$E$2:$F$9,2,FALSE)</f>
        <v>Commercial</v>
      </c>
      <c r="R139" s="25" t="str">
        <f t="shared" si="2"/>
        <v>Commercial-Commercial</v>
      </c>
      <c r="S139" s="49"/>
      <c r="T139" s="49">
        <v>1.5</v>
      </c>
      <c r="U139" s="43">
        <v>1</v>
      </c>
      <c r="V139" s="43">
        <v>9</v>
      </c>
      <c r="W139" s="49"/>
      <c r="X139" s="49"/>
      <c r="Y139" s="50"/>
      <c r="Z139" s="62"/>
      <c r="AA139" s="25">
        <f>VLOOKUP(F139,Zones!$A$2:$F$15907,6,FALSE)</f>
        <v>77</v>
      </c>
      <c r="AB139" s="25">
        <f>VLOOKUP(L139,Zones!$A$2:$F$15907,6,FALSE)</f>
        <v>1443</v>
      </c>
    </row>
    <row r="140" spans="2:28">
      <c r="B140" s="40">
        <v>0.64930555555555558</v>
      </c>
      <c r="C140" s="40"/>
      <c r="D140" s="41">
        <v>1</v>
      </c>
      <c r="E140" s="42">
        <v>4</v>
      </c>
      <c r="F140" s="42" t="s">
        <v>172</v>
      </c>
      <c r="G140" s="43" t="s">
        <v>172</v>
      </c>
      <c r="H140" s="42" t="s">
        <v>179</v>
      </c>
      <c r="I140" s="43"/>
      <c r="J140" s="43">
        <v>4</v>
      </c>
      <c r="K140" s="25" t="str">
        <f>VLOOKUP(J140,Key!$E$2:$F$9,2,FALSE)</f>
        <v>Commercial</v>
      </c>
      <c r="L140" s="42" t="s">
        <v>170</v>
      </c>
      <c r="M140" s="43" t="s">
        <v>171</v>
      </c>
      <c r="N140" s="42" t="s">
        <v>179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49"/>
      <c r="T140" s="49">
        <v>1.5</v>
      </c>
      <c r="U140" s="43">
        <v>1</v>
      </c>
      <c r="V140" s="43"/>
      <c r="W140" s="49"/>
      <c r="X140" s="49"/>
      <c r="Y140" s="50"/>
      <c r="Z140" s="62"/>
      <c r="AA140" s="25">
        <f>VLOOKUP(F140,Zones!$A$2:$F$15907,6,FALSE)</f>
        <v>335</v>
      </c>
      <c r="AB140" s="25">
        <f>VLOOKUP(L140,Zones!$A$2:$F$15907,6,FALSE)</f>
        <v>1443</v>
      </c>
    </row>
    <row r="141" spans="2:28">
      <c r="B141" s="40">
        <v>0.67708333333333337</v>
      </c>
      <c r="C141" s="40"/>
      <c r="D141" s="41">
        <v>2</v>
      </c>
      <c r="E141" s="42">
        <v>4</v>
      </c>
      <c r="F141" s="42" t="s">
        <v>172</v>
      </c>
      <c r="G141" s="43" t="s">
        <v>172</v>
      </c>
      <c r="H141" s="42" t="s">
        <v>179</v>
      </c>
      <c r="I141" s="43"/>
      <c r="J141" s="43">
        <v>4</v>
      </c>
      <c r="K141" s="25" t="str">
        <f>VLOOKUP(J141,Key!$E$2:$F$9,2,FALSE)</f>
        <v>Commercial</v>
      </c>
      <c r="L141" s="42" t="s">
        <v>170</v>
      </c>
      <c r="M141" s="43" t="s">
        <v>171</v>
      </c>
      <c r="N141" s="42" t="s">
        <v>179</v>
      </c>
      <c r="O141" s="43"/>
      <c r="P141" s="43">
        <v>4</v>
      </c>
      <c r="Q141" s="25" t="str">
        <f>VLOOKUP(P141,Key!$E$2:$F$9,2,FALSE)</f>
        <v>Commercial</v>
      </c>
      <c r="R141" s="25" t="str">
        <f t="shared" si="2"/>
        <v>Commercial-Commercial</v>
      </c>
      <c r="S141" s="49"/>
      <c r="T141" s="49">
        <v>1.5</v>
      </c>
      <c r="U141" s="43">
        <v>1</v>
      </c>
      <c r="V141" s="43">
        <v>5</v>
      </c>
      <c r="W141" s="49"/>
      <c r="X141" s="49"/>
      <c r="Y141" s="50"/>
      <c r="Z141" s="62"/>
      <c r="AA141" s="25">
        <f>VLOOKUP(F141,Zones!$A$2:$F$15907,6,FALSE)</f>
        <v>335</v>
      </c>
      <c r="AB141" s="25">
        <f>VLOOKUP(L141,Zones!$A$2:$F$15907,6,FALSE)</f>
        <v>1443</v>
      </c>
    </row>
    <row r="142" spans="2:28">
      <c r="B142" s="40">
        <v>0.68402777777777779</v>
      </c>
      <c r="C142" s="40"/>
      <c r="D142" s="41">
        <v>1</v>
      </c>
      <c r="E142" s="42">
        <v>1</v>
      </c>
      <c r="F142" s="42" t="s">
        <v>172</v>
      </c>
      <c r="G142" s="43" t="s">
        <v>172</v>
      </c>
      <c r="H142" s="42" t="s">
        <v>179</v>
      </c>
      <c r="I142" s="43"/>
      <c r="J142" s="43">
        <v>2</v>
      </c>
      <c r="K142" s="25" t="str">
        <f>VLOOKUP(J142,Key!$E$2:$F$9,2,FALSE)</f>
        <v>Work</v>
      </c>
      <c r="L142" s="42" t="s">
        <v>170</v>
      </c>
      <c r="M142" s="43" t="s">
        <v>171</v>
      </c>
      <c r="N142" s="42" t="s">
        <v>179</v>
      </c>
      <c r="O142" s="43"/>
      <c r="P142" s="43">
        <v>1</v>
      </c>
      <c r="Q142" s="25" t="str">
        <f>VLOOKUP(P142,Key!$E$2:$F$9,2,FALSE)</f>
        <v>Home</v>
      </c>
      <c r="R142" s="25" t="str">
        <f t="shared" si="2"/>
        <v>Work-Home</v>
      </c>
      <c r="S142" s="49"/>
      <c r="T142" s="49">
        <v>1.5</v>
      </c>
      <c r="U142" s="43">
        <v>4</v>
      </c>
      <c r="V142" s="43"/>
      <c r="W142" s="49"/>
      <c r="X142" s="49"/>
      <c r="Y142" s="50"/>
      <c r="Z142" s="62"/>
      <c r="AA142" s="25">
        <f>VLOOKUP(F142,Zones!$A$2:$F$15907,6,FALSE)</f>
        <v>335</v>
      </c>
      <c r="AB142" s="25">
        <f>VLOOKUP(L142,Zones!$A$2:$F$15907,6,FALSE)</f>
        <v>1443</v>
      </c>
    </row>
    <row r="143" spans="2:28">
      <c r="B143" s="40">
        <v>0.68611111111111101</v>
      </c>
      <c r="C143" s="40"/>
      <c r="D143" s="41">
        <v>1</v>
      </c>
      <c r="E143" s="42">
        <v>4</v>
      </c>
      <c r="F143" s="42" t="s">
        <v>172</v>
      </c>
      <c r="G143" s="43" t="s">
        <v>172</v>
      </c>
      <c r="H143" s="42" t="s">
        <v>179</v>
      </c>
      <c r="I143" s="43"/>
      <c r="J143" s="43">
        <v>4</v>
      </c>
      <c r="K143" s="25" t="str">
        <f>VLOOKUP(J143,Key!$E$2:$F$9,2,FALSE)</f>
        <v>Commercial</v>
      </c>
      <c r="L143" s="42" t="s">
        <v>170</v>
      </c>
      <c r="M143" s="43" t="s">
        <v>171</v>
      </c>
      <c r="N143" s="42" t="s">
        <v>179</v>
      </c>
      <c r="O143" s="43"/>
      <c r="P143" s="43">
        <v>4</v>
      </c>
      <c r="Q143" s="25" t="str">
        <f>VLOOKUP(P143,Key!$E$2:$F$9,2,FALSE)</f>
        <v>Commercial</v>
      </c>
      <c r="R143" s="25" t="str">
        <f t="shared" si="2"/>
        <v>Commercial-Commercial</v>
      </c>
      <c r="S143" s="49"/>
      <c r="T143" s="49">
        <v>1.5</v>
      </c>
      <c r="U143" s="43">
        <v>2</v>
      </c>
      <c r="V143" s="43"/>
      <c r="W143" s="49"/>
      <c r="X143" s="49"/>
      <c r="Y143" s="50"/>
      <c r="Z143" s="62"/>
      <c r="AA143" s="25">
        <f>VLOOKUP(F143,Zones!$A$2:$F$15907,6,FALSE)</f>
        <v>335</v>
      </c>
      <c r="AB143" s="25">
        <f>VLOOKUP(L143,Zones!$A$2:$F$15907,6,FALSE)</f>
        <v>1443</v>
      </c>
    </row>
    <row r="144" spans="2:28">
      <c r="B144" s="40">
        <v>0.69444444444444453</v>
      </c>
      <c r="C144" s="40"/>
      <c r="D144" s="41">
        <v>1</v>
      </c>
      <c r="E144" s="42">
        <v>3</v>
      </c>
      <c r="F144" s="42" t="s">
        <v>172</v>
      </c>
      <c r="G144" s="43" t="s">
        <v>172</v>
      </c>
      <c r="H144" s="42" t="s">
        <v>179</v>
      </c>
      <c r="I144" s="43"/>
      <c r="J144" s="43">
        <v>2</v>
      </c>
      <c r="K144" s="25" t="str">
        <f>VLOOKUP(J144,Key!$E$2:$F$9,2,FALSE)</f>
        <v>Work</v>
      </c>
      <c r="L144" s="42" t="s">
        <v>170</v>
      </c>
      <c r="M144" s="43" t="s">
        <v>171</v>
      </c>
      <c r="N144" s="42" t="s">
        <v>179</v>
      </c>
      <c r="O144" s="43"/>
      <c r="P144" s="43">
        <v>1</v>
      </c>
      <c r="Q144" s="25" t="str">
        <f>VLOOKUP(P144,Key!$E$2:$F$9,2,FALSE)</f>
        <v>Home</v>
      </c>
      <c r="R144" s="25" t="str">
        <f t="shared" si="2"/>
        <v>Work-Home</v>
      </c>
      <c r="S144" s="49"/>
      <c r="T144" s="49">
        <v>2</v>
      </c>
      <c r="U144" s="43">
        <v>3</v>
      </c>
      <c r="V144" s="43"/>
      <c r="W144" s="49"/>
      <c r="X144" s="49"/>
      <c r="Y144" s="50"/>
      <c r="Z144" s="62"/>
      <c r="AA144" s="25">
        <f>VLOOKUP(F144,Zones!$A$2:$F$15907,6,FALSE)</f>
        <v>335</v>
      </c>
      <c r="AB144" s="25">
        <f>VLOOKUP(L144,Zones!$A$2:$F$15907,6,FALSE)</f>
        <v>1443</v>
      </c>
    </row>
    <row r="145" spans="2:28">
      <c r="B145" s="40">
        <v>0.73263888888888884</v>
      </c>
      <c r="C145" s="40"/>
      <c r="D145" s="41">
        <v>9</v>
      </c>
      <c r="E145" s="42">
        <v>4</v>
      </c>
      <c r="F145" s="42" t="s">
        <v>39</v>
      </c>
      <c r="G145" s="43" t="s">
        <v>39</v>
      </c>
      <c r="H145" s="42" t="s">
        <v>179</v>
      </c>
      <c r="I145" s="43"/>
      <c r="J145" s="43">
        <v>4</v>
      </c>
      <c r="K145" s="25" t="str">
        <f>VLOOKUP(J145,Key!$E$2:$F$9,2,FALSE)</f>
        <v>Commercial</v>
      </c>
      <c r="L145" s="42" t="s">
        <v>173</v>
      </c>
      <c r="M145" s="43" t="s">
        <v>167</v>
      </c>
      <c r="N145" s="42" t="s">
        <v>180</v>
      </c>
      <c r="O145" s="43"/>
      <c r="P145" s="43">
        <v>4</v>
      </c>
      <c r="Q145" s="25" t="str">
        <f>VLOOKUP(P145,Key!$E$2:$F$9,2,FALSE)</f>
        <v>Commercial</v>
      </c>
      <c r="R145" s="25" t="str">
        <f t="shared" si="2"/>
        <v>Commercial-Commercial</v>
      </c>
      <c r="S145" s="49"/>
      <c r="T145" s="49">
        <v>48</v>
      </c>
      <c r="U145" s="43">
        <v>4</v>
      </c>
      <c r="V145" s="43">
        <v>9</v>
      </c>
      <c r="W145" s="49"/>
      <c r="X145" s="49"/>
      <c r="Y145" s="50"/>
      <c r="Z145" s="62"/>
      <c r="AA145" s="25">
        <f>VLOOKUP(F145,Zones!$A$2:$F$15907,6,FALSE)</f>
        <v>253</v>
      </c>
      <c r="AB145" s="25">
        <f>VLOOKUP(L145,Zones!$A$2:$F$15907,6,FALSE)</f>
        <v>1443</v>
      </c>
    </row>
    <row r="146" spans="2:28">
      <c r="B146" s="40">
        <v>0.74652777777777779</v>
      </c>
      <c r="C146" s="40"/>
      <c r="D146" s="41">
        <v>2</v>
      </c>
      <c r="E146" s="42">
        <v>7</v>
      </c>
      <c r="F146" s="42" t="s">
        <v>172</v>
      </c>
      <c r="G146" s="43" t="s">
        <v>172</v>
      </c>
      <c r="H146" s="42" t="s">
        <v>179</v>
      </c>
      <c r="I146" s="43"/>
      <c r="J146" s="43">
        <v>4</v>
      </c>
      <c r="K146" s="25" t="str">
        <f>VLOOKUP(J146,Key!$E$2:$F$9,2,FALSE)</f>
        <v>Commercial</v>
      </c>
      <c r="L146" s="42" t="s">
        <v>170</v>
      </c>
      <c r="M146" s="43" t="s">
        <v>171</v>
      </c>
      <c r="N146" s="42" t="s">
        <v>179</v>
      </c>
      <c r="O146" s="43"/>
      <c r="P146" s="43">
        <v>4</v>
      </c>
      <c r="Q146" s="25" t="str">
        <f>VLOOKUP(P146,Key!$E$2:$F$9,2,FALSE)</f>
        <v>Commercial</v>
      </c>
      <c r="R146" s="25" t="str">
        <f t="shared" si="2"/>
        <v>Commercial-Commercial</v>
      </c>
      <c r="S146" s="49"/>
      <c r="T146" s="49">
        <v>2.5</v>
      </c>
      <c r="U146" s="43">
        <v>1</v>
      </c>
      <c r="V146" s="43"/>
      <c r="W146" s="49"/>
      <c r="X146" s="49"/>
      <c r="Y146" s="50"/>
      <c r="Z146" s="62"/>
      <c r="AA146" s="25">
        <f>VLOOKUP(F146,Zones!$A$2:$F$15907,6,FALSE)</f>
        <v>335</v>
      </c>
      <c r="AB146" s="25">
        <f>VLOOKUP(L146,Zones!$A$2:$F$15907,6,FALSE)</f>
        <v>1443</v>
      </c>
    </row>
    <row r="147" spans="2:28">
      <c r="B147" s="40">
        <v>0.75</v>
      </c>
      <c r="C147" s="40"/>
      <c r="D147" s="41">
        <v>2</v>
      </c>
      <c r="E147" s="42">
        <v>8</v>
      </c>
      <c r="F147" s="42" t="s">
        <v>168</v>
      </c>
      <c r="G147" s="43" t="s">
        <v>171</v>
      </c>
      <c r="H147" s="42" t="s">
        <v>179</v>
      </c>
      <c r="I147" s="43"/>
      <c r="J147" s="43">
        <v>4</v>
      </c>
      <c r="K147" s="25" t="str">
        <f>VLOOKUP(J147,Key!$E$2:$F$9,2,FALSE)</f>
        <v>Commercial</v>
      </c>
      <c r="L147" s="42" t="s">
        <v>168</v>
      </c>
      <c r="M147" s="43" t="s">
        <v>171</v>
      </c>
      <c r="N147" s="42" t="s">
        <v>179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Commercial-Commercial</v>
      </c>
      <c r="S147" s="49"/>
      <c r="T147" s="49">
        <v>1</v>
      </c>
      <c r="U147" s="43">
        <v>1</v>
      </c>
      <c r="V147" s="43"/>
      <c r="W147" s="49"/>
      <c r="X147" s="49"/>
      <c r="Y147" s="50"/>
      <c r="Z147" s="62"/>
      <c r="AA147" s="25">
        <f>VLOOKUP(F147,Zones!$A$2:$F$15907,6,FALSE)</f>
        <v>75</v>
      </c>
      <c r="AB147" s="25">
        <f>VLOOKUP(L147,Zones!$A$2:$F$15907,6,FALSE)</f>
        <v>75</v>
      </c>
    </row>
    <row r="148" spans="2:28">
      <c r="B148" s="40">
        <v>0.75694444444444453</v>
      </c>
      <c r="C148" s="40"/>
      <c r="D148" s="41">
        <v>1</v>
      </c>
      <c r="E148" s="42">
        <v>3</v>
      </c>
      <c r="F148" s="42" t="s">
        <v>172</v>
      </c>
      <c r="G148" s="43" t="s">
        <v>172</v>
      </c>
      <c r="H148" s="42" t="s">
        <v>179</v>
      </c>
      <c r="I148" s="43"/>
      <c r="J148" s="43">
        <v>4</v>
      </c>
      <c r="K148" s="25" t="str">
        <f>VLOOKUP(J148,Key!$E$2:$F$9,2,FALSE)</f>
        <v>Commercial</v>
      </c>
      <c r="L148" s="42" t="s">
        <v>170</v>
      </c>
      <c r="M148" s="43" t="s">
        <v>171</v>
      </c>
      <c r="N148" s="42" t="s">
        <v>179</v>
      </c>
      <c r="O148" s="43"/>
      <c r="P148" s="43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49"/>
      <c r="T148" s="49">
        <v>3</v>
      </c>
      <c r="U148" s="43">
        <v>2</v>
      </c>
      <c r="V148" s="43"/>
      <c r="W148" s="49"/>
      <c r="X148" s="49"/>
      <c r="Y148" s="50"/>
      <c r="Z148" s="62"/>
      <c r="AA148" s="25">
        <f>VLOOKUP(F148,Zones!$A$2:$F$15907,6,FALSE)</f>
        <v>335</v>
      </c>
      <c r="AB148" s="25">
        <f>VLOOKUP(L148,Zones!$A$2:$F$15907,6,FALSE)</f>
        <v>1443</v>
      </c>
    </row>
    <row r="149" spans="2:28">
      <c r="B149" s="40">
        <v>0.3</v>
      </c>
      <c r="C149" s="40"/>
      <c r="D149" s="41">
        <v>2</v>
      </c>
      <c r="E149" s="42">
        <v>2</v>
      </c>
      <c r="F149" s="42" t="s">
        <v>167</v>
      </c>
      <c r="G149" s="43" t="s">
        <v>172</v>
      </c>
      <c r="H149" s="42" t="s">
        <v>179</v>
      </c>
      <c r="I149" s="43"/>
      <c r="J149" s="43">
        <v>2</v>
      </c>
      <c r="K149" s="25" t="str">
        <f>VLOOKUP(J149,Key!$E$2:$F$9,2,FALSE)</f>
        <v>Work</v>
      </c>
      <c r="L149" s="42" t="s">
        <v>172</v>
      </c>
      <c r="M149" s="43" t="s">
        <v>172</v>
      </c>
      <c r="N149" s="42" t="s">
        <v>179</v>
      </c>
      <c r="O149" s="43"/>
      <c r="P149" s="43">
        <v>1</v>
      </c>
      <c r="Q149" s="25" t="str">
        <f>VLOOKUP(P149,Key!$E$2:$F$9,2,FALSE)</f>
        <v>Home</v>
      </c>
      <c r="R149" s="25" t="str">
        <f>K149&amp;"-"&amp;Q149</f>
        <v>Work-Home</v>
      </c>
      <c r="S149" s="49"/>
      <c r="T149" s="49">
        <v>3</v>
      </c>
      <c r="U149" s="43">
        <v>2</v>
      </c>
      <c r="V149" s="43"/>
      <c r="W149" s="49">
        <v>0</v>
      </c>
      <c r="X149" s="49"/>
      <c r="Y149" s="50"/>
      <c r="Z149" s="59"/>
      <c r="AA149" s="25">
        <f>VLOOKUP(F149,Zones!$A$2:$F$15907,6,FALSE)</f>
        <v>1443</v>
      </c>
      <c r="AB149" s="25">
        <f>VLOOKUP(L149,Zones!$A$2:$F$15907,6,FALSE)</f>
        <v>335</v>
      </c>
    </row>
    <row r="150" spans="2:28">
      <c r="B150" s="40">
        <v>0.31388888888888888</v>
      </c>
      <c r="C150" s="40"/>
      <c r="D150" s="41">
        <v>1</v>
      </c>
      <c r="E150" s="42"/>
      <c r="F150" s="42" t="s">
        <v>167</v>
      </c>
      <c r="G150" s="43" t="s">
        <v>172</v>
      </c>
      <c r="H150" s="42" t="s">
        <v>179</v>
      </c>
      <c r="I150" s="43"/>
      <c r="J150" s="43">
        <v>2</v>
      </c>
      <c r="K150" s="25" t="str">
        <f>VLOOKUP(J150,Key!$E$2:$F$9,2,FALSE)</f>
        <v>Work</v>
      </c>
      <c r="L150" s="42" t="s">
        <v>172</v>
      </c>
      <c r="M150" s="43" t="s">
        <v>172</v>
      </c>
      <c r="N150" s="42" t="s">
        <v>179</v>
      </c>
      <c r="O150" s="43"/>
      <c r="P150" s="43">
        <v>1</v>
      </c>
      <c r="Q150" s="25" t="str">
        <f>VLOOKUP(P150,Key!$E$2:$F$9,2,FALSE)</f>
        <v>Home</v>
      </c>
      <c r="R150" s="25" t="str">
        <f t="shared" ref="R150:R213" si="3">K150&amp;"-"&amp;Q150</f>
        <v>Work-Home</v>
      </c>
      <c r="S150" s="49"/>
      <c r="T150" s="49">
        <v>1.5</v>
      </c>
      <c r="U150" s="43">
        <v>3</v>
      </c>
      <c r="V150" s="43"/>
      <c r="W150" s="49">
        <v>0</v>
      </c>
      <c r="X150" s="49"/>
      <c r="Y150" s="50"/>
      <c r="Z150" s="59"/>
      <c r="AA150" s="25">
        <f>VLOOKUP(F150,Zones!$A$2:$F$15907,6,FALSE)</f>
        <v>1443</v>
      </c>
      <c r="AB150" s="25">
        <f>VLOOKUP(L150,Zones!$A$2:$F$15907,6,FALSE)</f>
        <v>335</v>
      </c>
    </row>
    <row r="151" spans="2:28">
      <c r="B151" s="40">
        <v>0.31597222222222221</v>
      </c>
      <c r="C151" s="40"/>
      <c r="D151" s="41">
        <v>8</v>
      </c>
      <c r="E151" s="42">
        <v>2</v>
      </c>
      <c r="F151" s="42" t="s">
        <v>173</v>
      </c>
      <c r="G151" s="43" t="s">
        <v>167</v>
      </c>
      <c r="H151" s="42" t="s">
        <v>212</v>
      </c>
      <c r="I151" s="43"/>
      <c r="J151" s="43">
        <v>2</v>
      </c>
      <c r="K151" s="25" t="str">
        <f>VLOOKUP(J151,Key!$E$2:$F$9,2,FALSE)</f>
        <v>Work</v>
      </c>
      <c r="L151" s="42" t="s">
        <v>185</v>
      </c>
      <c r="M151" s="43" t="s">
        <v>183</v>
      </c>
      <c r="N151" s="42" t="s">
        <v>179</v>
      </c>
      <c r="O151" s="43"/>
      <c r="P151" s="43">
        <v>2</v>
      </c>
      <c r="Q151" s="25" t="str">
        <f>VLOOKUP(P151,Key!$E$2:$F$9,2,FALSE)</f>
        <v>Work</v>
      </c>
      <c r="R151" s="25" t="str">
        <f t="shared" si="3"/>
        <v>Work-Work</v>
      </c>
      <c r="S151" s="49"/>
      <c r="T151" s="49">
        <v>12</v>
      </c>
      <c r="U151" s="43">
        <v>3</v>
      </c>
      <c r="V151" s="43">
        <v>1</v>
      </c>
      <c r="W151" s="49">
        <v>25</v>
      </c>
      <c r="X151" s="49"/>
      <c r="Y151" s="50"/>
      <c r="Z151" s="59"/>
      <c r="AA151" s="25">
        <f>VLOOKUP(F151,Zones!$A$2:$F$15907,6,FALSE)</f>
        <v>1443</v>
      </c>
      <c r="AB151" s="25">
        <f>VLOOKUP(L151,Zones!$A$2:$F$15907,6,FALSE)</f>
        <v>572</v>
      </c>
    </row>
    <row r="152" spans="2:28">
      <c r="B152" s="40">
        <v>0.32777777777777778</v>
      </c>
      <c r="C152" s="40"/>
      <c r="D152" s="41">
        <v>1</v>
      </c>
      <c r="E152" s="42">
        <v>1</v>
      </c>
      <c r="F152" s="42" t="s">
        <v>175</v>
      </c>
      <c r="G152" s="43" t="s">
        <v>171</v>
      </c>
      <c r="H152" s="42" t="s">
        <v>179</v>
      </c>
      <c r="I152" s="43"/>
      <c r="J152" s="43">
        <v>1</v>
      </c>
      <c r="K152" s="25" t="str">
        <f>VLOOKUP(J152,Key!$E$2:$F$9,2,FALSE)</f>
        <v>Home</v>
      </c>
      <c r="L152" s="42" t="s">
        <v>187</v>
      </c>
      <c r="M152" s="43" t="s">
        <v>171</v>
      </c>
      <c r="N152" s="42" t="s">
        <v>179</v>
      </c>
      <c r="O152" s="43"/>
      <c r="P152" s="43">
        <v>2</v>
      </c>
      <c r="Q152" s="25" t="str">
        <f>VLOOKUP(P152,Key!$E$2:$F$9,2,FALSE)</f>
        <v>Work</v>
      </c>
      <c r="R152" s="25" t="str">
        <f t="shared" si="3"/>
        <v>Home-Work</v>
      </c>
      <c r="S152" s="49"/>
      <c r="T152" s="49">
        <v>0.5</v>
      </c>
      <c r="U152" s="43">
        <v>2</v>
      </c>
      <c r="V152" s="43"/>
      <c r="W152" s="49">
        <v>0</v>
      </c>
      <c r="X152" s="49"/>
      <c r="Y152" s="50"/>
      <c r="Z152" s="59"/>
      <c r="AA152" s="25">
        <f>VLOOKUP(F152,Zones!$A$2:$F$15907,6,FALSE)</f>
        <v>1443</v>
      </c>
      <c r="AB152" s="25">
        <f>VLOOKUP(L152,Zones!$A$2:$F$15907,6,FALSE)</f>
        <v>1443</v>
      </c>
    </row>
    <row r="153" spans="2:28">
      <c r="B153" s="40">
        <v>0.34236111111111112</v>
      </c>
      <c r="C153" s="40"/>
      <c r="D153" s="41">
        <v>8</v>
      </c>
      <c r="E153" s="42">
        <v>3</v>
      </c>
      <c r="F153" s="42" t="s">
        <v>177</v>
      </c>
      <c r="G153" s="43" t="s">
        <v>171</v>
      </c>
      <c r="H153" s="42" t="s">
        <v>179</v>
      </c>
      <c r="I153" s="43"/>
      <c r="J153" s="43">
        <v>2</v>
      </c>
      <c r="K153" s="25" t="str">
        <f>VLOOKUP(J153,Key!$E$2:$F$9,2,FALSE)</f>
        <v>Work</v>
      </c>
      <c r="L153" s="42" t="s">
        <v>183</v>
      </c>
      <c r="M153" s="43" t="s">
        <v>183</v>
      </c>
      <c r="N153" s="42" t="s">
        <v>179</v>
      </c>
      <c r="O153" s="43"/>
      <c r="P153" s="43">
        <v>1</v>
      </c>
      <c r="Q153" s="25" t="str">
        <f>VLOOKUP(P153,Key!$E$2:$F$9,2,FALSE)</f>
        <v>Home</v>
      </c>
      <c r="R153" s="25" t="str">
        <f t="shared" si="3"/>
        <v>Work-Home</v>
      </c>
      <c r="S153" s="49"/>
      <c r="T153" s="49">
        <v>12</v>
      </c>
      <c r="U153" s="43">
        <v>3</v>
      </c>
      <c r="V153" s="43">
        <v>8</v>
      </c>
      <c r="W153" s="49">
        <v>0</v>
      </c>
      <c r="X153" s="49"/>
      <c r="Y153" s="50"/>
      <c r="Z153" s="59"/>
      <c r="AA153" s="25">
        <f>VLOOKUP(F153,Zones!$A$2:$F$15907,6,FALSE)</f>
        <v>1443</v>
      </c>
      <c r="AB153" s="25">
        <f>VLOOKUP(L153,Zones!$A$2:$F$15907,6,FALSE)</f>
        <v>521</v>
      </c>
    </row>
    <row r="154" spans="2:28">
      <c r="B154" s="40">
        <v>0.34583333333333338</v>
      </c>
      <c r="C154" s="40"/>
      <c r="D154" s="41">
        <v>2</v>
      </c>
      <c r="E154" s="42">
        <v>4</v>
      </c>
      <c r="F154" s="42" t="s">
        <v>170</v>
      </c>
      <c r="G154" s="43" t="s">
        <v>171</v>
      </c>
      <c r="H154" s="42" t="s">
        <v>179</v>
      </c>
      <c r="I154" s="43"/>
      <c r="J154" s="43">
        <v>2</v>
      </c>
      <c r="K154" s="25" t="str">
        <f>VLOOKUP(J154,Key!$E$2:$F$9,2,FALSE)</f>
        <v>Work</v>
      </c>
      <c r="L154" s="42" t="s">
        <v>172</v>
      </c>
      <c r="M154" s="43" t="s">
        <v>172</v>
      </c>
      <c r="N154" s="42" t="s">
        <v>179</v>
      </c>
      <c r="O154" s="43"/>
      <c r="P154" s="43">
        <v>2</v>
      </c>
      <c r="Q154" s="25" t="str">
        <f>VLOOKUP(P154,Key!$E$2:$F$9,2,FALSE)</f>
        <v>Work</v>
      </c>
      <c r="R154" s="25" t="str">
        <f t="shared" si="3"/>
        <v>Work-Work</v>
      </c>
      <c r="S154" s="49"/>
      <c r="T154" s="49">
        <v>2</v>
      </c>
      <c r="U154" s="43">
        <v>2</v>
      </c>
      <c r="V154" s="43"/>
      <c r="W154" s="49">
        <v>0</v>
      </c>
      <c r="X154" s="49"/>
      <c r="Y154" s="50"/>
      <c r="Z154" s="59"/>
      <c r="AA154" s="25">
        <f>VLOOKUP(F154,Zones!$A$2:$F$15907,6,FALSE)</f>
        <v>1443</v>
      </c>
      <c r="AB154" s="25">
        <f>VLOOKUP(L154,Zones!$A$2:$F$15907,6,FALSE)</f>
        <v>335</v>
      </c>
    </row>
    <row r="155" spans="2:28">
      <c r="B155" s="40">
        <v>0.35416666666666669</v>
      </c>
      <c r="C155" s="40"/>
      <c r="D155" s="41">
        <v>2</v>
      </c>
      <c r="E155" s="42">
        <v>5</v>
      </c>
      <c r="F155" s="42" t="s">
        <v>170</v>
      </c>
      <c r="G155" s="43" t="s">
        <v>171</v>
      </c>
      <c r="H155" s="42" t="s">
        <v>179</v>
      </c>
      <c r="I155" s="43"/>
      <c r="J155" s="43">
        <v>1</v>
      </c>
      <c r="K155" s="25" t="str">
        <f>VLOOKUP(J155,Key!$E$2:$F$9,2,FALSE)</f>
        <v>Home</v>
      </c>
      <c r="L155" s="42" t="s">
        <v>183</v>
      </c>
      <c r="M155" s="43" t="s">
        <v>183</v>
      </c>
      <c r="N155" s="42" t="s">
        <v>179</v>
      </c>
      <c r="O155" s="43"/>
      <c r="P155" s="43">
        <v>7</v>
      </c>
      <c r="Q155" s="25" t="str">
        <f>VLOOKUP(P155,Key!$E$2:$F$9,2,FALSE)</f>
        <v>Hospital</v>
      </c>
      <c r="R155" s="25" t="str">
        <f t="shared" si="3"/>
        <v>Home-Hospital</v>
      </c>
      <c r="S155" s="49"/>
      <c r="T155" s="49">
        <v>2</v>
      </c>
      <c r="U155" s="43">
        <v>4</v>
      </c>
      <c r="V155" s="43"/>
      <c r="W155" s="49">
        <v>0</v>
      </c>
      <c r="X155" s="49"/>
      <c r="Y155" s="50"/>
      <c r="Z155" s="59"/>
      <c r="AA155" s="25">
        <f>VLOOKUP(F155,Zones!$A$2:$F$15907,6,FALSE)</f>
        <v>1443</v>
      </c>
      <c r="AB155" s="25">
        <f>VLOOKUP(L155,Zones!$A$2:$F$15907,6,FALSE)</f>
        <v>521</v>
      </c>
    </row>
    <row r="156" spans="2:28">
      <c r="B156" s="40">
        <v>0.35902777777777778</v>
      </c>
      <c r="C156" s="40"/>
      <c r="D156" s="41">
        <v>9</v>
      </c>
      <c r="E156" s="42">
        <v>3</v>
      </c>
      <c r="F156" s="42" t="s">
        <v>170</v>
      </c>
      <c r="G156" s="43" t="s">
        <v>171</v>
      </c>
      <c r="H156" s="42" t="s">
        <v>179</v>
      </c>
      <c r="I156" s="43"/>
      <c r="J156" s="43">
        <v>2</v>
      </c>
      <c r="K156" s="25" t="str">
        <f>VLOOKUP(J156,Key!$E$2:$F$9,2,FALSE)</f>
        <v>Work</v>
      </c>
      <c r="L156" s="42" t="s">
        <v>183</v>
      </c>
      <c r="M156" s="43" t="s">
        <v>183</v>
      </c>
      <c r="N156" s="42" t="s">
        <v>179</v>
      </c>
      <c r="O156" s="43"/>
      <c r="P156" s="43">
        <v>2</v>
      </c>
      <c r="Q156" s="25" t="str">
        <f>VLOOKUP(P156,Key!$E$2:$F$9,2,FALSE)</f>
        <v>Work</v>
      </c>
      <c r="R156" s="25" t="str">
        <f t="shared" si="3"/>
        <v>Work-Work</v>
      </c>
      <c r="S156" s="49"/>
      <c r="T156" s="49">
        <v>168</v>
      </c>
      <c r="U156" s="43">
        <v>3</v>
      </c>
      <c r="V156" s="43">
        <v>7</v>
      </c>
      <c r="W156" s="49">
        <v>20</v>
      </c>
      <c r="X156" s="49"/>
      <c r="Y156" s="50"/>
      <c r="Z156" s="59"/>
      <c r="AA156" s="25">
        <f>VLOOKUP(F156,Zones!$A$2:$F$15907,6,FALSE)</f>
        <v>1443</v>
      </c>
      <c r="AB156" s="25">
        <f>VLOOKUP(L156,Zones!$A$2:$F$15907,6,FALSE)</f>
        <v>521</v>
      </c>
    </row>
    <row r="157" spans="2:28">
      <c r="B157" s="40">
        <v>0.36180555555555555</v>
      </c>
      <c r="C157" s="40"/>
      <c r="D157" s="41">
        <v>8</v>
      </c>
      <c r="E157" s="42">
        <v>3</v>
      </c>
      <c r="F157" s="42" t="s">
        <v>170</v>
      </c>
      <c r="G157" s="43" t="s">
        <v>171</v>
      </c>
      <c r="H157" s="42" t="s">
        <v>179</v>
      </c>
      <c r="I157" s="43"/>
      <c r="J157" s="43">
        <v>2</v>
      </c>
      <c r="K157" s="25" t="str">
        <f>VLOOKUP(J157,Key!$E$2:$F$9,2,FALSE)</f>
        <v>Work</v>
      </c>
      <c r="L157" s="42" t="s">
        <v>183</v>
      </c>
      <c r="M157" s="43" t="s">
        <v>183</v>
      </c>
      <c r="N157" s="42" t="s">
        <v>179</v>
      </c>
      <c r="O157" s="43"/>
      <c r="P157" s="43">
        <v>2</v>
      </c>
      <c r="Q157" s="25" t="str">
        <f>VLOOKUP(P157,Key!$E$2:$F$9,2,FALSE)</f>
        <v>Work</v>
      </c>
      <c r="R157" s="25" t="str">
        <f t="shared" si="3"/>
        <v>Work-Work</v>
      </c>
      <c r="S157" s="49"/>
      <c r="T157" s="49">
        <v>120</v>
      </c>
      <c r="U157" s="43">
        <v>3</v>
      </c>
      <c r="V157" s="43">
        <v>7</v>
      </c>
      <c r="W157" s="49">
        <v>7</v>
      </c>
      <c r="X157" s="49"/>
      <c r="Y157" s="50"/>
      <c r="Z157" s="59"/>
      <c r="AA157" s="25">
        <f>VLOOKUP(F157,Zones!$A$2:$F$15907,6,FALSE)</f>
        <v>1443</v>
      </c>
      <c r="AB157" s="25">
        <f>VLOOKUP(L157,Zones!$A$2:$F$15907,6,FALSE)</f>
        <v>521</v>
      </c>
    </row>
    <row r="158" spans="2:28">
      <c r="B158" s="40">
        <v>0.37013888888888885</v>
      </c>
      <c r="C158" s="40"/>
      <c r="D158" s="41">
        <v>9</v>
      </c>
      <c r="E158" s="42">
        <v>3</v>
      </c>
      <c r="F158" s="42" t="s">
        <v>173</v>
      </c>
      <c r="G158" s="43" t="s">
        <v>167</v>
      </c>
      <c r="H158" s="42" t="s">
        <v>212</v>
      </c>
      <c r="I158" s="43"/>
      <c r="J158" s="43">
        <v>2</v>
      </c>
      <c r="K158" s="25" t="str">
        <f>VLOOKUP(J158,Key!$E$2:$F$9,2,FALSE)</f>
        <v>Work</v>
      </c>
      <c r="L158" s="42" t="s">
        <v>40</v>
      </c>
      <c r="M158" s="43" t="s">
        <v>40</v>
      </c>
      <c r="N158" s="42" t="s">
        <v>179</v>
      </c>
      <c r="O158" s="43"/>
      <c r="P158" s="43">
        <v>1</v>
      </c>
      <c r="Q158" s="25" t="str">
        <f>VLOOKUP(P158,Key!$E$2:$F$9,2,FALSE)</f>
        <v>Home</v>
      </c>
      <c r="R158" s="25" t="str">
        <f t="shared" si="3"/>
        <v>Work-Home</v>
      </c>
      <c r="S158" s="49"/>
      <c r="T158" s="49">
        <v>14</v>
      </c>
      <c r="U158" s="43">
        <v>3</v>
      </c>
      <c r="V158" s="43">
        <v>9</v>
      </c>
      <c r="W158" s="49">
        <v>9</v>
      </c>
      <c r="X158" s="49"/>
      <c r="Y158" s="50"/>
      <c r="Z158" s="59"/>
      <c r="AA158" s="25">
        <f>VLOOKUP(F158,Zones!$A$2:$F$15907,6,FALSE)</f>
        <v>1443</v>
      </c>
      <c r="AB158" s="25">
        <f>VLOOKUP(L158,Zones!$A$2:$F$15907,6,FALSE)</f>
        <v>937</v>
      </c>
    </row>
    <row r="159" spans="2:28">
      <c r="B159" s="40">
        <v>0.37847222222222227</v>
      </c>
      <c r="C159" s="40"/>
      <c r="D159" s="41">
        <v>9</v>
      </c>
      <c r="E159" s="42">
        <v>1</v>
      </c>
      <c r="F159" s="42" t="s">
        <v>170</v>
      </c>
      <c r="G159" s="43" t="s">
        <v>171</v>
      </c>
      <c r="H159" s="42" t="s">
        <v>179</v>
      </c>
      <c r="I159" s="43"/>
      <c r="J159" s="43">
        <v>2</v>
      </c>
      <c r="K159" s="25" t="str">
        <f>VLOOKUP(J159,Key!$E$2:$F$9,2,FALSE)</f>
        <v>Work</v>
      </c>
      <c r="L159" s="42" t="s">
        <v>190</v>
      </c>
      <c r="M159" s="43" t="s">
        <v>190</v>
      </c>
      <c r="N159" s="42" t="s">
        <v>200</v>
      </c>
      <c r="O159" s="43"/>
      <c r="P159" s="43">
        <v>1</v>
      </c>
      <c r="Q159" s="25" t="str">
        <f>VLOOKUP(P159,Key!$E$2:$F$9,2,FALSE)</f>
        <v>Home</v>
      </c>
      <c r="R159" s="25" t="str">
        <f t="shared" si="3"/>
        <v>Work-Home</v>
      </c>
      <c r="S159" s="49"/>
      <c r="T159" s="49">
        <v>20</v>
      </c>
      <c r="U159" s="43">
        <v>3</v>
      </c>
      <c r="V159" s="43">
        <v>4</v>
      </c>
      <c r="W159" s="49">
        <v>15</v>
      </c>
      <c r="X159" s="49"/>
      <c r="Y159" s="50"/>
      <c r="Z159" s="59"/>
      <c r="AA159" s="25">
        <f>VLOOKUP(F159,Zones!$A$2:$F$15907,6,FALSE)</f>
        <v>1443</v>
      </c>
      <c r="AB159" s="25">
        <f>VLOOKUP(L159,Zones!$A$2:$F$15907,6,FALSE)</f>
        <v>1434</v>
      </c>
    </row>
    <row r="160" spans="2:28">
      <c r="B160" s="40">
        <v>0.3833333333333333</v>
      </c>
      <c r="C160" s="40"/>
      <c r="D160" s="41">
        <v>5</v>
      </c>
      <c r="E160" s="42">
        <v>30</v>
      </c>
      <c r="F160" s="42" t="s">
        <v>173</v>
      </c>
      <c r="G160" s="43" t="s">
        <v>167</v>
      </c>
      <c r="H160" s="42" t="s">
        <v>212</v>
      </c>
      <c r="I160" s="43"/>
      <c r="J160" s="43">
        <v>4</v>
      </c>
      <c r="K160" s="25" t="str">
        <f>VLOOKUP(J160,Key!$E$2:$F$9,2,FALSE)</f>
        <v>Commercial</v>
      </c>
      <c r="L160" s="42" t="s">
        <v>183</v>
      </c>
      <c r="M160" s="43" t="s">
        <v>183</v>
      </c>
      <c r="N160" s="42" t="s">
        <v>179</v>
      </c>
      <c r="O160" s="43"/>
      <c r="P160" s="43">
        <v>4</v>
      </c>
      <c r="Q160" s="25" t="str">
        <f>VLOOKUP(P160,Key!$E$2:$F$9,2,FALSE)</f>
        <v>Commercial</v>
      </c>
      <c r="R160" s="25" t="str">
        <f t="shared" si="3"/>
        <v>Commercial-Commercial</v>
      </c>
      <c r="S160" s="49"/>
      <c r="T160" s="49">
        <v>48</v>
      </c>
      <c r="U160" s="43">
        <v>3</v>
      </c>
      <c r="V160" s="43"/>
      <c r="W160" s="49">
        <v>0</v>
      </c>
      <c r="X160" s="49"/>
      <c r="Y160" s="50"/>
      <c r="Z160" s="59"/>
      <c r="AA160" s="25">
        <f>VLOOKUP(F160,Zones!$A$2:$F$15907,6,FALSE)</f>
        <v>1443</v>
      </c>
      <c r="AB160" s="25">
        <f>VLOOKUP(L160,Zones!$A$2:$F$15907,6,FALSE)</f>
        <v>521</v>
      </c>
    </row>
    <row r="161" spans="2:28">
      <c r="B161" s="40">
        <v>0.39097222222222222</v>
      </c>
      <c r="C161" s="40"/>
      <c r="D161" s="41">
        <v>9</v>
      </c>
      <c r="E161" s="42">
        <v>2</v>
      </c>
      <c r="F161" s="42" t="s">
        <v>170</v>
      </c>
      <c r="G161" s="43" t="s">
        <v>171</v>
      </c>
      <c r="H161" s="42" t="s">
        <v>179</v>
      </c>
      <c r="I161" s="43"/>
      <c r="J161" s="43">
        <v>2</v>
      </c>
      <c r="K161" s="25" t="str">
        <f>VLOOKUP(J161,Key!$E$2:$F$9,2,FALSE)</f>
        <v>Work</v>
      </c>
      <c r="L161" s="42" t="s">
        <v>183</v>
      </c>
      <c r="M161" s="43" t="s">
        <v>183</v>
      </c>
      <c r="N161" s="42" t="s">
        <v>179</v>
      </c>
      <c r="O161" s="43"/>
      <c r="P161" s="43">
        <v>2</v>
      </c>
      <c r="Q161" s="25" t="str">
        <f>VLOOKUP(P161,Key!$E$2:$F$9,2,FALSE)</f>
        <v>Work</v>
      </c>
      <c r="R161" s="25" t="str">
        <f t="shared" si="3"/>
        <v>Work-Work</v>
      </c>
      <c r="S161" s="49"/>
      <c r="T161" s="49">
        <v>12</v>
      </c>
      <c r="U161" s="43">
        <v>3</v>
      </c>
      <c r="V161" s="43">
        <v>8</v>
      </c>
      <c r="W161" s="49">
        <v>15</v>
      </c>
      <c r="X161" s="49"/>
      <c r="Y161" s="50"/>
      <c r="Z161" s="59"/>
      <c r="AA161" s="25">
        <f>VLOOKUP(F161,Zones!$A$2:$F$15907,6,FALSE)</f>
        <v>1443</v>
      </c>
      <c r="AB161" s="25">
        <f>VLOOKUP(L161,Zones!$A$2:$F$15907,6,FALSE)</f>
        <v>521</v>
      </c>
    </row>
    <row r="162" spans="2:28">
      <c r="B162" s="40">
        <v>0.39861111111111108</v>
      </c>
      <c r="C162" s="40"/>
      <c r="D162" s="41">
        <v>2</v>
      </c>
      <c r="E162" s="42">
        <v>5</v>
      </c>
      <c r="F162" s="42" t="s">
        <v>170</v>
      </c>
      <c r="G162" s="43" t="s">
        <v>171</v>
      </c>
      <c r="H162" s="42" t="s">
        <v>179</v>
      </c>
      <c r="I162" s="43"/>
      <c r="J162" s="43">
        <v>2</v>
      </c>
      <c r="K162" s="25" t="str">
        <f>VLOOKUP(J162,Key!$E$2:$F$9,2,FALSE)</f>
        <v>Work</v>
      </c>
      <c r="L162" s="42" t="s">
        <v>172</v>
      </c>
      <c r="M162" s="43" t="s">
        <v>172</v>
      </c>
      <c r="N162" s="42" t="s">
        <v>179</v>
      </c>
      <c r="O162" s="43"/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49"/>
      <c r="T162" s="49">
        <v>2</v>
      </c>
      <c r="U162" s="43">
        <v>1</v>
      </c>
      <c r="V162" s="43"/>
      <c r="W162" s="49">
        <v>0</v>
      </c>
      <c r="X162" s="49"/>
      <c r="Y162" s="50"/>
      <c r="Z162" s="59"/>
      <c r="AA162" s="25">
        <f>VLOOKUP(F162,Zones!$A$2:$F$15907,6,FALSE)</f>
        <v>1443</v>
      </c>
      <c r="AB162" s="25">
        <f>VLOOKUP(L162,Zones!$A$2:$F$15907,6,FALSE)</f>
        <v>335</v>
      </c>
    </row>
    <row r="163" spans="2:28">
      <c r="B163" s="40">
        <v>0.40347222222222223</v>
      </c>
      <c r="C163" s="40"/>
      <c r="D163" s="41">
        <v>2</v>
      </c>
      <c r="E163" s="42">
        <v>4</v>
      </c>
      <c r="F163" s="42" t="s">
        <v>170</v>
      </c>
      <c r="G163" s="43" t="s">
        <v>171</v>
      </c>
      <c r="H163" s="42" t="s">
        <v>179</v>
      </c>
      <c r="I163" s="43"/>
      <c r="J163" s="43">
        <v>2</v>
      </c>
      <c r="K163" s="25" t="str">
        <f>VLOOKUP(J163,Key!$E$2:$F$9,2,FALSE)</f>
        <v>Work</v>
      </c>
      <c r="L163" s="42" t="s">
        <v>172</v>
      </c>
      <c r="M163" s="43" t="s">
        <v>172</v>
      </c>
      <c r="N163" s="42" t="s">
        <v>179</v>
      </c>
      <c r="O163" s="43"/>
      <c r="P163" s="43">
        <v>2</v>
      </c>
      <c r="Q163" s="25" t="str">
        <f>VLOOKUP(P163,Key!$E$2:$F$9,2,FALSE)</f>
        <v>Work</v>
      </c>
      <c r="R163" s="25" t="str">
        <f t="shared" si="3"/>
        <v>Work-Work</v>
      </c>
      <c r="S163" s="49"/>
      <c r="T163" s="49">
        <v>2</v>
      </c>
      <c r="U163" s="43">
        <v>1</v>
      </c>
      <c r="V163" s="43"/>
      <c r="W163" s="49">
        <v>0</v>
      </c>
      <c r="X163" s="49"/>
      <c r="Y163" s="50"/>
      <c r="Z163" s="59"/>
      <c r="AA163" s="25">
        <f>VLOOKUP(F163,Zones!$A$2:$F$15907,6,FALSE)</f>
        <v>1443</v>
      </c>
      <c r="AB163" s="25">
        <f>VLOOKUP(L163,Zones!$A$2:$F$15907,6,FALSE)</f>
        <v>335</v>
      </c>
    </row>
    <row r="164" spans="2:28">
      <c r="B164" s="40">
        <v>0.4145833333333333</v>
      </c>
      <c r="C164" s="40"/>
      <c r="D164" s="41">
        <v>1</v>
      </c>
      <c r="E164" s="42">
        <v>3</v>
      </c>
      <c r="F164" s="42" t="s">
        <v>170</v>
      </c>
      <c r="G164" s="43" t="s">
        <v>171</v>
      </c>
      <c r="H164" s="42" t="s">
        <v>179</v>
      </c>
      <c r="I164" s="43"/>
      <c r="J164" s="43">
        <v>2</v>
      </c>
      <c r="K164" s="25" t="str">
        <f>VLOOKUP(J164,Key!$E$2:$F$9,2,FALSE)</f>
        <v>Work</v>
      </c>
      <c r="L164" s="42" t="s">
        <v>183</v>
      </c>
      <c r="M164" s="43" t="s">
        <v>183</v>
      </c>
      <c r="N164" s="42" t="s">
        <v>179</v>
      </c>
      <c r="O164" s="43"/>
      <c r="P164" s="43">
        <v>2</v>
      </c>
      <c r="Q164" s="25" t="str">
        <f>VLOOKUP(P164,Key!$E$2:$F$9,2,FALSE)</f>
        <v>Work</v>
      </c>
      <c r="R164" s="25" t="str">
        <f t="shared" si="3"/>
        <v>Work-Work</v>
      </c>
      <c r="S164" s="49"/>
      <c r="T164" s="49">
        <v>3</v>
      </c>
      <c r="U164" s="43">
        <v>1</v>
      </c>
      <c r="V164" s="43"/>
      <c r="W164" s="49">
        <v>0</v>
      </c>
      <c r="X164" s="49"/>
      <c r="Y164" s="50"/>
      <c r="Z164" s="59"/>
      <c r="AA164" s="25">
        <f>VLOOKUP(F164,Zones!$A$2:$F$15907,6,FALSE)</f>
        <v>1443</v>
      </c>
      <c r="AB164" s="25">
        <f>VLOOKUP(L164,Zones!$A$2:$F$15907,6,FALSE)</f>
        <v>521</v>
      </c>
    </row>
    <row r="165" spans="2:28">
      <c r="B165" s="40">
        <v>0.41875000000000001</v>
      </c>
      <c r="C165" s="40"/>
      <c r="D165" s="41">
        <v>1</v>
      </c>
      <c r="E165" s="42">
        <v>3</v>
      </c>
      <c r="F165" s="42" t="s">
        <v>170</v>
      </c>
      <c r="G165" s="43" t="s">
        <v>171</v>
      </c>
      <c r="H165" s="42" t="s">
        <v>179</v>
      </c>
      <c r="I165" s="43"/>
      <c r="J165" s="43">
        <v>1</v>
      </c>
      <c r="K165" s="25" t="str">
        <f>VLOOKUP(J165,Key!$E$2:$F$9,2,FALSE)</f>
        <v>Home</v>
      </c>
      <c r="L165" s="42" t="s">
        <v>172</v>
      </c>
      <c r="M165" s="43" t="s">
        <v>172</v>
      </c>
      <c r="N165" s="42" t="s">
        <v>179</v>
      </c>
      <c r="O165" s="43"/>
      <c r="P165" s="43">
        <v>2</v>
      </c>
      <c r="Q165" s="25" t="str">
        <f>VLOOKUP(P165,Key!$E$2:$F$9,2,FALSE)</f>
        <v>Work</v>
      </c>
      <c r="R165" s="25" t="str">
        <f t="shared" si="3"/>
        <v>Home-Work</v>
      </c>
      <c r="S165" s="49"/>
      <c r="T165" s="49">
        <v>2</v>
      </c>
      <c r="U165" s="43">
        <v>3</v>
      </c>
      <c r="V165" s="43"/>
      <c r="W165" s="49">
        <v>0</v>
      </c>
      <c r="X165" s="49"/>
      <c r="Y165" s="50"/>
      <c r="Z165" s="59"/>
      <c r="AA165" s="25">
        <f>VLOOKUP(F165,Zones!$A$2:$F$15907,6,FALSE)</f>
        <v>1443</v>
      </c>
      <c r="AB165" s="25">
        <f>VLOOKUP(L165,Zones!$A$2:$F$15907,6,FALSE)</f>
        <v>335</v>
      </c>
    </row>
    <row r="166" spans="2:28">
      <c r="B166" s="40">
        <v>0.42222222222222222</v>
      </c>
      <c r="C166" s="40"/>
      <c r="D166" s="41">
        <v>9</v>
      </c>
      <c r="E166" s="42">
        <v>2</v>
      </c>
      <c r="F166" s="42" t="s">
        <v>173</v>
      </c>
      <c r="G166" s="43" t="s">
        <v>167</v>
      </c>
      <c r="H166" s="42" t="s">
        <v>212</v>
      </c>
      <c r="I166" s="43"/>
      <c r="J166" s="43">
        <v>2</v>
      </c>
      <c r="K166" s="25" t="str">
        <f>VLOOKUP(J166,Key!$E$2:$F$9,2,FALSE)</f>
        <v>Work</v>
      </c>
      <c r="L166" s="42" t="s">
        <v>184</v>
      </c>
      <c r="M166" s="43" t="s">
        <v>184</v>
      </c>
      <c r="N166" s="42" t="s">
        <v>200</v>
      </c>
      <c r="O166" s="43"/>
      <c r="P166" s="43">
        <v>2</v>
      </c>
      <c r="Q166" s="25" t="str">
        <f>VLOOKUP(P166,Key!$E$2:$F$9,2,FALSE)</f>
        <v>Work</v>
      </c>
      <c r="R166" s="25" t="str">
        <f t="shared" si="3"/>
        <v>Work-Work</v>
      </c>
      <c r="S166" s="49"/>
      <c r="T166" s="49">
        <v>48</v>
      </c>
      <c r="U166" s="43">
        <v>3</v>
      </c>
      <c r="V166" s="43">
        <v>2</v>
      </c>
      <c r="W166" s="49">
        <v>25</v>
      </c>
      <c r="X166" s="49"/>
      <c r="Y166" s="50"/>
      <c r="Z166" s="59"/>
      <c r="AA166" s="25">
        <f>VLOOKUP(F166,Zones!$A$2:$F$15907,6,FALSE)</f>
        <v>1443</v>
      </c>
      <c r="AB166" s="25">
        <f>VLOOKUP(L166,Zones!$A$2:$F$15907,6,FALSE)</f>
        <v>1434</v>
      </c>
    </row>
    <row r="167" spans="2:28">
      <c r="B167" s="40">
        <v>0.4236111111111111</v>
      </c>
      <c r="C167" s="40"/>
      <c r="D167" s="41">
        <v>5</v>
      </c>
      <c r="E167" s="42">
        <v>27</v>
      </c>
      <c r="F167" s="42" t="s">
        <v>170</v>
      </c>
      <c r="G167" s="43" t="s">
        <v>171</v>
      </c>
      <c r="H167" s="42" t="s">
        <v>179</v>
      </c>
      <c r="I167" s="43"/>
      <c r="J167" s="43">
        <v>2</v>
      </c>
      <c r="K167" s="25" t="str">
        <f>VLOOKUP(J167,Key!$E$2:$F$9,2,FALSE)</f>
        <v>Work</v>
      </c>
      <c r="L167" s="42" t="s">
        <v>183</v>
      </c>
      <c r="M167" s="43" t="s">
        <v>183</v>
      </c>
      <c r="N167" s="42" t="s">
        <v>179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49"/>
      <c r="T167" s="49">
        <v>8</v>
      </c>
      <c r="U167" s="43">
        <v>2</v>
      </c>
      <c r="V167" s="43"/>
      <c r="W167" s="49">
        <v>0</v>
      </c>
      <c r="X167" s="49"/>
      <c r="Y167" s="50"/>
      <c r="Z167" s="59"/>
      <c r="AA167" s="25">
        <f>VLOOKUP(F167,Zones!$A$2:$F$15907,6,FALSE)</f>
        <v>1443</v>
      </c>
      <c r="AB167" s="25">
        <f>VLOOKUP(L167,Zones!$A$2:$F$15907,6,FALSE)</f>
        <v>521</v>
      </c>
    </row>
    <row r="168" spans="2:28">
      <c r="B168" s="40">
        <v>0.43055555555555558</v>
      </c>
      <c r="C168" s="40"/>
      <c r="D168" s="41">
        <v>8</v>
      </c>
      <c r="E168" s="42">
        <v>2</v>
      </c>
      <c r="F168" s="42" t="s">
        <v>170</v>
      </c>
      <c r="G168" s="43" t="s">
        <v>171</v>
      </c>
      <c r="H168" s="42" t="s">
        <v>179</v>
      </c>
      <c r="I168" s="43"/>
      <c r="J168" s="43">
        <v>2</v>
      </c>
      <c r="K168" s="25" t="str">
        <f>VLOOKUP(J168,Key!$E$2:$F$9,2,FALSE)</f>
        <v>Work</v>
      </c>
      <c r="L168" s="42" t="s">
        <v>172</v>
      </c>
      <c r="M168" s="43" t="s">
        <v>172</v>
      </c>
      <c r="N168" s="42" t="s">
        <v>179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9"/>
      <c r="T168" s="49">
        <v>4</v>
      </c>
      <c r="U168" s="43">
        <v>2</v>
      </c>
      <c r="V168" s="43">
        <v>9</v>
      </c>
      <c r="W168" s="49">
        <v>6</v>
      </c>
      <c r="X168" s="49"/>
      <c r="Y168" s="50"/>
      <c r="Z168" s="59"/>
      <c r="AA168" s="25">
        <f>VLOOKUP(F168,Zones!$A$2:$F$15907,6,FALSE)</f>
        <v>1443</v>
      </c>
      <c r="AB168" s="25">
        <f>VLOOKUP(L168,Zones!$A$2:$F$15907,6,FALSE)</f>
        <v>335</v>
      </c>
    </row>
    <row r="169" spans="2:28">
      <c r="B169" s="40">
        <v>0.43541666666666662</v>
      </c>
      <c r="C169" s="40"/>
      <c r="D169" s="41">
        <v>9</v>
      </c>
      <c r="E169" s="42">
        <v>2</v>
      </c>
      <c r="F169" s="42" t="s">
        <v>173</v>
      </c>
      <c r="G169" s="43" t="s">
        <v>167</v>
      </c>
      <c r="H169" s="42" t="s">
        <v>212</v>
      </c>
      <c r="I169" s="43"/>
      <c r="J169" s="43">
        <v>2</v>
      </c>
      <c r="K169" s="25" t="str">
        <f>VLOOKUP(J169,Key!$E$2:$F$9,2,FALSE)</f>
        <v>Work</v>
      </c>
      <c r="L169" s="42" t="s">
        <v>183</v>
      </c>
      <c r="M169" s="43" t="s">
        <v>183</v>
      </c>
      <c r="N169" s="42" t="s">
        <v>179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9"/>
      <c r="T169" s="49">
        <v>48</v>
      </c>
      <c r="U169" s="43">
        <v>3</v>
      </c>
      <c r="V169" s="43">
        <v>8</v>
      </c>
      <c r="W169" s="49">
        <v>30</v>
      </c>
      <c r="X169" s="49"/>
      <c r="Y169" s="50"/>
      <c r="Z169" s="59"/>
      <c r="AA169" s="25">
        <f>VLOOKUP(F169,Zones!$A$2:$F$15907,6,FALSE)</f>
        <v>1443</v>
      </c>
      <c r="AB169" s="25">
        <f>VLOOKUP(L169,Zones!$A$2:$F$15907,6,FALSE)</f>
        <v>521</v>
      </c>
    </row>
    <row r="170" spans="2:28">
      <c r="B170" s="40">
        <v>0.43958333333333338</v>
      </c>
      <c r="C170" s="40"/>
      <c r="D170" s="41">
        <v>8</v>
      </c>
      <c r="E170" s="42">
        <v>2</v>
      </c>
      <c r="F170" s="42" t="s">
        <v>173</v>
      </c>
      <c r="G170" s="43" t="s">
        <v>167</v>
      </c>
      <c r="H170" s="42" t="s">
        <v>212</v>
      </c>
      <c r="I170" s="43"/>
      <c r="J170" s="43">
        <v>2</v>
      </c>
      <c r="K170" s="25" t="str">
        <f>VLOOKUP(J170,Key!$E$2:$F$9,2,FALSE)</f>
        <v>Work</v>
      </c>
      <c r="L170" s="42" t="s">
        <v>63</v>
      </c>
      <c r="M170" s="43" t="s">
        <v>183</v>
      </c>
      <c r="N170" s="42" t="s">
        <v>179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49"/>
      <c r="T170" s="49">
        <v>24</v>
      </c>
      <c r="U170" s="43">
        <v>3</v>
      </c>
      <c r="V170" s="43">
        <v>6</v>
      </c>
      <c r="W170" s="49">
        <v>22</v>
      </c>
      <c r="X170" s="49"/>
      <c r="Y170" s="50"/>
      <c r="Z170" s="59"/>
      <c r="AA170" s="25">
        <f>VLOOKUP(F170,Zones!$A$2:$F$15907,6,FALSE)</f>
        <v>1443</v>
      </c>
      <c r="AB170" s="25">
        <f>VLOOKUP(L170,Zones!$A$2:$F$15907,6,FALSE)</f>
        <v>538</v>
      </c>
    </row>
    <row r="171" spans="2:28">
      <c r="B171" s="40">
        <v>0.44305555555555554</v>
      </c>
      <c r="C171" s="40"/>
      <c r="D171" s="41">
        <v>9</v>
      </c>
      <c r="E171" s="42">
        <v>2</v>
      </c>
      <c r="F171" s="42" t="s">
        <v>173</v>
      </c>
      <c r="G171" s="43" t="s">
        <v>167</v>
      </c>
      <c r="H171" s="42" t="s">
        <v>212</v>
      </c>
      <c r="I171" s="43"/>
      <c r="J171" s="43">
        <v>2</v>
      </c>
      <c r="K171" s="25" t="str">
        <f>VLOOKUP(J171,Key!$E$2:$F$9,2,FALSE)</f>
        <v>Work</v>
      </c>
      <c r="L171" s="42" t="s">
        <v>183</v>
      </c>
      <c r="M171" s="43" t="s">
        <v>183</v>
      </c>
      <c r="N171" s="42" t="s">
        <v>179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49"/>
      <c r="T171" s="49">
        <v>16</v>
      </c>
      <c r="U171" s="43">
        <v>3</v>
      </c>
      <c r="V171" s="43">
        <v>8</v>
      </c>
      <c r="W171" s="49">
        <v>25</v>
      </c>
      <c r="X171" s="49"/>
      <c r="Y171" s="50"/>
      <c r="Z171" s="59"/>
      <c r="AA171" s="25">
        <f>VLOOKUP(F171,Zones!$A$2:$F$15907,6,FALSE)</f>
        <v>1443</v>
      </c>
      <c r="AB171" s="25">
        <f>VLOOKUP(L171,Zones!$A$2:$F$15907,6,FALSE)</f>
        <v>521</v>
      </c>
    </row>
    <row r="172" spans="2:28">
      <c r="B172" s="40">
        <v>0.44722222222222219</v>
      </c>
      <c r="C172" s="40"/>
      <c r="D172" s="41">
        <v>8</v>
      </c>
      <c r="E172" s="42">
        <v>2</v>
      </c>
      <c r="F172" s="42" t="s">
        <v>173</v>
      </c>
      <c r="G172" s="43" t="s">
        <v>167</v>
      </c>
      <c r="H172" s="42" t="s">
        <v>212</v>
      </c>
      <c r="I172" s="43"/>
      <c r="J172" s="43">
        <v>2</v>
      </c>
      <c r="K172" s="25" t="str">
        <f>VLOOKUP(J172,Key!$E$2:$F$9,2,FALSE)</f>
        <v>Work</v>
      </c>
      <c r="L172" s="42" t="s">
        <v>183</v>
      </c>
      <c r="M172" s="43" t="s">
        <v>183</v>
      </c>
      <c r="N172" s="42" t="s">
        <v>179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49"/>
      <c r="T172" s="49">
        <v>24</v>
      </c>
      <c r="U172" s="43">
        <v>3</v>
      </c>
      <c r="V172" s="43">
        <v>7</v>
      </c>
      <c r="W172" s="49">
        <v>2</v>
      </c>
      <c r="X172" s="49"/>
      <c r="Y172" s="50"/>
      <c r="Z172" s="59"/>
      <c r="AA172" s="25">
        <f>VLOOKUP(F172,Zones!$A$2:$F$15907,6,FALSE)</f>
        <v>1443</v>
      </c>
      <c r="AB172" s="25">
        <f>VLOOKUP(L172,Zones!$A$2:$F$15907,6,FALSE)</f>
        <v>521</v>
      </c>
    </row>
    <row r="173" spans="2:28">
      <c r="B173" s="40">
        <v>0.44930555555555557</v>
      </c>
      <c r="C173" s="40"/>
      <c r="D173" s="41">
        <v>2</v>
      </c>
      <c r="E173" s="42">
        <v>2</v>
      </c>
      <c r="F173" s="42" t="s">
        <v>170</v>
      </c>
      <c r="G173" s="43" t="s">
        <v>171</v>
      </c>
      <c r="H173" s="42" t="s">
        <v>179</v>
      </c>
      <c r="I173" s="43"/>
      <c r="J173" s="43">
        <v>2</v>
      </c>
      <c r="K173" s="25" t="str">
        <f>VLOOKUP(J173,Key!$E$2:$F$9,2,FALSE)</f>
        <v>Work</v>
      </c>
      <c r="L173" s="42" t="s">
        <v>172</v>
      </c>
      <c r="M173" s="43" t="s">
        <v>172</v>
      </c>
      <c r="N173" s="42" t="s">
        <v>179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49"/>
      <c r="T173" s="49">
        <v>2</v>
      </c>
      <c r="U173" s="43">
        <v>2</v>
      </c>
      <c r="V173" s="43">
        <v>5</v>
      </c>
      <c r="W173" s="49">
        <v>0</v>
      </c>
      <c r="X173" s="49"/>
      <c r="Y173" s="50"/>
      <c r="Z173" s="59"/>
      <c r="AA173" s="25">
        <f>VLOOKUP(F173,Zones!$A$2:$F$15907,6,FALSE)</f>
        <v>1443</v>
      </c>
      <c r="AB173" s="25">
        <f>VLOOKUP(L173,Zones!$A$2:$F$15907,6,FALSE)</f>
        <v>335</v>
      </c>
    </row>
    <row r="174" spans="2:28">
      <c r="B174" s="40">
        <v>0.45277777777777778</v>
      </c>
      <c r="C174" s="40"/>
      <c r="D174" s="41">
        <v>6</v>
      </c>
      <c r="E174" s="42">
        <v>1</v>
      </c>
      <c r="F174" s="42" t="s">
        <v>170</v>
      </c>
      <c r="G174" s="43" t="s">
        <v>171</v>
      </c>
      <c r="H174" s="42" t="s">
        <v>179</v>
      </c>
      <c r="I174" s="43"/>
      <c r="J174" s="43">
        <v>2</v>
      </c>
      <c r="K174" s="25" t="str">
        <f>VLOOKUP(J174,Key!$E$2:$F$9,2,FALSE)</f>
        <v>Work</v>
      </c>
      <c r="L174" s="42" t="s">
        <v>168</v>
      </c>
      <c r="M174" s="43" t="s">
        <v>171</v>
      </c>
      <c r="N174" s="42" t="s">
        <v>179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9"/>
      <c r="T174" s="49">
        <v>0.5</v>
      </c>
      <c r="U174" s="43">
        <v>1</v>
      </c>
      <c r="V174" s="43"/>
      <c r="W174" s="49">
        <v>0</v>
      </c>
      <c r="X174" s="49"/>
      <c r="Y174" s="50"/>
      <c r="Z174" s="59"/>
      <c r="AA174" s="25">
        <f>VLOOKUP(F174,Zones!$A$2:$F$15907,6,FALSE)</f>
        <v>1443</v>
      </c>
      <c r="AB174" s="25">
        <f>VLOOKUP(L174,Zones!$A$2:$F$15907,6,FALSE)</f>
        <v>75</v>
      </c>
    </row>
    <row r="175" spans="2:28">
      <c r="B175" s="40">
        <v>0.45624999999999999</v>
      </c>
      <c r="C175" s="40"/>
      <c r="D175" s="41">
        <v>8</v>
      </c>
      <c r="E175" s="42">
        <v>2</v>
      </c>
      <c r="F175" s="42" t="s">
        <v>173</v>
      </c>
      <c r="G175" s="43" t="s">
        <v>167</v>
      </c>
      <c r="H175" s="42" t="s">
        <v>212</v>
      </c>
      <c r="I175" s="43"/>
      <c r="J175" s="43">
        <v>2</v>
      </c>
      <c r="K175" s="25" t="str">
        <f>VLOOKUP(J175,Key!$E$2:$F$9,2,FALSE)</f>
        <v>Work</v>
      </c>
      <c r="L175" s="42" t="s">
        <v>183</v>
      </c>
      <c r="M175" s="43" t="s">
        <v>183</v>
      </c>
      <c r="N175" s="42" t="s">
        <v>179</v>
      </c>
      <c r="O175" s="43"/>
      <c r="P175" s="43">
        <v>1</v>
      </c>
      <c r="Q175" s="25" t="str">
        <f>VLOOKUP(P175,Key!$E$2:$F$9,2,FALSE)</f>
        <v>Home</v>
      </c>
      <c r="R175" s="25" t="str">
        <f t="shared" si="3"/>
        <v>Work-Home</v>
      </c>
      <c r="S175" s="49"/>
      <c r="T175" s="49">
        <v>24</v>
      </c>
      <c r="U175" s="43">
        <v>3</v>
      </c>
      <c r="V175" s="43">
        <v>9</v>
      </c>
      <c r="W175" s="49">
        <v>12</v>
      </c>
      <c r="X175" s="49"/>
      <c r="Y175" s="50"/>
      <c r="Z175" s="59"/>
      <c r="AA175" s="25">
        <f>VLOOKUP(F175,Zones!$A$2:$F$15907,6,FALSE)</f>
        <v>1443</v>
      </c>
      <c r="AB175" s="25">
        <f>VLOOKUP(L175,Zones!$A$2:$F$15907,6,FALSE)</f>
        <v>521</v>
      </c>
    </row>
    <row r="176" spans="2:28">
      <c r="B176" s="40">
        <v>0.45902777777777781</v>
      </c>
      <c r="C176" s="40"/>
      <c r="D176" s="41">
        <v>1</v>
      </c>
      <c r="E176" s="42">
        <v>7</v>
      </c>
      <c r="F176" s="42" t="s">
        <v>170</v>
      </c>
      <c r="G176" s="43" t="s">
        <v>171</v>
      </c>
      <c r="H176" s="42" t="s">
        <v>179</v>
      </c>
      <c r="I176" s="43"/>
      <c r="J176" s="43">
        <v>2</v>
      </c>
      <c r="K176" s="25" t="str">
        <f>VLOOKUP(J176,Key!$E$2:$F$9,2,FALSE)</f>
        <v>Work</v>
      </c>
      <c r="L176" s="42" t="s">
        <v>172</v>
      </c>
      <c r="M176" s="43" t="s">
        <v>172</v>
      </c>
      <c r="N176" s="42" t="s">
        <v>179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9"/>
      <c r="T176" s="49">
        <v>2</v>
      </c>
      <c r="U176" s="43">
        <v>1</v>
      </c>
      <c r="V176" s="43"/>
      <c r="W176" s="49">
        <v>0</v>
      </c>
      <c r="X176" s="49"/>
      <c r="Y176" s="50"/>
      <c r="Z176" s="59"/>
      <c r="AA176" s="25">
        <f>VLOOKUP(F176,Zones!$A$2:$F$15907,6,FALSE)</f>
        <v>1443</v>
      </c>
      <c r="AB176" s="25">
        <f>VLOOKUP(L176,Zones!$A$2:$F$15907,6,FALSE)</f>
        <v>335</v>
      </c>
    </row>
    <row r="177" spans="2:28">
      <c r="B177" s="40">
        <v>0.46180555555555558</v>
      </c>
      <c r="C177" s="40"/>
      <c r="D177" s="41">
        <v>1</v>
      </c>
      <c r="E177" s="42">
        <v>7</v>
      </c>
      <c r="F177" s="42" t="s">
        <v>170</v>
      </c>
      <c r="G177" s="43" t="s">
        <v>171</v>
      </c>
      <c r="H177" s="42" t="s">
        <v>179</v>
      </c>
      <c r="I177" s="43"/>
      <c r="J177" s="43">
        <v>2</v>
      </c>
      <c r="K177" s="25" t="str">
        <f>VLOOKUP(J177,Key!$E$2:$F$9,2,FALSE)</f>
        <v>Work</v>
      </c>
      <c r="L177" s="42" t="s">
        <v>172</v>
      </c>
      <c r="M177" s="43" t="s">
        <v>172</v>
      </c>
      <c r="N177" s="42" t="s">
        <v>179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49"/>
      <c r="T177" s="49">
        <v>2</v>
      </c>
      <c r="U177" s="43">
        <v>1</v>
      </c>
      <c r="V177" s="43"/>
      <c r="W177" s="49">
        <v>0</v>
      </c>
      <c r="X177" s="49"/>
      <c r="Y177" s="50"/>
      <c r="Z177" s="59"/>
      <c r="AA177" s="25">
        <f>VLOOKUP(F177,Zones!$A$2:$F$15907,6,FALSE)</f>
        <v>1443</v>
      </c>
      <c r="AB177" s="25">
        <f>VLOOKUP(L177,Zones!$A$2:$F$15907,6,FALSE)</f>
        <v>335</v>
      </c>
    </row>
    <row r="178" spans="2:28">
      <c r="B178" s="40">
        <v>0.46597222222222223</v>
      </c>
      <c r="C178" s="40"/>
      <c r="D178" s="41">
        <v>8</v>
      </c>
      <c r="E178" s="42">
        <v>3</v>
      </c>
      <c r="F178" s="42" t="s">
        <v>170</v>
      </c>
      <c r="G178" s="43" t="s">
        <v>171</v>
      </c>
      <c r="H178" s="42" t="s">
        <v>179</v>
      </c>
      <c r="I178" s="43"/>
      <c r="J178" s="43">
        <v>2</v>
      </c>
      <c r="K178" s="25" t="str">
        <f>VLOOKUP(J178,Key!$E$2:$F$9,2,FALSE)</f>
        <v>Work</v>
      </c>
      <c r="L178" s="42" t="s">
        <v>28</v>
      </c>
      <c r="M178" s="43" t="s">
        <v>183</v>
      </c>
      <c r="N178" s="42" t="s">
        <v>179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9"/>
      <c r="T178" s="49">
        <v>12</v>
      </c>
      <c r="U178" s="43">
        <v>4</v>
      </c>
      <c r="V178" s="43">
        <v>7</v>
      </c>
      <c r="W178" s="49">
        <v>50</v>
      </c>
      <c r="X178" s="49"/>
      <c r="Y178" s="50"/>
      <c r="Z178" s="59"/>
      <c r="AA178" s="25">
        <f>VLOOKUP(F178,Zones!$A$2:$F$15907,6,FALSE)</f>
        <v>1443</v>
      </c>
      <c r="AB178" s="25">
        <f>VLOOKUP(L178,Zones!$A$2:$F$15907,6,FALSE)</f>
        <v>1386</v>
      </c>
    </row>
    <row r="179" spans="2:28">
      <c r="B179" s="40">
        <v>0.48125000000000001</v>
      </c>
      <c r="C179" s="40"/>
      <c r="D179" s="41">
        <v>1</v>
      </c>
      <c r="E179" s="42">
        <v>6</v>
      </c>
      <c r="F179" s="42" t="s">
        <v>170</v>
      </c>
      <c r="G179" s="43" t="s">
        <v>171</v>
      </c>
      <c r="H179" s="42" t="s">
        <v>179</v>
      </c>
      <c r="I179" s="43"/>
      <c r="J179" s="43">
        <v>2</v>
      </c>
      <c r="K179" s="25" t="str">
        <f>VLOOKUP(J179,Key!$E$2:$F$9,2,FALSE)</f>
        <v>Work</v>
      </c>
      <c r="L179" s="42" t="s">
        <v>172</v>
      </c>
      <c r="M179" s="43" t="s">
        <v>172</v>
      </c>
      <c r="N179" s="42" t="s">
        <v>179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49"/>
      <c r="T179" s="49">
        <v>2</v>
      </c>
      <c r="U179" s="43">
        <v>1</v>
      </c>
      <c r="V179" s="43"/>
      <c r="W179" s="49">
        <v>0</v>
      </c>
      <c r="X179" s="49"/>
      <c r="Y179" s="50"/>
      <c r="Z179" s="59"/>
      <c r="AA179" s="25">
        <f>VLOOKUP(F179,Zones!$A$2:$F$15907,6,FALSE)</f>
        <v>1443</v>
      </c>
      <c r="AB179" s="25">
        <f>VLOOKUP(L179,Zones!$A$2:$F$15907,6,FALSE)</f>
        <v>335</v>
      </c>
    </row>
    <row r="180" spans="2:28">
      <c r="B180" s="40">
        <v>0.48888888888888887</v>
      </c>
      <c r="C180" s="40"/>
      <c r="D180" s="41">
        <v>9</v>
      </c>
      <c r="E180" s="42">
        <v>2</v>
      </c>
      <c r="F180" s="42" t="s">
        <v>173</v>
      </c>
      <c r="G180" s="43" t="s">
        <v>167</v>
      </c>
      <c r="H180" s="42" t="s">
        <v>212</v>
      </c>
      <c r="I180" s="43"/>
      <c r="J180" s="43">
        <v>2</v>
      </c>
      <c r="K180" s="25" t="str">
        <f>VLOOKUP(J180,Key!$E$2:$F$9,2,FALSE)</f>
        <v>Work</v>
      </c>
      <c r="L180" s="42" t="s">
        <v>172</v>
      </c>
      <c r="M180" s="43" t="s">
        <v>172</v>
      </c>
      <c r="N180" s="42" t="s">
        <v>179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49"/>
      <c r="T180" s="49">
        <v>4</v>
      </c>
      <c r="U180" s="43">
        <v>3</v>
      </c>
      <c r="V180" s="43">
        <v>8</v>
      </c>
      <c r="W180" s="49">
        <v>10</v>
      </c>
      <c r="X180" s="49"/>
      <c r="Y180" s="50"/>
      <c r="Z180" s="59"/>
      <c r="AA180" s="25">
        <f>VLOOKUP(F180,Zones!$A$2:$F$15907,6,FALSE)</f>
        <v>1443</v>
      </c>
      <c r="AB180" s="25">
        <f>VLOOKUP(L180,Zones!$A$2:$F$15907,6,FALSE)</f>
        <v>335</v>
      </c>
    </row>
    <row r="181" spans="2:28">
      <c r="B181" s="40">
        <v>0.49236111111111108</v>
      </c>
      <c r="C181" s="40"/>
      <c r="D181" s="41">
        <v>9</v>
      </c>
      <c r="E181" s="42">
        <v>2</v>
      </c>
      <c r="F181" s="42" t="s">
        <v>173</v>
      </c>
      <c r="G181" s="43" t="s">
        <v>167</v>
      </c>
      <c r="H181" s="42" t="s">
        <v>212</v>
      </c>
      <c r="I181" s="43"/>
      <c r="J181" s="43">
        <v>2</v>
      </c>
      <c r="K181" s="25" t="str">
        <f>VLOOKUP(J181,Key!$E$2:$F$9,2,FALSE)</f>
        <v>Work</v>
      </c>
      <c r="L181" s="42" t="s">
        <v>185</v>
      </c>
      <c r="M181" s="43" t="s">
        <v>183</v>
      </c>
      <c r="N181" s="42" t="s">
        <v>179</v>
      </c>
      <c r="O181" s="43"/>
      <c r="P181" s="43">
        <v>1</v>
      </c>
      <c r="Q181" s="25" t="str">
        <f>VLOOKUP(P181,Key!$E$2:$F$9,2,FALSE)</f>
        <v>Home</v>
      </c>
      <c r="R181" s="25" t="str">
        <f t="shared" si="3"/>
        <v>Work-Home</v>
      </c>
      <c r="S181" s="49"/>
      <c r="T181" s="49">
        <v>12</v>
      </c>
      <c r="U181" s="43">
        <v>3</v>
      </c>
      <c r="V181" s="43">
        <v>8</v>
      </c>
      <c r="W181" s="49">
        <v>27</v>
      </c>
      <c r="X181" s="49"/>
      <c r="Y181" s="50"/>
      <c r="Z181" s="59"/>
      <c r="AA181" s="25">
        <f>VLOOKUP(F181,Zones!$A$2:$F$15907,6,FALSE)</f>
        <v>1443</v>
      </c>
      <c r="AB181" s="25">
        <f>VLOOKUP(L181,Zones!$A$2:$F$15907,6,FALSE)</f>
        <v>572</v>
      </c>
    </row>
    <row r="182" spans="2:28">
      <c r="B182" s="40">
        <v>0.49791666666666662</v>
      </c>
      <c r="C182" s="40"/>
      <c r="D182" s="41">
        <v>6</v>
      </c>
      <c r="E182" s="42">
        <v>2</v>
      </c>
      <c r="F182" s="42" t="s">
        <v>170</v>
      </c>
      <c r="G182" s="43" t="s">
        <v>171</v>
      </c>
      <c r="H182" s="42" t="s">
        <v>179</v>
      </c>
      <c r="I182" s="43"/>
      <c r="J182" s="43">
        <v>2</v>
      </c>
      <c r="K182" s="25" t="str">
        <f>VLOOKUP(J182,Key!$E$2:$F$9,2,FALSE)</f>
        <v>Work</v>
      </c>
      <c r="L182" s="42" t="s">
        <v>168</v>
      </c>
      <c r="M182" s="43" t="s">
        <v>171</v>
      </c>
      <c r="N182" s="42" t="s">
        <v>179</v>
      </c>
      <c r="O182" s="43"/>
      <c r="P182" s="43">
        <v>1</v>
      </c>
      <c r="Q182" s="25" t="str">
        <f>VLOOKUP(P182,Key!$E$2:$F$9,2,FALSE)</f>
        <v>Home</v>
      </c>
      <c r="R182" s="25" t="str">
        <f t="shared" si="3"/>
        <v>Work-Home</v>
      </c>
      <c r="S182" s="49"/>
      <c r="T182" s="49"/>
      <c r="U182" s="43">
        <v>1</v>
      </c>
      <c r="V182" s="43"/>
      <c r="W182" s="49">
        <v>0</v>
      </c>
      <c r="X182" s="49"/>
      <c r="Y182" s="50"/>
      <c r="Z182" s="59"/>
      <c r="AA182" s="25">
        <f>VLOOKUP(F182,Zones!$A$2:$F$15907,6,FALSE)</f>
        <v>1443</v>
      </c>
      <c r="AB182" s="25">
        <f>VLOOKUP(L182,Zones!$A$2:$F$15907,6,FALSE)</f>
        <v>75</v>
      </c>
    </row>
    <row r="183" spans="2:28">
      <c r="B183" s="40">
        <v>0.5</v>
      </c>
      <c r="C183" s="40"/>
      <c r="D183" s="41">
        <v>2</v>
      </c>
      <c r="E183" s="42">
        <v>6</v>
      </c>
      <c r="F183" s="42" t="s">
        <v>170</v>
      </c>
      <c r="G183" s="43" t="s">
        <v>171</v>
      </c>
      <c r="H183" s="42" t="s">
        <v>179</v>
      </c>
      <c r="I183" s="43"/>
      <c r="J183" s="43">
        <v>2</v>
      </c>
      <c r="K183" s="25" t="str">
        <f>VLOOKUP(J183,Key!$E$2:$F$9,2,FALSE)</f>
        <v>Work</v>
      </c>
      <c r="L183" s="42" t="s">
        <v>172</v>
      </c>
      <c r="M183" s="43" t="s">
        <v>172</v>
      </c>
      <c r="N183" s="42" t="s">
        <v>179</v>
      </c>
      <c r="O183" s="43"/>
      <c r="P183" s="43">
        <v>1</v>
      </c>
      <c r="Q183" s="25" t="str">
        <f>VLOOKUP(P183,Key!$E$2:$F$9,2,FALSE)</f>
        <v>Home</v>
      </c>
      <c r="R183" s="25" t="str">
        <f t="shared" si="3"/>
        <v>Work-Home</v>
      </c>
      <c r="S183" s="49"/>
      <c r="T183" s="49">
        <v>1.5</v>
      </c>
      <c r="U183" s="43">
        <v>1</v>
      </c>
      <c r="V183" s="43"/>
      <c r="W183" s="49">
        <v>0</v>
      </c>
      <c r="X183" s="49"/>
      <c r="Y183" s="50"/>
      <c r="Z183" s="59"/>
      <c r="AA183" s="25">
        <f>VLOOKUP(F183,Zones!$A$2:$F$15907,6,FALSE)</f>
        <v>1443</v>
      </c>
      <c r="AB183" s="25">
        <f>VLOOKUP(L183,Zones!$A$2:$F$15907,6,FALSE)</f>
        <v>335</v>
      </c>
    </row>
    <row r="184" spans="2:28">
      <c r="B184" s="40">
        <v>0.50347222222222221</v>
      </c>
      <c r="C184" s="40"/>
      <c r="D184" s="41">
        <v>8</v>
      </c>
      <c r="E184" s="42">
        <v>3</v>
      </c>
      <c r="F184" s="42" t="s">
        <v>170</v>
      </c>
      <c r="G184" s="43" t="s">
        <v>171</v>
      </c>
      <c r="H184" s="42" t="s">
        <v>179</v>
      </c>
      <c r="I184" s="43"/>
      <c r="J184" s="43">
        <v>2</v>
      </c>
      <c r="K184" s="25" t="str">
        <f>VLOOKUP(J184,Key!$E$2:$F$9,2,FALSE)</f>
        <v>Work</v>
      </c>
      <c r="L184" s="42" t="s">
        <v>168</v>
      </c>
      <c r="M184" s="43" t="s">
        <v>171</v>
      </c>
      <c r="N184" s="42" t="s">
        <v>179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49"/>
      <c r="T184" s="49">
        <v>1</v>
      </c>
      <c r="U184" s="43">
        <v>1</v>
      </c>
      <c r="V184" s="43">
        <v>5</v>
      </c>
      <c r="W184" s="49">
        <v>2</v>
      </c>
      <c r="X184" s="49"/>
      <c r="Y184" s="50"/>
      <c r="Z184" s="59"/>
      <c r="AA184" s="25">
        <f>VLOOKUP(F184,Zones!$A$2:$F$15907,6,FALSE)</f>
        <v>1443</v>
      </c>
      <c r="AB184" s="25">
        <f>VLOOKUP(L184,Zones!$A$2:$F$15907,6,FALSE)</f>
        <v>75</v>
      </c>
    </row>
    <row r="185" spans="2:28">
      <c r="B185" s="40">
        <v>0.50902777777777775</v>
      </c>
      <c r="C185" s="40"/>
      <c r="D185" s="41">
        <v>1</v>
      </c>
      <c r="E185" s="42">
        <v>6</v>
      </c>
      <c r="F185" s="42" t="s">
        <v>170</v>
      </c>
      <c r="G185" s="43" t="s">
        <v>171</v>
      </c>
      <c r="H185" s="42" t="s">
        <v>179</v>
      </c>
      <c r="I185" s="43"/>
      <c r="J185" s="43">
        <v>2</v>
      </c>
      <c r="K185" s="25" t="str">
        <f>VLOOKUP(J185,Key!$E$2:$F$9,2,FALSE)</f>
        <v>Work</v>
      </c>
      <c r="L185" s="42" t="s">
        <v>172</v>
      </c>
      <c r="M185" s="43" t="s">
        <v>172</v>
      </c>
      <c r="N185" s="42" t="s">
        <v>179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49"/>
      <c r="T185" s="49">
        <v>1.5</v>
      </c>
      <c r="U185" s="43">
        <v>1</v>
      </c>
      <c r="V185" s="43"/>
      <c r="W185" s="49">
        <v>0</v>
      </c>
      <c r="X185" s="49"/>
      <c r="Y185" s="50"/>
      <c r="Z185" s="59"/>
      <c r="AA185" s="25">
        <f>VLOOKUP(F185,Zones!$A$2:$F$15907,6,FALSE)</f>
        <v>1443</v>
      </c>
      <c r="AB185" s="25">
        <f>VLOOKUP(L185,Zones!$A$2:$F$15907,6,FALSE)</f>
        <v>335</v>
      </c>
    </row>
    <row r="186" spans="2:28">
      <c r="B186" s="40">
        <v>0.5229166666666667</v>
      </c>
      <c r="C186" s="40"/>
      <c r="D186" s="41">
        <v>9</v>
      </c>
      <c r="E186" s="42">
        <v>2</v>
      </c>
      <c r="F186" s="42" t="s">
        <v>173</v>
      </c>
      <c r="G186" s="43" t="s">
        <v>167</v>
      </c>
      <c r="H186" s="42" t="s">
        <v>212</v>
      </c>
      <c r="I186" s="43"/>
      <c r="J186" s="43">
        <v>2</v>
      </c>
      <c r="K186" s="25" t="str">
        <f>VLOOKUP(J186,Key!$E$2:$F$9,2,FALSE)</f>
        <v>Work</v>
      </c>
      <c r="L186" s="42" t="s">
        <v>183</v>
      </c>
      <c r="M186" s="43" t="s">
        <v>183</v>
      </c>
      <c r="N186" s="42" t="s">
        <v>179</v>
      </c>
      <c r="O186" s="43"/>
      <c r="P186" s="43">
        <v>1</v>
      </c>
      <c r="Q186" s="25" t="str">
        <f>VLOOKUP(P186,Key!$E$2:$F$9,2,FALSE)</f>
        <v>Home</v>
      </c>
      <c r="R186" s="25" t="str">
        <f t="shared" si="3"/>
        <v>Work-Home</v>
      </c>
      <c r="S186" s="49"/>
      <c r="T186" s="49">
        <v>12</v>
      </c>
      <c r="U186" s="43">
        <v>3</v>
      </c>
      <c r="V186" s="43">
        <v>9</v>
      </c>
      <c r="W186" s="49">
        <v>5</v>
      </c>
      <c r="X186" s="49"/>
      <c r="Y186" s="50"/>
      <c r="Z186" s="59"/>
      <c r="AA186" s="25">
        <f>VLOOKUP(F186,Zones!$A$2:$F$15907,6,FALSE)</f>
        <v>1443</v>
      </c>
      <c r="AB186" s="25">
        <f>VLOOKUP(L186,Zones!$A$2:$F$15907,6,FALSE)</f>
        <v>521</v>
      </c>
    </row>
    <row r="187" spans="2:28">
      <c r="B187" s="40">
        <v>0.52569444444444446</v>
      </c>
      <c r="C187" s="40"/>
      <c r="D187" s="41">
        <v>2</v>
      </c>
      <c r="E187" s="42">
        <v>3</v>
      </c>
      <c r="F187" s="42" t="s">
        <v>170</v>
      </c>
      <c r="G187" s="43" t="s">
        <v>171</v>
      </c>
      <c r="H187" s="42" t="s">
        <v>179</v>
      </c>
      <c r="I187" s="43"/>
      <c r="J187" s="43">
        <v>2</v>
      </c>
      <c r="K187" s="25" t="str">
        <f>VLOOKUP(J187,Key!$E$2:$F$9,2,FALSE)</f>
        <v>Work</v>
      </c>
      <c r="L187" s="42" t="s">
        <v>172</v>
      </c>
      <c r="M187" s="43" t="s">
        <v>172</v>
      </c>
      <c r="N187" s="42" t="s">
        <v>179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49"/>
      <c r="T187" s="49">
        <v>2</v>
      </c>
      <c r="U187" s="43">
        <v>1</v>
      </c>
      <c r="V187" s="43">
        <v>5</v>
      </c>
      <c r="W187" s="49">
        <v>0</v>
      </c>
      <c r="X187" s="49"/>
      <c r="Y187" s="50"/>
      <c r="Z187" s="59"/>
      <c r="AA187" s="25">
        <f>VLOOKUP(F187,Zones!$A$2:$F$15907,6,FALSE)</f>
        <v>1443</v>
      </c>
      <c r="AB187" s="25">
        <f>VLOOKUP(L187,Zones!$A$2:$F$15907,6,FALSE)</f>
        <v>335</v>
      </c>
    </row>
    <row r="188" spans="2:28">
      <c r="B188" s="40">
        <v>0.52638888888888891</v>
      </c>
      <c r="C188" s="40"/>
      <c r="D188" s="41">
        <v>1</v>
      </c>
      <c r="E188" s="42">
        <v>3</v>
      </c>
      <c r="F188" s="42" t="s">
        <v>170</v>
      </c>
      <c r="G188" s="43" t="s">
        <v>171</v>
      </c>
      <c r="H188" s="42" t="s">
        <v>179</v>
      </c>
      <c r="I188" s="43"/>
      <c r="J188" s="43">
        <v>2</v>
      </c>
      <c r="K188" s="25" t="str">
        <f>VLOOKUP(J188,Key!$E$2:$F$9,2,FALSE)</f>
        <v>Work</v>
      </c>
      <c r="L188" s="42" t="s">
        <v>172</v>
      </c>
      <c r="M188" s="43" t="s">
        <v>172</v>
      </c>
      <c r="N188" s="42" t="s">
        <v>179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49"/>
      <c r="T188" s="49">
        <v>2</v>
      </c>
      <c r="U188" s="43">
        <v>1</v>
      </c>
      <c r="V188" s="43">
        <v>5</v>
      </c>
      <c r="W188" s="49">
        <v>0</v>
      </c>
      <c r="X188" s="49"/>
      <c r="Y188" s="50"/>
      <c r="Z188" s="59"/>
      <c r="AA188" s="25">
        <f>VLOOKUP(F188,Zones!$A$2:$F$15907,6,FALSE)</f>
        <v>1443</v>
      </c>
      <c r="AB188" s="25">
        <f>VLOOKUP(L188,Zones!$A$2:$F$15907,6,FALSE)</f>
        <v>335</v>
      </c>
    </row>
    <row r="189" spans="2:28">
      <c r="B189" s="40">
        <v>0.52916666666666667</v>
      </c>
      <c r="C189" s="40"/>
      <c r="D189" s="41">
        <v>9</v>
      </c>
      <c r="E189" s="42">
        <v>2</v>
      </c>
      <c r="F189" s="42" t="s">
        <v>173</v>
      </c>
      <c r="G189" s="43" t="s">
        <v>167</v>
      </c>
      <c r="H189" s="42" t="s">
        <v>212</v>
      </c>
      <c r="I189" s="43"/>
      <c r="J189" s="43">
        <v>2</v>
      </c>
      <c r="K189" s="25" t="str">
        <f>VLOOKUP(J189,Key!$E$2:$F$9,2,FALSE)</f>
        <v>Work</v>
      </c>
      <c r="L189" s="42" t="s">
        <v>184</v>
      </c>
      <c r="M189" s="43" t="s">
        <v>184</v>
      </c>
      <c r="N189" s="42" t="s">
        <v>200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49"/>
      <c r="T189" s="49">
        <v>24</v>
      </c>
      <c r="U189" s="43">
        <v>3</v>
      </c>
      <c r="V189" s="43">
        <v>8</v>
      </c>
      <c r="W189" s="49">
        <v>20</v>
      </c>
      <c r="X189" s="49"/>
      <c r="Y189" s="50"/>
      <c r="Z189" s="59"/>
      <c r="AA189" s="25">
        <f>VLOOKUP(F189,Zones!$A$2:$F$15907,6,FALSE)</f>
        <v>1443</v>
      </c>
      <c r="AB189" s="25">
        <f>VLOOKUP(L189,Zones!$A$2:$F$15907,6,FALSE)</f>
        <v>1434</v>
      </c>
    </row>
    <row r="190" spans="2:28">
      <c r="B190" s="40">
        <v>0.53333333333333333</v>
      </c>
      <c r="C190" s="40"/>
      <c r="D190" s="41">
        <v>1</v>
      </c>
      <c r="E190" s="42">
        <v>6</v>
      </c>
      <c r="F190" s="42" t="s">
        <v>170</v>
      </c>
      <c r="G190" s="43" t="s">
        <v>171</v>
      </c>
      <c r="H190" s="42" t="s">
        <v>179</v>
      </c>
      <c r="I190" s="43"/>
      <c r="J190" s="43">
        <v>2</v>
      </c>
      <c r="K190" s="25" t="str">
        <f>VLOOKUP(J190,Key!$E$2:$F$9,2,FALSE)</f>
        <v>Work</v>
      </c>
      <c r="L190" s="42" t="s">
        <v>172</v>
      </c>
      <c r="M190" s="43" t="s">
        <v>172</v>
      </c>
      <c r="N190" s="42" t="s">
        <v>179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49"/>
      <c r="T190" s="49">
        <v>1.5</v>
      </c>
      <c r="U190" s="43">
        <v>1</v>
      </c>
      <c r="V190" s="43"/>
      <c r="W190" s="49">
        <v>0</v>
      </c>
      <c r="X190" s="49"/>
      <c r="Y190" s="50"/>
      <c r="Z190" s="59"/>
      <c r="AA190" s="25">
        <f>VLOOKUP(F190,Zones!$A$2:$F$15907,6,FALSE)</f>
        <v>1443</v>
      </c>
      <c r="AB190" s="25">
        <f>VLOOKUP(L190,Zones!$A$2:$F$15907,6,FALSE)</f>
        <v>335</v>
      </c>
    </row>
    <row r="191" spans="2:28">
      <c r="B191" s="40">
        <v>0.53611111111111109</v>
      </c>
      <c r="C191" s="40"/>
      <c r="D191" s="41">
        <v>1</v>
      </c>
      <c r="E191" s="42">
        <v>5</v>
      </c>
      <c r="F191" s="42" t="s">
        <v>170</v>
      </c>
      <c r="G191" s="43" t="s">
        <v>171</v>
      </c>
      <c r="H191" s="42" t="s">
        <v>179</v>
      </c>
      <c r="I191" s="43"/>
      <c r="J191" s="43">
        <v>2</v>
      </c>
      <c r="K191" s="25" t="str">
        <f>VLOOKUP(J191,Key!$E$2:$F$9,2,FALSE)</f>
        <v>Work</v>
      </c>
      <c r="L191" s="42" t="s">
        <v>172</v>
      </c>
      <c r="M191" s="43" t="s">
        <v>172</v>
      </c>
      <c r="N191" s="42" t="s">
        <v>179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49"/>
      <c r="T191" s="49">
        <v>1</v>
      </c>
      <c r="U191" s="43">
        <v>1</v>
      </c>
      <c r="V191" s="43"/>
      <c r="W191" s="49">
        <v>0</v>
      </c>
      <c r="X191" s="49"/>
      <c r="Y191" s="50"/>
      <c r="Z191" s="59"/>
      <c r="AA191" s="25">
        <f>VLOOKUP(F191,Zones!$A$2:$F$15907,6,FALSE)</f>
        <v>1443</v>
      </c>
      <c r="AB191" s="25">
        <f>VLOOKUP(L191,Zones!$A$2:$F$15907,6,FALSE)</f>
        <v>335</v>
      </c>
    </row>
    <row r="192" spans="2:28">
      <c r="B192" s="40">
        <v>0.53819444444444442</v>
      </c>
      <c r="C192" s="40"/>
      <c r="D192" s="41">
        <v>2</v>
      </c>
      <c r="E192" s="42">
        <v>3</v>
      </c>
      <c r="F192" s="42" t="s">
        <v>170</v>
      </c>
      <c r="G192" s="43" t="s">
        <v>171</v>
      </c>
      <c r="H192" s="42" t="s">
        <v>179</v>
      </c>
      <c r="I192" s="43"/>
      <c r="J192" s="43">
        <v>2</v>
      </c>
      <c r="K192" s="25" t="str">
        <f>VLOOKUP(J192,Key!$E$2:$F$9,2,FALSE)</f>
        <v>Work</v>
      </c>
      <c r="L192" s="42" t="s">
        <v>172</v>
      </c>
      <c r="M192" s="43" t="s">
        <v>172</v>
      </c>
      <c r="N192" s="42" t="s">
        <v>179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49"/>
      <c r="T192" s="49">
        <v>3</v>
      </c>
      <c r="U192" s="43">
        <v>1</v>
      </c>
      <c r="V192" s="43"/>
      <c r="W192" s="49">
        <v>0</v>
      </c>
      <c r="X192" s="49"/>
      <c r="Y192" s="50"/>
      <c r="Z192" s="59"/>
      <c r="AA192" s="25">
        <f>VLOOKUP(F192,Zones!$A$2:$F$15907,6,FALSE)</f>
        <v>1443</v>
      </c>
      <c r="AB192" s="25">
        <f>VLOOKUP(L192,Zones!$A$2:$F$15907,6,FALSE)</f>
        <v>335</v>
      </c>
    </row>
    <row r="193" spans="2:28">
      <c r="B193" s="40">
        <v>0.54305555555555551</v>
      </c>
      <c r="C193" s="40"/>
      <c r="D193" s="41">
        <v>7</v>
      </c>
      <c r="E193" s="42">
        <v>2</v>
      </c>
      <c r="F193" s="42" t="s">
        <v>173</v>
      </c>
      <c r="G193" s="43" t="s">
        <v>167</v>
      </c>
      <c r="H193" s="42" t="s">
        <v>212</v>
      </c>
      <c r="I193" s="43"/>
      <c r="J193" s="43">
        <v>2</v>
      </c>
      <c r="K193" s="25" t="str">
        <f>VLOOKUP(J193,Key!$E$2:$F$9,2,FALSE)</f>
        <v>Work</v>
      </c>
      <c r="L193" s="42" t="s">
        <v>183</v>
      </c>
      <c r="M193" s="43" t="s">
        <v>183</v>
      </c>
      <c r="N193" s="42" t="s">
        <v>179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49"/>
      <c r="T193" s="49">
        <v>24</v>
      </c>
      <c r="U193" s="43">
        <v>3</v>
      </c>
      <c r="V193" s="43">
        <v>4</v>
      </c>
      <c r="W193" s="49">
        <v>5</v>
      </c>
      <c r="X193" s="49"/>
      <c r="Y193" s="50"/>
      <c r="Z193" s="59"/>
      <c r="AA193" s="25">
        <f>VLOOKUP(F193,Zones!$A$2:$F$15907,6,FALSE)</f>
        <v>1443</v>
      </c>
      <c r="AB193" s="25">
        <f>VLOOKUP(L193,Zones!$A$2:$F$15907,6,FALSE)</f>
        <v>521</v>
      </c>
    </row>
    <row r="194" spans="2:28">
      <c r="B194" s="40">
        <v>0.54513888888888895</v>
      </c>
      <c r="C194" s="40"/>
      <c r="D194" s="41">
        <v>6</v>
      </c>
      <c r="E194" s="42">
        <v>60</v>
      </c>
      <c r="F194" s="42" t="s">
        <v>170</v>
      </c>
      <c r="G194" s="43" t="s">
        <v>171</v>
      </c>
      <c r="H194" s="42" t="s">
        <v>179</v>
      </c>
      <c r="I194" s="43"/>
      <c r="J194" s="43">
        <v>2</v>
      </c>
      <c r="K194" s="25" t="str">
        <f>VLOOKUP(J194,Key!$E$2:$F$9,2,FALSE)</f>
        <v>Work</v>
      </c>
      <c r="L194" s="42" t="s">
        <v>168</v>
      </c>
      <c r="M194" s="43" t="s">
        <v>171</v>
      </c>
      <c r="N194" s="42" t="s">
        <v>179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49"/>
      <c r="T194" s="49">
        <v>0.3</v>
      </c>
      <c r="U194" s="43">
        <v>1</v>
      </c>
      <c r="V194" s="43"/>
      <c r="W194" s="49">
        <v>0</v>
      </c>
      <c r="X194" s="49"/>
      <c r="Y194" s="50"/>
      <c r="Z194" s="59"/>
      <c r="AA194" s="25">
        <f>VLOOKUP(F194,Zones!$A$2:$F$15907,6,FALSE)</f>
        <v>1443</v>
      </c>
      <c r="AB194" s="25">
        <f>VLOOKUP(L194,Zones!$A$2:$F$15907,6,FALSE)</f>
        <v>75</v>
      </c>
    </row>
    <row r="195" spans="2:28">
      <c r="B195" s="40">
        <v>0.54861111111111105</v>
      </c>
      <c r="C195" s="40"/>
      <c r="D195" s="41">
        <v>7</v>
      </c>
      <c r="E195" s="42">
        <v>2</v>
      </c>
      <c r="F195" s="42" t="s">
        <v>173</v>
      </c>
      <c r="G195" s="43" t="s">
        <v>167</v>
      </c>
      <c r="H195" s="42" t="s">
        <v>212</v>
      </c>
      <c r="I195" s="43"/>
      <c r="J195" s="43">
        <v>2</v>
      </c>
      <c r="K195" s="25" t="str">
        <f>VLOOKUP(J195,Key!$E$2:$F$9,2,FALSE)</f>
        <v>Work</v>
      </c>
      <c r="L195" s="42" t="s">
        <v>184</v>
      </c>
      <c r="M195" s="43" t="s">
        <v>184</v>
      </c>
      <c r="N195" s="42" t="s">
        <v>200</v>
      </c>
      <c r="O195" s="43"/>
      <c r="P195" s="43">
        <v>1</v>
      </c>
      <c r="Q195" s="25" t="str">
        <f>VLOOKUP(P195,Key!$E$2:$F$9,2,FALSE)</f>
        <v>Home</v>
      </c>
      <c r="R195" s="25" t="str">
        <f t="shared" si="3"/>
        <v>Work-Home</v>
      </c>
      <c r="S195" s="49"/>
      <c r="T195" s="49">
        <v>32</v>
      </c>
      <c r="U195" s="43">
        <v>3</v>
      </c>
      <c r="V195" s="43">
        <v>6</v>
      </c>
      <c r="W195" s="49">
        <v>25</v>
      </c>
      <c r="X195" s="49"/>
      <c r="Y195" s="50"/>
      <c r="Z195" s="59"/>
      <c r="AA195" s="25">
        <f>VLOOKUP(F195,Zones!$A$2:$F$15907,6,FALSE)</f>
        <v>1443</v>
      </c>
      <c r="AB195" s="25">
        <f>VLOOKUP(L195,Zones!$A$2:$F$15907,6,FALSE)</f>
        <v>1434</v>
      </c>
    </row>
    <row r="196" spans="2:28">
      <c r="B196" s="40">
        <v>0.55138888888888882</v>
      </c>
      <c r="C196" s="40"/>
      <c r="D196" s="41">
        <v>9</v>
      </c>
      <c r="E196" s="42">
        <v>2</v>
      </c>
      <c r="F196" s="42" t="s">
        <v>173</v>
      </c>
      <c r="G196" s="43" t="s">
        <v>167</v>
      </c>
      <c r="H196" s="42" t="s">
        <v>212</v>
      </c>
      <c r="I196" s="43"/>
      <c r="J196" s="43">
        <v>2</v>
      </c>
      <c r="K196" s="25" t="str">
        <f>VLOOKUP(J196,Key!$E$2:$F$9,2,FALSE)</f>
        <v>Work</v>
      </c>
      <c r="L196" s="42" t="s">
        <v>201</v>
      </c>
      <c r="M196" s="43" t="s">
        <v>201</v>
      </c>
      <c r="N196" s="42" t="s">
        <v>179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49"/>
      <c r="T196" s="49">
        <v>12</v>
      </c>
      <c r="U196" s="43">
        <v>3</v>
      </c>
      <c r="V196" s="43">
        <v>7</v>
      </c>
      <c r="W196" s="49">
        <v>19</v>
      </c>
      <c r="X196" s="49"/>
      <c r="Y196" s="50"/>
      <c r="Z196" s="59"/>
      <c r="AA196" s="25">
        <f>VLOOKUP(F196,Zones!$A$2:$F$15907,6,FALSE)</f>
        <v>1443</v>
      </c>
      <c r="AB196" s="25">
        <f>VLOOKUP(L196,Zones!$A$2:$F$15907,6,FALSE)</f>
        <v>1382</v>
      </c>
    </row>
    <row r="197" spans="2:28">
      <c r="B197" s="40">
        <v>0.55486111111111114</v>
      </c>
      <c r="C197" s="40"/>
      <c r="D197" s="41">
        <v>7</v>
      </c>
      <c r="E197" s="42">
        <v>2</v>
      </c>
      <c r="F197" s="42" t="s">
        <v>173</v>
      </c>
      <c r="G197" s="43" t="s">
        <v>167</v>
      </c>
      <c r="H197" s="42" t="s">
        <v>212</v>
      </c>
      <c r="I197" s="43"/>
      <c r="J197" s="43">
        <v>2</v>
      </c>
      <c r="K197" s="25" t="str">
        <f>VLOOKUP(J197,Key!$E$2:$F$9,2,FALSE)</f>
        <v>Work</v>
      </c>
      <c r="L197" s="42" t="s">
        <v>189</v>
      </c>
      <c r="M197" s="43" t="s">
        <v>190</v>
      </c>
      <c r="N197" s="42" t="s">
        <v>200</v>
      </c>
      <c r="O197" s="43"/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49"/>
      <c r="T197" s="49">
        <v>24</v>
      </c>
      <c r="U197" s="43">
        <v>3</v>
      </c>
      <c r="V197" s="43">
        <v>6</v>
      </c>
      <c r="W197" s="49">
        <v>28</v>
      </c>
      <c r="X197" s="49"/>
      <c r="Y197" s="50"/>
      <c r="Z197" s="59"/>
      <c r="AA197" s="25">
        <f>VLOOKUP(F197,Zones!$A$2:$F$15907,6,FALSE)</f>
        <v>1443</v>
      </c>
      <c r="AB197" s="25">
        <f>VLOOKUP(L197,Zones!$A$2:$F$15907,6,FALSE)</f>
        <v>1434</v>
      </c>
    </row>
    <row r="198" spans="2:28">
      <c r="B198" s="40">
        <v>0.55625000000000002</v>
      </c>
      <c r="C198" s="40"/>
      <c r="D198" s="41">
        <v>1</v>
      </c>
      <c r="E198" s="42">
        <v>7</v>
      </c>
      <c r="F198" s="42" t="s">
        <v>170</v>
      </c>
      <c r="G198" s="43" t="s">
        <v>171</v>
      </c>
      <c r="H198" s="42" t="s">
        <v>179</v>
      </c>
      <c r="I198" s="43"/>
      <c r="J198" s="43">
        <v>2</v>
      </c>
      <c r="K198" s="25" t="str">
        <f>VLOOKUP(J198,Key!$E$2:$F$9,2,FALSE)</f>
        <v>Work</v>
      </c>
      <c r="L198" s="42" t="s">
        <v>172</v>
      </c>
      <c r="M198" s="43" t="s">
        <v>172</v>
      </c>
      <c r="N198" s="42" t="s">
        <v>179</v>
      </c>
      <c r="O198" s="43"/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49"/>
      <c r="T198" s="49">
        <v>2</v>
      </c>
      <c r="U198" s="43">
        <v>1</v>
      </c>
      <c r="V198" s="43"/>
      <c r="W198" s="49">
        <v>0</v>
      </c>
      <c r="X198" s="49"/>
      <c r="Y198" s="50"/>
      <c r="Z198" s="59"/>
      <c r="AA198" s="25">
        <f>VLOOKUP(F198,Zones!$A$2:$F$15907,6,FALSE)</f>
        <v>1443</v>
      </c>
      <c r="AB198" s="25">
        <f>VLOOKUP(L198,Zones!$A$2:$F$15907,6,FALSE)</f>
        <v>335</v>
      </c>
    </row>
    <row r="199" spans="2:28">
      <c r="B199" s="40">
        <v>0.55763888888888891</v>
      </c>
      <c r="C199" s="40"/>
      <c r="D199" s="41">
        <v>6</v>
      </c>
      <c r="E199" s="42">
        <v>55</v>
      </c>
      <c r="F199" s="42" t="s">
        <v>170</v>
      </c>
      <c r="G199" s="43" t="s">
        <v>171</v>
      </c>
      <c r="H199" s="42" t="s">
        <v>179</v>
      </c>
      <c r="I199" s="43"/>
      <c r="J199" s="43">
        <v>2</v>
      </c>
      <c r="K199" s="25" t="str">
        <f>VLOOKUP(J199,Key!$E$2:$F$9,2,FALSE)</f>
        <v>Work</v>
      </c>
      <c r="L199" s="42" t="s">
        <v>168</v>
      </c>
      <c r="M199" s="43" t="s">
        <v>171</v>
      </c>
      <c r="N199" s="42" t="s">
        <v>179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49"/>
      <c r="T199" s="49">
        <v>0.3</v>
      </c>
      <c r="U199" s="43">
        <v>1</v>
      </c>
      <c r="V199" s="43"/>
      <c r="W199" s="49">
        <v>0</v>
      </c>
      <c r="X199" s="49"/>
      <c r="Y199" s="50"/>
      <c r="Z199" s="59"/>
      <c r="AA199" s="25">
        <f>VLOOKUP(F199,Zones!$A$2:$F$15907,6,FALSE)</f>
        <v>1443</v>
      </c>
      <c r="AB199" s="25">
        <f>VLOOKUP(L199,Zones!$A$2:$F$15907,6,FALSE)</f>
        <v>75</v>
      </c>
    </row>
    <row r="200" spans="2:28">
      <c r="B200" s="40">
        <v>0.56041666666666667</v>
      </c>
      <c r="C200" s="40"/>
      <c r="D200" s="41">
        <v>1</v>
      </c>
      <c r="E200" s="42">
        <v>6</v>
      </c>
      <c r="F200" s="42" t="s">
        <v>170</v>
      </c>
      <c r="G200" s="43" t="s">
        <v>171</v>
      </c>
      <c r="H200" s="42" t="s">
        <v>179</v>
      </c>
      <c r="I200" s="43"/>
      <c r="J200" s="43">
        <v>2</v>
      </c>
      <c r="K200" s="25" t="str">
        <f>VLOOKUP(J200,Key!$E$2:$F$9,2,FALSE)</f>
        <v>Work</v>
      </c>
      <c r="L200" s="42" t="s">
        <v>172</v>
      </c>
      <c r="M200" s="43" t="s">
        <v>172</v>
      </c>
      <c r="N200" s="42" t="s">
        <v>179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49"/>
      <c r="T200" s="49">
        <v>1.5</v>
      </c>
      <c r="U200" s="43">
        <v>1</v>
      </c>
      <c r="V200" s="43"/>
      <c r="W200" s="49">
        <v>0</v>
      </c>
      <c r="X200" s="49"/>
      <c r="Y200" s="50"/>
      <c r="Z200" s="59"/>
      <c r="AA200" s="25">
        <f>VLOOKUP(F200,Zones!$A$2:$F$15907,6,FALSE)</f>
        <v>1443</v>
      </c>
      <c r="AB200" s="25">
        <f>VLOOKUP(L200,Zones!$A$2:$F$15907,6,FALSE)</f>
        <v>335</v>
      </c>
    </row>
    <row r="201" spans="2:28">
      <c r="B201" s="40">
        <v>0.56736111111111109</v>
      </c>
      <c r="C201" s="40"/>
      <c r="D201" s="41">
        <v>8</v>
      </c>
      <c r="E201" s="42">
        <v>4</v>
      </c>
      <c r="F201" s="42" t="s">
        <v>173</v>
      </c>
      <c r="G201" s="43" t="s">
        <v>167</v>
      </c>
      <c r="H201" s="42" t="s">
        <v>212</v>
      </c>
      <c r="I201" s="43"/>
      <c r="J201" s="43">
        <v>2</v>
      </c>
      <c r="K201" s="25" t="str">
        <f>VLOOKUP(J201,Key!$E$2:$F$9,2,FALSE)</f>
        <v>Work</v>
      </c>
      <c r="L201" s="42" t="s">
        <v>213</v>
      </c>
      <c r="M201" s="43" t="s">
        <v>213</v>
      </c>
      <c r="N201" s="42" t="s">
        <v>179</v>
      </c>
      <c r="O201" s="43"/>
      <c r="P201" s="43">
        <v>1</v>
      </c>
      <c r="Q201" s="25" t="str">
        <f>VLOOKUP(P201,Key!$E$2:$F$9,2,FALSE)</f>
        <v>Home</v>
      </c>
      <c r="R201" s="25" t="str">
        <f t="shared" si="3"/>
        <v>Work-Home</v>
      </c>
      <c r="S201" s="49"/>
      <c r="T201" s="49">
        <v>12</v>
      </c>
      <c r="U201" s="43">
        <v>3</v>
      </c>
      <c r="V201" s="43">
        <v>9</v>
      </c>
      <c r="W201" s="49">
        <v>6</v>
      </c>
      <c r="X201" s="49"/>
      <c r="Y201" s="50"/>
      <c r="Z201" s="59"/>
      <c r="AA201" s="25">
        <f>VLOOKUP(F201,Zones!$A$2:$F$15907,6,FALSE)</f>
        <v>1443</v>
      </c>
      <c r="AB201" s="25">
        <f>VLOOKUP(L201,Zones!$A$2:$F$15907,6,FALSE)</f>
        <v>868</v>
      </c>
    </row>
    <row r="202" spans="2:28">
      <c r="B202" s="40">
        <v>0.56874999999999998</v>
      </c>
      <c r="C202" s="40"/>
      <c r="D202" s="41">
        <v>1</v>
      </c>
      <c r="E202" s="42">
        <v>5</v>
      </c>
      <c r="F202" s="42" t="s">
        <v>170</v>
      </c>
      <c r="G202" s="43" t="s">
        <v>171</v>
      </c>
      <c r="H202" s="42" t="s">
        <v>179</v>
      </c>
      <c r="I202" s="43"/>
      <c r="J202" s="43">
        <v>2</v>
      </c>
      <c r="K202" s="25" t="str">
        <f>VLOOKUP(J202,Key!$E$2:$F$9,2,FALSE)</f>
        <v>Work</v>
      </c>
      <c r="L202" s="42" t="s">
        <v>172</v>
      </c>
      <c r="M202" s="43" t="s">
        <v>172</v>
      </c>
      <c r="N202" s="42" t="s">
        <v>179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49"/>
      <c r="T202" s="49">
        <v>1</v>
      </c>
      <c r="U202" s="43">
        <v>1</v>
      </c>
      <c r="V202" s="43"/>
      <c r="W202" s="49">
        <v>0</v>
      </c>
      <c r="X202" s="49"/>
      <c r="Y202" s="50"/>
      <c r="Z202" s="59"/>
      <c r="AA202" s="25">
        <f>VLOOKUP(F202,Zones!$A$2:$F$15907,6,FALSE)</f>
        <v>1443</v>
      </c>
      <c r="AB202" s="25">
        <f>VLOOKUP(L202,Zones!$A$2:$F$15907,6,FALSE)</f>
        <v>335</v>
      </c>
    </row>
    <row r="203" spans="2:28">
      <c r="B203" s="40">
        <v>0.57152777777777775</v>
      </c>
      <c r="C203" s="40"/>
      <c r="D203" s="41">
        <v>8</v>
      </c>
      <c r="E203" s="42">
        <v>2</v>
      </c>
      <c r="F203" s="42" t="s">
        <v>173</v>
      </c>
      <c r="G203" s="43" t="s">
        <v>167</v>
      </c>
      <c r="H203" s="42" t="s">
        <v>212</v>
      </c>
      <c r="I203" s="43"/>
      <c r="J203" s="43">
        <v>2</v>
      </c>
      <c r="K203" s="25" t="str">
        <f>VLOOKUP(J203,Key!$E$2:$F$9,2,FALSE)</f>
        <v>Work</v>
      </c>
      <c r="L203" s="42" t="s">
        <v>198</v>
      </c>
      <c r="M203" s="43" t="s">
        <v>183</v>
      </c>
      <c r="N203" s="42" t="s">
        <v>179</v>
      </c>
      <c r="O203" s="43"/>
      <c r="P203" s="43">
        <v>1</v>
      </c>
      <c r="Q203" s="25" t="str">
        <f>VLOOKUP(P203,Key!$E$2:$F$9,2,FALSE)</f>
        <v>Home</v>
      </c>
      <c r="R203" s="25" t="str">
        <f t="shared" si="3"/>
        <v>Work-Home</v>
      </c>
      <c r="S203" s="49"/>
      <c r="T203" s="49">
        <v>24</v>
      </c>
      <c r="U203" s="43">
        <v>3</v>
      </c>
      <c r="V203" s="43">
        <v>6</v>
      </c>
      <c r="W203" s="49">
        <v>29</v>
      </c>
      <c r="X203" s="49"/>
      <c r="Y203" s="50"/>
      <c r="Z203" s="59"/>
      <c r="AA203" s="25">
        <f>VLOOKUP(F203,Zones!$A$2:$F$15907,6,FALSE)</f>
        <v>1443</v>
      </c>
      <c r="AB203" s="25">
        <f>VLOOKUP(L203,Zones!$A$2:$F$15907,6,FALSE)</f>
        <v>522</v>
      </c>
    </row>
    <row r="204" spans="2:28">
      <c r="B204" s="40">
        <v>0.57500000000000007</v>
      </c>
      <c r="C204" s="40"/>
      <c r="D204" s="41">
        <v>8</v>
      </c>
      <c r="E204" s="42">
        <v>1</v>
      </c>
      <c r="F204" s="42" t="s">
        <v>173</v>
      </c>
      <c r="G204" s="43" t="s">
        <v>167</v>
      </c>
      <c r="H204" s="42" t="s">
        <v>212</v>
      </c>
      <c r="I204" s="43"/>
      <c r="J204" s="43">
        <v>2</v>
      </c>
      <c r="K204" s="25" t="str">
        <f>VLOOKUP(J204,Key!$E$2:$F$9,2,FALSE)</f>
        <v>Work</v>
      </c>
      <c r="L204" s="42" t="s">
        <v>183</v>
      </c>
      <c r="M204" s="43" t="s">
        <v>183</v>
      </c>
      <c r="N204" s="42" t="s">
        <v>179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49"/>
      <c r="T204" s="49">
        <v>15</v>
      </c>
      <c r="U204" s="43">
        <v>3</v>
      </c>
      <c r="V204" s="43">
        <v>6</v>
      </c>
      <c r="W204" s="49">
        <v>30</v>
      </c>
      <c r="X204" s="49"/>
      <c r="Y204" s="50"/>
      <c r="Z204" s="59"/>
      <c r="AA204" s="25">
        <f>VLOOKUP(F204,Zones!$A$2:$F$15907,6,FALSE)</f>
        <v>1443</v>
      </c>
      <c r="AB204" s="25">
        <f>VLOOKUP(L204,Zones!$A$2:$F$15907,6,FALSE)</f>
        <v>521</v>
      </c>
    </row>
    <row r="205" spans="2:28">
      <c r="B205" s="40">
        <v>0.58194444444444449</v>
      </c>
      <c r="C205" s="40"/>
      <c r="D205" s="41">
        <v>9</v>
      </c>
      <c r="E205" s="42">
        <v>4</v>
      </c>
      <c r="F205" s="42" t="s">
        <v>173</v>
      </c>
      <c r="G205" s="43" t="s">
        <v>167</v>
      </c>
      <c r="H205" s="42" t="s">
        <v>212</v>
      </c>
      <c r="I205" s="43"/>
      <c r="J205" s="43">
        <v>2</v>
      </c>
      <c r="K205" s="25" t="str">
        <f>VLOOKUP(J205,Key!$E$2:$F$9,2,FALSE)</f>
        <v>Work</v>
      </c>
      <c r="L205" s="42" t="s">
        <v>40</v>
      </c>
      <c r="M205" s="43" t="s">
        <v>40</v>
      </c>
      <c r="N205" s="42" t="s">
        <v>179</v>
      </c>
      <c r="O205" s="43"/>
      <c r="P205" s="43">
        <v>1</v>
      </c>
      <c r="Q205" s="25" t="str">
        <f>VLOOKUP(P205,Key!$E$2:$F$9,2,FALSE)</f>
        <v>Home</v>
      </c>
      <c r="R205" s="25" t="str">
        <f t="shared" si="3"/>
        <v>Work-Home</v>
      </c>
      <c r="S205" s="49"/>
      <c r="T205" s="49">
        <v>8</v>
      </c>
      <c r="U205" s="43">
        <v>3</v>
      </c>
      <c r="V205" s="43">
        <v>9</v>
      </c>
      <c r="W205" s="49">
        <v>20</v>
      </c>
      <c r="X205" s="49"/>
      <c r="Y205" s="50"/>
      <c r="Z205" s="59"/>
      <c r="AA205" s="25">
        <f>VLOOKUP(F205,Zones!$A$2:$F$15907,6,FALSE)</f>
        <v>1443</v>
      </c>
      <c r="AB205" s="25">
        <f>VLOOKUP(L205,Zones!$A$2:$F$15907,6,FALSE)</f>
        <v>937</v>
      </c>
    </row>
    <row r="206" spans="2:28">
      <c r="B206" s="40">
        <v>0.58333333333333337</v>
      </c>
      <c r="C206" s="40"/>
      <c r="D206" s="41">
        <v>1</v>
      </c>
      <c r="E206" s="42">
        <v>6</v>
      </c>
      <c r="F206" s="42" t="s">
        <v>170</v>
      </c>
      <c r="G206" s="43" t="s">
        <v>171</v>
      </c>
      <c r="H206" s="42" t="s">
        <v>179</v>
      </c>
      <c r="I206" s="43"/>
      <c r="J206" s="43">
        <v>2</v>
      </c>
      <c r="K206" s="25" t="str">
        <f>VLOOKUP(J206,Key!$E$2:$F$9,2,FALSE)</f>
        <v>Work</v>
      </c>
      <c r="L206" s="42" t="s">
        <v>172</v>
      </c>
      <c r="M206" s="43" t="s">
        <v>172</v>
      </c>
      <c r="N206" s="42" t="s">
        <v>179</v>
      </c>
      <c r="O206" s="43"/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49"/>
      <c r="T206" s="49">
        <v>1.5</v>
      </c>
      <c r="U206" s="43">
        <v>1</v>
      </c>
      <c r="V206" s="43"/>
      <c r="W206" s="49">
        <v>0</v>
      </c>
      <c r="X206" s="49"/>
      <c r="Y206" s="50"/>
      <c r="Z206" s="59"/>
      <c r="AA206" s="25">
        <f>VLOOKUP(F206,Zones!$A$2:$F$15907,6,FALSE)</f>
        <v>1443</v>
      </c>
      <c r="AB206" s="25">
        <f>VLOOKUP(L206,Zones!$A$2:$F$15907,6,FALSE)</f>
        <v>335</v>
      </c>
    </row>
    <row r="207" spans="2:28">
      <c r="B207" s="40">
        <v>0.58888888888888891</v>
      </c>
      <c r="C207" s="40"/>
      <c r="D207" s="41">
        <v>1</v>
      </c>
      <c r="E207" s="42">
        <v>6</v>
      </c>
      <c r="F207" s="42" t="s">
        <v>170</v>
      </c>
      <c r="G207" s="43" t="s">
        <v>171</v>
      </c>
      <c r="H207" s="42" t="s">
        <v>179</v>
      </c>
      <c r="I207" s="43"/>
      <c r="J207" s="43">
        <v>2</v>
      </c>
      <c r="K207" s="25" t="str">
        <f>VLOOKUP(J207,Key!$E$2:$F$9,2,FALSE)</f>
        <v>Work</v>
      </c>
      <c r="L207" s="42" t="s">
        <v>172</v>
      </c>
      <c r="M207" s="43" t="s">
        <v>172</v>
      </c>
      <c r="N207" s="42" t="s">
        <v>179</v>
      </c>
      <c r="O207" s="43"/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49"/>
      <c r="T207" s="49">
        <v>2</v>
      </c>
      <c r="U207" s="43">
        <v>1</v>
      </c>
      <c r="V207" s="43"/>
      <c r="W207" s="49">
        <v>0</v>
      </c>
      <c r="X207" s="49"/>
      <c r="Y207" s="50"/>
      <c r="Z207" s="59"/>
      <c r="AA207" s="25">
        <f>VLOOKUP(F207,Zones!$A$2:$F$15907,6,FALSE)</f>
        <v>1443</v>
      </c>
      <c r="AB207" s="25">
        <f>VLOOKUP(L207,Zones!$A$2:$F$15907,6,FALSE)</f>
        <v>335</v>
      </c>
    </row>
    <row r="208" spans="2:28">
      <c r="B208" s="40">
        <v>0.59513888888888888</v>
      </c>
      <c r="C208" s="40"/>
      <c r="D208" s="41">
        <v>5</v>
      </c>
      <c r="E208" s="42">
        <v>30</v>
      </c>
      <c r="F208" s="42" t="s">
        <v>173</v>
      </c>
      <c r="G208" s="43" t="s">
        <v>167</v>
      </c>
      <c r="H208" s="42" t="s">
        <v>212</v>
      </c>
      <c r="I208" s="43"/>
      <c r="J208" s="43">
        <v>2</v>
      </c>
      <c r="K208" s="25" t="str">
        <f>VLOOKUP(J208,Key!$E$2:$F$9,2,FALSE)</f>
        <v>Work</v>
      </c>
      <c r="L208" s="42" t="s">
        <v>183</v>
      </c>
      <c r="M208" s="43" t="s">
        <v>183</v>
      </c>
      <c r="N208" s="42" t="s">
        <v>179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49"/>
      <c r="T208" s="49">
        <v>24</v>
      </c>
      <c r="U208" s="43">
        <v>3</v>
      </c>
      <c r="V208" s="43"/>
      <c r="W208" s="49">
        <v>0</v>
      </c>
      <c r="X208" s="49"/>
      <c r="Y208" s="50"/>
      <c r="Z208" s="59"/>
      <c r="AA208" s="25">
        <f>VLOOKUP(F208,Zones!$A$2:$F$15907,6,FALSE)</f>
        <v>1443</v>
      </c>
      <c r="AB208" s="25">
        <f>VLOOKUP(L208,Zones!$A$2:$F$15907,6,FALSE)</f>
        <v>521</v>
      </c>
    </row>
    <row r="209" spans="2:28">
      <c r="B209" s="40">
        <v>0.59930555555555554</v>
      </c>
      <c r="C209" s="40"/>
      <c r="D209" s="41">
        <v>6</v>
      </c>
      <c r="E209" s="42">
        <v>46</v>
      </c>
      <c r="F209" s="42" t="s">
        <v>170</v>
      </c>
      <c r="G209" s="43" t="s">
        <v>171</v>
      </c>
      <c r="H209" s="42" t="s">
        <v>179</v>
      </c>
      <c r="I209" s="43"/>
      <c r="J209" s="43">
        <v>2</v>
      </c>
      <c r="K209" s="25" t="str">
        <f>VLOOKUP(J209,Key!$E$2:$F$9,2,FALSE)</f>
        <v>Work</v>
      </c>
      <c r="L209" s="42" t="s">
        <v>168</v>
      </c>
      <c r="M209" s="43" t="s">
        <v>171</v>
      </c>
      <c r="N209" s="42" t="s">
        <v>179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49"/>
      <c r="T209" s="49">
        <v>0.25</v>
      </c>
      <c r="U209" s="43">
        <v>1</v>
      </c>
      <c r="V209" s="43"/>
      <c r="W209" s="49">
        <v>0</v>
      </c>
      <c r="X209" s="49"/>
      <c r="Y209" s="50"/>
      <c r="Z209" s="59"/>
      <c r="AA209" s="25">
        <f>VLOOKUP(F209,Zones!$A$2:$F$15907,6,FALSE)</f>
        <v>1443</v>
      </c>
      <c r="AB209" s="25">
        <f>VLOOKUP(L209,Zones!$A$2:$F$15907,6,FALSE)</f>
        <v>75</v>
      </c>
    </row>
    <row r="210" spans="2:28">
      <c r="B210" s="40">
        <v>0.60416666666666663</v>
      </c>
      <c r="C210" s="40"/>
      <c r="D210" s="41">
        <v>1</v>
      </c>
      <c r="E210" s="42">
        <v>5</v>
      </c>
      <c r="F210" s="42" t="s">
        <v>170</v>
      </c>
      <c r="G210" s="43" t="s">
        <v>171</v>
      </c>
      <c r="H210" s="42" t="s">
        <v>179</v>
      </c>
      <c r="I210" s="43"/>
      <c r="J210" s="43">
        <v>2</v>
      </c>
      <c r="K210" s="25" t="str">
        <f>VLOOKUP(J210,Key!$E$2:$F$9,2,FALSE)</f>
        <v>Work</v>
      </c>
      <c r="L210" s="42" t="s">
        <v>172</v>
      </c>
      <c r="M210" s="43" t="s">
        <v>172</v>
      </c>
      <c r="N210" s="42" t="s">
        <v>179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49"/>
      <c r="T210" s="49">
        <v>1.5</v>
      </c>
      <c r="U210" s="43">
        <v>1</v>
      </c>
      <c r="V210" s="43"/>
      <c r="W210" s="49">
        <v>0</v>
      </c>
      <c r="X210" s="49"/>
      <c r="Y210" s="50"/>
      <c r="Z210" s="59"/>
      <c r="AA210" s="25">
        <f>VLOOKUP(F210,Zones!$A$2:$F$15907,6,FALSE)</f>
        <v>1443</v>
      </c>
      <c r="AB210" s="25">
        <f>VLOOKUP(L210,Zones!$A$2:$F$15907,6,FALSE)</f>
        <v>335</v>
      </c>
    </row>
    <row r="211" spans="2:28">
      <c r="B211" s="40">
        <v>0.625</v>
      </c>
      <c r="C211" s="40"/>
      <c r="D211" s="41">
        <v>2</v>
      </c>
      <c r="E211" s="42">
        <v>2</v>
      </c>
      <c r="F211" s="42" t="s">
        <v>170</v>
      </c>
      <c r="G211" s="43" t="s">
        <v>171</v>
      </c>
      <c r="H211" s="42" t="s">
        <v>179</v>
      </c>
      <c r="I211" s="43"/>
      <c r="J211" s="43">
        <v>2</v>
      </c>
      <c r="K211" s="25" t="str">
        <f>VLOOKUP(J211,Key!$E$2:$F$9,2,FALSE)</f>
        <v>Work</v>
      </c>
      <c r="L211" s="42" t="s">
        <v>172</v>
      </c>
      <c r="M211" s="43" t="s">
        <v>172</v>
      </c>
      <c r="N211" s="42" t="s">
        <v>179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49"/>
      <c r="T211" s="49">
        <v>1</v>
      </c>
      <c r="U211" s="43">
        <v>1</v>
      </c>
      <c r="V211" s="43">
        <v>8</v>
      </c>
      <c r="W211" s="49">
        <v>2</v>
      </c>
      <c r="X211" s="49"/>
      <c r="Y211" s="50"/>
      <c r="Z211" s="59"/>
      <c r="AA211" s="25">
        <f>VLOOKUP(F211,Zones!$A$2:$F$15907,6,FALSE)</f>
        <v>1443</v>
      </c>
      <c r="AB211" s="25">
        <f>VLOOKUP(L211,Zones!$A$2:$F$15907,6,FALSE)</f>
        <v>335</v>
      </c>
    </row>
    <row r="212" spans="2:28">
      <c r="B212" s="40">
        <v>0.62847222222222221</v>
      </c>
      <c r="C212" s="40"/>
      <c r="D212" s="41">
        <v>1</v>
      </c>
      <c r="E212" s="42">
        <v>6</v>
      </c>
      <c r="F212" s="42" t="s">
        <v>170</v>
      </c>
      <c r="G212" s="43" t="s">
        <v>171</v>
      </c>
      <c r="H212" s="42" t="s">
        <v>179</v>
      </c>
      <c r="I212" s="43"/>
      <c r="J212" s="43">
        <v>2</v>
      </c>
      <c r="K212" s="25" t="str">
        <f>VLOOKUP(J212,Key!$E$2:$F$9,2,FALSE)</f>
        <v>Work</v>
      </c>
      <c r="L212" s="42" t="s">
        <v>172</v>
      </c>
      <c r="M212" s="43" t="s">
        <v>172</v>
      </c>
      <c r="N212" s="42" t="s">
        <v>179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49"/>
      <c r="T212" s="49">
        <v>2</v>
      </c>
      <c r="U212" s="43">
        <v>1</v>
      </c>
      <c r="V212" s="43"/>
      <c r="W212" s="49">
        <v>0</v>
      </c>
      <c r="X212" s="49"/>
      <c r="Y212" s="50"/>
      <c r="Z212" s="59"/>
      <c r="AA212" s="25">
        <f>VLOOKUP(F212,Zones!$A$2:$F$15907,6,FALSE)</f>
        <v>1443</v>
      </c>
      <c r="AB212" s="25">
        <f>VLOOKUP(L212,Zones!$A$2:$F$15907,6,FALSE)</f>
        <v>335</v>
      </c>
    </row>
    <row r="213" spans="2:28">
      <c r="B213" s="40">
        <v>0.63680555555555551</v>
      </c>
      <c r="C213" s="40"/>
      <c r="D213" s="41">
        <v>9</v>
      </c>
      <c r="E213" s="42">
        <v>2</v>
      </c>
      <c r="F213" s="42" t="s">
        <v>173</v>
      </c>
      <c r="G213" s="43" t="s">
        <v>167</v>
      </c>
      <c r="H213" s="42" t="s">
        <v>212</v>
      </c>
      <c r="I213" s="43"/>
      <c r="J213" s="43">
        <v>2</v>
      </c>
      <c r="K213" s="25" t="str">
        <f>VLOOKUP(J213,Key!$E$2:$F$9,2,FALSE)</f>
        <v>Work</v>
      </c>
      <c r="L213" s="42" t="s">
        <v>189</v>
      </c>
      <c r="M213" s="43" t="s">
        <v>190</v>
      </c>
      <c r="N213" s="42" t="s">
        <v>200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49"/>
      <c r="T213" s="49">
        <v>24</v>
      </c>
      <c r="U213" s="43">
        <v>3</v>
      </c>
      <c r="V213" s="43">
        <v>4</v>
      </c>
      <c r="W213" s="49">
        <v>25</v>
      </c>
      <c r="X213" s="49"/>
      <c r="Y213" s="50"/>
      <c r="Z213" s="59"/>
      <c r="AA213" s="25">
        <f>VLOOKUP(F213,Zones!$A$2:$F$15907,6,FALSE)</f>
        <v>1443</v>
      </c>
      <c r="AB213" s="25">
        <f>VLOOKUP(L213,Zones!$A$2:$F$15907,6,FALSE)</f>
        <v>1434</v>
      </c>
    </row>
    <row r="214" spans="2:28">
      <c r="B214" s="40">
        <v>0.63888888888888895</v>
      </c>
      <c r="C214" s="40"/>
      <c r="D214" s="41">
        <v>9</v>
      </c>
      <c r="E214" s="42">
        <v>2</v>
      </c>
      <c r="F214" s="42" t="s">
        <v>167</v>
      </c>
      <c r="G214" s="43" t="s">
        <v>167</v>
      </c>
      <c r="H214" s="42" t="s">
        <v>212</v>
      </c>
      <c r="I214" s="43"/>
      <c r="J214" s="43">
        <v>2</v>
      </c>
      <c r="K214" s="25" t="str">
        <f>VLOOKUP(J214,Key!$E$2:$F$9,2,FALSE)</f>
        <v>Work</v>
      </c>
      <c r="L214" s="42" t="s">
        <v>183</v>
      </c>
      <c r="M214" s="43" t="s">
        <v>183</v>
      </c>
      <c r="N214" s="42" t="s">
        <v>179</v>
      </c>
      <c r="O214" s="43"/>
      <c r="P214" s="43">
        <v>2</v>
      </c>
      <c r="Q214" s="25" t="str">
        <f>VLOOKUP(P214,Key!$E$2:$F$9,2,FALSE)</f>
        <v>Work</v>
      </c>
      <c r="R214" s="25" t="str">
        <f t="shared" ref="R214:R251" si="4">K214&amp;"-"&amp;Q214</f>
        <v>Work-Work</v>
      </c>
      <c r="S214" s="49"/>
      <c r="T214" s="49">
        <v>32</v>
      </c>
      <c r="U214" s="43">
        <v>3</v>
      </c>
      <c r="V214" s="43">
        <v>1</v>
      </c>
      <c r="W214" s="49">
        <v>25</v>
      </c>
      <c r="X214" s="49"/>
      <c r="Y214" s="50"/>
      <c r="Z214" s="59"/>
      <c r="AA214" s="25">
        <f>VLOOKUP(F214,Zones!$A$2:$F$15907,6,FALSE)</f>
        <v>1443</v>
      </c>
      <c r="AB214" s="25">
        <f>VLOOKUP(L214,Zones!$A$2:$F$15907,6,FALSE)</f>
        <v>521</v>
      </c>
    </row>
    <row r="215" spans="2:28">
      <c r="B215" s="40">
        <v>0.64583333333333337</v>
      </c>
      <c r="C215" s="40"/>
      <c r="D215" s="41">
        <v>8</v>
      </c>
      <c r="E215" s="42">
        <v>2</v>
      </c>
      <c r="F215" s="42" t="s">
        <v>173</v>
      </c>
      <c r="G215" s="43" t="s">
        <v>167</v>
      </c>
      <c r="H215" s="42" t="s">
        <v>212</v>
      </c>
      <c r="I215" s="43"/>
      <c r="J215" s="43">
        <v>2</v>
      </c>
      <c r="K215" s="25" t="str">
        <f>VLOOKUP(J215,Key!$E$2:$F$9,2,FALSE)</f>
        <v>Work</v>
      </c>
      <c r="L215" s="42" t="s">
        <v>190</v>
      </c>
      <c r="M215" s="43" t="s">
        <v>190</v>
      </c>
      <c r="N215" s="42" t="s">
        <v>200</v>
      </c>
      <c r="O215" s="43"/>
      <c r="P215" s="43">
        <v>2</v>
      </c>
      <c r="Q215" s="25" t="str">
        <f>VLOOKUP(P215,Key!$E$2:$F$9,2,FALSE)</f>
        <v>Work</v>
      </c>
      <c r="R215" s="25" t="str">
        <f t="shared" si="4"/>
        <v>Work-Work</v>
      </c>
      <c r="S215" s="49"/>
      <c r="T215" s="49">
        <v>96</v>
      </c>
      <c r="U215" s="43">
        <v>3</v>
      </c>
      <c r="V215" s="43">
        <v>7</v>
      </c>
      <c r="W215" s="49">
        <v>2</v>
      </c>
      <c r="X215" s="49"/>
      <c r="Y215" s="50"/>
      <c r="Z215" s="59"/>
      <c r="AA215" s="25">
        <f>VLOOKUP(F215,Zones!$A$2:$F$15907,6,FALSE)</f>
        <v>1443</v>
      </c>
      <c r="AB215" s="25">
        <f>VLOOKUP(L215,Zones!$A$2:$F$15907,6,FALSE)</f>
        <v>1434</v>
      </c>
    </row>
    <row r="216" spans="2:28">
      <c r="B216" s="40">
        <v>0.6479166666666667</v>
      </c>
      <c r="C216" s="40"/>
      <c r="D216" s="41">
        <v>1</v>
      </c>
      <c r="E216" s="42">
        <v>1</v>
      </c>
      <c r="F216" s="42" t="s">
        <v>209</v>
      </c>
      <c r="G216" s="43" t="s">
        <v>167</v>
      </c>
      <c r="H216" s="42" t="s">
        <v>212</v>
      </c>
      <c r="I216" s="43"/>
      <c r="J216" s="43">
        <v>2</v>
      </c>
      <c r="K216" s="25" t="str">
        <f>VLOOKUP(J216,Key!$E$2:$F$9,2,FALSE)</f>
        <v>Work</v>
      </c>
      <c r="L216" s="42" t="s">
        <v>214</v>
      </c>
      <c r="M216" s="43" t="s">
        <v>183</v>
      </c>
      <c r="N216" s="42" t="s">
        <v>179</v>
      </c>
      <c r="O216" s="43"/>
      <c r="P216" s="43">
        <v>1</v>
      </c>
      <c r="Q216" s="25" t="str">
        <f>VLOOKUP(P216,Key!$E$2:$F$9,2,FALSE)</f>
        <v>Home</v>
      </c>
      <c r="R216" s="25" t="str">
        <f t="shared" si="4"/>
        <v>Work-Home</v>
      </c>
      <c r="S216" s="49"/>
      <c r="T216" s="49">
        <v>15</v>
      </c>
      <c r="U216" s="43">
        <v>3</v>
      </c>
      <c r="V216" s="43"/>
      <c r="W216" s="49">
        <v>0</v>
      </c>
      <c r="X216" s="49"/>
      <c r="Y216" s="50"/>
      <c r="Z216" s="59"/>
      <c r="AA216" s="25">
        <f>VLOOKUP(F216,Zones!$A$2:$F$15907,6,FALSE)</f>
        <v>1443</v>
      </c>
      <c r="AB216" s="25">
        <f>VLOOKUP(L216,Zones!$A$2:$F$15907,6,FALSE)</f>
        <v>556</v>
      </c>
    </row>
    <row r="217" spans="2:28">
      <c r="B217" s="40">
        <v>0.65069444444444446</v>
      </c>
      <c r="C217" s="40"/>
      <c r="D217" s="41">
        <v>9</v>
      </c>
      <c r="E217" s="42">
        <v>1</v>
      </c>
      <c r="F217" s="42" t="s">
        <v>173</v>
      </c>
      <c r="G217" s="43" t="s">
        <v>167</v>
      </c>
      <c r="H217" s="42" t="s">
        <v>212</v>
      </c>
      <c r="I217" s="43"/>
      <c r="J217" s="43">
        <v>2</v>
      </c>
      <c r="K217" s="25" t="str">
        <f>VLOOKUP(J217,Key!$E$2:$F$9,2,FALSE)</f>
        <v>Work</v>
      </c>
      <c r="L217" s="42" t="s">
        <v>183</v>
      </c>
      <c r="M217" s="43" t="s">
        <v>183</v>
      </c>
      <c r="N217" s="42" t="s">
        <v>179</v>
      </c>
      <c r="O217" s="43"/>
      <c r="P217" s="43">
        <v>2</v>
      </c>
      <c r="Q217" s="25" t="str">
        <f>VLOOKUP(P217,Key!$E$2:$F$9,2,FALSE)</f>
        <v>Work</v>
      </c>
      <c r="R217" s="25" t="str">
        <f t="shared" si="4"/>
        <v>Work-Work</v>
      </c>
      <c r="S217" s="49"/>
      <c r="T217" s="49">
        <v>32</v>
      </c>
      <c r="U217" s="43">
        <v>3</v>
      </c>
      <c r="V217" s="43">
        <v>7</v>
      </c>
      <c r="W217" s="49">
        <v>30</v>
      </c>
      <c r="X217" s="49"/>
      <c r="Y217" s="50"/>
      <c r="Z217" s="59"/>
      <c r="AA217" s="25">
        <f>VLOOKUP(F217,Zones!$A$2:$F$15907,6,FALSE)</f>
        <v>1443</v>
      </c>
      <c r="AB217" s="25">
        <f>VLOOKUP(L217,Zones!$A$2:$F$15907,6,FALSE)</f>
        <v>521</v>
      </c>
    </row>
    <row r="218" spans="2:28">
      <c r="B218" s="40">
        <v>0.65208333333333335</v>
      </c>
      <c r="C218" s="40"/>
      <c r="D218" s="41">
        <v>1</v>
      </c>
      <c r="E218" s="42">
        <v>2</v>
      </c>
      <c r="F218" s="42" t="s">
        <v>170</v>
      </c>
      <c r="G218" s="43" t="s">
        <v>171</v>
      </c>
      <c r="H218" s="42" t="s">
        <v>179</v>
      </c>
      <c r="I218" s="43"/>
      <c r="J218" s="43">
        <v>2</v>
      </c>
      <c r="K218" s="25" t="str">
        <f>VLOOKUP(J218,Key!$E$2:$F$9,2,FALSE)</f>
        <v>Work</v>
      </c>
      <c r="L218" s="42" t="s">
        <v>168</v>
      </c>
      <c r="M218" s="43" t="s">
        <v>171</v>
      </c>
      <c r="N218" s="42" t="s">
        <v>179</v>
      </c>
      <c r="O218" s="43"/>
      <c r="P218" s="43">
        <v>1</v>
      </c>
      <c r="Q218" s="25" t="str">
        <f>VLOOKUP(P218,Key!$E$2:$F$9,2,FALSE)</f>
        <v>Home</v>
      </c>
      <c r="R218" s="25" t="str">
        <f t="shared" si="4"/>
        <v>Work-Home</v>
      </c>
      <c r="S218" s="49"/>
      <c r="T218" s="49">
        <v>0.7</v>
      </c>
      <c r="U218" s="43">
        <v>1</v>
      </c>
      <c r="V218" s="43"/>
      <c r="W218" s="49">
        <v>0</v>
      </c>
      <c r="X218" s="49"/>
      <c r="Y218" s="50"/>
      <c r="Z218" s="59"/>
      <c r="AA218" s="25">
        <f>VLOOKUP(F218,Zones!$A$2:$F$15907,6,FALSE)</f>
        <v>1443</v>
      </c>
      <c r="AB218" s="25">
        <f>VLOOKUP(L218,Zones!$A$2:$F$15907,6,FALSE)</f>
        <v>75</v>
      </c>
    </row>
    <row r="219" spans="2:28">
      <c r="B219" s="40">
        <v>0.65277777777777779</v>
      </c>
      <c r="C219" s="40"/>
      <c r="D219" s="41">
        <v>6</v>
      </c>
      <c r="E219" s="42">
        <v>55</v>
      </c>
      <c r="F219" s="42" t="s">
        <v>170</v>
      </c>
      <c r="G219" s="43" t="s">
        <v>171</v>
      </c>
      <c r="H219" s="42" t="s">
        <v>179</v>
      </c>
      <c r="I219" s="43"/>
      <c r="J219" s="43">
        <v>2</v>
      </c>
      <c r="K219" s="25" t="str">
        <f>VLOOKUP(J219,Key!$E$2:$F$9,2,FALSE)</f>
        <v>Work</v>
      </c>
      <c r="L219" s="42" t="s">
        <v>168</v>
      </c>
      <c r="M219" s="43" t="s">
        <v>171</v>
      </c>
      <c r="N219" s="42" t="s">
        <v>179</v>
      </c>
      <c r="O219" s="43"/>
      <c r="P219" s="43">
        <v>2</v>
      </c>
      <c r="Q219" s="25" t="str">
        <f>VLOOKUP(P219,Key!$E$2:$F$9,2,FALSE)</f>
        <v>Work</v>
      </c>
      <c r="R219" s="25" t="str">
        <f t="shared" si="4"/>
        <v>Work-Work</v>
      </c>
      <c r="S219" s="49"/>
      <c r="T219" s="49">
        <v>0.5</v>
      </c>
      <c r="U219" s="43">
        <v>1</v>
      </c>
      <c r="V219" s="43"/>
      <c r="W219" s="49">
        <v>0</v>
      </c>
      <c r="X219" s="49"/>
      <c r="Y219" s="50"/>
      <c r="Z219" s="59"/>
      <c r="AA219" s="25">
        <f>VLOOKUP(F219,Zones!$A$2:$F$15907,6,FALSE)</f>
        <v>1443</v>
      </c>
      <c r="AB219" s="25">
        <f>VLOOKUP(L219,Zones!$A$2:$F$15907,6,FALSE)</f>
        <v>75</v>
      </c>
    </row>
    <row r="220" spans="2:28">
      <c r="B220" s="40">
        <v>0.65625</v>
      </c>
      <c r="C220" s="40"/>
      <c r="D220" s="41">
        <v>8</v>
      </c>
      <c r="E220" s="42">
        <v>2</v>
      </c>
      <c r="F220" s="42" t="s">
        <v>173</v>
      </c>
      <c r="G220" s="43" t="s">
        <v>167</v>
      </c>
      <c r="H220" s="42" t="s">
        <v>212</v>
      </c>
      <c r="I220" s="43"/>
      <c r="J220" s="43">
        <v>2</v>
      </c>
      <c r="K220" s="25" t="str">
        <f>VLOOKUP(J220,Key!$E$2:$F$9,2,FALSE)</f>
        <v>Work</v>
      </c>
      <c r="L220" s="42" t="s">
        <v>183</v>
      </c>
      <c r="M220" s="43" t="s">
        <v>183</v>
      </c>
      <c r="N220" s="42" t="s">
        <v>179</v>
      </c>
      <c r="O220" s="43"/>
      <c r="P220" s="43">
        <v>2</v>
      </c>
      <c r="Q220" s="25" t="str">
        <f>VLOOKUP(P220,Key!$E$2:$F$9,2,FALSE)</f>
        <v>Work</v>
      </c>
      <c r="R220" s="25" t="str">
        <f t="shared" si="4"/>
        <v>Work-Work</v>
      </c>
      <c r="S220" s="49"/>
      <c r="T220" s="49">
        <v>24</v>
      </c>
      <c r="U220" s="43">
        <v>3</v>
      </c>
      <c r="V220" s="43">
        <v>5</v>
      </c>
      <c r="W220" s="49">
        <v>22</v>
      </c>
      <c r="X220" s="49"/>
      <c r="Y220" s="50"/>
      <c r="Z220" s="59"/>
      <c r="AA220" s="25">
        <f>VLOOKUP(F220,Zones!$A$2:$F$15907,6,FALSE)</f>
        <v>1443</v>
      </c>
      <c r="AB220" s="25">
        <f>VLOOKUP(L220,Zones!$A$2:$F$15907,6,FALSE)</f>
        <v>521</v>
      </c>
    </row>
    <row r="221" spans="2:28">
      <c r="B221" s="40">
        <v>0.65833333333333333</v>
      </c>
      <c r="C221" s="40"/>
      <c r="D221" s="41">
        <v>8</v>
      </c>
      <c r="E221" s="42">
        <v>2</v>
      </c>
      <c r="F221" s="42" t="s">
        <v>173</v>
      </c>
      <c r="G221" s="43" t="s">
        <v>167</v>
      </c>
      <c r="H221" s="42" t="s">
        <v>212</v>
      </c>
      <c r="I221" s="43"/>
      <c r="J221" s="43">
        <v>2</v>
      </c>
      <c r="K221" s="25" t="str">
        <f>VLOOKUP(J221,Key!$E$2:$F$9,2,FALSE)</f>
        <v>Work</v>
      </c>
      <c r="L221" s="42" t="s">
        <v>185</v>
      </c>
      <c r="M221" s="43" t="s">
        <v>183</v>
      </c>
      <c r="N221" s="42" t="s">
        <v>179</v>
      </c>
      <c r="O221" s="43"/>
      <c r="P221" s="43">
        <v>1</v>
      </c>
      <c r="Q221" s="25" t="str">
        <f>VLOOKUP(P221,Key!$E$2:$F$9,2,FALSE)</f>
        <v>Home</v>
      </c>
      <c r="R221" s="25" t="str">
        <f t="shared" si="4"/>
        <v>Work-Home</v>
      </c>
      <c r="S221" s="49"/>
      <c r="T221" s="49">
        <v>15</v>
      </c>
      <c r="U221" s="43">
        <v>3</v>
      </c>
      <c r="V221" s="43">
        <v>9</v>
      </c>
      <c r="W221" s="49">
        <v>15</v>
      </c>
      <c r="X221" s="49"/>
      <c r="Y221" s="50"/>
      <c r="Z221" s="59"/>
      <c r="AA221" s="25">
        <f>VLOOKUP(F221,Zones!$A$2:$F$15907,6,FALSE)</f>
        <v>1443</v>
      </c>
      <c r="AB221" s="25">
        <f>VLOOKUP(L221,Zones!$A$2:$F$15907,6,FALSE)</f>
        <v>572</v>
      </c>
    </row>
    <row r="222" spans="2:28">
      <c r="B222" s="40">
        <v>0.66111111111111109</v>
      </c>
      <c r="C222" s="40"/>
      <c r="D222" s="41">
        <v>1</v>
      </c>
      <c r="E222" s="42">
        <v>6</v>
      </c>
      <c r="F222" s="42" t="s">
        <v>170</v>
      </c>
      <c r="G222" s="43" t="s">
        <v>171</v>
      </c>
      <c r="H222" s="42" t="s">
        <v>179</v>
      </c>
      <c r="I222" s="43"/>
      <c r="J222" s="43">
        <v>2</v>
      </c>
      <c r="K222" s="25" t="str">
        <f>VLOOKUP(J222,Key!$E$2:$F$9,2,FALSE)</f>
        <v>Work</v>
      </c>
      <c r="L222" s="42" t="s">
        <v>172</v>
      </c>
      <c r="M222" s="43" t="s">
        <v>172</v>
      </c>
      <c r="N222" s="42" t="s">
        <v>179</v>
      </c>
      <c r="O222" s="43"/>
      <c r="P222" s="43">
        <v>2</v>
      </c>
      <c r="Q222" s="25" t="str">
        <f>VLOOKUP(P222,Key!$E$2:$F$9,2,FALSE)</f>
        <v>Work</v>
      </c>
      <c r="R222" s="25" t="str">
        <f t="shared" si="4"/>
        <v>Work-Work</v>
      </c>
      <c r="S222" s="49"/>
      <c r="T222" s="49">
        <v>1.5</v>
      </c>
      <c r="U222" s="43">
        <v>1</v>
      </c>
      <c r="V222" s="43"/>
      <c r="W222" s="49">
        <v>0</v>
      </c>
      <c r="X222" s="49"/>
      <c r="Y222" s="50"/>
      <c r="Z222" s="59"/>
      <c r="AA222" s="25">
        <f>VLOOKUP(F222,Zones!$A$2:$F$15907,6,FALSE)</f>
        <v>1443</v>
      </c>
      <c r="AB222" s="25">
        <f>VLOOKUP(L222,Zones!$A$2:$F$15907,6,FALSE)</f>
        <v>335</v>
      </c>
    </row>
    <row r="223" spans="2:28">
      <c r="B223" s="40">
        <v>0.66319444444444442</v>
      </c>
      <c r="C223" s="40"/>
      <c r="D223" s="41">
        <v>1</v>
      </c>
      <c r="E223" s="42">
        <v>7</v>
      </c>
      <c r="F223" s="42" t="s">
        <v>170</v>
      </c>
      <c r="G223" s="43" t="s">
        <v>171</v>
      </c>
      <c r="H223" s="42" t="s">
        <v>179</v>
      </c>
      <c r="I223" s="43"/>
      <c r="J223" s="43">
        <v>2</v>
      </c>
      <c r="K223" s="25" t="str">
        <f>VLOOKUP(J223,Key!$E$2:$F$9,2,FALSE)</f>
        <v>Work</v>
      </c>
      <c r="L223" s="42" t="s">
        <v>172</v>
      </c>
      <c r="M223" s="43" t="s">
        <v>172</v>
      </c>
      <c r="N223" s="42" t="s">
        <v>179</v>
      </c>
      <c r="O223" s="43"/>
      <c r="P223" s="43">
        <v>2</v>
      </c>
      <c r="Q223" s="25" t="str">
        <f>VLOOKUP(P223,Key!$E$2:$F$9,2,FALSE)</f>
        <v>Work</v>
      </c>
      <c r="R223" s="25" t="str">
        <f t="shared" si="4"/>
        <v>Work-Work</v>
      </c>
      <c r="S223" s="49"/>
      <c r="T223" s="49">
        <v>1.5</v>
      </c>
      <c r="U223" s="43">
        <v>1</v>
      </c>
      <c r="V223" s="43"/>
      <c r="W223" s="49"/>
      <c r="X223" s="49"/>
      <c r="Y223" s="50"/>
      <c r="Z223" s="59"/>
      <c r="AA223" s="25">
        <f>VLOOKUP(F223,Zones!$A$2:$F$15907,6,FALSE)</f>
        <v>1443</v>
      </c>
      <c r="AB223" s="25">
        <f>VLOOKUP(L223,Zones!$A$2:$F$15907,6,FALSE)</f>
        <v>335</v>
      </c>
    </row>
    <row r="224" spans="2:28">
      <c r="B224" s="40">
        <v>0.66597222222222219</v>
      </c>
      <c r="C224" s="40"/>
      <c r="D224" s="41">
        <v>1</v>
      </c>
      <c r="E224" s="42">
        <v>1</v>
      </c>
      <c r="F224" s="42" t="s">
        <v>209</v>
      </c>
      <c r="G224" s="43" t="s">
        <v>167</v>
      </c>
      <c r="H224" s="42" t="s">
        <v>212</v>
      </c>
      <c r="I224" s="43"/>
      <c r="J224" s="43">
        <v>2</v>
      </c>
      <c r="K224" s="25" t="str">
        <f>VLOOKUP(J224,Key!$E$2:$F$9,2,FALSE)</f>
        <v>Work</v>
      </c>
      <c r="L224" s="42" t="s">
        <v>168</v>
      </c>
      <c r="M224" s="43" t="s">
        <v>171</v>
      </c>
      <c r="N224" s="42" t="s">
        <v>179</v>
      </c>
      <c r="O224" s="43"/>
      <c r="P224" s="43">
        <v>1</v>
      </c>
      <c r="Q224" s="25" t="str">
        <f>VLOOKUP(P224,Key!$E$2:$F$9,2,FALSE)</f>
        <v>Home</v>
      </c>
      <c r="R224" s="25" t="str">
        <f t="shared" si="4"/>
        <v>Work-Home</v>
      </c>
      <c r="S224" s="49"/>
      <c r="T224" s="49"/>
      <c r="U224" s="43">
        <v>3</v>
      </c>
      <c r="V224" s="43"/>
      <c r="W224" s="49">
        <v>0</v>
      </c>
      <c r="X224" s="49"/>
      <c r="Y224" s="50"/>
      <c r="Z224" s="59"/>
      <c r="AA224" s="25">
        <f>VLOOKUP(F224,Zones!$A$2:$F$15907,6,FALSE)</f>
        <v>1443</v>
      </c>
      <c r="AB224" s="25">
        <f>VLOOKUP(L224,Zones!$A$2:$F$15907,6,FALSE)</f>
        <v>75</v>
      </c>
    </row>
    <row r="225" spans="2:28">
      <c r="B225" s="40">
        <v>0.66805555555555562</v>
      </c>
      <c r="C225" s="40"/>
      <c r="D225" s="41">
        <v>9</v>
      </c>
      <c r="E225" s="42">
        <v>2</v>
      </c>
      <c r="F225" s="42" t="s">
        <v>173</v>
      </c>
      <c r="G225" s="43" t="s">
        <v>167</v>
      </c>
      <c r="H225" s="42" t="s">
        <v>212</v>
      </c>
      <c r="I225" s="43"/>
      <c r="J225" s="43">
        <v>2</v>
      </c>
      <c r="K225" s="25" t="str">
        <f>VLOOKUP(J225,Key!$E$2:$F$9,2,FALSE)</f>
        <v>Work</v>
      </c>
      <c r="L225" s="42" t="s">
        <v>189</v>
      </c>
      <c r="M225" s="43" t="s">
        <v>190</v>
      </c>
      <c r="N225" s="42" t="s">
        <v>200</v>
      </c>
      <c r="O225" s="43"/>
      <c r="P225" s="43">
        <v>1</v>
      </c>
      <c r="Q225" s="25" t="str">
        <f>VLOOKUP(P225,Key!$E$2:$F$9,2,FALSE)</f>
        <v>Home</v>
      </c>
      <c r="R225" s="25" t="str">
        <f t="shared" si="4"/>
        <v>Work-Home</v>
      </c>
      <c r="S225" s="49"/>
      <c r="T225" s="49">
        <v>36</v>
      </c>
      <c r="U225" s="43">
        <v>3</v>
      </c>
      <c r="V225" s="43">
        <v>6</v>
      </c>
      <c r="W225" s="49">
        <v>25</v>
      </c>
      <c r="X225" s="49"/>
      <c r="Y225" s="50"/>
      <c r="Z225" s="59"/>
      <c r="AA225" s="25">
        <f>VLOOKUP(F225,Zones!$A$2:$F$15907,6,FALSE)</f>
        <v>1443</v>
      </c>
      <c r="AB225" s="25">
        <f>VLOOKUP(L225,Zones!$A$2:$F$15907,6,FALSE)</f>
        <v>1434</v>
      </c>
    </row>
    <row r="226" spans="2:28">
      <c r="B226" s="40">
        <v>0.67152777777777783</v>
      </c>
      <c r="C226" s="40"/>
      <c r="D226" s="41">
        <v>9</v>
      </c>
      <c r="E226" s="42">
        <v>3</v>
      </c>
      <c r="F226" s="42" t="s">
        <v>173</v>
      </c>
      <c r="G226" s="43" t="s">
        <v>167</v>
      </c>
      <c r="H226" s="42" t="s">
        <v>212</v>
      </c>
      <c r="I226" s="43"/>
      <c r="J226" s="43">
        <v>2</v>
      </c>
      <c r="K226" s="25" t="str">
        <f>VLOOKUP(J226,Key!$E$2:$F$9,2,FALSE)</f>
        <v>Work</v>
      </c>
      <c r="L226" s="42" t="s">
        <v>184</v>
      </c>
      <c r="M226" s="43" t="s">
        <v>184</v>
      </c>
      <c r="N226" s="42" t="s">
        <v>200</v>
      </c>
      <c r="O226" s="43"/>
      <c r="P226" s="43">
        <v>2</v>
      </c>
      <c r="Q226" s="25" t="str">
        <f>VLOOKUP(P226,Key!$E$2:$F$9,2,FALSE)</f>
        <v>Work</v>
      </c>
      <c r="R226" s="25" t="str">
        <f t="shared" si="4"/>
        <v>Work-Work</v>
      </c>
      <c r="S226" s="49"/>
      <c r="T226" s="49">
        <v>36</v>
      </c>
      <c r="U226" s="43">
        <v>3</v>
      </c>
      <c r="V226" s="43">
        <v>6</v>
      </c>
      <c r="W226" s="49">
        <v>27</v>
      </c>
      <c r="X226" s="49"/>
      <c r="Y226" s="50"/>
      <c r="Z226" s="59"/>
      <c r="AA226" s="25">
        <f>VLOOKUP(F226,Zones!$A$2:$F$15907,6,FALSE)</f>
        <v>1443</v>
      </c>
      <c r="AB226" s="25">
        <f>VLOOKUP(L226,Zones!$A$2:$F$15907,6,FALSE)</f>
        <v>1434</v>
      </c>
    </row>
    <row r="227" spans="2:28">
      <c r="B227" s="40">
        <v>0.67291666666666661</v>
      </c>
      <c r="C227" s="40"/>
      <c r="D227" s="41">
        <v>1</v>
      </c>
      <c r="E227" s="42">
        <v>8</v>
      </c>
      <c r="F227" s="42" t="s">
        <v>170</v>
      </c>
      <c r="G227" s="43" t="s">
        <v>171</v>
      </c>
      <c r="H227" s="42" t="s">
        <v>179</v>
      </c>
      <c r="I227" s="43"/>
      <c r="J227" s="43">
        <v>2</v>
      </c>
      <c r="K227" s="25" t="str">
        <f>VLOOKUP(J227,Key!$E$2:$F$9,2,FALSE)</f>
        <v>Work</v>
      </c>
      <c r="L227" s="42" t="s">
        <v>172</v>
      </c>
      <c r="M227" s="43" t="s">
        <v>172</v>
      </c>
      <c r="N227" s="42" t="s">
        <v>179</v>
      </c>
      <c r="O227" s="43"/>
      <c r="P227" s="43">
        <v>2</v>
      </c>
      <c r="Q227" s="25" t="str">
        <f>VLOOKUP(P227,Key!$E$2:$F$9,2,FALSE)</f>
        <v>Work</v>
      </c>
      <c r="R227" s="25" t="str">
        <f t="shared" si="4"/>
        <v>Work-Work</v>
      </c>
      <c r="S227" s="49"/>
      <c r="T227" s="49">
        <v>1.5</v>
      </c>
      <c r="U227" s="43">
        <v>1</v>
      </c>
      <c r="V227" s="43"/>
      <c r="W227" s="49">
        <v>0</v>
      </c>
      <c r="X227" s="49"/>
      <c r="Y227" s="50"/>
      <c r="Z227" s="59"/>
      <c r="AA227" s="25">
        <f>VLOOKUP(F227,Zones!$A$2:$F$15907,6,FALSE)</f>
        <v>1443</v>
      </c>
      <c r="AB227" s="25">
        <f>VLOOKUP(L227,Zones!$A$2:$F$15907,6,FALSE)</f>
        <v>335</v>
      </c>
    </row>
    <row r="228" spans="2:28">
      <c r="B228" s="40">
        <v>0.67569444444444438</v>
      </c>
      <c r="C228" s="40"/>
      <c r="D228" s="41">
        <v>1</v>
      </c>
      <c r="E228" s="42">
        <v>6</v>
      </c>
      <c r="F228" s="42" t="s">
        <v>170</v>
      </c>
      <c r="G228" s="43" t="s">
        <v>171</v>
      </c>
      <c r="H228" s="42" t="s">
        <v>179</v>
      </c>
      <c r="I228" s="43"/>
      <c r="J228" s="43">
        <v>2</v>
      </c>
      <c r="K228" s="25" t="str">
        <f>VLOOKUP(J228,Key!$E$2:$F$9,2,FALSE)</f>
        <v>Work</v>
      </c>
      <c r="L228" s="42" t="s">
        <v>172</v>
      </c>
      <c r="M228" s="43" t="s">
        <v>172</v>
      </c>
      <c r="N228" s="42" t="s">
        <v>179</v>
      </c>
      <c r="O228" s="43"/>
      <c r="P228" s="43">
        <v>2</v>
      </c>
      <c r="Q228" s="25" t="str">
        <f>VLOOKUP(P228,Key!$E$2:$F$9,2,FALSE)</f>
        <v>Work</v>
      </c>
      <c r="R228" s="25" t="str">
        <f t="shared" si="4"/>
        <v>Work-Work</v>
      </c>
      <c r="S228" s="49"/>
      <c r="T228" s="49">
        <v>1.5</v>
      </c>
      <c r="U228" s="43">
        <v>1</v>
      </c>
      <c r="V228" s="43"/>
      <c r="W228" s="49">
        <v>0</v>
      </c>
      <c r="X228" s="49"/>
      <c r="Y228" s="50"/>
      <c r="Z228" s="59"/>
      <c r="AA228" s="25">
        <f>VLOOKUP(F228,Zones!$A$2:$F$15907,6,FALSE)</f>
        <v>1443</v>
      </c>
      <c r="AB228" s="25">
        <f>VLOOKUP(L228,Zones!$A$2:$F$15907,6,FALSE)</f>
        <v>335</v>
      </c>
    </row>
    <row r="229" spans="2:28">
      <c r="B229" s="40">
        <v>0.67847222222222225</v>
      </c>
      <c r="C229" s="40"/>
      <c r="D229" s="41">
        <v>6</v>
      </c>
      <c r="E229" s="42">
        <v>45</v>
      </c>
      <c r="F229" s="42" t="s">
        <v>170</v>
      </c>
      <c r="G229" s="43" t="s">
        <v>171</v>
      </c>
      <c r="H229" s="42" t="s">
        <v>179</v>
      </c>
      <c r="I229" s="43"/>
      <c r="J229" s="43">
        <v>2</v>
      </c>
      <c r="K229" s="25" t="str">
        <f>VLOOKUP(J229,Key!$E$2:$F$9,2,FALSE)</f>
        <v>Work</v>
      </c>
      <c r="L229" s="42" t="s">
        <v>168</v>
      </c>
      <c r="M229" s="43" t="s">
        <v>171</v>
      </c>
      <c r="N229" s="42" t="s">
        <v>179</v>
      </c>
      <c r="O229" s="43"/>
      <c r="P229" s="43">
        <v>2</v>
      </c>
      <c r="Q229" s="25" t="str">
        <f>VLOOKUP(P229,Key!$E$2:$F$9,2,FALSE)</f>
        <v>Work</v>
      </c>
      <c r="R229" s="25" t="str">
        <f t="shared" si="4"/>
        <v>Work-Work</v>
      </c>
      <c r="S229" s="49"/>
      <c r="T229" s="49">
        <v>0.3</v>
      </c>
      <c r="U229" s="43">
        <v>1</v>
      </c>
      <c r="V229" s="43"/>
      <c r="W229" s="49">
        <v>0</v>
      </c>
      <c r="X229" s="49"/>
      <c r="Y229" s="50"/>
      <c r="Z229" s="59"/>
      <c r="AA229" s="25">
        <f>VLOOKUP(F229,Zones!$A$2:$F$15907,6,FALSE)</f>
        <v>1443</v>
      </c>
      <c r="AB229" s="25">
        <f>VLOOKUP(L229,Zones!$A$2:$F$15907,6,FALSE)</f>
        <v>75</v>
      </c>
    </row>
    <row r="230" spans="2:28">
      <c r="B230" s="40">
        <v>0.68194444444444446</v>
      </c>
      <c r="C230" s="40"/>
      <c r="D230" s="41">
        <v>8</v>
      </c>
      <c r="E230" s="42">
        <v>2</v>
      </c>
      <c r="F230" s="42" t="s">
        <v>173</v>
      </c>
      <c r="G230" s="43" t="s">
        <v>167</v>
      </c>
      <c r="H230" s="42" t="s">
        <v>212</v>
      </c>
      <c r="I230" s="43"/>
      <c r="J230" s="43">
        <v>2</v>
      </c>
      <c r="K230" s="25" t="str">
        <f>VLOOKUP(J230,Key!$E$2:$F$9,2,FALSE)</f>
        <v>Work</v>
      </c>
      <c r="L230" s="42" t="s">
        <v>183</v>
      </c>
      <c r="M230" s="43" t="s">
        <v>183</v>
      </c>
      <c r="N230" s="42" t="s">
        <v>179</v>
      </c>
      <c r="O230" s="43"/>
      <c r="P230" s="43">
        <v>2</v>
      </c>
      <c r="Q230" s="25" t="str">
        <f>VLOOKUP(P230,Key!$E$2:$F$9,2,FALSE)</f>
        <v>Work</v>
      </c>
      <c r="R230" s="25" t="str">
        <f t="shared" si="4"/>
        <v>Work-Work</v>
      </c>
      <c r="S230" s="49"/>
      <c r="T230" s="49">
        <v>16</v>
      </c>
      <c r="U230" s="43">
        <v>3</v>
      </c>
      <c r="V230" s="43">
        <v>1</v>
      </c>
      <c r="W230" s="49">
        <v>19</v>
      </c>
      <c r="X230" s="49"/>
      <c r="Y230" s="50"/>
      <c r="Z230" s="59"/>
      <c r="AA230" s="25">
        <f>VLOOKUP(F230,Zones!$A$2:$F$15907,6,FALSE)</f>
        <v>1443</v>
      </c>
      <c r="AB230" s="25">
        <f>VLOOKUP(L230,Zones!$A$2:$F$15907,6,FALSE)</f>
        <v>521</v>
      </c>
    </row>
    <row r="231" spans="2:28">
      <c r="B231" s="40">
        <v>0.68541666666666667</v>
      </c>
      <c r="C231" s="40"/>
      <c r="D231" s="41">
        <v>1</v>
      </c>
      <c r="E231" s="42">
        <v>7</v>
      </c>
      <c r="F231" s="42" t="s">
        <v>170</v>
      </c>
      <c r="G231" s="43" t="s">
        <v>171</v>
      </c>
      <c r="H231" s="42" t="s">
        <v>179</v>
      </c>
      <c r="I231" s="43"/>
      <c r="J231" s="43">
        <v>2</v>
      </c>
      <c r="K231" s="25" t="str">
        <f>VLOOKUP(J231,Key!$E$2:$F$9,2,FALSE)</f>
        <v>Work</v>
      </c>
      <c r="L231" s="42" t="s">
        <v>172</v>
      </c>
      <c r="M231" s="43" t="s">
        <v>172</v>
      </c>
      <c r="N231" s="42" t="s">
        <v>179</v>
      </c>
      <c r="O231" s="43"/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49"/>
      <c r="T231" s="49">
        <v>1.5</v>
      </c>
      <c r="U231" s="43">
        <v>1</v>
      </c>
      <c r="V231" s="43"/>
      <c r="W231" s="49">
        <v>0</v>
      </c>
      <c r="X231" s="49"/>
      <c r="Y231" s="50"/>
      <c r="Z231" s="59"/>
      <c r="AA231" s="25">
        <f>VLOOKUP(F231,Zones!$A$2:$F$15907,6,FALSE)</f>
        <v>1443</v>
      </c>
      <c r="AB231" s="25">
        <f>VLOOKUP(L231,Zones!$A$2:$F$15907,6,FALSE)</f>
        <v>335</v>
      </c>
    </row>
    <row r="232" spans="2:28">
      <c r="B232" s="40">
        <v>0.6875</v>
      </c>
      <c r="C232" s="40"/>
      <c r="D232" s="41">
        <v>8</v>
      </c>
      <c r="E232" s="42">
        <v>3</v>
      </c>
      <c r="F232" s="42" t="s">
        <v>173</v>
      </c>
      <c r="G232" s="43" t="s">
        <v>167</v>
      </c>
      <c r="H232" s="42" t="s">
        <v>212</v>
      </c>
      <c r="I232" s="43"/>
      <c r="J232" s="43">
        <v>2</v>
      </c>
      <c r="K232" s="25" t="str">
        <f>VLOOKUP(J232,Key!$E$2:$F$9,2,FALSE)</f>
        <v>Work</v>
      </c>
      <c r="L232" s="42" t="s">
        <v>183</v>
      </c>
      <c r="M232" s="43" t="s">
        <v>183</v>
      </c>
      <c r="N232" s="42" t="s">
        <v>179</v>
      </c>
      <c r="O232" s="43"/>
      <c r="P232" s="43">
        <v>1</v>
      </c>
      <c r="Q232" s="25" t="str">
        <f>VLOOKUP(P232,Key!$E$2:$F$9,2,FALSE)</f>
        <v>Home</v>
      </c>
      <c r="R232" s="25" t="str">
        <f t="shared" si="4"/>
        <v>Work-Home</v>
      </c>
      <c r="S232" s="49"/>
      <c r="T232" s="49">
        <v>24</v>
      </c>
      <c r="U232" s="43">
        <v>3</v>
      </c>
      <c r="V232" s="43">
        <v>3</v>
      </c>
      <c r="W232" s="49">
        <v>18</v>
      </c>
      <c r="X232" s="49"/>
      <c r="Y232" s="50"/>
      <c r="Z232" s="59"/>
      <c r="AA232" s="25">
        <f>VLOOKUP(F232,Zones!$A$2:$F$15907,6,FALSE)</f>
        <v>1443</v>
      </c>
      <c r="AB232" s="25">
        <f>VLOOKUP(L232,Zones!$A$2:$F$15907,6,FALSE)</f>
        <v>521</v>
      </c>
    </row>
    <row r="233" spans="2:28">
      <c r="B233" s="40">
        <v>0.69027777777777777</v>
      </c>
      <c r="C233" s="40"/>
      <c r="D233" s="41">
        <v>9</v>
      </c>
      <c r="E233" s="42"/>
      <c r="F233" s="42" t="s">
        <v>176</v>
      </c>
      <c r="G233" s="43" t="s">
        <v>172</v>
      </c>
      <c r="H233" s="42" t="s">
        <v>179</v>
      </c>
      <c r="I233" s="43"/>
      <c r="J233" s="43">
        <v>1</v>
      </c>
      <c r="K233" s="25" t="str">
        <f>VLOOKUP(J233,Key!$E$2:$F$9,2,FALSE)</f>
        <v>Home</v>
      </c>
      <c r="L233" s="42" t="s">
        <v>176</v>
      </c>
      <c r="M233" s="43" t="s">
        <v>172</v>
      </c>
      <c r="N233" s="42" t="s">
        <v>179</v>
      </c>
      <c r="O233" s="43"/>
      <c r="P233" s="43">
        <v>1</v>
      </c>
      <c r="Q233" s="25" t="str">
        <f>VLOOKUP(P233,Key!$E$2:$F$9,2,FALSE)</f>
        <v>Home</v>
      </c>
      <c r="R233" s="25" t="str">
        <f t="shared" si="4"/>
        <v>Home-Home</v>
      </c>
      <c r="S233" s="49"/>
      <c r="T233" s="49">
        <v>0.1</v>
      </c>
      <c r="U233" s="43">
        <v>1</v>
      </c>
      <c r="V233" s="43"/>
      <c r="W233" s="49">
        <v>0</v>
      </c>
      <c r="X233" s="49"/>
      <c r="Y233" s="50"/>
      <c r="Z233" s="59"/>
      <c r="AA233" s="25">
        <f>VLOOKUP(F233,Zones!$A$2:$F$15907,6,FALSE)</f>
        <v>1443</v>
      </c>
      <c r="AB233" s="25">
        <f>VLOOKUP(L233,Zones!$A$2:$F$15907,6,FALSE)</f>
        <v>1443</v>
      </c>
    </row>
    <row r="234" spans="2:28">
      <c r="B234" s="40">
        <v>0.69305555555555554</v>
      </c>
      <c r="C234" s="40"/>
      <c r="D234" s="41">
        <v>9</v>
      </c>
      <c r="E234" s="42">
        <v>2</v>
      </c>
      <c r="F234" s="42" t="s">
        <v>173</v>
      </c>
      <c r="G234" s="43" t="s">
        <v>167</v>
      </c>
      <c r="H234" s="42" t="s">
        <v>212</v>
      </c>
      <c r="I234" s="43"/>
      <c r="J234" s="43">
        <v>2</v>
      </c>
      <c r="K234" s="25" t="str">
        <f>VLOOKUP(J234,Key!$E$2:$F$9,2,FALSE)</f>
        <v>Work</v>
      </c>
      <c r="L234" s="42" t="s">
        <v>183</v>
      </c>
      <c r="M234" s="43" t="s">
        <v>183</v>
      </c>
      <c r="N234" s="42" t="s">
        <v>179</v>
      </c>
      <c r="O234" s="43"/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49"/>
      <c r="T234" s="49">
        <v>34</v>
      </c>
      <c r="U234" s="43">
        <v>3</v>
      </c>
      <c r="V234" s="43">
        <v>9</v>
      </c>
      <c r="W234" s="49">
        <v>20</v>
      </c>
      <c r="X234" s="49"/>
      <c r="Y234" s="50"/>
      <c r="Z234" s="59"/>
      <c r="AA234" s="25">
        <f>VLOOKUP(F234,Zones!$A$2:$F$15907,6,FALSE)</f>
        <v>1443</v>
      </c>
      <c r="AB234" s="25">
        <f>VLOOKUP(L234,Zones!$A$2:$F$15907,6,FALSE)</f>
        <v>521</v>
      </c>
    </row>
    <row r="235" spans="2:28">
      <c r="B235" s="40">
        <v>0.70833333333333337</v>
      </c>
      <c r="C235" s="40"/>
      <c r="D235" s="41">
        <v>8</v>
      </c>
      <c r="E235" s="42">
        <v>2</v>
      </c>
      <c r="F235" s="42" t="s">
        <v>173</v>
      </c>
      <c r="G235" s="43" t="s">
        <v>167</v>
      </c>
      <c r="H235" s="42" t="s">
        <v>212</v>
      </c>
      <c r="I235" s="43"/>
      <c r="J235" s="43">
        <v>2</v>
      </c>
      <c r="K235" s="25" t="str">
        <f>VLOOKUP(J235,Key!$E$2:$F$9,2,FALSE)</f>
        <v>Work</v>
      </c>
      <c r="L235" s="42" t="s">
        <v>189</v>
      </c>
      <c r="M235" s="43" t="s">
        <v>190</v>
      </c>
      <c r="N235" s="42" t="s">
        <v>200</v>
      </c>
      <c r="O235" s="43"/>
      <c r="P235" s="43">
        <v>1</v>
      </c>
      <c r="Q235" s="25" t="str">
        <f>VLOOKUP(P235,Key!$E$2:$F$9,2,FALSE)</f>
        <v>Home</v>
      </c>
      <c r="R235" s="25" t="str">
        <f t="shared" si="4"/>
        <v>Work-Home</v>
      </c>
      <c r="S235" s="49"/>
      <c r="T235" s="49">
        <v>20</v>
      </c>
      <c r="U235" s="43">
        <v>3</v>
      </c>
      <c r="V235" s="43">
        <v>6</v>
      </c>
      <c r="W235" s="49">
        <v>27</v>
      </c>
      <c r="X235" s="49"/>
      <c r="Y235" s="50"/>
      <c r="Z235" s="59"/>
      <c r="AA235" s="25">
        <f>VLOOKUP(F235,Zones!$A$2:$F$15907,6,FALSE)</f>
        <v>1443</v>
      </c>
      <c r="AB235" s="25">
        <f>VLOOKUP(L235,Zones!$A$2:$F$15907,6,FALSE)</f>
        <v>1434</v>
      </c>
    </row>
    <row r="236" spans="2:28">
      <c r="B236" s="40">
        <v>0.71250000000000002</v>
      </c>
      <c r="C236" s="40"/>
      <c r="D236" s="41">
        <v>8</v>
      </c>
      <c r="E236" s="42">
        <v>3</v>
      </c>
      <c r="F236" s="42" t="s">
        <v>173</v>
      </c>
      <c r="G236" s="43" t="s">
        <v>167</v>
      </c>
      <c r="H236" s="42" t="s">
        <v>212</v>
      </c>
      <c r="I236" s="43"/>
      <c r="J236" s="43">
        <v>2</v>
      </c>
      <c r="K236" s="25" t="str">
        <f>VLOOKUP(J236,Key!$E$2:$F$9,2,FALSE)</f>
        <v>Work</v>
      </c>
      <c r="L236" s="42" t="s">
        <v>186</v>
      </c>
      <c r="M236" s="43" t="s">
        <v>186</v>
      </c>
      <c r="N236" s="42" t="s">
        <v>179</v>
      </c>
      <c r="O236" s="43"/>
      <c r="P236" s="43">
        <v>1</v>
      </c>
      <c r="Q236" s="25" t="str">
        <f>VLOOKUP(P236,Key!$E$2:$F$9,2,FALSE)</f>
        <v>Home</v>
      </c>
      <c r="R236" s="25" t="str">
        <f t="shared" si="4"/>
        <v>Work-Home</v>
      </c>
      <c r="S236" s="49"/>
      <c r="T236" s="49">
        <v>12</v>
      </c>
      <c r="U236" s="43">
        <v>3</v>
      </c>
      <c r="V236" s="43">
        <v>7</v>
      </c>
      <c r="W236" s="49">
        <v>25</v>
      </c>
      <c r="X236" s="49"/>
      <c r="Y236" s="50"/>
      <c r="Z236" s="59"/>
      <c r="AA236" s="25">
        <f>VLOOKUP(F236,Zones!$A$2:$F$15907,6,FALSE)</f>
        <v>1443</v>
      </c>
      <c r="AB236" s="25">
        <f>VLOOKUP(L236,Zones!$A$2:$F$15907,6,FALSE)</f>
        <v>403</v>
      </c>
    </row>
    <row r="237" spans="2:28">
      <c r="B237" s="40">
        <v>0.71458333333333324</v>
      </c>
      <c r="C237" s="40"/>
      <c r="D237" s="41">
        <v>1</v>
      </c>
      <c r="E237" s="42">
        <v>5</v>
      </c>
      <c r="F237" s="42" t="s">
        <v>170</v>
      </c>
      <c r="G237" s="43" t="s">
        <v>171</v>
      </c>
      <c r="H237" s="42" t="s">
        <v>179</v>
      </c>
      <c r="I237" s="43"/>
      <c r="J237" s="43">
        <v>2</v>
      </c>
      <c r="K237" s="25" t="str">
        <f>VLOOKUP(J237,Key!$E$2:$F$9,2,FALSE)</f>
        <v>Work</v>
      </c>
      <c r="L237" s="42" t="s">
        <v>172</v>
      </c>
      <c r="M237" s="43" t="s">
        <v>172</v>
      </c>
      <c r="N237" s="42" t="s">
        <v>179</v>
      </c>
      <c r="O237" s="43"/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49"/>
      <c r="T237" s="49">
        <v>1.5</v>
      </c>
      <c r="U237" s="43">
        <v>1</v>
      </c>
      <c r="V237" s="43"/>
      <c r="W237" s="49">
        <v>0</v>
      </c>
      <c r="X237" s="49"/>
      <c r="Y237" s="50"/>
      <c r="Z237" s="59"/>
      <c r="AA237" s="25">
        <f>VLOOKUP(F237,Zones!$A$2:$F$15907,6,FALSE)</f>
        <v>1443</v>
      </c>
      <c r="AB237" s="25">
        <f>VLOOKUP(L237,Zones!$A$2:$F$15907,6,FALSE)</f>
        <v>335</v>
      </c>
    </row>
    <row r="238" spans="2:28">
      <c r="B238" s="40">
        <v>0.71875</v>
      </c>
      <c r="C238" s="40"/>
      <c r="D238" s="41">
        <v>8</v>
      </c>
      <c r="E238" s="42">
        <v>2</v>
      </c>
      <c r="F238" s="42" t="s">
        <v>173</v>
      </c>
      <c r="G238" s="43" t="s">
        <v>167</v>
      </c>
      <c r="H238" s="42" t="s">
        <v>212</v>
      </c>
      <c r="I238" s="43"/>
      <c r="J238" s="43">
        <v>2</v>
      </c>
      <c r="K238" s="25" t="str">
        <f>VLOOKUP(J238,Key!$E$2:$F$9,2,FALSE)</f>
        <v>Work</v>
      </c>
      <c r="L238" s="42" t="s">
        <v>190</v>
      </c>
      <c r="M238" s="43" t="s">
        <v>190</v>
      </c>
      <c r="N238" s="42" t="s">
        <v>200</v>
      </c>
      <c r="O238" s="43"/>
      <c r="P238" s="43">
        <v>2</v>
      </c>
      <c r="Q238" s="25" t="str">
        <f>VLOOKUP(P238,Key!$E$2:$F$9,2,FALSE)</f>
        <v>Work</v>
      </c>
      <c r="R238" s="25" t="str">
        <f t="shared" si="4"/>
        <v>Work-Work</v>
      </c>
      <c r="S238" s="49"/>
      <c r="T238" s="49">
        <v>15</v>
      </c>
      <c r="U238" s="43">
        <v>3</v>
      </c>
      <c r="V238" s="43">
        <v>8</v>
      </c>
      <c r="W238" s="49">
        <v>30</v>
      </c>
      <c r="X238" s="49"/>
      <c r="Y238" s="50"/>
      <c r="Z238" s="59"/>
      <c r="AA238" s="25">
        <f>VLOOKUP(F238,Zones!$A$2:$F$15907,6,FALSE)</f>
        <v>1443</v>
      </c>
      <c r="AB238" s="25">
        <f>VLOOKUP(L238,Zones!$A$2:$F$15907,6,FALSE)</f>
        <v>1434</v>
      </c>
    </row>
    <row r="239" spans="2:28">
      <c r="B239" s="40">
        <v>0.72152777777777777</v>
      </c>
      <c r="C239" s="40"/>
      <c r="D239" s="41">
        <v>9</v>
      </c>
      <c r="E239" s="42">
        <v>2</v>
      </c>
      <c r="F239" s="42" t="s">
        <v>173</v>
      </c>
      <c r="G239" s="43" t="s">
        <v>167</v>
      </c>
      <c r="H239" s="42" t="s">
        <v>212</v>
      </c>
      <c r="I239" s="43"/>
      <c r="J239" s="43">
        <v>2</v>
      </c>
      <c r="K239" s="25" t="str">
        <f>VLOOKUP(J239,Key!$E$2:$F$9,2,FALSE)</f>
        <v>Work</v>
      </c>
      <c r="L239" s="42" t="s">
        <v>190</v>
      </c>
      <c r="M239" s="43" t="s">
        <v>190</v>
      </c>
      <c r="N239" s="42" t="s">
        <v>200</v>
      </c>
      <c r="O239" s="43"/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49"/>
      <c r="T239" s="49">
        <v>24</v>
      </c>
      <c r="U239" s="43">
        <v>3</v>
      </c>
      <c r="V239" s="43">
        <v>3</v>
      </c>
      <c r="W239" s="49">
        <v>12</v>
      </c>
      <c r="X239" s="49"/>
      <c r="Y239" s="50"/>
      <c r="Z239" s="59"/>
      <c r="AA239" s="25">
        <f>VLOOKUP(F239,Zones!$A$2:$F$15907,6,FALSE)</f>
        <v>1443</v>
      </c>
      <c r="AB239" s="25">
        <f>VLOOKUP(L239,Zones!$A$2:$F$15907,6,FALSE)</f>
        <v>1434</v>
      </c>
    </row>
    <row r="240" spans="2:28">
      <c r="B240" s="40">
        <v>0.72499999999999998</v>
      </c>
      <c r="C240" s="40"/>
      <c r="D240" s="41">
        <v>1</v>
      </c>
      <c r="E240" s="42">
        <v>7</v>
      </c>
      <c r="F240" s="42" t="s">
        <v>170</v>
      </c>
      <c r="G240" s="43" t="s">
        <v>171</v>
      </c>
      <c r="H240" s="42" t="s">
        <v>179</v>
      </c>
      <c r="I240" s="43"/>
      <c r="J240" s="43">
        <v>2</v>
      </c>
      <c r="K240" s="25" t="str">
        <f>VLOOKUP(J240,Key!$E$2:$F$9,2,FALSE)</f>
        <v>Work</v>
      </c>
      <c r="L240" s="42" t="s">
        <v>172</v>
      </c>
      <c r="M240" s="43" t="s">
        <v>172</v>
      </c>
      <c r="N240" s="42" t="s">
        <v>179</v>
      </c>
      <c r="O240" s="43"/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49"/>
      <c r="T240" s="49">
        <v>2</v>
      </c>
      <c r="U240" s="43">
        <v>1</v>
      </c>
      <c r="V240" s="43"/>
      <c r="W240" s="49">
        <v>0</v>
      </c>
      <c r="X240" s="49"/>
      <c r="Y240" s="50"/>
      <c r="Z240" s="59"/>
      <c r="AA240" s="25">
        <f>VLOOKUP(F240,Zones!$A$2:$F$15907,6,FALSE)</f>
        <v>1443</v>
      </c>
      <c r="AB240" s="25">
        <f>VLOOKUP(L240,Zones!$A$2:$F$15907,6,FALSE)</f>
        <v>335</v>
      </c>
    </row>
    <row r="241" spans="2:28">
      <c r="B241" s="40">
        <v>0.7284722222222223</v>
      </c>
      <c r="C241" s="40"/>
      <c r="D241" s="41">
        <v>9</v>
      </c>
      <c r="E241" s="42">
        <v>2</v>
      </c>
      <c r="F241" s="42" t="s">
        <v>173</v>
      </c>
      <c r="G241" s="43" t="s">
        <v>167</v>
      </c>
      <c r="H241" s="42" t="s">
        <v>212</v>
      </c>
      <c r="I241" s="43"/>
      <c r="J241" s="43">
        <v>2</v>
      </c>
      <c r="K241" s="25" t="str">
        <f>VLOOKUP(J241,Key!$E$2:$F$9,2,FALSE)</f>
        <v>Work</v>
      </c>
      <c r="L241" s="42" t="s">
        <v>183</v>
      </c>
      <c r="M241" s="43" t="s">
        <v>183</v>
      </c>
      <c r="N241" s="42" t="s">
        <v>179</v>
      </c>
      <c r="O241" s="43"/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49"/>
      <c r="T241" s="49">
        <v>12</v>
      </c>
      <c r="U241" s="43">
        <v>3</v>
      </c>
      <c r="V241" s="43">
        <v>6</v>
      </c>
      <c r="W241" s="49">
        <v>28</v>
      </c>
      <c r="X241" s="49"/>
      <c r="Y241" s="50"/>
      <c r="Z241" s="59"/>
      <c r="AA241" s="25">
        <f>VLOOKUP(F241,Zones!$A$2:$F$15907,6,FALSE)</f>
        <v>1443</v>
      </c>
      <c r="AB241" s="25">
        <f>VLOOKUP(L241,Zones!$A$2:$F$15907,6,FALSE)</f>
        <v>521</v>
      </c>
    </row>
    <row r="242" spans="2:28">
      <c r="B242" s="40">
        <v>0.73125000000000007</v>
      </c>
      <c r="C242" s="40"/>
      <c r="D242" s="41">
        <v>8</v>
      </c>
      <c r="E242" s="42">
        <v>1</v>
      </c>
      <c r="F242" s="42" t="s">
        <v>170</v>
      </c>
      <c r="G242" s="43" t="s">
        <v>171</v>
      </c>
      <c r="H242" s="42" t="s">
        <v>179</v>
      </c>
      <c r="I242" s="43"/>
      <c r="J242" s="43">
        <v>2</v>
      </c>
      <c r="K242" s="25" t="str">
        <f>VLOOKUP(J242,Key!$E$2:$F$9,2,FALSE)</f>
        <v>Work</v>
      </c>
      <c r="L242" s="42" t="s">
        <v>183</v>
      </c>
      <c r="M242" s="43" t="s">
        <v>183</v>
      </c>
      <c r="N242" s="42" t="s">
        <v>179</v>
      </c>
      <c r="O242" s="43"/>
      <c r="P242" s="43">
        <v>1</v>
      </c>
      <c r="Q242" s="25" t="str">
        <f>VLOOKUP(P242,Key!$E$2:$F$9,2,FALSE)</f>
        <v>Home</v>
      </c>
      <c r="R242" s="25" t="str">
        <f t="shared" si="4"/>
        <v>Work-Home</v>
      </c>
      <c r="S242" s="49"/>
      <c r="T242" s="49">
        <v>15</v>
      </c>
      <c r="U242" s="43">
        <v>3</v>
      </c>
      <c r="V242" s="43">
        <v>9</v>
      </c>
      <c r="W242" s="49">
        <v>9</v>
      </c>
      <c r="X242" s="49"/>
      <c r="Y242" s="50"/>
      <c r="Z242" s="59"/>
      <c r="AA242" s="25">
        <f>VLOOKUP(F242,Zones!$A$2:$F$15907,6,FALSE)</f>
        <v>1443</v>
      </c>
      <c r="AB242" s="25">
        <f>VLOOKUP(L242,Zones!$A$2:$F$15907,6,FALSE)</f>
        <v>521</v>
      </c>
    </row>
    <row r="243" spans="2:28">
      <c r="B243" s="40">
        <v>0.73125000000000007</v>
      </c>
      <c r="C243" s="40"/>
      <c r="D243" s="41">
        <v>2</v>
      </c>
      <c r="E243" s="42">
        <v>2</v>
      </c>
      <c r="F243" s="42" t="s">
        <v>210</v>
      </c>
      <c r="G243" s="43" t="s">
        <v>171</v>
      </c>
      <c r="H243" s="42" t="s">
        <v>179</v>
      </c>
      <c r="I243" s="43"/>
      <c r="J243" s="43">
        <v>4</v>
      </c>
      <c r="K243" s="25" t="str">
        <f>VLOOKUP(J243,Key!$E$2:$F$9,2,FALSE)</f>
        <v>Commercial</v>
      </c>
      <c r="L243" s="42" t="s">
        <v>172</v>
      </c>
      <c r="M243" s="43" t="s">
        <v>172</v>
      </c>
      <c r="N243" s="42" t="s">
        <v>179</v>
      </c>
      <c r="O243" s="43"/>
      <c r="P243" s="43">
        <v>4</v>
      </c>
      <c r="Q243" s="25" t="str">
        <f>VLOOKUP(P243,Key!$E$2:$F$9,2,FALSE)</f>
        <v>Commercial</v>
      </c>
      <c r="R243" s="25" t="str">
        <f t="shared" si="4"/>
        <v>Commercial-Commercial</v>
      </c>
      <c r="S243" s="49"/>
      <c r="T243" s="49">
        <v>2</v>
      </c>
      <c r="U243" s="43">
        <v>2</v>
      </c>
      <c r="V243" s="43"/>
      <c r="W243" s="49">
        <v>0</v>
      </c>
      <c r="X243" s="49"/>
      <c r="Y243" s="50"/>
      <c r="Z243" s="59"/>
      <c r="AA243" s="25">
        <f>VLOOKUP(F243,Zones!$A$2:$F$15907,6,FALSE)</f>
        <v>1443</v>
      </c>
      <c r="AB243" s="25">
        <f>VLOOKUP(L243,Zones!$A$2:$F$15907,6,FALSE)</f>
        <v>335</v>
      </c>
    </row>
    <row r="244" spans="2:28">
      <c r="B244" s="40">
        <v>0.73611111111111116</v>
      </c>
      <c r="C244" s="40"/>
      <c r="D244" s="41">
        <v>8</v>
      </c>
      <c r="E244" s="42">
        <v>2</v>
      </c>
      <c r="F244" s="42" t="s">
        <v>173</v>
      </c>
      <c r="G244" s="43" t="s">
        <v>167</v>
      </c>
      <c r="H244" s="42" t="s">
        <v>212</v>
      </c>
      <c r="I244" s="43"/>
      <c r="J244" s="43">
        <v>4</v>
      </c>
      <c r="K244" s="25" t="str">
        <f>VLOOKUP(J244,Key!$E$2:$F$9,2,FALSE)</f>
        <v>Commercial</v>
      </c>
      <c r="L244" s="42" t="s">
        <v>183</v>
      </c>
      <c r="M244" s="43" t="s">
        <v>183</v>
      </c>
      <c r="N244" s="42" t="s">
        <v>179</v>
      </c>
      <c r="O244" s="43"/>
      <c r="P244" s="43">
        <v>1</v>
      </c>
      <c r="Q244" s="25" t="str">
        <f>VLOOKUP(P244,Key!$E$2:$F$9,2,FALSE)</f>
        <v>Home</v>
      </c>
      <c r="R244" s="25" t="str">
        <f t="shared" si="4"/>
        <v>Commercial-Home</v>
      </c>
      <c r="S244" s="49"/>
      <c r="T244" s="49">
        <v>24</v>
      </c>
      <c r="U244" s="43">
        <v>3</v>
      </c>
      <c r="V244" s="43">
        <v>6</v>
      </c>
      <c r="W244" s="49">
        <v>29</v>
      </c>
      <c r="X244" s="49"/>
      <c r="Y244" s="50"/>
      <c r="Z244" s="59"/>
      <c r="AA244" s="25">
        <f>VLOOKUP(F244,Zones!$A$2:$F$15907,6,FALSE)</f>
        <v>1443</v>
      </c>
      <c r="AB244" s="25">
        <f>VLOOKUP(L244,Zones!$A$2:$F$15907,6,FALSE)</f>
        <v>521</v>
      </c>
    </row>
    <row r="245" spans="2:28">
      <c r="B245" s="40">
        <v>0.74652777777777779</v>
      </c>
      <c r="C245" s="40"/>
      <c r="D245" s="41">
        <v>9</v>
      </c>
      <c r="E245" s="42"/>
      <c r="F245" s="42" t="s">
        <v>176</v>
      </c>
      <c r="G245" s="43" t="s">
        <v>171</v>
      </c>
      <c r="H245" s="42" t="s">
        <v>179</v>
      </c>
      <c r="I245" s="43"/>
      <c r="J245" s="43">
        <v>6</v>
      </c>
      <c r="K245" s="25" t="str">
        <f>VLOOKUP(J245,Key!$E$2:$F$9,2,FALSE)</f>
        <v>Leisure/Social</v>
      </c>
      <c r="L245" s="42" t="s">
        <v>168</v>
      </c>
      <c r="M245" s="43" t="s">
        <v>171</v>
      </c>
      <c r="N245" s="42" t="s">
        <v>179</v>
      </c>
      <c r="O245" s="43"/>
      <c r="P245" s="43">
        <v>2</v>
      </c>
      <c r="Q245" s="25" t="str">
        <f>VLOOKUP(P245,Key!$E$2:$F$9,2,FALSE)</f>
        <v>Work</v>
      </c>
      <c r="R245" s="25" t="str">
        <f t="shared" si="4"/>
        <v>Leisure/Social-Work</v>
      </c>
      <c r="S245" s="49"/>
      <c r="T245" s="49">
        <v>0.5</v>
      </c>
      <c r="U245" s="43">
        <v>3</v>
      </c>
      <c r="V245" s="43"/>
      <c r="W245" s="49">
        <v>0</v>
      </c>
      <c r="X245" s="49"/>
      <c r="Y245" s="50"/>
      <c r="Z245" s="59"/>
      <c r="AA245" s="25">
        <f>VLOOKUP(F245,Zones!$A$2:$F$15907,6,FALSE)</f>
        <v>1443</v>
      </c>
      <c r="AB245" s="25">
        <f>VLOOKUP(L245,Zones!$A$2:$F$15907,6,FALSE)</f>
        <v>75</v>
      </c>
    </row>
    <row r="246" spans="2:28">
      <c r="B246" s="40">
        <v>0.74930555555555556</v>
      </c>
      <c r="C246" s="40"/>
      <c r="D246" s="41">
        <v>1</v>
      </c>
      <c r="E246" s="42">
        <v>2</v>
      </c>
      <c r="F246" s="42" t="s">
        <v>170</v>
      </c>
      <c r="G246" s="43" t="s">
        <v>171</v>
      </c>
      <c r="H246" s="42" t="s">
        <v>179</v>
      </c>
      <c r="I246" s="43"/>
      <c r="J246" s="43">
        <v>2</v>
      </c>
      <c r="K246" s="25" t="str">
        <f>VLOOKUP(J246,Key!$E$2:$F$9,2,FALSE)</f>
        <v>Work</v>
      </c>
      <c r="L246" s="42" t="s">
        <v>172</v>
      </c>
      <c r="M246" s="43" t="s">
        <v>172</v>
      </c>
      <c r="N246" s="42" t="s">
        <v>179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49"/>
      <c r="T246" s="49">
        <v>2</v>
      </c>
      <c r="U246" s="43">
        <v>3</v>
      </c>
      <c r="V246" s="43"/>
      <c r="W246" s="49">
        <v>0</v>
      </c>
      <c r="X246" s="49"/>
      <c r="Y246" s="50"/>
      <c r="Z246" s="59"/>
      <c r="AA246" s="25">
        <f>VLOOKUP(F246,Zones!$A$2:$F$15907,6,FALSE)</f>
        <v>1443</v>
      </c>
      <c r="AB246" s="25">
        <f>VLOOKUP(L246,Zones!$A$2:$F$15907,6,FALSE)</f>
        <v>335</v>
      </c>
    </row>
    <row r="247" spans="2:28">
      <c r="B247" s="40">
        <v>0.75208333333333333</v>
      </c>
      <c r="C247" s="40"/>
      <c r="D247" s="41">
        <v>9</v>
      </c>
      <c r="E247" s="42">
        <v>2</v>
      </c>
      <c r="F247" s="42" t="s">
        <v>173</v>
      </c>
      <c r="G247" s="43" t="s">
        <v>167</v>
      </c>
      <c r="H247" s="42" t="s">
        <v>212</v>
      </c>
      <c r="I247" s="43"/>
      <c r="J247" s="43">
        <v>4</v>
      </c>
      <c r="K247" s="25" t="str">
        <f>VLOOKUP(J247,Key!$E$2:$F$9,2,FALSE)</f>
        <v>Commercial</v>
      </c>
      <c r="L247" s="42" t="s">
        <v>183</v>
      </c>
      <c r="M247" s="43" t="s">
        <v>183</v>
      </c>
      <c r="N247" s="42" t="s">
        <v>179</v>
      </c>
      <c r="O247" s="43"/>
      <c r="P247" s="43">
        <v>1</v>
      </c>
      <c r="Q247" s="25" t="str">
        <f>VLOOKUP(P247,Key!$E$2:$F$9,2,FALSE)</f>
        <v>Home</v>
      </c>
      <c r="R247" s="25" t="str">
        <f t="shared" si="4"/>
        <v>Commercial-Home</v>
      </c>
      <c r="S247" s="49"/>
      <c r="T247" s="49">
        <v>22</v>
      </c>
      <c r="U247" s="43">
        <v>3</v>
      </c>
      <c r="V247" s="43">
        <v>1</v>
      </c>
      <c r="W247" s="49">
        <v>27</v>
      </c>
      <c r="X247" s="49"/>
      <c r="Y247" s="50"/>
      <c r="Z247" s="59"/>
      <c r="AA247" s="25">
        <f>VLOOKUP(F247,Zones!$A$2:$F$15907,6,FALSE)</f>
        <v>1443</v>
      </c>
      <c r="AB247" s="25">
        <f>VLOOKUP(L247,Zones!$A$2:$F$15907,6,FALSE)</f>
        <v>521</v>
      </c>
    </row>
    <row r="248" spans="2:28">
      <c r="B248" s="40">
        <v>0.75624999999999998</v>
      </c>
      <c r="C248" s="40"/>
      <c r="D248" s="41">
        <v>9</v>
      </c>
      <c r="E248" s="42">
        <v>2</v>
      </c>
      <c r="F248" s="42" t="s">
        <v>173</v>
      </c>
      <c r="G248" s="43" t="s">
        <v>167</v>
      </c>
      <c r="H248" s="42" t="s">
        <v>212</v>
      </c>
      <c r="I248" s="43"/>
      <c r="J248" s="43">
        <v>4</v>
      </c>
      <c r="K248" s="25" t="str">
        <f>VLOOKUP(J248,Key!$E$2:$F$9,2,FALSE)</f>
        <v>Commercial</v>
      </c>
      <c r="L248" s="42" t="s">
        <v>215</v>
      </c>
      <c r="M248" s="43" t="s">
        <v>190</v>
      </c>
      <c r="N248" s="42" t="s">
        <v>200</v>
      </c>
      <c r="O248" s="43"/>
      <c r="P248" s="43">
        <v>1</v>
      </c>
      <c r="Q248" s="25" t="str">
        <f>VLOOKUP(P248,Key!$E$2:$F$9,2,FALSE)</f>
        <v>Home</v>
      </c>
      <c r="R248" s="25" t="str">
        <f t="shared" si="4"/>
        <v>Commercial-Home</v>
      </c>
      <c r="S248" s="49"/>
      <c r="T248" s="49">
        <v>24</v>
      </c>
      <c r="U248" s="43">
        <v>3</v>
      </c>
      <c r="V248" s="43">
        <v>5</v>
      </c>
      <c r="W248" s="49">
        <v>30</v>
      </c>
      <c r="X248" s="49"/>
      <c r="Y248" s="50"/>
      <c r="Z248" s="59"/>
      <c r="AA248" s="25">
        <f>VLOOKUP(F248,Zones!$A$2:$F$15907,6,FALSE)</f>
        <v>1443</v>
      </c>
      <c r="AB248" s="25">
        <f>VLOOKUP(L248,Zones!$A$2:$F$15907,6,FALSE)</f>
        <v>1434</v>
      </c>
    </row>
    <row r="249" spans="2:28">
      <c r="B249" s="40">
        <v>0.76250000000000007</v>
      </c>
      <c r="C249" s="40"/>
      <c r="D249" s="41">
        <v>6</v>
      </c>
      <c r="E249" s="42">
        <v>1</v>
      </c>
      <c r="F249" s="42" t="s">
        <v>170</v>
      </c>
      <c r="G249" s="43" t="s">
        <v>171</v>
      </c>
      <c r="H249" s="42" t="s">
        <v>179</v>
      </c>
      <c r="I249" s="43"/>
      <c r="J249" s="43">
        <v>2</v>
      </c>
      <c r="K249" s="25" t="str">
        <f>VLOOKUP(J249,Key!$E$2:$F$9,2,FALSE)</f>
        <v>Work</v>
      </c>
      <c r="L249" s="42" t="s">
        <v>168</v>
      </c>
      <c r="M249" s="43" t="s">
        <v>171</v>
      </c>
      <c r="N249" s="42" t="s">
        <v>179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49"/>
      <c r="T249" s="49">
        <v>0.3</v>
      </c>
      <c r="U249" s="43">
        <v>1</v>
      </c>
      <c r="V249" s="43"/>
      <c r="W249" s="49">
        <v>0</v>
      </c>
      <c r="X249" s="49"/>
      <c r="Y249" s="50"/>
      <c r="Z249" s="59"/>
      <c r="AA249" s="25">
        <f>VLOOKUP(F249,Zones!$A$2:$F$15907,6,FALSE)</f>
        <v>1443</v>
      </c>
      <c r="AB249" s="25">
        <f>VLOOKUP(L249,Zones!$A$2:$F$15907,6,FALSE)</f>
        <v>75</v>
      </c>
    </row>
    <row r="250" spans="2:28">
      <c r="B250" s="40">
        <v>0.7729166666666667</v>
      </c>
      <c r="C250" s="40"/>
      <c r="D250" s="41">
        <v>9</v>
      </c>
      <c r="E250" s="42">
        <v>3</v>
      </c>
      <c r="F250" s="42" t="s">
        <v>176</v>
      </c>
      <c r="G250" s="43" t="s">
        <v>171</v>
      </c>
      <c r="H250" s="42" t="s">
        <v>179</v>
      </c>
      <c r="I250" s="43"/>
      <c r="J250" s="43">
        <v>2</v>
      </c>
      <c r="K250" s="25" t="str">
        <f>VLOOKUP(J250,Key!$E$2:$F$9,2,FALSE)</f>
        <v>Work</v>
      </c>
      <c r="L250" s="42" t="s">
        <v>168</v>
      </c>
      <c r="M250" s="43" t="s">
        <v>171</v>
      </c>
      <c r="N250" s="42" t="s">
        <v>179</v>
      </c>
      <c r="O250" s="43"/>
      <c r="P250" s="43">
        <v>1</v>
      </c>
      <c r="Q250" s="25" t="str">
        <f>VLOOKUP(P250,Key!$E$2:$F$9,2,FALSE)</f>
        <v>Home</v>
      </c>
      <c r="R250" s="25" t="str">
        <f t="shared" si="4"/>
        <v>Work-Home</v>
      </c>
      <c r="S250" s="49"/>
      <c r="T250" s="49">
        <v>0.5</v>
      </c>
      <c r="U250" s="43">
        <v>1</v>
      </c>
      <c r="V250" s="43"/>
      <c r="W250" s="49">
        <v>0</v>
      </c>
      <c r="X250" s="49"/>
      <c r="Y250" s="50"/>
      <c r="Z250" s="59"/>
      <c r="AA250" s="25">
        <f>VLOOKUP(F250,Zones!$A$2:$F$15907,6,FALSE)</f>
        <v>1443</v>
      </c>
      <c r="AB250" s="25">
        <f>VLOOKUP(L250,Zones!$A$2:$F$15907,6,FALSE)</f>
        <v>75</v>
      </c>
    </row>
    <row r="251" spans="2:28">
      <c r="B251" s="40">
        <v>0.77569444444444446</v>
      </c>
      <c r="C251" s="40"/>
      <c r="D251" s="41">
        <v>8</v>
      </c>
      <c r="E251" s="42">
        <v>2</v>
      </c>
      <c r="F251" s="42" t="s">
        <v>170</v>
      </c>
      <c r="G251" s="43" t="s">
        <v>171</v>
      </c>
      <c r="H251" s="42" t="s">
        <v>179</v>
      </c>
      <c r="I251" s="43"/>
      <c r="J251" s="43">
        <v>2</v>
      </c>
      <c r="K251" s="25" t="str">
        <f>VLOOKUP(J251,Key!$E$2:$F$9,2,FALSE)</f>
        <v>Work</v>
      </c>
      <c r="L251" s="42" t="s">
        <v>168</v>
      </c>
      <c r="M251" s="43" t="s">
        <v>171</v>
      </c>
      <c r="N251" s="42" t="s">
        <v>179</v>
      </c>
      <c r="O251" s="43"/>
      <c r="P251" s="43">
        <v>1</v>
      </c>
      <c r="Q251" s="25" t="str">
        <f>VLOOKUP(P251,Key!$E$2:$F$9,2,FALSE)</f>
        <v>Home</v>
      </c>
      <c r="R251" s="25" t="str">
        <f t="shared" si="4"/>
        <v>Work-Home</v>
      </c>
      <c r="S251" s="49"/>
      <c r="T251" s="49">
        <v>0.7</v>
      </c>
      <c r="U251" s="43">
        <v>1</v>
      </c>
      <c r="V251" s="43">
        <v>10</v>
      </c>
      <c r="W251" s="49">
        <v>0</v>
      </c>
      <c r="X251" s="49"/>
      <c r="Y251" s="50"/>
      <c r="Z251" s="59"/>
      <c r="AA251" s="25">
        <f>VLOOKUP(F251,Zones!$A$2:$F$15907,6,FALSE)</f>
        <v>1443</v>
      </c>
      <c r="AB251" s="25">
        <f>VLOOKUP(L251,Zones!$A$2:$F$15907,6,FALSE)</f>
        <v>75</v>
      </c>
    </row>
    <row r="252" spans="2:28">
      <c r="B252" s="40">
        <v>0.30902777777777779</v>
      </c>
      <c r="C252" s="40"/>
      <c r="D252" s="41">
        <v>1</v>
      </c>
      <c r="E252" s="42">
        <v>1</v>
      </c>
      <c r="F252" s="42" t="s">
        <v>184</v>
      </c>
      <c r="G252" s="43" t="s">
        <v>184</v>
      </c>
      <c r="H252" s="42" t="s">
        <v>200</v>
      </c>
      <c r="I252" s="43"/>
      <c r="J252" s="43">
        <v>4</v>
      </c>
      <c r="K252" s="25" t="str">
        <f>VLOOKUP(J252,Key!$E$2:$F$9,2,FALSE)</f>
        <v>Commercial</v>
      </c>
      <c r="L252" s="42" t="s">
        <v>170</v>
      </c>
      <c r="M252" s="43" t="s">
        <v>171</v>
      </c>
      <c r="N252" s="42" t="s">
        <v>179</v>
      </c>
      <c r="O252" s="43"/>
      <c r="P252" s="43">
        <v>4</v>
      </c>
      <c r="Q252" s="25" t="str">
        <f>VLOOKUP(P252,Key!$E$2:$F$9,2,FALSE)</f>
        <v>Commercial</v>
      </c>
      <c r="R252" s="25" t="str">
        <f>K252&amp;"-"&amp;Q252</f>
        <v>Commercial-Commercial</v>
      </c>
      <c r="S252" s="49"/>
      <c r="T252" s="49">
        <v>72</v>
      </c>
      <c r="U252" s="43">
        <v>4</v>
      </c>
      <c r="V252" s="43"/>
      <c r="W252" s="49"/>
      <c r="X252" s="49"/>
      <c r="Y252" s="50"/>
      <c r="Z252" s="59"/>
      <c r="AA252" s="25">
        <f>VLOOKUP(F252,Zones!$A$2:$F$15907,6,FALSE)</f>
        <v>1434</v>
      </c>
      <c r="AB252" s="25">
        <f>VLOOKUP(L252,Zones!$A$2:$F$15907,6,FALSE)</f>
        <v>1443</v>
      </c>
    </row>
    <row r="253" spans="2:28">
      <c r="B253" s="40">
        <v>0.31597222222222221</v>
      </c>
      <c r="C253" s="40"/>
      <c r="D253" s="41">
        <v>1</v>
      </c>
      <c r="E253" s="42">
        <v>1</v>
      </c>
      <c r="F253" s="42" t="s">
        <v>204</v>
      </c>
      <c r="G253" s="43" t="s">
        <v>183</v>
      </c>
      <c r="H253" s="42" t="s">
        <v>179</v>
      </c>
      <c r="I253" s="43"/>
      <c r="J253" s="43">
        <v>4</v>
      </c>
      <c r="K253" s="25" t="str">
        <f>VLOOKUP(J253,Key!$E$2:$F$9,2,FALSE)</f>
        <v>Commercial</v>
      </c>
      <c r="L253" s="42" t="s">
        <v>170</v>
      </c>
      <c r="M253" s="43" t="s">
        <v>171</v>
      </c>
      <c r="N253" s="42" t="s">
        <v>179</v>
      </c>
      <c r="O253" s="43"/>
      <c r="P253" s="43">
        <v>4</v>
      </c>
      <c r="Q253" s="25" t="str">
        <f>VLOOKUP(P253,Key!$E$2:$F$9,2,FALSE)</f>
        <v>Commercial</v>
      </c>
      <c r="R253" s="25" t="str">
        <f t="shared" ref="R253:R284" si="5">K253&amp;"-"&amp;Q253</f>
        <v>Commercial-Commercial</v>
      </c>
      <c r="S253" s="49"/>
      <c r="T253" s="49">
        <v>24</v>
      </c>
      <c r="U253" s="43">
        <v>4</v>
      </c>
      <c r="V253" s="43"/>
      <c r="W253" s="49"/>
      <c r="X253" s="49"/>
      <c r="Y253" s="50"/>
      <c r="Z253" s="59"/>
      <c r="AA253" s="25">
        <f>VLOOKUP(F253,Zones!$A$2:$F$15907,6,FALSE)</f>
        <v>567</v>
      </c>
      <c r="AB253" s="25">
        <f>VLOOKUP(L253,Zones!$A$2:$F$15907,6,FALSE)</f>
        <v>1443</v>
      </c>
    </row>
    <row r="254" spans="2:28">
      <c r="B254" s="40">
        <v>0.32430555555555557</v>
      </c>
      <c r="C254" s="40"/>
      <c r="D254" s="41">
        <v>9</v>
      </c>
      <c r="E254" s="42">
        <v>1</v>
      </c>
      <c r="F254" s="42" t="s">
        <v>189</v>
      </c>
      <c r="G254" s="43" t="s">
        <v>190</v>
      </c>
      <c r="H254" s="42" t="s">
        <v>200</v>
      </c>
      <c r="I254" s="43"/>
      <c r="J254" s="43">
        <v>4</v>
      </c>
      <c r="K254" s="25" t="str">
        <f>VLOOKUP(J254,Key!$E$2:$F$9,2,FALSE)</f>
        <v>Commercial</v>
      </c>
      <c r="L254" s="42" t="s">
        <v>173</v>
      </c>
      <c r="M254" s="43" t="s">
        <v>167</v>
      </c>
      <c r="N254" s="42" t="s">
        <v>212</v>
      </c>
      <c r="O254" s="43"/>
      <c r="P254" s="43">
        <v>4</v>
      </c>
      <c r="Q254" s="25" t="str">
        <f>VLOOKUP(P254,Key!$E$2:$F$9,2,FALSE)</f>
        <v>Commercial</v>
      </c>
      <c r="R254" s="25" t="str">
        <f t="shared" si="5"/>
        <v>Commercial-Commercial</v>
      </c>
      <c r="S254" s="49"/>
      <c r="T254" s="49">
        <v>120</v>
      </c>
      <c r="U254" s="43">
        <v>4</v>
      </c>
      <c r="V254" s="43">
        <v>6</v>
      </c>
      <c r="W254" s="49"/>
      <c r="X254" s="49"/>
      <c r="Y254" s="50"/>
      <c r="Z254" s="59"/>
      <c r="AA254" s="25">
        <f>VLOOKUP(F254,Zones!$A$2:$F$15907,6,FALSE)</f>
        <v>1434</v>
      </c>
      <c r="AB254" s="25">
        <f>VLOOKUP(L254,Zones!$A$2:$F$15907,6,FALSE)</f>
        <v>1443</v>
      </c>
    </row>
    <row r="255" spans="2:28">
      <c r="B255" s="40">
        <v>0.3263888888888889</v>
      </c>
      <c r="C255" s="40"/>
      <c r="D255" s="41">
        <v>9</v>
      </c>
      <c r="E255" s="42">
        <v>1</v>
      </c>
      <c r="F255" s="42" t="s">
        <v>216</v>
      </c>
      <c r="G255" s="43" t="s">
        <v>183</v>
      </c>
      <c r="H255" s="42" t="s">
        <v>179</v>
      </c>
      <c r="I255" s="43"/>
      <c r="J255" s="43">
        <v>4</v>
      </c>
      <c r="K255" s="25" t="str">
        <f>VLOOKUP(J255,Key!$E$2:$F$9,2,FALSE)</f>
        <v>Commercial</v>
      </c>
      <c r="L255" s="42" t="s">
        <v>173</v>
      </c>
      <c r="M255" s="43" t="s">
        <v>167</v>
      </c>
      <c r="N255" s="42" t="s">
        <v>212</v>
      </c>
      <c r="O255" s="43"/>
      <c r="P255" s="43">
        <v>4</v>
      </c>
      <c r="Q255" s="25" t="str">
        <f>VLOOKUP(P255,Key!$E$2:$F$9,2,FALSE)</f>
        <v>Commercial</v>
      </c>
      <c r="R255" s="25" t="str">
        <f t="shared" si="5"/>
        <v>Commercial-Commercial</v>
      </c>
      <c r="S255" s="49"/>
      <c r="T255" s="49">
        <v>72</v>
      </c>
      <c r="U255" s="43">
        <v>4</v>
      </c>
      <c r="V255" s="43">
        <v>8</v>
      </c>
      <c r="W255" s="49"/>
      <c r="X255" s="49"/>
      <c r="Y255" s="50"/>
      <c r="Z255" s="59"/>
      <c r="AA255" s="25">
        <f>VLOOKUP(F255,Zones!$A$2:$F$15907,6,FALSE)</f>
        <v>513</v>
      </c>
      <c r="AB255" s="25">
        <f>VLOOKUP(L255,Zones!$A$2:$F$15907,6,FALSE)</f>
        <v>1443</v>
      </c>
    </row>
    <row r="256" spans="2:28">
      <c r="B256" s="40">
        <v>0.33333333333333331</v>
      </c>
      <c r="C256" s="40"/>
      <c r="D256" s="41">
        <v>8</v>
      </c>
      <c r="E256" s="42">
        <v>2</v>
      </c>
      <c r="F256" s="42" t="s">
        <v>204</v>
      </c>
      <c r="G256" s="43" t="s">
        <v>183</v>
      </c>
      <c r="H256" s="42" t="s">
        <v>179</v>
      </c>
      <c r="I256" s="43"/>
      <c r="J256" s="43">
        <v>4</v>
      </c>
      <c r="K256" s="25" t="str">
        <f>VLOOKUP(J256,Key!$E$2:$F$9,2,FALSE)</f>
        <v>Commercial</v>
      </c>
      <c r="L256" s="42" t="s">
        <v>173</v>
      </c>
      <c r="M256" s="43" t="s">
        <v>167</v>
      </c>
      <c r="N256" s="42" t="s">
        <v>212</v>
      </c>
      <c r="O256" s="43"/>
      <c r="P256" s="43">
        <v>4</v>
      </c>
      <c r="Q256" s="25" t="str">
        <f>VLOOKUP(P256,Key!$E$2:$F$9,2,FALSE)</f>
        <v>Commercial</v>
      </c>
      <c r="R256" s="25" t="str">
        <f t="shared" si="5"/>
        <v>Commercial-Commercial</v>
      </c>
      <c r="S256" s="49"/>
      <c r="T256" s="49">
        <v>11</v>
      </c>
      <c r="U256" s="43">
        <v>4</v>
      </c>
      <c r="V256" s="43"/>
      <c r="W256" s="49"/>
      <c r="X256" s="49"/>
      <c r="Y256" s="50"/>
      <c r="Z256" s="59"/>
      <c r="AA256" s="25">
        <f>VLOOKUP(F256,Zones!$A$2:$F$15907,6,FALSE)</f>
        <v>567</v>
      </c>
      <c r="AB256" s="25">
        <f>VLOOKUP(L256,Zones!$A$2:$F$15907,6,FALSE)</f>
        <v>1443</v>
      </c>
    </row>
    <row r="257" spans="2:28">
      <c r="B257" s="40">
        <v>0.35069444444444442</v>
      </c>
      <c r="C257" s="40"/>
      <c r="D257" s="41">
        <v>2</v>
      </c>
      <c r="E257" s="42">
        <v>1</v>
      </c>
      <c r="F257" s="42" t="s">
        <v>172</v>
      </c>
      <c r="G257" s="43" t="s">
        <v>172</v>
      </c>
      <c r="H257" s="42" t="s">
        <v>179</v>
      </c>
      <c r="I257" s="43"/>
      <c r="J257" s="43">
        <v>4</v>
      </c>
      <c r="K257" s="25" t="str">
        <f>VLOOKUP(J257,Key!$E$2:$F$9,2,FALSE)</f>
        <v>Commercial</v>
      </c>
      <c r="L257" s="42" t="s">
        <v>170</v>
      </c>
      <c r="M257" s="43" t="s">
        <v>171</v>
      </c>
      <c r="N257" s="42" t="s">
        <v>179</v>
      </c>
      <c r="O257" s="43"/>
      <c r="P257" s="43">
        <v>4</v>
      </c>
      <c r="Q257" s="25" t="str">
        <f>VLOOKUP(P257,Key!$E$2:$F$9,2,FALSE)</f>
        <v>Commercial</v>
      </c>
      <c r="R257" s="25" t="str">
        <f t="shared" si="5"/>
        <v>Commercial-Commercial</v>
      </c>
      <c r="S257" s="49"/>
      <c r="T257" s="49">
        <v>2</v>
      </c>
      <c r="U257" s="43">
        <v>2</v>
      </c>
      <c r="V257" s="43"/>
      <c r="W257" s="49"/>
      <c r="X257" s="49"/>
      <c r="Y257" s="50"/>
      <c r="Z257" s="59"/>
      <c r="AA257" s="25">
        <f>VLOOKUP(F257,Zones!$A$2:$F$15907,6,FALSE)</f>
        <v>335</v>
      </c>
      <c r="AB257" s="25">
        <f>VLOOKUP(L257,Zones!$A$2:$F$15907,6,FALSE)</f>
        <v>1443</v>
      </c>
    </row>
    <row r="258" spans="2:28">
      <c r="B258" s="40">
        <v>0.3527777777777778</v>
      </c>
      <c r="C258" s="40"/>
      <c r="D258" s="41">
        <v>8</v>
      </c>
      <c r="E258" s="42">
        <v>1</v>
      </c>
      <c r="F258" s="42" t="s">
        <v>204</v>
      </c>
      <c r="G258" s="43" t="s">
        <v>183</v>
      </c>
      <c r="H258" s="42" t="s">
        <v>179</v>
      </c>
      <c r="I258" s="43"/>
      <c r="J258" s="43">
        <v>4</v>
      </c>
      <c r="K258" s="25" t="str">
        <f>VLOOKUP(J258,Key!$E$2:$F$9,2,FALSE)</f>
        <v>Commercial</v>
      </c>
      <c r="L258" s="42" t="s">
        <v>173</v>
      </c>
      <c r="M258" s="43" t="s">
        <v>167</v>
      </c>
      <c r="N258" s="42" t="s">
        <v>212</v>
      </c>
      <c r="O258" s="43"/>
      <c r="P258" s="43">
        <v>4</v>
      </c>
      <c r="Q258" s="25" t="str">
        <f>VLOOKUP(P258,Key!$E$2:$F$9,2,FALSE)</f>
        <v>Commercial</v>
      </c>
      <c r="R258" s="25" t="str">
        <f t="shared" si="5"/>
        <v>Commercial-Commercial</v>
      </c>
      <c r="S258" s="49"/>
      <c r="T258" s="49">
        <v>24</v>
      </c>
      <c r="U258" s="43">
        <v>4</v>
      </c>
      <c r="V258" s="43">
        <v>5</v>
      </c>
      <c r="W258" s="49"/>
      <c r="X258" s="49"/>
      <c r="Y258" s="50"/>
      <c r="Z258" s="59"/>
      <c r="AA258" s="25">
        <f>VLOOKUP(F258,Zones!$A$2:$F$15907,6,FALSE)</f>
        <v>567</v>
      </c>
      <c r="AB258" s="25">
        <f>VLOOKUP(L258,Zones!$A$2:$F$15907,6,FALSE)</f>
        <v>1443</v>
      </c>
    </row>
    <row r="259" spans="2:28">
      <c r="B259" s="40">
        <v>0.35833333333333334</v>
      </c>
      <c r="C259" s="40"/>
      <c r="D259" s="41">
        <v>8</v>
      </c>
      <c r="E259" s="42">
        <v>2</v>
      </c>
      <c r="F259" s="42" t="s">
        <v>217</v>
      </c>
      <c r="G259" s="43" t="s">
        <v>183</v>
      </c>
      <c r="H259" s="42" t="s">
        <v>179</v>
      </c>
      <c r="I259" s="43"/>
      <c r="J259" s="43">
        <v>4</v>
      </c>
      <c r="K259" s="25" t="str">
        <f>VLOOKUP(J259,Key!$E$2:$F$9,2,FALSE)</f>
        <v>Commercial</v>
      </c>
      <c r="L259" s="42" t="s">
        <v>173</v>
      </c>
      <c r="M259" s="43" t="s">
        <v>167</v>
      </c>
      <c r="N259" s="42" t="s">
        <v>212</v>
      </c>
      <c r="O259" s="43"/>
      <c r="P259" s="43">
        <v>4</v>
      </c>
      <c r="Q259" s="25" t="str">
        <f>VLOOKUP(P259,Key!$E$2:$F$9,2,FALSE)</f>
        <v>Commercial</v>
      </c>
      <c r="R259" s="25" t="str">
        <f t="shared" si="5"/>
        <v>Commercial-Commercial</v>
      </c>
      <c r="S259" s="49"/>
      <c r="T259" s="49">
        <v>24</v>
      </c>
      <c r="U259" s="43">
        <v>4</v>
      </c>
      <c r="V259" s="43">
        <v>9</v>
      </c>
      <c r="W259" s="49"/>
      <c r="X259" s="49"/>
      <c r="Y259" s="50"/>
      <c r="Z259" s="59"/>
      <c r="AA259" s="25">
        <f>VLOOKUP(F259,Zones!$A$2:$F$15907,6,FALSE)</f>
        <v>685</v>
      </c>
      <c r="AB259" s="25">
        <f>VLOOKUP(L259,Zones!$A$2:$F$15907,6,FALSE)</f>
        <v>1443</v>
      </c>
    </row>
    <row r="260" spans="2:28">
      <c r="B260" s="40">
        <v>0.375</v>
      </c>
      <c r="C260" s="40"/>
      <c r="D260" s="41">
        <v>9</v>
      </c>
      <c r="E260" s="42">
        <v>1</v>
      </c>
      <c r="F260" s="42" t="s">
        <v>218</v>
      </c>
      <c r="G260" s="43" t="s">
        <v>183</v>
      </c>
      <c r="H260" s="42" t="s">
        <v>179</v>
      </c>
      <c r="I260" s="43"/>
      <c r="J260" s="43">
        <v>4</v>
      </c>
      <c r="K260" s="25" t="str">
        <f>VLOOKUP(J260,Key!$E$2:$F$9,2,FALSE)</f>
        <v>Commercial</v>
      </c>
      <c r="L260" s="42" t="s">
        <v>173</v>
      </c>
      <c r="M260" s="43" t="s">
        <v>167</v>
      </c>
      <c r="N260" s="42" t="s">
        <v>212</v>
      </c>
      <c r="O260" s="43"/>
      <c r="P260" s="43">
        <v>4</v>
      </c>
      <c r="Q260" s="25" t="str">
        <f>VLOOKUP(P260,Key!$E$2:$F$9,2,FALSE)</f>
        <v>Commercial</v>
      </c>
      <c r="R260" s="25" t="str">
        <f t="shared" si="5"/>
        <v>Commercial-Commercial</v>
      </c>
      <c r="S260" s="49"/>
      <c r="T260" s="49">
        <v>72</v>
      </c>
      <c r="U260" s="43">
        <v>4</v>
      </c>
      <c r="V260" s="43">
        <v>5</v>
      </c>
      <c r="W260" s="49"/>
      <c r="X260" s="49"/>
      <c r="Y260" s="50"/>
      <c r="Z260" s="59"/>
      <c r="AA260" s="25">
        <f>VLOOKUP(F260,Zones!$A$2:$F$15907,6,FALSE)</f>
        <v>1386</v>
      </c>
      <c r="AB260" s="25">
        <f>VLOOKUP(L260,Zones!$A$2:$F$15907,6,FALSE)</f>
        <v>1443</v>
      </c>
    </row>
    <row r="261" spans="2:28">
      <c r="B261" s="40">
        <v>0.38541666666666669</v>
      </c>
      <c r="C261" s="40"/>
      <c r="D261" s="41">
        <v>9</v>
      </c>
      <c r="E261" s="42">
        <v>1</v>
      </c>
      <c r="F261" s="42" t="s">
        <v>189</v>
      </c>
      <c r="G261" s="43" t="s">
        <v>190</v>
      </c>
      <c r="H261" s="42" t="s">
        <v>200</v>
      </c>
      <c r="I261" s="43"/>
      <c r="J261" s="43">
        <v>4</v>
      </c>
      <c r="K261" s="25" t="str">
        <f>VLOOKUP(J261,Key!$E$2:$F$9,2,FALSE)</f>
        <v>Commercial</v>
      </c>
      <c r="L261" s="42" t="s">
        <v>173</v>
      </c>
      <c r="M261" s="43" t="s">
        <v>167</v>
      </c>
      <c r="N261" s="42" t="s">
        <v>212</v>
      </c>
      <c r="O261" s="43"/>
      <c r="P261" s="43">
        <v>4</v>
      </c>
      <c r="Q261" s="25" t="str">
        <f>VLOOKUP(P261,Key!$E$2:$F$9,2,FALSE)</f>
        <v>Commercial</v>
      </c>
      <c r="R261" s="25" t="str">
        <f t="shared" si="5"/>
        <v>Commercial-Commercial</v>
      </c>
      <c r="S261" s="49"/>
      <c r="T261" s="49">
        <v>96</v>
      </c>
      <c r="U261" s="43">
        <v>4</v>
      </c>
      <c r="V261" s="43">
        <v>6</v>
      </c>
      <c r="W261" s="49"/>
      <c r="X261" s="49"/>
      <c r="Y261" s="50"/>
      <c r="Z261" s="59"/>
      <c r="AA261" s="25">
        <f>VLOOKUP(F261,Zones!$A$2:$F$15907,6,FALSE)</f>
        <v>1434</v>
      </c>
      <c r="AB261" s="25">
        <f>VLOOKUP(L261,Zones!$A$2:$F$15907,6,FALSE)</f>
        <v>1443</v>
      </c>
    </row>
    <row r="262" spans="2:28">
      <c r="B262" s="40">
        <v>0.3888888888888889</v>
      </c>
      <c r="C262" s="40"/>
      <c r="D262" s="41">
        <v>7</v>
      </c>
      <c r="E262" s="42">
        <v>1</v>
      </c>
      <c r="F262" s="42" t="s">
        <v>190</v>
      </c>
      <c r="G262" s="43" t="s">
        <v>190</v>
      </c>
      <c r="H262" s="42" t="s">
        <v>200</v>
      </c>
      <c r="I262" s="43"/>
      <c r="J262" s="43">
        <v>4</v>
      </c>
      <c r="K262" s="25" t="str">
        <f>VLOOKUP(J262,Key!$E$2:$F$9,2,FALSE)</f>
        <v>Commercial</v>
      </c>
      <c r="L262" s="42" t="s">
        <v>173</v>
      </c>
      <c r="M262" s="43" t="s">
        <v>167</v>
      </c>
      <c r="N262" s="42" t="s">
        <v>212</v>
      </c>
      <c r="O262" s="43"/>
      <c r="P262" s="43">
        <v>4</v>
      </c>
      <c r="Q262" s="25" t="str">
        <f>VLOOKUP(P262,Key!$E$2:$F$9,2,FALSE)</f>
        <v>Commercial</v>
      </c>
      <c r="R262" s="25" t="str">
        <f t="shared" si="5"/>
        <v>Commercial-Commercial</v>
      </c>
      <c r="S262" s="49"/>
      <c r="T262" s="49">
        <v>120</v>
      </c>
      <c r="U262" s="43">
        <v>4</v>
      </c>
      <c r="V262" s="43">
        <v>4</v>
      </c>
      <c r="W262" s="49"/>
      <c r="X262" s="49"/>
      <c r="Y262" s="50"/>
      <c r="Z262" s="59"/>
      <c r="AA262" s="25">
        <f>VLOOKUP(F262,Zones!$A$2:$F$15907,6,FALSE)</f>
        <v>1434</v>
      </c>
      <c r="AB262" s="25">
        <f>VLOOKUP(L262,Zones!$A$2:$F$15907,6,FALSE)</f>
        <v>1443</v>
      </c>
    </row>
    <row r="263" spans="2:28">
      <c r="B263" s="40">
        <v>0.4201388888888889</v>
      </c>
      <c r="C263" s="40"/>
      <c r="D263" s="41">
        <v>1</v>
      </c>
      <c r="E263" s="42">
        <v>1</v>
      </c>
      <c r="F263" s="42" t="s">
        <v>172</v>
      </c>
      <c r="G263" s="43" t="s">
        <v>172</v>
      </c>
      <c r="H263" s="42" t="s">
        <v>179</v>
      </c>
      <c r="I263" s="43"/>
      <c r="J263" s="43">
        <v>1</v>
      </c>
      <c r="K263" s="25" t="str">
        <f>VLOOKUP(J263,Key!$E$2:$F$9,2,FALSE)</f>
        <v>Home</v>
      </c>
      <c r="L263" s="42" t="s">
        <v>170</v>
      </c>
      <c r="M263" s="43" t="s">
        <v>171</v>
      </c>
      <c r="N263" s="42" t="s">
        <v>179</v>
      </c>
      <c r="O263" s="43"/>
      <c r="P263" s="43">
        <v>2</v>
      </c>
      <c r="Q263" s="25" t="str">
        <f>VLOOKUP(P263,Key!$E$2:$F$9,2,FALSE)</f>
        <v>Work</v>
      </c>
      <c r="R263" s="25" t="str">
        <f t="shared" si="5"/>
        <v>Home-Work</v>
      </c>
      <c r="S263" s="49"/>
      <c r="T263" s="49">
        <v>2</v>
      </c>
      <c r="U263" s="43">
        <v>4</v>
      </c>
      <c r="V263" s="43"/>
      <c r="W263" s="49"/>
      <c r="X263" s="49"/>
      <c r="Y263" s="50"/>
      <c r="Z263" s="59"/>
      <c r="AA263" s="25">
        <f>VLOOKUP(F263,Zones!$A$2:$F$15907,6,FALSE)</f>
        <v>335</v>
      </c>
      <c r="AB263" s="25">
        <f>VLOOKUP(L263,Zones!$A$2:$F$15907,6,FALSE)</f>
        <v>1443</v>
      </c>
    </row>
    <row r="264" spans="2:28">
      <c r="B264" s="40">
        <v>0.43402777777777773</v>
      </c>
      <c r="C264" s="40"/>
      <c r="D264" s="41">
        <v>2</v>
      </c>
      <c r="E264" s="42">
        <v>3</v>
      </c>
      <c r="F264" s="42" t="s">
        <v>206</v>
      </c>
      <c r="G264" s="43" t="s">
        <v>171</v>
      </c>
      <c r="H264" s="42" t="s">
        <v>179</v>
      </c>
      <c r="I264" s="43"/>
      <c r="J264" s="43">
        <v>4</v>
      </c>
      <c r="K264" s="25" t="str">
        <f>VLOOKUP(J264,Key!$E$2:$F$9,2,FALSE)</f>
        <v>Commercial</v>
      </c>
      <c r="L264" s="42" t="s">
        <v>170</v>
      </c>
      <c r="M264" s="43" t="s">
        <v>171</v>
      </c>
      <c r="N264" s="42" t="s">
        <v>179</v>
      </c>
      <c r="O264" s="43"/>
      <c r="P264" s="43">
        <v>4</v>
      </c>
      <c r="Q264" s="25" t="str">
        <f>VLOOKUP(P264,Key!$E$2:$F$9,2,FALSE)</f>
        <v>Commercial</v>
      </c>
      <c r="R264" s="25" t="str">
        <f t="shared" si="5"/>
        <v>Commercial-Commercial</v>
      </c>
      <c r="S264" s="49"/>
      <c r="T264" s="49">
        <v>1</v>
      </c>
      <c r="U264" s="43">
        <v>2</v>
      </c>
      <c r="V264" s="43"/>
      <c r="W264" s="49"/>
      <c r="X264" s="49"/>
      <c r="Y264" s="50"/>
      <c r="Z264" s="59"/>
      <c r="AA264" s="25">
        <f>VLOOKUP(F264,Zones!$A$2:$F$15907,6,FALSE)</f>
        <v>77</v>
      </c>
      <c r="AB264" s="25">
        <f>VLOOKUP(L264,Zones!$A$2:$F$15907,6,FALSE)</f>
        <v>1443</v>
      </c>
    </row>
    <row r="265" spans="2:28">
      <c r="B265" s="40">
        <v>0.4513888888888889</v>
      </c>
      <c r="C265" s="40"/>
      <c r="D265" s="41">
        <v>1</v>
      </c>
      <c r="E265" s="42">
        <v>2</v>
      </c>
      <c r="F265" s="42" t="s">
        <v>208</v>
      </c>
      <c r="G265" s="43" t="s">
        <v>171</v>
      </c>
      <c r="H265" s="42" t="s">
        <v>179</v>
      </c>
      <c r="I265" s="43"/>
      <c r="J265" s="43">
        <v>4</v>
      </c>
      <c r="K265" s="25" t="str">
        <f>VLOOKUP(J265,Key!$E$2:$F$9,2,FALSE)</f>
        <v>Commercial</v>
      </c>
      <c r="L265" s="42" t="s">
        <v>170</v>
      </c>
      <c r="M265" s="43" t="s">
        <v>171</v>
      </c>
      <c r="N265" s="42" t="s">
        <v>179</v>
      </c>
      <c r="O265" s="43"/>
      <c r="P265" s="43">
        <v>4</v>
      </c>
      <c r="Q265" s="25" t="str">
        <f>VLOOKUP(P265,Key!$E$2:$F$9,2,FALSE)</f>
        <v>Commercial</v>
      </c>
      <c r="R265" s="25" t="str">
        <f t="shared" si="5"/>
        <v>Commercial-Commercial</v>
      </c>
      <c r="S265" s="49"/>
      <c r="T265" s="49">
        <v>2</v>
      </c>
      <c r="U265" s="43">
        <v>2</v>
      </c>
      <c r="V265" s="43"/>
      <c r="W265" s="49"/>
      <c r="X265" s="49"/>
      <c r="Y265" s="50"/>
      <c r="Z265" s="59"/>
      <c r="AA265" s="25">
        <f>VLOOKUP(F265,Zones!$A$2:$F$15907,6,FALSE)</f>
        <v>75</v>
      </c>
      <c r="AB265" s="25">
        <f>VLOOKUP(L265,Zones!$A$2:$F$15907,6,FALSE)</f>
        <v>1443</v>
      </c>
    </row>
    <row r="266" spans="2:28">
      <c r="B266" s="40">
        <v>0.46180555555555558</v>
      </c>
      <c r="C266" s="40"/>
      <c r="D266" s="41">
        <v>1</v>
      </c>
      <c r="E266" s="42">
        <v>2</v>
      </c>
      <c r="F266" s="42" t="s">
        <v>172</v>
      </c>
      <c r="G266" s="43" t="s">
        <v>172</v>
      </c>
      <c r="H266" s="42" t="s">
        <v>179</v>
      </c>
      <c r="I266" s="43"/>
      <c r="J266" s="43">
        <v>4</v>
      </c>
      <c r="K266" s="25" t="str">
        <f>VLOOKUP(J266,Key!$E$2:$F$9,2,FALSE)</f>
        <v>Commercial</v>
      </c>
      <c r="L266" s="42" t="s">
        <v>170</v>
      </c>
      <c r="M266" s="43" t="s">
        <v>171</v>
      </c>
      <c r="N266" s="42" t="s">
        <v>179</v>
      </c>
      <c r="O266" s="43"/>
      <c r="P266" s="43">
        <v>4</v>
      </c>
      <c r="Q266" s="25" t="str">
        <f>VLOOKUP(P266,Key!$E$2:$F$9,2,FALSE)</f>
        <v>Commercial</v>
      </c>
      <c r="R266" s="25" t="str">
        <f t="shared" si="5"/>
        <v>Commercial-Commercial</v>
      </c>
      <c r="S266" s="49"/>
      <c r="T266" s="49">
        <v>1.5</v>
      </c>
      <c r="U266" s="43">
        <v>2</v>
      </c>
      <c r="V266" s="43"/>
      <c r="W266" s="49"/>
      <c r="X266" s="49"/>
      <c r="Y266" s="50"/>
      <c r="Z266" s="59"/>
      <c r="AA266" s="25">
        <f>VLOOKUP(F266,Zones!$A$2:$F$15907,6,FALSE)</f>
        <v>335</v>
      </c>
      <c r="AB266" s="25">
        <f>VLOOKUP(L266,Zones!$A$2:$F$15907,6,FALSE)</f>
        <v>1443</v>
      </c>
    </row>
    <row r="267" spans="2:28">
      <c r="B267" s="40">
        <v>0.47222222222222227</v>
      </c>
      <c r="C267" s="40"/>
      <c r="D267" s="41">
        <v>2</v>
      </c>
      <c r="E267" s="42">
        <v>1</v>
      </c>
      <c r="F267" s="42" t="s">
        <v>172</v>
      </c>
      <c r="G267" s="43" t="s">
        <v>172</v>
      </c>
      <c r="H267" s="42" t="s">
        <v>179</v>
      </c>
      <c r="I267" s="43"/>
      <c r="J267" s="43">
        <v>4</v>
      </c>
      <c r="K267" s="25" t="str">
        <f>VLOOKUP(J267,Key!$E$2:$F$9,2,FALSE)</f>
        <v>Commercial</v>
      </c>
      <c r="L267" s="42" t="s">
        <v>208</v>
      </c>
      <c r="M267" s="43" t="s">
        <v>171</v>
      </c>
      <c r="N267" s="42" t="s">
        <v>179</v>
      </c>
      <c r="O267" s="43"/>
      <c r="P267" s="43">
        <v>4</v>
      </c>
      <c r="Q267" s="25" t="str">
        <f>VLOOKUP(P267,Key!$E$2:$F$9,2,FALSE)</f>
        <v>Commercial</v>
      </c>
      <c r="R267" s="25" t="str">
        <f t="shared" si="5"/>
        <v>Commercial-Commercial</v>
      </c>
      <c r="S267" s="49"/>
      <c r="T267" s="49">
        <v>1.5</v>
      </c>
      <c r="U267" s="43">
        <v>3</v>
      </c>
      <c r="V267" s="43">
        <v>6</v>
      </c>
      <c r="W267" s="49"/>
      <c r="X267" s="49"/>
      <c r="Y267" s="50"/>
      <c r="Z267" s="59"/>
      <c r="AA267" s="25">
        <f>VLOOKUP(F267,Zones!$A$2:$F$15907,6,FALSE)</f>
        <v>335</v>
      </c>
      <c r="AB267" s="25">
        <f>VLOOKUP(L267,Zones!$A$2:$F$15907,6,FALSE)</f>
        <v>75</v>
      </c>
    </row>
    <row r="268" spans="2:28">
      <c r="B268" s="40">
        <v>0.4826388888888889</v>
      </c>
      <c r="C268" s="40"/>
      <c r="D268" s="41">
        <v>9</v>
      </c>
      <c r="E268" s="42">
        <v>1</v>
      </c>
      <c r="F268" s="42" t="s">
        <v>204</v>
      </c>
      <c r="G268" s="43" t="s">
        <v>183</v>
      </c>
      <c r="H268" s="42" t="s">
        <v>179</v>
      </c>
      <c r="I268" s="43"/>
      <c r="J268" s="43">
        <v>4</v>
      </c>
      <c r="K268" s="25" t="str">
        <f>VLOOKUP(J268,Key!$E$2:$F$9,2,FALSE)</f>
        <v>Commercial</v>
      </c>
      <c r="L268" s="42" t="s">
        <v>173</v>
      </c>
      <c r="M268" s="43" t="s">
        <v>167</v>
      </c>
      <c r="N268" s="42" t="s">
        <v>212</v>
      </c>
      <c r="O268" s="43"/>
      <c r="P268" s="43">
        <v>4</v>
      </c>
      <c r="Q268" s="25" t="str">
        <f>VLOOKUP(P268,Key!$E$2:$F$9,2,FALSE)</f>
        <v>Commercial</v>
      </c>
      <c r="R268" s="25" t="str">
        <f t="shared" si="5"/>
        <v>Commercial-Commercial</v>
      </c>
      <c r="S268" s="49"/>
      <c r="T268" s="49">
        <v>96</v>
      </c>
      <c r="U268" s="43">
        <v>4</v>
      </c>
      <c r="V268" s="43">
        <v>8</v>
      </c>
      <c r="W268" s="49"/>
      <c r="X268" s="49"/>
      <c r="Y268" s="50"/>
      <c r="Z268" s="59"/>
      <c r="AA268" s="25">
        <f>VLOOKUP(F268,Zones!$A$2:$F$15907,6,FALSE)</f>
        <v>567</v>
      </c>
      <c r="AB268" s="25">
        <f>VLOOKUP(L268,Zones!$A$2:$F$15907,6,FALSE)</f>
        <v>1443</v>
      </c>
    </row>
    <row r="269" spans="2:28">
      <c r="B269" s="40">
        <v>0.4916666666666667</v>
      </c>
      <c r="C269" s="40"/>
      <c r="D269" s="41">
        <v>9</v>
      </c>
      <c r="E269" s="42">
        <v>1</v>
      </c>
      <c r="F269" s="42" t="s">
        <v>204</v>
      </c>
      <c r="G269" s="43" t="s">
        <v>183</v>
      </c>
      <c r="H269" s="42" t="s">
        <v>179</v>
      </c>
      <c r="I269" s="43"/>
      <c r="J269" s="43">
        <v>4</v>
      </c>
      <c r="K269" s="25" t="str">
        <f>VLOOKUP(J269,Key!$E$2:$F$9,2,FALSE)</f>
        <v>Commercial</v>
      </c>
      <c r="L269" s="42" t="s">
        <v>173</v>
      </c>
      <c r="M269" s="43" t="s">
        <v>167</v>
      </c>
      <c r="N269" s="42" t="s">
        <v>212</v>
      </c>
      <c r="O269" s="43"/>
      <c r="P269" s="43">
        <v>4</v>
      </c>
      <c r="Q269" s="25" t="str">
        <f>VLOOKUP(P269,Key!$E$2:$F$9,2,FALSE)</f>
        <v>Commercial</v>
      </c>
      <c r="R269" s="25" t="str">
        <f t="shared" si="5"/>
        <v>Commercial-Commercial</v>
      </c>
      <c r="S269" s="49"/>
      <c r="T269" s="49">
        <v>48</v>
      </c>
      <c r="U269" s="43">
        <v>4</v>
      </c>
      <c r="V269" s="43"/>
      <c r="W269" s="49"/>
      <c r="X269" s="49"/>
      <c r="Y269" s="50"/>
      <c r="Z269" s="59"/>
      <c r="AA269" s="25">
        <f>VLOOKUP(F269,Zones!$A$2:$F$15907,6,FALSE)</f>
        <v>567</v>
      </c>
      <c r="AB269" s="25">
        <f>VLOOKUP(L269,Zones!$A$2:$F$15907,6,FALSE)</f>
        <v>1443</v>
      </c>
    </row>
    <row r="270" spans="2:28">
      <c r="B270" s="40">
        <v>0.49652777777777773</v>
      </c>
      <c r="C270" s="40"/>
      <c r="D270" s="41">
        <v>1</v>
      </c>
      <c r="E270" s="42">
        <v>2</v>
      </c>
      <c r="F270" s="42" t="s">
        <v>172</v>
      </c>
      <c r="G270" s="43" t="s">
        <v>172</v>
      </c>
      <c r="H270" s="42" t="s">
        <v>179</v>
      </c>
      <c r="I270" s="43"/>
      <c r="J270" s="43">
        <v>4</v>
      </c>
      <c r="K270" s="25" t="str">
        <f>VLOOKUP(J270,Key!$E$2:$F$9,2,FALSE)</f>
        <v>Commercial</v>
      </c>
      <c r="L270" s="42" t="s">
        <v>170</v>
      </c>
      <c r="M270" s="43" t="s">
        <v>171</v>
      </c>
      <c r="N270" s="42" t="s">
        <v>179</v>
      </c>
      <c r="O270" s="43"/>
      <c r="P270" s="43">
        <v>1</v>
      </c>
      <c r="Q270" s="25" t="str">
        <f>VLOOKUP(P270,Key!$E$2:$F$9,2,FALSE)</f>
        <v>Home</v>
      </c>
      <c r="R270" s="25" t="str">
        <f t="shared" si="5"/>
        <v>Commercial-Home</v>
      </c>
      <c r="S270" s="49"/>
      <c r="T270" s="49">
        <v>1.5</v>
      </c>
      <c r="U270" s="43">
        <v>3</v>
      </c>
      <c r="V270" s="43"/>
      <c r="W270" s="49"/>
      <c r="X270" s="49"/>
      <c r="Y270" s="50"/>
      <c r="Z270" s="59"/>
      <c r="AA270" s="25">
        <f>VLOOKUP(F270,Zones!$A$2:$F$15907,6,FALSE)</f>
        <v>335</v>
      </c>
      <c r="AB270" s="25">
        <f>VLOOKUP(L270,Zones!$A$2:$F$15907,6,FALSE)</f>
        <v>1443</v>
      </c>
    </row>
    <row r="271" spans="2:28">
      <c r="B271" s="40">
        <v>0.51041666666666663</v>
      </c>
      <c r="C271" s="40"/>
      <c r="D271" s="41">
        <v>2</v>
      </c>
      <c r="E271" s="42">
        <v>1</v>
      </c>
      <c r="F271" s="42" t="s">
        <v>168</v>
      </c>
      <c r="G271" s="43" t="s">
        <v>171</v>
      </c>
      <c r="H271" s="42" t="s">
        <v>179</v>
      </c>
      <c r="I271" s="43"/>
      <c r="J271" s="43">
        <v>4</v>
      </c>
      <c r="K271" s="25" t="str">
        <f>VLOOKUP(J271,Key!$E$2:$F$9,2,FALSE)</f>
        <v>Commercial</v>
      </c>
      <c r="L271" s="42" t="s">
        <v>224</v>
      </c>
      <c r="M271" s="43" t="s">
        <v>171</v>
      </c>
      <c r="N271" s="42" t="s">
        <v>179</v>
      </c>
      <c r="O271" s="43"/>
      <c r="P271" s="43">
        <v>4</v>
      </c>
      <c r="Q271" s="25" t="str">
        <f>VLOOKUP(P271,Key!$E$2:$F$9,2,FALSE)</f>
        <v>Commercial</v>
      </c>
      <c r="R271" s="25" t="str">
        <f t="shared" si="5"/>
        <v>Commercial-Commercial</v>
      </c>
      <c r="S271" s="49"/>
      <c r="T271" s="49">
        <v>0.5</v>
      </c>
      <c r="U271" s="43">
        <v>1</v>
      </c>
      <c r="V271" s="43"/>
      <c r="W271" s="49"/>
      <c r="X271" s="49"/>
      <c r="Y271" s="50"/>
      <c r="Z271" s="59"/>
      <c r="AA271" s="25">
        <f>VLOOKUP(F271,Zones!$A$2:$F$15907,6,FALSE)</f>
        <v>75</v>
      </c>
      <c r="AB271" s="25">
        <f>VLOOKUP(L271,Zones!$A$2:$F$15907,6,FALSE)</f>
        <v>74</v>
      </c>
    </row>
    <row r="272" spans="2:28">
      <c r="B272" s="40">
        <v>0.51666666666666672</v>
      </c>
      <c r="C272" s="40"/>
      <c r="D272" s="41">
        <v>1</v>
      </c>
      <c r="E272" s="42">
        <v>1</v>
      </c>
      <c r="F272" s="42" t="s">
        <v>219</v>
      </c>
      <c r="G272" s="43" t="s">
        <v>2923</v>
      </c>
      <c r="H272" s="42" t="s">
        <v>179</v>
      </c>
      <c r="I272" s="43"/>
      <c r="J272" s="43">
        <v>4</v>
      </c>
      <c r="K272" s="25" t="str">
        <f>VLOOKUP(J272,Key!$E$2:$F$9,2,FALSE)</f>
        <v>Commercial</v>
      </c>
      <c r="L272" s="42" t="s">
        <v>170</v>
      </c>
      <c r="M272" s="43" t="s">
        <v>171</v>
      </c>
      <c r="N272" s="42" t="s">
        <v>179</v>
      </c>
      <c r="O272" s="43"/>
      <c r="P272" s="43">
        <v>4</v>
      </c>
      <c r="Q272" s="25" t="str">
        <f>VLOOKUP(P272,Key!$E$2:$F$9,2,FALSE)</f>
        <v>Commercial</v>
      </c>
      <c r="R272" s="25" t="str">
        <f t="shared" si="5"/>
        <v>Commercial-Commercial</v>
      </c>
      <c r="S272" s="49"/>
      <c r="T272" s="49">
        <v>1.5</v>
      </c>
      <c r="U272" s="43">
        <v>4</v>
      </c>
      <c r="V272" s="43"/>
      <c r="W272" s="49"/>
      <c r="X272" s="49"/>
      <c r="Y272" s="50"/>
      <c r="Z272" s="59"/>
      <c r="AA272" s="25">
        <f>VLOOKUP(F272,Zones!$A$2:$F$15907,6,FALSE)</f>
        <v>1215</v>
      </c>
      <c r="AB272" s="25">
        <f>VLOOKUP(L272,Zones!$A$2:$F$15907,6,FALSE)</f>
        <v>1443</v>
      </c>
    </row>
    <row r="273" spans="2:28">
      <c r="B273" s="40">
        <v>0.53263888888888888</v>
      </c>
      <c r="C273" s="40"/>
      <c r="D273" s="41">
        <v>3</v>
      </c>
      <c r="E273" s="42">
        <v>1</v>
      </c>
      <c r="F273" s="42" t="s">
        <v>172</v>
      </c>
      <c r="G273" s="43" t="s">
        <v>172</v>
      </c>
      <c r="H273" s="42" t="s">
        <v>179</v>
      </c>
      <c r="I273" s="43"/>
      <c r="J273" s="43">
        <v>4</v>
      </c>
      <c r="K273" s="25" t="str">
        <f>VLOOKUP(J273,Key!$E$2:$F$9,2,FALSE)</f>
        <v>Commercial</v>
      </c>
      <c r="L273" s="42" t="s">
        <v>170</v>
      </c>
      <c r="M273" s="43" t="s">
        <v>171</v>
      </c>
      <c r="N273" s="42" t="s">
        <v>179</v>
      </c>
      <c r="O273" s="43"/>
      <c r="P273" s="43">
        <v>4</v>
      </c>
      <c r="Q273" s="25" t="str">
        <f>VLOOKUP(P273,Key!$E$2:$F$9,2,FALSE)</f>
        <v>Commercial</v>
      </c>
      <c r="R273" s="25" t="str">
        <f t="shared" si="5"/>
        <v>Commercial-Commercial</v>
      </c>
      <c r="S273" s="49"/>
      <c r="T273" s="49">
        <v>2</v>
      </c>
      <c r="U273" s="43">
        <v>4</v>
      </c>
      <c r="V273" s="43"/>
      <c r="W273" s="49"/>
      <c r="X273" s="49"/>
      <c r="Y273" s="50"/>
      <c r="Z273" s="59"/>
      <c r="AA273" s="25">
        <f>VLOOKUP(F273,Zones!$A$2:$F$15907,6,FALSE)</f>
        <v>335</v>
      </c>
      <c r="AB273" s="25">
        <f>VLOOKUP(L273,Zones!$A$2:$F$15907,6,FALSE)</f>
        <v>1443</v>
      </c>
    </row>
    <row r="274" spans="2:28">
      <c r="B274" s="40">
        <v>0.54513888888888895</v>
      </c>
      <c r="C274" s="40"/>
      <c r="D274" s="41">
        <v>3</v>
      </c>
      <c r="E274" s="42">
        <v>2</v>
      </c>
      <c r="F274" s="42" t="s">
        <v>220</v>
      </c>
      <c r="G274" s="43" t="s">
        <v>220</v>
      </c>
      <c r="H274" s="42" t="s">
        <v>179</v>
      </c>
      <c r="I274" s="43"/>
      <c r="J274" s="43">
        <v>4</v>
      </c>
      <c r="K274" s="25" t="str">
        <f>VLOOKUP(J274,Key!$E$2:$F$9,2,FALSE)</f>
        <v>Commercial</v>
      </c>
      <c r="L274" s="42" t="s">
        <v>170</v>
      </c>
      <c r="M274" s="43" t="s">
        <v>171</v>
      </c>
      <c r="N274" s="42" t="s">
        <v>179</v>
      </c>
      <c r="O274" s="43"/>
      <c r="P274" s="43">
        <v>4</v>
      </c>
      <c r="Q274" s="25" t="str">
        <f>VLOOKUP(P274,Key!$E$2:$F$9,2,FALSE)</f>
        <v>Commercial</v>
      </c>
      <c r="R274" s="25" t="str">
        <f t="shared" si="5"/>
        <v>Commercial-Commercial</v>
      </c>
      <c r="S274" s="49"/>
      <c r="T274" s="49">
        <v>6</v>
      </c>
      <c r="U274" s="43">
        <v>4</v>
      </c>
      <c r="V274" s="43">
        <v>8</v>
      </c>
      <c r="W274" s="49"/>
      <c r="X274" s="49"/>
      <c r="Y274" s="50"/>
      <c r="Z274" s="59"/>
      <c r="AA274" s="25">
        <f>VLOOKUP(F274,Zones!$A$2:$F$15907,6,FALSE)</f>
        <v>759</v>
      </c>
      <c r="AB274" s="25">
        <f>VLOOKUP(L274,Zones!$A$2:$F$15907,6,FALSE)</f>
        <v>1443</v>
      </c>
    </row>
    <row r="275" spans="2:28">
      <c r="B275" s="40">
        <v>0.56597222222222221</v>
      </c>
      <c r="C275" s="40"/>
      <c r="D275" s="41">
        <v>1</v>
      </c>
      <c r="E275" s="42">
        <v>4</v>
      </c>
      <c r="F275" s="42" t="s">
        <v>221</v>
      </c>
      <c r="G275" s="43" t="s">
        <v>222</v>
      </c>
      <c r="H275" s="42" t="s">
        <v>179</v>
      </c>
      <c r="I275" s="43"/>
      <c r="J275" s="43">
        <v>2</v>
      </c>
      <c r="K275" s="25" t="str">
        <f>VLOOKUP(J275,Key!$E$2:$F$9,2,FALSE)</f>
        <v>Work</v>
      </c>
      <c r="L275" s="42" t="s">
        <v>208</v>
      </c>
      <c r="M275" s="43" t="s">
        <v>171</v>
      </c>
      <c r="N275" s="42" t="s">
        <v>179</v>
      </c>
      <c r="O275" s="43"/>
      <c r="P275" s="43">
        <v>1</v>
      </c>
      <c r="Q275" s="25" t="str">
        <f>VLOOKUP(P275,Key!$E$2:$F$9,2,FALSE)</f>
        <v>Home</v>
      </c>
      <c r="R275" s="25" t="str">
        <f t="shared" si="5"/>
        <v>Work-Home</v>
      </c>
      <c r="S275" s="49"/>
      <c r="T275" s="49">
        <v>2.5</v>
      </c>
      <c r="U275" s="43">
        <v>5</v>
      </c>
      <c r="V275" s="43"/>
      <c r="W275" s="49"/>
      <c r="X275" s="49"/>
      <c r="Y275" s="50"/>
      <c r="Z275" s="59"/>
      <c r="AA275" s="25">
        <f>VLOOKUP(F275,Zones!$A$2:$F$15907,6,FALSE)</f>
        <v>860</v>
      </c>
      <c r="AB275" s="25">
        <f>VLOOKUP(L275,Zones!$A$2:$F$15907,6,FALSE)</f>
        <v>75</v>
      </c>
    </row>
    <row r="276" spans="2:28">
      <c r="B276" s="40">
        <v>0.59583333333333333</v>
      </c>
      <c r="C276" s="40"/>
      <c r="D276" s="41">
        <v>2</v>
      </c>
      <c r="E276" s="42">
        <v>4</v>
      </c>
      <c r="F276" s="42" t="s">
        <v>172</v>
      </c>
      <c r="G276" s="43" t="s">
        <v>172</v>
      </c>
      <c r="H276" s="42" t="s">
        <v>179</v>
      </c>
      <c r="I276" s="43"/>
      <c r="J276" s="43">
        <v>4</v>
      </c>
      <c r="K276" s="25" t="str">
        <f>VLOOKUP(J276,Key!$E$2:$F$9,2,FALSE)</f>
        <v>Commercial</v>
      </c>
      <c r="L276" s="42" t="s">
        <v>170</v>
      </c>
      <c r="M276" s="43" t="s">
        <v>171</v>
      </c>
      <c r="N276" s="42" t="s">
        <v>179</v>
      </c>
      <c r="O276" s="43"/>
      <c r="P276" s="43">
        <v>4</v>
      </c>
      <c r="Q276" s="25" t="str">
        <f>VLOOKUP(P276,Key!$E$2:$F$9,2,FALSE)</f>
        <v>Commercial</v>
      </c>
      <c r="R276" s="25" t="str">
        <f t="shared" si="5"/>
        <v>Commercial-Commercial</v>
      </c>
      <c r="S276" s="49"/>
      <c r="T276" s="49">
        <v>2</v>
      </c>
      <c r="U276" s="43">
        <v>2</v>
      </c>
      <c r="V276" s="43">
        <v>9</v>
      </c>
      <c r="W276" s="49"/>
      <c r="X276" s="49"/>
      <c r="Y276" s="50"/>
      <c r="Z276" s="59"/>
      <c r="AA276" s="25">
        <f>VLOOKUP(F276,Zones!$A$2:$F$15907,6,FALSE)</f>
        <v>335</v>
      </c>
      <c r="AB276" s="25">
        <f>VLOOKUP(L276,Zones!$A$2:$F$15907,6,FALSE)</f>
        <v>1443</v>
      </c>
    </row>
    <row r="277" spans="2:28">
      <c r="B277" s="40">
        <v>0.61805555555555558</v>
      </c>
      <c r="C277" s="40"/>
      <c r="D277" s="41">
        <v>1</v>
      </c>
      <c r="E277" s="42">
        <v>2</v>
      </c>
      <c r="F277" s="42" t="s">
        <v>188</v>
      </c>
      <c r="G277" s="43" t="s">
        <v>183</v>
      </c>
      <c r="H277" s="42" t="s">
        <v>179</v>
      </c>
      <c r="I277" s="43"/>
      <c r="J277" s="43">
        <v>2</v>
      </c>
      <c r="K277" s="25" t="str">
        <f>VLOOKUP(J277,Key!$E$2:$F$9,2,FALSE)</f>
        <v>Work</v>
      </c>
      <c r="L277" s="42" t="s">
        <v>208</v>
      </c>
      <c r="M277" s="43" t="s">
        <v>171</v>
      </c>
      <c r="N277" s="42" t="s">
        <v>179</v>
      </c>
      <c r="O277" s="43"/>
      <c r="P277" s="43">
        <v>1</v>
      </c>
      <c r="Q277" s="25" t="str">
        <f>VLOOKUP(P277,Key!$E$2:$F$9,2,FALSE)</f>
        <v>Home</v>
      </c>
      <c r="R277" s="25" t="str">
        <f t="shared" si="5"/>
        <v>Work-Home</v>
      </c>
      <c r="S277" s="49"/>
      <c r="T277" s="49">
        <v>8</v>
      </c>
      <c r="U277" s="43">
        <v>4</v>
      </c>
      <c r="V277" s="43"/>
      <c r="W277" s="49"/>
      <c r="X277" s="49"/>
      <c r="Y277" s="50"/>
      <c r="Z277" s="59"/>
      <c r="AA277" s="25">
        <f>VLOOKUP(F277,Zones!$A$2:$F$15907,6,FALSE)</f>
        <v>533</v>
      </c>
      <c r="AB277" s="25">
        <f>VLOOKUP(L277,Zones!$A$2:$F$15907,6,FALSE)</f>
        <v>75</v>
      </c>
    </row>
    <row r="278" spans="2:28">
      <c r="B278" s="40">
        <v>0.62708333333333333</v>
      </c>
      <c r="C278" s="40"/>
      <c r="D278" s="41">
        <v>8</v>
      </c>
      <c r="E278" s="42">
        <v>1</v>
      </c>
      <c r="F278" s="42" t="s">
        <v>223</v>
      </c>
      <c r="G278" s="43" t="s">
        <v>183</v>
      </c>
      <c r="H278" s="42" t="s">
        <v>179</v>
      </c>
      <c r="I278" s="43"/>
      <c r="J278" s="43">
        <v>4</v>
      </c>
      <c r="K278" s="25" t="str">
        <f>VLOOKUP(J278,Key!$E$2:$F$9,2,FALSE)</f>
        <v>Commercial</v>
      </c>
      <c r="L278" s="42" t="s">
        <v>173</v>
      </c>
      <c r="M278" s="43" t="s">
        <v>167</v>
      </c>
      <c r="N278" s="42" t="s">
        <v>212</v>
      </c>
      <c r="O278" s="43"/>
      <c r="P278" s="43">
        <v>4</v>
      </c>
      <c r="Q278" s="25" t="str">
        <f>VLOOKUP(P278,Key!$E$2:$F$9,2,FALSE)</f>
        <v>Commercial</v>
      </c>
      <c r="R278" s="25" t="str">
        <f t="shared" si="5"/>
        <v>Commercial-Commercial</v>
      </c>
      <c r="S278" s="49"/>
      <c r="T278" s="49">
        <v>48</v>
      </c>
      <c r="U278" s="43">
        <v>4</v>
      </c>
      <c r="V278" s="43">
        <v>8</v>
      </c>
      <c r="W278" s="49"/>
      <c r="X278" s="49"/>
      <c r="Y278" s="50"/>
      <c r="Z278" s="59"/>
      <c r="AA278" s="25">
        <f>VLOOKUP(F278,Zones!$A$2:$F$15907,6,FALSE)</f>
        <v>523</v>
      </c>
      <c r="AB278" s="25">
        <f>VLOOKUP(L278,Zones!$A$2:$F$15907,6,FALSE)</f>
        <v>1443</v>
      </c>
    </row>
    <row r="279" spans="2:28">
      <c r="B279" s="40">
        <v>0.63888888888888895</v>
      </c>
      <c r="C279" s="40"/>
      <c r="D279" s="41">
        <v>2</v>
      </c>
      <c r="E279" s="42">
        <v>6</v>
      </c>
      <c r="F279" s="42" t="s">
        <v>172</v>
      </c>
      <c r="G279" s="43" t="s">
        <v>172</v>
      </c>
      <c r="H279" s="42" t="s">
        <v>179</v>
      </c>
      <c r="I279" s="43"/>
      <c r="J279" s="43">
        <v>4</v>
      </c>
      <c r="K279" s="25" t="str">
        <f>VLOOKUP(J279,Key!$E$2:$F$9,2,FALSE)</f>
        <v>Commercial</v>
      </c>
      <c r="L279" s="42" t="s">
        <v>170</v>
      </c>
      <c r="M279" s="43" t="s">
        <v>171</v>
      </c>
      <c r="N279" s="42" t="s">
        <v>179</v>
      </c>
      <c r="O279" s="43"/>
      <c r="P279" s="43">
        <v>4</v>
      </c>
      <c r="Q279" s="25" t="str">
        <f>VLOOKUP(P279,Key!$E$2:$F$9,2,FALSE)</f>
        <v>Commercial</v>
      </c>
      <c r="R279" s="25" t="str">
        <f t="shared" si="5"/>
        <v>Commercial-Commercial</v>
      </c>
      <c r="S279" s="49"/>
      <c r="T279" s="49">
        <v>2</v>
      </c>
      <c r="U279" s="43">
        <v>2</v>
      </c>
      <c r="V279" s="43"/>
      <c r="W279" s="49"/>
      <c r="X279" s="49"/>
      <c r="Y279" s="50"/>
      <c r="Z279" s="59"/>
      <c r="AA279" s="25">
        <f>VLOOKUP(F279,Zones!$A$2:$F$15907,6,FALSE)</f>
        <v>335</v>
      </c>
      <c r="AB279" s="25">
        <f>VLOOKUP(L279,Zones!$A$2:$F$15907,6,FALSE)</f>
        <v>1443</v>
      </c>
    </row>
    <row r="280" spans="2:28">
      <c r="B280" s="40">
        <v>0.71180555555555547</v>
      </c>
      <c r="C280" s="40"/>
      <c r="D280" s="41">
        <v>9</v>
      </c>
      <c r="E280" s="42">
        <v>1</v>
      </c>
      <c r="F280" s="42" t="s">
        <v>190</v>
      </c>
      <c r="G280" s="43" t="s">
        <v>190</v>
      </c>
      <c r="H280" s="42" t="s">
        <v>200</v>
      </c>
      <c r="I280" s="43"/>
      <c r="J280" s="43">
        <v>4</v>
      </c>
      <c r="K280" s="25" t="str">
        <f>VLOOKUP(J280,Key!$E$2:$F$9,2,FALSE)</f>
        <v>Commercial</v>
      </c>
      <c r="L280" s="42" t="s">
        <v>173</v>
      </c>
      <c r="M280" s="43" t="s">
        <v>167</v>
      </c>
      <c r="N280" s="42" t="s">
        <v>212</v>
      </c>
      <c r="O280" s="43"/>
      <c r="P280" s="43">
        <v>4</v>
      </c>
      <c r="Q280" s="25" t="str">
        <f>VLOOKUP(P280,Key!$E$2:$F$9,2,FALSE)</f>
        <v>Commercial</v>
      </c>
      <c r="R280" s="25" t="str">
        <f t="shared" si="5"/>
        <v>Commercial-Commercial</v>
      </c>
      <c r="S280" s="49"/>
      <c r="T280" s="49">
        <v>48</v>
      </c>
      <c r="U280" s="43">
        <v>4</v>
      </c>
      <c r="V280" s="43">
        <v>5</v>
      </c>
      <c r="W280" s="49"/>
      <c r="X280" s="49"/>
      <c r="Y280" s="50"/>
      <c r="Z280" s="59"/>
      <c r="AA280" s="25">
        <f>VLOOKUP(F280,Zones!$A$2:$F$15907,6,FALSE)</f>
        <v>1434</v>
      </c>
      <c r="AB280" s="25">
        <f>VLOOKUP(L280,Zones!$A$2:$F$15907,6,FALSE)</f>
        <v>1443</v>
      </c>
    </row>
    <row r="281" spans="2:28">
      <c r="B281" s="40">
        <v>0.71875</v>
      </c>
      <c r="C281" s="40"/>
      <c r="D281" s="41">
        <v>9</v>
      </c>
      <c r="E281" s="42">
        <v>1</v>
      </c>
      <c r="F281" s="42" t="s">
        <v>189</v>
      </c>
      <c r="G281" s="43" t="s">
        <v>190</v>
      </c>
      <c r="H281" s="42" t="s">
        <v>200</v>
      </c>
      <c r="I281" s="43"/>
      <c r="J281" s="43">
        <v>4</v>
      </c>
      <c r="K281" s="25" t="str">
        <f>VLOOKUP(J281,Key!$E$2:$F$9,2,FALSE)</f>
        <v>Commercial</v>
      </c>
      <c r="L281" s="42" t="s">
        <v>173</v>
      </c>
      <c r="M281" s="43" t="s">
        <v>167</v>
      </c>
      <c r="N281" s="42" t="s">
        <v>212</v>
      </c>
      <c r="O281" s="43"/>
      <c r="P281" s="43">
        <v>4</v>
      </c>
      <c r="Q281" s="25" t="str">
        <f>VLOOKUP(P281,Key!$E$2:$F$9,2,FALSE)</f>
        <v>Commercial</v>
      </c>
      <c r="R281" s="25" t="str">
        <f t="shared" si="5"/>
        <v>Commercial-Commercial</v>
      </c>
      <c r="S281" s="49"/>
      <c r="T281" s="49">
        <v>96</v>
      </c>
      <c r="U281" s="43">
        <v>4</v>
      </c>
      <c r="V281" s="43">
        <v>6</v>
      </c>
      <c r="W281" s="49"/>
      <c r="X281" s="49"/>
      <c r="Y281" s="50"/>
      <c r="Z281" s="59"/>
      <c r="AA281" s="25">
        <f>VLOOKUP(F281,Zones!$A$2:$F$15907,6,FALSE)</f>
        <v>1434</v>
      </c>
      <c r="AB281" s="25">
        <f>VLOOKUP(L281,Zones!$A$2:$F$15907,6,FALSE)</f>
        <v>1443</v>
      </c>
    </row>
    <row r="282" spans="2:28">
      <c r="B282" s="40">
        <v>0.72569444444444453</v>
      </c>
      <c r="C282" s="40"/>
      <c r="D282" s="41">
        <v>8</v>
      </c>
      <c r="E282" s="42">
        <v>1</v>
      </c>
      <c r="F282" s="42" t="s">
        <v>189</v>
      </c>
      <c r="G282" s="43" t="s">
        <v>190</v>
      </c>
      <c r="H282" s="42" t="s">
        <v>200</v>
      </c>
      <c r="I282" s="43"/>
      <c r="J282" s="43">
        <v>4</v>
      </c>
      <c r="K282" s="25" t="str">
        <f>VLOOKUP(J282,Key!$E$2:$F$9,2,FALSE)</f>
        <v>Commercial</v>
      </c>
      <c r="L282" s="42" t="s">
        <v>173</v>
      </c>
      <c r="M282" s="43" t="s">
        <v>167</v>
      </c>
      <c r="N282" s="42" t="s">
        <v>212</v>
      </c>
      <c r="O282" s="43"/>
      <c r="P282" s="43">
        <v>4</v>
      </c>
      <c r="Q282" s="25" t="str">
        <f>VLOOKUP(P282,Key!$E$2:$F$9,2,FALSE)</f>
        <v>Commercial</v>
      </c>
      <c r="R282" s="25" t="str">
        <f t="shared" si="5"/>
        <v>Commercial-Commercial</v>
      </c>
      <c r="S282" s="49"/>
      <c r="T282" s="49">
        <v>96</v>
      </c>
      <c r="U282" s="43">
        <v>4</v>
      </c>
      <c r="V282" s="43">
        <v>6</v>
      </c>
      <c r="W282" s="49"/>
      <c r="X282" s="49"/>
      <c r="Y282" s="50"/>
      <c r="Z282" s="59"/>
      <c r="AA282" s="25">
        <f>VLOOKUP(F282,Zones!$A$2:$F$15907,6,FALSE)</f>
        <v>1434</v>
      </c>
      <c r="AB282" s="25">
        <f>VLOOKUP(L282,Zones!$A$2:$F$15907,6,FALSE)</f>
        <v>1443</v>
      </c>
    </row>
    <row r="283" spans="2:28">
      <c r="B283" s="40">
        <v>0.75</v>
      </c>
      <c r="C283" s="40"/>
      <c r="D283" s="41">
        <v>8</v>
      </c>
      <c r="E283" s="42">
        <v>2</v>
      </c>
      <c r="F283" s="42" t="s">
        <v>206</v>
      </c>
      <c r="G283" s="43" t="s">
        <v>171</v>
      </c>
      <c r="H283" s="42" t="s">
        <v>179</v>
      </c>
      <c r="I283" s="43"/>
      <c r="J283" s="43">
        <v>4</v>
      </c>
      <c r="K283" s="25" t="str">
        <f>VLOOKUP(J283,Key!$E$2:$F$9,2,FALSE)</f>
        <v>Commercial</v>
      </c>
      <c r="L283" s="42" t="s">
        <v>225</v>
      </c>
      <c r="M283" s="43" t="s">
        <v>171</v>
      </c>
      <c r="N283" s="42" t="s">
        <v>179</v>
      </c>
      <c r="O283" s="43"/>
      <c r="P283" s="43">
        <v>4</v>
      </c>
      <c r="Q283" s="25" t="str">
        <f>VLOOKUP(P283,Key!$E$2:$F$9,2,FALSE)</f>
        <v>Commercial</v>
      </c>
      <c r="R283" s="25" t="str">
        <f t="shared" si="5"/>
        <v>Commercial-Commercial</v>
      </c>
      <c r="S283" s="49"/>
      <c r="T283" s="49">
        <v>0.5</v>
      </c>
      <c r="U283" s="43">
        <v>4</v>
      </c>
      <c r="V283" s="43"/>
      <c r="W283" s="49"/>
      <c r="X283" s="49"/>
      <c r="Y283" s="50"/>
      <c r="Z283" s="59"/>
      <c r="AA283" s="25">
        <f>VLOOKUP(F283,Zones!$A$2:$F$15907,6,FALSE)</f>
        <v>77</v>
      </c>
      <c r="AB283" s="25">
        <f>VLOOKUP(L283,Zones!$A$2:$F$15907,6,FALSE)</f>
        <v>73</v>
      </c>
    </row>
    <row r="284" spans="2:28">
      <c r="B284" s="40">
        <v>0.76527777777777783</v>
      </c>
      <c r="C284" s="40"/>
      <c r="D284" s="41">
        <v>9</v>
      </c>
      <c r="E284" s="42">
        <v>1</v>
      </c>
      <c r="F284" s="42" t="s">
        <v>204</v>
      </c>
      <c r="G284" s="43" t="s">
        <v>183</v>
      </c>
      <c r="H284" s="42" t="s">
        <v>179</v>
      </c>
      <c r="I284" s="43"/>
      <c r="J284" s="43">
        <v>4</v>
      </c>
      <c r="K284" s="25" t="str">
        <f>VLOOKUP(J284,Key!$E$2:$F$9,2,FALSE)</f>
        <v>Commercial</v>
      </c>
      <c r="L284" s="42" t="s">
        <v>173</v>
      </c>
      <c r="M284" s="43" t="s">
        <v>167</v>
      </c>
      <c r="N284" s="42" t="s">
        <v>212</v>
      </c>
      <c r="O284" s="43"/>
      <c r="P284" s="43">
        <v>4</v>
      </c>
      <c r="Q284" s="25" t="str">
        <f>VLOOKUP(P284,Key!$E$2:$F$9,2,FALSE)</f>
        <v>Commercial</v>
      </c>
      <c r="R284" s="25" t="str">
        <f t="shared" si="5"/>
        <v>Commercial-Commercial</v>
      </c>
      <c r="S284" s="49"/>
      <c r="T284" s="49">
        <v>48</v>
      </c>
      <c r="U284" s="43">
        <v>4</v>
      </c>
      <c r="V284" s="43">
        <v>5</v>
      </c>
      <c r="W284" s="49"/>
      <c r="X284" s="49"/>
      <c r="Y284" s="50"/>
      <c r="Z284" s="59"/>
      <c r="AA284" s="25">
        <f>VLOOKUP(F284,Zones!$A$2:$F$15907,6,FALSE)</f>
        <v>567</v>
      </c>
      <c r="AB284" s="25">
        <f>VLOOKUP(L284,Zones!$A$2:$F$15907,6,FALSE)</f>
        <v>1443</v>
      </c>
    </row>
    <row r="285" spans="2:28">
      <c r="B285" s="40">
        <v>0.3</v>
      </c>
      <c r="C285" s="40"/>
      <c r="D285" s="41">
        <v>9</v>
      </c>
      <c r="E285" s="42">
        <v>2</v>
      </c>
      <c r="F285" s="42" t="s">
        <v>173</v>
      </c>
      <c r="G285" s="43" t="s">
        <v>167</v>
      </c>
      <c r="H285" s="42" t="s">
        <v>212</v>
      </c>
      <c r="I285" s="43"/>
      <c r="J285" s="43">
        <v>4</v>
      </c>
      <c r="K285" s="25" t="str">
        <f>VLOOKUP(J285,Key!$E$2:$F$9,2,FALSE)</f>
        <v>Commercial</v>
      </c>
      <c r="L285" s="42" t="s">
        <v>61</v>
      </c>
      <c r="M285" s="43" t="s">
        <v>183</v>
      </c>
      <c r="N285" s="42" t="s">
        <v>179</v>
      </c>
      <c r="O285" s="43"/>
      <c r="P285" s="43">
        <v>4</v>
      </c>
      <c r="Q285" s="25" t="str">
        <f>VLOOKUP(P285,Key!$E$2:$F$9,2,FALSE)</f>
        <v>Commercial</v>
      </c>
      <c r="R285" s="25" t="str">
        <f>K285&amp;"-"&amp;Q285</f>
        <v>Commercial-Commercial</v>
      </c>
      <c r="S285" s="49"/>
      <c r="T285" s="49">
        <v>24</v>
      </c>
      <c r="U285" s="43">
        <v>3</v>
      </c>
      <c r="V285" s="43">
        <v>8</v>
      </c>
      <c r="W285" s="49">
        <v>20</v>
      </c>
      <c r="X285" s="49"/>
      <c r="Y285" s="50"/>
      <c r="Z285" s="59"/>
      <c r="AA285" s="25">
        <f>VLOOKUP(F285,Zones!$A$2:$F$15907,6,FALSE)</f>
        <v>1443</v>
      </c>
      <c r="AB285" s="25">
        <f>VLOOKUP(L285,Zones!$A$2:$F$15907,6,FALSE)</f>
        <v>521</v>
      </c>
    </row>
    <row r="286" spans="2:28">
      <c r="B286" s="40">
        <v>0.32083333333333336</v>
      </c>
      <c r="C286" s="40"/>
      <c r="D286" s="41">
        <v>8</v>
      </c>
      <c r="E286" s="42">
        <v>1</v>
      </c>
      <c r="F286" s="42" t="s">
        <v>173</v>
      </c>
      <c r="G286" s="43" t="s">
        <v>167</v>
      </c>
      <c r="H286" s="42" t="s">
        <v>212</v>
      </c>
      <c r="I286" s="43"/>
      <c r="J286" s="43">
        <v>4</v>
      </c>
      <c r="K286" s="25" t="str">
        <f>VLOOKUP(J286,Key!$E$2:$F$9,2,FALSE)</f>
        <v>Commercial</v>
      </c>
      <c r="L286" s="42" t="s">
        <v>184</v>
      </c>
      <c r="M286" s="43" t="s">
        <v>184</v>
      </c>
      <c r="N286" s="42" t="s">
        <v>200</v>
      </c>
      <c r="O286" s="43"/>
      <c r="P286" s="43">
        <v>4</v>
      </c>
      <c r="Q286" s="25" t="str">
        <f>VLOOKUP(P286,Key!$E$2:$F$9,2,FALSE)</f>
        <v>Commercial</v>
      </c>
      <c r="R286" s="25" t="str">
        <f t="shared" ref="R286:R349" si="6">K286&amp;"-"&amp;Q286</f>
        <v>Commercial-Commercial</v>
      </c>
      <c r="S286" s="49"/>
      <c r="T286" s="49">
        <v>24</v>
      </c>
      <c r="U286" s="43">
        <v>3</v>
      </c>
      <c r="V286" s="43">
        <v>8</v>
      </c>
      <c r="W286" s="49">
        <v>25</v>
      </c>
      <c r="X286" s="49"/>
      <c r="Y286" s="50"/>
      <c r="Z286" s="59"/>
      <c r="AA286" s="25">
        <f>VLOOKUP(F286,Zones!$A$2:$F$15907,6,FALSE)</f>
        <v>1443</v>
      </c>
      <c r="AB286" s="25">
        <f>VLOOKUP(L286,Zones!$A$2:$F$15907,6,FALSE)</f>
        <v>1434</v>
      </c>
    </row>
    <row r="287" spans="2:28">
      <c r="B287" s="40">
        <v>0.30486111111111108</v>
      </c>
      <c r="C287" s="40"/>
      <c r="D287" s="41">
        <v>2</v>
      </c>
      <c r="E287" s="42">
        <v>5</v>
      </c>
      <c r="F287" s="42" t="s">
        <v>170</v>
      </c>
      <c r="G287" s="43" t="s">
        <v>171</v>
      </c>
      <c r="H287" s="42" t="s">
        <v>179</v>
      </c>
      <c r="I287" s="43"/>
      <c r="J287" s="43">
        <v>2</v>
      </c>
      <c r="K287" s="25" t="str">
        <f>VLOOKUP(J287,Key!$E$2:$F$9,2,FALSE)</f>
        <v>Work</v>
      </c>
      <c r="L287" s="42" t="s">
        <v>172</v>
      </c>
      <c r="M287" s="43" t="s">
        <v>172</v>
      </c>
      <c r="N287" s="42" t="s">
        <v>179</v>
      </c>
      <c r="O287" s="43"/>
      <c r="P287" s="43">
        <v>1</v>
      </c>
      <c r="Q287" s="25" t="str">
        <f>VLOOKUP(P287,Key!$E$2:$F$9,2,FALSE)</f>
        <v>Home</v>
      </c>
      <c r="R287" s="25" t="str">
        <f t="shared" si="6"/>
        <v>Work-Home</v>
      </c>
      <c r="S287" s="49"/>
      <c r="T287" s="49">
        <v>2</v>
      </c>
      <c r="U287" s="43">
        <v>1</v>
      </c>
      <c r="V287" s="43"/>
      <c r="W287" s="49">
        <v>0</v>
      </c>
      <c r="X287" s="49"/>
      <c r="Y287" s="50"/>
      <c r="Z287" s="59"/>
      <c r="AA287" s="25">
        <f>VLOOKUP(F287,Zones!$A$2:$F$15907,6,FALSE)</f>
        <v>1443</v>
      </c>
      <c r="AB287" s="25">
        <f>VLOOKUP(L287,Zones!$A$2:$F$15907,6,FALSE)</f>
        <v>335</v>
      </c>
    </row>
    <row r="288" spans="2:28">
      <c r="B288" s="40">
        <v>0.3347222222222222</v>
      </c>
      <c r="C288" s="40"/>
      <c r="D288" s="41">
        <v>9</v>
      </c>
      <c r="E288" s="42">
        <v>2</v>
      </c>
      <c r="F288" s="42" t="s">
        <v>170</v>
      </c>
      <c r="G288" s="43" t="s">
        <v>171</v>
      </c>
      <c r="H288" s="42" t="s">
        <v>179</v>
      </c>
      <c r="I288" s="43"/>
      <c r="J288" s="43">
        <v>2</v>
      </c>
      <c r="K288" s="25" t="str">
        <f>VLOOKUP(J288,Key!$E$2:$F$9,2,FALSE)</f>
        <v>Work</v>
      </c>
      <c r="L288" s="42" t="s">
        <v>61</v>
      </c>
      <c r="M288" s="43" t="s">
        <v>183</v>
      </c>
      <c r="N288" s="42" t="s">
        <v>179</v>
      </c>
      <c r="O288" s="43"/>
      <c r="P288" s="43">
        <v>2</v>
      </c>
      <c r="Q288" s="25" t="str">
        <f>VLOOKUP(P288,Key!$E$2:$F$9,2,FALSE)</f>
        <v>Work</v>
      </c>
      <c r="R288" s="25" t="str">
        <f t="shared" si="6"/>
        <v>Work-Work</v>
      </c>
      <c r="S288" s="49"/>
      <c r="T288" s="49">
        <v>24</v>
      </c>
      <c r="U288" s="43">
        <v>3</v>
      </c>
      <c r="V288" s="43">
        <v>6</v>
      </c>
      <c r="W288" s="49">
        <v>32</v>
      </c>
      <c r="X288" s="49"/>
      <c r="Y288" s="50"/>
      <c r="Z288" s="59"/>
      <c r="AA288" s="25">
        <f>VLOOKUP(F288,Zones!$A$2:$F$15907,6,FALSE)</f>
        <v>1443</v>
      </c>
      <c r="AB288" s="25">
        <f>VLOOKUP(L288,Zones!$A$2:$F$15907,6,FALSE)</f>
        <v>521</v>
      </c>
    </row>
    <row r="289" spans="2:28">
      <c r="B289" s="40">
        <v>0.33819444444444446</v>
      </c>
      <c r="C289" s="40"/>
      <c r="D289" s="41">
        <v>8</v>
      </c>
      <c r="E289" s="42">
        <v>2</v>
      </c>
      <c r="F289" s="42" t="s">
        <v>173</v>
      </c>
      <c r="G289" s="43" t="s">
        <v>167</v>
      </c>
      <c r="H289" s="42" t="s">
        <v>212</v>
      </c>
      <c r="I289" s="43"/>
      <c r="J289" s="43">
        <v>4</v>
      </c>
      <c r="K289" s="25" t="str">
        <f>VLOOKUP(J289,Key!$E$2:$F$9,2,FALSE)</f>
        <v>Commercial</v>
      </c>
      <c r="L289" s="42" t="s">
        <v>61</v>
      </c>
      <c r="M289" s="43" t="s">
        <v>183</v>
      </c>
      <c r="N289" s="42" t="s">
        <v>179</v>
      </c>
      <c r="O289" s="43"/>
      <c r="P289" s="43">
        <v>1</v>
      </c>
      <c r="Q289" s="25" t="str">
        <f>VLOOKUP(P289,Key!$E$2:$F$9,2,FALSE)</f>
        <v>Home</v>
      </c>
      <c r="R289" s="25" t="str">
        <f t="shared" si="6"/>
        <v>Commercial-Home</v>
      </c>
      <c r="S289" s="49"/>
      <c r="T289" s="49">
        <v>24</v>
      </c>
      <c r="U289" s="43">
        <v>2</v>
      </c>
      <c r="V289" s="43">
        <v>7</v>
      </c>
      <c r="W289" s="49">
        <v>20</v>
      </c>
      <c r="X289" s="49"/>
      <c r="Y289" s="50"/>
      <c r="Z289" s="59"/>
      <c r="AA289" s="25">
        <f>VLOOKUP(F289,Zones!$A$2:$F$15907,6,FALSE)</f>
        <v>1443</v>
      </c>
      <c r="AB289" s="25">
        <f>VLOOKUP(L289,Zones!$A$2:$F$15907,6,FALSE)</f>
        <v>521</v>
      </c>
    </row>
    <row r="290" spans="2:28">
      <c r="B290" s="40">
        <v>0.34583333333333338</v>
      </c>
      <c r="C290" s="40"/>
      <c r="D290" s="41">
        <v>1</v>
      </c>
      <c r="E290" s="42">
        <v>2</v>
      </c>
      <c r="F290" s="42" t="s">
        <v>210</v>
      </c>
      <c r="G290" s="43" t="s">
        <v>171</v>
      </c>
      <c r="H290" s="42" t="s">
        <v>179</v>
      </c>
      <c r="I290" s="43"/>
      <c r="J290" s="43">
        <v>1</v>
      </c>
      <c r="K290" s="25" t="str">
        <f>VLOOKUP(J290,Key!$E$2:$F$9,2,FALSE)</f>
        <v>Home</v>
      </c>
      <c r="L290" s="42" t="s">
        <v>172</v>
      </c>
      <c r="M290" s="43" t="s">
        <v>172</v>
      </c>
      <c r="N290" s="42" t="s">
        <v>179</v>
      </c>
      <c r="O290" s="43"/>
      <c r="P290" s="43">
        <v>2</v>
      </c>
      <c r="Q290" s="25" t="str">
        <f>VLOOKUP(P290,Key!$E$2:$F$9,2,FALSE)</f>
        <v>Work</v>
      </c>
      <c r="R290" s="25" t="str">
        <f t="shared" si="6"/>
        <v>Home-Work</v>
      </c>
      <c r="S290" s="49"/>
      <c r="T290" s="49">
        <v>1.5</v>
      </c>
      <c r="U290" s="43">
        <v>2</v>
      </c>
      <c r="V290" s="43"/>
      <c r="W290" s="49">
        <v>0</v>
      </c>
      <c r="X290" s="49"/>
      <c r="Y290" s="50"/>
      <c r="Z290" s="59"/>
      <c r="AA290" s="25">
        <f>VLOOKUP(F290,Zones!$A$2:$F$15907,6,FALSE)</f>
        <v>1443</v>
      </c>
      <c r="AB290" s="25">
        <f>VLOOKUP(L290,Zones!$A$2:$F$15907,6,FALSE)</f>
        <v>335</v>
      </c>
    </row>
    <row r="291" spans="2:28">
      <c r="B291" s="40">
        <v>0.3659722222222222</v>
      </c>
      <c r="C291" s="40"/>
      <c r="D291" s="41">
        <v>9</v>
      </c>
      <c r="E291" s="42">
        <v>2</v>
      </c>
      <c r="F291" s="42" t="s">
        <v>173</v>
      </c>
      <c r="G291" s="43" t="s">
        <v>167</v>
      </c>
      <c r="H291" s="42" t="s">
        <v>212</v>
      </c>
      <c r="I291" s="43"/>
      <c r="J291" s="43">
        <v>4</v>
      </c>
      <c r="K291" s="25" t="str">
        <f>VLOOKUP(J291,Key!$E$2:$F$9,2,FALSE)</f>
        <v>Commercial</v>
      </c>
      <c r="L291" s="42" t="s">
        <v>183</v>
      </c>
      <c r="M291" s="43" t="s">
        <v>183</v>
      </c>
      <c r="N291" s="42" t="s">
        <v>179</v>
      </c>
      <c r="O291" s="43"/>
      <c r="P291" s="43">
        <v>1</v>
      </c>
      <c r="Q291" s="25" t="str">
        <f>VLOOKUP(P291,Key!$E$2:$F$9,2,FALSE)</f>
        <v>Home</v>
      </c>
      <c r="R291" s="25" t="str">
        <f t="shared" si="6"/>
        <v>Commercial-Home</v>
      </c>
      <c r="S291" s="49"/>
      <c r="T291" s="49">
        <v>14</v>
      </c>
      <c r="U291" s="43">
        <v>3</v>
      </c>
      <c r="V291" s="43">
        <v>8</v>
      </c>
      <c r="W291" s="49">
        <v>30</v>
      </c>
      <c r="X291" s="49"/>
      <c r="Y291" s="50"/>
      <c r="Z291" s="59"/>
      <c r="AA291" s="25">
        <f>VLOOKUP(F291,Zones!$A$2:$F$15907,6,FALSE)</f>
        <v>1443</v>
      </c>
      <c r="AB291" s="25">
        <f>VLOOKUP(L291,Zones!$A$2:$F$15907,6,FALSE)</f>
        <v>521</v>
      </c>
    </row>
    <row r="292" spans="2:28">
      <c r="B292" s="40">
        <v>0.3833333333333333</v>
      </c>
      <c r="C292" s="40"/>
      <c r="D292" s="41">
        <v>9</v>
      </c>
      <c r="E292" s="42">
        <v>2</v>
      </c>
      <c r="F292" s="42" t="s">
        <v>173</v>
      </c>
      <c r="G292" s="43" t="s">
        <v>167</v>
      </c>
      <c r="H292" s="42" t="s">
        <v>212</v>
      </c>
      <c r="I292" s="43"/>
      <c r="J292" s="43">
        <v>4</v>
      </c>
      <c r="K292" s="25" t="str">
        <f>VLOOKUP(J292,Key!$E$2:$F$9,2,FALSE)</f>
        <v>Commercial</v>
      </c>
      <c r="L292" s="42" t="s">
        <v>61</v>
      </c>
      <c r="M292" s="43" t="s">
        <v>183</v>
      </c>
      <c r="N292" s="42" t="s">
        <v>179</v>
      </c>
      <c r="O292" s="43"/>
      <c r="P292" s="43">
        <v>1</v>
      </c>
      <c r="Q292" s="25" t="str">
        <f>VLOOKUP(P292,Key!$E$2:$F$9,2,FALSE)</f>
        <v>Home</v>
      </c>
      <c r="R292" s="25" t="str">
        <f t="shared" si="6"/>
        <v>Commercial-Home</v>
      </c>
      <c r="S292" s="49"/>
      <c r="T292" s="49">
        <v>24</v>
      </c>
      <c r="U292" s="43">
        <v>3</v>
      </c>
      <c r="V292" s="43">
        <v>8</v>
      </c>
      <c r="W292" s="49">
        <v>20</v>
      </c>
      <c r="X292" s="49"/>
      <c r="Y292" s="50"/>
      <c r="Z292" s="59"/>
      <c r="AA292" s="25">
        <f>VLOOKUP(F292,Zones!$A$2:$F$15907,6,FALSE)</f>
        <v>1443</v>
      </c>
      <c r="AB292" s="25">
        <f>VLOOKUP(L292,Zones!$A$2:$F$15907,6,FALSE)</f>
        <v>521</v>
      </c>
    </row>
    <row r="293" spans="2:28">
      <c r="B293" s="40">
        <v>0.41597222222222219</v>
      </c>
      <c r="C293" s="40"/>
      <c r="D293" s="41">
        <v>1</v>
      </c>
      <c r="E293" s="42">
        <v>2</v>
      </c>
      <c r="F293" s="42" t="s">
        <v>167</v>
      </c>
      <c r="G293" s="43" t="s">
        <v>172</v>
      </c>
      <c r="H293" s="42" t="s">
        <v>179</v>
      </c>
      <c r="I293" s="43"/>
      <c r="J293" s="43">
        <v>4</v>
      </c>
      <c r="K293" s="25" t="str">
        <f>VLOOKUP(J293,Key!$E$2:$F$9,2,FALSE)</f>
        <v>Commercial</v>
      </c>
      <c r="L293" s="42" t="s">
        <v>183</v>
      </c>
      <c r="M293" s="43" t="s">
        <v>183</v>
      </c>
      <c r="N293" s="42" t="s">
        <v>179</v>
      </c>
      <c r="O293" s="43"/>
      <c r="P293" s="43">
        <v>1</v>
      </c>
      <c r="Q293" s="25" t="str">
        <f>VLOOKUP(P293,Key!$E$2:$F$9,2,FALSE)</f>
        <v>Home</v>
      </c>
      <c r="R293" s="25" t="str">
        <f t="shared" si="6"/>
        <v>Commercial-Home</v>
      </c>
      <c r="S293" s="49"/>
      <c r="T293" s="49">
        <v>7</v>
      </c>
      <c r="U293" s="43">
        <v>6</v>
      </c>
      <c r="V293" s="43"/>
      <c r="W293" s="49">
        <v>0</v>
      </c>
      <c r="X293" s="49"/>
      <c r="Y293" s="50"/>
      <c r="Z293" s="59"/>
      <c r="AA293" s="25">
        <f>VLOOKUP(F293,Zones!$A$2:$F$15907,6,FALSE)</f>
        <v>1443</v>
      </c>
      <c r="AB293" s="25">
        <f>VLOOKUP(L293,Zones!$A$2:$F$15907,6,FALSE)</f>
        <v>521</v>
      </c>
    </row>
    <row r="294" spans="2:28">
      <c r="B294" s="40">
        <v>0.41666666666666669</v>
      </c>
      <c r="C294" s="40"/>
      <c r="D294" s="41">
        <v>1</v>
      </c>
      <c r="E294" s="42">
        <v>3</v>
      </c>
      <c r="F294" s="42" t="s">
        <v>170</v>
      </c>
      <c r="G294" s="43" t="s">
        <v>171</v>
      </c>
      <c r="H294" s="42" t="s">
        <v>179</v>
      </c>
      <c r="I294" s="43"/>
      <c r="J294" s="43">
        <v>4</v>
      </c>
      <c r="K294" s="25" t="str">
        <f>VLOOKUP(J294,Key!$E$2:$F$9,2,FALSE)</f>
        <v>Commercial</v>
      </c>
      <c r="L294" s="42" t="s">
        <v>183</v>
      </c>
      <c r="M294" s="43" t="s">
        <v>183</v>
      </c>
      <c r="N294" s="42" t="s">
        <v>179</v>
      </c>
      <c r="O294" s="43"/>
      <c r="P294" s="43">
        <v>1</v>
      </c>
      <c r="Q294" s="25" t="str">
        <f>VLOOKUP(P294,Key!$E$2:$F$9,2,FALSE)</f>
        <v>Home</v>
      </c>
      <c r="R294" s="25" t="str">
        <f t="shared" si="6"/>
        <v>Commercial-Home</v>
      </c>
      <c r="S294" s="49"/>
      <c r="T294" s="49"/>
      <c r="U294" s="43">
        <v>3</v>
      </c>
      <c r="V294" s="43"/>
      <c r="W294" s="49">
        <v>0</v>
      </c>
      <c r="X294" s="49"/>
      <c r="Y294" s="50"/>
      <c r="Z294" s="59"/>
      <c r="AA294" s="25">
        <f>VLOOKUP(F294,Zones!$A$2:$F$15907,6,FALSE)</f>
        <v>1443</v>
      </c>
      <c r="AB294" s="25">
        <f>VLOOKUP(L294,Zones!$A$2:$F$15907,6,FALSE)</f>
        <v>521</v>
      </c>
    </row>
    <row r="295" spans="2:28">
      <c r="B295" s="40">
        <v>0.43888888888888888</v>
      </c>
      <c r="C295" s="40"/>
      <c r="D295" s="41">
        <v>9</v>
      </c>
      <c r="E295" s="42">
        <v>1</v>
      </c>
      <c r="F295" s="42" t="s">
        <v>173</v>
      </c>
      <c r="G295" s="43" t="s">
        <v>167</v>
      </c>
      <c r="H295" s="42" t="s">
        <v>212</v>
      </c>
      <c r="I295" s="43"/>
      <c r="J295" s="43">
        <v>4</v>
      </c>
      <c r="K295" s="25" t="str">
        <f>VLOOKUP(J295,Key!$E$2:$F$9,2,FALSE)</f>
        <v>Commercial</v>
      </c>
      <c r="L295" s="42" t="s">
        <v>183</v>
      </c>
      <c r="M295" s="43" t="s">
        <v>183</v>
      </c>
      <c r="N295" s="42" t="s">
        <v>179</v>
      </c>
      <c r="O295" s="43"/>
      <c r="P295" s="43">
        <v>4</v>
      </c>
      <c r="Q295" s="25" t="str">
        <f>VLOOKUP(P295,Key!$E$2:$F$9,2,FALSE)</f>
        <v>Commercial</v>
      </c>
      <c r="R295" s="25" t="str">
        <f t="shared" si="6"/>
        <v>Commercial-Commercial</v>
      </c>
      <c r="S295" s="49"/>
      <c r="T295" s="49">
        <v>24</v>
      </c>
      <c r="U295" s="43">
        <v>3</v>
      </c>
      <c r="V295" s="43">
        <v>8</v>
      </c>
      <c r="W295" s="49">
        <v>30</v>
      </c>
      <c r="X295" s="49"/>
      <c r="Y295" s="50"/>
      <c r="Z295" s="59"/>
      <c r="AA295" s="25">
        <f>VLOOKUP(F295,Zones!$A$2:$F$15907,6,FALSE)</f>
        <v>1443</v>
      </c>
      <c r="AB295" s="25">
        <f>VLOOKUP(L295,Zones!$A$2:$F$15907,6,FALSE)</f>
        <v>521</v>
      </c>
    </row>
    <row r="296" spans="2:28">
      <c r="B296" s="40">
        <v>0.4458333333333333</v>
      </c>
      <c r="C296" s="40"/>
      <c r="D296" s="41">
        <v>9</v>
      </c>
      <c r="E296" s="42">
        <v>1</v>
      </c>
      <c r="F296" s="42" t="s">
        <v>173</v>
      </c>
      <c r="G296" s="43" t="s">
        <v>167</v>
      </c>
      <c r="H296" s="42" t="s">
        <v>212</v>
      </c>
      <c r="I296" s="43"/>
      <c r="J296" s="43">
        <v>4</v>
      </c>
      <c r="K296" s="25" t="str">
        <f>VLOOKUP(J296,Key!$E$2:$F$9,2,FALSE)</f>
        <v>Commercial</v>
      </c>
      <c r="L296" s="42" t="s">
        <v>184</v>
      </c>
      <c r="M296" s="43" t="s">
        <v>184</v>
      </c>
      <c r="N296" s="42" t="s">
        <v>200</v>
      </c>
      <c r="O296" s="43"/>
      <c r="P296" s="43">
        <v>4</v>
      </c>
      <c r="Q296" s="25" t="str">
        <f>VLOOKUP(P296,Key!$E$2:$F$9,2,FALSE)</f>
        <v>Commercial</v>
      </c>
      <c r="R296" s="25" t="str">
        <f t="shared" si="6"/>
        <v>Commercial-Commercial</v>
      </c>
      <c r="S296" s="49"/>
      <c r="T296" s="49">
        <v>24</v>
      </c>
      <c r="U296" s="43">
        <v>3</v>
      </c>
      <c r="V296" s="43">
        <v>8</v>
      </c>
      <c r="W296" s="49">
        <v>25</v>
      </c>
      <c r="X296" s="49"/>
      <c r="Y296" s="50"/>
      <c r="Z296" s="59"/>
      <c r="AA296" s="25">
        <f>VLOOKUP(F296,Zones!$A$2:$F$15907,6,FALSE)</f>
        <v>1443</v>
      </c>
      <c r="AB296" s="25">
        <f>VLOOKUP(L296,Zones!$A$2:$F$15907,6,FALSE)</f>
        <v>1434</v>
      </c>
    </row>
    <row r="297" spans="2:28">
      <c r="B297" s="40">
        <v>0.4548611111111111</v>
      </c>
      <c r="C297" s="40"/>
      <c r="D297" s="41">
        <v>8</v>
      </c>
      <c r="E297" s="42">
        <v>2</v>
      </c>
      <c r="F297" s="42" t="s">
        <v>173</v>
      </c>
      <c r="G297" s="43" t="s">
        <v>167</v>
      </c>
      <c r="H297" s="42" t="s">
        <v>212</v>
      </c>
      <c r="I297" s="43"/>
      <c r="J297" s="43">
        <v>4</v>
      </c>
      <c r="K297" s="25" t="str">
        <f>VLOOKUP(J297,Key!$E$2:$F$9,2,FALSE)</f>
        <v>Commercial</v>
      </c>
      <c r="L297" s="42" t="s">
        <v>189</v>
      </c>
      <c r="M297" s="43" t="s">
        <v>190</v>
      </c>
      <c r="N297" s="42" t="s">
        <v>200</v>
      </c>
      <c r="O297" s="43"/>
      <c r="P297" s="43">
        <v>4</v>
      </c>
      <c r="Q297" s="25" t="str">
        <f>VLOOKUP(P297,Key!$E$2:$F$9,2,FALSE)</f>
        <v>Commercial</v>
      </c>
      <c r="R297" s="25" t="str">
        <f t="shared" si="6"/>
        <v>Commercial-Commercial</v>
      </c>
      <c r="S297" s="49"/>
      <c r="T297" s="49">
        <v>26</v>
      </c>
      <c r="U297" s="43">
        <v>3</v>
      </c>
      <c r="V297" s="43">
        <v>8</v>
      </c>
      <c r="W297" s="49">
        <v>20</v>
      </c>
      <c r="X297" s="49"/>
      <c r="Y297" s="50"/>
      <c r="Z297" s="59"/>
      <c r="AA297" s="25">
        <f>VLOOKUP(F297,Zones!$A$2:$F$15907,6,FALSE)</f>
        <v>1443</v>
      </c>
      <c r="AB297" s="25">
        <f>VLOOKUP(L297,Zones!$A$2:$F$15907,6,FALSE)</f>
        <v>1434</v>
      </c>
    </row>
    <row r="298" spans="2:28">
      <c r="B298" s="40">
        <v>0.54791666666666672</v>
      </c>
      <c r="C298" s="40"/>
      <c r="D298" s="41">
        <v>9</v>
      </c>
      <c r="E298" s="42">
        <v>2</v>
      </c>
      <c r="F298" s="42" t="s">
        <v>173</v>
      </c>
      <c r="G298" s="43" t="s">
        <v>167</v>
      </c>
      <c r="H298" s="42" t="s">
        <v>212</v>
      </c>
      <c r="I298" s="43"/>
      <c r="J298" s="43">
        <v>4</v>
      </c>
      <c r="K298" s="25" t="str">
        <f>VLOOKUP(J298,Key!$E$2:$F$9,2,FALSE)</f>
        <v>Commercial</v>
      </c>
      <c r="L298" s="42" t="s">
        <v>189</v>
      </c>
      <c r="M298" s="43" t="s">
        <v>190</v>
      </c>
      <c r="N298" s="42" t="s">
        <v>200</v>
      </c>
      <c r="O298" s="43"/>
      <c r="P298" s="43">
        <v>4</v>
      </c>
      <c r="Q298" s="25" t="str">
        <f>VLOOKUP(P298,Key!$E$2:$F$9,2,FALSE)</f>
        <v>Commercial</v>
      </c>
      <c r="R298" s="25" t="str">
        <f t="shared" si="6"/>
        <v>Commercial-Commercial</v>
      </c>
      <c r="S298" s="49"/>
      <c r="T298" s="49">
        <v>34</v>
      </c>
      <c r="U298" s="43">
        <v>3</v>
      </c>
      <c r="V298" s="43"/>
      <c r="W298" s="49">
        <v>28</v>
      </c>
      <c r="X298" s="49"/>
      <c r="Y298" s="50"/>
      <c r="Z298" s="59"/>
      <c r="AA298" s="25">
        <f>VLOOKUP(F298,Zones!$A$2:$F$15907,6,FALSE)</f>
        <v>1443</v>
      </c>
      <c r="AB298" s="25">
        <f>VLOOKUP(L298,Zones!$A$2:$F$15907,6,FALSE)</f>
        <v>1434</v>
      </c>
    </row>
    <row r="299" spans="2:28">
      <c r="B299" s="40">
        <v>0.55486111111111114</v>
      </c>
      <c r="C299" s="40"/>
      <c r="D299" s="41">
        <v>1</v>
      </c>
      <c r="E299" s="42">
        <v>4</v>
      </c>
      <c r="F299" s="42" t="s">
        <v>210</v>
      </c>
      <c r="G299" s="43" t="s">
        <v>171</v>
      </c>
      <c r="H299" s="42" t="s">
        <v>179</v>
      </c>
      <c r="I299" s="43"/>
      <c r="J299" s="43">
        <v>2</v>
      </c>
      <c r="K299" s="25" t="str">
        <f>VLOOKUP(J299,Key!$E$2:$F$9,2,FALSE)</f>
        <v>Work</v>
      </c>
      <c r="L299" s="42" t="s">
        <v>172</v>
      </c>
      <c r="M299" s="43" t="s">
        <v>172</v>
      </c>
      <c r="N299" s="42" t="s">
        <v>179</v>
      </c>
      <c r="O299" s="43"/>
      <c r="P299" s="43">
        <v>1</v>
      </c>
      <c r="Q299" s="25" t="str">
        <f>VLOOKUP(P299,Key!$E$2:$F$9,2,FALSE)</f>
        <v>Home</v>
      </c>
      <c r="R299" s="25" t="str">
        <f t="shared" si="6"/>
        <v>Work-Home</v>
      </c>
      <c r="S299" s="49"/>
      <c r="T299" s="49">
        <v>2</v>
      </c>
      <c r="U299" s="43">
        <v>1</v>
      </c>
      <c r="V299" s="43"/>
      <c r="W299" s="49">
        <v>0</v>
      </c>
      <c r="X299" s="49"/>
      <c r="Y299" s="50"/>
      <c r="Z299" s="59"/>
      <c r="AA299" s="25">
        <f>VLOOKUP(F299,Zones!$A$2:$F$15907,6,FALSE)</f>
        <v>1443</v>
      </c>
      <c r="AB299" s="25">
        <f>VLOOKUP(L299,Zones!$A$2:$F$15907,6,FALSE)</f>
        <v>335</v>
      </c>
    </row>
    <row r="300" spans="2:28">
      <c r="B300" s="40">
        <v>0.56458333333333333</v>
      </c>
      <c r="C300" s="40"/>
      <c r="D300" s="41">
        <v>6</v>
      </c>
      <c r="E300" s="42">
        <v>58</v>
      </c>
      <c r="F300" s="42" t="s">
        <v>170</v>
      </c>
      <c r="G300" s="43" t="s">
        <v>171</v>
      </c>
      <c r="H300" s="42" t="s">
        <v>179</v>
      </c>
      <c r="I300" s="43"/>
      <c r="J300" s="43">
        <v>2</v>
      </c>
      <c r="K300" s="25" t="str">
        <f>VLOOKUP(J300,Key!$E$2:$F$9,2,FALSE)</f>
        <v>Work</v>
      </c>
      <c r="L300" s="42" t="s">
        <v>168</v>
      </c>
      <c r="M300" s="43" t="s">
        <v>171</v>
      </c>
      <c r="N300" s="42" t="s">
        <v>179</v>
      </c>
      <c r="O300" s="43"/>
      <c r="P300" s="43">
        <v>2</v>
      </c>
      <c r="Q300" s="25" t="str">
        <f>VLOOKUP(P300,Key!$E$2:$F$9,2,FALSE)</f>
        <v>Work</v>
      </c>
      <c r="R300" s="25" t="str">
        <f t="shared" si="6"/>
        <v>Work-Work</v>
      </c>
      <c r="S300" s="49"/>
      <c r="T300" s="49">
        <v>0.7</v>
      </c>
      <c r="U300" s="43">
        <v>1</v>
      </c>
      <c r="V300" s="43"/>
      <c r="W300" s="49">
        <v>0</v>
      </c>
      <c r="X300" s="49"/>
      <c r="Y300" s="50"/>
      <c r="Z300" s="59"/>
      <c r="AA300" s="25">
        <f>VLOOKUP(F300,Zones!$A$2:$F$15907,6,FALSE)</f>
        <v>1443</v>
      </c>
      <c r="AB300" s="25">
        <f>VLOOKUP(L300,Zones!$A$2:$F$15907,6,FALSE)</f>
        <v>75</v>
      </c>
    </row>
    <row r="301" spans="2:28">
      <c r="B301" s="40">
        <v>0.56527777777777777</v>
      </c>
      <c r="C301" s="40"/>
      <c r="D301" s="41">
        <v>9</v>
      </c>
      <c r="E301" s="42">
        <v>2</v>
      </c>
      <c r="F301" s="42" t="s">
        <v>173</v>
      </c>
      <c r="G301" s="43" t="s">
        <v>167</v>
      </c>
      <c r="H301" s="42" t="s">
        <v>212</v>
      </c>
      <c r="I301" s="43"/>
      <c r="J301" s="43">
        <v>4</v>
      </c>
      <c r="K301" s="25" t="str">
        <f>VLOOKUP(J301,Key!$E$2:$F$9,2,FALSE)</f>
        <v>Commercial</v>
      </c>
      <c r="L301" s="42" t="s">
        <v>201</v>
      </c>
      <c r="M301" s="43" t="s">
        <v>201</v>
      </c>
      <c r="N301" s="42" t="s">
        <v>179</v>
      </c>
      <c r="O301" s="43"/>
      <c r="P301" s="43">
        <v>4</v>
      </c>
      <c r="Q301" s="25" t="str">
        <f>VLOOKUP(P301,Key!$E$2:$F$9,2,FALSE)</f>
        <v>Commercial</v>
      </c>
      <c r="R301" s="25" t="str">
        <f t="shared" si="6"/>
        <v>Commercial-Commercial</v>
      </c>
      <c r="S301" s="49"/>
      <c r="T301" s="49">
        <v>18</v>
      </c>
      <c r="U301" s="43">
        <v>3</v>
      </c>
      <c r="V301" s="43"/>
      <c r="W301" s="49">
        <v>32</v>
      </c>
      <c r="X301" s="49"/>
      <c r="Y301" s="50"/>
      <c r="Z301" s="59"/>
      <c r="AA301" s="25">
        <f>VLOOKUP(F301,Zones!$A$2:$F$15907,6,FALSE)</f>
        <v>1443</v>
      </c>
      <c r="AB301" s="25">
        <f>VLOOKUP(L301,Zones!$A$2:$F$15907,6,FALSE)</f>
        <v>1382</v>
      </c>
    </row>
    <row r="302" spans="2:28">
      <c r="B302" s="40">
        <v>0.60902777777777783</v>
      </c>
      <c r="C302" s="40"/>
      <c r="D302" s="41">
        <v>8</v>
      </c>
      <c r="E302" s="42">
        <v>2</v>
      </c>
      <c r="F302" s="42" t="s">
        <v>173</v>
      </c>
      <c r="G302" s="43" t="s">
        <v>167</v>
      </c>
      <c r="H302" s="42" t="s">
        <v>212</v>
      </c>
      <c r="I302" s="43"/>
      <c r="J302" s="43">
        <v>2</v>
      </c>
      <c r="K302" s="25" t="str">
        <f>VLOOKUP(J302,Key!$E$2:$F$9,2,FALSE)</f>
        <v>Work</v>
      </c>
      <c r="L302" s="42" t="s">
        <v>190</v>
      </c>
      <c r="M302" s="43" t="s">
        <v>190</v>
      </c>
      <c r="N302" s="42" t="s">
        <v>200</v>
      </c>
      <c r="O302" s="43"/>
      <c r="P302" s="43">
        <v>2</v>
      </c>
      <c r="Q302" s="25" t="str">
        <f>VLOOKUP(P302,Key!$E$2:$F$9,2,FALSE)</f>
        <v>Work</v>
      </c>
      <c r="R302" s="25" t="str">
        <f t="shared" si="6"/>
        <v>Work-Work</v>
      </c>
      <c r="S302" s="49"/>
      <c r="T302" s="49">
        <v>24</v>
      </c>
      <c r="U302" s="43">
        <v>3</v>
      </c>
      <c r="V302" s="43">
        <v>6</v>
      </c>
      <c r="W302" s="49">
        <v>32</v>
      </c>
      <c r="X302" s="49"/>
      <c r="Y302" s="50"/>
      <c r="Z302" s="59"/>
      <c r="AA302" s="25">
        <f>VLOOKUP(F302,Zones!$A$2:$F$15907,6,FALSE)</f>
        <v>1443</v>
      </c>
      <c r="AB302" s="25">
        <f>VLOOKUP(L302,Zones!$A$2:$F$15907,6,FALSE)</f>
        <v>1434</v>
      </c>
    </row>
    <row r="303" spans="2:28">
      <c r="B303" s="40">
        <v>0.62708333333333333</v>
      </c>
      <c r="C303" s="40"/>
      <c r="D303" s="41">
        <v>1</v>
      </c>
      <c r="E303" s="42">
        <v>7</v>
      </c>
      <c r="F303" s="42" t="s">
        <v>170</v>
      </c>
      <c r="G303" s="43" t="s">
        <v>171</v>
      </c>
      <c r="H303" s="42" t="s">
        <v>179</v>
      </c>
      <c r="I303" s="43"/>
      <c r="J303" s="43">
        <v>2</v>
      </c>
      <c r="K303" s="25" t="str">
        <f>VLOOKUP(J303,Key!$E$2:$F$9,2,FALSE)</f>
        <v>Work</v>
      </c>
      <c r="L303" s="42" t="s">
        <v>172</v>
      </c>
      <c r="M303" s="43" t="s">
        <v>172</v>
      </c>
      <c r="N303" s="42" t="s">
        <v>179</v>
      </c>
      <c r="O303" s="43"/>
      <c r="P303" s="43">
        <v>2</v>
      </c>
      <c r="Q303" s="25" t="str">
        <f>VLOOKUP(P303,Key!$E$2:$F$9,2,FALSE)</f>
        <v>Work</v>
      </c>
      <c r="R303" s="25" t="str">
        <f t="shared" si="6"/>
        <v>Work-Work</v>
      </c>
      <c r="S303" s="49"/>
      <c r="T303" s="49">
        <v>1.5</v>
      </c>
      <c r="U303" s="43">
        <v>1</v>
      </c>
      <c r="V303" s="43"/>
      <c r="W303" s="49">
        <v>0</v>
      </c>
      <c r="X303" s="49"/>
      <c r="Y303" s="50"/>
      <c r="Z303" s="59"/>
      <c r="AA303" s="25">
        <f>VLOOKUP(F303,Zones!$A$2:$F$15907,6,FALSE)</f>
        <v>1443</v>
      </c>
      <c r="AB303" s="25">
        <f>VLOOKUP(L303,Zones!$A$2:$F$15907,6,FALSE)</f>
        <v>335</v>
      </c>
    </row>
    <row r="304" spans="2:28">
      <c r="B304" s="40">
        <v>0.62986111111111109</v>
      </c>
      <c r="C304" s="40"/>
      <c r="D304" s="41">
        <v>1</v>
      </c>
      <c r="E304" s="42">
        <v>5</v>
      </c>
      <c r="F304" s="42" t="s">
        <v>170</v>
      </c>
      <c r="G304" s="43" t="s">
        <v>171</v>
      </c>
      <c r="H304" s="42" t="s">
        <v>179</v>
      </c>
      <c r="I304" s="43"/>
      <c r="J304" s="43">
        <v>2</v>
      </c>
      <c r="K304" s="25" t="str">
        <f>VLOOKUP(J304,Key!$E$2:$F$9,2,FALSE)</f>
        <v>Work</v>
      </c>
      <c r="L304" s="42" t="s">
        <v>172</v>
      </c>
      <c r="M304" s="43" t="s">
        <v>172</v>
      </c>
      <c r="N304" s="42" t="s">
        <v>179</v>
      </c>
      <c r="O304" s="43"/>
      <c r="P304" s="43">
        <v>2</v>
      </c>
      <c r="Q304" s="25" t="str">
        <f>VLOOKUP(P304,Key!$E$2:$F$9,2,FALSE)</f>
        <v>Work</v>
      </c>
      <c r="R304" s="25" t="str">
        <f t="shared" si="6"/>
        <v>Work-Work</v>
      </c>
      <c r="S304" s="49"/>
      <c r="T304" s="49">
        <v>2</v>
      </c>
      <c r="U304" s="43">
        <v>1</v>
      </c>
      <c r="V304" s="43"/>
      <c r="W304" s="49">
        <v>0</v>
      </c>
      <c r="X304" s="49"/>
      <c r="Y304" s="50"/>
      <c r="Z304" s="59"/>
      <c r="AA304" s="25">
        <f>VLOOKUP(F304,Zones!$A$2:$F$15907,6,FALSE)</f>
        <v>1443</v>
      </c>
      <c r="AB304" s="25">
        <f>VLOOKUP(L304,Zones!$A$2:$F$15907,6,FALSE)</f>
        <v>335</v>
      </c>
    </row>
    <row r="305" spans="2:28">
      <c r="B305" s="40">
        <v>0.63541666666666663</v>
      </c>
      <c r="C305" s="40"/>
      <c r="D305" s="41">
        <v>9</v>
      </c>
      <c r="E305" s="42">
        <v>2</v>
      </c>
      <c r="F305" s="42" t="s">
        <v>173</v>
      </c>
      <c r="G305" s="43" t="s">
        <v>167</v>
      </c>
      <c r="H305" s="42" t="s">
        <v>212</v>
      </c>
      <c r="I305" s="43"/>
      <c r="J305" s="43">
        <v>2</v>
      </c>
      <c r="K305" s="25" t="str">
        <f>VLOOKUP(J305,Key!$E$2:$F$9,2,FALSE)</f>
        <v>Work</v>
      </c>
      <c r="L305" s="42" t="s">
        <v>226</v>
      </c>
      <c r="M305" s="43" t="s">
        <v>183</v>
      </c>
      <c r="N305" s="42" t="s">
        <v>179</v>
      </c>
      <c r="O305" s="43"/>
      <c r="P305" s="43">
        <v>1</v>
      </c>
      <c r="Q305" s="25" t="str">
        <f>VLOOKUP(P305,Key!$E$2:$F$9,2,FALSE)</f>
        <v>Home</v>
      </c>
      <c r="R305" s="25" t="str">
        <f t="shared" si="6"/>
        <v>Work-Home</v>
      </c>
      <c r="S305" s="49"/>
      <c r="T305" s="49">
        <v>24</v>
      </c>
      <c r="U305" s="43">
        <v>3</v>
      </c>
      <c r="V305" s="43">
        <v>7</v>
      </c>
      <c r="W305" s="49">
        <v>22</v>
      </c>
      <c r="X305" s="49"/>
      <c r="Y305" s="50"/>
      <c r="Z305" s="59"/>
      <c r="AA305" s="25">
        <f>VLOOKUP(F305,Zones!$A$2:$F$15907,6,FALSE)</f>
        <v>1443</v>
      </c>
      <c r="AB305" s="25">
        <f>VLOOKUP(L305,Zones!$A$2:$F$15907,6,FALSE)</f>
        <v>1064</v>
      </c>
    </row>
    <row r="306" spans="2:28">
      <c r="B306" s="40">
        <v>0.63750000000000007</v>
      </c>
      <c r="C306" s="40"/>
      <c r="D306" s="41">
        <v>1</v>
      </c>
      <c r="E306" s="42">
        <v>5</v>
      </c>
      <c r="F306" s="42" t="s">
        <v>170</v>
      </c>
      <c r="G306" s="43" t="s">
        <v>171</v>
      </c>
      <c r="H306" s="42" t="s">
        <v>179</v>
      </c>
      <c r="I306" s="43"/>
      <c r="J306" s="43">
        <v>2</v>
      </c>
      <c r="K306" s="25" t="str">
        <f>VLOOKUP(J306,Key!$E$2:$F$9,2,FALSE)</f>
        <v>Work</v>
      </c>
      <c r="L306" s="42" t="s">
        <v>172</v>
      </c>
      <c r="M306" s="43" t="s">
        <v>172</v>
      </c>
      <c r="N306" s="42" t="s">
        <v>179</v>
      </c>
      <c r="O306" s="43"/>
      <c r="P306" s="43">
        <v>2</v>
      </c>
      <c r="Q306" s="25" t="str">
        <f>VLOOKUP(P306,Key!$E$2:$F$9,2,FALSE)</f>
        <v>Work</v>
      </c>
      <c r="R306" s="25" t="str">
        <f t="shared" si="6"/>
        <v>Work-Work</v>
      </c>
      <c r="S306" s="49"/>
      <c r="T306" s="49">
        <v>1.5</v>
      </c>
      <c r="U306" s="43">
        <v>1</v>
      </c>
      <c r="V306" s="43"/>
      <c r="W306" s="49">
        <v>0</v>
      </c>
      <c r="X306" s="49"/>
      <c r="Y306" s="50"/>
      <c r="Z306" s="59"/>
      <c r="AA306" s="25">
        <f>VLOOKUP(F306,Zones!$A$2:$F$15907,6,FALSE)</f>
        <v>1443</v>
      </c>
      <c r="AB306" s="25">
        <f>VLOOKUP(L306,Zones!$A$2:$F$15907,6,FALSE)</f>
        <v>335</v>
      </c>
    </row>
    <row r="307" spans="2:28">
      <c r="B307" s="40">
        <v>0.6381944444444444</v>
      </c>
      <c r="C307" s="40"/>
      <c r="D307" s="41">
        <v>1</v>
      </c>
      <c r="E307" s="42">
        <v>5</v>
      </c>
      <c r="F307" s="42" t="s">
        <v>170</v>
      </c>
      <c r="G307" s="43" t="s">
        <v>171</v>
      </c>
      <c r="H307" s="42" t="s">
        <v>179</v>
      </c>
      <c r="I307" s="43"/>
      <c r="J307" s="43">
        <v>2</v>
      </c>
      <c r="K307" s="25" t="str">
        <f>VLOOKUP(J307,Key!$E$2:$F$9,2,FALSE)</f>
        <v>Work</v>
      </c>
      <c r="L307" s="42" t="s">
        <v>172</v>
      </c>
      <c r="M307" s="43" t="s">
        <v>172</v>
      </c>
      <c r="N307" s="42" t="s">
        <v>179</v>
      </c>
      <c r="O307" s="43"/>
      <c r="P307" s="43">
        <v>2</v>
      </c>
      <c r="Q307" s="25" t="str">
        <f>VLOOKUP(P307,Key!$E$2:$F$9,2,FALSE)</f>
        <v>Work</v>
      </c>
      <c r="R307" s="25" t="str">
        <f t="shared" si="6"/>
        <v>Work-Work</v>
      </c>
      <c r="S307" s="49"/>
      <c r="T307" s="49">
        <v>2</v>
      </c>
      <c r="U307" s="43">
        <v>1</v>
      </c>
      <c r="V307" s="43"/>
      <c r="W307" s="49">
        <v>0</v>
      </c>
      <c r="X307" s="49"/>
      <c r="Y307" s="50"/>
      <c r="Z307" s="59"/>
      <c r="AA307" s="25">
        <f>VLOOKUP(F307,Zones!$A$2:$F$15907,6,FALSE)</f>
        <v>1443</v>
      </c>
      <c r="AB307" s="25">
        <f>VLOOKUP(L307,Zones!$A$2:$F$15907,6,FALSE)</f>
        <v>335</v>
      </c>
    </row>
    <row r="308" spans="2:28">
      <c r="B308" s="40">
        <v>0.63888888888888895</v>
      </c>
      <c r="C308" s="40"/>
      <c r="D308" s="41">
        <v>5</v>
      </c>
      <c r="E308" s="42">
        <v>25</v>
      </c>
      <c r="F308" s="42" t="s">
        <v>173</v>
      </c>
      <c r="G308" s="43" t="s">
        <v>167</v>
      </c>
      <c r="H308" s="42" t="s">
        <v>212</v>
      </c>
      <c r="I308" s="43"/>
      <c r="J308" s="43">
        <v>2</v>
      </c>
      <c r="K308" s="25" t="str">
        <f>VLOOKUP(J308,Key!$E$2:$F$9,2,FALSE)</f>
        <v>Work</v>
      </c>
      <c r="L308" s="42" t="s">
        <v>183</v>
      </c>
      <c r="M308" s="43" t="s">
        <v>183</v>
      </c>
      <c r="N308" s="42" t="s">
        <v>179</v>
      </c>
      <c r="O308" s="43"/>
      <c r="P308" s="43">
        <v>2</v>
      </c>
      <c r="Q308" s="25" t="str">
        <f>VLOOKUP(P308,Key!$E$2:$F$9,2,FALSE)</f>
        <v>Work</v>
      </c>
      <c r="R308" s="25" t="str">
        <f t="shared" si="6"/>
        <v>Work-Work</v>
      </c>
      <c r="S308" s="49"/>
      <c r="T308" s="49">
        <v>15</v>
      </c>
      <c r="U308" s="43">
        <v>3</v>
      </c>
      <c r="V308" s="43"/>
      <c r="W308" s="49">
        <v>0</v>
      </c>
      <c r="X308" s="49"/>
      <c r="Y308" s="50"/>
      <c r="Z308" s="59"/>
      <c r="AA308" s="25">
        <f>VLOOKUP(F308,Zones!$A$2:$F$15907,6,FALSE)</f>
        <v>1443</v>
      </c>
      <c r="AB308" s="25">
        <f>VLOOKUP(L308,Zones!$A$2:$F$15907,6,FALSE)</f>
        <v>521</v>
      </c>
    </row>
    <row r="309" spans="2:28">
      <c r="B309" s="40">
        <v>0.64027777777777783</v>
      </c>
      <c r="C309" s="40"/>
      <c r="D309" s="41">
        <v>6</v>
      </c>
      <c r="E309" s="42">
        <v>60</v>
      </c>
      <c r="F309" s="42" t="s">
        <v>170</v>
      </c>
      <c r="G309" s="43" t="s">
        <v>171</v>
      </c>
      <c r="H309" s="42" t="s">
        <v>179</v>
      </c>
      <c r="I309" s="43"/>
      <c r="J309" s="43">
        <v>2</v>
      </c>
      <c r="K309" s="25" t="str">
        <f>VLOOKUP(J309,Key!$E$2:$F$9,2,FALSE)</f>
        <v>Work</v>
      </c>
      <c r="L309" s="42" t="s">
        <v>168</v>
      </c>
      <c r="M309" s="43" t="s">
        <v>171</v>
      </c>
      <c r="N309" s="42" t="s">
        <v>179</v>
      </c>
      <c r="O309" s="43"/>
      <c r="P309" s="43">
        <v>2</v>
      </c>
      <c r="Q309" s="25" t="str">
        <f>VLOOKUP(P309,Key!$E$2:$F$9,2,FALSE)</f>
        <v>Work</v>
      </c>
      <c r="R309" s="25" t="str">
        <f t="shared" si="6"/>
        <v>Work-Work</v>
      </c>
      <c r="S309" s="49"/>
      <c r="T309" s="49">
        <v>1</v>
      </c>
      <c r="U309" s="43">
        <v>1</v>
      </c>
      <c r="V309" s="43"/>
      <c r="W309" s="49">
        <v>0</v>
      </c>
      <c r="X309" s="49"/>
      <c r="Y309" s="50"/>
      <c r="Z309" s="59"/>
      <c r="AA309" s="25">
        <f>VLOOKUP(F309,Zones!$A$2:$F$15907,6,FALSE)</f>
        <v>1443</v>
      </c>
      <c r="AB309" s="25">
        <f>VLOOKUP(L309,Zones!$A$2:$F$15907,6,FALSE)</f>
        <v>75</v>
      </c>
    </row>
    <row r="310" spans="2:28">
      <c r="B310" s="40">
        <v>0.64236111111111105</v>
      </c>
      <c r="C310" s="40"/>
      <c r="D310" s="41">
        <v>1</v>
      </c>
      <c r="E310" s="42">
        <v>5</v>
      </c>
      <c r="F310" s="42" t="s">
        <v>170</v>
      </c>
      <c r="G310" s="43" t="s">
        <v>171</v>
      </c>
      <c r="H310" s="42" t="s">
        <v>179</v>
      </c>
      <c r="I310" s="43"/>
      <c r="J310" s="43">
        <v>2</v>
      </c>
      <c r="K310" s="25" t="str">
        <f>VLOOKUP(J310,Key!$E$2:$F$9,2,FALSE)</f>
        <v>Work</v>
      </c>
      <c r="L310" s="42" t="s">
        <v>172</v>
      </c>
      <c r="M310" s="43" t="s">
        <v>172</v>
      </c>
      <c r="N310" s="42" t="s">
        <v>179</v>
      </c>
      <c r="O310" s="43"/>
      <c r="P310" s="43">
        <v>2</v>
      </c>
      <c r="Q310" s="25" t="str">
        <f>VLOOKUP(P310,Key!$E$2:$F$9,2,FALSE)</f>
        <v>Work</v>
      </c>
      <c r="R310" s="25" t="str">
        <f t="shared" si="6"/>
        <v>Work-Work</v>
      </c>
      <c r="S310" s="49"/>
      <c r="T310" s="49">
        <v>1.5</v>
      </c>
      <c r="U310" s="43">
        <v>1</v>
      </c>
      <c r="V310" s="43"/>
      <c r="W310" s="49">
        <v>0</v>
      </c>
      <c r="X310" s="49"/>
      <c r="Y310" s="50"/>
      <c r="Z310" s="59"/>
      <c r="AA310" s="25">
        <f>VLOOKUP(F310,Zones!$A$2:$F$15907,6,FALSE)</f>
        <v>1443</v>
      </c>
      <c r="AB310" s="25">
        <f>VLOOKUP(L310,Zones!$A$2:$F$15907,6,FALSE)</f>
        <v>335</v>
      </c>
    </row>
    <row r="311" spans="2:28">
      <c r="B311" s="40">
        <v>0.64513888888888882</v>
      </c>
      <c r="C311" s="40"/>
      <c r="D311" s="41">
        <v>9</v>
      </c>
      <c r="E311" s="42">
        <v>1</v>
      </c>
      <c r="F311" s="42" t="s">
        <v>173</v>
      </c>
      <c r="G311" s="43" t="s">
        <v>167</v>
      </c>
      <c r="H311" s="42" t="s">
        <v>212</v>
      </c>
      <c r="I311" s="43"/>
      <c r="J311" s="43">
        <v>2</v>
      </c>
      <c r="K311" s="25" t="str">
        <f>VLOOKUP(J311,Key!$E$2:$F$9,2,FALSE)</f>
        <v>Work</v>
      </c>
      <c r="L311" s="42" t="s">
        <v>183</v>
      </c>
      <c r="M311" s="43" t="s">
        <v>183</v>
      </c>
      <c r="N311" s="42" t="s">
        <v>179</v>
      </c>
      <c r="O311" s="43"/>
      <c r="P311" s="43">
        <v>1</v>
      </c>
      <c r="Q311" s="25" t="str">
        <f>VLOOKUP(P311,Key!$E$2:$F$9,2,FALSE)</f>
        <v>Home</v>
      </c>
      <c r="R311" s="25" t="str">
        <f t="shared" si="6"/>
        <v>Work-Home</v>
      </c>
      <c r="S311" s="49"/>
      <c r="T311" s="49">
        <v>13</v>
      </c>
      <c r="U311" s="43">
        <v>3</v>
      </c>
      <c r="V311" s="43">
        <v>4</v>
      </c>
      <c r="W311" s="49">
        <v>0</v>
      </c>
      <c r="X311" s="49"/>
      <c r="Y311" s="50"/>
      <c r="Z311" s="59"/>
      <c r="AA311" s="25">
        <f>VLOOKUP(F311,Zones!$A$2:$F$15907,6,FALSE)</f>
        <v>1443</v>
      </c>
      <c r="AB311" s="25">
        <f>VLOOKUP(L311,Zones!$A$2:$F$15907,6,FALSE)</f>
        <v>521</v>
      </c>
    </row>
    <row r="312" spans="2:28">
      <c r="B312" s="40">
        <v>0.6479166666666667</v>
      </c>
      <c r="C312" s="40"/>
      <c r="D312" s="41">
        <v>9</v>
      </c>
      <c r="E312" s="42">
        <v>2</v>
      </c>
      <c r="F312" s="42" t="s">
        <v>173</v>
      </c>
      <c r="G312" s="43" t="s">
        <v>167</v>
      </c>
      <c r="H312" s="42" t="s">
        <v>212</v>
      </c>
      <c r="I312" s="43"/>
      <c r="J312" s="43">
        <v>2</v>
      </c>
      <c r="K312" s="25" t="str">
        <f>VLOOKUP(J312,Key!$E$2:$F$9,2,FALSE)</f>
        <v>Work</v>
      </c>
      <c r="L312" s="42" t="s">
        <v>189</v>
      </c>
      <c r="M312" s="43" t="s">
        <v>190</v>
      </c>
      <c r="N312" s="42" t="s">
        <v>200</v>
      </c>
      <c r="O312" s="43"/>
      <c r="P312" s="43">
        <v>2</v>
      </c>
      <c r="Q312" s="25" t="str">
        <f>VLOOKUP(P312,Key!$E$2:$F$9,2,FALSE)</f>
        <v>Work</v>
      </c>
      <c r="R312" s="25" t="str">
        <f t="shared" si="6"/>
        <v>Work-Work</v>
      </c>
      <c r="S312" s="49"/>
      <c r="T312" s="49">
        <v>24</v>
      </c>
      <c r="U312" s="43">
        <v>3</v>
      </c>
      <c r="V312" s="43">
        <v>6</v>
      </c>
      <c r="W312" s="49">
        <v>30</v>
      </c>
      <c r="X312" s="49"/>
      <c r="Y312" s="50"/>
      <c r="Z312" s="59"/>
      <c r="AA312" s="25">
        <f>VLOOKUP(F312,Zones!$A$2:$F$15907,6,FALSE)</f>
        <v>1443</v>
      </c>
      <c r="AB312" s="25">
        <f>VLOOKUP(L312,Zones!$A$2:$F$15907,6,FALSE)</f>
        <v>1434</v>
      </c>
    </row>
    <row r="313" spans="2:28">
      <c r="B313" s="40">
        <v>0.65069444444444446</v>
      </c>
      <c r="C313" s="40"/>
      <c r="D313" s="41">
        <v>7</v>
      </c>
      <c r="E313" s="42">
        <v>2</v>
      </c>
      <c r="F313" s="42" t="s">
        <v>173</v>
      </c>
      <c r="G313" s="43" t="s">
        <v>167</v>
      </c>
      <c r="H313" s="42" t="s">
        <v>212</v>
      </c>
      <c r="I313" s="43"/>
      <c r="J313" s="43">
        <v>2</v>
      </c>
      <c r="K313" s="25" t="str">
        <f>VLOOKUP(J313,Key!$E$2:$F$9,2,FALSE)</f>
        <v>Work</v>
      </c>
      <c r="L313" s="42" t="s">
        <v>183</v>
      </c>
      <c r="M313" s="43" t="s">
        <v>183</v>
      </c>
      <c r="N313" s="42" t="s">
        <v>179</v>
      </c>
      <c r="O313" s="43"/>
      <c r="P313" s="43">
        <v>2</v>
      </c>
      <c r="Q313" s="25" t="str">
        <f>VLOOKUP(P313,Key!$E$2:$F$9,2,FALSE)</f>
        <v>Work</v>
      </c>
      <c r="R313" s="25" t="str">
        <f t="shared" si="6"/>
        <v>Work-Work</v>
      </c>
      <c r="S313" s="49"/>
      <c r="T313" s="49">
        <v>13</v>
      </c>
      <c r="U313" s="43">
        <v>3</v>
      </c>
      <c r="V313" s="43"/>
      <c r="W313" s="49">
        <v>0</v>
      </c>
      <c r="X313" s="49"/>
      <c r="Y313" s="50"/>
      <c r="Z313" s="59"/>
      <c r="AA313" s="25">
        <f>VLOOKUP(F313,Zones!$A$2:$F$15907,6,FALSE)</f>
        <v>1443</v>
      </c>
      <c r="AB313" s="25">
        <f>VLOOKUP(L313,Zones!$A$2:$F$15907,6,FALSE)</f>
        <v>521</v>
      </c>
    </row>
    <row r="314" spans="2:28">
      <c r="B314" s="40">
        <v>0.65138888888888891</v>
      </c>
      <c r="C314" s="40"/>
      <c r="D314" s="41">
        <v>8</v>
      </c>
      <c r="E314" s="42">
        <v>3</v>
      </c>
      <c r="F314" s="42" t="s">
        <v>173</v>
      </c>
      <c r="G314" s="43" t="s">
        <v>167</v>
      </c>
      <c r="H314" s="42" t="s">
        <v>212</v>
      </c>
      <c r="I314" s="43"/>
      <c r="J314" s="43">
        <v>2</v>
      </c>
      <c r="K314" s="25" t="str">
        <f>VLOOKUP(J314,Key!$E$2:$F$9,2,FALSE)</f>
        <v>Work</v>
      </c>
      <c r="L314" s="42" t="s">
        <v>185</v>
      </c>
      <c r="M314" s="43" t="s">
        <v>183</v>
      </c>
      <c r="N314" s="42" t="s">
        <v>179</v>
      </c>
      <c r="O314" s="43"/>
      <c r="P314" s="43">
        <v>1</v>
      </c>
      <c r="Q314" s="25" t="str">
        <f>VLOOKUP(P314,Key!$E$2:$F$9,2,FALSE)</f>
        <v>Home</v>
      </c>
      <c r="R314" s="25" t="str">
        <f t="shared" si="6"/>
        <v>Work-Home</v>
      </c>
      <c r="S314" s="49"/>
      <c r="T314" s="49">
        <v>17</v>
      </c>
      <c r="U314" s="43">
        <v>3</v>
      </c>
      <c r="V314" s="43">
        <v>1</v>
      </c>
      <c r="W314" s="49">
        <v>15</v>
      </c>
      <c r="X314" s="49"/>
      <c r="Y314" s="50"/>
      <c r="Z314" s="59"/>
      <c r="AA314" s="25">
        <f>VLOOKUP(F314,Zones!$A$2:$F$15907,6,FALSE)</f>
        <v>1443</v>
      </c>
      <c r="AB314" s="25">
        <f>VLOOKUP(L314,Zones!$A$2:$F$15907,6,FALSE)</f>
        <v>572</v>
      </c>
    </row>
    <row r="315" spans="2:28">
      <c r="B315" s="40">
        <v>0.65277777777777779</v>
      </c>
      <c r="C315" s="40"/>
      <c r="D315" s="41">
        <v>8</v>
      </c>
      <c r="E315" s="42">
        <v>2</v>
      </c>
      <c r="F315" s="42" t="s">
        <v>173</v>
      </c>
      <c r="G315" s="43" t="s">
        <v>167</v>
      </c>
      <c r="H315" s="42" t="s">
        <v>212</v>
      </c>
      <c r="I315" s="43"/>
      <c r="J315" s="43">
        <v>2</v>
      </c>
      <c r="K315" s="25" t="str">
        <f>VLOOKUP(J315,Key!$E$2:$F$9,2,FALSE)</f>
        <v>Work</v>
      </c>
      <c r="L315" s="42" t="s">
        <v>183</v>
      </c>
      <c r="M315" s="43" t="s">
        <v>183</v>
      </c>
      <c r="N315" s="42" t="s">
        <v>179</v>
      </c>
      <c r="O315" s="43"/>
      <c r="P315" s="43">
        <v>2</v>
      </c>
      <c r="Q315" s="25" t="str">
        <f>VLOOKUP(P315,Key!$E$2:$F$9,2,FALSE)</f>
        <v>Work</v>
      </c>
      <c r="R315" s="25" t="str">
        <f t="shared" si="6"/>
        <v>Work-Work</v>
      </c>
      <c r="S315" s="49"/>
      <c r="T315" s="49">
        <v>12</v>
      </c>
      <c r="U315" s="43">
        <v>3</v>
      </c>
      <c r="V315" s="43">
        <v>1</v>
      </c>
      <c r="W315" s="49">
        <v>12</v>
      </c>
      <c r="X315" s="49"/>
      <c r="Y315" s="50"/>
      <c r="Z315" s="59"/>
      <c r="AA315" s="25">
        <f>VLOOKUP(F315,Zones!$A$2:$F$15907,6,FALSE)</f>
        <v>1443</v>
      </c>
      <c r="AB315" s="25">
        <f>VLOOKUP(L315,Zones!$A$2:$F$15907,6,FALSE)</f>
        <v>521</v>
      </c>
    </row>
    <row r="316" spans="2:28">
      <c r="B316" s="40">
        <v>0.65486111111111112</v>
      </c>
      <c r="C316" s="40"/>
      <c r="D316" s="41">
        <v>5</v>
      </c>
      <c r="E316" s="42">
        <v>20</v>
      </c>
      <c r="F316" s="42" t="s">
        <v>210</v>
      </c>
      <c r="G316" s="43" t="s">
        <v>171</v>
      </c>
      <c r="H316" s="42" t="s">
        <v>179</v>
      </c>
      <c r="I316" s="43"/>
      <c r="J316" s="43">
        <v>2</v>
      </c>
      <c r="K316" s="25" t="str">
        <f>VLOOKUP(J316,Key!$E$2:$F$9,2,FALSE)</f>
        <v>Work</v>
      </c>
      <c r="L316" s="42" t="s">
        <v>183</v>
      </c>
      <c r="M316" s="43" t="s">
        <v>183</v>
      </c>
      <c r="N316" s="42" t="s">
        <v>179</v>
      </c>
      <c r="O316" s="43"/>
      <c r="P316" s="43">
        <v>2</v>
      </c>
      <c r="Q316" s="25" t="str">
        <f>VLOOKUP(P316,Key!$E$2:$F$9,2,FALSE)</f>
        <v>Work</v>
      </c>
      <c r="R316" s="25" t="str">
        <f t="shared" si="6"/>
        <v>Work-Work</v>
      </c>
      <c r="S316" s="49"/>
      <c r="T316" s="49">
        <v>8</v>
      </c>
      <c r="U316" s="43">
        <v>3</v>
      </c>
      <c r="V316" s="43"/>
      <c r="W316" s="49">
        <v>0</v>
      </c>
      <c r="X316" s="49"/>
      <c r="Y316" s="50"/>
      <c r="Z316" s="59"/>
      <c r="AA316" s="25">
        <f>VLOOKUP(F316,Zones!$A$2:$F$15907,6,FALSE)</f>
        <v>1443</v>
      </c>
      <c r="AB316" s="25">
        <f>VLOOKUP(L316,Zones!$A$2:$F$15907,6,FALSE)</f>
        <v>521</v>
      </c>
    </row>
    <row r="317" spans="2:28">
      <c r="B317" s="40">
        <v>0.65763888888888888</v>
      </c>
      <c r="C317" s="40"/>
      <c r="D317" s="41">
        <v>1</v>
      </c>
      <c r="E317" s="42">
        <v>5</v>
      </c>
      <c r="F317" s="42" t="s">
        <v>210</v>
      </c>
      <c r="G317" s="43" t="s">
        <v>171</v>
      </c>
      <c r="H317" s="42" t="s">
        <v>179</v>
      </c>
      <c r="I317" s="43"/>
      <c r="J317" s="43">
        <v>2</v>
      </c>
      <c r="K317" s="25" t="str">
        <f>VLOOKUP(J317,Key!$E$2:$F$9,2,FALSE)</f>
        <v>Work</v>
      </c>
      <c r="L317" s="42" t="s">
        <v>172</v>
      </c>
      <c r="M317" s="43" t="s">
        <v>172</v>
      </c>
      <c r="N317" s="42" t="s">
        <v>179</v>
      </c>
      <c r="O317" s="43"/>
      <c r="P317" s="43">
        <v>2</v>
      </c>
      <c r="Q317" s="25" t="str">
        <f>VLOOKUP(P317,Key!$E$2:$F$9,2,FALSE)</f>
        <v>Work</v>
      </c>
      <c r="R317" s="25" t="str">
        <f t="shared" si="6"/>
        <v>Work-Work</v>
      </c>
      <c r="S317" s="49"/>
      <c r="T317" s="49">
        <v>1.5</v>
      </c>
      <c r="U317" s="43">
        <v>1</v>
      </c>
      <c r="V317" s="43"/>
      <c r="W317" s="49">
        <v>0</v>
      </c>
      <c r="X317" s="49"/>
      <c r="Y317" s="50"/>
      <c r="Z317" s="59"/>
      <c r="AA317" s="25">
        <f>VLOOKUP(F317,Zones!$A$2:$F$15907,6,FALSE)</f>
        <v>1443</v>
      </c>
      <c r="AB317" s="25">
        <f>VLOOKUP(L317,Zones!$A$2:$F$15907,6,FALSE)</f>
        <v>335</v>
      </c>
    </row>
    <row r="318" spans="2:28">
      <c r="B318" s="40">
        <v>0.65902777777777777</v>
      </c>
      <c r="C318" s="40"/>
      <c r="D318" s="41">
        <v>8</v>
      </c>
      <c r="E318" s="42">
        <v>2</v>
      </c>
      <c r="F318" s="42" t="s">
        <v>173</v>
      </c>
      <c r="G318" s="43" t="s">
        <v>167</v>
      </c>
      <c r="H318" s="42" t="s">
        <v>212</v>
      </c>
      <c r="I318" s="43"/>
      <c r="J318" s="43">
        <v>2</v>
      </c>
      <c r="K318" s="25" t="str">
        <f>VLOOKUP(J318,Key!$E$2:$F$9,2,FALSE)</f>
        <v>Work</v>
      </c>
      <c r="L318" s="42" t="s">
        <v>226</v>
      </c>
      <c r="M318" s="43" t="s">
        <v>183</v>
      </c>
      <c r="N318" s="42" t="s">
        <v>179</v>
      </c>
      <c r="O318" s="43"/>
      <c r="P318" s="43">
        <v>2</v>
      </c>
      <c r="Q318" s="25" t="str">
        <f>VLOOKUP(P318,Key!$E$2:$F$9,2,FALSE)</f>
        <v>Work</v>
      </c>
      <c r="R318" s="25" t="str">
        <f t="shared" si="6"/>
        <v>Work-Work</v>
      </c>
      <c r="S318" s="49"/>
      <c r="T318" s="49">
        <v>17</v>
      </c>
      <c r="U318" s="43">
        <v>3</v>
      </c>
      <c r="V318" s="43">
        <v>1</v>
      </c>
      <c r="W318" s="49">
        <v>12</v>
      </c>
      <c r="X318" s="49"/>
      <c r="Y318" s="50"/>
      <c r="Z318" s="59"/>
      <c r="AA318" s="25">
        <f>VLOOKUP(F318,Zones!$A$2:$F$15907,6,FALSE)</f>
        <v>1443</v>
      </c>
      <c r="AB318" s="25">
        <f>VLOOKUP(L318,Zones!$A$2:$F$15907,6,FALSE)</f>
        <v>1064</v>
      </c>
    </row>
    <row r="319" spans="2:28">
      <c r="B319" s="40">
        <v>0.66041666666666665</v>
      </c>
      <c r="C319" s="40"/>
      <c r="D319" s="41">
        <v>8</v>
      </c>
      <c r="E319" s="42">
        <v>2</v>
      </c>
      <c r="F319" s="42" t="s">
        <v>173</v>
      </c>
      <c r="G319" s="43" t="s">
        <v>167</v>
      </c>
      <c r="H319" s="42" t="s">
        <v>212</v>
      </c>
      <c r="I319" s="43"/>
      <c r="J319" s="43">
        <v>2</v>
      </c>
      <c r="K319" s="25" t="str">
        <f>VLOOKUP(J319,Key!$E$2:$F$9,2,FALSE)</f>
        <v>Work</v>
      </c>
      <c r="L319" s="42" t="s">
        <v>183</v>
      </c>
      <c r="M319" s="43" t="s">
        <v>183</v>
      </c>
      <c r="N319" s="42" t="s">
        <v>179</v>
      </c>
      <c r="O319" s="43"/>
      <c r="P319" s="43">
        <v>1</v>
      </c>
      <c r="Q319" s="25" t="str">
        <f>VLOOKUP(P319,Key!$E$2:$F$9,2,FALSE)</f>
        <v>Home</v>
      </c>
      <c r="R319" s="25" t="str">
        <f t="shared" si="6"/>
        <v>Work-Home</v>
      </c>
      <c r="S319" s="49"/>
      <c r="T319" s="49">
        <v>12</v>
      </c>
      <c r="U319" s="43">
        <v>3</v>
      </c>
      <c r="V319" s="43">
        <v>9</v>
      </c>
      <c r="W319" s="49">
        <v>16</v>
      </c>
      <c r="X319" s="49"/>
      <c r="Y319" s="50"/>
      <c r="Z319" s="59"/>
      <c r="AA319" s="25">
        <f>VLOOKUP(F319,Zones!$A$2:$F$15907,6,FALSE)</f>
        <v>1443</v>
      </c>
      <c r="AB319" s="25">
        <f>VLOOKUP(L319,Zones!$A$2:$F$15907,6,FALSE)</f>
        <v>521</v>
      </c>
    </row>
    <row r="320" spans="2:28">
      <c r="B320" s="40">
        <v>0.66249999999999998</v>
      </c>
      <c r="C320" s="40"/>
      <c r="D320" s="41">
        <v>1</v>
      </c>
      <c r="E320" s="42">
        <v>3</v>
      </c>
      <c r="F320" s="42" t="s">
        <v>170</v>
      </c>
      <c r="G320" s="43" t="s">
        <v>171</v>
      </c>
      <c r="H320" s="42" t="s">
        <v>179</v>
      </c>
      <c r="I320" s="43"/>
      <c r="J320" s="43">
        <v>2</v>
      </c>
      <c r="K320" s="25" t="str">
        <f>VLOOKUP(J320,Key!$E$2:$F$9,2,FALSE)</f>
        <v>Work</v>
      </c>
      <c r="L320" s="42" t="s">
        <v>172</v>
      </c>
      <c r="M320" s="43" t="s">
        <v>172</v>
      </c>
      <c r="N320" s="42" t="s">
        <v>179</v>
      </c>
      <c r="O320" s="43"/>
      <c r="P320" s="43">
        <v>2</v>
      </c>
      <c r="Q320" s="25" t="str">
        <f>VLOOKUP(P320,Key!$E$2:$F$9,2,FALSE)</f>
        <v>Work</v>
      </c>
      <c r="R320" s="25" t="str">
        <f t="shared" si="6"/>
        <v>Work-Work</v>
      </c>
      <c r="S320" s="49"/>
      <c r="T320" s="49">
        <v>1.5</v>
      </c>
      <c r="U320" s="43">
        <v>1</v>
      </c>
      <c r="V320" s="43"/>
      <c r="W320" s="49">
        <v>0</v>
      </c>
      <c r="X320" s="49"/>
      <c r="Y320" s="50"/>
      <c r="Z320" s="59"/>
      <c r="AA320" s="25">
        <f>VLOOKUP(F320,Zones!$A$2:$F$15907,6,FALSE)</f>
        <v>1443</v>
      </c>
      <c r="AB320" s="25">
        <f>VLOOKUP(L320,Zones!$A$2:$F$15907,6,FALSE)</f>
        <v>335</v>
      </c>
    </row>
    <row r="321" spans="2:28">
      <c r="B321" s="40">
        <v>0.6645833333333333</v>
      </c>
      <c r="C321" s="40"/>
      <c r="D321" s="41">
        <v>1</v>
      </c>
      <c r="E321" s="42">
        <v>5</v>
      </c>
      <c r="F321" s="42" t="s">
        <v>170</v>
      </c>
      <c r="G321" s="43" t="s">
        <v>171</v>
      </c>
      <c r="H321" s="42" t="s">
        <v>179</v>
      </c>
      <c r="I321" s="43"/>
      <c r="J321" s="43">
        <v>2</v>
      </c>
      <c r="K321" s="25" t="str">
        <f>VLOOKUP(J321,Key!$E$2:$F$9,2,FALSE)</f>
        <v>Work</v>
      </c>
      <c r="L321" s="42" t="s">
        <v>172</v>
      </c>
      <c r="M321" s="43" t="s">
        <v>172</v>
      </c>
      <c r="N321" s="42" t="s">
        <v>179</v>
      </c>
      <c r="O321" s="43"/>
      <c r="P321" s="43">
        <v>2</v>
      </c>
      <c r="Q321" s="25" t="str">
        <f>VLOOKUP(P321,Key!$E$2:$F$9,2,FALSE)</f>
        <v>Work</v>
      </c>
      <c r="R321" s="25" t="str">
        <f t="shared" si="6"/>
        <v>Work-Work</v>
      </c>
      <c r="S321" s="49"/>
      <c r="T321" s="49">
        <v>2</v>
      </c>
      <c r="U321" s="43">
        <v>1</v>
      </c>
      <c r="V321" s="43"/>
      <c r="W321" s="49">
        <v>0</v>
      </c>
      <c r="X321" s="49"/>
      <c r="Y321" s="50"/>
      <c r="Z321" s="59"/>
      <c r="AA321" s="25">
        <f>VLOOKUP(F321,Zones!$A$2:$F$15907,6,FALSE)</f>
        <v>1443</v>
      </c>
      <c r="AB321" s="25">
        <f>VLOOKUP(L321,Zones!$A$2:$F$15907,6,FALSE)</f>
        <v>335</v>
      </c>
    </row>
    <row r="322" spans="2:28">
      <c r="B322" s="40">
        <v>0.66666666666666663</v>
      </c>
      <c r="C322" s="40"/>
      <c r="D322" s="41">
        <v>5</v>
      </c>
      <c r="E322" s="42">
        <v>28</v>
      </c>
      <c r="F322" s="42" t="s">
        <v>173</v>
      </c>
      <c r="G322" s="43" t="s">
        <v>167</v>
      </c>
      <c r="H322" s="42" t="s">
        <v>212</v>
      </c>
      <c r="I322" s="43"/>
      <c r="J322" s="43">
        <v>2</v>
      </c>
      <c r="K322" s="25" t="str">
        <f>VLOOKUP(J322,Key!$E$2:$F$9,2,FALSE)</f>
        <v>Work</v>
      </c>
      <c r="L322" s="42" t="s">
        <v>183</v>
      </c>
      <c r="M322" s="43" t="s">
        <v>183</v>
      </c>
      <c r="N322" s="42" t="s">
        <v>179</v>
      </c>
      <c r="O322" s="43"/>
      <c r="P322" s="43">
        <v>2</v>
      </c>
      <c r="Q322" s="25" t="str">
        <f>VLOOKUP(P322,Key!$E$2:$F$9,2,FALSE)</f>
        <v>Work</v>
      </c>
      <c r="R322" s="25" t="str">
        <f t="shared" si="6"/>
        <v>Work-Work</v>
      </c>
      <c r="S322" s="49"/>
      <c r="T322" s="49">
        <v>15</v>
      </c>
      <c r="U322" s="43">
        <v>3</v>
      </c>
      <c r="V322" s="43"/>
      <c r="W322" s="49">
        <v>0</v>
      </c>
      <c r="X322" s="49"/>
      <c r="Y322" s="50"/>
      <c r="Z322" s="59"/>
      <c r="AA322" s="25">
        <f>VLOOKUP(F322,Zones!$A$2:$F$15907,6,FALSE)</f>
        <v>1443</v>
      </c>
      <c r="AB322" s="25">
        <f>VLOOKUP(L322,Zones!$A$2:$F$15907,6,FALSE)</f>
        <v>521</v>
      </c>
    </row>
    <row r="323" spans="2:28">
      <c r="B323" s="40">
        <v>0.6694444444444444</v>
      </c>
      <c r="C323" s="40"/>
      <c r="D323" s="41">
        <v>5</v>
      </c>
      <c r="E323" s="42">
        <v>30</v>
      </c>
      <c r="F323" s="42" t="s">
        <v>173</v>
      </c>
      <c r="G323" s="43" t="s">
        <v>167</v>
      </c>
      <c r="H323" s="42" t="s">
        <v>212</v>
      </c>
      <c r="I323" s="43"/>
      <c r="J323" s="43">
        <v>2</v>
      </c>
      <c r="K323" s="25" t="str">
        <f>VLOOKUP(J323,Key!$E$2:$F$9,2,FALSE)</f>
        <v>Work</v>
      </c>
      <c r="L323" s="42" t="s">
        <v>183</v>
      </c>
      <c r="M323" s="43" t="s">
        <v>183</v>
      </c>
      <c r="N323" s="42" t="s">
        <v>179</v>
      </c>
      <c r="O323" s="43"/>
      <c r="P323" s="43">
        <v>2</v>
      </c>
      <c r="Q323" s="25" t="str">
        <f>VLOOKUP(P323,Key!$E$2:$F$9,2,FALSE)</f>
        <v>Work</v>
      </c>
      <c r="R323" s="25" t="str">
        <f t="shared" si="6"/>
        <v>Work-Work</v>
      </c>
      <c r="S323" s="49"/>
      <c r="T323" s="49">
        <v>12</v>
      </c>
      <c r="U323" s="43">
        <v>3</v>
      </c>
      <c r="V323" s="43"/>
      <c r="W323" s="49">
        <v>0</v>
      </c>
      <c r="X323" s="49"/>
      <c r="Y323" s="50"/>
      <c r="Z323" s="59"/>
      <c r="AA323" s="25">
        <f>VLOOKUP(F323,Zones!$A$2:$F$15907,6,FALSE)</f>
        <v>1443</v>
      </c>
      <c r="AB323" s="25">
        <f>VLOOKUP(L323,Zones!$A$2:$F$15907,6,FALSE)</f>
        <v>521</v>
      </c>
    </row>
    <row r="324" spans="2:28">
      <c r="B324" s="40">
        <v>0.67083333333333339</v>
      </c>
      <c r="C324" s="40"/>
      <c r="D324" s="41">
        <v>9</v>
      </c>
      <c r="E324" s="42">
        <v>2</v>
      </c>
      <c r="F324" s="42" t="s">
        <v>173</v>
      </c>
      <c r="G324" s="43" t="s">
        <v>167</v>
      </c>
      <c r="H324" s="42" t="s">
        <v>212</v>
      </c>
      <c r="I324" s="43"/>
      <c r="J324" s="43">
        <v>2</v>
      </c>
      <c r="K324" s="25" t="str">
        <f>VLOOKUP(J324,Key!$E$2:$F$9,2,FALSE)</f>
        <v>Work</v>
      </c>
      <c r="L324" s="42" t="s">
        <v>183</v>
      </c>
      <c r="M324" s="43" t="s">
        <v>183</v>
      </c>
      <c r="N324" s="42" t="s">
        <v>179</v>
      </c>
      <c r="O324" s="43"/>
      <c r="P324" s="43">
        <v>2</v>
      </c>
      <c r="Q324" s="25" t="str">
        <f>VLOOKUP(P324,Key!$E$2:$F$9,2,FALSE)</f>
        <v>Work</v>
      </c>
      <c r="R324" s="25" t="str">
        <f t="shared" si="6"/>
        <v>Work-Work</v>
      </c>
      <c r="S324" s="49"/>
      <c r="T324" s="49">
        <v>10</v>
      </c>
      <c r="U324" s="43">
        <v>3</v>
      </c>
      <c r="V324" s="43">
        <v>6</v>
      </c>
      <c r="W324" s="49">
        <v>30</v>
      </c>
      <c r="X324" s="49"/>
      <c r="Y324" s="50"/>
      <c r="Z324" s="59"/>
      <c r="AA324" s="25">
        <f>VLOOKUP(F324,Zones!$A$2:$F$15907,6,FALSE)</f>
        <v>1443</v>
      </c>
      <c r="AB324" s="25">
        <f>VLOOKUP(L324,Zones!$A$2:$F$15907,6,FALSE)</f>
        <v>521</v>
      </c>
    </row>
    <row r="325" spans="2:28">
      <c r="B325" s="40">
        <v>0.67222222222222217</v>
      </c>
      <c r="C325" s="40"/>
      <c r="D325" s="41">
        <v>9</v>
      </c>
      <c r="E325" s="42">
        <v>2</v>
      </c>
      <c r="F325" s="42" t="s">
        <v>173</v>
      </c>
      <c r="G325" s="43" t="s">
        <v>167</v>
      </c>
      <c r="H325" s="42" t="s">
        <v>212</v>
      </c>
      <c r="I325" s="43"/>
      <c r="J325" s="43">
        <v>2</v>
      </c>
      <c r="K325" s="25" t="str">
        <f>VLOOKUP(J325,Key!$E$2:$F$9,2,FALSE)</f>
        <v>Work</v>
      </c>
      <c r="L325" s="42" t="s">
        <v>183</v>
      </c>
      <c r="M325" s="43" t="s">
        <v>183</v>
      </c>
      <c r="N325" s="42" t="s">
        <v>179</v>
      </c>
      <c r="O325" s="43"/>
      <c r="P325" s="43">
        <v>2</v>
      </c>
      <c r="Q325" s="25" t="str">
        <f>VLOOKUP(P325,Key!$E$2:$F$9,2,FALSE)</f>
        <v>Work</v>
      </c>
      <c r="R325" s="25" t="str">
        <f t="shared" si="6"/>
        <v>Work-Work</v>
      </c>
      <c r="S325" s="49"/>
      <c r="T325" s="49">
        <v>12</v>
      </c>
      <c r="U325" s="43">
        <v>3</v>
      </c>
      <c r="V325" s="43">
        <v>5</v>
      </c>
      <c r="W325" s="49">
        <v>22</v>
      </c>
      <c r="X325" s="49"/>
      <c r="Y325" s="50"/>
      <c r="Z325" s="59"/>
      <c r="AA325" s="25">
        <f>VLOOKUP(F325,Zones!$A$2:$F$15907,6,FALSE)</f>
        <v>1443</v>
      </c>
      <c r="AB325" s="25">
        <f>VLOOKUP(L325,Zones!$A$2:$F$15907,6,FALSE)</f>
        <v>521</v>
      </c>
    </row>
    <row r="326" spans="2:28">
      <c r="B326" s="40">
        <v>0.67499999999999993</v>
      </c>
      <c r="C326" s="40"/>
      <c r="D326" s="41">
        <v>8</v>
      </c>
      <c r="E326" s="42">
        <v>2</v>
      </c>
      <c r="F326" s="42" t="s">
        <v>210</v>
      </c>
      <c r="G326" s="43" t="s">
        <v>171</v>
      </c>
      <c r="H326" s="42" t="s">
        <v>179</v>
      </c>
      <c r="I326" s="43"/>
      <c r="J326" s="43">
        <v>2</v>
      </c>
      <c r="K326" s="25" t="str">
        <f>VLOOKUP(J326,Key!$E$2:$F$9,2,FALSE)</f>
        <v>Work</v>
      </c>
      <c r="L326" s="42" t="s">
        <v>168</v>
      </c>
      <c r="M326" s="43" t="s">
        <v>171</v>
      </c>
      <c r="N326" s="42" t="s">
        <v>179</v>
      </c>
      <c r="O326" s="43"/>
      <c r="P326" s="43">
        <v>1</v>
      </c>
      <c r="Q326" s="25" t="str">
        <f>VLOOKUP(P326,Key!$E$2:$F$9,2,FALSE)</f>
        <v>Home</v>
      </c>
      <c r="R326" s="25" t="str">
        <f t="shared" si="6"/>
        <v>Work-Home</v>
      </c>
      <c r="S326" s="49"/>
      <c r="T326" s="49">
        <v>4</v>
      </c>
      <c r="U326" s="43">
        <v>1</v>
      </c>
      <c r="V326" s="43">
        <v>5</v>
      </c>
      <c r="W326" s="49">
        <v>15</v>
      </c>
      <c r="X326" s="49"/>
      <c r="Y326" s="50"/>
      <c r="Z326" s="59"/>
      <c r="AA326" s="25">
        <f>VLOOKUP(F326,Zones!$A$2:$F$15907,6,FALSE)</f>
        <v>1443</v>
      </c>
      <c r="AB326" s="25">
        <f>VLOOKUP(L326,Zones!$A$2:$F$15907,6,FALSE)</f>
        <v>75</v>
      </c>
    </row>
    <row r="327" spans="2:28">
      <c r="B327" s="40">
        <v>0.67847222222222225</v>
      </c>
      <c r="C327" s="40"/>
      <c r="D327" s="41">
        <v>8</v>
      </c>
      <c r="E327" s="42">
        <v>2</v>
      </c>
      <c r="F327" s="42" t="s">
        <v>173</v>
      </c>
      <c r="G327" s="43" t="s">
        <v>167</v>
      </c>
      <c r="H327" s="42" t="s">
        <v>212</v>
      </c>
      <c r="I327" s="43"/>
      <c r="J327" s="43">
        <v>2</v>
      </c>
      <c r="K327" s="25" t="str">
        <f>VLOOKUP(J327,Key!$E$2:$F$9,2,FALSE)</f>
        <v>Work</v>
      </c>
      <c r="L327" s="42" t="s">
        <v>183</v>
      </c>
      <c r="M327" s="43" t="s">
        <v>183</v>
      </c>
      <c r="N327" s="42" t="s">
        <v>179</v>
      </c>
      <c r="O327" s="43"/>
      <c r="P327" s="43">
        <v>2</v>
      </c>
      <c r="Q327" s="25" t="str">
        <f>VLOOKUP(P327,Key!$E$2:$F$9,2,FALSE)</f>
        <v>Work</v>
      </c>
      <c r="R327" s="25" t="str">
        <f t="shared" si="6"/>
        <v>Work-Work</v>
      </c>
      <c r="S327" s="49"/>
      <c r="T327" s="49">
        <v>13</v>
      </c>
      <c r="U327" s="43">
        <v>5</v>
      </c>
      <c r="V327" s="43">
        <v>6</v>
      </c>
      <c r="W327" s="49">
        <v>30</v>
      </c>
      <c r="X327" s="49"/>
      <c r="Y327" s="50"/>
      <c r="Z327" s="59"/>
      <c r="AA327" s="25">
        <f>VLOOKUP(F327,Zones!$A$2:$F$15907,6,FALSE)</f>
        <v>1443</v>
      </c>
      <c r="AB327" s="25">
        <f>VLOOKUP(L327,Zones!$A$2:$F$15907,6,FALSE)</f>
        <v>521</v>
      </c>
    </row>
    <row r="328" spans="2:28">
      <c r="B328" s="40">
        <v>0.68125000000000002</v>
      </c>
      <c r="C328" s="40"/>
      <c r="D328" s="41">
        <v>1</v>
      </c>
      <c r="E328" s="42">
        <v>2</v>
      </c>
      <c r="F328" s="42" t="s">
        <v>170</v>
      </c>
      <c r="G328" s="43" t="s">
        <v>171</v>
      </c>
      <c r="H328" s="42" t="s">
        <v>179</v>
      </c>
      <c r="I328" s="43"/>
      <c r="J328" s="43">
        <v>2</v>
      </c>
      <c r="K328" s="25" t="str">
        <f>VLOOKUP(J328,Key!$E$2:$F$9,2,FALSE)</f>
        <v>Work</v>
      </c>
      <c r="L328" s="42" t="s">
        <v>168</v>
      </c>
      <c r="M328" s="43" t="s">
        <v>171</v>
      </c>
      <c r="N328" s="42" t="s">
        <v>179</v>
      </c>
      <c r="O328" s="43"/>
      <c r="P328" s="43">
        <v>1</v>
      </c>
      <c r="Q328" s="25" t="str">
        <f>VLOOKUP(P328,Key!$E$2:$F$9,2,FALSE)</f>
        <v>Home</v>
      </c>
      <c r="R328" s="25" t="str">
        <f t="shared" si="6"/>
        <v>Work-Home</v>
      </c>
      <c r="S328" s="49"/>
      <c r="T328" s="49">
        <v>2</v>
      </c>
      <c r="U328" s="43">
        <v>2</v>
      </c>
      <c r="V328" s="43"/>
      <c r="W328" s="49">
        <v>0</v>
      </c>
      <c r="X328" s="49"/>
      <c r="Y328" s="50"/>
      <c r="Z328" s="59"/>
      <c r="AA328" s="25">
        <f>VLOOKUP(F328,Zones!$A$2:$F$15907,6,FALSE)</f>
        <v>1443</v>
      </c>
      <c r="AB328" s="25">
        <f>VLOOKUP(L328,Zones!$A$2:$F$15907,6,FALSE)</f>
        <v>75</v>
      </c>
    </row>
    <row r="329" spans="2:28">
      <c r="B329" s="40">
        <v>0.68611111111111101</v>
      </c>
      <c r="C329" s="40"/>
      <c r="D329" s="41">
        <v>6</v>
      </c>
      <c r="E329" s="42">
        <v>50</v>
      </c>
      <c r="F329" s="42" t="s">
        <v>170</v>
      </c>
      <c r="G329" s="43" t="s">
        <v>171</v>
      </c>
      <c r="H329" s="42" t="s">
        <v>179</v>
      </c>
      <c r="I329" s="43"/>
      <c r="J329" s="43">
        <v>2</v>
      </c>
      <c r="K329" s="25" t="str">
        <f>VLOOKUP(J329,Key!$E$2:$F$9,2,FALSE)</f>
        <v>Work</v>
      </c>
      <c r="L329" s="42" t="s">
        <v>168</v>
      </c>
      <c r="M329" s="43" t="s">
        <v>171</v>
      </c>
      <c r="N329" s="42" t="s">
        <v>179</v>
      </c>
      <c r="O329" s="43"/>
      <c r="P329" s="43">
        <v>2</v>
      </c>
      <c r="Q329" s="25" t="str">
        <f>VLOOKUP(P329,Key!$E$2:$F$9,2,FALSE)</f>
        <v>Work</v>
      </c>
      <c r="R329" s="25" t="str">
        <f t="shared" si="6"/>
        <v>Work-Work</v>
      </c>
      <c r="S329" s="49"/>
      <c r="T329" s="49">
        <v>1</v>
      </c>
      <c r="U329" s="43">
        <v>1</v>
      </c>
      <c r="V329" s="43"/>
      <c r="W329" s="49">
        <v>0</v>
      </c>
      <c r="X329" s="49"/>
      <c r="Y329" s="50"/>
      <c r="Z329" s="59"/>
      <c r="AA329" s="25">
        <f>VLOOKUP(F329,Zones!$A$2:$F$15907,6,FALSE)</f>
        <v>1443</v>
      </c>
      <c r="AB329" s="25">
        <f>VLOOKUP(L329,Zones!$A$2:$F$15907,6,FALSE)</f>
        <v>75</v>
      </c>
    </row>
    <row r="330" spans="2:28">
      <c r="B330" s="40">
        <v>0.68819444444444444</v>
      </c>
      <c r="C330" s="40"/>
      <c r="D330" s="41">
        <v>6</v>
      </c>
      <c r="E330" s="42">
        <v>55</v>
      </c>
      <c r="F330" s="42" t="s">
        <v>176</v>
      </c>
      <c r="G330" s="43" t="s">
        <v>171</v>
      </c>
      <c r="H330" s="42" t="s">
        <v>179</v>
      </c>
      <c r="I330" s="43"/>
      <c r="J330" s="43">
        <v>2</v>
      </c>
      <c r="K330" s="25" t="str">
        <f>VLOOKUP(J330,Key!$E$2:$F$9,2,FALSE)</f>
        <v>Work</v>
      </c>
      <c r="L330" s="42" t="s">
        <v>168</v>
      </c>
      <c r="M330" s="43" t="s">
        <v>171</v>
      </c>
      <c r="N330" s="42" t="s">
        <v>179</v>
      </c>
      <c r="O330" s="43"/>
      <c r="P330" s="43">
        <v>1</v>
      </c>
      <c r="Q330" s="25" t="str">
        <f>VLOOKUP(P330,Key!$E$2:$F$9,2,FALSE)</f>
        <v>Home</v>
      </c>
      <c r="R330" s="25" t="str">
        <f t="shared" si="6"/>
        <v>Work-Home</v>
      </c>
      <c r="S330" s="49"/>
      <c r="T330" s="49">
        <v>0.5</v>
      </c>
      <c r="U330" s="43">
        <v>1</v>
      </c>
      <c r="V330" s="43"/>
      <c r="W330" s="49">
        <v>0</v>
      </c>
      <c r="X330" s="49"/>
      <c r="Y330" s="50"/>
      <c r="Z330" s="59"/>
      <c r="AA330" s="25">
        <f>VLOOKUP(F330,Zones!$A$2:$F$15907,6,FALSE)</f>
        <v>1443</v>
      </c>
      <c r="AB330" s="25">
        <f>VLOOKUP(L330,Zones!$A$2:$F$15907,6,FALSE)</f>
        <v>75</v>
      </c>
    </row>
    <row r="331" spans="2:28">
      <c r="B331" s="40">
        <v>0.69097222222222221</v>
      </c>
      <c r="C331" s="40"/>
      <c r="D331" s="41">
        <v>1</v>
      </c>
      <c r="E331" s="42">
        <v>4</v>
      </c>
      <c r="F331" s="42" t="s">
        <v>170</v>
      </c>
      <c r="G331" s="43" t="s">
        <v>171</v>
      </c>
      <c r="H331" s="42" t="s">
        <v>179</v>
      </c>
      <c r="I331" s="43"/>
      <c r="J331" s="43">
        <v>2</v>
      </c>
      <c r="K331" s="25" t="str">
        <f>VLOOKUP(J331,Key!$E$2:$F$9,2,FALSE)</f>
        <v>Work</v>
      </c>
      <c r="L331" s="42" t="s">
        <v>172</v>
      </c>
      <c r="M331" s="43" t="s">
        <v>172</v>
      </c>
      <c r="N331" s="42" t="s">
        <v>179</v>
      </c>
      <c r="O331" s="43"/>
      <c r="P331" s="43">
        <v>2</v>
      </c>
      <c r="Q331" s="25" t="str">
        <f>VLOOKUP(P331,Key!$E$2:$F$9,2,FALSE)</f>
        <v>Work</v>
      </c>
      <c r="R331" s="25" t="str">
        <f t="shared" si="6"/>
        <v>Work-Work</v>
      </c>
      <c r="S331" s="49"/>
      <c r="T331" s="49">
        <v>1.5</v>
      </c>
      <c r="U331" s="43">
        <v>1</v>
      </c>
      <c r="V331" s="43"/>
      <c r="W331" s="49">
        <v>0</v>
      </c>
      <c r="X331" s="49"/>
      <c r="Y331" s="50"/>
      <c r="Z331" s="59"/>
      <c r="AA331" s="25">
        <f>VLOOKUP(F331,Zones!$A$2:$F$15907,6,FALSE)</f>
        <v>1443</v>
      </c>
      <c r="AB331" s="25">
        <f>VLOOKUP(L331,Zones!$A$2:$F$15907,6,FALSE)</f>
        <v>335</v>
      </c>
    </row>
    <row r="332" spans="2:28">
      <c r="B332" s="40">
        <v>0.69930555555555562</v>
      </c>
      <c r="C332" s="40"/>
      <c r="D332" s="41">
        <v>8</v>
      </c>
      <c r="E332" s="42">
        <v>2</v>
      </c>
      <c r="F332" s="42" t="s">
        <v>173</v>
      </c>
      <c r="G332" s="43" t="s">
        <v>167</v>
      </c>
      <c r="H332" s="42" t="s">
        <v>212</v>
      </c>
      <c r="I332" s="43"/>
      <c r="J332" s="43">
        <v>2</v>
      </c>
      <c r="K332" s="25" t="str">
        <f>VLOOKUP(J332,Key!$E$2:$F$9,2,FALSE)</f>
        <v>Work</v>
      </c>
      <c r="L332" s="42" t="s">
        <v>183</v>
      </c>
      <c r="M332" s="43" t="s">
        <v>183</v>
      </c>
      <c r="N332" s="42" t="s">
        <v>179</v>
      </c>
      <c r="O332" s="43"/>
      <c r="P332" s="43">
        <v>1</v>
      </c>
      <c r="Q332" s="25" t="str">
        <f>VLOOKUP(P332,Key!$E$2:$F$9,2,FALSE)</f>
        <v>Home</v>
      </c>
      <c r="R332" s="25" t="str">
        <f t="shared" si="6"/>
        <v>Work-Home</v>
      </c>
      <c r="S332" s="49"/>
      <c r="T332" s="49">
        <v>12</v>
      </c>
      <c r="U332" s="43">
        <v>3</v>
      </c>
      <c r="V332" s="43">
        <v>9</v>
      </c>
      <c r="W332" s="49">
        <v>11</v>
      </c>
      <c r="X332" s="49"/>
      <c r="Y332" s="50"/>
      <c r="Z332" s="59"/>
      <c r="AA332" s="25">
        <f>VLOOKUP(F332,Zones!$A$2:$F$15907,6,FALSE)</f>
        <v>1443</v>
      </c>
      <c r="AB332" s="25">
        <f>VLOOKUP(L332,Zones!$A$2:$F$15907,6,FALSE)</f>
        <v>521</v>
      </c>
    </row>
    <row r="333" spans="2:28">
      <c r="B333" s="40">
        <v>0.7006944444444444</v>
      </c>
      <c r="C333" s="40"/>
      <c r="D333" s="41">
        <v>8</v>
      </c>
      <c r="E333" s="42">
        <v>2</v>
      </c>
      <c r="F333" s="42" t="s">
        <v>173</v>
      </c>
      <c r="G333" s="43" t="s">
        <v>167</v>
      </c>
      <c r="H333" s="42" t="s">
        <v>212</v>
      </c>
      <c r="I333" s="43"/>
      <c r="J333" s="43">
        <v>2</v>
      </c>
      <c r="K333" s="25" t="str">
        <f>VLOOKUP(J333,Key!$E$2:$F$9,2,FALSE)</f>
        <v>Work</v>
      </c>
      <c r="L333" s="42" t="s">
        <v>185</v>
      </c>
      <c r="M333" s="43" t="s">
        <v>183</v>
      </c>
      <c r="N333" s="42" t="s">
        <v>179</v>
      </c>
      <c r="O333" s="43"/>
      <c r="P333" s="43">
        <v>2</v>
      </c>
      <c r="Q333" s="25" t="str">
        <f>VLOOKUP(P333,Key!$E$2:$F$9,2,FALSE)</f>
        <v>Work</v>
      </c>
      <c r="R333" s="25" t="str">
        <f t="shared" si="6"/>
        <v>Work-Work</v>
      </c>
      <c r="S333" s="49"/>
      <c r="T333" s="49">
        <v>15</v>
      </c>
      <c r="U333" s="43">
        <v>3</v>
      </c>
      <c r="V333" s="43">
        <v>8</v>
      </c>
      <c r="W333" s="49">
        <v>12</v>
      </c>
      <c r="X333" s="49"/>
      <c r="Y333" s="50"/>
      <c r="Z333" s="59"/>
      <c r="AA333" s="25">
        <f>VLOOKUP(F333,Zones!$A$2:$F$15907,6,FALSE)</f>
        <v>1443</v>
      </c>
      <c r="AB333" s="25">
        <f>VLOOKUP(L333,Zones!$A$2:$F$15907,6,FALSE)</f>
        <v>572</v>
      </c>
    </row>
    <row r="334" spans="2:28">
      <c r="B334" s="40">
        <v>0.70347222222222217</v>
      </c>
      <c r="C334" s="40"/>
      <c r="D334" s="41">
        <v>1</v>
      </c>
      <c r="E334" s="42">
        <v>2</v>
      </c>
      <c r="F334" s="42" t="s">
        <v>209</v>
      </c>
      <c r="G334" s="43" t="s">
        <v>167</v>
      </c>
      <c r="H334" s="42" t="s">
        <v>212</v>
      </c>
      <c r="I334" s="43"/>
      <c r="J334" s="43">
        <v>2</v>
      </c>
      <c r="K334" s="25" t="str">
        <f>VLOOKUP(J334,Key!$E$2:$F$9,2,FALSE)</f>
        <v>Work</v>
      </c>
      <c r="L334" s="42" t="s">
        <v>40</v>
      </c>
      <c r="M334" s="43" t="s">
        <v>40</v>
      </c>
      <c r="N334" s="42" t="s">
        <v>179</v>
      </c>
      <c r="O334" s="43"/>
      <c r="P334" s="43">
        <v>1</v>
      </c>
      <c r="Q334" s="25" t="str">
        <f>VLOOKUP(P334,Key!$E$2:$F$9,2,FALSE)</f>
        <v>Home</v>
      </c>
      <c r="R334" s="25" t="str">
        <f t="shared" si="6"/>
        <v>Work-Home</v>
      </c>
      <c r="S334" s="49"/>
      <c r="T334" s="49">
        <v>24</v>
      </c>
      <c r="U334" s="43">
        <v>3</v>
      </c>
      <c r="V334" s="43"/>
      <c r="W334" s="49">
        <v>0</v>
      </c>
      <c r="X334" s="49"/>
      <c r="Y334" s="50"/>
      <c r="Z334" s="59"/>
      <c r="AA334" s="25">
        <f>VLOOKUP(F334,Zones!$A$2:$F$15907,6,FALSE)</f>
        <v>1443</v>
      </c>
      <c r="AB334" s="25">
        <f>VLOOKUP(L334,Zones!$A$2:$F$15907,6,FALSE)</f>
        <v>937</v>
      </c>
    </row>
    <row r="335" spans="2:28">
      <c r="B335" s="40">
        <v>0.70624999999999993</v>
      </c>
      <c r="C335" s="40"/>
      <c r="D335" s="41">
        <v>1</v>
      </c>
      <c r="E335" s="42">
        <v>6</v>
      </c>
      <c r="F335" s="42" t="s">
        <v>170</v>
      </c>
      <c r="G335" s="43" t="s">
        <v>171</v>
      </c>
      <c r="H335" s="42" t="s">
        <v>179</v>
      </c>
      <c r="I335" s="43"/>
      <c r="J335" s="43">
        <v>2</v>
      </c>
      <c r="K335" s="25" t="str">
        <f>VLOOKUP(J335,Key!$E$2:$F$9,2,FALSE)</f>
        <v>Work</v>
      </c>
      <c r="L335" s="42" t="s">
        <v>172</v>
      </c>
      <c r="M335" s="43" t="s">
        <v>172</v>
      </c>
      <c r="N335" s="42" t="s">
        <v>179</v>
      </c>
      <c r="O335" s="43"/>
      <c r="P335" s="43">
        <v>2</v>
      </c>
      <c r="Q335" s="25" t="str">
        <f>VLOOKUP(P335,Key!$E$2:$F$9,2,FALSE)</f>
        <v>Work</v>
      </c>
      <c r="R335" s="25" t="str">
        <f t="shared" si="6"/>
        <v>Work-Work</v>
      </c>
      <c r="S335" s="49"/>
      <c r="T335" s="49">
        <v>1.5</v>
      </c>
      <c r="U335" s="43">
        <v>1</v>
      </c>
      <c r="V335" s="43"/>
      <c r="W335" s="49">
        <v>0</v>
      </c>
      <c r="X335" s="49"/>
      <c r="Y335" s="50"/>
      <c r="Z335" s="59"/>
      <c r="AA335" s="25">
        <f>VLOOKUP(F335,Zones!$A$2:$F$15907,6,FALSE)</f>
        <v>1443</v>
      </c>
      <c r="AB335" s="25">
        <f>VLOOKUP(L335,Zones!$A$2:$F$15907,6,FALSE)</f>
        <v>335</v>
      </c>
    </row>
    <row r="336" spans="2:28">
      <c r="B336" s="40">
        <v>0.70763888888888893</v>
      </c>
      <c r="C336" s="40"/>
      <c r="D336" s="41">
        <v>1</v>
      </c>
      <c r="E336" s="42">
        <v>6</v>
      </c>
      <c r="F336" s="42" t="s">
        <v>170</v>
      </c>
      <c r="G336" s="43" t="s">
        <v>171</v>
      </c>
      <c r="H336" s="42" t="s">
        <v>179</v>
      </c>
      <c r="I336" s="43"/>
      <c r="J336" s="43">
        <v>2</v>
      </c>
      <c r="K336" s="25" t="str">
        <f>VLOOKUP(J336,Key!$E$2:$F$9,2,FALSE)</f>
        <v>Work</v>
      </c>
      <c r="L336" s="42" t="s">
        <v>172</v>
      </c>
      <c r="M336" s="43" t="s">
        <v>172</v>
      </c>
      <c r="N336" s="42" t="s">
        <v>179</v>
      </c>
      <c r="O336" s="43"/>
      <c r="P336" s="43">
        <v>2</v>
      </c>
      <c r="Q336" s="25" t="str">
        <f>VLOOKUP(P336,Key!$E$2:$F$9,2,FALSE)</f>
        <v>Work</v>
      </c>
      <c r="R336" s="25" t="str">
        <f t="shared" si="6"/>
        <v>Work-Work</v>
      </c>
      <c r="S336" s="49"/>
      <c r="T336" s="49">
        <v>2</v>
      </c>
      <c r="U336" s="43">
        <v>1</v>
      </c>
      <c r="V336" s="43"/>
      <c r="W336" s="49">
        <v>0</v>
      </c>
      <c r="X336" s="49"/>
      <c r="Y336" s="50"/>
      <c r="Z336" s="59"/>
      <c r="AA336" s="25">
        <f>VLOOKUP(F336,Zones!$A$2:$F$15907,6,FALSE)</f>
        <v>1443</v>
      </c>
      <c r="AB336" s="25">
        <f>VLOOKUP(L336,Zones!$A$2:$F$15907,6,FALSE)</f>
        <v>335</v>
      </c>
    </row>
    <row r="337" spans="2:28">
      <c r="B337" s="40">
        <v>0.71388888888888891</v>
      </c>
      <c r="C337" s="40"/>
      <c r="D337" s="41">
        <v>8</v>
      </c>
      <c r="E337" s="42">
        <v>2</v>
      </c>
      <c r="F337" s="42" t="s">
        <v>173</v>
      </c>
      <c r="G337" s="43" t="s">
        <v>167</v>
      </c>
      <c r="H337" s="42" t="s">
        <v>212</v>
      </c>
      <c r="I337" s="43"/>
      <c r="J337" s="43">
        <v>2</v>
      </c>
      <c r="K337" s="25" t="str">
        <f>VLOOKUP(J337,Key!$E$2:$F$9,2,FALSE)</f>
        <v>Work</v>
      </c>
      <c r="L337" s="42" t="s">
        <v>183</v>
      </c>
      <c r="M337" s="43" t="s">
        <v>183</v>
      </c>
      <c r="N337" s="42" t="s">
        <v>179</v>
      </c>
      <c r="O337" s="43"/>
      <c r="P337" s="43">
        <v>1</v>
      </c>
      <c r="Q337" s="25" t="str">
        <f>VLOOKUP(P337,Key!$E$2:$F$9,2,FALSE)</f>
        <v>Home</v>
      </c>
      <c r="R337" s="25" t="str">
        <f t="shared" si="6"/>
        <v>Work-Home</v>
      </c>
      <c r="S337" s="49"/>
      <c r="T337" s="49">
        <v>15</v>
      </c>
      <c r="U337" s="43">
        <v>3</v>
      </c>
      <c r="V337" s="43">
        <v>1</v>
      </c>
      <c r="W337" s="49">
        <v>5</v>
      </c>
      <c r="X337" s="49"/>
      <c r="Y337" s="50"/>
      <c r="Z337" s="59"/>
      <c r="AA337" s="25">
        <f>VLOOKUP(F337,Zones!$A$2:$F$15907,6,FALSE)</f>
        <v>1443</v>
      </c>
      <c r="AB337" s="25">
        <f>VLOOKUP(L337,Zones!$A$2:$F$15907,6,FALSE)</f>
        <v>521</v>
      </c>
    </row>
    <row r="338" spans="2:28">
      <c r="B338" s="40">
        <v>0.71666666666666667</v>
      </c>
      <c r="C338" s="40"/>
      <c r="D338" s="41">
        <v>1</v>
      </c>
      <c r="E338" s="42">
        <v>4</v>
      </c>
      <c r="F338" s="42" t="s">
        <v>170</v>
      </c>
      <c r="G338" s="43" t="s">
        <v>171</v>
      </c>
      <c r="H338" s="42" t="s">
        <v>179</v>
      </c>
      <c r="I338" s="43"/>
      <c r="J338" s="43">
        <v>2</v>
      </c>
      <c r="K338" s="25" t="str">
        <f>VLOOKUP(J338,Key!$E$2:$F$9,2,FALSE)</f>
        <v>Work</v>
      </c>
      <c r="L338" s="42" t="s">
        <v>172</v>
      </c>
      <c r="M338" s="43" t="s">
        <v>172</v>
      </c>
      <c r="N338" s="42" t="s">
        <v>179</v>
      </c>
      <c r="O338" s="43"/>
      <c r="P338" s="43">
        <v>2</v>
      </c>
      <c r="Q338" s="25" t="str">
        <f>VLOOKUP(P338,Key!$E$2:$F$9,2,FALSE)</f>
        <v>Work</v>
      </c>
      <c r="R338" s="25" t="str">
        <f t="shared" si="6"/>
        <v>Work-Work</v>
      </c>
      <c r="S338" s="49"/>
      <c r="T338" s="49">
        <v>1.5</v>
      </c>
      <c r="U338" s="43">
        <v>1</v>
      </c>
      <c r="V338" s="43"/>
      <c r="W338" s="49">
        <v>0</v>
      </c>
      <c r="X338" s="49"/>
      <c r="Y338" s="50"/>
      <c r="Z338" s="59"/>
      <c r="AA338" s="25">
        <f>VLOOKUP(F338,Zones!$A$2:$F$15907,6,FALSE)</f>
        <v>1443</v>
      </c>
      <c r="AB338" s="25">
        <f>VLOOKUP(L338,Zones!$A$2:$F$15907,6,FALSE)</f>
        <v>335</v>
      </c>
    </row>
    <row r="339" spans="2:28">
      <c r="B339" s="40">
        <v>0.72013888888888899</v>
      </c>
      <c r="C339" s="40"/>
      <c r="D339" s="41">
        <v>1</v>
      </c>
      <c r="E339" s="42">
        <v>3</v>
      </c>
      <c r="F339" s="42" t="s">
        <v>170</v>
      </c>
      <c r="G339" s="43" t="s">
        <v>171</v>
      </c>
      <c r="H339" s="42" t="s">
        <v>179</v>
      </c>
      <c r="I339" s="43"/>
      <c r="J339" s="43">
        <v>2</v>
      </c>
      <c r="K339" s="25" t="str">
        <f>VLOOKUP(J339,Key!$E$2:$F$9,2,FALSE)</f>
        <v>Work</v>
      </c>
      <c r="L339" s="42" t="s">
        <v>172</v>
      </c>
      <c r="M339" s="43" t="s">
        <v>172</v>
      </c>
      <c r="N339" s="42" t="s">
        <v>179</v>
      </c>
      <c r="O339" s="43"/>
      <c r="P339" s="43">
        <v>2</v>
      </c>
      <c r="Q339" s="25" t="str">
        <f>VLOOKUP(P339,Key!$E$2:$F$9,2,FALSE)</f>
        <v>Work</v>
      </c>
      <c r="R339" s="25" t="str">
        <f t="shared" si="6"/>
        <v>Work-Work</v>
      </c>
      <c r="S339" s="49"/>
      <c r="T339" s="49">
        <v>2</v>
      </c>
      <c r="U339" s="43">
        <v>1</v>
      </c>
      <c r="V339" s="43"/>
      <c r="W339" s="49">
        <v>0</v>
      </c>
      <c r="X339" s="49"/>
      <c r="Y339" s="50"/>
      <c r="Z339" s="59"/>
      <c r="AA339" s="25">
        <f>VLOOKUP(F339,Zones!$A$2:$F$15907,6,FALSE)</f>
        <v>1443</v>
      </c>
      <c r="AB339" s="25">
        <f>VLOOKUP(L339,Zones!$A$2:$F$15907,6,FALSE)</f>
        <v>335</v>
      </c>
    </row>
    <row r="340" spans="2:28">
      <c r="B340" s="40">
        <v>0.72222222222222221</v>
      </c>
      <c r="C340" s="40"/>
      <c r="D340" s="41">
        <v>6</v>
      </c>
      <c r="E340" s="42">
        <v>70</v>
      </c>
      <c r="F340" s="42" t="s">
        <v>176</v>
      </c>
      <c r="G340" s="43" t="s">
        <v>171</v>
      </c>
      <c r="H340" s="42" t="s">
        <v>179</v>
      </c>
      <c r="I340" s="43"/>
      <c r="J340" s="43">
        <v>2</v>
      </c>
      <c r="K340" s="25" t="str">
        <f>VLOOKUP(J340,Key!$E$2:$F$9,2,FALSE)</f>
        <v>Work</v>
      </c>
      <c r="L340" s="42" t="s">
        <v>168</v>
      </c>
      <c r="M340" s="43" t="s">
        <v>171</v>
      </c>
      <c r="N340" s="42" t="s">
        <v>179</v>
      </c>
      <c r="O340" s="43"/>
      <c r="P340" s="43">
        <v>1</v>
      </c>
      <c r="Q340" s="25" t="str">
        <f>VLOOKUP(P340,Key!$E$2:$F$9,2,FALSE)</f>
        <v>Home</v>
      </c>
      <c r="R340" s="25" t="str">
        <f t="shared" si="6"/>
        <v>Work-Home</v>
      </c>
      <c r="S340" s="49"/>
      <c r="T340" s="49">
        <v>0.5</v>
      </c>
      <c r="U340" s="43">
        <v>1</v>
      </c>
      <c r="V340" s="43"/>
      <c r="W340" s="49">
        <v>0</v>
      </c>
      <c r="X340" s="49"/>
      <c r="Y340" s="50"/>
      <c r="Z340" s="59"/>
      <c r="AA340" s="25">
        <f>VLOOKUP(F340,Zones!$A$2:$F$15907,6,FALSE)</f>
        <v>1443</v>
      </c>
      <c r="AB340" s="25">
        <f>VLOOKUP(L340,Zones!$A$2:$F$15907,6,FALSE)</f>
        <v>75</v>
      </c>
    </row>
    <row r="341" spans="2:28">
      <c r="B341" s="40">
        <v>0.7270833333333333</v>
      </c>
      <c r="C341" s="40"/>
      <c r="D341" s="41">
        <v>6</v>
      </c>
      <c r="E341" s="42">
        <v>70</v>
      </c>
      <c r="F341" s="42" t="s">
        <v>170</v>
      </c>
      <c r="G341" s="43" t="s">
        <v>171</v>
      </c>
      <c r="H341" s="42" t="s">
        <v>179</v>
      </c>
      <c r="I341" s="43"/>
      <c r="J341" s="43">
        <v>2</v>
      </c>
      <c r="K341" s="25" t="str">
        <f>VLOOKUP(J341,Key!$E$2:$F$9,2,FALSE)</f>
        <v>Work</v>
      </c>
      <c r="L341" s="42" t="s">
        <v>168</v>
      </c>
      <c r="M341" s="43" t="s">
        <v>171</v>
      </c>
      <c r="N341" s="42" t="s">
        <v>179</v>
      </c>
      <c r="O341" s="43"/>
      <c r="P341" s="43">
        <v>2</v>
      </c>
      <c r="Q341" s="25" t="str">
        <f>VLOOKUP(P341,Key!$E$2:$F$9,2,FALSE)</f>
        <v>Work</v>
      </c>
      <c r="R341" s="25" t="str">
        <f t="shared" si="6"/>
        <v>Work-Work</v>
      </c>
      <c r="S341" s="49"/>
      <c r="T341" s="49">
        <v>1</v>
      </c>
      <c r="U341" s="43">
        <v>1</v>
      </c>
      <c r="V341" s="43"/>
      <c r="W341" s="49">
        <v>0</v>
      </c>
      <c r="X341" s="49"/>
      <c r="Y341" s="50"/>
      <c r="Z341" s="59"/>
      <c r="AA341" s="25">
        <f>VLOOKUP(F341,Zones!$A$2:$F$15907,6,FALSE)</f>
        <v>1443</v>
      </c>
      <c r="AB341" s="25">
        <f>VLOOKUP(L341,Zones!$A$2:$F$15907,6,FALSE)</f>
        <v>75</v>
      </c>
    </row>
    <row r="342" spans="2:28">
      <c r="B342" s="40">
        <v>0.73263888888888884</v>
      </c>
      <c r="C342" s="40"/>
      <c r="D342" s="41">
        <v>9</v>
      </c>
      <c r="E342" s="42">
        <v>2</v>
      </c>
      <c r="F342" s="42" t="s">
        <v>173</v>
      </c>
      <c r="G342" s="43" t="s">
        <v>167</v>
      </c>
      <c r="H342" s="42" t="s">
        <v>212</v>
      </c>
      <c r="I342" s="43"/>
      <c r="J342" s="43">
        <v>2</v>
      </c>
      <c r="K342" s="25" t="str">
        <f>VLOOKUP(J342,Key!$E$2:$F$9,2,FALSE)</f>
        <v>Work</v>
      </c>
      <c r="L342" s="42" t="s">
        <v>183</v>
      </c>
      <c r="M342" s="43" t="s">
        <v>183</v>
      </c>
      <c r="N342" s="42" t="s">
        <v>179</v>
      </c>
      <c r="O342" s="43"/>
      <c r="P342" s="43">
        <v>2</v>
      </c>
      <c r="Q342" s="25" t="str">
        <f>VLOOKUP(P342,Key!$E$2:$F$9,2,FALSE)</f>
        <v>Work</v>
      </c>
      <c r="R342" s="25" t="str">
        <f t="shared" si="6"/>
        <v>Work-Work</v>
      </c>
      <c r="S342" s="49"/>
      <c r="T342" s="49">
        <v>20</v>
      </c>
      <c r="U342" s="43">
        <v>3</v>
      </c>
      <c r="V342" s="43">
        <v>6</v>
      </c>
      <c r="W342" s="49">
        <v>30</v>
      </c>
      <c r="X342" s="49"/>
      <c r="Y342" s="50"/>
      <c r="Z342" s="59"/>
      <c r="AA342" s="25">
        <f>VLOOKUP(F342,Zones!$A$2:$F$15907,6,FALSE)</f>
        <v>1443</v>
      </c>
      <c r="AB342" s="25">
        <f>VLOOKUP(L342,Zones!$A$2:$F$15907,6,FALSE)</f>
        <v>521</v>
      </c>
    </row>
    <row r="343" spans="2:28">
      <c r="B343" s="40">
        <v>0.73263888888888884</v>
      </c>
      <c r="C343" s="40"/>
      <c r="D343" s="41">
        <v>1</v>
      </c>
      <c r="E343" s="42">
        <v>3</v>
      </c>
      <c r="F343" s="42" t="s">
        <v>170</v>
      </c>
      <c r="G343" s="43" t="s">
        <v>171</v>
      </c>
      <c r="H343" s="42" t="s">
        <v>179</v>
      </c>
      <c r="I343" s="43"/>
      <c r="J343" s="43">
        <v>2</v>
      </c>
      <c r="K343" s="25" t="str">
        <f>VLOOKUP(J343,Key!$E$2:$F$9,2,FALSE)</f>
        <v>Work</v>
      </c>
      <c r="L343" s="42" t="s">
        <v>172</v>
      </c>
      <c r="M343" s="43" t="s">
        <v>172</v>
      </c>
      <c r="N343" s="42" t="s">
        <v>179</v>
      </c>
      <c r="O343" s="43"/>
      <c r="P343" s="43">
        <v>1</v>
      </c>
      <c r="Q343" s="25" t="str">
        <f>VLOOKUP(P343,Key!$E$2:$F$9,2,FALSE)</f>
        <v>Home</v>
      </c>
      <c r="R343" s="25" t="str">
        <f t="shared" si="6"/>
        <v>Work-Home</v>
      </c>
      <c r="S343" s="49"/>
      <c r="T343" s="49">
        <v>2</v>
      </c>
      <c r="U343" s="43">
        <v>2</v>
      </c>
      <c r="V343" s="43"/>
      <c r="W343" s="49">
        <v>0</v>
      </c>
      <c r="X343" s="49"/>
      <c r="Y343" s="50"/>
      <c r="Z343" s="59"/>
      <c r="AA343" s="25">
        <f>VLOOKUP(F343,Zones!$A$2:$F$15907,6,FALSE)</f>
        <v>1443</v>
      </c>
      <c r="AB343" s="25">
        <f>VLOOKUP(L343,Zones!$A$2:$F$15907,6,FALSE)</f>
        <v>335</v>
      </c>
    </row>
    <row r="344" spans="2:28">
      <c r="B344" s="40">
        <v>0.73541666666666661</v>
      </c>
      <c r="C344" s="40"/>
      <c r="D344" s="41">
        <v>1</v>
      </c>
      <c r="E344" s="42">
        <v>4</v>
      </c>
      <c r="F344" s="42" t="s">
        <v>170</v>
      </c>
      <c r="G344" s="43" t="s">
        <v>171</v>
      </c>
      <c r="H344" s="42" t="s">
        <v>179</v>
      </c>
      <c r="I344" s="43"/>
      <c r="J344" s="43">
        <v>2</v>
      </c>
      <c r="K344" s="25" t="str">
        <f>VLOOKUP(J344,Key!$E$2:$F$9,2,FALSE)</f>
        <v>Work</v>
      </c>
      <c r="L344" s="42" t="s">
        <v>172</v>
      </c>
      <c r="M344" s="43" t="s">
        <v>172</v>
      </c>
      <c r="N344" s="42" t="s">
        <v>179</v>
      </c>
      <c r="O344" s="43"/>
      <c r="P344" s="43">
        <v>2</v>
      </c>
      <c r="Q344" s="25" t="str">
        <f>VLOOKUP(P344,Key!$E$2:$F$9,2,FALSE)</f>
        <v>Work</v>
      </c>
      <c r="R344" s="25" t="str">
        <f t="shared" si="6"/>
        <v>Work-Work</v>
      </c>
      <c r="S344" s="49"/>
      <c r="T344" s="49">
        <v>2</v>
      </c>
      <c r="U344" s="43">
        <v>1</v>
      </c>
      <c r="V344" s="43"/>
      <c r="W344" s="49">
        <v>0</v>
      </c>
      <c r="X344" s="49"/>
      <c r="Y344" s="50"/>
      <c r="Z344" s="59"/>
      <c r="AA344" s="25">
        <f>VLOOKUP(F344,Zones!$A$2:$F$15907,6,FALSE)</f>
        <v>1443</v>
      </c>
      <c r="AB344" s="25">
        <f>VLOOKUP(L344,Zones!$A$2:$F$15907,6,FALSE)</f>
        <v>335</v>
      </c>
    </row>
    <row r="345" spans="2:28">
      <c r="B345" s="40">
        <v>0.73541666666666661</v>
      </c>
      <c r="C345" s="40"/>
      <c r="D345" s="41">
        <v>9</v>
      </c>
      <c r="E345" s="42">
        <v>3</v>
      </c>
      <c r="F345" s="42" t="s">
        <v>170</v>
      </c>
      <c r="G345" s="43" t="s">
        <v>171</v>
      </c>
      <c r="H345" s="42" t="s">
        <v>179</v>
      </c>
      <c r="I345" s="43"/>
      <c r="J345" s="43">
        <v>2</v>
      </c>
      <c r="K345" s="25" t="str">
        <f>VLOOKUP(J345,Key!$E$2:$F$9,2,FALSE)</f>
        <v>Work</v>
      </c>
      <c r="L345" s="42" t="s">
        <v>168</v>
      </c>
      <c r="M345" s="43" t="s">
        <v>171</v>
      </c>
      <c r="N345" s="42" t="s">
        <v>179</v>
      </c>
      <c r="O345" s="43"/>
      <c r="P345" s="43">
        <v>2</v>
      </c>
      <c r="Q345" s="25" t="str">
        <f>VLOOKUP(P345,Key!$E$2:$F$9,2,FALSE)</f>
        <v>Work</v>
      </c>
      <c r="R345" s="25" t="str">
        <f t="shared" si="6"/>
        <v>Work-Work</v>
      </c>
      <c r="S345" s="49"/>
      <c r="T345" s="49">
        <v>2</v>
      </c>
      <c r="U345" s="43">
        <v>2</v>
      </c>
      <c r="V345" s="43">
        <v>5</v>
      </c>
      <c r="W345" s="49">
        <v>5</v>
      </c>
      <c r="X345" s="49"/>
      <c r="Y345" s="50"/>
      <c r="Z345" s="59"/>
      <c r="AA345" s="25">
        <f>VLOOKUP(F345,Zones!$A$2:$F$15907,6,FALSE)</f>
        <v>1443</v>
      </c>
      <c r="AB345" s="25">
        <f>VLOOKUP(L345,Zones!$A$2:$F$15907,6,FALSE)</f>
        <v>75</v>
      </c>
    </row>
    <row r="346" spans="2:28">
      <c r="B346" s="40">
        <v>0.73888888888888893</v>
      </c>
      <c r="C346" s="40"/>
      <c r="D346" s="41">
        <v>1</v>
      </c>
      <c r="E346" s="42">
        <v>1</v>
      </c>
      <c r="F346" s="42" t="s">
        <v>170</v>
      </c>
      <c r="G346" s="43" t="s">
        <v>171</v>
      </c>
      <c r="H346" s="42" t="s">
        <v>179</v>
      </c>
      <c r="I346" s="43"/>
      <c r="J346" s="43">
        <v>2</v>
      </c>
      <c r="K346" s="25" t="str">
        <f>VLOOKUP(J346,Key!$E$2:$F$9,2,FALSE)</f>
        <v>Work</v>
      </c>
      <c r="L346" s="42" t="s">
        <v>172</v>
      </c>
      <c r="M346" s="43" t="s">
        <v>172</v>
      </c>
      <c r="N346" s="42" t="s">
        <v>179</v>
      </c>
      <c r="O346" s="43"/>
      <c r="P346" s="43">
        <v>2</v>
      </c>
      <c r="Q346" s="25" t="str">
        <f>VLOOKUP(P346,Key!$E$2:$F$9,2,FALSE)</f>
        <v>Work</v>
      </c>
      <c r="R346" s="25" t="str">
        <f t="shared" si="6"/>
        <v>Work-Work</v>
      </c>
      <c r="S346" s="49"/>
      <c r="T346" s="49">
        <v>1.5</v>
      </c>
      <c r="U346" s="43">
        <v>1</v>
      </c>
      <c r="V346" s="43"/>
      <c r="W346" s="49">
        <v>0</v>
      </c>
      <c r="X346" s="49"/>
      <c r="Y346" s="50"/>
      <c r="Z346" s="59"/>
      <c r="AA346" s="25">
        <f>VLOOKUP(F346,Zones!$A$2:$F$15907,6,FALSE)</f>
        <v>1443</v>
      </c>
      <c r="AB346" s="25">
        <f>VLOOKUP(L346,Zones!$A$2:$F$15907,6,FALSE)</f>
        <v>335</v>
      </c>
    </row>
    <row r="347" spans="2:28">
      <c r="B347" s="40">
        <v>0.74236111111111114</v>
      </c>
      <c r="C347" s="40"/>
      <c r="D347" s="41">
        <v>2</v>
      </c>
      <c r="E347" s="42">
        <v>2</v>
      </c>
      <c r="F347" s="42" t="s">
        <v>170</v>
      </c>
      <c r="G347" s="43" t="s">
        <v>171</v>
      </c>
      <c r="H347" s="42" t="s">
        <v>179</v>
      </c>
      <c r="I347" s="43"/>
      <c r="J347" s="43">
        <v>2</v>
      </c>
      <c r="K347" s="25" t="str">
        <f>VLOOKUP(J347,Key!$E$2:$F$9,2,FALSE)</f>
        <v>Work</v>
      </c>
      <c r="L347" s="42" t="s">
        <v>172</v>
      </c>
      <c r="M347" s="43" t="s">
        <v>172</v>
      </c>
      <c r="N347" s="42" t="s">
        <v>179</v>
      </c>
      <c r="O347" s="43"/>
      <c r="P347" s="43">
        <v>2</v>
      </c>
      <c r="Q347" s="25" t="str">
        <f>VLOOKUP(P347,Key!$E$2:$F$9,2,FALSE)</f>
        <v>Work</v>
      </c>
      <c r="R347" s="25" t="str">
        <f t="shared" si="6"/>
        <v>Work-Work</v>
      </c>
      <c r="S347" s="49"/>
      <c r="T347" s="49">
        <v>1</v>
      </c>
      <c r="U347" s="43">
        <v>1</v>
      </c>
      <c r="V347" s="43">
        <v>9</v>
      </c>
      <c r="W347" s="49">
        <v>2</v>
      </c>
      <c r="X347" s="49"/>
      <c r="Y347" s="50"/>
      <c r="Z347" s="59"/>
      <c r="AA347" s="25">
        <f>VLOOKUP(F347,Zones!$A$2:$F$15907,6,FALSE)</f>
        <v>1443</v>
      </c>
      <c r="AB347" s="25">
        <f>VLOOKUP(L347,Zones!$A$2:$F$15907,6,FALSE)</f>
        <v>335</v>
      </c>
    </row>
    <row r="348" spans="2:28">
      <c r="B348" s="40">
        <v>0.74652777777777779</v>
      </c>
      <c r="C348" s="40"/>
      <c r="D348" s="41">
        <v>6</v>
      </c>
      <c r="E348" s="42">
        <v>35</v>
      </c>
      <c r="F348" s="42" t="s">
        <v>170</v>
      </c>
      <c r="G348" s="43" t="s">
        <v>171</v>
      </c>
      <c r="H348" s="42" t="s">
        <v>179</v>
      </c>
      <c r="I348" s="43"/>
      <c r="J348" s="43">
        <v>2</v>
      </c>
      <c r="K348" s="25" t="str">
        <f>VLOOKUP(J348,Key!$E$2:$F$9,2,FALSE)</f>
        <v>Work</v>
      </c>
      <c r="L348" s="42" t="s">
        <v>168</v>
      </c>
      <c r="M348" s="43" t="s">
        <v>171</v>
      </c>
      <c r="N348" s="42" t="s">
        <v>179</v>
      </c>
      <c r="O348" s="43"/>
      <c r="P348" s="43">
        <v>2</v>
      </c>
      <c r="Q348" s="25" t="str">
        <f>VLOOKUP(P348,Key!$E$2:$F$9,2,FALSE)</f>
        <v>Work</v>
      </c>
      <c r="R348" s="25" t="str">
        <f t="shared" si="6"/>
        <v>Work-Work</v>
      </c>
      <c r="S348" s="49"/>
      <c r="T348" s="49">
        <v>0.7</v>
      </c>
      <c r="U348" s="43">
        <v>1</v>
      </c>
      <c r="V348" s="43"/>
      <c r="W348" s="49">
        <v>0</v>
      </c>
      <c r="X348" s="49"/>
      <c r="Y348" s="50"/>
      <c r="Z348" s="59"/>
      <c r="AA348" s="25">
        <f>VLOOKUP(F348,Zones!$A$2:$F$15907,6,FALSE)</f>
        <v>1443</v>
      </c>
      <c r="AB348" s="25">
        <f>VLOOKUP(L348,Zones!$A$2:$F$15907,6,FALSE)</f>
        <v>75</v>
      </c>
    </row>
    <row r="349" spans="2:28">
      <c r="B349" s="40">
        <v>0.75277777777777777</v>
      </c>
      <c r="C349" s="40"/>
      <c r="D349" s="41">
        <v>9</v>
      </c>
      <c r="E349" s="42">
        <v>2</v>
      </c>
      <c r="F349" s="42" t="s">
        <v>173</v>
      </c>
      <c r="G349" s="43" t="s">
        <v>167</v>
      </c>
      <c r="H349" s="42" t="s">
        <v>212</v>
      </c>
      <c r="I349" s="43"/>
      <c r="J349" s="43">
        <v>2</v>
      </c>
      <c r="K349" s="25" t="str">
        <f>VLOOKUP(J349,Key!$E$2:$F$9,2,FALSE)</f>
        <v>Work</v>
      </c>
      <c r="L349" s="42" t="s">
        <v>183</v>
      </c>
      <c r="M349" s="43" t="s">
        <v>183</v>
      </c>
      <c r="N349" s="42" t="s">
        <v>179</v>
      </c>
      <c r="O349" s="43"/>
      <c r="P349" s="43">
        <v>1</v>
      </c>
      <c r="Q349" s="25" t="str">
        <f>VLOOKUP(P349,Key!$E$2:$F$9,2,FALSE)</f>
        <v>Home</v>
      </c>
      <c r="R349" s="25" t="str">
        <f t="shared" si="6"/>
        <v>Work-Home</v>
      </c>
      <c r="S349" s="49"/>
      <c r="T349" s="49">
        <v>12</v>
      </c>
      <c r="U349" s="43">
        <v>3</v>
      </c>
      <c r="V349" s="43">
        <v>3</v>
      </c>
      <c r="W349" s="49">
        <v>30</v>
      </c>
      <c r="X349" s="49"/>
      <c r="Y349" s="50"/>
      <c r="Z349" s="59"/>
      <c r="AA349" s="25">
        <f>VLOOKUP(F349,Zones!$A$2:$F$15907,6,FALSE)</f>
        <v>1443</v>
      </c>
      <c r="AB349" s="25">
        <f>VLOOKUP(L349,Zones!$A$2:$F$15907,6,FALSE)</f>
        <v>521</v>
      </c>
    </row>
    <row r="350" spans="2:28">
      <c r="B350" s="40">
        <v>0.75416666666666676</v>
      </c>
      <c r="C350" s="40"/>
      <c r="D350" s="41">
        <v>1</v>
      </c>
      <c r="E350" s="42">
        <v>1</v>
      </c>
      <c r="F350" s="42" t="s">
        <v>170</v>
      </c>
      <c r="G350" s="43" t="s">
        <v>171</v>
      </c>
      <c r="H350" s="42" t="s">
        <v>179</v>
      </c>
      <c r="I350" s="43"/>
      <c r="J350" s="43">
        <v>2</v>
      </c>
      <c r="K350" s="25" t="str">
        <f>VLOOKUP(J350,Key!$E$2:$F$9,2,FALSE)</f>
        <v>Work</v>
      </c>
      <c r="L350" s="42" t="s">
        <v>168</v>
      </c>
      <c r="M350" s="43" t="s">
        <v>171</v>
      </c>
      <c r="N350" s="42" t="s">
        <v>179</v>
      </c>
      <c r="O350" s="43"/>
      <c r="P350" s="43">
        <v>1</v>
      </c>
      <c r="Q350" s="25" t="str">
        <f>VLOOKUP(P350,Key!$E$2:$F$9,2,FALSE)</f>
        <v>Home</v>
      </c>
      <c r="R350" s="25" t="str">
        <f t="shared" ref="R350:R366" si="7">K350&amp;"-"&amp;Q350</f>
        <v>Work-Home</v>
      </c>
      <c r="S350" s="49"/>
      <c r="T350" s="49">
        <v>1</v>
      </c>
      <c r="U350" s="43">
        <v>1</v>
      </c>
      <c r="V350" s="43"/>
      <c r="W350" s="49">
        <v>0</v>
      </c>
      <c r="X350" s="49"/>
      <c r="Y350" s="50"/>
      <c r="Z350" s="59"/>
      <c r="AA350" s="25">
        <f>VLOOKUP(F350,Zones!$A$2:$F$15907,6,FALSE)</f>
        <v>1443</v>
      </c>
      <c r="AB350" s="25">
        <f>VLOOKUP(L350,Zones!$A$2:$F$15907,6,FALSE)</f>
        <v>75</v>
      </c>
    </row>
    <row r="351" spans="2:28">
      <c r="B351" s="40">
        <v>0.75555555555555554</v>
      </c>
      <c r="C351" s="40"/>
      <c r="D351" s="41">
        <v>6</v>
      </c>
      <c r="E351" s="42">
        <v>1</v>
      </c>
      <c r="F351" s="42" t="s">
        <v>170</v>
      </c>
      <c r="G351" s="43" t="s">
        <v>171</v>
      </c>
      <c r="H351" s="42" t="s">
        <v>179</v>
      </c>
      <c r="I351" s="43"/>
      <c r="J351" s="43">
        <v>2</v>
      </c>
      <c r="K351" s="25" t="str">
        <f>VLOOKUP(J351,Key!$E$2:$F$9,2,FALSE)</f>
        <v>Work</v>
      </c>
      <c r="L351" s="42" t="s">
        <v>168</v>
      </c>
      <c r="M351" s="43" t="s">
        <v>171</v>
      </c>
      <c r="N351" s="42" t="s">
        <v>179</v>
      </c>
      <c r="O351" s="43"/>
      <c r="P351" s="43">
        <v>2</v>
      </c>
      <c r="Q351" s="25" t="str">
        <f>VLOOKUP(P351,Key!$E$2:$F$9,2,FALSE)</f>
        <v>Work</v>
      </c>
      <c r="R351" s="25" t="str">
        <f t="shared" si="7"/>
        <v>Work-Work</v>
      </c>
      <c r="S351" s="49"/>
      <c r="T351" s="49">
        <v>0.75</v>
      </c>
      <c r="U351" s="43">
        <v>1</v>
      </c>
      <c r="V351" s="43"/>
      <c r="W351" s="49">
        <v>0</v>
      </c>
      <c r="X351" s="49"/>
      <c r="Y351" s="50"/>
      <c r="Z351" s="59"/>
      <c r="AA351" s="25">
        <f>VLOOKUP(F351,Zones!$A$2:$F$15907,6,FALSE)</f>
        <v>1443</v>
      </c>
      <c r="AB351" s="25">
        <f>VLOOKUP(L351,Zones!$A$2:$F$15907,6,FALSE)</f>
        <v>75</v>
      </c>
    </row>
    <row r="352" spans="2:28">
      <c r="B352" s="40">
        <v>0.75694444444444453</v>
      </c>
      <c r="C352" s="40"/>
      <c r="D352" s="41">
        <v>9</v>
      </c>
      <c r="E352" s="42">
        <v>2</v>
      </c>
      <c r="F352" s="42" t="s">
        <v>173</v>
      </c>
      <c r="G352" s="43" t="s">
        <v>167</v>
      </c>
      <c r="H352" s="42" t="s">
        <v>212</v>
      </c>
      <c r="I352" s="43"/>
      <c r="J352" s="43">
        <v>2</v>
      </c>
      <c r="K352" s="25" t="str">
        <f>VLOOKUP(J352,Key!$E$2:$F$9,2,FALSE)</f>
        <v>Work</v>
      </c>
      <c r="L352" s="42" t="s">
        <v>183</v>
      </c>
      <c r="M352" s="43" t="s">
        <v>183</v>
      </c>
      <c r="N352" s="42" t="s">
        <v>179</v>
      </c>
      <c r="O352" s="43"/>
      <c r="P352" s="43">
        <v>2</v>
      </c>
      <c r="Q352" s="25" t="str">
        <f>VLOOKUP(P352,Key!$E$2:$F$9,2,FALSE)</f>
        <v>Work</v>
      </c>
      <c r="R352" s="25" t="str">
        <f t="shared" si="7"/>
        <v>Work-Work</v>
      </c>
      <c r="S352" s="49"/>
      <c r="T352" s="49">
        <v>15</v>
      </c>
      <c r="U352" s="43">
        <v>3</v>
      </c>
      <c r="V352" s="43">
        <v>7</v>
      </c>
      <c r="W352" s="49">
        <v>28</v>
      </c>
      <c r="X352" s="49"/>
      <c r="Y352" s="50"/>
      <c r="Z352" s="59"/>
      <c r="AA352" s="25">
        <f>VLOOKUP(F352,Zones!$A$2:$F$15907,6,FALSE)</f>
        <v>1443</v>
      </c>
      <c r="AB352" s="25">
        <f>VLOOKUP(L352,Zones!$A$2:$F$15907,6,FALSE)</f>
        <v>521</v>
      </c>
    </row>
    <row r="353" spans="2:28">
      <c r="B353" s="40">
        <v>0.76180555555555562</v>
      </c>
      <c r="C353" s="40"/>
      <c r="D353" s="41">
        <v>9</v>
      </c>
      <c r="E353" s="42">
        <v>2</v>
      </c>
      <c r="F353" s="42" t="s">
        <v>173</v>
      </c>
      <c r="G353" s="43" t="s">
        <v>167</v>
      </c>
      <c r="H353" s="42" t="s">
        <v>212</v>
      </c>
      <c r="I353" s="43"/>
      <c r="J353" s="43">
        <v>2</v>
      </c>
      <c r="K353" s="25" t="str">
        <f>VLOOKUP(J353,Key!$E$2:$F$9,2,FALSE)</f>
        <v>Work</v>
      </c>
      <c r="L353" s="42" t="s">
        <v>189</v>
      </c>
      <c r="M353" s="43" t="s">
        <v>190</v>
      </c>
      <c r="N353" s="42" t="s">
        <v>200</v>
      </c>
      <c r="O353" s="43"/>
      <c r="P353" s="43">
        <v>2</v>
      </c>
      <c r="Q353" s="25" t="str">
        <f>VLOOKUP(P353,Key!$E$2:$F$9,2,FALSE)</f>
        <v>Work</v>
      </c>
      <c r="R353" s="25" t="str">
        <f t="shared" si="7"/>
        <v>Work-Work</v>
      </c>
      <c r="S353" s="49"/>
      <c r="T353" s="49">
        <v>24</v>
      </c>
      <c r="U353" s="43">
        <v>3</v>
      </c>
      <c r="V353" s="43">
        <v>6</v>
      </c>
      <c r="W353" s="49">
        <v>32</v>
      </c>
      <c r="X353" s="49"/>
      <c r="Y353" s="50"/>
      <c r="Z353" s="59"/>
      <c r="AA353" s="25">
        <f>VLOOKUP(F353,Zones!$A$2:$F$15907,6,FALSE)</f>
        <v>1443</v>
      </c>
      <c r="AB353" s="25">
        <f>VLOOKUP(L353,Zones!$A$2:$F$15907,6,FALSE)</f>
        <v>1434</v>
      </c>
    </row>
    <row r="354" spans="2:28">
      <c r="B354" s="40">
        <v>0.76527777777777783</v>
      </c>
      <c r="C354" s="40"/>
      <c r="D354" s="41">
        <v>1</v>
      </c>
      <c r="E354" s="42">
        <v>4</v>
      </c>
      <c r="F354" s="42" t="s">
        <v>170</v>
      </c>
      <c r="G354" s="43" t="s">
        <v>171</v>
      </c>
      <c r="H354" s="42" t="s">
        <v>179</v>
      </c>
      <c r="I354" s="43"/>
      <c r="J354" s="43">
        <v>2</v>
      </c>
      <c r="K354" s="25" t="str">
        <f>VLOOKUP(J354,Key!$E$2:$F$9,2,FALSE)</f>
        <v>Work</v>
      </c>
      <c r="L354" s="42" t="s">
        <v>172</v>
      </c>
      <c r="M354" s="43" t="s">
        <v>172</v>
      </c>
      <c r="N354" s="42" t="s">
        <v>179</v>
      </c>
      <c r="O354" s="43"/>
      <c r="P354" s="43">
        <v>2</v>
      </c>
      <c r="Q354" s="25" t="str">
        <f>VLOOKUP(P354,Key!$E$2:$F$9,2,FALSE)</f>
        <v>Work</v>
      </c>
      <c r="R354" s="25" t="str">
        <f t="shared" si="7"/>
        <v>Work-Work</v>
      </c>
      <c r="S354" s="49"/>
      <c r="T354" s="49">
        <v>1.5</v>
      </c>
      <c r="U354" s="43">
        <v>1</v>
      </c>
      <c r="V354" s="43"/>
      <c r="W354" s="49">
        <v>0</v>
      </c>
      <c r="X354" s="49"/>
      <c r="Y354" s="50"/>
      <c r="Z354" s="59"/>
      <c r="AA354" s="25">
        <f>VLOOKUP(F354,Zones!$A$2:$F$15907,6,FALSE)</f>
        <v>1443</v>
      </c>
      <c r="AB354" s="25">
        <f>VLOOKUP(L354,Zones!$A$2:$F$15907,6,FALSE)</f>
        <v>335</v>
      </c>
    </row>
    <row r="355" spans="2:28">
      <c r="B355" s="40">
        <v>0.76874999999999993</v>
      </c>
      <c r="C355" s="40"/>
      <c r="D355" s="41">
        <v>1</v>
      </c>
      <c r="E355" s="42">
        <v>1</v>
      </c>
      <c r="F355" s="42" t="s">
        <v>170</v>
      </c>
      <c r="G355" s="43" t="s">
        <v>171</v>
      </c>
      <c r="H355" s="42" t="s">
        <v>179</v>
      </c>
      <c r="I355" s="43"/>
      <c r="J355" s="43">
        <v>2</v>
      </c>
      <c r="K355" s="25" t="str">
        <f>VLOOKUP(J355,Key!$E$2:$F$9,2,FALSE)</f>
        <v>Work</v>
      </c>
      <c r="L355" s="42" t="s">
        <v>168</v>
      </c>
      <c r="M355" s="43" t="s">
        <v>171</v>
      </c>
      <c r="N355" s="42" t="s">
        <v>179</v>
      </c>
      <c r="O355" s="43"/>
      <c r="P355" s="43">
        <v>1</v>
      </c>
      <c r="Q355" s="25" t="str">
        <f>VLOOKUP(P355,Key!$E$2:$F$9,2,FALSE)</f>
        <v>Home</v>
      </c>
      <c r="R355" s="25" t="str">
        <f t="shared" si="7"/>
        <v>Work-Home</v>
      </c>
      <c r="S355" s="49"/>
      <c r="T355" s="49">
        <v>2</v>
      </c>
      <c r="U355" s="43">
        <v>2</v>
      </c>
      <c r="V355" s="43"/>
      <c r="W355" s="49">
        <v>0</v>
      </c>
      <c r="X355" s="49"/>
      <c r="Y355" s="50"/>
      <c r="Z355" s="59"/>
      <c r="AA355" s="25">
        <f>VLOOKUP(F355,Zones!$A$2:$F$15907,6,FALSE)</f>
        <v>1443</v>
      </c>
      <c r="AB355" s="25">
        <f>VLOOKUP(L355,Zones!$A$2:$F$15907,6,FALSE)</f>
        <v>75</v>
      </c>
    </row>
    <row r="356" spans="2:28">
      <c r="B356" s="40">
        <v>0.77083333333333337</v>
      </c>
      <c r="C356" s="40"/>
      <c r="D356" s="41">
        <v>9</v>
      </c>
      <c r="E356" s="42">
        <v>2</v>
      </c>
      <c r="F356" s="42" t="s">
        <v>209</v>
      </c>
      <c r="G356" s="43" t="s">
        <v>167</v>
      </c>
      <c r="H356" s="42" t="s">
        <v>212</v>
      </c>
      <c r="I356" s="43"/>
      <c r="J356" s="43">
        <v>2</v>
      </c>
      <c r="K356" s="25" t="str">
        <f>VLOOKUP(J356,Key!$E$2:$F$9,2,FALSE)</f>
        <v>Work</v>
      </c>
      <c r="L356" s="42" t="s">
        <v>201</v>
      </c>
      <c r="M356" s="43" t="s">
        <v>201</v>
      </c>
      <c r="N356" s="42" t="s">
        <v>179</v>
      </c>
      <c r="O356" s="43"/>
      <c r="P356" s="43">
        <v>1</v>
      </c>
      <c r="Q356" s="25" t="str">
        <f>VLOOKUP(P356,Key!$E$2:$F$9,2,FALSE)</f>
        <v>Home</v>
      </c>
      <c r="R356" s="25" t="str">
        <f t="shared" si="7"/>
        <v>Work-Home</v>
      </c>
      <c r="S356" s="49"/>
      <c r="T356" s="49">
        <v>17</v>
      </c>
      <c r="U356" s="43">
        <v>3</v>
      </c>
      <c r="V356" s="43">
        <v>7</v>
      </c>
      <c r="W356" s="49">
        <v>30</v>
      </c>
      <c r="X356" s="49"/>
      <c r="Y356" s="50"/>
      <c r="Z356" s="59"/>
      <c r="AA356" s="25">
        <f>VLOOKUP(F356,Zones!$A$2:$F$15907,6,FALSE)</f>
        <v>1443</v>
      </c>
      <c r="AB356" s="25">
        <f>VLOOKUP(L356,Zones!$A$2:$F$15907,6,FALSE)</f>
        <v>1382</v>
      </c>
    </row>
    <row r="357" spans="2:28">
      <c r="B357" s="40">
        <v>0.77361111111111114</v>
      </c>
      <c r="C357" s="40"/>
      <c r="D357" s="41">
        <v>1</v>
      </c>
      <c r="E357" s="42">
        <v>6</v>
      </c>
      <c r="F357" s="42" t="s">
        <v>170</v>
      </c>
      <c r="G357" s="43" t="s">
        <v>171</v>
      </c>
      <c r="H357" s="42" t="s">
        <v>179</v>
      </c>
      <c r="I357" s="43"/>
      <c r="J357" s="43">
        <v>2</v>
      </c>
      <c r="K357" s="25" t="str">
        <f>VLOOKUP(J357,Key!$E$2:$F$9,2,FALSE)</f>
        <v>Work</v>
      </c>
      <c r="L357" s="42" t="s">
        <v>172</v>
      </c>
      <c r="M357" s="43" t="s">
        <v>172</v>
      </c>
      <c r="N357" s="42" t="s">
        <v>179</v>
      </c>
      <c r="O357" s="43"/>
      <c r="P357" s="43">
        <v>2</v>
      </c>
      <c r="Q357" s="25" t="str">
        <f>VLOOKUP(P357,Key!$E$2:$F$9,2,FALSE)</f>
        <v>Work</v>
      </c>
      <c r="R357" s="25" t="str">
        <f t="shared" si="7"/>
        <v>Work-Work</v>
      </c>
      <c r="S357" s="49"/>
      <c r="T357" s="49">
        <v>1.5</v>
      </c>
      <c r="U357" s="43">
        <v>1</v>
      </c>
      <c r="V357" s="43"/>
      <c r="W357" s="49">
        <v>0</v>
      </c>
      <c r="X357" s="49"/>
      <c r="Y357" s="50"/>
      <c r="Z357" s="59"/>
      <c r="AA357" s="25">
        <f>VLOOKUP(F357,Zones!$A$2:$F$15907,6,FALSE)</f>
        <v>1443</v>
      </c>
      <c r="AB357" s="25">
        <f>VLOOKUP(L357,Zones!$A$2:$F$15907,6,FALSE)</f>
        <v>335</v>
      </c>
    </row>
    <row r="358" spans="2:28">
      <c r="B358" s="40">
        <v>0.77708333333333324</v>
      </c>
      <c r="C358" s="40"/>
      <c r="D358" s="41">
        <v>6</v>
      </c>
      <c r="E358" s="42">
        <v>1</v>
      </c>
      <c r="F358" s="42" t="s">
        <v>176</v>
      </c>
      <c r="G358" s="43" t="s">
        <v>171</v>
      </c>
      <c r="H358" s="42" t="s">
        <v>179</v>
      </c>
      <c r="I358" s="43"/>
      <c r="J358" s="43">
        <v>2</v>
      </c>
      <c r="K358" s="25" t="str">
        <f>VLOOKUP(J358,Key!$E$2:$F$9,2,FALSE)</f>
        <v>Work</v>
      </c>
      <c r="L358" s="42" t="s">
        <v>168</v>
      </c>
      <c r="M358" s="43" t="s">
        <v>171</v>
      </c>
      <c r="N358" s="42" t="s">
        <v>179</v>
      </c>
      <c r="O358" s="43"/>
      <c r="P358" s="43">
        <v>2</v>
      </c>
      <c r="Q358" s="25" t="str">
        <f>VLOOKUP(P358,Key!$E$2:$F$9,2,FALSE)</f>
        <v>Work</v>
      </c>
      <c r="R358" s="25" t="str">
        <f t="shared" si="7"/>
        <v>Work-Work</v>
      </c>
      <c r="S358" s="49"/>
      <c r="T358" s="49">
        <v>0.3</v>
      </c>
      <c r="U358" s="43">
        <v>1</v>
      </c>
      <c r="V358" s="43"/>
      <c r="W358" s="49">
        <v>0</v>
      </c>
      <c r="X358" s="49"/>
      <c r="Y358" s="50"/>
      <c r="Z358" s="59"/>
      <c r="AA358" s="25">
        <f>VLOOKUP(F358,Zones!$A$2:$F$15907,6,FALSE)</f>
        <v>1443</v>
      </c>
      <c r="AB358" s="25">
        <f>VLOOKUP(L358,Zones!$A$2:$F$15907,6,FALSE)</f>
        <v>75</v>
      </c>
    </row>
    <row r="359" spans="2:28">
      <c r="B359" s="40">
        <v>0.78055555555555556</v>
      </c>
      <c r="C359" s="40"/>
      <c r="D359" s="41">
        <v>8</v>
      </c>
      <c r="E359" s="42">
        <v>2</v>
      </c>
      <c r="F359" s="42" t="s">
        <v>173</v>
      </c>
      <c r="G359" s="43" t="s">
        <v>167</v>
      </c>
      <c r="H359" s="42" t="s">
        <v>212</v>
      </c>
      <c r="I359" s="43"/>
      <c r="J359" s="43">
        <v>2</v>
      </c>
      <c r="K359" s="25" t="str">
        <f>VLOOKUP(J359,Key!$E$2:$F$9,2,FALSE)</f>
        <v>Work</v>
      </c>
      <c r="L359" s="42" t="s">
        <v>183</v>
      </c>
      <c r="M359" s="43" t="s">
        <v>183</v>
      </c>
      <c r="N359" s="42" t="s">
        <v>179</v>
      </c>
      <c r="O359" s="43"/>
      <c r="P359" s="43">
        <v>2</v>
      </c>
      <c r="Q359" s="25" t="str">
        <f>VLOOKUP(P359,Key!$E$2:$F$9,2,FALSE)</f>
        <v>Work</v>
      </c>
      <c r="R359" s="25" t="str">
        <f t="shared" si="7"/>
        <v>Work-Work</v>
      </c>
      <c r="S359" s="49"/>
      <c r="T359" s="49">
        <v>12</v>
      </c>
      <c r="U359" s="43">
        <v>3</v>
      </c>
      <c r="V359" s="43">
        <v>6</v>
      </c>
      <c r="W359" s="49">
        <v>20</v>
      </c>
      <c r="X359" s="49"/>
      <c r="Y359" s="50"/>
      <c r="Z359" s="59"/>
      <c r="AA359" s="25">
        <f>VLOOKUP(F359,Zones!$A$2:$F$15907,6,FALSE)</f>
        <v>1443</v>
      </c>
      <c r="AB359" s="25">
        <f>VLOOKUP(L359,Zones!$A$2:$F$15907,6,FALSE)</f>
        <v>521</v>
      </c>
    </row>
    <row r="360" spans="2:28">
      <c r="B360" s="40">
        <v>0.78055555555555556</v>
      </c>
      <c r="C360" s="40"/>
      <c r="D360" s="41">
        <v>9</v>
      </c>
      <c r="E360" s="42">
        <v>3</v>
      </c>
      <c r="F360" s="42" t="s">
        <v>170</v>
      </c>
      <c r="G360" s="43" t="s">
        <v>171</v>
      </c>
      <c r="H360" s="42" t="s">
        <v>179</v>
      </c>
      <c r="I360" s="43"/>
      <c r="J360" s="43">
        <v>2</v>
      </c>
      <c r="K360" s="25" t="str">
        <f>VLOOKUP(J360,Key!$E$2:$F$9,2,FALSE)</f>
        <v>Work</v>
      </c>
      <c r="L360" s="42" t="s">
        <v>172</v>
      </c>
      <c r="M360" s="43" t="s">
        <v>172</v>
      </c>
      <c r="N360" s="42" t="s">
        <v>179</v>
      </c>
      <c r="O360" s="43"/>
      <c r="P360" s="43">
        <v>2</v>
      </c>
      <c r="Q360" s="25" t="str">
        <f>VLOOKUP(P360,Key!$E$2:$F$9,2,FALSE)</f>
        <v>Work</v>
      </c>
      <c r="R360" s="25" t="str">
        <f t="shared" si="7"/>
        <v>Work-Work</v>
      </c>
      <c r="S360" s="49"/>
      <c r="T360" s="49">
        <v>2</v>
      </c>
      <c r="U360" s="43">
        <v>1</v>
      </c>
      <c r="V360" s="43">
        <v>1</v>
      </c>
      <c r="W360" s="49">
        <v>1</v>
      </c>
      <c r="X360" s="49"/>
      <c r="Y360" s="50"/>
      <c r="Z360" s="59"/>
      <c r="AA360" s="25">
        <f>VLOOKUP(F360,Zones!$A$2:$F$15907,6,FALSE)</f>
        <v>1443</v>
      </c>
      <c r="AB360" s="25">
        <f>VLOOKUP(L360,Zones!$A$2:$F$15907,6,FALSE)</f>
        <v>335</v>
      </c>
    </row>
    <row r="361" spans="2:28">
      <c r="B361" s="40">
        <v>0.78402777777777777</v>
      </c>
      <c r="C361" s="40"/>
      <c r="D361" s="41">
        <v>9</v>
      </c>
      <c r="E361" s="42">
        <v>5</v>
      </c>
      <c r="F361" s="42" t="s">
        <v>173</v>
      </c>
      <c r="G361" s="43" t="s">
        <v>167</v>
      </c>
      <c r="H361" s="42" t="s">
        <v>212</v>
      </c>
      <c r="I361" s="43"/>
      <c r="J361" s="43">
        <v>2</v>
      </c>
      <c r="K361" s="25" t="str">
        <f>VLOOKUP(J361,Key!$E$2:$F$9,2,FALSE)</f>
        <v>Work</v>
      </c>
      <c r="L361" s="42" t="s">
        <v>227</v>
      </c>
      <c r="M361" s="43" t="s">
        <v>183</v>
      </c>
      <c r="N361" s="42" t="s">
        <v>179</v>
      </c>
      <c r="O361" s="43"/>
      <c r="P361" s="43">
        <v>2</v>
      </c>
      <c r="Q361" s="25" t="str">
        <f>VLOOKUP(P361,Key!$E$2:$F$9,2,FALSE)</f>
        <v>Work</v>
      </c>
      <c r="R361" s="25" t="str">
        <f t="shared" si="7"/>
        <v>Work-Work</v>
      </c>
      <c r="S361" s="49"/>
      <c r="T361" s="49">
        <v>24</v>
      </c>
      <c r="U361" s="43">
        <v>3</v>
      </c>
      <c r="V361" s="43">
        <v>7</v>
      </c>
      <c r="W361" s="49">
        <v>27</v>
      </c>
      <c r="X361" s="49"/>
      <c r="Y361" s="50"/>
      <c r="Z361" s="59"/>
      <c r="AA361" s="25">
        <f>VLOOKUP(F361,Zones!$A$2:$F$15907,6,FALSE)</f>
        <v>1443</v>
      </c>
      <c r="AB361" s="25">
        <f>VLOOKUP(L361,Zones!$A$2:$F$15907,6,FALSE)</f>
        <v>573</v>
      </c>
    </row>
    <row r="362" spans="2:28">
      <c r="B362" s="40">
        <v>0.78611111111111109</v>
      </c>
      <c r="C362" s="40"/>
      <c r="D362" s="41">
        <v>1</v>
      </c>
      <c r="E362" s="42">
        <v>4</v>
      </c>
      <c r="F362" s="42" t="s">
        <v>170</v>
      </c>
      <c r="G362" s="43" t="s">
        <v>171</v>
      </c>
      <c r="H362" s="42" t="s">
        <v>179</v>
      </c>
      <c r="I362" s="43"/>
      <c r="J362" s="43">
        <v>2</v>
      </c>
      <c r="K362" s="25" t="str">
        <f>VLOOKUP(J362,Key!$E$2:$F$9,2,FALSE)</f>
        <v>Work</v>
      </c>
      <c r="L362" s="42" t="s">
        <v>172</v>
      </c>
      <c r="M362" s="43" t="s">
        <v>172</v>
      </c>
      <c r="N362" s="42" t="s">
        <v>179</v>
      </c>
      <c r="O362" s="43"/>
      <c r="P362" s="43">
        <v>2</v>
      </c>
      <c r="Q362" s="25" t="str">
        <f>VLOOKUP(P362,Key!$E$2:$F$9,2,FALSE)</f>
        <v>Work</v>
      </c>
      <c r="R362" s="25" t="str">
        <f t="shared" si="7"/>
        <v>Work-Work</v>
      </c>
      <c r="S362" s="49"/>
      <c r="T362" s="49">
        <v>1.5</v>
      </c>
      <c r="U362" s="43">
        <v>1</v>
      </c>
      <c r="V362" s="43"/>
      <c r="W362" s="49">
        <v>0</v>
      </c>
      <c r="X362" s="49"/>
      <c r="Y362" s="50"/>
      <c r="Z362" s="59"/>
      <c r="AA362" s="25">
        <f>VLOOKUP(F362,Zones!$A$2:$F$15907,6,FALSE)</f>
        <v>1443</v>
      </c>
      <c r="AB362" s="25">
        <f>VLOOKUP(L362,Zones!$A$2:$F$15907,6,FALSE)</f>
        <v>335</v>
      </c>
    </row>
    <row r="363" spans="2:28">
      <c r="B363" s="40">
        <v>0.78819444444444453</v>
      </c>
      <c r="C363" s="40"/>
      <c r="D363" s="41">
        <v>1</v>
      </c>
      <c r="E363" s="42">
        <v>5</v>
      </c>
      <c r="F363" s="42" t="s">
        <v>170</v>
      </c>
      <c r="G363" s="43" t="s">
        <v>171</v>
      </c>
      <c r="H363" s="42" t="s">
        <v>179</v>
      </c>
      <c r="I363" s="43"/>
      <c r="J363" s="43">
        <v>2</v>
      </c>
      <c r="K363" s="25" t="str">
        <f>VLOOKUP(J363,Key!$E$2:$F$9,2,FALSE)</f>
        <v>Work</v>
      </c>
      <c r="L363" s="42" t="s">
        <v>168</v>
      </c>
      <c r="M363" s="43" t="s">
        <v>171</v>
      </c>
      <c r="N363" s="42" t="s">
        <v>179</v>
      </c>
      <c r="O363" s="43"/>
      <c r="P363" s="43">
        <v>1</v>
      </c>
      <c r="Q363" s="25" t="str">
        <f>VLOOKUP(P363,Key!$E$2:$F$9,2,FALSE)</f>
        <v>Home</v>
      </c>
      <c r="R363" s="25" t="str">
        <f t="shared" si="7"/>
        <v>Work-Home</v>
      </c>
      <c r="S363" s="49"/>
      <c r="T363" s="49">
        <v>0.5</v>
      </c>
      <c r="U363" s="43">
        <v>1</v>
      </c>
      <c r="V363" s="43"/>
      <c r="W363" s="49">
        <v>0</v>
      </c>
      <c r="X363" s="49"/>
      <c r="Y363" s="50"/>
      <c r="Z363" s="59"/>
      <c r="AA363" s="25">
        <f>VLOOKUP(F363,Zones!$A$2:$F$15907,6,FALSE)</f>
        <v>1443</v>
      </c>
      <c r="AB363" s="25">
        <f>VLOOKUP(L363,Zones!$A$2:$F$15907,6,FALSE)</f>
        <v>75</v>
      </c>
    </row>
    <row r="364" spans="2:28">
      <c r="B364" s="40">
        <v>0.78819444444444453</v>
      </c>
      <c r="C364" s="40"/>
      <c r="D364" s="41">
        <v>1</v>
      </c>
      <c r="E364" s="42">
        <v>2</v>
      </c>
      <c r="F364" s="42" t="s">
        <v>173</v>
      </c>
      <c r="G364" s="43" t="s">
        <v>167</v>
      </c>
      <c r="H364" s="42" t="s">
        <v>212</v>
      </c>
      <c r="I364" s="43"/>
      <c r="J364" s="43">
        <v>2</v>
      </c>
      <c r="K364" s="25" t="str">
        <f>VLOOKUP(J364,Key!$E$2:$F$9,2,FALSE)</f>
        <v>Work</v>
      </c>
      <c r="L364" s="42" t="s">
        <v>172</v>
      </c>
      <c r="M364" s="43" t="s">
        <v>172</v>
      </c>
      <c r="N364" s="42" t="s">
        <v>179</v>
      </c>
      <c r="O364" s="43"/>
      <c r="P364" s="43">
        <v>1</v>
      </c>
      <c r="Q364" s="25" t="str">
        <f>VLOOKUP(P364,Key!$E$2:$F$9,2,FALSE)</f>
        <v>Home</v>
      </c>
      <c r="R364" s="25" t="str">
        <f t="shared" si="7"/>
        <v>Work-Home</v>
      </c>
      <c r="S364" s="49"/>
      <c r="T364" s="49">
        <v>9</v>
      </c>
      <c r="U364" s="43">
        <v>4</v>
      </c>
      <c r="V364" s="43"/>
      <c r="W364" s="49">
        <v>0</v>
      </c>
      <c r="X364" s="49"/>
      <c r="Y364" s="50"/>
      <c r="Z364" s="59"/>
      <c r="AA364" s="25">
        <f>VLOOKUP(F364,Zones!$A$2:$F$15907,6,FALSE)</f>
        <v>1443</v>
      </c>
      <c r="AB364" s="25">
        <f>VLOOKUP(L364,Zones!$A$2:$F$15907,6,FALSE)</f>
        <v>335</v>
      </c>
    </row>
    <row r="365" spans="2:28">
      <c r="B365" s="40">
        <v>0.7895833333333333</v>
      </c>
      <c r="C365" s="40"/>
      <c r="D365" s="41">
        <v>6</v>
      </c>
      <c r="E365" s="42">
        <v>50</v>
      </c>
      <c r="F365" s="42" t="s">
        <v>170</v>
      </c>
      <c r="G365" s="43" t="s">
        <v>171</v>
      </c>
      <c r="H365" s="42" t="s">
        <v>179</v>
      </c>
      <c r="I365" s="43"/>
      <c r="J365" s="43">
        <v>2</v>
      </c>
      <c r="K365" s="25" t="str">
        <f>VLOOKUP(J365,Key!$E$2:$F$9,2,FALSE)</f>
        <v>Work</v>
      </c>
      <c r="L365" s="42" t="s">
        <v>168</v>
      </c>
      <c r="M365" s="43" t="s">
        <v>171</v>
      </c>
      <c r="N365" s="42" t="s">
        <v>179</v>
      </c>
      <c r="O365" s="43"/>
      <c r="P365" s="43">
        <v>2</v>
      </c>
      <c r="Q365" s="25" t="str">
        <f>VLOOKUP(P365,Key!$E$2:$F$9,2,FALSE)</f>
        <v>Work</v>
      </c>
      <c r="R365" s="25" t="str">
        <f t="shared" si="7"/>
        <v>Work-Work</v>
      </c>
      <c r="S365" s="49"/>
      <c r="T365" s="49">
        <v>0.7</v>
      </c>
      <c r="U365" s="43">
        <v>1</v>
      </c>
      <c r="V365" s="43"/>
      <c r="W365" s="49">
        <v>0</v>
      </c>
      <c r="X365" s="49"/>
      <c r="Y365" s="50"/>
      <c r="Z365" s="59"/>
      <c r="AA365" s="25">
        <f>VLOOKUP(F365,Zones!$A$2:$F$15907,6,FALSE)</f>
        <v>1443</v>
      </c>
      <c r="AB365" s="25">
        <f>VLOOKUP(L365,Zones!$A$2:$F$15907,6,FALSE)</f>
        <v>75</v>
      </c>
    </row>
    <row r="366" spans="2:28">
      <c r="B366" s="40">
        <v>0.7909722222222223</v>
      </c>
      <c r="C366" s="40"/>
      <c r="D366" s="41">
        <v>1</v>
      </c>
      <c r="E366" s="42">
        <v>7</v>
      </c>
      <c r="F366" s="42" t="s">
        <v>170</v>
      </c>
      <c r="G366" s="43" t="s">
        <v>171</v>
      </c>
      <c r="H366" s="42" t="s">
        <v>179</v>
      </c>
      <c r="I366" s="43"/>
      <c r="J366" s="43">
        <v>2</v>
      </c>
      <c r="K366" s="25" t="str">
        <f>VLOOKUP(J366,Key!$E$2:$F$9,2,FALSE)</f>
        <v>Work</v>
      </c>
      <c r="L366" s="42" t="s">
        <v>172</v>
      </c>
      <c r="M366" s="43" t="s">
        <v>172</v>
      </c>
      <c r="N366" s="42" t="s">
        <v>179</v>
      </c>
      <c r="O366" s="43"/>
      <c r="P366" s="43">
        <v>2</v>
      </c>
      <c r="Q366" s="25" t="str">
        <f>VLOOKUP(P366,Key!$E$2:$F$9,2,FALSE)</f>
        <v>Work</v>
      </c>
      <c r="R366" s="25" t="str">
        <f t="shared" si="7"/>
        <v>Work-Work</v>
      </c>
      <c r="S366" s="49"/>
      <c r="T366" s="49">
        <v>2</v>
      </c>
      <c r="U366" s="43">
        <v>1</v>
      </c>
      <c r="V366" s="43"/>
      <c r="W366" s="49">
        <v>0</v>
      </c>
      <c r="X366" s="49"/>
      <c r="Y366" s="50"/>
      <c r="Z366" s="59"/>
      <c r="AA366" s="25">
        <f>VLOOKUP(F366,Zones!$A$2:$F$15907,6,FALSE)</f>
        <v>1443</v>
      </c>
      <c r="AB366" s="25">
        <f>VLOOKUP(L366,Zones!$A$2:$F$15907,6,FALSE)</f>
        <v>335</v>
      </c>
    </row>
    <row r="367" spans="2:28">
      <c r="B367" s="40">
        <v>0.30902777777777779</v>
      </c>
      <c r="C367" s="40"/>
      <c r="D367" s="41">
        <v>8</v>
      </c>
      <c r="E367" s="42">
        <v>2</v>
      </c>
      <c r="F367" s="42" t="s">
        <v>228</v>
      </c>
      <c r="G367" s="43" t="s">
        <v>228</v>
      </c>
      <c r="H367" s="42" t="s">
        <v>179</v>
      </c>
      <c r="I367" s="43"/>
      <c r="J367" s="43">
        <v>4</v>
      </c>
      <c r="K367" s="25" t="str">
        <f>VLOOKUP(J367,Key!$E$2:$F$9,2,FALSE)</f>
        <v>Commercial</v>
      </c>
      <c r="L367" s="42" t="s">
        <v>173</v>
      </c>
      <c r="M367" s="43" t="s">
        <v>167</v>
      </c>
      <c r="N367" s="42" t="s">
        <v>212</v>
      </c>
      <c r="O367" s="43"/>
      <c r="P367" s="43">
        <v>4</v>
      </c>
      <c r="Q367" s="25" t="str">
        <f>VLOOKUP(P367,Key!$E$2:$F$9,2,FALSE)</f>
        <v>Commercial</v>
      </c>
      <c r="R367" s="25" t="str">
        <f>K367&amp;"-"&amp;Q367</f>
        <v>Commercial-Commercial</v>
      </c>
      <c r="S367" s="49"/>
      <c r="T367" s="49">
        <v>24</v>
      </c>
      <c r="U367" s="43">
        <v>4</v>
      </c>
      <c r="V367" s="43">
        <v>9</v>
      </c>
      <c r="W367" s="49"/>
      <c r="X367" s="49"/>
      <c r="Y367" s="50"/>
      <c r="Z367" s="62"/>
      <c r="AA367" s="25">
        <f>VLOOKUP(F367,Zones!$A$2:$F$15907,6,FALSE)</f>
        <v>975</v>
      </c>
      <c r="AB367" s="25">
        <f>VLOOKUP(L367,Zones!$A$2:$F$15907,6,FALSE)</f>
        <v>1443</v>
      </c>
    </row>
    <row r="368" spans="2:28">
      <c r="B368" s="40">
        <v>0.32777777777777778</v>
      </c>
      <c r="C368" s="40"/>
      <c r="D368" s="41">
        <v>9</v>
      </c>
      <c r="E368" s="42">
        <v>2</v>
      </c>
      <c r="F368" s="42" t="s">
        <v>189</v>
      </c>
      <c r="G368" s="43" t="s">
        <v>190</v>
      </c>
      <c r="H368" s="42" t="s">
        <v>200</v>
      </c>
      <c r="I368" s="43"/>
      <c r="J368" s="43">
        <v>4</v>
      </c>
      <c r="K368" s="25" t="str">
        <f>VLOOKUP(J368,Key!$E$2:$F$9,2,FALSE)</f>
        <v>Commercial</v>
      </c>
      <c r="L368" s="42" t="s">
        <v>173</v>
      </c>
      <c r="M368" s="43" t="s">
        <v>167</v>
      </c>
      <c r="N368" s="42" t="s">
        <v>212</v>
      </c>
      <c r="O368" s="43"/>
      <c r="P368" s="43">
        <v>4</v>
      </c>
      <c r="Q368" s="25" t="str">
        <f>VLOOKUP(P368,Key!$E$2:$F$9,2,FALSE)</f>
        <v>Commercial</v>
      </c>
      <c r="R368" s="25" t="str">
        <f t="shared" ref="R368:R400" si="8">K368&amp;"-"&amp;Q368</f>
        <v>Commercial-Commercial</v>
      </c>
      <c r="S368" s="49"/>
      <c r="T368" s="49">
        <v>96</v>
      </c>
      <c r="U368" s="43">
        <v>4</v>
      </c>
      <c r="V368" s="43">
        <v>6</v>
      </c>
      <c r="W368" s="49"/>
      <c r="X368" s="49"/>
      <c r="Y368" s="50"/>
      <c r="Z368" s="62"/>
      <c r="AA368" s="25">
        <f>VLOOKUP(F368,Zones!$A$2:$F$15907,6,FALSE)</f>
        <v>1434</v>
      </c>
      <c r="AB368" s="25">
        <f>VLOOKUP(L368,Zones!$A$2:$F$15907,6,FALSE)</f>
        <v>1443</v>
      </c>
    </row>
    <row r="369" spans="2:28">
      <c r="B369" s="40">
        <v>0.3347222222222222</v>
      </c>
      <c r="C369" s="40"/>
      <c r="D369" s="41">
        <v>2</v>
      </c>
      <c r="E369" s="42">
        <v>1</v>
      </c>
      <c r="F369" s="42" t="s">
        <v>229</v>
      </c>
      <c r="G369" s="43" t="s">
        <v>183</v>
      </c>
      <c r="H369" s="42" t="s">
        <v>179</v>
      </c>
      <c r="I369" s="43"/>
      <c r="J369" s="43">
        <v>2</v>
      </c>
      <c r="K369" s="25" t="str">
        <f>VLOOKUP(J369,Key!$E$2:$F$9,2,FALSE)</f>
        <v>Work</v>
      </c>
      <c r="L369" s="42" t="s">
        <v>170</v>
      </c>
      <c r="M369" s="43" t="s">
        <v>171</v>
      </c>
      <c r="N369" s="42" t="s">
        <v>179</v>
      </c>
      <c r="O369" s="43"/>
      <c r="P369" s="43">
        <v>2</v>
      </c>
      <c r="Q369" s="25" t="str">
        <f>VLOOKUP(P369,Key!$E$2:$F$9,2,FALSE)</f>
        <v>Work</v>
      </c>
      <c r="R369" s="25" t="str">
        <f t="shared" si="8"/>
        <v>Work-Work</v>
      </c>
      <c r="S369" s="49"/>
      <c r="T369" s="49">
        <v>8</v>
      </c>
      <c r="U369" s="43">
        <v>4</v>
      </c>
      <c r="V369" s="43"/>
      <c r="W369" s="49"/>
      <c r="X369" s="49"/>
      <c r="Y369" s="50"/>
      <c r="Z369" s="62"/>
      <c r="AA369" s="25">
        <f>VLOOKUP(F369,Zones!$A$2:$F$15907,6,FALSE)</f>
        <v>1397</v>
      </c>
      <c r="AB369" s="25">
        <f>VLOOKUP(L369,Zones!$A$2:$F$15907,6,FALSE)</f>
        <v>1443</v>
      </c>
    </row>
    <row r="370" spans="2:28">
      <c r="B370" s="40">
        <v>0.3576388888888889</v>
      </c>
      <c r="C370" s="40"/>
      <c r="D370" s="41">
        <v>9</v>
      </c>
      <c r="E370" s="42">
        <v>1</v>
      </c>
      <c r="F370" s="42" t="s">
        <v>230</v>
      </c>
      <c r="G370" s="43" t="s">
        <v>230</v>
      </c>
      <c r="H370" s="42" t="s">
        <v>179</v>
      </c>
      <c r="I370" s="43"/>
      <c r="J370" s="43">
        <v>4</v>
      </c>
      <c r="K370" s="25" t="str">
        <f>VLOOKUP(J370,Key!$E$2:$F$9,2,FALSE)</f>
        <v>Commercial</v>
      </c>
      <c r="L370" s="42" t="s">
        <v>173</v>
      </c>
      <c r="M370" s="43" t="s">
        <v>167</v>
      </c>
      <c r="N370" s="42" t="s">
        <v>212</v>
      </c>
      <c r="O370" s="43"/>
      <c r="P370" s="43">
        <v>4</v>
      </c>
      <c r="Q370" s="25" t="str">
        <f>VLOOKUP(P370,Key!$E$2:$F$9,2,FALSE)</f>
        <v>Commercial</v>
      </c>
      <c r="R370" s="25" t="str">
        <f t="shared" si="8"/>
        <v>Commercial-Commercial</v>
      </c>
      <c r="S370" s="49"/>
      <c r="T370" s="49">
        <v>48</v>
      </c>
      <c r="U370" s="43">
        <v>4</v>
      </c>
      <c r="V370" s="43">
        <v>9</v>
      </c>
      <c r="W370" s="49"/>
      <c r="X370" s="49"/>
      <c r="Y370" s="50"/>
      <c r="Z370" s="62"/>
      <c r="AA370" s="25">
        <f>VLOOKUP(F370,Zones!$A$2:$F$15907,6,FALSE)</f>
        <v>987</v>
      </c>
      <c r="AB370" s="25">
        <f>VLOOKUP(L370,Zones!$A$2:$F$15907,6,FALSE)</f>
        <v>1443</v>
      </c>
    </row>
    <row r="371" spans="2:28">
      <c r="B371" s="40">
        <v>0.36805555555555558</v>
      </c>
      <c r="C371" s="40"/>
      <c r="D371" s="41">
        <v>1</v>
      </c>
      <c r="E371" s="42">
        <v>3</v>
      </c>
      <c r="F371" s="42" t="s">
        <v>172</v>
      </c>
      <c r="G371" s="43" t="s">
        <v>172</v>
      </c>
      <c r="H371" s="42" t="s">
        <v>179</v>
      </c>
      <c r="I371" s="43"/>
      <c r="J371" s="43">
        <v>4</v>
      </c>
      <c r="K371" s="25" t="str">
        <f>VLOOKUP(J371,Key!$E$2:$F$9,2,FALSE)</f>
        <v>Commercial</v>
      </c>
      <c r="L371" s="42" t="s">
        <v>170</v>
      </c>
      <c r="M371" s="43" t="s">
        <v>171</v>
      </c>
      <c r="N371" s="42" t="s">
        <v>179</v>
      </c>
      <c r="O371" s="43"/>
      <c r="P371" s="43">
        <v>4</v>
      </c>
      <c r="Q371" s="25" t="str">
        <f>VLOOKUP(P371,Key!$E$2:$F$9,2,FALSE)</f>
        <v>Commercial</v>
      </c>
      <c r="R371" s="25" t="str">
        <f t="shared" si="8"/>
        <v>Commercial-Commercial</v>
      </c>
      <c r="S371" s="49"/>
      <c r="T371" s="49">
        <v>1.5</v>
      </c>
      <c r="U371" s="43">
        <v>1</v>
      </c>
      <c r="V371" s="43"/>
      <c r="W371" s="49"/>
      <c r="X371" s="49"/>
      <c r="Y371" s="50"/>
      <c r="Z371" s="62"/>
      <c r="AA371" s="25">
        <f>VLOOKUP(F371,Zones!$A$2:$F$15907,6,FALSE)</f>
        <v>335</v>
      </c>
      <c r="AB371" s="25">
        <f>VLOOKUP(L371,Zones!$A$2:$F$15907,6,FALSE)</f>
        <v>1443</v>
      </c>
    </row>
    <row r="372" spans="2:28">
      <c r="B372" s="40">
        <v>0.38125000000000003</v>
      </c>
      <c r="C372" s="40"/>
      <c r="D372" s="41">
        <v>8</v>
      </c>
      <c r="E372" s="42">
        <v>1</v>
      </c>
      <c r="F372" s="42" t="s">
        <v>184</v>
      </c>
      <c r="G372" s="43" t="s">
        <v>184</v>
      </c>
      <c r="H372" s="42" t="s">
        <v>200</v>
      </c>
      <c r="I372" s="43"/>
      <c r="J372" s="43">
        <v>4</v>
      </c>
      <c r="K372" s="25" t="str">
        <f>VLOOKUP(J372,Key!$E$2:$F$9,2,FALSE)</f>
        <v>Commercial</v>
      </c>
      <c r="L372" s="42" t="s">
        <v>173</v>
      </c>
      <c r="M372" s="43" t="s">
        <v>167</v>
      </c>
      <c r="N372" s="42" t="s">
        <v>212</v>
      </c>
      <c r="O372" s="43"/>
      <c r="P372" s="43">
        <v>4</v>
      </c>
      <c r="Q372" s="25" t="str">
        <f>VLOOKUP(P372,Key!$E$2:$F$9,2,FALSE)</f>
        <v>Commercial</v>
      </c>
      <c r="R372" s="25" t="str">
        <f t="shared" si="8"/>
        <v>Commercial-Commercial</v>
      </c>
      <c r="S372" s="49"/>
      <c r="T372" s="49">
        <v>72</v>
      </c>
      <c r="U372" s="43">
        <v>4</v>
      </c>
      <c r="V372" s="43">
        <v>9</v>
      </c>
      <c r="W372" s="49"/>
      <c r="X372" s="49"/>
      <c r="Y372" s="50"/>
      <c r="Z372" s="62"/>
      <c r="AA372" s="25">
        <f>VLOOKUP(F372,Zones!$A$2:$F$15907,6,FALSE)</f>
        <v>1434</v>
      </c>
      <c r="AB372" s="25">
        <f>VLOOKUP(L372,Zones!$A$2:$F$15907,6,FALSE)</f>
        <v>1443</v>
      </c>
    </row>
    <row r="373" spans="2:28">
      <c r="B373" s="40">
        <v>0.38194444444444442</v>
      </c>
      <c r="C373" s="40"/>
      <c r="D373" s="41">
        <v>8</v>
      </c>
      <c r="E373" s="42">
        <v>1</v>
      </c>
      <c r="F373" s="42" t="s">
        <v>204</v>
      </c>
      <c r="G373" s="43" t="s">
        <v>183</v>
      </c>
      <c r="H373" s="42" t="s">
        <v>179</v>
      </c>
      <c r="I373" s="43"/>
      <c r="J373" s="43">
        <v>4</v>
      </c>
      <c r="K373" s="25" t="str">
        <f>VLOOKUP(J373,Key!$E$2:$F$9,2,FALSE)</f>
        <v>Commercial</v>
      </c>
      <c r="L373" s="42" t="s">
        <v>173</v>
      </c>
      <c r="M373" s="43" t="s">
        <v>167</v>
      </c>
      <c r="N373" s="42" t="s">
        <v>212</v>
      </c>
      <c r="O373" s="43"/>
      <c r="P373" s="43">
        <v>4</v>
      </c>
      <c r="Q373" s="25" t="str">
        <f>VLOOKUP(P373,Key!$E$2:$F$9,2,FALSE)</f>
        <v>Commercial</v>
      </c>
      <c r="R373" s="25" t="str">
        <f t="shared" si="8"/>
        <v>Commercial-Commercial</v>
      </c>
      <c r="S373" s="49"/>
      <c r="T373" s="49">
        <v>48</v>
      </c>
      <c r="U373" s="43">
        <v>4</v>
      </c>
      <c r="V373" s="43">
        <v>8</v>
      </c>
      <c r="W373" s="49"/>
      <c r="X373" s="49"/>
      <c r="Y373" s="50"/>
      <c r="Z373" s="62"/>
      <c r="AA373" s="25">
        <f>VLOOKUP(F373,Zones!$A$2:$F$15907,6,FALSE)</f>
        <v>567</v>
      </c>
      <c r="AB373" s="25">
        <f>VLOOKUP(L373,Zones!$A$2:$F$15907,6,FALSE)</f>
        <v>1443</v>
      </c>
    </row>
    <row r="374" spans="2:28">
      <c r="B374" s="40">
        <v>0.41805555555555557</v>
      </c>
      <c r="C374" s="40"/>
      <c r="D374" s="41">
        <v>9</v>
      </c>
      <c r="E374" s="42">
        <v>2</v>
      </c>
      <c r="F374" s="42" t="s">
        <v>223</v>
      </c>
      <c r="G374" s="43" t="s">
        <v>183</v>
      </c>
      <c r="H374" s="42" t="s">
        <v>179</v>
      </c>
      <c r="I374" s="43"/>
      <c r="J374" s="43">
        <v>4</v>
      </c>
      <c r="K374" s="25" t="str">
        <f>VLOOKUP(J374,Key!$E$2:$F$9,2,FALSE)</f>
        <v>Commercial</v>
      </c>
      <c r="L374" s="42" t="s">
        <v>173</v>
      </c>
      <c r="M374" s="43" t="s">
        <v>167</v>
      </c>
      <c r="N374" s="42" t="s">
        <v>212</v>
      </c>
      <c r="O374" s="43"/>
      <c r="P374" s="43">
        <v>4</v>
      </c>
      <c r="Q374" s="25" t="str">
        <f>VLOOKUP(P374,Key!$E$2:$F$9,2,FALSE)</f>
        <v>Commercial</v>
      </c>
      <c r="R374" s="25" t="str">
        <f t="shared" si="8"/>
        <v>Commercial-Commercial</v>
      </c>
      <c r="S374" s="49"/>
      <c r="T374" s="49">
        <v>48</v>
      </c>
      <c r="U374" s="43">
        <v>4</v>
      </c>
      <c r="V374" s="43">
        <v>9</v>
      </c>
      <c r="W374" s="49"/>
      <c r="X374" s="49"/>
      <c r="Y374" s="50"/>
      <c r="Z374" s="62"/>
      <c r="AA374" s="25">
        <f>VLOOKUP(F374,Zones!$A$2:$F$15907,6,FALSE)</f>
        <v>523</v>
      </c>
      <c r="AB374" s="25">
        <f>VLOOKUP(L374,Zones!$A$2:$F$15907,6,FALSE)</f>
        <v>1443</v>
      </c>
    </row>
    <row r="375" spans="2:28">
      <c r="B375" s="40">
        <v>0.4291666666666667</v>
      </c>
      <c r="C375" s="40"/>
      <c r="D375" s="41">
        <v>2</v>
      </c>
      <c r="E375" s="42">
        <v>1</v>
      </c>
      <c r="F375" s="42" t="s">
        <v>172</v>
      </c>
      <c r="G375" s="43" t="s">
        <v>172</v>
      </c>
      <c r="H375" s="42" t="s">
        <v>179</v>
      </c>
      <c r="I375" s="43"/>
      <c r="J375" s="43">
        <v>1</v>
      </c>
      <c r="K375" s="25" t="str">
        <f>VLOOKUP(J375,Key!$E$2:$F$9,2,FALSE)</f>
        <v>Home</v>
      </c>
      <c r="L375" s="42" t="s">
        <v>170</v>
      </c>
      <c r="M375" s="43" t="s">
        <v>171</v>
      </c>
      <c r="N375" s="42" t="s">
        <v>179</v>
      </c>
      <c r="O375" s="43"/>
      <c r="P375" s="43">
        <v>2</v>
      </c>
      <c r="Q375" s="25" t="str">
        <f>VLOOKUP(P375,Key!$E$2:$F$9,2,FALSE)</f>
        <v>Work</v>
      </c>
      <c r="R375" s="25" t="str">
        <f t="shared" si="8"/>
        <v>Home-Work</v>
      </c>
      <c r="S375" s="49"/>
      <c r="T375" s="49">
        <v>1.5</v>
      </c>
      <c r="U375" s="43">
        <v>4</v>
      </c>
      <c r="V375" s="43"/>
      <c r="W375" s="49"/>
      <c r="X375" s="49"/>
      <c r="Y375" s="50"/>
      <c r="Z375" s="62"/>
      <c r="AA375" s="25">
        <f>VLOOKUP(F375,Zones!$A$2:$F$15907,6,FALSE)</f>
        <v>335</v>
      </c>
      <c r="AB375" s="25">
        <f>VLOOKUP(L375,Zones!$A$2:$F$15907,6,FALSE)</f>
        <v>1443</v>
      </c>
    </row>
    <row r="376" spans="2:28">
      <c r="B376" s="40">
        <v>0.44097222222222227</v>
      </c>
      <c r="C376" s="40"/>
      <c r="D376" s="41">
        <v>3</v>
      </c>
      <c r="E376" s="42">
        <v>3</v>
      </c>
      <c r="F376" s="42" t="s">
        <v>231</v>
      </c>
      <c r="G376" s="43" t="s">
        <v>231</v>
      </c>
      <c r="H376" s="42" t="s">
        <v>179</v>
      </c>
      <c r="I376" s="43"/>
      <c r="J376" s="43">
        <v>2</v>
      </c>
      <c r="K376" s="25" t="str">
        <f>VLOOKUP(J376,Key!$E$2:$F$9,2,FALSE)</f>
        <v>Work</v>
      </c>
      <c r="L376" s="42" t="s">
        <v>170</v>
      </c>
      <c r="M376" s="43" t="s">
        <v>171</v>
      </c>
      <c r="N376" s="42" t="s">
        <v>179</v>
      </c>
      <c r="O376" s="43"/>
      <c r="P376" s="43">
        <v>2</v>
      </c>
      <c r="Q376" s="25" t="str">
        <f>VLOOKUP(P376,Key!$E$2:$F$9,2,FALSE)</f>
        <v>Work</v>
      </c>
      <c r="R376" s="25" t="str">
        <f t="shared" si="8"/>
        <v>Work-Work</v>
      </c>
      <c r="S376" s="49"/>
      <c r="T376" s="49">
        <v>4</v>
      </c>
      <c r="U376" s="43">
        <v>5</v>
      </c>
      <c r="V376" s="43"/>
      <c r="W376" s="49"/>
      <c r="X376" s="49"/>
      <c r="Y376" s="50"/>
      <c r="Z376" s="62"/>
      <c r="AA376" s="25">
        <f>VLOOKUP(F376,Zones!$A$2:$F$15907,6,FALSE)</f>
        <v>1238</v>
      </c>
      <c r="AB376" s="25">
        <f>VLOOKUP(L376,Zones!$A$2:$F$15907,6,FALSE)</f>
        <v>1443</v>
      </c>
    </row>
    <row r="377" spans="2:28">
      <c r="B377" s="40">
        <v>0.44444444444444442</v>
      </c>
      <c r="C377" s="40"/>
      <c r="D377" s="41">
        <v>8</v>
      </c>
      <c r="E377" s="42">
        <v>2</v>
      </c>
      <c r="F377" s="42" t="s">
        <v>183</v>
      </c>
      <c r="G377" s="43" t="s">
        <v>183</v>
      </c>
      <c r="H377" s="42" t="s">
        <v>179</v>
      </c>
      <c r="I377" s="43"/>
      <c r="J377" s="43">
        <v>4</v>
      </c>
      <c r="K377" s="25" t="str">
        <f>VLOOKUP(J377,Key!$E$2:$F$9,2,FALSE)</f>
        <v>Commercial</v>
      </c>
      <c r="L377" s="42" t="s">
        <v>173</v>
      </c>
      <c r="M377" s="43" t="s">
        <v>167</v>
      </c>
      <c r="N377" s="42" t="s">
        <v>212</v>
      </c>
      <c r="O377" s="43"/>
      <c r="P377" s="43">
        <v>4</v>
      </c>
      <c r="Q377" s="25" t="str">
        <f>VLOOKUP(P377,Key!$E$2:$F$9,2,FALSE)</f>
        <v>Commercial</v>
      </c>
      <c r="R377" s="25" t="str">
        <f t="shared" si="8"/>
        <v>Commercial-Commercial</v>
      </c>
      <c r="S377" s="49"/>
      <c r="T377" s="49">
        <v>24</v>
      </c>
      <c r="U377" s="43">
        <v>4</v>
      </c>
      <c r="V377" s="43">
        <v>9</v>
      </c>
      <c r="W377" s="49"/>
      <c r="X377" s="49"/>
      <c r="Y377" s="50"/>
      <c r="Z377" s="62"/>
      <c r="AA377" s="25">
        <f>VLOOKUP(F377,Zones!$A$2:$F$15907,6,FALSE)</f>
        <v>521</v>
      </c>
      <c r="AB377" s="25">
        <f>VLOOKUP(L377,Zones!$A$2:$F$15907,6,FALSE)</f>
        <v>1443</v>
      </c>
    </row>
    <row r="378" spans="2:28">
      <c r="B378" s="40">
        <v>0.45069444444444445</v>
      </c>
      <c r="C378" s="40"/>
      <c r="D378" s="41">
        <v>9</v>
      </c>
      <c r="E378" s="42">
        <v>1</v>
      </c>
      <c r="F378" s="42" t="s">
        <v>232</v>
      </c>
      <c r="G378" s="43" t="s">
        <v>183</v>
      </c>
      <c r="H378" s="42" t="s">
        <v>179</v>
      </c>
      <c r="I378" s="43"/>
      <c r="J378" s="43">
        <v>4</v>
      </c>
      <c r="K378" s="25" t="str">
        <f>VLOOKUP(J378,Key!$E$2:$F$9,2,FALSE)</f>
        <v>Commercial</v>
      </c>
      <c r="L378" s="42" t="s">
        <v>173</v>
      </c>
      <c r="M378" s="43" t="s">
        <v>167</v>
      </c>
      <c r="N378" s="42" t="s">
        <v>212</v>
      </c>
      <c r="O378" s="43"/>
      <c r="P378" s="43">
        <v>4</v>
      </c>
      <c r="Q378" s="25" t="str">
        <f>VLOOKUP(P378,Key!$E$2:$F$9,2,FALSE)</f>
        <v>Commercial</v>
      </c>
      <c r="R378" s="25" t="str">
        <f t="shared" si="8"/>
        <v>Commercial-Commercial</v>
      </c>
      <c r="S378" s="49"/>
      <c r="T378" s="49">
        <v>48</v>
      </c>
      <c r="U378" s="43">
        <v>4</v>
      </c>
      <c r="V378" s="43">
        <v>10</v>
      </c>
      <c r="W378" s="49"/>
      <c r="X378" s="49"/>
      <c r="Y378" s="50"/>
      <c r="Z378" s="62"/>
      <c r="AA378" s="25">
        <f>VLOOKUP(F378,Zones!$A$2:$F$15907,6,FALSE)</f>
        <v>552</v>
      </c>
      <c r="AB378" s="25">
        <f>VLOOKUP(L378,Zones!$A$2:$F$15907,6,FALSE)</f>
        <v>1443</v>
      </c>
    </row>
    <row r="379" spans="2:28">
      <c r="B379" s="40">
        <v>0.4777777777777778</v>
      </c>
      <c r="C379" s="40"/>
      <c r="D379" s="41">
        <v>2</v>
      </c>
      <c r="E379" s="42">
        <v>2</v>
      </c>
      <c r="F379" s="42" t="s">
        <v>172</v>
      </c>
      <c r="G379" s="43" t="s">
        <v>172</v>
      </c>
      <c r="H379" s="42" t="s">
        <v>179</v>
      </c>
      <c r="I379" s="43"/>
      <c r="J379" s="43">
        <v>2</v>
      </c>
      <c r="K379" s="25" t="str">
        <f>VLOOKUP(J379,Key!$E$2:$F$9,2,FALSE)</f>
        <v>Work</v>
      </c>
      <c r="L379" s="42" t="s">
        <v>208</v>
      </c>
      <c r="M379" s="43" t="s">
        <v>171</v>
      </c>
      <c r="N379" s="42" t="s">
        <v>179</v>
      </c>
      <c r="O379" s="43"/>
      <c r="P379" s="43">
        <v>1</v>
      </c>
      <c r="Q379" s="25" t="str">
        <f>VLOOKUP(P379,Key!$E$2:$F$9,2,FALSE)</f>
        <v>Home</v>
      </c>
      <c r="R379" s="25" t="str">
        <f t="shared" si="8"/>
        <v>Work-Home</v>
      </c>
      <c r="S379" s="49"/>
      <c r="T379" s="49">
        <v>2</v>
      </c>
      <c r="U379" s="43">
        <v>5</v>
      </c>
      <c r="V379" s="43"/>
      <c r="W379" s="49"/>
      <c r="X379" s="49"/>
      <c r="Y379" s="50"/>
      <c r="Z379" s="62"/>
      <c r="AA379" s="25">
        <f>VLOOKUP(F379,Zones!$A$2:$F$15907,6,FALSE)</f>
        <v>335</v>
      </c>
      <c r="AB379" s="25">
        <f>VLOOKUP(L379,Zones!$A$2:$F$15907,6,FALSE)</f>
        <v>75</v>
      </c>
    </row>
    <row r="380" spans="2:28">
      <c r="B380" s="40">
        <v>0.49513888888888885</v>
      </c>
      <c r="C380" s="40"/>
      <c r="D380" s="41">
        <v>2</v>
      </c>
      <c r="E380" s="42">
        <v>2</v>
      </c>
      <c r="F380" s="42" t="s">
        <v>172</v>
      </c>
      <c r="G380" s="43" t="s">
        <v>172</v>
      </c>
      <c r="H380" s="42" t="s">
        <v>179</v>
      </c>
      <c r="I380" s="43"/>
      <c r="J380" s="43">
        <v>2</v>
      </c>
      <c r="K380" s="25" t="str">
        <f>VLOOKUP(J380,Key!$E$2:$F$9,2,FALSE)</f>
        <v>Work</v>
      </c>
      <c r="L380" s="42" t="s">
        <v>170</v>
      </c>
      <c r="M380" s="43" t="s">
        <v>171</v>
      </c>
      <c r="N380" s="42" t="s">
        <v>179</v>
      </c>
      <c r="O380" s="43"/>
      <c r="P380" s="43">
        <v>2</v>
      </c>
      <c r="Q380" s="25" t="str">
        <f>VLOOKUP(P380,Key!$E$2:$F$9,2,FALSE)</f>
        <v>Work</v>
      </c>
      <c r="R380" s="25" t="str">
        <f t="shared" si="8"/>
        <v>Work-Work</v>
      </c>
      <c r="S380" s="49"/>
      <c r="T380" s="49">
        <v>1.5</v>
      </c>
      <c r="U380" s="43">
        <v>4</v>
      </c>
      <c r="V380" s="43">
        <v>8</v>
      </c>
      <c r="W380" s="49"/>
      <c r="X380" s="49"/>
      <c r="Y380" s="50"/>
      <c r="Z380" s="62"/>
      <c r="AA380" s="25">
        <f>VLOOKUP(F380,Zones!$A$2:$F$15907,6,FALSE)</f>
        <v>335</v>
      </c>
      <c r="AB380" s="25">
        <f>VLOOKUP(L380,Zones!$A$2:$F$15907,6,FALSE)</f>
        <v>1443</v>
      </c>
    </row>
    <row r="381" spans="2:28">
      <c r="B381" s="40">
        <v>0.51111111111111118</v>
      </c>
      <c r="C381" s="40"/>
      <c r="D381" s="41">
        <v>9</v>
      </c>
      <c r="E381" s="42">
        <v>1</v>
      </c>
      <c r="F381" s="42" t="s">
        <v>223</v>
      </c>
      <c r="G381" s="43" t="s">
        <v>183</v>
      </c>
      <c r="H381" s="42" t="s">
        <v>179</v>
      </c>
      <c r="I381" s="43"/>
      <c r="J381" s="43">
        <v>4</v>
      </c>
      <c r="K381" s="25" t="str">
        <f>VLOOKUP(J381,Key!$E$2:$F$9,2,FALSE)</f>
        <v>Commercial</v>
      </c>
      <c r="L381" s="42" t="s">
        <v>173</v>
      </c>
      <c r="M381" s="43" t="s">
        <v>167</v>
      </c>
      <c r="N381" s="42" t="s">
        <v>212</v>
      </c>
      <c r="O381" s="43"/>
      <c r="P381" s="43">
        <v>4</v>
      </c>
      <c r="Q381" s="25" t="str">
        <f>VLOOKUP(P381,Key!$E$2:$F$9,2,FALSE)</f>
        <v>Commercial</v>
      </c>
      <c r="R381" s="25" t="str">
        <f t="shared" si="8"/>
        <v>Commercial-Commercial</v>
      </c>
      <c r="S381" s="49"/>
      <c r="T381" s="49">
        <v>48</v>
      </c>
      <c r="U381" s="43">
        <v>4</v>
      </c>
      <c r="V381" s="43">
        <v>7</v>
      </c>
      <c r="W381" s="49"/>
      <c r="X381" s="49"/>
      <c r="Y381" s="50"/>
      <c r="Z381" s="62"/>
      <c r="AA381" s="25">
        <f>VLOOKUP(F381,Zones!$A$2:$F$15907,6,FALSE)</f>
        <v>523</v>
      </c>
      <c r="AB381" s="25">
        <f>VLOOKUP(L381,Zones!$A$2:$F$15907,6,FALSE)</f>
        <v>1443</v>
      </c>
    </row>
    <row r="382" spans="2:28">
      <c r="B382" s="40">
        <v>0.52361111111111114</v>
      </c>
      <c r="C382" s="40"/>
      <c r="D382" s="41">
        <v>1</v>
      </c>
      <c r="E382" s="42">
        <v>3</v>
      </c>
      <c r="F382" s="42" t="s">
        <v>172</v>
      </c>
      <c r="G382" s="43" t="s">
        <v>172</v>
      </c>
      <c r="H382" s="42" t="s">
        <v>179</v>
      </c>
      <c r="I382" s="43"/>
      <c r="J382" s="43">
        <v>4</v>
      </c>
      <c r="K382" s="25" t="str">
        <f>VLOOKUP(J382,Key!$E$2:$F$9,2,FALSE)</f>
        <v>Commercial</v>
      </c>
      <c r="L382" s="42" t="s">
        <v>170</v>
      </c>
      <c r="M382" s="43" t="s">
        <v>171</v>
      </c>
      <c r="N382" s="42" t="s">
        <v>179</v>
      </c>
      <c r="O382" s="43"/>
      <c r="P382" s="43">
        <v>4</v>
      </c>
      <c r="Q382" s="25" t="str">
        <f>VLOOKUP(P382,Key!$E$2:$F$9,2,FALSE)</f>
        <v>Commercial</v>
      </c>
      <c r="R382" s="25" t="str">
        <f t="shared" si="8"/>
        <v>Commercial-Commercial</v>
      </c>
      <c r="S382" s="49"/>
      <c r="T382" s="49">
        <v>1.5</v>
      </c>
      <c r="U382" s="43">
        <v>4</v>
      </c>
      <c r="V382" s="43"/>
      <c r="W382" s="49"/>
      <c r="X382" s="49"/>
      <c r="Y382" s="50"/>
      <c r="Z382" s="62"/>
      <c r="AA382" s="25">
        <f>VLOOKUP(F382,Zones!$A$2:$F$15907,6,FALSE)</f>
        <v>335</v>
      </c>
      <c r="AB382" s="25">
        <f>VLOOKUP(L382,Zones!$A$2:$F$15907,6,FALSE)</f>
        <v>1443</v>
      </c>
    </row>
    <row r="383" spans="2:28">
      <c r="B383" s="40">
        <v>0.53888888888888886</v>
      </c>
      <c r="C383" s="40"/>
      <c r="D383" s="41">
        <v>2</v>
      </c>
      <c r="E383" s="42">
        <v>4</v>
      </c>
      <c r="F383" s="42" t="s">
        <v>172</v>
      </c>
      <c r="G383" s="43" t="s">
        <v>172</v>
      </c>
      <c r="H383" s="42" t="s">
        <v>179</v>
      </c>
      <c r="I383" s="43"/>
      <c r="J383" s="43">
        <v>4</v>
      </c>
      <c r="K383" s="25" t="str">
        <f>VLOOKUP(J383,Key!$E$2:$F$9,2,FALSE)</f>
        <v>Commercial</v>
      </c>
      <c r="L383" s="42" t="s">
        <v>170</v>
      </c>
      <c r="M383" s="43" t="s">
        <v>171</v>
      </c>
      <c r="N383" s="42" t="s">
        <v>179</v>
      </c>
      <c r="O383" s="43"/>
      <c r="P383" s="43">
        <v>4</v>
      </c>
      <c r="Q383" s="25" t="str">
        <f>VLOOKUP(P383,Key!$E$2:$F$9,2,FALSE)</f>
        <v>Commercial</v>
      </c>
      <c r="R383" s="25" t="str">
        <f t="shared" si="8"/>
        <v>Commercial-Commercial</v>
      </c>
      <c r="S383" s="49"/>
      <c r="T383" s="49">
        <v>2</v>
      </c>
      <c r="U383" s="43">
        <v>2</v>
      </c>
      <c r="V383" s="43"/>
      <c r="W383" s="49"/>
      <c r="X383" s="49"/>
      <c r="Y383" s="50"/>
      <c r="Z383" s="62"/>
      <c r="AA383" s="25">
        <f>VLOOKUP(F383,Zones!$A$2:$F$15907,6,FALSE)</f>
        <v>335</v>
      </c>
      <c r="AB383" s="25">
        <f>VLOOKUP(L383,Zones!$A$2:$F$15907,6,FALSE)</f>
        <v>1443</v>
      </c>
    </row>
    <row r="384" spans="2:28">
      <c r="B384" s="40">
        <v>0.55555555555555558</v>
      </c>
      <c r="C384" s="40"/>
      <c r="D384" s="41">
        <v>9</v>
      </c>
      <c r="E384" s="42">
        <v>1</v>
      </c>
      <c r="F384" s="42" t="s">
        <v>184</v>
      </c>
      <c r="G384" s="43" t="s">
        <v>184</v>
      </c>
      <c r="H384" s="42" t="s">
        <v>200</v>
      </c>
      <c r="I384" s="43"/>
      <c r="J384" s="43">
        <v>4</v>
      </c>
      <c r="K384" s="25" t="str">
        <f>VLOOKUP(J384,Key!$E$2:$F$9,2,FALSE)</f>
        <v>Commercial</v>
      </c>
      <c r="L384" s="42" t="s">
        <v>173</v>
      </c>
      <c r="M384" s="43" t="s">
        <v>167</v>
      </c>
      <c r="N384" s="42" t="s">
        <v>212</v>
      </c>
      <c r="O384" s="43"/>
      <c r="P384" s="43">
        <v>4</v>
      </c>
      <c r="Q384" s="25" t="str">
        <f>VLOOKUP(P384,Key!$E$2:$F$9,2,FALSE)</f>
        <v>Commercial</v>
      </c>
      <c r="R384" s="25" t="str">
        <f t="shared" si="8"/>
        <v>Commercial-Commercial</v>
      </c>
      <c r="S384" s="49"/>
      <c r="T384" s="49">
        <v>120</v>
      </c>
      <c r="U384" s="43">
        <v>4</v>
      </c>
      <c r="V384" s="43">
        <v>5</v>
      </c>
      <c r="W384" s="49"/>
      <c r="X384" s="49"/>
      <c r="Y384" s="50"/>
      <c r="Z384" s="62"/>
      <c r="AA384" s="25">
        <f>VLOOKUP(F384,Zones!$A$2:$F$15907,6,FALSE)</f>
        <v>1434</v>
      </c>
      <c r="AB384" s="25">
        <f>VLOOKUP(L384,Zones!$A$2:$F$15907,6,FALSE)</f>
        <v>1443</v>
      </c>
    </row>
    <row r="385" spans="2:28">
      <c r="B385" s="40">
        <v>0.5805555555555556</v>
      </c>
      <c r="C385" s="40"/>
      <c r="D385" s="41">
        <v>9</v>
      </c>
      <c r="E385" s="42">
        <v>1</v>
      </c>
      <c r="F385" s="42" t="s">
        <v>201</v>
      </c>
      <c r="G385" s="43" t="s">
        <v>201</v>
      </c>
      <c r="H385" s="42" t="s">
        <v>179</v>
      </c>
      <c r="I385" s="43"/>
      <c r="J385" s="43">
        <v>4</v>
      </c>
      <c r="K385" s="25" t="str">
        <f>VLOOKUP(J385,Key!$E$2:$F$9,2,FALSE)</f>
        <v>Commercial</v>
      </c>
      <c r="L385" s="42" t="s">
        <v>170</v>
      </c>
      <c r="M385" s="43" t="s">
        <v>171</v>
      </c>
      <c r="N385" s="42" t="s">
        <v>179</v>
      </c>
      <c r="O385" s="43"/>
      <c r="P385" s="43">
        <v>4</v>
      </c>
      <c r="Q385" s="25" t="str">
        <f>VLOOKUP(P385,Key!$E$2:$F$9,2,FALSE)</f>
        <v>Commercial</v>
      </c>
      <c r="R385" s="25" t="str">
        <f t="shared" si="8"/>
        <v>Commercial-Commercial</v>
      </c>
      <c r="S385" s="49"/>
      <c r="T385" s="49">
        <v>48</v>
      </c>
      <c r="U385" s="43">
        <v>5</v>
      </c>
      <c r="V385" s="43">
        <v>7</v>
      </c>
      <c r="W385" s="49"/>
      <c r="X385" s="49"/>
      <c r="Y385" s="50"/>
      <c r="Z385" s="62"/>
      <c r="AA385" s="25">
        <f>VLOOKUP(F385,Zones!$A$2:$F$15907,6,FALSE)</f>
        <v>1382</v>
      </c>
      <c r="AB385" s="25">
        <f>VLOOKUP(L385,Zones!$A$2:$F$15907,6,FALSE)</f>
        <v>1443</v>
      </c>
    </row>
    <row r="386" spans="2:28">
      <c r="B386" s="40">
        <v>0.59583333333333333</v>
      </c>
      <c r="C386" s="40"/>
      <c r="D386" s="41">
        <v>9</v>
      </c>
      <c r="E386" s="42">
        <v>1</v>
      </c>
      <c r="F386" s="42" t="s">
        <v>233</v>
      </c>
      <c r="G386" s="43" t="s">
        <v>2922</v>
      </c>
      <c r="H386" s="42" t="s">
        <v>200</v>
      </c>
      <c r="I386" s="43"/>
      <c r="J386" s="43">
        <v>4</v>
      </c>
      <c r="K386" s="25" t="str">
        <f>VLOOKUP(J386,Key!$E$2:$F$9,2,FALSE)</f>
        <v>Commercial</v>
      </c>
      <c r="L386" s="42" t="s">
        <v>173</v>
      </c>
      <c r="M386" s="43" t="s">
        <v>167</v>
      </c>
      <c r="N386" s="42" t="s">
        <v>212</v>
      </c>
      <c r="O386" s="43"/>
      <c r="P386" s="43">
        <v>4</v>
      </c>
      <c r="Q386" s="25" t="str">
        <f>VLOOKUP(P386,Key!$E$2:$F$9,2,FALSE)</f>
        <v>Commercial</v>
      </c>
      <c r="R386" s="25" t="str">
        <f t="shared" si="8"/>
        <v>Commercial-Commercial</v>
      </c>
      <c r="S386" s="49"/>
      <c r="T386" s="49">
        <v>72</v>
      </c>
      <c r="U386" s="43">
        <v>4</v>
      </c>
      <c r="V386" s="43">
        <v>6</v>
      </c>
      <c r="W386" s="49"/>
      <c r="X386" s="49"/>
      <c r="Y386" s="50"/>
      <c r="Z386" s="62"/>
      <c r="AA386" s="25">
        <f>VLOOKUP(F386,Zones!$A$2:$F$15907,6,FALSE)</f>
        <v>1434</v>
      </c>
      <c r="AB386" s="25">
        <f>VLOOKUP(L386,Zones!$A$2:$F$15907,6,FALSE)</f>
        <v>1443</v>
      </c>
    </row>
    <row r="387" spans="2:28">
      <c r="B387" s="40">
        <v>0.62708333333333333</v>
      </c>
      <c r="C387" s="40"/>
      <c r="D387" s="41">
        <v>8</v>
      </c>
      <c r="E387" s="42">
        <v>1</v>
      </c>
      <c r="F387" s="42" t="s">
        <v>189</v>
      </c>
      <c r="G387" s="43" t="s">
        <v>190</v>
      </c>
      <c r="H387" s="42" t="s">
        <v>200</v>
      </c>
      <c r="I387" s="43"/>
      <c r="J387" s="43">
        <v>4</v>
      </c>
      <c r="K387" s="25" t="str">
        <f>VLOOKUP(J387,Key!$E$2:$F$9,2,FALSE)</f>
        <v>Commercial</v>
      </c>
      <c r="L387" s="42" t="s">
        <v>173</v>
      </c>
      <c r="M387" s="43" t="s">
        <v>167</v>
      </c>
      <c r="N387" s="42" t="s">
        <v>212</v>
      </c>
      <c r="O387" s="43"/>
      <c r="P387" s="43">
        <v>4</v>
      </c>
      <c r="Q387" s="25" t="str">
        <f>VLOOKUP(P387,Key!$E$2:$F$9,2,FALSE)</f>
        <v>Commercial</v>
      </c>
      <c r="R387" s="25" t="str">
        <f t="shared" si="8"/>
        <v>Commercial-Commercial</v>
      </c>
      <c r="S387" s="49"/>
      <c r="T387" s="49">
        <v>96</v>
      </c>
      <c r="U387" s="43">
        <v>4</v>
      </c>
      <c r="V387" s="43">
        <v>6</v>
      </c>
      <c r="W387" s="49"/>
      <c r="X387" s="49"/>
      <c r="Y387" s="50"/>
      <c r="Z387" s="62"/>
      <c r="AA387" s="25">
        <f>VLOOKUP(F387,Zones!$A$2:$F$15907,6,FALSE)</f>
        <v>1434</v>
      </c>
      <c r="AB387" s="25">
        <f>VLOOKUP(L387,Zones!$A$2:$F$15907,6,FALSE)</f>
        <v>1443</v>
      </c>
    </row>
    <row r="388" spans="2:28">
      <c r="B388" s="40">
        <v>0.62986111111111109</v>
      </c>
      <c r="C388" s="40"/>
      <c r="D388" s="41">
        <v>2</v>
      </c>
      <c r="E388" s="42">
        <v>5</v>
      </c>
      <c r="F388" s="42" t="s">
        <v>172</v>
      </c>
      <c r="G388" s="43" t="s">
        <v>172</v>
      </c>
      <c r="H388" s="42" t="s">
        <v>179</v>
      </c>
      <c r="I388" s="43"/>
      <c r="J388" s="43">
        <v>4</v>
      </c>
      <c r="K388" s="25" t="str">
        <f>VLOOKUP(J388,Key!$E$2:$F$9,2,FALSE)</f>
        <v>Commercial</v>
      </c>
      <c r="L388" s="42" t="s">
        <v>170</v>
      </c>
      <c r="M388" s="43" t="s">
        <v>171</v>
      </c>
      <c r="N388" s="42" t="s">
        <v>179</v>
      </c>
      <c r="O388" s="43"/>
      <c r="P388" s="43">
        <v>4</v>
      </c>
      <c r="Q388" s="25" t="str">
        <f>VLOOKUP(P388,Key!$E$2:$F$9,2,FALSE)</f>
        <v>Commercial</v>
      </c>
      <c r="R388" s="25" t="str">
        <f t="shared" si="8"/>
        <v>Commercial-Commercial</v>
      </c>
      <c r="S388" s="49"/>
      <c r="T388" s="49">
        <v>2</v>
      </c>
      <c r="U388" s="43">
        <v>2</v>
      </c>
      <c r="V388" s="43"/>
      <c r="W388" s="49"/>
      <c r="X388" s="49"/>
      <c r="Y388" s="50"/>
      <c r="Z388" s="62"/>
      <c r="AA388" s="25">
        <f>VLOOKUP(F388,Zones!$A$2:$F$15907,6,FALSE)</f>
        <v>335</v>
      </c>
      <c r="AB388" s="25">
        <f>VLOOKUP(L388,Zones!$A$2:$F$15907,6,FALSE)</f>
        <v>1443</v>
      </c>
    </row>
    <row r="389" spans="2:28">
      <c r="B389" s="40">
        <v>0.6381944444444444</v>
      </c>
      <c r="C389" s="40"/>
      <c r="D389" s="41">
        <v>8</v>
      </c>
      <c r="E389" s="42">
        <v>1</v>
      </c>
      <c r="F389" s="42" t="s">
        <v>232</v>
      </c>
      <c r="G389" s="43" t="s">
        <v>183</v>
      </c>
      <c r="H389" s="42" t="s">
        <v>179</v>
      </c>
      <c r="I389" s="43"/>
      <c r="J389" s="43">
        <v>4</v>
      </c>
      <c r="K389" s="25" t="str">
        <f>VLOOKUP(J389,Key!$E$2:$F$9,2,FALSE)</f>
        <v>Commercial</v>
      </c>
      <c r="L389" s="42" t="s">
        <v>173</v>
      </c>
      <c r="M389" s="43" t="s">
        <v>167</v>
      </c>
      <c r="N389" s="42" t="s">
        <v>212</v>
      </c>
      <c r="O389" s="43"/>
      <c r="P389" s="43">
        <v>4</v>
      </c>
      <c r="Q389" s="25" t="str">
        <f>VLOOKUP(P389,Key!$E$2:$F$9,2,FALSE)</f>
        <v>Commercial</v>
      </c>
      <c r="R389" s="25" t="str">
        <f t="shared" si="8"/>
        <v>Commercial-Commercial</v>
      </c>
      <c r="S389" s="49"/>
      <c r="T389" s="49">
        <v>48</v>
      </c>
      <c r="U389" s="43">
        <v>4</v>
      </c>
      <c r="V389" s="43">
        <v>8</v>
      </c>
      <c r="W389" s="49"/>
      <c r="X389" s="49"/>
      <c r="Y389" s="50"/>
      <c r="Z389" s="62"/>
      <c r="AA389" s="25">
        <f>VLOOKUP(F389,Zones!$A$2:$F$15907,6,FALSE)</f>
        <v>552</v>
      </c>
      <c r="AB389" s="25">
        <f>VLOOKUP(L389,Zones!$A$2:$F$15907,6,FALSE)</f>
        <v>1443</v>
      </c>
    </row>
    <row r="390" spans="2:28">
      <c r="B390" s="40">
        <v>0.66875000000000007</v>
      </c>
      <c r="C390" s="40"/>
      <c r="D390" s="41">
        <v>9</v>
      </c>
      <c r="E390" s="42">
        <v>1</v>
      </c>
      <c r="F390" s="42" t="s">
        <v>204</v>
      </c>
      <c r="G390" s="43" t="s">
        <v>183</v>
      </c>
      <c r="H390" s="42" t="s">
        <v>179</v>
      </c>
      <c r="I390" s="43"/>
      <c r="J390" s="43">
        <v>4</v>
      </c>
      <c r="K390" s="25" t="str">
        <f>VLOOKUP(J390,Key!$E$2:$F$9,2,FALSE)</f>
        <v>Commercial</v>
      </c>
      <c r="L390" s="42" t="s">
        <v>173</v>
      </c>
      <c r="M390" s="43" t="s">
        <v>167</v>
      </c>
      <c r="N390" s="42" t="s">
        <v>212</v>
      </c>
      <c r="O390" s="43"/>
      <c r="P390" s="43">
        <v>4</v>
      </c>
      <c r="Q390" s="25" t="str">
        <f>VLOOKUP(P390,Key!$E$2:$F$9,2,FALSE)</f>
        <v>Commercial</v>
      </c>
      <c r="R390" s="25" t="str">
        <f t="shared" si="8"/>
        <v>Commercial-Commercial</v>
      </c>
      <c r="S390" s="49"/>
      <c r="T390" s="49">
        <v>24</v>
      </c>
      <c r="U390" s="43">
        <v>4</v>
      </c>
      <c r="V390" s="43">
        <v>8</v>
      </c>
      <c r="W390" s="49"/>
      <c r="X390" s="49"/>
      <c r="Y390" s="50"/>
      <c r="Z390" s="62"/>
      <c r="AA390" s="25">
        <f>VLOOKUP(F390,Zones!$A$2:$F$15907,6,FALSE)</f>
        <v>567</v>
      </c>
      <c r="AB390" s="25">
        <f>VLOOKUP(L390,Zones!$A$2:$F$15907,6,FALSE)</f>
        <v>1443</v>
      </c>
    </row>
    <row r="391" spans="2:28">
      <c r="B391" s="40">
        <v>0.7006944444444444</v>
      </c>
      <c r="C391" s="40"/>
      <c r="D391" s="41">
        <v>8</v>
      </c>
      <c r="E391" s="42">
        <v>1</v>
      </c>
      <c r="F391" s="42" t="s">
        <v>234</v>
      </c>
      <c r="G391" s="43" t="s">
        <v>172</v>
      </c>
      <c r="H391" s="42" t="s">
        <v>179</v>
      </c>
      <c r="I391" s="43"/>
      <c r="J391" s="43">
        <v>4</v>
      </c>
      <c r="K391" s="25" t="str">
        <f>VLOOKUP(J391,Key!$E$2:$F$9,2,FALSE)</f>
        <v>Commercial</v>
      </c>
      <c r="L391" s="42" t="s">
        <v>170</v>
      </c>
      <c r="M391" s="43" t="s">
        <v>171</v>
      </c>
      <c r="N391" s="42" t="s">
        <v>179</v>
      </c>
      <c r="O391" s="43"/>
      <c r="P391" s="43">
        <v>4</v>
      </c>
      <c r="Q391" s="25" t="str">
        <f>VLOOKUP(P391,Key!$E$2:$F$9,2,FALSE)</f>
        <v>Commercial</v>
      </c>
      <c r="R391" s="25" t="str">
        <f t="shared" si="8"/>
        <v>Commercial-Commercial</v>
      </c>
      <c r="S391" s="49"/>
      <c r="T391" s="49">
        <v>2</v>
      </c>
      <c r="U391" s="43">
        <v>4</v>
      </c>
      <c r="V391" s="43">
        <v>8</v>
      </c>
      <c r="W391" s="49"/>
      <c r="X391" s="49"/>
      <c r="Y391" s="50"/>
      <c r="Z391" s="62"/>
      <c r="AA391" s="25">
        <f>VLOOKUP(F391,Zones!$A$2:$F$15907,6,FALSE)</f>
        <v>335</v>
      </c>
      <c r="AB391" s="25">
        <f>VLOOKUP(L391,Zones!$A$2:$F$15907,6,FALSE)</f>
        <v>1443</v>
      </c>
    </row>
    <row r="392" spans="2:28">
      <c r="B392" s="40">
        <v>0.70347222222222217</v>
      </c>
      <c r="C392" s="40"/>
      <c r="D392" s="41">
        <v>9</v>
      </c>
      <c r="E392" s="42">
        <v>1</v>
      </c>
      <c r="F392" s="42" t="s">
        <v>189</v>
      </c>
      <c r="G392" s="43" t="s">
        <v>190</v>
      </c>
      <c r="H392" s="42" t="s">
        <v>200</v>
      </c>
      <c r="I392" s="43"/>
      <c r="J392" s="43">
        <v>4</v>
      </c>
      <c r="K392" s="25" t="str">
        <f>VLOOKUP(J392,Key!$E$2:$F$9,2,FALSE)</f>
        <v>Commercial</v>
      </c>
      <c r="L392" s="42" t="s">
        <v>173</v>
      </c>
      <c r="M392" s="43" t="s">
        <v>167</v>
      </c>
      <c r="N392" s="42" t="s">
        <v>212</v>
      </c>
      <c r="O392" s="43"/>
      <c r="P392" s="43">
        <v>4</v>
      </c>
      <c r="Q392" s="25" t="str">
        <f>VLOOKUP(P392,Key!$E$2:$F$9,2,FALSE)</f>
        <v>Commercial</v>
      </c>
      <c r="R392" s="25" t="str">
        <f t="shared" si="8"/>
        <v>Commercial-Commercial</v>
      </c>
      <c r="S392" s="49"/>
      <c r="T392" s="49">
        <v>72</v>
      </c>
      <c r="U392" s="43">
        <v>4</v>
      </c>
      <c r="V392" s="43">
        <v>6</v>
      </c>
      <c r="W392" s="49"/>
      <c r="X392" s="49"/>
      <c r="Y392" s="50"/>
      <c r="Z392" s="62"/>
      <c r="AA392" s="25">
        <f>VLOOKUP(F392,Zones!$A$2:$F$15907,6,FALSE)</f>
        <v>1434</v>
      </c>
      <c r="AB392" s="25">
        <f>VLOOKUP(L392,Zones!$A$2:$F$15907,6,FALSE)</f>
        <v>1443</v>
      </c>
    </row>
    <row r="393" spans="2:28">
      <c r="B393" s="40">
        <v>0.70624999999999993</v>
      </c>
      <c r="C393" s="40"/>
      <c r="D393" s="41">
        <v>2</v>
      </c>
      <c r="E393" s="42">
        <v>4</v>
      </c>
      <c r="F393" s="42" t="s">
        <v>206</v>
      </c>
      <c r="G393" s="43" t="s">
        <v>171</v>
      </c>
      <c r="H393" s="42" t="s">
        <v>179</v>
      </c>
      <c r="I393" s="43"/>
      <c r="J393" s="43">
        <v>4</v>
      </c>
      <c r="K393" s="25" t="str">
        <f>VLOOKUP(J393,Key!$E$2:$F$9,2,FALSE)</f>
        <v>Commercial</v>
      </c>
      <c r="L393" s="42" t="s">
        <v>170</v>
      </c>
      <c r="M393" s="43" t="s">
        <v>171</v>
      </c>
      <c r="N393" s="42" t="s">
        <v>179</v>
      </c>
      <c r="O393" s="43"/>
      <c r="P393" s="43">
        <v>4</v>
      </c>
      <c r="Q393" s="25" t="str">
        <f>VLOOKUP(P393,Key!$E$2:$F$9,2,FALSE)</f>
        <v>Commercial</v>
      </c>
      <c r="R393" s="25" t="str">
        <f t="shared" si="8"/>
        <v>Commercial-Commercial</v>
      </c>
      <c r="S393" s="49"/>
      <c r="T393" s="49">
        <v>1</v>
      </c>
      <c r="U393" s="43">
        <v>2</v>
      </c>
      <c r="V393" s="43">
        <v>9</v>
      </c>
      <c r="W393" s="49"/>
      <c r="X393" s="49"/>
      <c r="Y393" s="50"/>
      <c r="Z393" s="62"/>
      <c r="AA393" s="25">
        <f>VLOOKUP(F393,Zones!$A$2:$F$15907,6,FALSE)</f>
        <v>77</v>
      </c>
      <c r="AB393" s="25">
        <f>VLOOKUP(L393,Zones!$A$2:$F$15907,6,FALSE)</f>
        <v>1443</v>
      </c>
    </row>
    <row r="394" spans="2:28">
      <c r="B394" s="40">
        <v>0.72569444444444453</v>
      </c>
      <c r="C394" s="40"/>
      <c r="D394" s="41">
        <v>2</v>
      </c>
      <c r="E394" s="42">
        <v>1</v>
      </c>
      <c r="F394" s="42" t="s">
        <v>172</v>
      </c>
      <c r="G394" s="43" t="s">
        <v>172</v>
      </c>
      <c r="H394" s="42" t="s">
        <v>179</v>
      </c>
      <c r="I394" s="43"/>
      <c r="J394" s="43">
        <v>4</v>
      </c>
      <c r="K394" s="25" t="str">
        <f>VLOOKUP(J394,Key!$E$2:$F$9,2,FALSE)</f>
        <v>Commercial</v>
      </c>
      <c r="L394" s="42" t="s">
        <v>208</v>
      </c>
      <c r="M394" s="43" t="s">
        <v>171</v>
      </c>
      <c r="N394" s="42" t="s">
        <v>179</v>
      </c>
      <c r="O394" s="43"/>
      <c r="P394" s="43">
        <v>2</v>
      </c>
      <c r="Q394" s="25" t="str">
        <f>VLOOKUP(P394,Key!$E$2:$F$9,2,FALSE)</f>
        <v>Work</v>
      </c>
      <c r="R394" s="25" t="str">
        <f t="shared" si="8"/>
        <v>Commercial-Work</v>
      </c>
      <c r="S394" s="49"/>
      <c r="T394" s="49">
        <v>1</v>
      </c>
      <c r="U394" s="43">
        <v>3</v>
      </c>
      <c r="V394" s="43"/>
      <c r="W394" s="49"/>
      <c r="X394" s="49"/>
      <c r="Y394" s="50"/>
      <c r="Z394" s="62"/>
      <c r="AA394" s="25">
        <f>VLOOKUP(F394,Zones!$A$2:$F$15907,6,FALSE)</f>
        <v>335</v>
      </c>
      <c r="AB394" s="25">
        <f>VLOOKUP(L394,Zones!$A$2:$F$15907,6,FALSE)</f>
        <v>75</v>
      </c>
    </row>
    <row r="395" spans="2:28">
      <c r="B395" s="40">
        <v>0.7319444444444444</v>
      </c>
      <c r="C395" s="40"/>
      <c r="D395" s="41">
        <v>2</v>
      </c>
      <c r="E395" s="42">
        <v>2</v>
      </c>
      <c r="F395" s="42" t="s">
        <v>172</v>
      </c>
      <c r="G395" s="43" t="s">
        <v>172</v>
      </c>
      <c r="H395" s="42" t="s">
        <v>179</v>
      </c>
      <c r="I395" s="43"/>
      <c r="J395" s="43">
        <v>4</v>
      </c>
      <c r="K395" s="25" t="str">
        <f>VLOOKUP(J395,Key!$E$2:$F$9,2,FALSE)</f>
        <v>Commercial</v>
      </c>
      <c r="L395" s="42" t="s">
        <v>173</v>
      </c>
      <c r="M395" s="43" t="s">
        <v>167</v>
      </c>
      <c r="N395" s="42" t="s">
        <v>212</v>
      </c>
      <c r="O395" s="43"/>
      <c r="P395" s="43">
        <v>4</v>
      </c>
      <c r="Q395" s="25" t="str">
        <f>VLOOKUP(P395,Key!$E$2:$F$9,2,FALSE)</f>
        <v>Commercial</v>
      </c>
      <c r="R395" s="25" t="str">
        <f t="shared" si="8"/>
        <v>Commercial-Commercial</v>
      </c>
      <c r="S395" s="49"/>
      <c r="T395" s="49">
        <v>9</v>
      </c>
      <c r="U395" s="43">
        <v>4</v>
      </c>
      <c r="V395" s="43"/>
      <c r="W395" s="49"/>
      <c r="X395" s="49"/>
      <c r="Y395" s="50"/>
      <c r="Z395" s="62"/>
      <c r="AA395" s="25">
        <f>VLOOKUP(F395,Zones!$A$2:$F$15907,6,FALSE)</f>
        <v>335</v>
      </c>
      <c r="AB395" s="25">
        <f>VLOOKUP(L395,Zones!$A$2:$F$15907,6,FALSE)</f>
        <v>1443</v>
      </c>
    </row>
    <row r="396" spans="2:28">
      <c r="B396" s="40">
        <v>0.73958333333333337</v>
      </c>
      <c r="C396" s="40"/>
      <c r="D396" s="41">
        <v>8</v>
      </c>
      <c r="E396" s="42">
        <v>4</v>
      </c>
      <c r="F396" s="42" t="s">
        <v>231</v>
      </c>
      <c r="G396" s="43" t="s">
        <v>231</v>
      </c>
      <c r="H396" s="42" t="s">
        <v>179</v>
      </c>
      <c r="I396" s="43"/>
      <c r="J396" s="43">
        <v>4</v>
      </c>
      <c r="K396" s="25" t="str">
        <f>VLOOKUP(J396,Key!$E$2:$F$9,2,FALSE)</f>
        <v>Commercial</v>
      </c>
      <c r="L396" s="42" t="s">
        <v>170</v>
      </c>
      <c r="M396" s="43" t="s">
        <v>171</v>
      </c>
      <c r="N396" s="42" t="s">
        <v>179</v>
      </c>
      <c r="O396" s="43"/>
      <c r="P396" s="43">
        <v>4</v>
      </c>
      <c r="Q396" s="25" t="str">
        <f>VLOOKUP(P396,Key!$E$2:$F$9,2,FALSE)</f>
        <v>Commercial</v>
      </c>
      <c r="R396" s="25" t="str">
        <f t="shared" si="8"/>
        <v>Commercial-Commercial</v>
      </c>
      <c r="S396" s="49"/>
      <c r="T396" s="49">
        <v>1.5</v>
      </c>
      <c r="U396" s="43">
        <v>1</v>
      </c>
      <c r="V396" s="43">
        <v>8</v>
      </c>
      <c r="W396" s="49"/>
      <c r="X396" s="49"/>
      <c r="Y396" s="50"/>
      <c r="Z396" s="62"/>
      <c r="AA396" s="25">
        <f>VLOOKUP(F396,Zones!$A$2:$F$15907,6,FALSE)</f>
        <v>1238</v>
      </c>
      <c r="AB396" s="25">
        <f>VLOOKUP(L396,Zones!$A$2:$F$15907,6,FALSE)</f>
        <v>1443</v>
      </c>
    </row>
    <row r="397" spans="2:28">
      <c r="B397" s="40">
        <v>0.75694444444444453</v>
      </c>
      <c r="C397" s="40"/>
      <c r="D397" s="41">
        <v>9</v>
      </c>
      <c r="E397" s="42">
        <v>3</v>
      </c>
      <c r="F397" s="42" t="s">
        <v>228</v>
      </c>
      <c r="G397" s="43" t="s">
        <v>228</v>
      </c>
      <c r="H397" s="42" t="s">
        <v>179</v>
      </c>
      <c r="I397" s="43"/>
      <c r="J397" s="43">
        <v>4</v>
      </c>
      <c r="K397" s="25" t="str">
        <f>VLOOKUP(J397,Key!$E$2:$F$9,2,FALSE)</f>
        <v>Commercial</v>
      </c>
      <c r="L397" s="42" t="s">
        <v>170</v>
      </c>
      <c r="M397" s="43" t="s">
        <v>171</v>
      </c>
      <c r="N397" s="42" t="s">
        <v>179</v>
      </c>
      <c r="O397" s="43"/>
      <c r="P397" s="43">
        <v>1</v>
      </c>
      <c r="Q397" s="25" t="str">
        <f>VLOOKUP(P397,Key!$E$2:$F$9,2,FALSE)</f>
        <v>Home</v>
      </c>
      <c r="R397" s="25" t="str">
        <f t="shared" si="8"/>
        <v>Commercial-Home</v>
      </c>
      <c r="S397" s="49"/>
      <c r="T397" s="49">
        <v>2</v>
      </c>
      <c r="U397" s="43">
        <v>3</v>
      </c>
      <c r="V397" s="43">
        <v>7</v>
      </c>
      <c r="W397" s="49"/>
      <c r="X397" s="49"/>
      <c r="Y397" s="50"/>
      <c r="Z397" s="62"/>
      <c r="AA397" s="25">
        <f>VLOOKUP(F397,Zones!$A$2:$F$15907,6,FALSE)</f>
        <v>975</v>
      </c>
      <c r="AB397" s="25">
        <f>VLOOKUP(L397,Zones!$A$2:$F$15907,6,FALSE)</f>
        <v>1443</v>
      </c>
    </row>
    <row r="398" spans="2:28">
      <c r="B398" s="40">
        <v>0.76041666666666663</v>
      </c>
      <c r="C398" s="40"/>
      <c r="D398" s="41">
        <v>2</v>
      </c>
      <c r="E398" s="42">
        <v>7</v>
      </c>
      <c r="F398" s="42" t="s">
        <v>172</v>
      </c>
      <c r="G398" s="43" t="s">
        <v>172</v>
      </c>
      <c r="H398" s="42" t="s">
        <v>179</v>
      </c>
      <c r="I398" s="43"/>
      <c r="J398" s="43">
        <v>4</v>
      </c>
      <c r="K398" s="25" t="str">
        <f>VLOOKUP(J398,Key!$E$2:$F$9,2,FALSE)</f>
        <v>Commercial</v>
      </c>
      <c r="L398" s="42" t="s">
        <v>170</v>
      </c>
      <c r="M398" s="43" t="s">
        <v>171</v>
      </c>
      <c r="N398" s="42" t="s">
        <v>179</v>
      </c>
      <c r="O398" s="43"/>
      <c r="P398" s="43">
        <v>4</v>
      </c>
      <c r="Q398" s="25" t="str">
        <f>VLOOKUP(P398,Key!$E$2:$F$9,2,FALSE)</f>
        <v>Commercial</v>
      </c>
      <c r="R398" s="25" t="str">
        <f t="shared" si="8"/>
        <v>Commercial-Commercial</v>
      </c>
      <c r="S398" s="49"/>
      <c r="T398" s="49">
        <v>2.5</v>
      </c>
      <c r="U398" s="43">
        <v>1</v>
      </c>
      <c r="V398" s="43"/>
      <c r="W398" s="49"/>
      <c r="X398" s="49"/>
      <c r="Y398" s="50"/>
      <c r="Z398" s="62"/>
      <c r="AA398" s="25">
        <f>VLOOKUP(F398,Zones!$A$2:$F$15907,6,FALSE)</f>
        <v>335</v>
      </c>
      <c r="AB398" s="25">
        <f>VLOOKUP(L398,Zones!$A$2:$F$15907,6,FALSE)</f>
        <v>1443</v>
      </c>
    </row>
    <row r="399" spans="2:28">
      <c r="B399" s="40">
        <v>0.77569444444444446</v>
      </c>
      <c r="C399" s="40"/>
      <c r="D399" s="41">
        <v>9</v>
      </c>
      <c r="E399" s="42">
        <v>1</v>
      </c>
      <c r="F399" s="42" t="s">
        <v>183</v>
      </c>
      <c r="G399" s="43" t="s">
        <v>183</v>
      </c>
      <c r="H399" s="42" t="s">
        <v>179</v>
      </c>
      <c r="I399" s="43"/>
      <c r="J399" s="43">
        <v>4</v>
      </c>
      <c r="K399" s="25" t="str">
        <f>VLOOKUP(J399,Key!$E$2:$F$9,2,FALSE)</f>
        <v>Commercial</v>
      </c>
      <c r="L399" s="42" t="s">
        <v>173</v>
      </c>
      <c r="M399" s="43" t="s">
        <v>167</v>
      </c>
      <c r="N399" s="42" t="s">
        <v>212</v>
      </c>
      <c r="O399" s="43"/>
      <c r="P399" s="43">
        <v>4</v>
      </c>
      <c r="Q399" s="25" t="str">
        <f>VLOOKUP(P399,Key!$E$2:$F$9,2,FALSE)</f>
        <v>Commercial</v>
      </c>
      <c r="R399" s="25" t="str">
        <f t="shared" si="8"/>
        <v>Commercial-Commercial</v>
      </c>
      <c r="S399" s="49"/>
      <c r="T399" s="49">
        <v>48</v>
      </c>
      <c r="U399" s="43">
        <v>4</v>
      </c>
      <c r="V399" s="43">
        <v>5</v>
      </c>
      <c r="W399" s="49"/>
      <c r="X399" s="49"/>
      <c r="Y399" s="50"/>
      <c r="Z399" s="62"/>
      <c r="AA399" s="25">
        <f>VLOOKUP(F399,Zones!$A$2:$F$15907,6,FALSE)</f>
        <v>521</v>
      </c>
      <c r="AB399" s="25">
        <f>VLOOKUP(L399,Zones!$A$2:$F$15907,6,FALSE)</f>
        <v>1443</v>
      </c>
    </row>
    <row r="400" spans="2:28">
      <c r="B400" s="40">
        <v>0.78194444444444444</v>
      </c>
      <c r="C400" s="40"/>
      <c r="D400" s="41">
        <v>8</v>
      </c>
      <c r="E400" s="42">
        <v>2</v>
      </c>
      <c r="F400" s="42" t="s">
        <v>206</v>
      </c>
      <c r="G400" s="43" t="s">
        <v>171</v>
      </c>
      <c r="H400" s="42" t="s">
        <v>179</v>
      </c>
      <c r="I400" s="43"/>
      <c r="J400" s="43">
        <v>4</v>
      </c>
      <c r="K400" s="25" t="str">
        <f>VLOOKUP(J400,Key!$E$2:$F$9,2,FALSE)</f>
        <v>Commercial</v>
      </c>
      <c r="L400" s="42" t="s">
        <v>225</v>
      </c>
      <c r="M400" s="43" t="s">
        <v>171</v>
      </c>
      <c r="N400" s="42" t="s">
        <v>179</v>
      </c>
      <c r="O400" s="43"/>
      <c r="P400" s="43">
        <v>4</v>
      </c>
      <c r="Q400" s="25" t="str">
        <f>VLOOKUP(P400,Key!$E$2:$F$9,2,FALSE)</f>
        <v>Commercial</v>
      </c>
      <c r="R400" s="25" t="str">
        <f t="shared" si="8"/>
        <v>Commercial-Commercial</v>
      </c>
      <c r="S400" s="49"/>
      <c r="T400" s="49">
        <v>0.5</v>
      </c>
      <c r="U400" s="43">
        <v>4</v>
      </c>
      <c r="V400" s="43">
        <v>4</v>
      </c>
      <c r="W400" s="49"/>
      <c r="X400" s="49"/>
      <c r="Y400" s="50"/>
      <c r="Z400" s="62"/>
      <c r="AA400" s="25">
        <f>VLOOKUP(F400,Zones!$A$2:$F$15907,6,FALSE)</f>
        <v>77</v>
      </c>
      <c r="AB400" s="25">
        <f>VLOOKUP(L400,Zones!$A$2:$F$15907,6,FALSE)</f>
        <v>73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81"/>
  <sheetViews>
    <sheetView workbookViewId="0">
      <selection activeCell="D2436" sqref="D2436"/>
    </sheetView>
  </sheetViews>
  <sheetFormatPr defaultRowHeight="15"/>
  <cols>
    <col min="1" max="1" width="23.28515625" style="91" customWidth="1"/>
    <col min="2" max="2" width="17.85546875" style="91" customWidth="1"/>
    <col min="3" max="3" width="15" style="91" customWidth="1"/>
    <col min="4" max="4" width="19.42578125" style="91" customWidth="1"/>
    <col min="5" max="5" width="17.7109375" style="91" customWidth="1"/>
    <col min="6" max="6" width="9.140625" style="91"/>
    <col min="7" max="7" width="35.42578125" style="91" customWidth="1"/>
    <col min="8" max="16384" width="9.140625" style="91"/>
  </cols>
  <sheetData>
    <row r="1" spans="1:6">
      <c r="A1" s="89" t="s">
        <v>235</v>
      </c>
      <c r="B1" s="89" t="s">
        <v>236</v>
      </c>
      <c r="C1" s="89" t="s">
        <v>237</v>
      </c>
      <c r="D1" s="89" t="s">
        <v>238</v>
      </c>
      <c r="E1" s="89" t="s">
        <v>239</v>
      </c>
      <c r="F1" s="90" t="s">
        <v>240</v>
      </c>
    </row>
    <row r="2" spans="1:6">
      <c r="A2" s="91" t="s">
        <v>241</v>
      </c>
      <c r="B2" s="91" t="s">
        <v>241</v>
      </c>
      <c r="C2" s="91" t="s">
        <v>242</v>
      </c>
      <c r="D2" s="91" t="str">
        <f>A2</f>
        <v>Abim</v>
      </c>
      <c r="F2" s="91">
        <v>1</v>
      </c>
    </row>
    <row r="3" spans="1:6">
      <c r="A3" s="91" t="s">
        <v>243</v>
      </c>
      <c r="B3" s="91" t="s">
        <v>241</v>
      </c>
      <c r="C3" s="91" t="s">
        <v>242</v>
      </c>
      <c r="D3" s="91" t="str">
        <f t="shared" ref="D3:D66" si="0">A3</f>
        <v>Abim Town Council</v>
      </c>
      <c r="F3" s="91">
        <v>2</v>
      </c>
    </row>
    <row r="4" spans="1:6">
      <c r="A4" s="91" t="s">
        <v>244</v>
      </c>
      <c r="B4" s="91" t="s">
        <v>241</v>
      </c>
      <c r="C4" s="91" t="s">
        <v>242</v>
      </c>
      <c r="D4" s="91" t="str">
        <f t="shared" si="0"/>
        <v>Alerek</v>
      </c>
      <c r="F4" s="91">
        <v>3</v>
      </c>
    </row>
    <row r="5" spans="1:6">
      <c r="A5" s="91" t="s">
        <v>245</v>
      </c>
      <c r="B5" s="91" t="s">
        <v>241</v>
      </c>
      <c r="C5" s="91" t="s">
        <v>242</v>
      </c>
      <c r="D5" s="91" t="str">
        <f t="shared" si="0"/>
        <v>Lotukei</v>
      </c>
      <c r="F5" s="91">
        <v>4</v>
      </c>
    </row>
    <row r="6" spans="1:6">
      <c r="A6" s="91" t="s">
        <v>246</v>
      </c>
      <c r="B6" s="91" t="s">
        <v>241</v>
      </c>
      <c r="C6" s="91" t="s">
        <v>242</v>
      </c>
      <c r="D6" s="91" t="str">
        <f t="shared" si="0"/>
        <v>Morulem</v>
      </c>
      <c r="F6" s="91">
        <v>5</v>
      </c>
    </row>
    <row r="7" spans="1:6">
      <c r="A7" s="91" t="s">
        <v>247</v>
      </c>
      <c r="B7" s="91" t="s">
        <v>241</v>
      </c>
      <c r="C7" s="91" t="s">
        <v>242</v>
      </c>
      <c r="D7" s="91" t="str">
        <f t="shared" si="0"/>
        <v>Nyakwae</v>
      </c>
      <c r="F7" s="91">
        <v>6</v>
      </c>
    </row>
    <row r="8" spans="1:6">
      <c r="A8" s="91" t="s">
        <v>248</v>
      </c>
      <c r="B8" s="91" t="s">
        <v>249</v>
      </c>
      <c r="C8" s="91" t="s">
        <v>250</v>
      </c>
      <c r="D8" s="91" t="str">
        <f t="shared" si="0"/>
        <v>Adjumani Town Council</v>
      </c>
      <c r="F8" s="91">
        <v>7</v>
      </c>
    </row>
    <row r="9" spans="1:6">
      <c r="A9" s="91" t="s">
        <v>251</v>
      </c>
      <c r="B9" s="91" t="s">
        <v>249</v>
      </c>
      <c r="C9" s="91" t="s">
        <v>250</v>
      </c>
      <c r="D9" s="91" t="str">
        <f t="shared" si="0"/>
        <v>Adropi</v>
      </c>
      <c r="F9" s="91">
        <v>8</v>
      </c>
    </row>
    <row r="10" spans="1:6">
      <c r="A10" s="91" t="s">
        <v>252</v>
      </c>
      <c r="B10" s="91" t="s">
        <v>249</v>
      </c>
      <c r="C10" s="91" t="s">
        <v>250</v>
      </c>
      <c r="D10" s="91" t="str">
        <f t="shared" si="0"/>
        <v>Arinyapi</v>
      </c>
      <c r="F10" s="91">
        <v>9</v>
      </c>
    </row>
    <row r="11" spans="1:6">
      <c r="A11" s="91" t="s">
        <v>253</v>
      </c>
      <c r="B11" s="91" t="s">
        <v>249</v>
      </c>
      <c r="C11" s="91" t="s">
        <v>250</v>
      </c>
      <c r="D11" s="91" t="str">
        <f t="shared" si="0"/>
        <v>Ciforo</v>
      </c>
      <c r="F11" s="91">
        <v>10</v>
      </c>
    </row>
    <row r="12" spans="1:6">
      <c r="A12" s="91" t="s">
        <v>254</v>
      </c>
      <c r="B12" s="91" t="s">
        <v>249</v>
      </c>
      <c r="C12" s="91" t="s">
        <v>250</v>
      </c>
      <c r="D12" s="91" t="str">
        <f t="shared" si="0"/>
        <v>Dzaipi</v>
      </c>
      <c r="F12" s="91">
        <v>11</v>
      </c>
    </row>
    <row r="13" spans="1:6">
      <c r="A13" s="91" t="s">
        <v>255</v>
      </c>
      <c r="B13" s="91" t="s">
        <v>249</v>
      </c>
      <c r="C13" s="91" t="s">
        <v>250</v>
      </c>
      <c r="D13" s="91" t="str">
        <f t="shared" si="0"/>
        <v>Itirikwa</v>
      </c>
      <c r="F13" s="91">
        <v>12</v>
      </c>
    </row>
    <row r="14" spans="1:6">
      <c r="A14" s="91" t="s">
        <v>256</v>
      </c>
      <c r="B14" s="91" t="s">
        <v>249</v>
      </c>
      <c r="C14" s="91" t="s">
        <v>250</v>
      </c>
      <c r="D14" s="91" t="str">
        <f t="shared" si="0"/>
        <v>Ofua</v>
      </c>
      <c r="F14" s="91">
        <v>13</v>
      </c>
    </row>
    <row r="15" spans="1:6">
      <c r="A15" s="91" t="s">
        <v>257</v>
      </c>
      <c r="B15" s="91" t="s">
        <v>249</v>
      </c>
      <c r="C15" s="91" t="s">
        <v>250</v>
      </c>
      <c r="D15" s="91" t="str">
        <f t="shared" si="0"/>
        <v>Pacara</v>
      </c>
      <c r="F15" s="91">
        <v>14</v>
      </c>
    </row>
    <row r="16" spans="1:6">
      <c r="A16" s="91" t="s">
        <v>258</v>
      </c>
      <c r="B16" s="91" t="s">
        <v>249</v>
      </c>
      <c r="C16" s="91" t="s">
        <v>250</v>
      </c>
      <c r="D16" s="91" t="str">
        <f t="shared" si="0"/>
        <v>Pakele</v>
      </c>
      <c r="F16" s="91">
        <v>15</v>
      </c>
    </row>
    <row r="17" spans="1:6">
      <c r="A17" s="91" t="s">
        <v>259</v>
      </c>
      <c r="B17" s="91" t="s">
        <v>249</v>
      </c>
      <c r="C17" s="91" t="s">
        <v>250</v>
      </c>
      <c r="D17" s="91" t="str">
        <f t="shared" si="0"/>
        <v>Ukusijoni</v>
      </c>
      <c r="F17" s="91">
        <v>16</v>
      </c>
    </row>
    <row r="18" spans="1:6">
      <c r="A18" s="91" t="s">
        <v>260</v>
      </c>
      <c r="B18" s="91" t="s">
        <v>261</v>
      </c>
      <c r="C18" s="91" t="s">
        <v>261</v>
      </c>
      <c r="D18" s="91" t="str">
        <f t="shared" si="0"/>
        <v>Adilang</v>
      </c>
      <c r="F18" s="91">
        <v>17</v>
      </c>
    </row>
    <row r="19" spans="1:6">
      <c r="A19" s="91" t="s">
        <v>262</v>
      </c>
      <c r="B19" s="91" t="s">
        <v>261</v>
      </c>
      <c r="C19" s="91" t="s">
        <v>261</v>
      </c>
      <c r="D19" s="91" t="str">
        <f t="shared" si="0"/>
        <v>Agago Town Council</v>
      </c>
      <c r="F19" s="91">
        <v>18</v>
      </c>
    </row>
    <row r="20" spans="1:6">
      <c r="A20" s="91" t="s">
        <v>263</v>
      </c>
      <c r="B20" s="91" t="s">
        <v>261</v>
      </c>
      <c r="C20" s="91" t="s">
        <v>261</v>
      </c>
      <c r="D20" s="91" t="str">
        <f t="shared" si="0"/>
        <v>Arum</v>
      </c>
      <c r="F20" s="91">
        <v>19</v>
      </c>
    </row>
    <row r="21" spans="1:6">
      <c r="A21" s="91" t="s">
        <v>264</v>
      </c>
      <c r="B21" s="91" t="s">
        <v>261</v>
      </c>
      <c r="C21" s="91" t="s">
        <v>261</v>
      </c>
      <c r="D21" s="91" t="str">
        <f t="shared" si="0"/>
        <v>Kalongo Town Council</v>
      </c>
      <c r="F21" s="91">
        <v>20</v>
      </c>
    </row>
    <row r="22" spans="1:6">
      <c r="A22" s="91" t="s">
        <v>265</v>
      </c>
      <c r="B22" s="91" t="s">
        <v>261</v>
      </c>
      <c r="C22" s="91" t="s">
        <v>261</v>
      </c>
      <c r="D22" s="91" t="str">
        <f t="shared" si="0"/>
        <v>Kotomol</v>
      </c>
      <c r="F22" s="91">
        <v>21</v>
      </c>
    </row>
    <row r="23" spans="1:6">
      <c r="A23" s="91" t="s">
        <v>266</v>
      </c>
      <c r="B23" s="91" t="s">
        <v>261</v>
      </c>
      <c r="C23" s="91" t="s">
        <v>261</v>
      </c>
      <c r="D23" s="91" t="str">
        <f t="shared" si="0"/>
        <v>Lamiyo</v>
      </c>
      <c r="F23" s="91">
        <v>22</v>
      </c>
    </row>
    <row r="24" spans="1:6">
      <c r="A24" s="91" t="s">
        <v>267</v>
      </c>
      <c r="B24" s="91" t="s">
        <v>261</v>
      </c>
      <c r="C24" s="91" t="s">
        <v>261</v>
      </c>
      <c r="D24" s="91" t="str">
        <f t="shared" si="0"/>
        <v>Lapono</v>
      </c>
      <c r="F24" s="91">
        <v>23</v>
      </c>
    </row>
    <row r="25" spans="1:6">
      <c r="A25" s="91" t="s">
        <v>268</v>
      </c>
      <c r="B25" s="91" t="s">
        <v>261</v>
      </c>
      <c r="C25" s="91" t="s">
        <v>261</v>
      </c>
      <c r="D25" s="91" t="str">
        <f t="shared" si="0"/>
        <v>Lira Palwo</v>
      </c>
      <c r="F25" s="91">
        <v>24</v>
      </c>
    </row>
    <row r="26" spans="1:6">
      <c r="A26" s="91" t="s">
        <v>269</v>
      </c>
      <c r="B26" s="91" t="s">
        <v>261</v>
      </c>
      <c r="C26" s="91" t="s">
        <v>261</v>
      </c>
      <c r="D26" s="91" t="str">
        <f t="shared" si="0"/>
        <v>Lokole</v>
      </c>
      <c r="F26" s="91">
        <v>25</v>
      </c>
    </row>
    <row r="27" spans="1:6">
      <c r="A27" s="91" t="s">
        <v>270</v>
      </c>
      <c r="B27" s="91" t="s">
        <v>261</v>
      </c>
      <c r="C27" s="91" t="s">
        <v>261</v>
      </c>
      <c r="D27" s="91" t="str">
        <f t="shared" si="0"/>
        <v>Omiya Pacwa</v>
      </c>
      <c r="F27" s="91">
        <v>26</v>
      </c>
    </row>
    <row r="28" spans="1:6">
      <c r="A28" s="91" t="s">
        <v>271</v>
      </c>
      <c r="B28" s="91" t="s">
        <v>261</v>
      </c>
      <c r="C28" s="91" t="s">
        <v>261</v>
      </c>
      <c r="D28" s="91" t="str">
        <f t="shared" si="0"/>
        <v>Omot</v>
      </c>
      <c r="F28" s="91">
        <v>27</v>
      </c>
    </row>
    <row r="29" spans="1:6">
      <c r="A29" s="91" t="s">
        <v>272</v>
      </c>
      <c r="B29" s="91" t="s">
        <v>261</v>
      </c>
      <c r="C29" s="91" t="s">
        <v>261</v>
      </c>
      <c r="D29" s="91" t="str">
        <f t="shared" si="0"/>
        <v>Paimol</v>
      </c>
      <c r="F29" s="91">
        <v>28</v>
      </c>
    </row>
    <row r="30" spans="1:6">
      <c r="A30" s="91" t="s">
        <v>273</v>
      </c>
      <c r="B30" s="91" t="s">
        <v>261</v>
      </c>
      <c r="C30" s="91" t="s">
        <v>261</v>
      </c>
      <c r="D30" s="91" t="str">
        <f t="shared" si="0"/>
        <v>Parabongo</v>
      </c>
      <c r="F30" s="91">
        <v>29</v>
      </c>
    </row>
    <row r="31" spans="1:6">
      <c r="A31" s="91" t="s">
        <v>274</v>
      </c>
      <c r="B31" s="91" t="s">
        <v>261</v>
      </c>
      <c r="C31" s="91" t="s">
        <v>261</v>
      </c>
      <c r="D31" s="91" t="str">
        <f t="shared" si="0"/>
        <v>Patongo</v>
      </c>
      <c r="F31" s="91">
        <v>30</v>
      </c>
    </row>
    <row r="32" spans="1:6">
      <c r="A32" s="91" t="s">
        <v>275</v>
      </c>
      <c r="B32" s="91" t="s">
        <v>261</v>
      </c>
      <c r="C32" s="91" t="s">
        <v>261</v>
      </c>
      <c r="D32" s="91" t="str">
        <f t="shared" si="0"/>
        <v>Patongo Town Council</v>
      </c>
      <c r="F32" s="91">
        <v>31</v>
      </c>
    </row>
    <row r="33" spans="1:6">
      <c r="A33" s="91" t="s">
        <v>276</v>
      </c>
      <c r="B33" s="91" t="s">
        <v>261</v>
      </c>
      <c r="C33" s="91" t="s">
        <v>261</v>
      </c>
      <c r="D33" s="91" t="str">
        <f t="shared" si="0"/>
        <v>Wol</v>
      </c>
      <c r="F33" s="91">
        <v>32</v>
      </c>
    </row>
    <row r="34" spans="1:6">
      <c r="A34" s="91" t="s">
        <v>277</v>
      </c>
      <c r="B34" s="91" t="s">
        <v>278</v>
      </c>
      <c r="C34" s="91" t="s">
        <v>279</v>
      </c>
      <c r="D34" s="91" t="str">
        <f t="shared" si="0"/>
        <v>Abako</v>
      </c>
      <c r="F34" s="91">
        <v>33</v>
      </c>
    </row>
    <row r="35" spans="1:6">
      <c r="A35" s="91" t="s">
        <v>280</v>
      </c>
      <c r="B35" s="91" t="s">
        <v>278</v>
      </c>
      <c r="C35" s="91" t="s">
        <v>279</v>
      </c>
      <c r="D35" s="91" t="str">
        <f t="shared" si="0"/>
        <v>Abia</v>
      </c>
      <c r="F35" s="91">
        <v>34</v>
      </c>
    </row>
    <row r="36" spans="1:6">
      <c r="A36" s="91" t="s">
        <v>281</v>
      </c>
      <c r="B36" s="91" t="s">
        <v>278</v>
      </c>
      <c r="C36" s="91" t="s">
        <v>279</v>
      </c>
      <c r="D36" s="91" t="str">
        <f t="shared" si="0"/>
        <v>Akura</v>
      </c>
      <c r="F36" s="91">
        <v>35</v>
      </c>
    </row>
    <row r="37" spans="1:6">
      <c r="A37" s="91" t="s">
        <v>282</v>
      </c>
      <c r="B37" s="91" t="s">
        <v>278</v>
      </c>
      <c r="C37" s="91" t="s">
        <v>279</v>
      </c>
      <c r="D37" s="91" t="str">
        <f t="shared" si="0"/>
        <v>Alebtong Town Council</v>
      </c>
      <c r="F37" s="91">
        <v>36</v>
      </c>
    </row>
    <row r="38" spans="1:6">
      <c r="A38" s="91" t="s">
        <v>283</v>
      </c>
      <c r="B38" s="91" t="s">
        <v>278</v>
      </c>
      <c r="C38" s="91" t="s">
        <v>279</v>
      </c>
      <c r="D38" s="91" t="str">
        <f t="shared" si="0"/>
        <v>Aloi</v>
      </c>
      <c r="F38" s="91">
        <v>37</v>
      </c>
    </row>
    <row r="39" spans="1:6">
      <c r="A39" s="91" t="s">
        <v>284</v>
      </c>
      <c r="B39" s="91" t="s">
        <v>278</v>
      </c>
      <c r="C39" s="91" t="s">
        <v>279</v>
      </c>
      <c r="D39" s="91" t="str">
        <f t="shared" si="0"/>
        <v>Amugu</v>
      </c>
      <c r="F39" s="91">
        <v>38</v>
      </c>
    </row>
    <row r="40" spans="1:6">
      <c r="A40" s="91" t="s">
        <v>285</v>
      </c>
      <c r="B40" s="91" t="s">
        <v>278</v>
      </c>
      <c r="C40" s="91" t="s">
        <v>279</v>
      </c>
      <c r="D40" s="91" t="str">
        <f t="shared" si="0"/>
        <v>Apala</v>
      </c>
      <c r="F40" s="91">
        <v>39</v>
      </c>
    </row>
    <row r="41" spans="1:6">
      <c r="A41" s="91" t="s">
        <v>286</v>
      </c>
      <c r="B41" s="91" t="s">
        <v>278</v>
      </c>
      <c r="C41" s="91" t="s">
        <v>279</v>
      </c>
      <c r="D41" s="91" t="str">
        <f t="shared" si="0"/>
        <v>Awei</v>
      </c>
      <c r="F41" s="91">
        <v>40</v>
      </c>
    </row>
    <row r="42" spans="1:6">
      <c r="A42" s="91" t="s">
        <v>287</v>
      </c>
      <c r="B42" s="91" t="s">
        <v>278</v>
      </c>
      <c r="C42" s="91" t="s">
        <v>279</v>
      </c>
      <c r="D42" s="91" t="str">
        <f t="shared" si="0"/>
        <v>Omoro</v>
      </c>
      <c r="F42" s="91">
        <v>41</v>
      </c>
    </row>
    <row r="43" spans="1:6">
      <c r="A43" s="91" t="s">
        <v>288</v>
      </c>
      <c r="B43" s="91" t="s">
        <v>289</v>
      </c>
      <c r="C43" s="91" t="s">
        <v>290</v>
      </c>
      <c r="D43" s="91" t="str">
        <f t="shared" si="0"/>
        <v>Agikdak</v>
      </c>
      <c r="F43" s="91">
        <v>42</v>
      </c>
    </row>
    <row r="44" spans="1:6">
      <c r="A44" s="91" t="s">
        <v>291</v>
      </c>
      <c r="B44" s="91" t="s">
        <v>289</v>
      </c>
      <c r="C44" s="91" t="s">
        <v>290</v>
      </c>
      <c r="D44" s="91" t="str">
        <f t="shared" si="0"/>
        <v>Agwingiri</v>
      </c>
      <c r="F44" s="91">
        <v>43</v>
      </c>
    </row>
    <row r="45" spans="1:6">
      <c r="A45" s="91" t="s">
        <v>292</v>
      </c>
      <c r="B45" s="91" t="s">
        <v>289</v>
      </c>
      <c r="C45" s="91" t="s">
        <v>290</v>
      </c>
      <c r="D45" s="91" t="str">
        <f t="shared" si="0"/>
        <v>Akwon</v>
      </c>
      <c r="F45" s="91">
        <v>44</v>
      </c>
    </row>
    <row r="46" spans="1:6">
      <c r="A46" s="91" t="s">
        <v>293</v>
      </c>
      <c r="B46" s="91" t="s">
        <v>289</v>
      </c>
      <c r="C46" s="91" t="s">
        <v>290</v>
      </c>
      <c r="D46" s="91" t="str">
        <f t="shared" si="0"/>
        <v>Amolatar Town Council</v>
      </c>
      <c r="F46" s="91">
        <v>45</v>
      </c>
    </row>
    <row r="47" spans="1:6">
      <c r="A47" s="91" t="s">
        <v>294</v>
      </c>
      <c r="B47" s="91" t="s">
        <v>289</v>
      </c>
      <c r="C47" s="91" t="s">
        <v>290</v>
      </c>
      <c r="D47" s="91" t="str">
        <f t="shared" si="0"/>
        <v>Aputi</v>
      </c>
      <c r="F47" s="91">
        <v>46</v>
      </c>
    </row>
    <row r="48" spans="1:6">
      <c r="A48" s="91" t="s">
        <v>295</v>
      </c>
      <c r="B48" s="91" t="s">
        <v>289</v>
      </c>
      <c r="C48" s="91" t="s">
        <v>290</v>
      </c>
      <c r="D48" s="91" t="str">
        <f t="shared" si="0"/>
        <v>Arwotcek</v>
      </c>
      <c r="F48" s="91">
        <v>47</v>
      </c>
    </row>
    <row r="49" spans="1:6">
      <c r="A49" s="91" t="s">
        <v>296</v>
      </c>
      <c r="B49" s="91" t="s">
        <v>289</v>
      </c>
      <c r="C49" s="91" t="s">
        <v>290</v>
      </c>
      <c r="D49" s="91" t="str">
        <f t="shared" si="0"/>
        <v>Awelo</v>
      </c>
      <c r="F49" s="91">
        <v>48</v>
      </c>
    </row>
    <row r="50" spans="1:6">
      <c r="A50" s="91" t="s">
        <v>297</v>
      </c>
      <c r="B50" s="91" t="s">
        <v>289</v>
      </c>
      <c r="C50" s="91" t="s">
        <v>290</v>
      </c>
      <c r="D50" s="91" t="str">
        <f t="shared" si="0"/>
        <v>Etam</v>
      </c>
      <c r="F50" s="91">
        <v>49</v>
      </c>
    </row>
    <row r="51" spans="1:6">
      <c r="A51" s="91" t="s">
        <v>298</v>
      </c>
      <c r="B51" s="91" t="s">
        <v>289</v>
      </c>
      <c r="C51" s="91" t="s">
        <v>290</v>
      </c>
      <c r="D51" s="91" t="str">
        <f t="shared" si="0"/>
        <v>Muntu</v>
      </c>
      <c r="F51" s="91">
        <v>50</v>
      </c>
    </row>
    <row r="52" spans="1:6">
      <c r="A52" s="91" t="s">
        <v>299</v>
      </c>
      <c r="B52" s="91" t="s">
        <v>289</v>
      </c>
      <c r="C52" s="91" t="s">
        <v>290</v>
      </c>
      <c r="D52" s="91" t="str">
        <f t="shared" si="0"/>
        <v>Namasale</v>
      </c>
      <c r="F52" s="91">
        <v>51</v>
      </c>
    </row>
    <row r="53" spans="1:6">
      <c r="A53" s="91" t="s">
        <v>300</v>
      </c>
      <c r="B53" s="91" t="s">
        <v>289</v>
      </c>
      <c r="C53" s="91" t="s">
        <v>290</v>
      </c>
      <c r="D53" s="91" t="str">
        <f t="shared" si="0"/>
        <v>Namasale Town Council</v>
      </c>
      <c r="F53" s="91">
        <v>52</v>
      </c>
    </row>
    <row r="54" spans="1:6">
      <c r="A54" s="91" t="s">
        <v>301</v>
      </c>
      <c r="B54" s="91" t="s">
        <v>301</v>
      </c>
      <c r="C54" s="91" t="s">
        <v>302</v>
      </c>
      <c r="D54" s="91" t="str">
        <f t="shared" si="0"/>
        <v>Amudat</v>
      </c>
      <c r="F54" s="91">
        <v>53</v>
      </c>
    </row>
    <row r="55" spans="1:6">
      <c r="A55" s="91" t="s">
        <v>303</v>
      </c>
      <c r="B55" s="91" t="s">
        <v>301</v>
      </c>
      <c r="C55" s="91" t="s">
        <v>302</v>
      </c>
      <c r="D55" s="91" t="str">
        <f t="shared" si="0"/>
        <v>Amudat Town Council</v>
      </c>
      <c r="F55" s="91">
        <v>54</v>
      </c>
    </row>
    <row r="56" spans="1:6">
      <c r="A56" s="91" t="s">
        <v>304</v>
      </c>
      <c r="B56" s="91" t="s">
        <v>301</v>
      </c>
      <c r="C56" s="91" t="s">
        <v>302</v>
      </c>
      <c r="D56" s="91" t="str">
        <f t="shared" si="0"/>
        <v>Karita</v>
      </c>
      <c r="F56" s="91">
        <v>55</v>
      </c>
    </row>
    <row r="57" spans="1:6">
      <c r="A57" s="91" t="s">
        <v>305</v>
      </c>
      <c r="B57" s="91" t="s">
        <v>301</v>
      </c>
      <c r="C57" s="91" t="s">
        <v>302</v>
      </c>
      <c r="D57" s="91" t="str">
        <f t="shared" si="0"/>
        <v>Loroo</v>
      </c>
      <c r="F57" s="91">
        <v>56</v>
      </c>
    </row>
    <row r="58" spans="1:6">
      <c r="A58" s="91" t="s">
        <v>306</v>
      </c>
      <c r="B58" s="91" t="s">
        <v>307</v>
      </c>
      <c r="C58" s="91" t="s">
        <v>307</v>
      </c>
      <c r="D58" s="91" t="str">
        <f t="shared" si="0"/>
        <v>Abarilela</v>
      </c>
      <c r="F58" s="91">
        <v>57</v>
      </c>
    </row>
    <row r="59" spans="1:6">
      <c r="A59" s="91" t="s">
        <v>308</v>
      </c>
      <c r="B59" s="91" t="s">
        <v>307</v>
      </c>
      <c r="C59" s="91" t="s">
        <v>309</v>
      </c>
      <c r="D59" s="91" t="str">
        <f t="shared" si="0"/>
        <v>Acowa</v>
      </c>
      <c r="F59" s="91">
        <v>58</v>
      </c>
    </row>
    <row r="60" spans="1:6">
      <c r="A60" s="91" t="s">
        <v>310</v>
      </c>
      <c r="B60" s="91" t="s">
        <v>307</v>
      </c>
      <c r="C60" s="91" t="s">
        <v>307</v>
      </c>
      <c r="D60" s="91" t="str">
        <f t="shared" si="0"/>
        <v>Akeriau</v>
      </c>
      <c r="F60" s="91">
        <v>59</v>
      </c>
    </row>
    <row r="61" spans="1:6">
      <c r="A61" s="91" t="s">
        <v>311</v>
      </c>
      <c r="B61" s="91" t="s">
        <v>307</v>
      </c>
      <c r="C61" s="91" t="s">
        <v>309</v>
      </c>
      <c r="D61" s="91" t="str">
        <f t="shared" si="0"/>
        <v>Akoromit</v>
      </c>
      <c r="F61" s="91">
        <v>60</v>
      </c>
    </row>
    <row r="62" spans="1:6">
      <c r="A62" s="91" t="s">
        <v>312</v>
      </c>
      <c r="B62" s="91" t="s">
        <v>307</v>
      </c>
      <c r="C62" s="91" t="s">
        <v>307</v>
      </c>
      <c r="D62" s="91" t="str">
        <f t="shared" si="0"/>
        <v>Amuria Town Council</v>
      </c>
      <c r="F62" s="91">
        <v>61</v>
      </c>
    </row>
    <row r="63" spans="1:6">
      <c r="A63" s="91" t="s">
        <v>313</v>
      </c>
      <c r="B63" s="91" t="s">
        <v>307</v>
      </c>
      <c r="C63" s="91" t="s">
        <v>307</v>
      </c>
      <c r="D63" s="91" t="str">
        <f t="shared" si="0"/>
        <v>Apeduru</v>
      </c>
      <c r="F63" s="91">
        <v>62</v>
      </c>
    </row>
    <row r="64" spans="1:6">
      <c r="A64" s="91" t="s">
        <v>314</v>
      </c>
      <c r="B64" s="91" t="s">
        <v>307</v>
      </c>
      <c r="C64" s="91" t="s">
        <v>307</v>
      </c>
      <c r="D64" s="91" t="str">
        <f t="shared" si="0"/>
        <v>Asamuk</v>
      </c>
      <c r="F64" s="91">
        <v>63</v>
      </c>
    </row>
    <row r="65" spans="1:6">
      <c r="A65" s="91" t="s">
        <v>309</v>
      </c>
      <c r="B65" s="91" t="s">
        <v>307</v>
      </c>
      <c r="C65" s="91" t="s">
        <v>309</v>
      </c>
      <c r="D65" s="91" t="str">
        <f t="shared" si="0"/>
        <v>Kapelebyong</v>
      </c>
      <c r="F65" s="91">
        <v>64</v>
      </c>
    </row>
    <row r="66" spans="1:6">
      <c r="A66" s="91" t="s">
        <v>315</v>
      </c>
      <c r="B66" s="91" t="s">
        <v>307</v>
      </c>
      <c r="C66" s="91" t="s">
        <v>307</v>
      </c>
      <c r="D66" s="91" t="str">
        <f t="shared" si="0"/>
        <v>Kuju</v>
      </c>
      <c r="F66" s="91">
        <v>65</v>
      </c>
    </row>
    <row r="67" spans="1:6">
      <c r="A67" s="91" t="s">
        <v>316</v>
      </c>
      <c r="B67" s="91" t="s">
        <v>307</v>
      </c>
      <c r="C67" s="91" t="s">
        <v>307</v>
      </c>
      <c r="D67" s="91" t="str">
        <f t="shared" ref="D67:D130" si="1">A67</f>
        <v>Morungatuny</v>
      </c>
      <c r="F67" s="91">
        <v>66</v>
      </c>
    </row>
    <row r="68" spans="1:6">
      <c r="A68" s="91" t="s">
        <v>317</v>
      </c>
      <c r="B68" s="91" t="s">
        <v>307</v>
      </c>
      <c r="C68" s="91" t="s">
        <v>309</v>
      </c>
      <c r="D68" s="91" t="str">
        <f t="shared" si="1"/>
        <v>Obalanga</v>
      </c>
      <c r="F68" s="91">
        <v>67</v>
      </c>
    </row>
    <row r="69" spans="1:6">
      <c r="A69" s="91" t="s">
        <v>318</v>
      </c>
      <c r="B69" s="91" t="s">
        <v>307</v>
      </c>
      <c r="C69" s="91" t="s">
        <v>307</v>
      </c>
      <c r="D69" s="91" t="str">
        <f t="shared" si="1"/>
        <v>Ogolai</v>
      </c>
      <c r="F69" s="91">
        <v>68</v>
      </c>
    </row>
    <row r="70" spans="1:6">
      <c r="A70" s="91" t="s">
        <v>319</v>
      </c>
      <c r="B70" s="91" t="s">
        <v>307</v>
      </c>
      <c r="C70" s="91" t="s">
        <v>309</v>
      </c>
      <c r="D70" s="91" t="str">
        <f t="shared" si="1"/>
        <v>Okungur</v>
      </c>
      <c r="F70" s="91">
        <v>69</v>
      </c>
    </row>
    <row r="71" spans="1:6">
      <c r="A71" s="91" t="s">
        <v>320</v>
      </c>
      <c r="B71" s="91" t="s">
        <v>307</v>
      </c>
      <c r="C71" s="91" t="s">
        <v>307</v>
      </c>
      <c r="D71" s="91" t="str">
        <f t="shared" si="1"/>
        <v>Orungo</v>
      </c>
      <c r="F71" s="91">
        <v>70</v>
      </c>
    </row>
    <row r="72" spans="1:6">
      <c r="A72" s="91" t="s">
        <v>321</v>
      </c>
      <c r="B72" s="91" t="s">
        <v>307</v>
      </c>
      <c r="C72" s="91" t="s">
        <v>307</v>
      </c>
      <c r="D72" s="91" t="str">
        <f t="shared" si="1"/>
        <v>Wera</v>
      </c>
      <c r="F72" s="91">
        <v>71</v>
      </c>
    </row>
    <row r="73" spans="1:6">
      <c r="A73" s="91" t="s">
        <v>322</v>
      </c>
      <c r="B73" s="91" t="s">
        <v>307</v>
      </c>
      <c r="C73" s="91" t="s">
        <v>307</v>
      </c>
      <c r="D73" s="91" t="str">
        <f t="shared" si="1"/>
        <v>Willa</v>
      </c>
      <c r="F73" s="91">
        <v>72</v>
      </c>
    </row>
    <row r="74" spans="1:6">
      <c r="A74" s="91" t="s">
        <v>171</v>
      </c>
      <c r="B74" s="91" t="s">
        <v>171</v>
      </c>
      <c r="C74" s="91" t="s">
        <v>323</v>
      </c>
      <c r="D74" s="91" t="str">
        <f t="shared" si="1"/>
        <v>Amuru</v>
      </c>
      <c r="F74" s="91">
        <v>73</v>
      </c>
    </row>
    <row r="75" spans="1:6">
      <c r="A75" s="91" t="s">
        <v>225</v>
      </c>
      <c r="B75" s="91" t="s">
        <v>171</v>
      </c>
      <c r="C75" s="91" t="s">
        <v>323</v>
      </c>
      <c r="D75" s="91" t="str">
        <f t="shared" si="1"/>
        <v>Pakiso</v>
      </c>
      <c r="F75" s="91">
        <v>73</v>
      </c>
    </row>
    <row r="76" spans="1:6">
      <c r="A76" s="91" t="s">
        <v>324</v>
      </c>
      <c r="B76" s="91" t="s">
        <v>171</v>
      </c>
      <c r="C76" s="91" t="s">
        <v>323</v>
      </c>
      <c r="D76" s="91" t="str">
        <f t="shared" si="1"/>
        <v>Amuru Town Council</v>
      </c>
      <c r="F76" s="91">
        <v>74</v>
      </c>
    </row>
    <row r="77" spans="1:6">
      <c r="A77" s="91" t="s">
        <v>325</v>
      </c>
      <c r="D77" s="91" t="str">
        <f t="shared" si="1"/>
        <v>Amur town</v>
      </c>
      <c r="F77" s="91">
        <v>74</v>
      </c>
    </row>
    <row r="78" spans="1:6">
      <c r="A78" s="91" t="s">
        <v>224</v>
      </c>
      <c r="D78" s="91" t="str">
        <f t="shared" si="1"/>
        <v>Orel Sugar Works</v>
      </c>
      <c r="F78" s="91">
        <v>74</v>
      </c>
    </row>
    <row r="79" spans="1:6">
      <c r="A79" s="91" t="s">
        <v>326</v>
      </c>
      <c r="B79" s="91" t="s">
        <v>171</v>
      </c>
      <c r="C79" s="91" t="s">
        <v>323</v>
      </c>
      <c r="D79" s="91" t="str">
        <f t="shared" si="1"/>
        <v>Attiak</v>
      </c>
      <c r="F79" s="91">
        <v>75</v>
      </c>
    </row>
    <row r="80" spans="1:6">
      <c r="A80" s="91" t="s">
        <v>168</v>
      </c>
      <c r="D80" s="91" t="str">
        <f t="shared" si="1"/>
        <v>Atiak</v>
      </c>
      <c r="F80" s="91">
        <v>75</v>
      </c>
    </row>
    <row r="81" spans="1:6">
      <c r="A81" s="91" t="s">
        <v>208</v>
      </c>
      <c r="D81" s="91" t="str">
        <f t="shared" si="1"/>
        <v>Bibia</v>
      </c>
      <c r="F81" s="91">
        <v>75</v>
      </c>
    </row>
    <row r="82" spans="1:6">
      <c r="A82" s="91" t="s">
        <v>327</v>
      </c>
      <c r="B82" s="91" t="s">
        <v>171</v>
      </c>
      <c r="C82" s="91" t="s">
        <v>323</v>
      </c>
      <c r="D82" s="91" t="str">
        <f t="shared" si="1"/>
        <v>Lamogi</v>
      </c>
      <c r="F82" s="91">
        <v>76</v>
      </c>
    </row>
    <row r="83" spans="1:6">
      <c r="A83" s="91" t="s">
        <v>328</v>
      </c>
      <c r="B83" s="91" t="s">
        <v>171</v>
      </c>
      <c r="C83" s="91" t="s">
        <v>323</v>
      </c>
      <c r="D83" s="91" t="str">
        <f t="shared" si="1"/>
        <v>Pabo</v>
      </c>
      <c r="F83" s="91">
        <v>77</v>
      </c>
    </row>
    <row r="84" spans="1:6">
      <c r="A84" s="91" t="s">
        <v>207</v>
      </c>
      <c r="B84" s="91" t="s">
        <v>171</v>
      </c>
      <c r="C84" s="91" t="s">
        <v>323</v>
      </c>
      <c r="D84" s="91" t="str">
        <f t="shared" si="1"/>
        <v>Pawer Ba Ngeta</v>
      </c>
      <c r="F84" s="91">
        <v>77</v>
      </c>
    </row>
    <row r="85" spans="1:6">
      <c r="A85" s="91" t="s">
        <v>206</v>
      </c>
      <c r="D85" s="91" t="str">
        <f t="shared" si="1"/>
        <v>Pabor</v>
      </c>
      <c r="F85" s="91">
        <v>77</v>
      </c>
    </row>
    <row r="86" spans="1:6">
      <c r="A86" s="91" t="s">
        <v>329</v>
      </c>
      <c r="B86" s="91" t="s">
        <v>330</v>
      </c>
      <c r="C86" s="91" t="s">
        <v>331</v>
      </c>
      <c r="D86" s="91" t="str">
        <f t="shared" si="1"/>
        <v>Abongomola</v>
      </c>
      <c r="F86" s="91">
        <v>78</v>
      </c>
    </row>
    <row r="87" spans="1:6">
      <c r="A87" s="91" t="s">
        <v>332</v>
      </c>
      <c r="B87" s="91" t="s">
        <v>330</v>
      </c>
      <c r="C87" s="91" t="s">
        <v>331</v>
      </c>
      <c r="D87" s="91" t="str">
        <f t="shared" si="1"/>
        <v>Aduku</v>
      </c>
      <c r="F87" s="91">
        <v>79</v>
      </c>
    </row>
    <row r="88" spans="1:6">
      <c r="A88" s="91" t="s">
        <v>333</v>
      </c>
      <c r="B88" s="91" t="s">
        <v>330</v>
      </c>
      <c r="C88" s="91" t="s">
        <v>331</v>
      </c>
      <c r="D88" s="91" t="str">
        <f t="shared" si="1"/>
        <v>Aduku Town Council</v>
      </c>
      <c r="F88" s="91">
        <v>80</v>
      </c>
    </row>
    <row r="89" spans="1:6">
      <c r="A89" s="91" t="s">
        <v>334</v>
      </c>
      <c r="B89" s="91" t="s">
        <v>330</v>
      </c>
      <c r="C89" s="91" t="s">
        <v>335</v>
      </c>
      <c r="D89" s="91" t="str">
        <f t="shared" si="1"/>
        <v>Akokoro</v>
      </c>
      <c r="F89" s="91">
        <v>81</v>
      </c>
    </row>
    <row r="90" spans="1:6">
      <c r="A90" s="91" t="s">
        <v>336</v>
      </c>
      <c r="B90" s="91" t="s">
        <v>330</v>
      </c>
      <c r="C90" s="91" t="s">
        <v>337</v>
      </c>
      <c r="D90" s="91" t="str">
        <f t="shared" si="1"/>
        <v>Apac Muicipality</v>
      </c>
      <c r="F90" s="91">
        <v>82</v>
      </c>
    </row>
    <row r="91" spans="1:6">
      <c r="A91" s="91" t="s">
        <v>330</v>
      </c>
      <c r="D91" s="91" t="str">
        <f t="shared" si="1"/>
        <v>Apac</v>
      </c>
      <c r="F91" s="91">
        <v>82</v>
      </c>
    </row>
    <row r="92" spans="1:6">
      <c r="A92" s="91" t="s">
        <v>338</v>
      </c>
      <c r="B92" s="91" t="s">
        <v>330</v>
      </c>
      <c r="C92" s="91" t="s">
        <v>331</v>
      </c>
      <c r="D92" s="91" t="str">
        <f t="shared" si="1"/>
        <v>Chawente</v>
      </c>
      <c r="F92" s="91">
        <v>83</v>
      </c>
    </row>
    <row r="93" spans="1:6">
      <c r="A93" s="91" t="s">
        <v>339</v>
      </c>
      <c r="B93" s="91" t="s">
        <v>330</v>
      </c>
      <c r="C93" s="91" t="s">
        <v>335</v>
      </c>
      <c r="D93" s="91" t="str">
        <f t="shared" si="1"/>
        <v>Chegere</v>
      </c>
      <c r="F93" s="91">
        <v>84</v>
      </c>
    </row>
    <row r="94" spans="1:6">
      <c r="A94" s="91" t="s">
        <v>340</v>
      </c>
      <c r="B94" s="91" t="s">
        <v>330</v>
      </c>
      <c r="C94" s="91" t="s">
        <v>335</v>
      </c>
      <c r="D94" s="91" t="str">
        <f t="shared" si="1"/>
        <v>Ibuje</v>
      </c>
      <c r="F94" s="91">
        <v>85</v>
      </c>
    </row>
    <row r="95" spans="1:6">
      <c r="A95" s="91" t="s">
        <v>341</v>
      </c>
      <c r="B95" s="91" t="s">
        <v>330</v>
      </c>
      <c r="C95" s="91" t="s">
        <v>331</v>
      </c>
      <c r="D95" s="91" t="str">
        <f t="shared" si="1"/>
        <v>Inomo</v>
      </c>
      <c r="F95" s="91">
        <v>86</v>
      </c>
    </row>
    <row r="96" spans="1:6">
      <c r="A96" s="91" t="s">
        <v>342</v>
      </c>
      <c r="B96" s="91" t="s">
        <v>330</v>
      </c>
      <c r="C96" s="91" t="s">
        <v>331</v>
      </c>
      <c r="D96" s="91" t="str">
        <f t="shared" si="1"/>
        <v>Nambieso</v>
      </c>
      <c r="F96" s="91">
        <v>87</v>
      </c>
    </row>
    <row r="97" spans="1:6">
      <c r="A97" s="91" t="s">
        <v>343</v>
      </c>
      <c r="B97" s="91" t="s">
        <v>344</v>
      </c>
      <c r="C97" s="91" t="s">
        <v>345</v>
      </c>
      <c r="D97" s="91" t="str">
        <f t="shared" si="1"/>
        <v>Adumi</v>
      </c>
      <c r="F97" s="91">
        <v>88</v>
      </c>
    </row>
    <row r="98" spans="1:6">
      <c r="A98" s="91" t="s">
        <v>346</v>
      </c>
      <c r="B98" s="91" t="s">
        <v>344</v>
      </c>
      <c r="C98" s="91" t="s">
        <v>347</v>
      </c>
      <c r="D98" s="91" t="str">
        <f t="shared" si="1"/>
        <v>Aii-Vu</v>
      </c>
      <c r="F98" s="91">
        <v>89</v>
      </c>
    </row>
    <row r="99" spans="1:6">
      <c r="A99" s="91" t="s">
        <v>348</v>
      </c>
      <c r="B99" s="91" t="s">
        <v>344</v>
      </c>
      <c r="C99" s="91" t="s">
        <v>349</v>
      </c>
      <c r="D99" s="91" t="str">
        <f t="shared" si="1"/>
        <v>Ajia</v>
      </c>
      <c r="F99" s="91">
        <v>90</v>
      </c>
    </row>
    <row r="100" spans="1:6">
      <c r="A100" s="91" t="s">
        <v>350</v>
      </c>
      <c r="B100" s="91" t="s">
        <v>344</v>
      </c>
      <c r="C100" s="91" t="s">
        <v>351</v>
      </c>
      <c r="D100" s="91" t="str">
        <f t="shared" si="1"/>
        <v>Anyiribu</v>
      </c>
      <c r="F100" s="91">
        <v>91</v>
      </c>
    </row>
    <row r="101" spans="1:6">
      <c r="A101" s="91" t="s">
        <v>352</v>
      </c>
      <c r="B101" s="91" t="s">
        <v>344</v>
      </c>
      <c r="C101" s="91" t="s">
        <v>349</v>
      </c>
      <c r="D101" s="91" t="str">
        <f t="shared" si="1"/>
        <v>Arivu</v>
      </c>
      <c r="F101" s="91">
        <v>92</v>
      </c>
    </row>
    <row r="102" spans="1:6">
      <c r="A102" s="91" t="s">
        <v>353</v>
      </c>
      <c r="B102" s="91" t="s">
        <v>344</v>
      </c>
      <c r="C102" s="91" t="s">
        <v>345</v>
      </c>
      <c r="D102" s="91" t="str">
        <f t="shared" si="1"/>
        <v>Aroi</v>
      </c>
      <c r="F102" s="91">
        <v>93</v>
      </c>
    </row>
    <row r="103" spans="1:6">
      <c r="A103" s="91" t="s">
        <v>354</v>
      </c>
      <c r="B103" s="91" t="s">
        <v>344</v>
      </c>
      <c r="C103" s="91" t="s">
        <v>354</v>
      </c>
      <c r="D103" s="91" t="str">
        <f t="shared" si="1"/>
        <v>Arua Municipality</v>
      </c>
      <c r="F103" s="91">
        <v>94</v>
      </c>
    </row>
    <row r="104" spans="1:6">
      <c r="A104" s="91" t="s">
        <v>344</v>
      </c>
      <c r="D104" s="91" t="str">
        <f t="shared" si="1"/>
        <v>Arua</v>
      </c>
      <c r="F104" s="91">
        <v>94</v>
      </c>
    </row>
    <row r="105" spans="1:6">
      <c r="A105" s="91" t="s">
        <v>355</v>
      </c>
      <c r="B105" s="91" t="s">
        <v>344</v>
      </c>
      <c r="C105" s="91" t="s">
        <v>345</v>
      </c>
      <c r="D105" s="91" t="str">
        <f t="shared" si="1"/>
        <v>Ayivuni</v>
      </c>
      <c r="F105" s="91">
        <v>95</v>
      </c>
    </row>
    <row r="106" spans="1:6">
      <c r="A106" s="91" t="s">
        <v>356</v>
      </c>
      <c r="B106" s="91" t="s">
        <v>344</v>
      </c>
      <c r="C106" s="91" t="s">
        <v>347</v>
      </c>
      <c r="D106" s="91" t="str">
        <f t="shared" si="1"/>
        <v>Bileafe</v>
      </c>
      <c r="F106" s="91">
        <v>96</v>
      </c>
    </row>
    <row r="107" spans="1:6">
      <c r="A107" s="91" t="s">
        <v>357</v>
      </c>
      <c r="B107" s="91" t="s">
        <v>344</v>
      </c>
      <c r="C107" s="91" t="s">
        <v>345</v>
      </c>
      <c r="D107" s="91" t="str">
        <f t="shared" si="1"/>
        <v>Dadamu</v>
      </c>
      <c r="F107" s="91">
        <v>97</v>
      </c>
    </row>
    <row r="108" spans="1:6">
      <c r="A108" s="91" t="s">
        <v>358</v>
      </c>
      <c r="B108" s="91" t="s">
        <v>344</v>
      </c>
      <c r="C108" s="91" t="s">
        <v>351</v>
      </c>
      <c r="D108" s="91" t="str">
        <f t="shared" si="1"/>
        <v>Ewanga</v>
      </c>
      <c r="F108" s="91">
        <v>98</v>
      </c>
    </row>
    <row r="109" spans="1:6">
      <c r="A109" s="91" t="s">
        <v>359</v>
      </c>
      <c r="B109" s="91" t="s">
        <v>344</v>
      </c>
      <c r="C109" s="91" t="s">
        <v>347</v>
      </c>
      <c r="D109" s="91" t="str">
        <f t="shared" si="1"/>
        <v>Katrini</v>
      </c>
      <c r="F109" s="91">
        <v>99</v>
      </c>
    </row>
    <row r="110" spans="1:6">
      <c r="A110" s="91" t="s">
        <v>360</v>
      </c>
      <c r="B110" s="91" t="s">
        <v>344</v>
      </c>
      <c r="C110" s="91" t="s">
        <v>349</v>
      </c>
      <c r="D110" s="91" t="str">
        <f t="shared" si="1"/>
        <v>Logiri</v>
      </c>
      <c r="F110" s="91">
        <v>100</v>
      </c>
    </row>
    <row r="111" spans="1:6">
      <c r="A111" s="91" t="s">
        <v>361</v>
      </c>
      <c r="B111" s="91" t="s">
        <v>344</v>
      </c>
      <c r="C111" s="91" t="s">
        <v>345</v>
      </c>
      <c r="D111" s="91" t="str">
        <f t="shared" si="1"/>
        <v>Manibe</v>
      </c>
      <c r="F111" s="91">
        <v>101</v>
      </c>
    </row>
    <row r="112" spans="1:6">
      <c r="A112" s="91" t="s">
        <v>362</v>
      </c>
      <c r="B112" s="91" t="s">
        <v>344</v>
      </c>
      <c r="C112" s="91" t="s">
        <v>347</v>
      </c>
      <c r="D112" s="91" t="str">
        <f t="shared" si="1"/>
        <v>Odupi</v>
      </c>
      <c r="F112" s="91">
        <v>102</v>
      </c>
    </row>
    <row r="113" spans="1:6">
      <c r="A113" s="91" t="s">
        <v>363</v>
      </c>
      <c r="B113" s="91" t="s">
        <v>344</v>
      </c>
      <c r="C113" s="91" t="s">
        <v>351</v>
      </c>
      <c r="D113" s="91" t="str">
        <f t="shared" si="1"/>
        <v>Offaka</v>
      </c>
      <c r="F113" s="91">
        <v>103</v>
      </c>
    </row>
    <row r="114" spans="1:6">
      <c r="A114" s="91" t="s">
        <v>364</v>
      </c>
      <c r="B114" s="91" t="s">
        <v>344</v>
      </c>
      <c r="C114" s="91" t="s">
        <v>351</v>
      </c>
      <c r="D114" s="91" t="str">
        <f t="shared" si="1"/>
        <v>Ogoko</v>
      </c>
      <c r="F114" s="91">
        <v>104</v>
      </c>
    </row>
    <row r="115" spans="1:6">
      <c r="A115" s="91" t="s">
        <v>365</v>
      </c>
      <c r="B115" s="91" t="s">
        <v>344</v>
      </c>
      <c r="C115" s="91" t="s">
        <v>351</v>
      </c>
      <c r="D115" s="91" t="str">
        <f t="shared" si="1"/>
        <v>Okollo</v>
      </c>
      <c r="F115" s="91">
        <v>105</v>
      </c>
    </row>
    <row r="116" spans="1:6">
      <c r="A116" s="91" t="s">
        <v>366</v>
      </c>
      <c r="B116" s="91" t="s">
        <v>344</v>
      </c>
      <c r="C116" s="91" t="s">
        <v>345</v>
      </c>
      <c r="D116" s="91" t="str">
        <f t="shared" si="1"/>
        <v>Oluko</v>
      </c>
      <c r="F116" s="91">
        <v>106</v>
      </c>
    </row>
    <row r="117" spans="1:6">
      <c r="A117" s="91" t="s">
        <v>367</v>
      </c>
      <c r="B117" s="91" t="s">
        <v>344</v>
      </c>
      <c r="C117" s="91" t="s">
        <v>347</v>
      </c>
      <c r="D117" s="91" t="str">
        <f t="shared" si="1"/>
        <v>Omugo</v>
      </c>
      <c r="F117" s="91">
        <v>107</v>
      </c>
    </row>
    <row r="118" spans="1:6">
      <c r="A118" s="91" t="s">
        <v>368</v>
      </c>
      <c r="B118" s="91" t="s">
        <v>344</v>
      </c>
      <c r="C118" s="91" t="s">
        <v>345</v>
      </c>
      <c r="D118" s="91" t="str">
        <f t="shared" si="1"/>
        <v>Pajulu</v>
      </c>
      <c r="F118" s="91">
        <v>108</v>
      </c>
    </row>
    <row r="119" spans="1:6">
      <c r="A119" s="91" t="s">
        <v>369</v>
      </c>
      <c r="B119" s="91" t="s">
        <v>344</v>
      </c>
      <c r="C119" s="91" t="s">
        <v>351</v>
      </c>
      <c r="D119" s="91" t="str">
        <f t="shared" si="1"/>
        <v>Pawor</v>
      </c>
      <c r="F119" s="91">
        <v>109</v>
      </c>
    </row>
    <row r="120" spans="1:6">
      <c r="A120" s="91" t="s">
        <v>370</v>
      </c>
      <c r="B120" s="91" t="s">
        <v>344</v>
      </c>
      <c r="C120" s="91" t="s">
        <v>351</v>
      </c>
      <c r="D120" s="91" t="str">
        <f t="shared" si="1"/>
        <v>Rhino Camp</v>
      </c>
      <c r="F120" s="91">
        <v>110</v>
      </c>
    </row>
    <row r="121" spans="1:6">
      <c r="A121" s="91" t="s">
        <v>371</v>
      </c>
      <c r="B121" s="91" t="s">
        <v>344</v>
      </c>
      <c r="C121" s="91" t="s">
        <v>351</v>
      </c>
      <c r="D121" s="91" t="str">
        <f t="shared" si="1"/>
        <v>Rigbo</v>
      </c>
      <c r="F121" s="91">
        <v>111</v>
      </c>
    </row>
    <row r="122" spans="1:6">
      <c r="A122" s="91" t="s">
        <v>372</v>
      </c>
      <c r="B122" s="91" t="s">
        <v>344</v>
      </c>
      <c r="C122" s="91" t="s">
        <v>351</v>
      </c>
      <c r="D122" s="91" t="str">
        <f t="shared" si="1"/>
        <v>Uleppi</v>
      </c>
      <c r="F122" s="91">
        <v>112</v>
      </c>
    </row>
    <row r="123" spans="1:6">
      <c r="A123" s="91" t="s">
        <v>373</v>
      </c>
      <c r="B123" s="91" t="s">
        <v>344</v>
      </c>
      <c r="C123" s="91" t="s">
        <v>347</v>
      </c>
      <c r="D123" s="91" t="str">
        <f t="shared" si="1"/>
        <v>Uriama</v>
      </c>
      <c r="F123" s="91">
        <v>113</v>
      </c>
    </row>
    <row r="124" spans="1:6">
      <c r="A124" s="91" t="s">
        <v>349</v>
      </c>
      <c r="B124" s="91" t="s">
        <v>344</v>
      </c>
      <c r="C124" s="91" t="s">
        <v>349</v>
      </c>
      <c r="D124" s="91" t="str">
        <f t="shared" si="1"/>
        <v>Vurra</v>
      </c>
      <c r="F124" s="91">
        <v>114</v>
      </c>
    </row>
    <row r="125" spans="1:6">
      <c r="A125" s="91" t="s">
        <v>374</v>
      </c>
      <c r="B125" s="91" t="s">
        <v>374</v>
      </c>
      <c r="C125" s="91" t="s">
        <v>374</v>
      </c>
      <c r="D125" s="91" t="str">
        <f t="shared" si="1"/>
        <v>Budaka</v>
      </c>
      <c r="F125" s="91">
        <v>115</v>
      </c>
    </row>
    <row r="126" spans="1:6">
      <c r="A126" s="91" t="s">
        <v>375</v>
      </c>
      <c r="B126" s="91" t="s">
        <v>374</v>
      </c>
      <c r="C126" s="91" t="s">
        <v>374</v>
      </c>
      <c r="D126" s="91" t="str">
        <f t="shared" si="1"/>
        <v>Budaka Town Council</v>
      </c>
      <c r="F126" s="91">
        <v>116</v>
      </c>
    </row>
    <row r="127" spans="1:6">
      <c r="A127" s="91" t="s">
        <v>376</v>
      </c>
      <c r="B127" s="91" t="s">
        <v>374</v>
      </c>
      <c r="C127" s="91" t="s">
        <v>376</v>
      </c>
      <c r="D127" s="91" t="str">
        <f t="shared" si="1"/>
        <v>Iki-Iki</v>
      </c>
      <c r="F127" s="91">
        <v>117</v>
      </c>
    </row>
    <row r="128" spans="1:6">
      <c r="A128" s="91" t="s">
        <v>377</v>
      </c>
      <c r="B128" s="91" t="s">
        <v>374</v>
      </c>
      <c r="C128" s="91" t="s">
        <v>374</v>
      </c>
      <c r="D128" s="91" t="str">
        <f t="shared" si="1"/>
        <v>Kachomo</v>
      </c>
      <c r="F128" s="91">
        <v>118</v>
      </c>
    </row>
    <row r="129" spans="1:6">
      <c r="A129" s="91" t="s">
        <v>378</v>
      </c>
      <c r="B129" s="91" t="s">
        <v>374</v>
      </c>
      <c r="C129" s="91" t="s">
        <v>374</v>
      </c>
      <c r="D129" s="91" t="str">
        <f t="shared" si="1"/>
        <v>Kaderuna</v>
      </c>
      <c r="F129" s="91">
        <v>119</v>
      </c>
    </row>
    <row r="130" spans="1:6">
      <c r="A130" s="91" t="s">
        <v>379</v>
      </c>
      <c r="B130" s="91" t="s">
        <v>374</v>
      </c>
      <c r="C130" s="91" t="s">
        <v>374</v>
      </c>
      <c r="D130" s="91" t="str">
        <f t="shared" si="1"/>
        <v>Kakule</v>
      </c>
      <c r="F130" s="91">
        <v>120</v>
      </c>
    </row>
    <row r="131" spans="1:6">
      <c r="A131" s="91" t="s">
        <v>380</v>
      </c>
      <c r="B131" s="91" t="s">
        <v>374</v>
      </c>
      <c r="C131" s="91" t="s">
        <v>376</v>
      </c>
      <c r="D131" s="91" t="str">
        <f t="shared" ref="D131:D194" si="2">A131</f>
        <v>Kameruka</v>
      </c>
      <c r="F131" s="91">
        <v>121</v>
      </c>
    </row>
    <row r="132" spans="1:6">
      <c r="A132" s="91" t="s">
        <v>381</v>
      </c>
      <c r="B132" s="91" t="s">
        <v>374</v>
      </c>
      <c r="C132" s="91" t="s">
        <v>376</v>
      </c>
      <c r="D132" s="91" t="str">
        <f t="shared" si="2"/>
        <v>Kamonkoli</v>
      </c>
      <c r="F132" s="91">
        <v>122</v>
      </c>
    </row>
    <row r="133" spans="1:6">
      <c r="A133" s="91" t="s">
        <v>382</v>
      </c>
      <c r="B133" s="91" t="s">
        <v>374</v>
      </c>
      <c r="C133" s="91" t="s">
        <v>376</v>
      </c>
      <c r="D133" s="91" t="str">
        <f t="shared" si="2"/>
        <v>Katiira</v>
      </c>
      <c r="F133" s="91">
        <v>123</v>
      </c>
    </row>
    <row r="134" spans="1:6">
      <c r="A134" s="91" t="s">
        <v>383</v>
      </c>
      <c r="B134" s="91" t="s">
        <v>374</v>
      </c>
      <c r="C134" s="91" t="s">
        <v>374</v>
      </c>
      <c r="D134" s="91" t="str">
        <f t="shared" si="2"/>
        <v>Lyama</v>
      </c>
      <c r="F134" s="91">
        <v>124</v>
      </c>
    </row>
    <row r="135" spans="1:6">
      <c r="A135" s="91" t="s">
        <v>384</v>
      </c>
      <c r="B135" s="91" t="s">
        <v>374</v>
      </c>
      <c r="C135" s="91" t="s">
        <v>376</v>
      </c>
      <c r="D135" s="91" t="str">
        <f t="shared" si="2"/>
        <v>Mugiti</v>
      </c>
      <c r="F135" s="91">
        <v>125</v>
      </c>
    </row>
    <row r="136" spans="1:6">
      <c r="A136" s="91" t="s">
        <v>385</v>
      </c>
      <c r="B136" s="91" t="s">
        <v>374</v>
      </c>
      <c r="C136" s="91" t="s">
        <v>374</v>
      </c>
      <c r="D136" s="91" t="str">
        <f t="shared" si="2"/>
        <v>Naboa</v>
      </c>
      <c r="F136" s="91">
        <v>126</v>
      </c>
    </row>
    <row r="137" spans="1:6">
      <c r="A137" s="91" t="s">
        <v>386</v>
      </c>
      <c r="B137" s="91" t="s">
        <v>374</v>
      </c>
      <c r="C137" s="91" t="s">
        <v>374</v>
      </c>
      <c r="D137" s="91" t="str">
        <f t="shared" si="2"/>
        <v>Nansanga</v>
      </c>
      <c r="F137" s="91">
        <v>127</v>
      </c>
    </row>
    <row r="138" spans="1:6">
      <c r="A138" s="91" t="s">
        <v>387</v>
      </c>
      <c r="B138" s="91" t="s">
        <v>388</v>
      </c>
      <c r="C138" s="91" t="s">
        <v>389</v>
      </c>
      <c r="D138" s="91" t="str">
        <f t="shared" si="2"/>
        <v>Bubiita</v>
      </c>
      <c r="F138" s="91">
        <v>128</v>
      </c>
    </row>
    <row r="139" spans="1:6">
      <c r="A139" s="91" t="s">
        <v>388</v>
      </c>
      <c r="B139" s="91" t="s">
        <v>388</v>
      </c>
      <c r="C139" s="91" t="s">
        <v>389</v>
      </c>
      <c r="D139" s="91" t="str">
        <f t="shared" si="2"/>
        <v>Bududa</v>
      </c>
      <c r="F139" s="91">
        <v>129</v>
      </c>
    </row>
    <row r="140" spans="1:6">
      <c r="A140" s="91" t="s">
        <v>390</v>
      </c>
      <c r="B140" s="91" t="s">
        <v>388</v>
      </c>
      <c r="C140" s="91" t="s">
        <v>389</v>
      </c>
      <c r="D140" s="91" t="str">
        <f t="shared" si="2"/>
        <v>Bududa Town Council</v>
      </c>
      <c r="F140" s="91">
        <v>130</v>
      </c>
    </row>
    <row r="141" spans="1:6">
      <c r="A141" s="91" t="s">
        <v>391</v>
      </c>
      <c r="B141" s="91" t="s">
        <v>388</v>
      </c>
      <c r="C141" s="91" t="s">
        <v>389</v>
      </c>
      <c r="D141" s="91" t="str">
        <f t="shared" si="2"/>
        <v>Bukalasi</v>
      </c>
      <c r="F141" s="91">
        <v>131</v>
      </c>
    </row>
    <row r="142" spans="1:6">
      <c r="A142" s="91" t="s">
        <v>392</v>
      </c>
      <c r="B142" s="91" t="s">
        <v>388</v>
      </c>
      <c r="C142" s="91" t="s">
        <v>389</v>
      </c>
      <c r="D142" s="91" t="str">
        <f t="shared" si="2"/>
        <v>Bukibokolo</v>
      </c>
      <c r="F142" s="91">
        <v>132</v>
      </c>
    </row>
    <row r="143" spans="1:6">
      <c r="A143" s="91" t="s">
        <v>393</v>
      </c>
      <c r="B143" s="91" t="s">
        <v>388</v>
      </c>
      <c r="C143" s="91" t="s">
        <v>389</v>
      </c>
      <c r="D143" s="91" t="str">
        <f t="shared" si="2"/>
        <v>Bukigai</v>
      </c>
      <c r="F143" s="91">
        <v>133</v>
      </c>
    </row>
    <row r="144" spans="1:6">
      <c r="A144" s="91" t="s">
        <v>394</v>
      </c>
      <c r="B144" s="91" t="s">
        <v>388</v>
      </c>
      <c r="C144" s="91" t="s">
        <v>389</v>
      </c>
      <c r="D144" s="91" t="str">
        <f t="shared" si="2"/>
        <v>Bulucheke</v>
      </c>
      <c r="F144" s="91">
        <v>134</v>
      </c>
    </row>
    <row r="145" spans="1:6">
      <c r="A145" s="91" t="s">
        <v>395</v>
      </c>
      <c r="B145" s="91" t="s">
        <v>388</v>
      </c>
      <c r="C145" s="91" t="s">
        <v>389</v>
      </c>
      <c r="D145" s="91" t="str">
        <f t="shared" si="2"/>
        <v>Bumasheti</v>
      </c>
      <c r="F145" s="91">
        <v>135</v>
      </c>
    </row>
    <row r="146" spans="1:6">
      <c r="A146" s="91" t="s">
        <v>396</v>
      </c>
      <c r="B146" s="91" t="s">
        <v>388</v>
      </c>
      <c r="C146" s="91" t="s">
        <v>389</v>
      </c>
      <c r="D146" s="91" t="str">
        <f t="shared" si="2"/>
        <v>Bumayoka</v>
      </c>
      <c r="F146" s="91">
        <v>136</v>
      </c>
    </row>
    <row r="147" spans="1:6">
      <c r="A147" s="91" t="s">
        <v>397</v>
      </c>
      <c r="B147" s="91" t="s">
        <v>388</v>
      </c>
      <c r="C147" s="91" t="s">
        <v>389</v>
      </c>
      <c r="D147" s="91" t="str">
        <f t="shared" si="2"/>
        <v>Bushika</v>
      </c>
      <c r="F147" s="91">
        <v>137</v>
      </c>
    </row>
    <row r="148" spans="1:6">
      <c r="A148" s="91" t="s">
        <v>398</v>
      </c>
      <c r="B148" s="91" t="s">
        <v>388</v>
      </c>
      <c r="C148" s="91" t="s">
        <v>389</v>
      </c>
      <c r="D148" s="91" t="str">
        <f t="shared" si="2"/>
        <v>Bushiribo</v>
      </c>
      <c r="F148" s="91">
        <v>138</v>
      </c>
    </row>
    <row r="149" spans="1:6">
      <c r="A149" s="91" t="s">
        <v>399</v>
      </c>
      <c r="B149" s="91" t="s">
        <v>388</v>
      </c>
      <c r="C149" s="91" t="s">
        <v>389</v>
      </c>
      <c r="D149" s="91" t="str">
        <f t="shared" si="2"/>
        <v>Bushiyi</v>
      </c>
      <c r="F149" s="91">
        <v>139</v>
      </c>
    </row>
    <row r="150" spans="1:6">
      <c r="A150" s="91" t="s">
        <v>400</v>
      </c>
      <c r="B150" s="91" t="s">
        <v>388</v>
      </c>
      <c r="C150" s="91" t="s">
        <v>389</v>
      </c>
      <c r="D150" s="91" t="str">
        <f t="shared" si="2"/>
        <v>Buwali</v>
      </c>
      <c r="F150" s="91">
        <v>140</v>
      </c>
    </row>
    <row r="151" spans="1:6">
      <c r="A151" s="91" t="s">
        <v>401</v>
      </c>
      <c r="B151" s="91" t="s">
        <v>388</v>
      </c>
      <c r="C151" s="91" t="s">
        <v>389</v>
      </c>
      <c r="D151" s="91" t="str">
        <f t="shared" si="2"/>
        <v>Nabweya</v>
      </c>
      <c r="F151" s="91">
        <v>141</v>
      </c>
    </row>
    <row r="152" spans="1:6">
      <c r="A152" s="91" t="s">
        <v>402</v>
      </c>
      <c r="B152" s="91" t="s">
        <v>388</v>
      </c>
      <c r="C152" s="91" t="s">
        <v>389</v>
      </c>
      <c r="D152" s="91" t="str">
        <f t="shared" si="2"/>
        <v>Nakatsi</v>
      </c>
      <c r="F152" s="91">
        <v>142</v>
      </c>
    </row>
    <row r="153" spans="1:6">
      <c r="A153" s="91" t="s">
        <v>403</v>
      </c>
      <c r="B153" s="91" t="s">
        <v>388</v>
      </c>
      <c r="C153" s="91" t="s">
        <v>389</v>
      </c>
      <c r="D153" s="91" t="str">
        <f t="shared" si="2"/>
        <v>Nalwanza</v>
      </c>
      <c r="F153" s="91">
        <v>143</v>
      </c>
    </row>
    <row r="154" spans="1:6">
      <c r="A154" s="91" t="s">
        <v>404</v>
      </c>
      <c r="B154" s="91" t="s">
        <v>405</v>
      </c>
      <c r="C154" s="91" t="s">
        <v>406</v>
      </c>
      <c r="D154" s="91" t="str">
        <f t="shared" si="2"/>
        <v>Budhaya</v>
      </c>
      <c r="F154" s="91">
        <v>144</v>
      </c>
    </row>
    <row r="155" spans="1:6">
      <c r="A155" s="91" t="s">
        <v>407</v>
      </c>
      <c r="B155" s="91" t="s">
        <v>405</v>
      </c>
      <c r="C155" s="91" t="s">
        <v>407</v>
      </c>
      <c r="D155" s="91" t="str">
        <f t="shared" si="2"/>
        <v>Bugiri Municipality</v>
      </c>
      <c r="F155" s="91">
        <v>145</v>
      </c>
    </row>
    <row r="156" spans="1:6">
      <c r="A156" s="91" t="s">
        <v>408</v>
      </c>
      <c r="B156" s="91" t="s">
        <v>405</v>
      </c>
      <c r="C156" s="91" t="s">
        <v>406</v>
      </c>
      <c r="D156" s="91" t="str">
        <f t="shared" si="2"/>
        <v>Bulesa</v>
      </c>
      <c r="F156" s="91">
        <v>146</v>
      </c>
    </row>
    <row r="157" spans="1:6">
      <c r="A157" s="91" t="s">
        <v>409</v>
      </c>
      <c r="B157" s="91" t="s">
        <v>405</v>
      </c>
      <c r="C157" s="91" t="s">
        <v>406</v>
      </c>
      <c r="D157" s="91" t="str">
        <f t="shared" si="2"/>
        <v>Bulidha</v>
      </c>
      <c r="F157" s="91">
        <v>147</v>
      </c>
    </row>
    <row r="158" spans="1:6">
      <c r="A158" s="91" t="s">
        <v>410</v>
      </c>
      <c r="B158" s="91" t="s">
        <v>405</v>
      </c>
      <c r="C158" s="91" t="s">
        <v>406</v>
      </c>
      <c r="D158" s="91" t="str">
        <f t="shared" si="2"/>
        <v>Buluguyi</v>
      </c>
      <c r="F158" s="91">
        <v>148</v>
      </c>
    </row>
    <row r="159" spans="1:6">
      <c r="A159" s="91" t="s">
        <v>411</v>
      </c>
      <c r="B159" s="91" t="s">
        <v>405</v>
      </c>
      <c r="C159" s="91" t="s">
        <v>406</v>
      </c>
      <c r="D159" s="91" t="str">
        <f t="shared" si="2"/>
        <v>Buwunga-Bugiri</v>
      </c>
      <c r="F159" s="91">
        <v>149</v>
      </c>
    </row>
    <row r="160" spans="1:6">
      <c r="A160" s="91" t="s">
        <v>412</v>
      </c>
      <c r="B160" s="91" t="s">
        <v>405</v>
      </c>
      <c r="C160" s="91" t="s">
        <v>406</v>
      </c>
      <c r="D160" s="91" t="str">
        <f t="shared" si="2"/>
        <v>Iwemba</v>
      </c>
      <c r="F160" s="91">
        <v>150</v>
      </c>
    </row>
    <row r="161" spans="1:6">
      <c r="A161" s="91" t="s">
        <v>413</v>
      </c>
      <c r="B161" s="91" t="s">
        <v>405</v>
      </c>
      <c r="C161" s="91" t="s">
        <v>406</v>
      </c>
      <c r="D161" s="91" t="str">
        <f t="shared" si="2"/>
        <v>Kapyanga</v>
      </c>
      <c r="F161" s="91">
        <v>151</v>
      </c>
    </row>
    <row r="162" spans="1:6">
      <c r="A162" s="91" t="s">
        <v>414</v>
      </c>
      <c r="B162" s="91" t="s">
        <v>405</v>
      </c>
      <c r="C162" s="91" t="s">
        <v>406</v>
      </c>
      <c r="D162" s="91" t="str">
        <f t="shared" si="2"/>
        <v>Muterere</v>
      </c>
      <c r="F162" s="91">
        <v>152</v>
      </c>
    </row>
    <row r="163" spans="1:6">
      <c r="A163" s="91" t="s">
        <v>415</v>
      </c>
      <c r="B163" s="91" t="s">
        <v>405</v>
      </c>
      <c r="C163" s="91" t="s">
        <v>406</v>
      </c>
      <c r="D163" s="91" t="str">
        <f t="shared" si="2"/>
        <v>Nabukalu</v>
      </c>
      <c r="F163" s="91">
        <v>153</v>
      </c>
    </row>
    <row r="164" spans="1:6">
      <c r="A164" s="91" t="s">
        <v>416</v>
      </c>
      <c r="B164" s="91" t="s">
        <v>405</v>
      </c>
      <c r="C164" s="91" t="s">
        <v>406</v>
      </c>
      <c r="D164" s="91" t="str">
        <f t="shared" si="2"/>
        <v>Nankoma</v>
      </c>
      <c r="F164" s="91">
        <v>154</v>
      </c>
    </row>
    <row r="165" spans="1:6">
      <c r="A165" s="91" t="s">
        <v>417</v>
      </c>
      <c r="B165" s="91" t="s">
        <v>418</v>
      </c>
      <c r="C165" s="91" t="s">
        <v>418</v>
      </c>
      <c r="D165" s="91" t="str">
        <f t="shared" si="2"/>
        <v>Bihanga-Buhweju</v>
      </c>
      <c r="F165" s="91">
        <v>155</v>
      </c>
    </row>
    <row r="166" spans="1:6">
      <c r="A166" s="91" t="s">
        <v>419</v>
      </c>
      <c r="D166" s="91" t="str">
        <f t="shared" si="2"/>
        <v>BUHWEJJU</v>
      </c>
      <c r="F166" s="91">
        <v>155</v>
      </c>
    </row>
    <row r="167" spans="1:6">
      <c r="A167" s="91" t="s">
        <v>420</v>
      </c>
      <c r="B167" s="91" t="s">
        <v>418</v>
      </c>
      <c r="C167" s="91" t="s">
        <v>418</v>
      </c>
      <c r="D167" s="91" t="str">
        <f t="shared" si="2"/>
        <v>Bitsya</v>
      </c>
      <c r="F167" s="91">
        <v>156</v>
      </c>
    </row>
    <row r="168" spans="1:6">
      <c r="A168" s="91" t="s">
        <v>421</v>
      </c>
      <c r="B168" s="91" t="s">
        <v>418</v>
      </c>
      <c r="C168" s="91" t="s">
        <v>418</v>
      </c>
      <c r="D168" s="91" t="str">
        <f t="shared" si="2"/>
        <v>Burere</v>
      </c>
      <c r="F168" s="91">
        <v>157</v>
      </c>
    </row>
    <row r="169" spans="1:6">
      <c r="A169" s="91" t="s">
        <v>422</v>
      </c>
      <c r="B169" s="91" t="s">
        <v>418</v>
      </c>
      <c r="C169" s="91" t="s">
        <v>418</v>
      </c>
      <c r="D169" s="91" t="str">
        <f t="shared" si="2"/>
        <v>Engaju</v>
      </c>
      <c r="F169" s="91">
        <v>158</v>
      </c>
    </row>
    <row r="170" spans="1:6">
      <c r="A170" s="91" t="s">
        <v>423</v>
      </c>
      <c r="B170" s="91" t="s">
        <v>418</v>
      </c>
      <c r="C170" s="91" t="s">
        <v>418</v>
      </c>
      <c r="D170" s="91" t="str">
        <f t="shared" si="2"/>
        <v>Karungu</v>
      </c>
      <c r="F170" s="91">
        <v>159</v>
      </c>
    </row>
    <row r="171" spans="1:6">
      <c r="A171" s="91" t="s">
        <v>424</v>
      </c>
      <c r="B171" s="91" t="s">
        <v>418</v>
      </c>
      <c r="C171" s="91" t="s">
        <v>418</v>
      </c>
      <c r="D171" s="91" t="str">
        <f t="shared" si="2"/>
        <v>Nsiika Town Council</v>
      </c>
      <c r="F171" s="91">
        <v>160</v>
      </c>
    </row>
    <row r="172" spans="1:6">
      <c r="A172" s="91" t="s">
        <v>425</v>
      </c>
      <c r="D172" s="91" t="str">
        <f t="shared" si="2"/>
        <v>NSIKA</v>
      </c>
      <c r="F172" s="91">
        <v>160</v>
      </c>
    </row>
    <row r="173" spans="1:6">
      <c r="A173" s="91" t="s">
        <v>426</v>
      </c>
      <c r="D173" s="91" t="str">
        <f t="shared" si="2"/>
        <v>NSIIKA</v>
      </c>
      <c r="F173" s="91">
        <v>160</v>
      </c>
    </row>
    <row r="174" spans="1:6">
      <c r="A174" s="91" t="s">
        <v>427</v>
      </c>
      <c r="B174" s="91" t="s">
        <v>418</v>
      </c>
      <c r="C174" s="91" t="s">
        <v>418</v>
      </c>
      <c r="D174" s="91" t="str">
        <f t="shared" si="2"/>
        <v>Nyakishana</v>
      </c>
      <c r="F174" s="91">
        <v>161</v>
      </c>
    </row>
    <row r="175" spans="1:6">
      <c r="A175" s="91" t="s">
        <v>428</v>
      </c>
      <c r="B175" s="91" t="s">
        <v>418</v>
      </c>
      <c r="C175" s="91" t="s">
        <v>418</v>
      </c>
      <c r="D175" s="91" t="str">
        <f t="shared" si="2"/>
        <v>Rwengwe</v>
      </c>
      <c r="F175" s="91">
        <v>162</v>
      </c>
    </row>
    <row r="176" spans="1:6">
      <c r="A176" s="91" t="s">
        <v>429</v>
      </c>
      <c r="B176" s="91" t="s">
        <v>429</v>
      </c>
      <c r="C176" s="91" t="s">
        <v>429</v>
      </c>
      <c r="D176" s="91" t="str">
        <f t="shared" si="2"/>
        <v>Buikwe</v>
      </c>
      <c r="F176" s="91">
        <v>163</v>
      </c>
    </row>
    <row r="177" spans="1:6">
      <c r="A177" s="91" t="s">
        <v>430</v>
      </c>
      <c r="D177" s="91" t="str">
        <f t="shared" si="2"/>
        <v>Namalili</v>
      </c>
      <c r="F177" s="91">
        <v>163</v>
      </c>
    </row>
    <row r="178" spans="1:6">
      <c r="A178" s="91" t="s">
        <v>431</v>
      </c>
      <c r="D178" s="91" t="str">
        <f t="shared" si="2"/>
        <v>Butaale</v>
      </c>
      <c r="F178" s="91">
        <v>163</v>
      </c>
    </row>
    <row r="179" spans="1:6">
      <c r="A179" s="91" t="s">
        <v>432</v>
      </c>
      <c r="D179" s="91" t="str">
        <f t="shared" si="2"/>
        <v>Lweru</v>
      </c>
      <c r="F179" s="91">
        <v>163</v>
      </c>
    </row>
    <row r="180" spans="1:6">
      <c r="A180" s="91" t="s">
        <v>433</v>
      </c>
      <c r="B180" s="91" t="s">
        <v>429</v>
      </c>
      <c r="C180" s="91" t="s">
        <v>429</v>
      </c>
      <c r="D180" s="91" t="str">
        <f t="shared" si="2"/>
        <v>Buikwe Town Council</v>
      </c>
      <c r="F180" s="91">
        <v>164</v>
      </c>
    </row>
    <row r="181" spans="1:6">
      <c r="A181" s="91" t="s">
        <v>434</v>
      </c>
      <c r="D181" s="91" t="str">
        <f t="shared" si="2"/>
        <v>NAJJEMBA</v>
      </c>
      <c r="F181" s="91">
        <v>164</v>
      </c>
    </row>
    <row r="182" spans="1:6">
      <c r="A182" s="91" t="s">
        <v>435</v>
      </c>
      <c r="D182" s="91" t="str">
        <f t="shared" si="2"/>
        <v>NAJEMBA</v>
      </c>
      <c r="F182" s="91">
        <v>164</v>
      </c>
    </row>
    <row r="183" spans="1:6">
      <c r="A183" s="91" t="s">
        <v>436</v>
      </c>
      <c r="D183" s="91" t="str">
        <f t="shared" si="2"/>
        <v>Buyikwe</v>
      </c>
      <c r="F183" s="91">
        <v>164</v>
      </c>
    </row>
    <row r="184" spans="1:6">
      <c r="A184" s="91" t="s">
        <v>437</v>
      </c>
      <c r="D184" s="91" t="str">
        <f t="shared" si="2"/>
        <v>BUIKWE TOWN</v>
      </c>
      <c r="F184" s="91">
        <v>164</v>
      </c>
    </row>
    <row r="185" spans="1:6">
      <c r="A185" s="91" t="s">
        <v>438</v>
      </c>
      <c r="B185" s="91" t="s">
        <v>429</v>
      </c>
      <c r="C185" s="91" t="s">
        <v>438</v>
      </c>
      <c r="D185" s="91" t="str">
        <f t="shared" si="2"/>
        <v>Lugazi Municipality</v>
      </c>
      <c r="F185" s="91">
        <v>165</v>
      </c>
    </row>
    <row r="186" spans="1:6">
      <c r="A186" s="91" t="s">
        <v>439</v>
      </c>
      <c r="D186" s="91" t="str">
        <f t="shared" si="2"/>
        <v>LUGAZI</v>
      </c>
      <c r="F186" s="91">
        <v>165</v>
      </c>
    </row>
    <row r="187" spans="1:6">
      <c r="A187" s="91" t="s">
        <v>440</v>
      </c>
      <c r="D187" s="91" t="str">
        <f t="shared" si="2"/>
        <v>Namagunga</v>
      </c>
      <c r="F187" s="91">
        <v>165</v>
      </c>
    </row>
    <row r="188" spans="1:6">
      <c r="A188" s="91" t="s">
        <v>441</v>
      </c>
      <c r="B188" s="91" t="s">
        <v>429</v>
      </c>
      <c r="C188" s="91" t="s">
        <v>429</v>
      </c>
      <c r="D188" s="91" t="str">
        <f t="shared" si="2"/>
        <v>Najja</v>
      </c>
      <c r="F188" s="91">
        <v>166</v>
      </c>
    </row>
    <row r="189" spans="1:6">
      <c r="A189" s="91" t="s">
        <v>442</v>
      </c>
      <c r="B189" s="91" t="s">
        <v>429</v>
      </c>
      <c r="C189" s="91" t="s">
        <v>429</v>
      </c>
      <c r="D189" s="91" t="str">
        <f t="shared" si="2"/>
        <v>Ngogwe</v>
      </c>
      <c r="F189" s="91">
        <v>167</v>
      </c>
    </row>
    <row r="190" spans="1:6">
      <c r="A190" s="91" t="s">
        <v>443</v>
      </c>
      <c r="B190" s="91" t="s">
        <v>429</v>
      </c>
      <c r="C190" s="91" t="s">
        <v>443</v>
      </c>
      <c r="D190" s="91" t="str">
        <f t="shared" si="2"/>
        <v>Njeru Municipality</v>
      </c>
      <c r="F190" s="91">
        <v>168</v>
      </c>
    </row>
    <row r="191" spans="1:6">
      <c r="A191" s="91" t="s">
        <v>444</v>
      </c>
      <c r="B191" s="91" t="s">
        <v>429</v>
      </c>
      <c r="C191" s="91" t="s">
        <v>429</v>
      </c>
      <c r="D191" s="91" t="str">
        <f t="shared" si="2"/>
        <v>Nkokonjeru Town Council</v>
      </c>
      <c r="F191" s="91">
        <v>169</v>
      </c>
    </row>
    <row r="192" spans="1:6">
      <c r="A192" s="91" t="s">
        <v>445</v>
      </c>
      <c r="B192" s="91" t="s">
        <v>429</v>
      </c>
      <c r="C192" s="91" t="s">
        <v>429</v>
      </c>
      <c r="D192" s="91" t="str">
        <f t="shared" si="2"/>
        <v>Ssi-Bukunja</v>
      </c>
      <c r="F192" s="91">
        <v>170</v>
      </c>
    </row>
    <row r="193" spans="1:6">
      <c r="A193" s="91" t="s">
        <v>446</v>
      </c>
      <c r="B193" s="91" t="s">
        <v>446</v>
      </c>
      <c r="C193" s="91" t="s">
        <v>446</v>
      </c>
      <c r="D193" s="91" t="str">
        <f t="shared" si="2"/>
        <v>Bukedea</v>
      </c>
      <c r="F193" s="91">
        <v>171</v>
      </c>
    </row>
    <row r="194" spans="1:6">
      <c r="A194" s="91" t="s">
        <v>447</v>
      </c>
      <c r="B194" s="91" t="s">
        <v>446</v>
      </c>
      <c r="C194" s="91" t="s">
        <v>446</v>
      </c>
      <c r="D194" s="91" t="str">
        <f t="shared" si="2"/>
        <v>Bukedea Town Council</v>
      </c>
      <c r="F194" s="91">
        <v>172</v>
      </c>
    </row>
    <row r="195" spans="1:6">
      <c r="A195" s="91" t="s">
        <v>448</v>
      </c>
      <c r="B195" s="91" t="s">
        <v>446</v>
      </c>
      <c r="C195" s="91" t="s">
        <v>446</v>
      </c>
      <c r="D195" s="91" t="str">
        <f t="shared" ref="D195:D258" si="3">A195</f>
        <v>Kachumbala</v>
      </c>
      <c r="F195" s="91">
        <v>173</v>
      </c>
    </row>
    <row r="196" spans="1:6">
      <c r="A196" s="91" t="s">
        <v>449</v>
      </c>
      <c r="B196" s="91" t="s">
        <v>446</v>
      </c>
      <c r="C196" s="91" t="s">
        <v>446</v>
      </c>
      <c r="D196" s="91" t="str">
        <f t="shared" si="3"/>
        <v>Kidongole</v>
      </c>
      <c r="F196" s="91">
        <v>174</v>
      </c>
    </row>
    <row r="197" spans="1:6">
      <c r="A197" s="91" t="s">
        <v>450</v>
      </c>
      <c r="B197" s="91" t="s">
        <v>446</v>
      </c>
      <c r="C197" s="91" t="s">
        <v>446</v>
      </c>
      <c r="D197" s="91" t="str">
        <f t="shared" si="3"/>
        <v>Kolir</v>
      </c>
      <c r="F197" s="91">
        <v>175</v>
      </c>
    </row>
    <row r="198" spans="1:6">
      <c r="A198" s="91" t="s">
        <v>451</v>
      </c>
      <c r="B198" s="91" t="s">
        <v>446</v>
      </c>
      <c r="C198" s="91" t="s">
        <v>446</v>
      </c>
      <c r="D198" s="91" t="str">
        <f t="shared" si="3"/>
        <v>Malera</v>
      </c>
      <c r="F198" s="91">
        <v>176</v>
      </c>
    </row>
    <row r="199" spans="1:6">
      <c r="A199" s="91" t="s">
        <v>452</v>
      </c>
      <c r="B199" s="91" t="s">
        <v>453</v>
      </c>
      <c r="C199" s="91" t="s">
        <v>453</v>
      </c>
      <c r="D199" s="91" t="str">
        <f t="shared" si="3"/>
        <v>Bigasa</v>
      </c>
      <c r="F199" s="91">
        <v>177</v>
      </c>
    </row>
    <row r="200" spans="1:6">
      <c r="A200" s="91" t="s">
        <v>454</v>
      </c>
      <c r="B200" s="91" t="s">
        <v>453</v>
      </c>
      <c r="C200" s="91" t="s">
        <v>453</v>
      </c>
      <c r="D200" s="91" t="str">
        <f t="shared" si="3"/>
        <v>Bukomansimbi Town Council</v>
      </c>
      <c r="F200" s="91">
        <v>178</v>
      </c>
    </row>
    <row r="201" spans="1:6">
      <c r="A201" s="91" t="s">
        <v>455</v>
      </c>
      <c r="B201" s="91" t="s">
        <v>453</v>
      </c>
      <c r="C201" s="91" t="s">
        <v>453</v>
      </c>
      <c r="D201" s="91" t="str">
        <f t="shared" si="3"/>
        <v>Butenga</v>
      </c>
      <c r="F201" s="91">
        <v>179</v>
      </c>
    </row>
    <row r="202" spans="1:6">
      <c r="A202" s="91" t="s">
        <v>456</v>
      </c>
      <c r="B202" s="91" t="s">
        <v>453</v>
      </c>
      <c r="C202" s="91" t="s">
        <v>453</v>
      </c>
      <c r="D202" s="91" t="str">
        <f t="shared" si="3"/>
        <v>Kibinge</v>
      </c>
      <c r="F202" s="91">
        <v>180</v>
      </c>
    </row>
    <row r="203" spans="1:6">
      <c r="A203" s="91" t="s">
        <v>457</v>
      </c>
      <c r="B203" s="91" t="s">
        <v>453</v>
      </c>
      <c r="C203" s="91" t="s">
        <v>453</v>
      </c>
      <c r="D203" s="91" t="str">
        <f t="shared" si="3"/>
        <v>Kitanda</v>
      </c>
      <c r="F203" s="91">
        <v>181</v>
      </c>
    </row>
    <row r="204" spans="1:6">
      <c r="A204" s="91" t="s">
        <v>458</v>
      </c>
      <c r="B204" s="91" t="s">
        <v>458</v>
      </c>
      <c r="C204" s="91" t="s">
        <v>459</v>
      </c>
      <c r="D204" s="91" t="str">
        <f t="shared" si="3"/>
        <v>Bukwo</v>
      </c>
      <c r="F204" s="91">
        <v>182</v>
      </c>
    </row>
    <row r="205" spans="1:6" ht="16.5" customHeight="1">
      <c r="A205" s="91" t="s">
        <v>460</v>
      </c>
      <c r="B205" s="91" t="s">
        <v>458</v>
      </c>
      <c r="C205" s="91" t="s">
        <v>459</v>
      </c>
      <c r="D205" s="91" t="str">
        <f t="shared" si="3"/>
        <v>Bukwo Town Council</v>
      </c>
      <c r="F205" s="91">
        <v>183</v>
      </c>
    </row>
    <row r="206" spans="1:6">
      <c r="A206" s="91" t="s">
        <v>461</v>
      </c>
      <c r="B206" s="91" t="s">
        <v>458</v>
      </c>
      <c r="C206" s="91" t="s">
        <v>459</v>
      </c>
      <c r="D206" s="91" t="str">
        <f t="shared" si="3"/>
        <v>Chepkwasta</v>
      </c>
      <c r="F206" s="91">
        <v>184</v>
      </c>
    </row>
    <row r="207" spans="1:6">
      <c r="A207" s="91" t="s">
        <v>462</v>
      </c>
      <c r="B207" s="91" t="s">
        <v>458</v>
      </c>
      <c r="C207" s="91" t="s">
        <v>459</v>
      </c>
      <c r="D207" s="91" t="str">
        <f t="shared" si="3"/>
        <v>Chesower</v>
      </c>
      <c r="F207" s="91">
        <v>185</v>
      </c>
    </row>
    <row r="208" spans="1:6">
      <c r="A208" s="91" t="s">
        <v>463</v>
      </c>
      <c r="B208" s="91" t="s">
        <v>458</v>
      </c>
      <c r="C208" s="91" t="s">
        <v>459</v>
      </c>
      <c r="D208" s="91" t="str">
        <f t="shared" si="3"/>
        <v>Kabei</v>
      </c>
      <c r="F208" s="91">
        <v>186</v>
      </c>
    </row>
    <row r="209" spans="1:6">
      <c r="A209" s="91" t="s">
        <v>464</v>
      </c>
      <c r="B209" s="91" t="s">
        <v>458</v>
      </c>
      <c r="C209" s="91" t="s">
        <v>459</v>
      </c>
      <c r="D209" s="91" t="str">
        <f t="shared" si="3"/>
        <v>Kamet</v>
      </c>
      <c r="F209" s="91">
        <v>187</v>
      </c>
    </row>
    <row r="210" spans="1:6">
      <c r="A210" s="91" t="s">
        <v>465</v>
      </c>
      <c r="B210" s="91" t="s">
        <v>458</v>
      </c>
      <c r="C210" s="91" t="s">
        <v>459</v>
      </c>
      <c r="D210" s="91" t="str">
        <f t="shared" si="3"/>
        <v>Kaptererwo</v>
      </c>
      <c r="F210" s="91">
        <v>188</v>
      </c>
    </row>
    <row r="211" spans="1:6">
      <c r="A211" s="91" t="s">
        <v>466</v>
      </c>
      <c r="B211" s="91" t="s">
        <v>458</v>
      </c>
      <c r="C211" s="91" t="s">
        <v>459</v>
      </c>
      <c r="D211" s="91" t="str">
        <f t="shared" si="3"/>
        <v>Kortek</v>
      </c>
      <c r="F211" s="91">
        <v>189</v>
      </c>
    </row>
    <row r="212" spans="1:6">
      <c r="A212" s="91" t="s">
        <v>467</v>
      </c>
      <c r="B212" s="91" t="s">
        <v>458</v>
      </c>
      <c r="C212" s="91" t="s">
        <v>459</v>
      </c>
      <c r="D212" s="91" t="str">
        <f t="shared" si="3"/>
        <v>Riwo</v>
      </c>
      <c r="F212" s="91">
        <v>190</v>
      </c>
    </row>
    <row r="213" spans="1:6">
      <c r="A213" s="91" t="s">
        <v>468</v>
      </c>
      <c r="B213" s="91" t="s">
        <v>458</v>
      </c>
      <c r="C213" s="91" t="s">
        <v>459</v>
      </c>
      <c r="D213" s="91" t="str">
        <f t="shared" si="3"/>
        <v>Senendet</v>
      </c>
      <c r="F213" s="91">
        <v>191</v>
      </c>
    </row>
    <row r="214" spans="1:6">
      <c r="A214" s="91" t="s">
        <v>469</v>
      </c>
      <c r="B214" s="91" t="s">
        <v>458</v>
      </c>
      <c r="C214" s="91" t="s">
        <v>459</v>
      </c>
      <c r="D214" s="91" t="str">
        <f t="shared" si="3"/>
        <v>Suam</v>
      </c>
      <c r="F214" s="91">
        <v>192</v>
      </c>
    </row>
    <row r="215" spans="1:6">
      <c r="A215" s="91" t="s">
        <v>470</v>
      </c>
      <c r="B215" s="91" t="s">
        <v>458</v>
      </c>
      <c r="C215" s="91" t="s">
        <v>459</v>
      </c>
      <c r="D215" s="91" t="str">
        <f t="shared" si="3"/>
        <v>Tulel</v>
      </c>
      <c r="F215" s="91">
        <v>193</v>
      </c>
    </row>
    <row r="216" spans="1:6">
      <c r="A216" s="91" t="s">
        <v>471</v>
      </c>
      <c r="B216" s="91" t="s">
        <v>472</v>
      </c>
      <c r="C216" s="91" t="s">
        <v>472</v>
      </c>
      <c r="D216" s="91" t="str">
        <f t="shared" si="3"/>
        <v>Buginyanya</v>
      </c>
      <c r="F216" s="91">
        <v>194</v>
      </c>
    </row>
    <row r="217" spans="1:6">
      <c r="A217" s="91" t="s">
        <v>473</v>
      </c>
      <c r="B217" s="91" t="s">
        <v>472</v>
      </c>
      <c r="C217" s="91" t="s">
        <v>472</v>
      </c>
      <c r="D217" s="91" t="str">
        <f t="shared" si="3"/>
        <v>Bukhalu</v>
      </c>
      <c r="F217" s="91">
        <v>195</v>
      </c>
    </row>
    <row r="218" spans="1:6">
      <c r="A218" s="91" t="s">
        <v>474</v>
      </c>
      <c r="B218" s="91" t="s">
        <v>472</v>
      </c>
      <c r="C218" s="91" t="s">
        <v>472</v>
      </c>
      <c r="D218" s="91" t="str">
        <f t="shared" si="3"/>
        <v>Bulaago</v>
      </c>
      <c r="F218" s="91">
        <v>196</v>
      </c>
    </row>
    <row r="219" spans="1:6">
      <c r="A219" s="91" t="s">
        <v>475</v>
      </c>
      <c r="B219" s="91" t="s">
        <v>472</v>
      </c>
      <c r="C219" s="91" t="s">
        <v>472</v>
      </c>
      <c r="D219" s="91" t="str">
        <f t="shared" si="3"/>
        <v>Bulambuli Town Council</v>
      </c>
      <c r="F219" s="91">
        <v>197</v>
      </c>
    </row>
    <row r="220" spans="1:6">
      <c r="A220" s="91" t="s">
        <v>476</v>
      </c>
      <c r="B220" s="91" t="s">
        <v>472</v>
      </c>
      <c r="C220" s="91" t="s">
        <v>472</v>
      </c>
      <c r="D220" s="91" t="str">
        <f t="shared" si="3"/>
        <v>Bulegeni</v>
      </c>
      <c r="F220" s="91">
        <v>198</v>
      </c>
    </row>
    <row r="221" spans="1:6">
      <c r="A221" s="91" t="s">
        <v>477</v>
      </c>
      <c r="B221" s="91" t="s">
        <v>472</v>
      </c>
      <c r="C221" s="91" t="s">
        <v>472</v>
      </c>
      <c r="D221" s="91" t="str">
        <f t="shared" si="3"/>
        <v>Bulegeni Town Council</v>
      </c>
      <c r="F221" s="91">
        <v>199</v>
      </c>
    </row>
    <row r="222" spans="1:6">
      <c r="A222" s="91" t="s">
        <v>478</v>
      </c>
      <c r="B222" s="91" t="s">
        <v>472</v>
      </c>
      <c r="C222" s="91" t="s">
        <v>472</v>
      </c>
      <c r="D222" s="91" t="str">
        <f t="shared" si="3"/>
        <v>Buluganya</v>
      </c>
      <c r="F222" s="91">
        <v>200</v>
      </c>
    </row>
    <row r="223" spans="1:6">
      <c r="A223" s="91" t="s">
        <v>479</v>
      </c>
      <c r="B223" s="91" t="s">
        <v>472</v>
      </c>
      <c r="C223" s="91" t="s">
        <v>472</v>
      </c>
      <c r="D223" s="91" t="str">
        <f t="shared" si="3"/>
        <v>Bumasobo</v>
      </c>
      <c r="F223" s="91">
        <v>201</v>
      </c>
    </row>
    <row r="224" spans="1:6">
      <c r="A224" s="91" t="s">
        <v>480</v>
      </c>
      <c r="B224" s="91" t="s">
        <v>472</v>
      </c>
      <c r="C224" s="91" t="s">
        <v>472</v>
      </c>
      <c r="D224" s="91" t="str">
        <f t="shared" si="3"/>
        <v>Bumugibole</v>
      </c>
      <c r="F224" s="91">
        <v>202</v>
      </c>
    </row>
    <row r="225" spans="1:6">
      <c r="A225" s="91" t="s">
        <v>481</v>
      </c>
      <c r="B225" s="91" t="s">
        <v>472</v>
      </c>
      <c r="C225" s="91" t="s">
        <v>472</v>
      </c>
      <c r="D225" s="91" t="str">
        <f t="shared" si="3"/>
        <v>Bunambutye</v>
      </c>
      <c r="F225" s="91">
        <v>203</v>
      </c>
    </row>
    <row r="226" spans="1:6">
      <c r="A226" s="91" t="s">
        <v>482</v>
      </c>
      <c r="B226" s="91" t="s">
        <v>472</v>
      </c>
      <c r="C226" s="91" t="s">
        <v>472</v>
      </c>
      <c r="D226" s="91" t="str">
        <f t="shared" si="3"/>
        <v>Bwikhonge</v>
      </c>
      <c r="F226" s="91">
        <v>204</v>
      </c>
    </row>
    <row r="227" spans="1:6">
      <c r="A227" s="91" t="s">
        <v>483</v>
      </c>
      <c r="B227" s="91" t="s">
        <v>472</v>
      </c>
      <c r="C227" s="91" t="s">
        <v>472</v>
      </c>
      <c r="D227" s="91" t="str">
        <f t="shared" si="3"/>
        <v>Kamu</v>
      </c>
      <c r="F227" s="91">
        <v>205</v>
      </c>
    </row>
    <row r="228" spans="1:6">
      <c r="A228" s="91" t="s">
        <v>484</v>
      </c>
      <c r="B228" s="91" t="s">
        <v>472</v>
      </c>
      <c r="C228" s="91" t="s">
        <v>472</v>
      </c>
      <c r="D228" s="91" t="str">
        <f t="shared" si="3"/>
        <v>Lusha</v>
      </c>
      <c r="F228" s="91">
        <v>206</v>
      </c>
    </row>
    <row r="229" spans="1:6">
      <c r="A229" s="91" t="s">
        <v>485</v>
      </c>
      <c r="B229" s="91" t="s">
        <v>472</v>
      </c>
      <c r="C229" s="91" t="s">
        <v>472</v>
      </c>
      <c r="D229" s="91" t="str">
        <f t="shared" si="3"/>
        <v>Masiira</v>
      </c>
      <c r="F229" s="91">
        <v>207</v>
      </c>
    </row>
    <row r="230" spans="1:6">
      <c r="A230" s="91" t="s">
        <v>486</v>
      </c>
      <c r="B230" s="91" t="s">
        <v>472</v>
      </c>
      <c r="C230" s="91" t="s">
        <v>472</v>
      </c>
      <c r="D230" s="91" t="str">
        <f t="shared" si="3"/>
        <v>Muyembe</v>
      </c>
      <c r="F230" s="91">
        <v>208</v>
      </c>
    </row>
    <row r="231" spans="1:6" ht="15" customHeight="1">
      <c r="A231" s="91" t="s">
        <v>487</v>
      </c>
      <c r="B231" s="91" t="s">
        <v>472</v>
      </c>
      <c r="C231" s="91" t="s">
        <v>472</v>
      </c>
      <c r="D231" s="91" t="str">
        <f t="shared" si="3"/>
        <v>Nabbongo</v>
      </c>
      <c r="F231" s="91">
        <v>209</v>
      </c>
    </row>
    <row r="232" spans="1:6">
      <c r="A232" s="91" t="s">
        <v>488</v>
      </c>
      <c r="B232" s="91" t="s">
        <v>472</v>
      </c>
      <c r="C232" s="91" t="s">
        <v>472</v>
      </c>
      <c r="D232" s="91" t="str">
        <f t="shared" si="3"/>
        <v>Namisuni</v>
      </c>
      <c r="F232" s="91">
        <v>210</v>
      </c>
    </row>
    <row r="233" spans="1:6">
      <c r="A233" s="91" t="s">
        <v>489</v>
      </c>
      <c r="B233" s="91" t="s">
        <v>472</v>
      </c>
      <c r="C233" s="91" t="s">
        <v>472</v>
      </c>
      <c r="D233" s="91" t="str">
        <f t="shared" si="3"/>
        <v>Simu</v>
      </c>
      <c r="F233" s="91">
        <v>211</v>
      </c>
    </row>
    <row r="234" spans="1:6">
      <c r="A234" s="91" t="s">
        <v>490</v>
      </c>
      <c r="B234" s="91" t="s">
        <v>472</v>
      </c>
      <c r="C234" s="91" t="s">
        <v>472</v>
      </c>
      <c r="D234" s="91" t="str">
        <f t="shared" si="3"/>
        <v>Sisiyi</v>
      </c>
      <c r="F234" s="91">
        <v>212</v>
      </c>
    </row>
    <row r="235" spans="1:6">
      <c r="A235" s="91" t="s">
        <v>491</v>
      </c>
      <c r="B235" s="91" t="s">
        <v>492</v>
      </c>
      <c r="C235" s="91" t="s">
        <v>492</v>
      </c>
      <c r="D235" s="91" t="str">
        <f t="shared" si="3"/>
        <v>Biiso</v>
      </c>
      <c r="F235" s="91">
        <v>213</v>
      </c>
    </row>
    <row r="236" spans="1:6">
      <c r="A236" s="91" t="s">
        <v>492</v>
      </c>
      <c r="B236" s="91" t="s">
        <v>492</v>
      </c>
      <c r="C236" s="91" t="s">
        <v>492</v>
      </c>
      <c r="D236" s="91" t="str">
        <f t="shared" si="3"/>
        <v>Buliisa</v>
      </c>
      <c r="F236" s="91">
        <v>214</v>
      </c>
    </row>
    <row r="237" spans="1:6">
      <c r="A237" s="91" t="s">
        <v>493</v>
      </c>
      <c r="B237" s="91" t="s">
        <v>492</v>
      </c>
      <c r="C237" s="91" t="s">
        <v>492</v>
      </c>
      <c r="D237" s="91" t="str">
        <f t="shared" si="3"/>
        <v>Buliisa Town Council</v>
      </c>
      <c r="F237" s="91">
        <v>215</v>
      </c>
    </row>
    <row r="238" spans="1:6">
      <c r="A238" s="91" t="s">
        <v>494</v>
      </c>
      <c r="B238" s="91" t="s">
        <v>492</v>
      </c>
      <c r="C238" s="91" t="s">
        <v>492</v>
      </c>
      <c r="D238" s="91" t="str">
        <f t="shared" si="3"/>
        <v>Butiaba</v>
      </c>
      <c r="F238" s="91">
        <v>216</v>
      </c>
    </row>
    <row r="239" spans="1:6">
      <c r="A239" s="91" t="s">
        <v>495</v>
      </c>
      <c r="B239" s="91" t="s">
        <v>492</v>
      </c>
      <c r="C239" s="91" t="s">
        <v>492</v>
      </c>
      <c r="D239" s="91" t="str">
        <f t="shared" si="3"/>
        <v>Kigwera</v>
      </c>
      <c r="F239" s="91">
        <v>217</v>
      </c>
    </row>
    <row r="240" spans="1:6">
      <c r="A240" s="91" t="s">
        <v>496</v>
      </c>
      <c r="B240" s="91" t="s">
        <v>492</v>
      </c>
      <c r="C240" s="91" t="s">
        <v>492</v>
      </c>
      <c r="D240" s="91" t="str">
        <f t="shared" si="3"/>
        <v>Kihungya</v>
      </c>
      <c r="F240" s="91">
        <v>218</v>
      </c>
    </row>
    <row r="241" spans="1:6">
      <c r="A241" s="91" t="s">
        <v>497</v>
      </c>
      <c r="B241" s="91" t="s">
        <v>492</v>
      </c>
      <c r="C241" s="91" t="s">
        <v>492</v>
      </c>
      <c r="D241" s="91" t="str">
        <f t="shared" si="3"/>
        <v>Ngwedo</v>
      </c>
      <c r="F241" s="91">
        <v>219</v>
      </c>
    </row>
    <row r="242" spans="1:6">
      <c r="A242" s="91" t="s">
        <v>498</v>
      </c>
      <c r="B242" s="91" t="s">
        <v>499</v>
      </c>
      <c r="C242" s="91" t="s">
        <v>500</v>
      </c>
      <c r="D242" s="91" t="str">
        <f t="shared" si="3"/>
        <v>Bubandi</v>
      </c>
      <c r="F242" s="91">
        <v>220</v>
      </c>
    </row>
    <row r="243" spans="1:6">
      <c r="A243" s="91" t="s">
        <v>501</v>
      </c>
      <c r="B243" s="91" t="s">
        <v>499</v>
      </c>
      <c r="C243" s="91" t="s">
        <v>500</v>
      </c>
      <c r="D243" s="91" t="str">
        <f t="shared" si="3"/>
        <v>Bubukwanga</v>
      </c>
      <c r="F243" s="91">
        <v>221</v>
      </c>
    </row>
    <row r="244" spans="1:6">
      <c r="A244" s="91" t="s">
        <v>502</v>
      </c>
      <c r="B244" s="91" t="s">
        <v>499</v>
      </c>
      <c r="C244" s="91" t="s">
        <v>503</v>
      </c>
      <c r="D244" s="91" t="str">
        <f t="shared" si="3"/>
        <v>Bukonzo</v>
      </c>
      <c r="F244" s="91">
        <v>222</v>
      </c>
    </row>
    <row r="245" spans="1:6">
      <c r="A245" s="91" t="s">
        <v>504</v>
      </c>
      <c r="B245" s="91" t="s">
        <v>499</v>
      </c>
      <c r="C245" s="91" t="s">
        <v>500</v>
      </c>
      <c r="D245" s="91" t="str">
        <f t="shared" si="3"/>
        <v>Bundibugyo Town Council</v>
      </c>
      <c r="F245" s="91">
        <v>223</v>
      </c>
    </row>
    <row r="246" spans="1:6">
      <c r="A246" s="91" t="s">
        <v>505</v>
      </c>
      <c r="D246" s="91" t="str">
        <f t="shared" si="3"/>
        <v>BUNDIBUJO</v>
      </c>
      <c r="F246" s="91">
        <v>223</v>
      </c>
    </row>
    <row r="247" spans="1:6">
      <c r="A247" s="91" t="s">
        <v>506</v>
      </c>
      <c r="B247" s="91" t="s">
        <v>499</v>
      </c>
      <c r="C247" s="91" t="s">
        <v>500</v>
      </c>
      <c r="D247" s="91" t="str">
        <f t="shared" si="3"/>
        <v>Bundingoma</v>
      </c>
      <c r="F247" s="91">
        <v>224</v>
      </c>
    </row>
    <row r="248" spans="1:6">
      <c r="A248" s="91" t="s">
        <v>507</v>
      </c>
      <c r="B248" s="91" t="s">
        <v>499</v>
      </c>
      <c r="C248" s="91" t="s">
        <v>503</v>
      </c>
      <c r="D248" s="91" t="str">
        <f t="shared" si="3"/>
        <v>Burondo</v>
      </c>
      <c r="F248" s="91">
        <v>225</v>
      </c>
    </row>
    <row r="249" spans="1:6">
      <c r="A249" s="91" t="s">
        <v>508</v>
      </c>
      <c r="B249" s="91" t="s">
        <v>499</v>
      </c>
      <c r="C249" s="91" t="s">
        <v>500</v>
      </c>
      <c r="D249" s="91" t="str">
        <f t="shared" si="3"/>
        <v>Busaru</v>
      </c>
      <c r="F249" s="91">
        <v>226</v>
      </c>
    </row>
    <row r="250" spans="1:6">
      <c r="A250" s="91" t="s">
        <v>509</v>
      </c>
      <c r="B250" s="91" t="s">
        <v>499</v>
      </c>
      <c r="C250" s="91" t="s">
        <v>503</v>
      </c>
      <c r="D250" s="91" t="str">
        <f t="shared" si="3"/>
        <v>Harugale</v>
      </c>
      <c r="F250" s="91">
        <v>227</v>
      </c>
    </row>
    <row r="251" spans="1:6">
      <c r="A251" s="91" t="s">
        <v>510</v>
      </c>
      <c r="B251" s="91" t="s">
        <v>499</v>
      </c>
      <c r="C251" s="91" t="s">
        <v>503</v>
      </c>
      <c r="D251" s="91" t="str">
        <f t="shared" si="3"/>
        <v>Kagugu</v>
      </c>
      <c r="F251" s="91">
        <v>228</v>
      </c>
    </row>
    <row r="252" spans="1:6">
      <c r="A252" s="91" t="s">
        <v>511</v>
      </c>
      <c r="B252" s="91" t="s">
        <v>499</v>
      </c>
      <c r="C252" s="91" t="s">
        <v>503</v>
      </c>
      <c r="D252" s="91" t="str">
        <f t="shared" si="3"/>
        <v>Kasitu</v>
      </c>
      <c r="F252" s="91">
        <v>229</v>
      </c>
    </row>
    <row r="253" spans="1:6">
      <c r="A253" s="91" t="s">
        <v>512</v>
      </c>
      <c r="B253" s="91" t="s">
        <v>499</v>
      </c>
      <c r="C253" s="91" t="s">
        <v>500</v>
      </c>
      <c r="D253" s="91" t="str">
        <f t="shared" si="3"/>
        <v>Kirumya</v>
      </c>
      <c r="F253" s="91">
        <v>230</v>
      </c>
    </row>
    <row r="254" spans="1:6">
      <c r="A254" s="91" t="s">
        <v>513</v>
      </c>
      <c r="B254" s="91" t="s">
        <v>499</v>
      </c>
      <c r="C254" s="91" t="s">
        <v>500</v>
      </c>
      <c r="D254" s="91" t="str">
        <f t="shared" si="3"/>
        <v>Kisubba</v>
      </c>
      <c r="F254" s="91">
        <v>231</v>
      </c>
    </row>
    <row r="255" spans="1:6">
      <c r="A255" s="91" t="s">
        <v>514</v>
      </c>
      <c r="B255" s="91" t="s">
        <v>499</v>
      </c>
      <c r="C255" s="91" t="s">
        <v>500</v>
      </c>
      <c r="D255" s="91" t="str">
        <f t="shared" si="3"/>
        <v>Mirambi</v>
      </c>
      <c r="F255" s="91">
        <v>232</v>
      </c>
    </row>
    <row r="256" spans="1:6">
      <c r="A256" s="91" t="s">
        <v>515</v>
      </c>
      <c r="B256" s="91" t="s">
        <v>499</v>
      </c>
      <c r="C256" s="91" t="s">
        <v>503</v>
      </c>
      <c r="D256" s="91" t="str">
        <f t="shared" si="3"/>
        <v>Nduguto</v>
      </c>
      <c r="F256" s="91">
        <v>233</v>
      </c>
    </row>
    <row r="257" spans="1:6">
      <c r="A257" s="91" t="s">
        <v>516</v>
      </c>
      <c r="B257" s="91" t="s">
        <v>499</v>
      </c>
      <c r="C257" s="91" t="s">
        <v>503</v>
      </c>
      <c r="D257" s="91" t="str">
        <f t="shared" si="3"/>
        <v>Ngamba</v>
      </c>
      <c r="F257" s="91">
        <v>234</v>
      </c>
    </row>
    <row r="258" spans="1:6">
      <c r="A258" s="91" t="s">
        <v>517</v>
      </c>
      <c r="B258" s="91" t="s">
        <v>499</v>
      </c>
      <c r="C258" s="91" t="s">
        <v>503</v>
      </c>
      <c r="D258" s="91" t="str">
        <f t="shared" si="3"/>
        <v>Ntandi Town Council</v>
      </c>
      <c r="F258" s="91">
        <v>235</v>
      </c>
    </row>
    <row r="259" spans="1:6">
      <c r="A259" s="91" t="s">
        <v>518</v>
      </c>
      <c r="B259" s="91" t="s">
        <v>499</v>
      </c>
      <c r="C259" s="91" t="s">
        <v>503</v>
      </c>
      <c r="D259" s="91" t="str">
        <f t="shared" ref="D259:D322" si="4">A259</f>
        <v>Ntotoro</v>
      </c>
      <c r="F259" s="91">
        <v>236</v>
      </c>
    </row>
    <row r="260" spans="1:6">
      <c r="A260" s="91" t="s">
        <v>519</v>
      </c>
      <c r="B260" s="91" t="s">
        <v>499</v>
      </c>
      <c r="C260" s="91" t="s">
        <v>500</v>
      </c>
      <c r="D260" s="91" t="str">
        <f t="shared" si="4"/>
        <v>Nyahuka Town Council</v>
      </c>
      <c r="F260" s="91">
        <v>237</v>
      </c>
    </row>
    <row r="261" spans="1:6">
      <c r="A261" s="91" t="s">
        <v>520</v>
      </c>
      <c r="B261" s="91" t="s">
        <v>499</v>
      </c>
      <c r="C261" s="91" t="s">
        <v>503</v>
      </c>
      <c r="D261" s="91" t="str">
        <f t="shared" si="4"/>
        <v>Sindila</v>
      </c>
      <c r="F261" s="91">
        <v>238</v>
      </c>
    </row>
    <row r="262" spans="1:6">
      <c r="A262" s="91" t="s">
        <v>521</v>
      </c>
      <c r="B262" s="91" t="s">
        <v>499</v>
      </c>
      <c r="C262" s="91" t="s">
        <v>500</v>
      </c>
      <c r="D262" s="91" t="str">
        <f t="shared" si="4"/>
        <v>Tokwe</v>
      </c>
      <c r="F262" s="91">
        <v>239</v>
      </c>
    </row>
    <row r="263" spans="1:6">
      <c r="A263" s="91" t="s">
        <v>522</v>
      </c>
      <c r="B263" s="91" t="s">
        <v>523</v>
      </c>
      <c r="C263" s="91" t="s">
        <v>523</v>
      </c>
      <c r="D263" s="91" t="str">
        <f t="shared" si="4"/>
        <v>Buheesi</v>
      </c>
      <c r="F263" s="91">
        <v>240</v>
      </c>
    </row>
    <row r="264" spans="1:6">
      <c r="A264" s="91" t="s">
        <v>524</v>
      </c>
      <c r="B264" s="91" t="s">
        <v>523</v>
      </c>
      <c r="C264" s="91" t="s">
        <v>523</v>
      </c>
      <c r="D264" s="91" t="str">
        <f t="shared" si="4"/>
        <v>Buheesi Town Council</v>
      </c>
      <c r="F264" s="91">
        <v>241</v>
      </c>
    </row>
    <row r="265" spans="1:6">
      <c r="A265" s="91" t="s">
        <v>525</v>
      </c>
      <c r="B265" s="91" t="s">
        <v>523</v>
      </c>
      <c r="C265" s="91" t="s">
        <v>523</v>
      </c>
      <c r="D265" s="91" t="str">
        <f t="shared" si="4"/>
        <v>Kabonero</v>
      </c>
      <c r="F265" s="91">
        <v>242</v>
      </c>
    </row>
    <row r="266" spans="1:6">
      <c r="A266" s="91" t="s">
        <v>526</v>
      </c>
      <c r="B266" s="91" t="s">
        <v>523</v>
      </c>
      <c r="C266" s="91" t="s">
        <v>523</v>
      </c>
      <c r="D266" s="91" t="str">
        <f t="shared" si="4"/>
        <v>Katebwa</v>
      </c>
      <c r="F266" s="91">
        <v>243</v>
      </c>
    </row>
    <row r="267" spans="1:6">
      <c r="A267" s="91" t="s">
        <v>527</v>
      </c>
      <c r="B267" s="91" t="s">
        <v>523</v>
      </c>
      <c r="C267" s="91" t="s">
        <v>523</v>
      </c>
      <c r="D267" s="91" t="str">
        <f t="shared" si="4"/>
        <v>Kibiito</v>
      </c>
      <c r="F267" s="91">
        <v>244</v>
      </c>
    </row>
    <row r="268" spans="1:6">
      <c r="A268" s="91" t="s">
        <v>528</v>
      </c>
      <c r="B268" s="91" t="s">
        <v>523</v>
      </c>
      <c r="C268" s="91" t="s">
        <v>523</v>
      </c>
      <c r="D268" s="91" t="str">
        <f t="shared" si="4"/>
        <v>Kibiito Town Council</v>
      </c>
      <c r="F268" s="91">
        <v>245</v>
      </c>
    </row>
    <row r="269" spans="1:6">
      <c r="A269" s="91" t="s">
        <v>529</v>
      </c>
      <c r="B269" s="91" t="s">
        <v>523</v>
      </c>
      <c r="C269" s="91" t="s">
        <v>523</v>
      </c>
      <c r="D269" s="91" t="str">
        <f t="shared" si="4"/>
        <v>Kisomoro</v>
      </c>
      <c r="F269" s="91">
        <v>246</v>
      </c>
    </row>
    <row r="270" spans="1:6">
      <c r="A270" s="91" t="s">
        <v>530</v>
      </c>
      <c r="B270" s="91" t="s">
        <v>523</v>
      </c>
      <c r="C270" s="91" t="s">
        <v>523</v>
      </c>
      <c r="D270" s="91" t="str">
        <f t="shared" si="4"/>
        <v>Kyamukube Town Council</v>
      </c>
      <c r="F270" s="91">
        <v>247</v>
      </c>
    </row>
    <row r="271" spans="1:6">
      <c r="A271" s="91" t="s">
        <v>531</v>
      </c>
      <c r="B271" s="91" t="s">
        <v>523</v>
      </c>
      <c r="C271" s="91" t="s">
        <v>523</v>
      </c>
      <c r="D271" s="91" t="str">
        <f t="shared" si="4"/>
        <v>Rubona Town Council</v>
      </c>
      <c r="F271" s="91">
        <v>248</v>
      </c>
    </row>
    <row r="272" spans="1:6">
      <c r="A272" s="91" t="s">
        <v>532</v>
      </c>
      <c r="B272" s="91" t="s">
        <v>523</v>
      </c>
      <c r="C272" s="91" t="s">
        <v>523</v>
      </c>
      <c r="D272" s="91" t="str">
        <f t="shared" si="4"/>
        <v>Rwimi</v>
      </c>
      <c r="F272" s="91">
        <v>249</v>
      </c>
    </row>
    <row r="273" spans="1:6">
      <c r="A273" s="91" t="s">
        <v>533</v>
      </c>
      <c r="B273" s="91" t="s">
        <v>523</v>
      </c>
      <c r="C273" s="91" t="s">
        <v>523</v>
      </c>
      <c r="D273" s="91" t="str">
        <f t="shared" si="4"/>
        <v>Rwimi Town Council</v>
      </c>
      <c r="F273" s="91">
        <v>250</v>
      </c>
    </row>
    <row r="274" spans="1:6">
      <c r="A274" s="91" t="s">
        <v>534</v>
      </c>
      <c r="B274" s="91" t="s">
        <v>39</v>
      </c>
      <c r="C274" s="91" t="s">
        <v>535</v>
      </c>
      <c r="D274" s="91" t="str">
        <f t="shared" si="4"/>
        <v>Bitooma</v>
      </c>
      <c r="F274" s="91">
        <v>251</v>
      </c>
    </row>
    <row r="275" spans="1:6">
      <c r="A275" s="91" t="s">
        <v>536</v>
      </c>
      <c r="B275" s="91" t="s">
        <v>39</v>
      </c>
      <c r="C275" s="91" t="s">
        <v>535</v>
      </c>
      <c r="D275" s="91" t="str">
        <f t="shared" si="4"/>
        <v>Bumbaire</v>
      </c>
      <c r="F275" s="91">
        <v>252</v>
      </c>
    </row>
    <row r="276" spans="1:6">
      <c r="A276" s="91" t="s">
        <v>537</v>
      </c>
      <c r="B276" s="91" t="s">
        <v>39</v>
      </c>
      <c r="C276" s="91" t="s">
        <v>537</v>
      </c>
      <c r="D276" s="91" t="str">
        <f t="shared" si="4"/>
        <v>Bushenyi-Ishaka Municipality</v>
      </c>
      <c r="F276" s="91">
        <v>253</v>
      </c>
    </row>
    <row r="277" spans="1:6">
      <c r="A277" s="91" t="s">
        <v>538</v>
      </c>
      <c r="D277" s="91" t="str">
        <f t="shared" si="4"/>
        <v>BUSHENYI</v>
      </c>
      <c r="F277" s="91">
        <v>253</v>
      </c>
    </row>
    <row r="278" spans="1:6">
      <c r="A278" s="91" t="s">
        <v>64</v>
      </c>
      <c r="D278" s="91" t="str">
        <f t="shared" si="4"/>
        <v>Kalinzu</v>
      </c>
      <c r="F278" s="91">
        <v>253</v>
      </c>
    </row>
    <row r="279" spans="1:6">
      <c r="A279" s="91" t="s">
        <v>539</v>
      </c>
      <c r="D279" s="91" t="str">
        <f t="shared" si="4"/>
        <v>BUSHENYI TOWN</v>
      </c>
      <c r="F279" s="91">
        <v>253</v>
      </c>
    </row>
    <row r="280" spans="1:6">
      <c r="A280" s="91" t="s">
        <v>540</v>
      </c>
      <c r="D280" s="91" t="str">
        <f t="shared" si="4"/>
        <v>KYAMUNWUGA</v>
      </c>
      <c r="F280" s="91">
        <v>253</v>
      </c>
    </row>
    <row r="281" spans="1:6">
      <c r="A281" s="91" t="s">
        <v>541</v>
      </c>
      <c r="D281" s="91" t="str">
        <f t="shared" si="4"/>
        <v>ISHAKA</v>
      </c>
      <c r="F281" s="91">
        <v>253</v>
      </c>
    </row>
    <row r="282" spans="1:6">
      <c r="A282" s="91" t="s">
        <v>542</v>
      </c>
      <c r="D282" s="91" t="str">
        <f t="shared" si="4"/>
        <v>BWERENYANGI</v>
      </c>
      <c r="F282" s="91">
        <v>253</v>
      </c>
    </row>
    <row r="283" spans="1:6">
      <c r="A283" s="91" t="s">
        <v>543</v>
      </c>
      <c r="D283" s="91" t="str">
        <f t="shared" si="4"/>
        <v>Munyonyi</v>
      </c>
      <c r="F283" s="91">
        <v>253</v>
      </c>
    </row>
    <row r="284" spans="1:6">
      <c r="A284" s="91" t="s">
        <v>544</v>
      </c>
      <c r="B284" s="91" t="s">
        <v>39</v>
      </c>
      <c r="C284" s="91" t="s">
        <v>535</v>
      </c>
      <c r="D284" s="91" t="str">
        <f t="shared" si="4"/>
        <v>Ibaare</v>
      </c>
      <c r="F284" s="91">
        <v>254</v>
      </c>
    </row>
    <row r="285" spans="1:6">
      <c r="A285" s="91" t="s">
        <v>545</v>
      </c>
      <c r="B285" s="91" t="s">
        <v>39</v>
      </c>
      <c r="C285" s="91" t="s">
        <v>535</v>
      </c>
      <c r="D285" s="91" t="str">
        <f t="shared" si="4"/>
        <v>Kakanju</v>
      </c>
      <c r="F285" s="91">
        <v>255</v>
      </c>
    </row>
    <row r="286" spans="1:6">
      <c r="A286" s="91" t="s">
        <v>546</v>
      </c>
      <c r="B286" s="91" t="s">
        <v>39</v>
      </c>
      <c r="C286" s="91" t="s">
        <v>535</v>
      </c>
      <c r="D286" s="91" t="str">
        <f t="shared" si="4"/>
        <v>Kyabugimbi</v>
      </c>
      <c r="F286" s="91">
        <v>256</v>
      </c>
    </row>
    <row r="287" spans="1:6">
      <c r="A287" s="91" t="s">
        <v>56</v>
      </c>
      <c r="B287" s="91" t="s">
        <v>39</v>
      </c>
      <c r="C287" s="91" t="s">
        <v>535</v>
      </c>
      <c r="D287" s="91" t="str">
        <f t="shared" si="4"/>
        <v>Kyamuhunga</v>
      </c>
      <c r="F287" s="91">
        <v>257</v>
      </c>
    </row>
    <row r="288" spans="1:6">
      <c r="A288" s="91" t="s">
        <v>547</v>
      </c>
      <c r="D288" s="91" t="str">
        <f t="shared" si="4"/>
        <v>Kyamuhonga</v>
      </c>
      <c r="F288" s="91">
        <v>257</v>
      </c>
    </row>
    <row r="289" spans="1:6">
      <c r="A289" s="91" t="s">
        <v>548</v>
      </c>
      <c r="D289" s="91" t="str">
        <f t="shared" si="4"/>
        <v>Mashonga</v>
      </c>
      <c r="F289" s="91">
        <v>257</v>
      </c>
    </row>
    <row r="290" spans="1:6">
      <c r="A290" s="91" t="s">
        <v>549</v>
      </c>
      <c r="B290" s="91" t="s">
        <v>39</v>
      </c>
      <c r="C290" s="91" t="s">
        <v>535</v>
      </c>
      <c r="D290" s="91" t="str">
        <f t="shared" si="4"/>
        <v>Kyamuhunga Town Council</v>
      </c>
      <c r="F290" s="91">
        <v>258</v>
      </c>
    </row>
    <row r="291" spans="1:6">
      <c r="A291" s="91" t="s">
        <v>550</v>
      </c>
      <c r="B291" s="91" t="s">
        <v>39</v>
      </c>
      <c r="C291" s="91" t="s">
        <v>535</v>
      </c>
      <c r="D291" s="91" t="str">
        <f t="shared" si="4"/>
        <v>Kyeizooba</v>
      </c>
      <c r="F291" s="91">
        <v>259</v>
      </c>
    </row>
    <row r="292" spans="1:6">
      <c r="A292" s="91" t="s">
        <v>551</v>
      </c>
      <c r="B292" s="91" t="s">
        <v>39</v>
      </c>
      <c r="C292" s="91" t="s">
        <v>535</v>
      </c>
      <c r="D292" s="91" t="str">
        <f t="shared" si="4"/>
        <v>Nyabubare</v>
      </c>
      <c r="F292" s="91">
        <v>260</v>
      </c>
    </row>
    <row r="293" spans="1:6">
      <c r="A293" s="91" t="s">
        <v>552</v>
      </c>
      <c r="D293" s="91" t="str">
        <f t="shared" si="4"/>
        <v>Kizinda</v>
      </c>
      <c r="F293" s="91">
        <v>260</v>
      </c>
    </row>
    <row r="294" spans="1:6">
      <c r="A294" s="91" t="s">
        <v>553</v>
      </c>
      <c r="B294" s="91" t="s">
        <v>39</v>
      </c>
      <c r="C294" s="91" t="s">
        <v>535</v>
      </c>
      <c r="D294" s="91" t="str">
        <f t="shared" si="4"/>
        <v>Ruhumuro</v>
      </c>
      <c r="F294" s="91">
        <v>261</v>
      </c>
    </row>
    <row r="295" spans="1:6">
      <c r="A295" s="91" t="s">
        <v>554</v>
      </c>
      <c r="B295" s="91" t="s">
        <v>555</v>
      </c>
      <c r="C295" s="91" t="s">
        <v>556</v>
      </c>
      <c r="D295" s="91" t="str">
        <f t="shared" si="4"/>
        <v>Buhehe</v>
      </c>
      <c r="F295" s="91">
        <v>262</v>
      </c>
    </row>
    <row r="296" spans="1:6">
      <c r="A296" s="91" t="s">
        <v>557</v>
      </c>
      <c r="B296" s="91" t="s">
        <v>555</v>
      </c>
      <c r="C296" s="91" t="s">
        <v>556</v>
      </c>
      <c r="D296" s="91" t="str">
        <f t="shared" si="4"/>
        <v>Bulumbi</v>
      </c>
      <c r="F296" s="91">
        <v>263</v>
      </c>
    </row>
    <row r="297" spans="1:6">
      <c r="A297" s="91" t="s">
        <v>558</v>
      </c>
      <c r="B297" s="91" t="s">
        <v>555</v>
      </c>
      <c r="C297" s="91" t="s">
        <v>558</v>
      </c>
      <c r="D297" s="91" t="str">
        <f t="shared" si="4"/>
        <v>Busia Municipality</v>
      </c>
      <c r="F297" s="91">
        <v>264</v>
      </c>
    </row>
    <row r="298" spans="1:6">
      <c r="A298" s="91" t="s">
        <v>559</v>
      </c>
      <c r="D298" s="91" t="str">
        <f t="shared" si="4"/>
        <v>Busia town</v>
      </c>
      <c r="F298" s="91">
        <v>264</v>
      </c>
    </row>
    <row r="299" spans="1:6">
      <c r="A299" s="91" t="s">
        <v>560</v>
      </c>
      <c r="B299" s="91" t="s">
        <v>555</v>
      </c>
      <c r="C299" s="91" t="s">
        <v>556</v>
      </c>
      <c r="D299" s="91" t="str">
        <f t="shared" si="4"/>
        <v>Busime</v>
      </c>
      <c r="F299" s="91">
        <v>265</v>
      </c>
    </row>
    <row r="300" spans="1:6">
      <c r="A300" s="91" t="s">
        <v>561</v>
      </c>
      <c r="B300" s="91" t="s">
        <v>555</v>
      </c>
      <c r="C300" s="91" t="s">
        <v>556</v>
      </c>
      <c r="D300" s="91" t="str">
        <f t="shared" si="4"/>
        <v>Busitema</v>
      </c>
      <c r="F300" s="91">
        <v>266</v>
      </c>
    </row>
    <row r="301" spans="1:6">
      <c r="A301" s="91" t="s">
        <v>562</v>
      </c>
      <c r="B301" s="91" t="s">
        <v>555</v>
      </c>
      <c r="C301" s="91" t="s">
        <v>556</v>
      </c>
      <c r="D301" s="91" t="str">
        <f t="shared" si="4"/>
        <v>Buteba</v>
      </c>
      <c r="F301" s="91">
        <v>267</v>
      </c>
    </row>
    <row r="302" spans="1:6">
      <c r="A302" s="91" t="s">
        <v>563</v>
      </c>
      <c r="B302" s="91" t="s">
        <v>555</v>
      </c>
      <c r="C302" s="91" t="s">
        <v>556</v>
      </c>
      <c r="D302" s="91" t="str">
        <f t="shared" si="4"/>
        <v>Buyanga-Busia</v>
      </c>
      <c r="F302" s="91">
        <v>268</v>
      </c>
    </row>
    <row r="303" spans="1:6">
      <c r="A303" s="91" t="s">
        <v>564</v>
      </c>
      <c r="B303" s="91" t="s">
        <v>555</v>
      </c>
      <c r="C303" s="91" t="s">
        <v>556</v>
      </c>
      <c r="D303" s="91" t="str">
        <f t="shared" si="4"/>
        <v>Dabani</v>
      </c>
      <c r="F303" s="91">
        <v>269</v>
      </c>
    </row>
    <row r="304" spans="1:6">
      <c r="A304" s="91" t="s">
        <v>565</v>
      </c>
      <c r="B304" s="91" t="s">
        <v>555</v>
      </c>
      <c r="C304" s="91" t="s">
        <v>556</v>
      </c>
      <c r="D304" s="91" t="str">
        <f t="shared" si="4"/>
        <v>Lumino</v>
      </c>
      <c r="F304" s="91">
        <v>270</v>
      </c>
    </row>
    <row r="305" spans="1:6">
      <c r="A305" s="91" t="s">
        <v>566</v>
      </c>
      <c r="B305" s="91" t="s">
        <v>555</v>
      </c>
      <c r="C305" s="91" t="s">
        <v>556</v>
      </c>
      <c r="D305" s="91" t="str">
        <f t="shared" si="4"/>
        <v>Lunyo</v>
      </c>
      <c r="F305" s="91">
        <v>271</v>
      </c>
    </row>
    <row r="306" spans="1:6">
      <c r="A306" s="91" t="s">
        <v>567</v>
      </c>
      <c r="B306" s="91" t="s">
        <v>555</v>
      </c>
      <c r="C306" s="91" t="s">
        <v>556</v>
      </c>
      <c r="D306" s="91" t="str">
        <f t="shared" si="4"/>
        <v>Majanji</v>
      </c>
      <c r="F306" s="91">
        <v>272</v>
      </c>
    </row>
    <row r="307" spans="1:6">
      <c r="A307" s="91" t="s">
        <v>568</v>
      </c>
      <c r="B307" s="91" t="s">
        <v>555</v>
      </c>
      <c r="C307" s="91" t="s">
        <v>556</v>
      </c>
      <c r="D307" s="91" t="str">
        <f t="shared" si="4"/>
        <v>Masaba-Busia</v>
      </c>
      <c r="F307" s="91">
        <v>273</v>
      </c>
    </row>
    <row r="308" spans="1:6">
      <c r="A308" s="91" t="s">
        <v>569</v>
      </c>
      <c r="B308" s="91" t="s">
        <v>555</v>
      </c>
      <c r="C308" s="91" t="s">
        <v>556</v>
      </c>
      <c r="D308" s="91" t="str">
        <f t="shared" si="4"/>
        <v>Masafu</v>
      </c>
      <c r="F308" s="91">
        <v>274</v>
      </c>
    </row>
    <row r="309" spans="1:6">
      <c r="A309" s="91" t="s">
        <v>570</v>
      </c>
      <c r="B309" s="91" t="s">
        <v>555</v>
      </c>
      <c r="C309" s="91" t="s">
        <v>556</v>
      </c>
      <c r="D309" s="91" t="str">
        <f t="shared" si="4"/>
        <v>Masinya</v>
      </c>
      <c r="F309" s="91">
        <v>275</v>
      </c>
    </row>
    <row r="310" spans="1:6">
      <c r="A310" s="91" t="s">
        <v>571</v>
      </c>
      <c r="B310" s="91" t="s">
        <v>555</v>
      </c>
      <c r="C310" s="91" t="s">
        <v>556</v>
      </c>
      <c r="D310" s="91" t="str">
        <f t="shared" si="4"/>
        <v>Sikuda</v>
      </c>
      <c r="F310" s="91">
        <v>276</v>
      </c>
    </row>
    <row r="311" spans="1:6">
      <c r="A311" s="91" t="s">
        <v>572</v>
      </c>
      <c r="B311" s="91" t="s">
        <v>573</v>
      </c>
      <c r="C311" s="91" t="s">
        <v>574</v>
      </c>
      <c r="D311" s="91" t="str">
        <f t="shared" si="4"/>
        <v>Budumba</v>
      </c>
      <c r="F311" s="91">
        <v>277</v>
      </c>
    </row>
    <row r="312" spans="1:6">
      <c r="A312" s="91" t="s">
        <v>575</v>
      </c>
      <c r="B312" s="91" t="s">
        <v>573</v>
      </c>
      <c r="C312" s="91" t="s">
        <v>574</v>
      </c>
      <c r="D312" s="91" t="str">
        <f t="shared" si="4"/>
        <v>Busaba</v>
      </c>
      <c r="F312" s="91">
        <v>278</v>
      </c>
    </row>
    <row r="313" spans="1:6">
      <c r="A313" s="91" t="s">
        <v>576</v>
      </c>
      <c r="B313" s="91" t="s">
        <v>573</v>
      </c>
      <c r="C313" s="91" t="s">
        <v>574</v>
      </c>
      <c r="D313" s="91" t="str">
        <f t="shared" si="4"/>
        <v>Busabi</v>
      </c>
      <c r="F313" s="91">
        <v>279</v>
      </c>
    </row>
    <row r="314" spans="1:6">
      <c r="A314" s="91" t="s">
        <v>577</v>
      </c>
      <c r="B314" s="91" t="s">
        <v>573</v>
      </c>
      <c r="C314" s="91" t="s">
        <v>574</v>
      </c>
      <c r="D314" s="91" t="str">
        <f t="shared" si="4"/>
        <v>Busolwe</v>
      </c>
      <c r="F314" s="91">
        <v>280</v>
      </c>
    </row>
    <row r="315" spans="1:6">
      <c r="A315" s="91" t="s">
        <v>578</v>
      </c>
      <c r="B315" s="91" t="s">
        <v>573</v>
      </c>
      <c r="C315" s="91" t="s">
        <v>574</v>
      </c>
      <c r="D315" s="91" t="str">
        <f t="shared" si="4"/>
        <v>Busolwe Town Council</v>
      </c>
      <c r="F315" s="91">
        <v>281</v>
      </c>
    </row>
    <row r="316" spans="1:6">
      <c r="A316" s="91" t="s">
        <v>573</v>
      </c>
      <c r="B316" s="91" t="s">
        <v>573</v>
      </c>
      <c r="C316" s="91" t="s">
        <v>574</v>
      </c>
      <c r="D316" s="91" t="str">
        <f t="shared" si="4"/>
        <v>Butaleja</v>
      </c>
      <c r="F316" s="91">
        <v>282</v>
      </c>
    </row>
    <row r="317" spans="1:6">
      <c r="A317" s="91" t="s">
        <v>579</v>
      </c>
      <c r="B317" s="91" t="s">
        <v>573</v>
      </c>
      <c r="C317" s="91" t="s">
        <v>574</v>
      </c>
      <c r="D317" s="91" t="str">
        <f t="shared" si="4"/>
        <v>Butaleja Town Council</v>
      </c>
      <c r="F317" s="91">
        <v>283</v>
      </c>
    </row>
    <row r="318" spans="1:6">
      <c r="A318" s="91" t="s">
        <v>580</v>
      </c>
      <c r="B318" s="91" t="s">
        <v>573</v>
      </c>
      <c r="C318" s="91" t="s">
        <v>574</v>
      </c>
      <c r="D318" s="91" t="str">
        <f t="shared" si="4"/>
        <v>Himutu</v>
      </c>
      <c r="F318" s="91">
        <v>284</v>
      </c>
    </row>
    <row r="319" spans="1:6">
      <c r="A319" s="91" t="s">
        <v>581</v>
      </c>
      <c r="B319" s="91" t="s">
        <v>573</v>
      </c>
      <c r="C319" s="91" t="s">
        <v>574</v>
      </c>
      <c r="D319" s="91" t="str">
        <f t="shared" si="4"/>
        <v>Kachonga</v>
      </c>
      <c r="F319" s="91">
        <v>285</v>
      </c>
    </row>
    <row r="320" spans="1:6">
      <c r="A320" s="91" t="s">
        <v>582</v>
      </c>
      <c r="B320" s="91" t="s">
        <v>573</v>
      </c>
      <c r="C320" s="91" t="s">
        <v>574</v>
      </c>
      <c r="D320" s="91" t="str">
        <f t="shared" si="4"/>
        <v>Mazimasa</v>
      </c>
      <c r="F320" s="91">
        <v>286</v>
      </c>
    </row>
    <row r="321" spans="1:6">
      <c r="A321" s="91" t="s">
        <v>583</v>
      </c>
      <c r="B321" s="91" t="s">
        <v>573</v>
      </c>
      <c r="C321" s="91" t="s">
        <v>574</v>
      </c>
      <c r="D321" s="91" t="str">
        <f t="shared" si="4"/>
        <v>Nawanjofu</v>
      </c>
      <c r="F321" s="91">
        <v>287</v>
      </c>
    </row>
    <row r="322" spans="1:6">
      <c r="A322" s="91" t="s">
        <v>584</v>
      </c>
      <c r="B322" s="91" t="s">
        <v>573</v>
      </c>
      <c r="C322" s="91" t="s">
        <v>574</v>
      </c>
      <c r="D322" s="91" t="str">
        <f t="shared" si="4"/>
        <v>Naweyo</v>
      </c>
      <c r="F322" s="91">
        <v>288</v>
      </c>
    </row>
    <row r="323" spans="1:6">
      <c r="A323" s="91" t="s">
        <v>585</v>
      </c>
      <c r="B323" s="91" t="s">
        <v>586</v>
      </c>
      <c r="C323" s="91" t="s">
        <v>586</v>
      </c>
      <c r="D323" s="91" t="str">
        <f t="shared" ref="D323:D386" si="5">A323</f>
        <v>Budde</v>
      </c>
      <c r="F323" s="91">
        <v>289</v>
      </c>
    </row>
    <row r="324" spans="1:6">
      <c r="A324" s="91" t="s">
        <v>587</v>
      </c>
      <c r="B324" s="91" t="s">
        <v>586</v>
      </c>
      <c r="C324" s="91" t="s">
        <v>586</v>
      </c>
      <c r="D324" s="91" t="str">
        <f t="shared" si="5"/>
        <v>Bulo</v>
      </c>
      <c r="F324" s="91">
        <v>290</v>
      </c>
    </row>
    <row r="325" spans="1:6">
      <c r="A325" s="91" t="s">
        <v>588</v>
      </c>
      <c r="B325" s="91" t="s">
        <v>586</v>
      </c>
      <c r="C325" s="91" t="s">
        <v>586</v>
      </c>
      <c r="D325" s="91" t="str">
        <f t="shared" si="5"/>
        <v>Gombe Town Council</v>
      </c>
      <c r="F325" s="91">
        <v>291</v>
      </c>
    </row>
    <row r="326" spans="1:6">
      <c r="A326" s="91" t="s">
        <v>589</v>
      </c>
      <c r="B326" s="91" t="s">
        <v>586</v>
      </c>
      <c r="C326" s="91" t="s">
        <v>586</v>
      </c>
      <c r="D326" s="91" t="str">
        <f t="shared" si="5"/>
        <v>Kalamba</v>
      </c>
      <c r="F326" s="91">
        <v>292</v>
      </c>
    </row>
    <row r="327" spans="1:6">
      <c r="A327" s="91" t="s">
        <v>590</v>
      </c>
      <c r="B327" s="91" t="s">
        <v>586</v>
      </c>
      <c r="C327" s="91" t="s">
        <v>586</v>
      </c>
      <c r="D327" s="91" t="str">
        <f t="shared" si="5"/>
        <v>Kibibi</v>
      </c>
      <c r="F327" s="91">
        <v>293</v>
      </c>
    </row>
    <row r="328" spans="1:6">
      <c r="A328" s="91" t="s">
        <v>591</v>
      </c>
      <c r="D328" s="91" t="str">
        <f t="shared" si="5"/>
        <v>Buyala</v>
      </c>
      <c r="F328" s="91">
        <v>293</v>
      </c>
    </row>
    <row r="329" spans="1:6">
      <c r="A329" s="91" t="s">
        <v>592</v>
      </c>
      <c r="B329" s="91" t="s">
        <v>586</v>
      </c>
      <c r="C329" s="91" t="s">
        <v>586</v>
      </c>
      <c r="D329" s="91" t="str">
        <f t="shared" si="5"/>
        <v>Ngando</v>
      </c>
      <c r="F329" s="91">
        <v>294</v>
      </c>
    </row>
    <row r="330" spans="1:6">
      <c r="A330" s="91" t="s">
        <v>593</v>
      </c>
      <c r="B330" s="91" t="s">
        <v>593</v>
      </c>
      <c r="C330" s="91" t="s">
        <v>594</v>
      </c>
      <c r="D330" s="91" t="str">
        <f t="shared" si="5"/>
        <v>Butebo</v>
      </c>
      <c r="F330" s="91">
        <v>295</v>
      </c>
    </row>
    <row r="331" spans="1:6">
      <c r="A331" s="91" t="s">
        <v>595</v>
      </c>
      <c r="B331" s="91" t="s">
        <v>593</v>
      </c>
      <c r="C331" s="91" t="s">
        <v>594</v>
      </c>
      <c r="D331" s="91" t="str">
        <f t="shared" si="5"/>
        <v>Kabwangasi</v>
      </c>
      <c r="F331" s="91">
        <v>296</v>
      </c>
    </row>
    <row r="332" spans="1:6">
      <c r="A332" s="91" t="s">
        <v>596</v>
      </c>
      <c r="B332" s="91" t="s">
        <v>593</v>
      </c>
      <c r="C332" s="91" t="s">
        <v>594</v>
      </c>
      <c r="D332" s="91" t="str">
        <f t="shared" si="5"/>
        <v>Kakoro</v>
      </c>
      <c r="F332" s="91">
        <v>297</v>
      </c>
    </row>
    <row r="333" spans="1:6">
      <c r="A333" s="91" t="s">
        <v>597</v>
      </c>
      <c r="B333" s="91" t="s">
        <v>593</v>
      </c>
      <c r="C333" s="91" t="s">
        <v>594</v>
      </c>
      <c r="D333" s="91" t="str">
        <f t="shared" si="5"/>
        <v>Kanginima</v>
      </c>
      <c r="F333" s="91">
        <v>298</v>
      </c>
    </row>
    <row r="334" spans="1:6">
      <c r="A334" s="91" t="s">
        <v>598</v>
      </c>
      <c r="B334" s="91" t="s">
        <v>593</v>
      </c>
      <c r="C334" s="91" t="s">
        <v>594</v>
      </c>
      <c r="D334" s="91" t="str">
        <f t="shared" si="5"/>
        <v>Kibale</v>
      </c>
      <c r="F334" s="91">
        <v>299</v>
      </c>
    </row>
    <row r="335" spans="1:6">
      <c r="A335" s="91" t="s">
        <v>599</v>
      </c>
      <c r="D335" s="91" t="str">
        <f t="shared" si="5"/>
        <v>Kibale town</v>
      </c>
      <c r="F335" s="91">
        <v>299</v>
      </c>
    </row>
    <row r="336" spans="1:6">
      <c r="A336" s="91" t="s">
        <v>600</v>
      </c>
      <c r="D336" s="91" t="str">
        <f t="shared" si="5"/>
        <v xml:space="preserve">KIBALE </v>
      </c>
      <c r="F336" s="91">
        <v>299</v>
      </c>
    </row>
    <row r="337" spans="1:6">
      <c r="A337" s="91" t="s">
        <v>601</v>
      </c>
      <c r="B337" s="91" t="s">
        <v>593</v>
      </c>
      <c r="C337" s="91" t="s">
        <v>594</v>
      </c>
      <c r="D337" s="91" t="str">
        <f t="shared" si="5"/>
        <v>Opwateta</v>
      </c>
      <c r="F337" s="91">
        <v>300</v>
      </c>
    </row>
    <row r="338" spans="1:6">
      <c r="A338" s="91" t="s">
        <v>602</v>
      </c>
      <c r="B338" s="91" t="s">
        <v>593</v>
      </c>
      <c r="C338" s="91" t="s">
        <v>594</v>
      </c>
      <c r="D338" s="91" t="str">
        <f t="shared" si="5"/>
        <v>Petete</v>
      </c>
      <c r="F338" s="91">
        <v>301</v>
      </c>
    </row>
    <row r="339" spans="1:6">
      <c r="A339" s="91" t="s">
        <v>603</v>
      </c>
      <c r="B339" s="91" t="s">
        <v>604</v>
      </c>
      <c r="C339" s="91" t="s">
        <v>605</v>
      </c>
      <c r="D339" s="91" t="str">
        <f t="shared" si="5"/>
        <v>Bugaya-Buvuma</v>
      </c>
      <c r="F339" s="91">
        <v>302</v>
      </c>
    </row>
    <row r="340" spans="1:6">
      <c r="A340" s="91" t="s">
        <v>606</v>
      </c>
      <c r="B340" s="91" t="s">
        <v>604</v>
      </c>
      <c r="C340" s="91" t="s">
        <v>605</v>
      </c>
      <c r="D340" s="91" t="str">
        <f t="shared" si="5"/>
        <v>Busamuzi</v>
      </c>
      <c r="F340" s="91">
        <v>303</v>
      </c>
    </row>
    <row r="341" spans="1:6">
      <c r="A341" s="91" t="s">
        <v>607</v>
      </c>
      <c r="B341" s="91" t="s">
        <v>604</v>
      </c>
      <c r="C341" s="91" t="s">
        <v>605</v>
      </c>
      <c r="D341" s="91" t="str">
        <f t="shared" si="5"/>
        <v>Buvuma Town Council</v>
      </c>
      <c r="F341" s="91">
        <v>304</v>
      </c>
    </row>
    <row r="342" spans="1:6">
      <c r="A342" s="91" t="s">
        <v>608</v>
      </c>
      <c r="B342" s="91" t="s">
        <v>604</v>
      </c>
      <c r="C342" s="91" t="s">
        <v>605</v>
      </c>
      <c r="D342" s="91" t="str">
        <f t="shared" si="5"/>
        <v>Buwooya</v>
      </c>
      <c r="F342" s="91">
        <v>305</v>
      </c>
    </row>
    <row r="343" spans="1:6">
      <c r="A343" s="91" t="s">
        <v>609</v>
      </c>
      <c r="B343" s="91" t="s">
        <v>604</v>
      </c>
      <c r="C343" s="91" t="s">
        <v>605</v>
      </c>
      <c r="D343" s="91" t="str">
        <f t="shared" si="5"/>
        <v>Bweema</v>
      </c>
      <c r="F343" s="91">
        <v>306</v>
      </c>
    </row>
    <row r="344" spans="1:6">
      <c r="A344" s="91" t="s">
        <v>610</v>
      </c>
      <c r="B344" s="91" t="s">
        <v>604</v>
      </c>
      <c r="C344" s="91" t="s">
        <v>605</v>
      </c>
      <c r="D344" s="91" t="str">
        <f t="shared" si="5"/>
        <v>Lubya</v>
      </c>
      <c r="F344" s="91">
        <v>307</v>
      </c>
    </row>
    <row r="345" spans="1:6">
      <c r="A345" s="91" t="s">
        <v>611</v>
      </c>
      <c r="D345" s="91" t="str">
        <f t="shared" si="5"/>
        <v>Lusaze</v>
      </c>
      <c r="F345" s="91">
        <v>307</v>
      </c>
    </row>
    <row r="346" spans="1:6">
      <c r="A346" s="91" t="s">
        <v>612</v>
      </c>
      <c r="B346" s="91" t="s">
        <v>604</v>
      </c>
      <c r="C346" s="91" t="s">
        <v>605</v>
      </c>
      <c r="D346" s="91" t="str">
        <f t="shared" si="5"/>
        <v>Lwajje</v>
      </c>
      <c r="F346" s="91">
        <v>308</v>
      </c>
    </row>
    <row r="347" spans="1:6">
      <c r="A347" s="91" t="s">
        <v>613</v>
      </c>
      <c r="B347" s="91" t="s">
        <v>604</v>
      </c>
      <c r="C347" s="91" t="s">
        <v>605</v>
      </c>
      <c r="D347" s="91" t="str">
        <f t="shared" si="5"/>
        <v>Lyabaana</v>
      </c>
      <c r="F347" s="91">
        <v>309</v>
      </c>
    </row>
    <row r="348" spans="1:6">
      <c r="A348" s="91" t="s">
        <v>614</v>
      </c>
      <c r="B348" s="91" t="s">
        <v>604</v>
      </c>
      <c r="C348" s="91" t="s">
        <v>605</v>
      </c>
      <c r="D348" s="91" t="str">
        <f t="shared" si="5"/>
        <v>Nairambi</v>
      </c>
      <c r="F348" s="91">
        <v>310</v>
      </c>
    </row>
    <row r="349" spans="1:6">
      <c r="A349" s="91" t="s">
        <v>615</v>
      </c>
      <c r="B349" s="91" t="s">
        <v>616</v>
      </c>
      <c r="C349" s="91" t="s">
        <v>617</v>
      </c>
      <c r="D349" s="91" t="str">
        <f t="shared" si="5"/>
        <v>Bugaya-Buyende</v>
      </c>
      <c r="F349" s="91">
        <v>311</v>
      </c>
    </row>
    <row r="350" spans="1:6">
      <c r="A350" s="91" t="s">
        <v>616</v>
      </c>
      <c r="B350" s="91" t="s">
        <v>616</v>
      </c>
      <c r="C350" s="91" t="s">
        <v>617</v>
      </c>
      <c r="D350" s="91" t="str">
        <f t="shared" si="5"/>
        <v>Buyende</v>
      </c>
      <c r="F350" s="91">
        <v>312</v>
      </c>
    </row>
    <row r="351" spans="1:6">
      <c r="A351" s="91" t="s">
        <v>618</v>
      </c>
      <c r="B351" s="91" t="s">
        <v>616</v>
      </c>
      <c r="C351" s="91" t="s">
        <v>617</v>
      </c>
      <c r="D351" s="91" t="str">
        <f t="shared" si="5"/>
        <v>Buyende Town Council</v>
      </c>
      <c r="F351" s="91">
        <v>313</v>
      </c>
    </row>
    <row r="352" spans="1:6">
      <c r="A352" s="91" t="s">
        <v>619</v>
      </c>
      <c r="B352" s="91" t="s">
        <v>616</v>
      </c>
      <c r="C352" s="91" t="s">
        <v>617</v>
      </c>
      <c r="D352" s="91" t="str">
        <f t="shared" si="5"/>
        <v>Kagulu</v>
      </c>
      <c r="F352" s="91">
        <v>314</v>
      </c>
    </row>
    <row r="353" spans="1:6">
      <c r="A353" s="91" t="s">
        <v>620</v>
      </c>
      <c r="B353" s="91" t="s">
        <v>616</v>
      </c>
      <c r="C353" s="91" t="s">
        <v>617</v>
      </c>
      <c r="D353" s="91" t="str">
        <f t="shared" si="5"/>
        <v>Kidera</v>
      </c>
      <c r="F353" s="91">
        <v>315</v>
      </c>
    </row>
    <row r="354" spans="1:6">
      <c r="A354" s="91" t="s">
        <v>621</v>
      </c>
      <c r="B354" s="91" t="s">
        <v>616</v>
      </c>
      <c r="C354" s="91" t="s">
        <v>617</v>
      </c>
      <c r="D354" s="91" t="str">
        <f t="shared" si="5"/>
        <v>Nkondo</v>
      </c>
      <c r="F354" s="91">
        <v>316</v>
      </c>
    </row>
    <row r="355" spans="1:6">
      <c r="A355" s="91" t="s">
        <v>622</v>
      </c>
      <c r="B355" s="91" t="s">
        <v>623</v>
      </c>
      <c r="C355" s="91" t="s">
        <v>623</v>
      </c>
      <c r="D355" s="91" t="str">
        <f t="shared" si="5"/>
        <v>Adeknino</v>
      </c>
      <c r="F355" s="91">
        <v>317</v>
      </c>
    </row>
    <row r="356" spans="1:6">
      <c r="A356" s="91" t="s">
        <v>624</v>
      </c>
      <c r="B356" s="91" t="s">
        <v>623</v>
      </c>
      <c r="C356" s="91" t="s">
        <v>623</v>
      </c>
      <c r="D356" s="91" t="str">
        <f t="shared" si="5"/>
        <v>Adok</v>
      </c>
      <c r="F356" s="91">
        <v>318</v>
      </c>
    </row>
    <row r="357" spans="1:6">
      <c r="A357" s="91" t="s">
        <v>625</v>
      </c>
      <c r="B357" s="91" t="s">
        <v>623</v>
      </c>
      <c r="C357" s="91" t="s">
        <v>623</v>
      </c>
      <c r="D357" s="91" t="str">
        <f t="shared" si="5"/>
        <v>Agwata</v>
      </c>
      <c r="F357" s="91">
        <v>319</v>
      </c>
    </row>
    <row r="358" spans="1:6">
      <c r="A358" s="91" t="s">
        <v>626</v>
      </c>
      <c r="B358" s="91" t="s">
        <v>623</v>
      </c>
      <c r="C358" s="91" t="s">
        <v>623</v>
      </c>
      <c r="D358" s="91" t="str">
        <f t="shared" si="5"/>
        <v>Amwoma</v>
      </c>
      <c r="F358" s="91">
        <v>320</v>
      </c>
    </row>
    <row r="359" spans="1:6">
      <c r="A359" s="91" t="s">
        <v>627</v>
      </c>
      <c r="B359" s="91" t="s">
        <v>623</v>
      </c>
      <c r="C359" s="91" t="s">
        <v>623</v>
      </c>
      <c r="D359" s="91" t="str">
        <f t="shared" si="5"/>
        <v>Batta</v>
      </c>
      <c r="F359" s="91">
        <v>321</v>
      </c>
    </row>
    <row r="360" spans="1:6">
      <c r="A360" s="91" t="s">
        <v>623</v>
      </c>
      <c r="B360" s="91" t="s">
        <v>623</v>
      </c>
      <c r="C360" s="91" t="s">
        <v>623</v>
      </c>
      <c r="D360" s="91" t="str">
        <f t="shared" si="5"/>
        <v>Dokolo</v>
      </c>
      <c r="F360" s="91">
        <v>322</v>
      </c>
    </row>
    <row r="361" spans="1:6">
      <c r="A361" s="91" t="s">
        <v>628</v>
      </c>
      <c r="B361" s="91" t="s">
        <v>623</v>
      </c>
      <c r="C361" s="91" t="s">
        <v>623</v>
      </c>
      <c r="D361" s="91" t="str">
        <f t="shared" si="5"/>
        <v>Dokolo Tc</v>
      </c>
      <c r="F361" s="91">
        <v>323</v>
      </c>
    </row>
    <row r="362" spans="1:6">
      <c r="A362" s="91" t="s">
        <v>629</v>
      </c>
      <c r="B362" s="91" t="s">
        <v>623</v>
      </c>
      <c r="C362" s="91" t="s">
        <v>623</v>
      </c>
      <c r="D362" s="91" t="str">
        <f t="shared" si="5"/>
        <v>Kangai</v>
      </c>
      <c r="F362" s="91">
        <v>324</v>
      </c>
    </row>
    <row r="363" spans="1:6">
      <c r="A363" s="91" t="s">
        <v>630</v>
      </c>
      <c r="B363" s="91" t="s">
        <v>623</v>
      </c>
      <c r="C363" s="91" t="s">
        <v>623</v>
      </c>
      <c r="D363" s="91" t="str">
        <f t="shared" si="5"/>
        <v>Kwera</v>
      </c>
      <c r="F363" s="91">
        <v>325</v>
      </c>
    </row>
    <row r="364" spans="1:6">
      <c r="A364" s="91" t="s">
        <v>631</v>
      </c>
      <c r="B364" s="91" t="s">
        <v>623</v>
      </c>
      <c r="C364" s="91" t="s">
        <v>623</v>
      </c>
      <c r="D364" s="91" t="str">
        <f t="shared" si="5"/>
        <v>Okwalongwen</v>
      </c>
      <c r="F364" s="91">
        <v>326</v>
      </c>
    </row>
    <row r="365" spans="1:6">
      <c r="A365" s="91" t="s">
        <v>632</v>
      </c>
      <c r="B365" s="91" t="s">
        <v>623</v>
      </c>
      <c r="C365" s="91" t="s">
        <v>623</v>
      </c>
      <c r="D365" s="91" t="str">
        <f t="shared" si="5"/>
        <v>Okwongodul</v>
      </c>
      <c r="F365" s="91">
        <v>327</v>
      </c>
    </row>
    <row r="366" spans="1:6">
      <c r="A366" s="91" t="s">
        <v>633</v>
      </c>
      <c r="B366" s="91" t="s">
        <v>634</v>
      </c>
      <c r="C366" s="91" t="s">
        <v>634</v>
      </c>
      <c r="D366" s="91" t="str">
        <f t="shared" si="5"/>
        <v>Kabulasoke</v>
      </c>
      <c r="F366" s="91">
        <v>328</v>
      </c>
    </row>
    <row r="367" spans="1:6">
      <c r="A367" s="91" t="s">
        <v>635</v>
      </c>
      <c r="B367" s="91" t="s">
        <v>634</v>
      </c>
      <c r="C367" s="91" t="s">
        <v>634</v>
      </c>
      <c r="D367" s="91" t="str">
        <f t="shared" si="5"/>
        <v>Kanoni Town Council</v>
      </c>
      <c r="F367" s="91">
        <v>329</v>
      </c>
    </row>
    <row r="368" spans="1:6">
      <c r="A368" s="91" t="s">
        <v>636</v>
      </c>
      <c r="B368" s="91" t="s">
        <v>634</v>
      </c>
      <c r="C368" s="91" t="s">
        <v>634</v>
      </c>
      <c r="D368" s="91" t="str">
        <f t="shared" si="5"/>
        <v>Kyegonza</v>
      </c>
      <c r="F368" s="91">
        <v>330</v>
      </c>
    </row>
    <row r="369" spans="1:6">
      <c r="A369" s="91" t="s">
        <v>637</v>
      </c>
      <c r="B369" s="91" t="s">
        <v>634</v>
      </c>
      <c r="C369" s="91" t="s">
        <v>634</v>
      </c>
      <c r="D369" s="91" t="str">
        <f t="shared" si="5"/>
        <v>Maddu</v>
      </c>
      <c r="F369" s="91">
        <v>331</v>
      </c>
    </row>
    <row r="370" spans="1:6">
      <c r="A370" s="91" t="s">
        <v>638</v>
      </c>
      <c r="B370" s="91" t="s">
        <v>634</v>
      </c>
      <c r="C370" s="91" t="s">
        <v>634</v>
      </c>
      <c r="D370" s="91" t="str">
        <f t="shared" si="5"/>
        <v>Mpenja</v>
      </c>
      <c r="F370" s="91">
        <v>332</v>
      </c>
    </row>
    <row r="371" spans="1:6">
      <c r="A371" s="91" t="s">
        <v>639</v>
      </c>
      <c r="B371" s="91" t="s">
        <v>172</v>
      </c>
      <c r="C371" s="91" t="s">
        <v>640</v>
      </c>
      <c r="D371" s="91" t="str">
        <f t="shared" si="5"/>
        <v>Awach</v>
      </c>
      <c r="F371" s="91">
        <v>333</v>
      </c>
    </row>
    <row r="372" spans="1:6">
      <c r="A372" s="91" t="s">
        <v>641</v>
      </c>
      <c r="B372" s="91" t="s">
        <v>172</v>
      </c>
      <c r="C372" s="91" t="s">
        <v>640</v>
      </c>
      <c r="D372" s="91" t="str">
        <f t="shared" si="5"/>
        <v>Bungatira</v>
      </c>
      <c r="F372" s="91">
        <v>334</v>
      </c>
    </row>
    <row r="373" spans="1:6">
      <c r="A373" s="91" t="s">
        <v>642</v>
      </c>
      <c r="B373" s="91" t="s">
        <v>172</v>
      </c>
      <c r="C373" s="91" t="s">
        <v>642</v>
      </c>
      <c r="D373" s="91" t="str">
        <f t="shared" si="5"/>
        <v>Gulu Municipality</v>
      </c>
      <c r="F373" s="91">
        <v>335</v>
      </c>
    </row>
    <row r="374" spans="1:6">
      <c r="A374" s="91" t="s">
        <v>234</v>
      </c>
      <c r="B374" s="91" t="s">
        <v>172</v>
      </c>
      <c r="C374" s="91" t="s">
        <v>642</v>
      </c>
      <c r="D374" s="91" t="str">
        <f t="shared" si="5"/>
        <v>Lacor</v>
      </c>
      <c r="F374" s="91">
        <v>335</v>
      </c>
    </row>
    <row r="375" spans="1:6">
      <c r="A375" s="91" t="s">
        <v>643</v>
      </c>
      <c r="D375" s="91" t="str">
        <f t="shared" si="5"/>
        <v>GULU</v>
      </c>
      <c r="F375" s="91">
        <v>335</v>
      </c>
    </row>
    <row r="376" spans="1:6">
      <c r="A376" s="91" t="s">
        <v>644</v>
      </c>
      <c r="D376" s="91" t="str">
        <f t="shared" si="5"/>
        <v>Gulu town</v>
      </c>
      <c r="F376" s="91">
        <v>335</v>
      </c>
    </row>
    <row r="377" spans="1:6">
      <c r="A377" s="91" t="s">
        <v>645</v>
      </c>
      <c r="B377" s="91" t="s">
        <v>172</v>
      </c>
      <c r="C377" s="91" t="s">
        <v>640</v>
      </c>
      <c r="D377" s="91" t="str">
        <f t="shared" si="5"/>
        <v>Paicho</v>
      </c>
      <c r="F377" s="91">
        <v>336</v>
      </c>
    </row>
    <row r="378" spans="1:6">
      <c r="A378" s="91" t="s">
        <v>646</v>
      </c>
      <c r="B378" s="91" t="s">
        <v>172</v>
      </c>
      <c r="C378" s="91" t="s">
        <v>640</v>
      </c>
      <c r="D378" s="91" t="str">
        <f t="shared" si="5"/>
        <v>Unyama</v>
      </c>
      <c r="F378" s="91">
        <v>337</v>
      </c>
    </row>
    <row r="379" spans="1:6">
      <c r="A379" s="91" t="s">
        <v>647</v>
      </c>
      <c r="B379" s="91" t="s">
        <v>648</v>
      </c>
      <c r="C379" s="91" t="s">
        <v>649</v>
      </c>
      <c r="D379" s="91" t="str">
        <f t="shared" si="5"/>
        <v>Bugambe</v>
      </c>
      <c r="F379" s="91">
        <v>338</v>
      </c>
    </row>
    <row r="380" spans="1:6">
      <c r="A380" s="91" t="s">
        <v>650</v>
      </c>
      <c r="D380" s="91" t="str">
        <f t="shared" si="5"/>
        <v>Kitwetwe</v>
      </c>
      <c r="F380" s="91">
        <v>338</v>
      </c>
    </row>
    <row r="381" spans="1:6">
      <c r="A381" s="91" t="s">
        <v>651</v>
      </c>
      <c r="B381" s="91" t="s">
        <v>648</v>
      </c>
      <c r="C381" s="91" t="s">
        <v>652</v>
      </c>
      <c r="D381" s="91" t="str">
        <f t="shared" si="5"/>
        <v>Buhanika</v>
      </c>
      <c r="F381" s="91">
        <v>339</v>
      </c>
    </row>
    <row r="382" spans="1:6">
      <c r="A382" s="91" t="s">
        <v>653</v>
      </c>
      <c r="B382" s="91" t="s">
        <v>648</v>
      </c>
      <c r="C382" s="91" t="s">
        <v>649</v>
      </c>
      <c r="D382" s="91" t="str">
        <f t="shared" si="5"/>
        <v>Buhimba</v>
      </c>
      <c r="F382" s="91">
        <v>340</v>
      </c>
    </row>
    <row r="383" spans="1:6">
      <c r="A383" s="91" t="s">
        <v>654</v>
      </c>
      <c r="B383" s="91" t="s">
        <v>648</v>
      </c>
      <c r="C383" s="91" t="s">
        <v>654</v>
      </c>
      <c r="D383" s="91" t="str">
        <f t="shared" si="5"/>
        <v>Hoima Municipality</v>
      </c>
      <c r="F383" s="91">
        <v>341</v>
      </c>
    </row>
    <row r="384" spans="1:6">
      <c r="A384" s="91" t="s">
        <v>655</v>
      </c>
      <c r="D384" s="91" t="str">
        <f t="shared" si="5"/>
        <v>HOIMA</v>
      </c>
      <c r="F384" s="91">
        <v>341</v>
      </c>
    </row>
    <row r="385" spans="1:6">
      <c r="A385" s="91" t="s">
        <v>656</v>
      </c>
      <c r="D385" s="91" t="str">
        <f t="shared" si="5"/>
        <v>HOIMA TOWN</v>
      </c>
      <c r="F385" s="91">
        <v>341</v>
      </c>
    </row>
    <row r="386" spans="1:6">
      <c r="A386" s="91" t="s">
        <v>657</v>
      </c>
      <c r="D386" s="91" t="str">
        <f t="shared" si="5"/>
        <v>Hima cement</v>
      </c>
      <c r="F386" s="91">
        <v>341</v>
      </c>
    </row>
    <row r="387" spans="1:6">
      <c r="A387" s="91" t="s">
        <v>658</v>
      </c>
      <c r="B387" s="91" t="s">
        <v>648</v>
      </c>
      <c r="C387" s="91" t="s">
        <v>649</v>
      </c>
      <c r="D387" s="91" t="str">
        <f t="shared" ref="D387:D450" si="6">A387</f>
        <v>Kabwoya</v>
      </c>
      <c r="F387" s="91">
        <v>342</v>
      </c>
    </row>
    <row r="388" spans="1:6">
      <c r="A388" s="91" t="s">
        <v>659</v>
      </c>
      <c r="B388" s="91" t="s">
        <v>648</v>
      </c>
      <c r="C388" s="91" t="s">
        <v>652</v>
      </c>
      <c r="D388" s="91" t="str">
        <f t="shared" si="6"/>
        <v>Kigorobya</v>
      </c>
      <c r="F388" s="91">
        <v>343</v>
      </c>
    </row>
    <row r="389" spans="1:6">
      <c r="A389" s="91" t="s">
        <v>660</v>
      </c>
      <c r="B389" s="91" t="s">
        <v>648</v>
      </c>
      <c r="C389" s="91" t="s">
        <v>652</v>
      </c>
      <c r="D389" s="91" t="str">
        <f t="shared" si="6"/>
        <v>Kigorobya Town Council</v>
      </c>
      <c r="F389" s="91">
        <v>344</v>
      </c>
    </row>
    <row r="390" spans="1:6">
      <c r="A390" s="91" t="s">
        <v>661</v>
      </c>
      <c r="B390" s="91" t="s">
        <v>648</v>
      </c>
      <c r="C390" s="91" t="s">
        <v>652</v>
      </c>
      <c r="D390" s="91" t="str">
        <f t="shared" si="6"/>
        <v>Kitoba</v>
      </c>
      <c r="F390" s="91">
        <v>345</v>
      </c>
    </row>
    <row r="391" spans="1:6">
      <c r="A391" s="91" t="s">
        <v>662</v>
      </c>
      <c r="B391" s="91" t="s">
        <v>648</v>
      </c>
      <c r="C391" s="91" t="s">
        <v>649</v>
      </c>
      <c r="D391" s="91" t="str">
        <f t="shared" si="6"/>
        <v>Kiziranfumbi</v>
      </c>
      <c r="F391" s="91">
        <v>346</v>
      </c>
    </row>
    <row r="392" spans="1:6">
      <c r="A392" s="91" t="s">
        <v>663</v>
      </c>
      <c r="B392" s="91" t="s">
        <v>648</v>
      </c>
      <c r="C392" s="91" t="s">
        <v>652</v>
      </c>
      <c r="D392" s="91" t="str">
        <f t="shared" si="6"/>
        <v>Kyabigambire</v>
      </c>
      <c r="F392" s="91">
        <v>347</v>
      </c>
    </row>
    <row r="393" spans="1:6">
      <c r="A393" s="91" t="s">
        <v>664</v>
      </c>
      <c r="B393" s="91" t="s">
        <v>648</v>
      </c>
      <c r="C393" s="91" t="s">
        <v>649</v>
      </c>
      <c r="D393" s="91" t="str">
        <f t="shared" si="6"/>
        <v>Kyangwali</v>
      </c>
      <c r="F393" s="91">
        <v>348</v>
      </c>
    </row>
    <row r="394" spans="1:6">
      <c r="A394" s="91" t="s">
        <v>665</v>
      </c>
      <c r="D394" s="91" t="str">
        <f t="shared" si="6"/>
        <v>Bugoma</v>
      </c>
      <c r="F394" s="91">
        <v>348</v>
      </c>
    </row>
    <row r="395" spans="1:6">
      <c r="A395" s="91" t="s">
        <v>666</v>
      </c>
      <c r="B395" s="91" t="s">
        <v>44</v>
      </c>
      <c r="C395" s="91" t="s">
        <v>666</v>
      </c>
      <c r="D395" s="91" t="str">
        <f t="shared" si="6"/>
        <v>Ibanda Municipality</v>
      </c>
      <c r="F395" s="91">
        <v>349</v>
      </c>
    </row>
    <row r="396" spans="1:6">
      <c r="A396" s="91" t="s">
        <v>667</v>
      </c>
      <c r="D396" s="91" t="str">
        <f t="shared" si="6"/>
        <v>IBANDA</v>
      </c>
      <c r="F396" s="91">
        <v>349</v>
      </c>
    </row>
    <row r="397" spans="1:6">
      <c r="A397" s="91" t="s">
        <v>668</v>
      </c>
      <c r="D397" s="91" t="str">
        <f t="shared" si="6"/>
        <v>Kyambula</v>
      </c>
      <c r="F397" s="91">
        <v>349</v>
      </c>
    </row>
    <row r="398" spans="1:6">
      <c r="A398" s="91" t="s">
        <v>669</v>
      </c>
      <c r="D398" s="91" t="str">
        <f t="shared" si="6"/>
        <v>Kyambura</v>
      </c>
      <c r="F398" s="91">
        <v>349</v>
      </c>
    </row>
    <row r="399" spans="1:6">
      <c r="A399" s="91" t="s">
        <v>670</v>
      </c>
      <c r="D399" s="91" t="str">
        <f t="shared" si="6"/>
        <v>IBANDA TOWN</v>
      </c>
      <c r="F399" s="91">
        <v>349</v>
      </c>
    </row>
    <row r="400" spans="1:6">
      <c r="A400" s="91" t="s">
        <v>671</v>
      </c>
      <c r="D400" s="91" t="str">
        <f t="shared" si="6"/>
        <v>RUHUMBA</v>
      </c>
      <c r="F400" s="91">
        <v>349</v>
      </c>
    </row>
    <row r="401" spans="1:6">
      <c r="A401" s="91" t="s">
        <v>672</v>
      </c>
      <c r="D401" s="91" t="str">
        <f t="shared" si="6"/>
        <v>Kakinga</v>
      </c>
      <c r="F401" s="91">
        <v>349</v>
      </c>
    </row>
    <row r="402" spans="1:6">
      <c r="A402" s="91" t="s">
        <v>673</v>
      </c>
      <c r="B402" s="91" t="s">
        <v>44</v>
      </c>
      <c r="C402" s="91" t="s">
        <v>44</v>
      </c>
      <c r="D402" s="91" t="str">
        <f t="shared" si="6"/>
        <v>Igorora Town Council</v>
      </c>
      <c r="F402" s="91">
        <v>350</v>
      </c>
    </row>
    <row r="403" spans="1:6">
      <c r="A403" s="91" t="s">
        <v>674</v>
      </c>
      <c r="B403" s="91" t="s">
        <v>44</v>
      </c>
      <c r="C403" s="91" t="s">
        <v>44</v>
      </c>
      <c r="D403" s="91" t="str">
        <f t="shared" si="6"/>
        <v>Ishongororo</v>
      </c>
      <c r="F403" s="91">
        <v>351</v>
      </c>
    </row>
    <row r="404" spans="1:6">
      <c r="A404" s="91" t="s">
        <v>675</v>
      </c>
      <c r="B404" s="91" t="s">
        <v>44</v>
      </c>
      <c r="C404" s="91" t="s">
        <v>44</v>
      </c>
      <c r="D404" s="91" t="str">
        <f t="shared" si="6"/>
        <v>Ishongororo Town Council</v>
      </c>
      <c r="F404" s="91">
        <v>352</v>
      </c>
    </row>
    <row r="405" spans="1:6">
      <c r="A405" s="91" t="s">
        <v>676</v>
      </c>
      <c r="B405" s="91" t="s">
        <v>44</v>
      </c>
      <c r="C405" s="91" t="s">
        <v>666</v>
      </c>
      <c r="D405" s="91" t="str">
        <f t="shared" si="6"/>
        <v>Kagango Division-Ibanda</v>
      </c>
      <c r="F405" s="91">
        <v>353</v>
      </c>
    </row>
    <row r="406" spans="1:6">
      <c r="A406" s="91" t="s">
        <v>677</v>
      </c>
      <c r="B406" s="91" t="s">
        <v>44</v>
      </c>
      <c r="C406" s="91" t="s">
        <v>44</v>
      </c>
      <c r="D406" s="91" t="str">
        <f t="shared" si="6"/>
        <v>Keihangara</v>
      </c>
      <c r="F406" s="91">
        <v>354</v>
      </c>
    </row>
    <row r="407" spans="1:6">
      <c r="A407" s="91" t="s">
        <v>678</v>
      </c>
      <c r="B407" s="91" t="s">
        <v>44</v>
      </c>
      <c r="C407" s="91" t="s">
        <v>44</v>
      </c>
      <c r="D407" s="91" t="str">
        <f t="shared" si="6"/>
        <v>Kicuzi</v>
      </c>
      <c r="F407" s="91">
        <v>355</v>
      </c>
    </row>
    <row r="408" spans="1:6">
      <c r="A408" s="91" t="s">
        <v>679</v>
      </c>
      <c r="B408" s="91" t="s">
        <v>44</v>
      </c>
      <c r="C408" s="91" t="s">
        <v>44</v>
      </c>
      <c r="D408" s="91" t="str">
        <f t="shared" si="6"/>
        <v>Kijongo</v>
      </c>
      <c r="F408" s="91">
        <v>356</v>
      </c>
    </row>
    <row r="409" spans="1:6">
      <c r="A409" s="91" t="s">
        <v>680</v>
      </c>
      <c r="B409" s="91" t="s">
        <v>44</v>
      </c>
      <c r="C409" s="91" t="s">
        <v>44</v>
      </c>
      <c r="D409" s="91" t="str">
        <f t="shared" si="6"/>
        <v>Kikyenkye</v>
      </c>
      <c r="F409" s="91">
        <v>357</v>
      </c>
    </row>
    <row r="410" spans="1:6">
      <c r="A410" s="91" t="s">
        <v>681</v>
      </c>
      <c r="D410" s="91" t="str">
        <f t="shared" si="6"/>
        <v>IGORORA</v>
      </c>
      <c r="F410" s="91">
        <v>357</v>
      </c>
    </row>
    <row r="411" spans="1:6">
      <c r="A411" s="91" t="s">
        <v>682</v>
      </c>
      <c r="B411" s="91" t="s">
        <v>44</v>
      </c>
      <c r="C411" s="91" t="s">
        <v>44</v>
      </c>
      <c r="D411" s="91" t="str">
        <f t="shared" si="6"/>
        <v>Nyamarebe</v>
      </c>
      <c r="F411" s="91">
        <v>358</v>
      </c>
    </row>
    <row r="412" spans="1:6">
      <c r="A412" s="91" t="s">
        <v>683</v>
      </c>
      <c r="B412" s="91" t="s">
        <v>44</v>
      </c>
      <c r="C412" s="91" t="s">
        <v>44</v>
      </c>
      <c r="D412" s="91" t="str">
        <f t="shared" si="6"/>
        <v>Rukiri</v>
      </c>
      <c r="F412" s="91">
        <v>359</v>
      </c>
    </row>
    <row r="413" spans="1:6">
      <c r="A413" s="91" t="s">
        <v>684</v>
      </c>
      <c r="D413" s="91" t="str">
        <f t="shared" si="6"/>
        <v>KASHARI</v>
      </c>
      <c r="F413" s="91">
        <v>359</v>
      </c>
    </row>
    <row r="414" spans="1:6">
      <c r="A414" s="91" t="s">
        <v>685</v>
      </c>
      <c r="D414" s="91" t="str">
        <f t="shared" si="6"/>
        <v>KAGONGO</v>
      </c>
      <c r="F414" s="91">
        <v>359</v>
      </c>
    </row>
    <row r="415" spans="1:6">
      <c r="A415" s="91" t="s">
        <v>686</v>
      </c>
      <c r="B415" s="91" t="s">
        <v>44</v>
      </c>
      <c r="C415" s="91" t="s">
        <v>44</v>
      </c>
      <c r="D415" s="91" t="str">
        <f t="shared" si="6"/>
        <v>Rushango Town Council</v>
      </c>
      <c r="F415" s="91">
        <v>360</v>
      </c>
    </row>
    <row r="416" spans="1:6">
      <c r="A416" s="91" t="s">
        <v>687</v>
      </c>
      <c r="B416" s="91" t="s">
        <v>688</v>
      </c>
      <c r="C416" s="91" t="s">
        <v>689</v>
      </c>
      <c r="D416" s="91" t="str">
        <f t="shared" si="6"/>
        <v>Bulamogi</v>
      </c>
      <c r="F416" s="91">
        <v>361</v>
      </c>
    </row>
    <row r="417" spans="1:6">
      <c r="A417" s="91" t="s">
        <v>690</v>
      </c>
      <c r="B417" s="91" t="s">
        <v>688</v>
      </c>
      <c r="C417" s="91" t="s">
        <v>691</v>
      </c>
      <c r="D417" s="91" t="str">
        <f t="shared" si="6"/>
        <v>Busembatia Town Council</v>
      </c>
      <c r="F417" s="91">
        <v>362</v>
      </c>
    </row>
    <row r="418" spans="1:6">
      <c r="A418" s="91" t="s">
        <v>692</v>
      </c>
      <c r="B418" s="91" t="s">
        <v>688</v>
      </c>
      <c r="C418" s="91" t="s">
        <v>691</v>
      </c>
      <c r="D418" s="91" t="str">
        <f t="shared" si="6"/>
        <v>Buyanga-Iganga</v>
      </c>
      <c r="F418" s="91">
        <v>363</v>
      </c>
    </row>
    <row r="419" spans="1:6">
      <c r="A419" s="91" t="s">
        <v>693</v>
      </c>
      <c r="B419" s="91" t="s">
        <v>688</v>
      </c>
      <c r="C419" s="91" t="s">
        <v>691</v>
      </c>
      <c r="D419" s="91" t="str">
        <f t="shared" si="6"/>
        <v>Ibulanku</v>
      </c>
      <c r="F419" s="91">
        <v>364</v>
      </c>
    </row>
    <row r="420" spans="1:6">
      <c r="A420" s="91" t="s">
        <v>694</v>
      </c>
      <c r="B420" s="91" t="s">
        <v>688</v>
      </c>
      <c r="C420" s="91" t="s">
        <v>694</v>
      </c>
      <c r="D420" s="91" t="str">
        <f t="shared" si="6"/>
        <v>Iganga Municipality</v>
      </c>
      <c r="F420" s="91">
        <v>365</v>
      </c>
    </row>
    <row r="421" spans="1:6">
      <c r="A421" s="91" t="s">
        <v>695</v>
      </c>
      <c r="D421" s="91" t="str">
        <f t="shared" si="6"/>
        <v>IGANGA</v>
      </c>
      <c r="F421" s="91">
        <v>365</v>
      </c>
    </row>
    <row r="422" spans="1:6">
      <c r="A422" s="91" t="s">
        <v>696</v>
      </c>
      <c r="D422" s="91" t="str">
        <f t="shared" si="6"/>
        <v>IGANGA TOWN</v>
      </c>
      <c r="F422" s="91">
        <v>365</v>
      </c>
    </row>
    <row r="423" spans="1:6" ht="16.5" customHeight="1">
      <c r="A423" s="91" t="s">
        <v>697</v>
      </c>
      <c r="B423" s="91" t="s">
        <v>688</v>
      </c>
      <c r="C423" s="91" t="s">
        <v>691</v>
      </c>
      <c r="D423" s="91" t="str">
        <f t="shared" si="6"/>
        <v>Igombe</v>
      </c>
      <c r="F423" s="91">
        <v>366</v>
      </c>
    </row>
    <row r="424" spans="1:6">
      <c r="A424" s="91" t="s">
        <v>698</v>
      </c>
      <c r="B424" s="91" t="s">
        <v>688</v>
      </c>
      <c r="C424" s="91" t="s">
        <v>691</v>
      </c>
      <c r="D424" s="91" t="str">
        <f t="shared" si="6"/>
        <v>Makuutu</v>
      </c>
      <c r="F424" s="91">
        <v>367</v>
      </c>
    </row>
    <row r="425" spans="1:6">
      <c r="A425" s="91" t="s">
        <v>699</v>
      </c>
      <c r="B425" s="91" t="s">
        <v>688</v>
      </c>
      <c r="C425" s="91" t="s">
        <v>689</v>
      </c>
      <c r="D425" s="91" t="str">
        <f t="shared" si="6"/>
        <v>Nabitende</v>
      </c>
      <c r="F425" s="91">
        <v>368</v>
      </c>
    </row>
    <row r="426" spans="1:6">
      <c r="A426" s="91" t="s">
        <v>700</v>
      </c>
      <c r="B426" s="91" t="s">
        <v>688</v>
      </c>
      <c r="C426" s="91" t="s">
        <v>689</v>
      </c>
      <c r="D426" s="91" t="str">
        <f t="shared" si="6"/>
        <v>Nakalama</v>
      </c>
      <c r="F426" s="91">
        <v>369</v>
      </c>
    </row>
    <row r="427" spans="1:6">
      <c r="A427" s="91" t="s">
        <v>689</v>
      </c>
      <c r="D427" s="91" t="str">
        <f t="shared" si="6"/>
        <v>Kigulu</v>
      </c>
      <c r="F427" s="91">
        <v>369</v>
      </c>
    </row>
    <row r="428" spans="1:6">
      <c r="A428" s="91" t="s">
        <v>701</v>
      </c>
      <c r="B428" s="91" t="s">
        <v>688</v>
      </c>
      <c r="C428" s="91" t="s">
        <v>689</v>
      </c>
      <c r="D428" s="91" t="str">
        <f t="shared" si="6"/>
        <v>Nakigo</v>
      </c>
      <c r="F428" s="91">
        <v>370</v>
      </c>
    </row>
    <row r="429" spans="1:6">
      <c r="A429" s="91" t="s">
        <v>702</v>
      </c>
      <c r="B429" s="91" t="s">
        <v>688</v>
      </c>
      <c r="C429" s="91" t="s">
        <v>691</v>
      </c>
      <c r="D429" s="91" t="str">
        <f t="shared" si="6"/>
        <v>Namalemba</v>
      </c>
      <c r="F429" s="91">
        <v>371</v>
      </c>
    </row>
    <row r="430" spans="1:6">
      <c r="A430" s="91" t="s">
        <v>703</v>
      </c>
      <c r="B430" s="91" t="s">
        <v>688</v>
      </c>
      <c r="C430" s="91" t="s">
        <v>689</v>
      </c>
      <c r="D430" s="91" t="str">
        <f t="shared" si="6"/>
        <v>Nambale</v>
      </c>
      <c r="F430" s="91">
        <v>372</v>
      </c>
    </row>
    <row r="431" spans="1:6">
      <c r="A431" s="91" t="s">
        <v>704</v>
      </c>
      <c r="B431" s="91" t="s">
        <v>688</v>
      </c>
      <c r="C431" s="91" t="s">
        <v>689</v>
      </c>
      <c r="D431" s="91" t="str">
        <f t="shared" si="6"/>
        <v>Namungalwe</v>
      </c>
      <c r="F431" s="91">
        <v>373</v>
      </c>
    </row>
    <row r="432" spans="1:6">
      <c r="A432" s="91" t="s">
        <v>705</v>
      </c>
      <c r="B432" s="91" t="s">
        <v>688</v>
      </c>
      <c r="C432" s="91" t="s">
        <v>689</v>
      </c>
      <c r="D432" s="91" t="str">
        <f t="shared" si="6"/>
        <v>Nawandala</v>
      </c>
      <c r="F432" s="91">
        <v>374</v>
      </c>
    </row>
    <row r="433" spans="1:6">
      <c r="A433" s="91" t="s">
        <v>706</v>
      </c>
      <c r="B433" s="91" t="s">
        <v>688</v>
      </c>
      <c r="C433" s="91" t="s">
        <v>689</v>
      </c>
      <c r="D433" s="91" t="str">
        <f t="shared" si="6"/>
        <v>Nawanyingi</v>
      </c>
      <c r="F433" s="91">
        <v>375</v>
      </c>
    </row>
    <row r="434" spans="1:6">
      <c r="A434" s="91" t="s">
        <v>707</v>
      </c>
      <c r="B434" s="91" t="s">
        <v>53</v>
      </c>
      <c r="C434" s="91" t="s">
        <v>53</v>
      </c>
      <c r="D434" s="91" t="str">
        <f t="shared" si="6"/>
        <v>Birere</v>
      </c>
      <c r="F434" s="91">
        <v>376</v>
      </c>
    </row>
    <row r="435" spans="1:6">
      <c r="A435" s="91" t="s">
        <v>708</v>
      </c>
      <c r="D435" s="91" t="str">
        <f t="shared" si="6"/>
        <v>Kyera</v>
      </c>
      <c r="F435" s="91">
        <v>376</v>
      </c>
    </row>
    <row r="436" spans="1:6">
      <c r="A436" s="91" t="s">
        <v>709</v>
      </c>
      <c r="D436" s="91" t="str">
        <f t="shared" si="6"/>
        <v>KISHURO</v>
      </c>
      <c r="F436" s="91">
        <v>376</v>
      </c>
    </row>
    <row r="437" spans="1:6">
      <c r="A437" s="91" t="s">
        <v>710</v>
      </c>
      <c r="D437" s="91" t="str">
        <f t="shared" si="6"/>
        <v>RWAKIRURI</v>
      </c>
      <c r="F437" s="91">
        <v>376</v>
      </c>
    </row>
    <row r="438" spans="1:6">
      <c r="A438" s="91" t="s">
        <v>711</v>
      </c>
      <c r="D438" s="91" t="str">
        <f t="shared" si="6"/>
        <v>KYAMUSHOKA</v>
      </c>
      <c r="F438" s="91">
        <v>376</v>
      </c>
    </row>
    <row r="439" spans="1:6">
      <c r="A439" s="91" t="s">
        <v>712</v>
      </c>
      <c r="D439" s="91" t="str">
        <f t="shared" si="6"/>
        <v>KAHENDA</v>
      </c>
      <c r="F439" s="91">
        <v>376</v>
      </c>
    </row>
    <row r="440" spans="1:6">
      <c r="A440" s="91" t="s">
        <v>713</v>
      </c>
      <c r="D440" s="91" t="str">
        <f t="shared" si="6"/>
        <v>KASHUMBA</v>
      </c>
      <c r="F440" s="91">
        <v>376</v>
      </c>
    </row>
    <row r="441" spans="1:6">
      <c r="A441" s="91" t="s">
        <v>714</v>
      </c>
      <c r="B441" s="91" t="s">
        <v>53</v>
      </c>
      <c r="C441" s="91" t="s">
        <v>715</v>
      </c>
      <c r="D441" s="91" t="str">
        <f t="shared" si="6"/>
        <v>Endiinzi</v>
      </c>
      <c r="F441" s="91">
        <v>377</v>
      </c>
    </row>
    <row r="442" spans="1:6">
      <c r="A442" s="91" t="s">
        <v>716</v>
      </c>
      <c r="B442" s="91" t="s">
        <v>53</v>
      </c>
      <c r="C442" s="91" t="s">
        <v>715</v>
      </c>
      <c r="D442" s="91" t="str">
        <f t="shared" si="6"/>
        <v>Endiinzi Town Council</v>
      </c>
      <c r="F442" s="91">
        <v>378</v>
      </c>
    </row>
    <row r="443" spans="1:6">
      <c r="A443" s="91" t="s">
        <v>717</v>
      </c>
      <c r="B443" s="91" t="s">
        <v>53</v>
      </c>
      <c r="C443" s="91" t="s">
        <v>53</v>
      </c>
      <c r="D443" s="91" t="str">
        <f t="shared" si="6"/>
        <v>Isingiro Town Council</v>
      </c>
      <c r="F443" s="91">
        <v>379</v>
      </c>
    </row>
    <row r="444" spans="1:6">
      <c r="A444" s="91" t="s">
        <v>718</v>
      </c>
      <c r="D444" s="91" t="str">
        <f t="shared" si="6"/>
        <v>ISINGRO</v>
      </c>
      <c r="F444" s="91">
        <v>379</v>
      </c>
    </row>
    <row r="445" spans="1:6">
      <c r="A445" s="91" t="s">
        <v>719</v>
      </c>
      <c r="D445" s="91" t="str">
        <f t="shared" si="6"/>
        <v>ISIGIRO TOWN</v>
      </c>
      <c r="F445" s="91">
        <v>379</v>
      </c>
    </row>
    <row r="446" spans="1:6">
      <c r="A446" s="91" t="s">
        <v>720</v>
      </c>
      <c r="D446" s="91" t="str">
        <f t="shared" si="6"/>
        <v>ISINGIRO TOWN</v>
      </c>
      <c r="F446" s="91">
        <v>379</v>
      </c>
    </row>
    <row r="447" spans="1:6">
      <c r="A447" s="91" t="s">
        <v>721</v>
      </c>
      <c r="D447" s="91" t="str">
        <f t="shared" si="6"/>
        <v>ISINGIRO</v>
      </c>
      <c r="F447" s="91">
        <v>379</v>
      </c>
    </row>
    <row r="448" spans="1:6">
      <c r="A448" s="91" t="s">
        <v>722</v>
      </c>
      <c r="D448" s="91" t="str">
        <f t="shared" si="6"/>
        <v>KIKAGATI</v>
      </c>
      <c r="F448" s="91">
        <v>379</v>
      </c>
    </row>
    <row r="449" spans="1:6">
      <c r="A449" s="91" t="s">
        <v>723</v>
      </c>
      <c r="D449" s="91" t="str">
        <f t="shared" si="6"/>
        <v>KIGAGATI</v>
      </c>
      <c r="F449" s="91">
        <v>379</v>
      </c>
    </row>
    <row r="450" spans="1:6">
      <c r="A450" s="91" t="s">
        <v>724</v>
      </c>
      <c r="D450" s="91" t="str">
        <f t="shared" si="6"/>
        <v>KITAGATI</v>
      </c>
      <c r="F450" s="91">
        <v>379</v>
      </c>
    </row>
    <row r="451" spans="1:6">
      <c r="A451" s="91" t="s">
        <v>725</v>
      </c>
      <c r="B451" s="91" t="s">
        <v>53</v>
      </c>
      <c r="C451" s="91" t="s">
        <v>53</v>
      </c>
      <c r="D451" s="91" t="str">
        <f t="shared" ref="D451:D514" si="7">A451</f>
        <v>Kaberebere Town Council</v>
      </c>
      <c r="F451" s="91">
        <v>380</v>
      </c>
    </row>
    <row r="452" spans="1:6">
      <c r="A452" s="91" t="s">
        <v>726</v>
      </c>
      <c r="D452" s="91" t="str">
        <f t="shared" si="7"/>
        <v>KABEREBERE</v>
      </c>
      <c r="F452" s="91">
        <v>380</v>
      </c>
    </row>
    <row r="453" spans="1:6">
      <c r="A453" s="91" t="s">
        <v>727</v>
      </c>
      <c r="B453" s="91" t="s">
        <v>53</v>
      </c>
      <c r="C453" s="91" t="s">
        <v>53</v>
      </c>
      <c r="D453" s="91" t="str">
        <f t="shared" si="7"/>
        <v>Kabingo</v>
      </c>
      <c r="F453" s="91">
        <v>381</v>
      </c>
    </row>
    <row r="454" spans="1:6">
      <c r="A454" s="91" t="s">
        <v>728</v>
      </c>
      <c r="D454" s="91" t="str">
        <f t="shared" si="7"/>
        <v>MABONA</v>
      </c>
      <c r="F454" s="91">
        <v>381</v>
      </c>
    </row>
    <row r="455" spans="1:6">
      <c r="A455" s="91" t="s">
        <v>729</v>
      </c>
      <c r="B455" s="91" t="s">
        <v>53</v>
      </c>
      <c r="C455" s="91" t="s">
        <v>53</v>
      </c>
      <c r="D455" s="91" t="str">
        <f t="shared" si="7"/>
        <v>Kabuyanda</v>
      </c>
      <c r="F455" s="91">
        <v>382</v>
      </c>
    </row>
    <row r="456" spans="1:6">
      <c r="A456" s="91" t="s">
        <v>730</v>
      </c>
      <c r="B456" s="91" t="s">
        <v>53</v>
      </c>
      <c r="C456" s="91" t="s">
        <v>53</v>
      </c>
      <c r="D456" s="91" t="str">
        <f t="shared" si="7"/>
        <v>Kabuyanda Town Council</v>
      </c>
      <c r="F456" s="91">
        <v>383</v>
      </c>
    </row>
    <row r="457" spans="1:6">
      <c r="A457" s="91" t="s">
        <v>731</v>
      </c>
      <c r="B457" s="91" t="s">
        <v>53</v>
      </c>
      <c r="C457" s="91" t="s">
        <v>715</v>
      </c>
      <c r="D457" s="91" t="str">
        <f t="shared" si="7"/>
        <v>Kakamba-Isingiro</v>
      </c>
      <c r="F457" s="91">
        <v>384</v>
      </c>
    </row>
    <row r="458" spans="1:6">
      <c r="A458" s="91" t="s">
        <v>732</v>
      </c>
      <c r="B458" s="91" t="s">
        <v>53</v>
      </c>
      <c r="C458" s="91" t="s">
        <v>53</v>
      </c>
      <c r="D458" s="91" t="str">
        <f t="shared" si="7"/>
        <v>Kikagate</v>
      </c>
      <c r="F458" s="91">
        <v>385</v>
      </c>
    </row>
    <row r="459" spans="1:6">
      <c r="A459" s="91" t="s">
        <v>733</v>
      </c>
      <c r="B459" s="91" t="s">
        <v>53</v>
      </c>
      <c r="C459" s="91" t="s">
        <v>53</v>
      </c>
      <c r="D459" s="91" t="str">
        <f t="shared" si="7"/>
        <v>Masha</v>
      </c>
      <c r="F459" s="91">
        <v>386</v>
      </c>
    </row>
    <row r="460" spans="1:6">
      <c r="A460" s="91" t="s">
        <v>734</v>
      </c>
      <c r="D460" s="91" t="str">
        <f t="shared" si="7"/>
        <v>NYABUSHOZI</v>
      </c>
      <c r="F460" s="91">
        <v>386</v>
      </c>
    </row>
    <row r="461" spans="1:6">
      <c r="A461" s="91" t="s">
        <v>735</v>
      </c>
      <c r="D461" s="91" t="str">
        <f t="shared" si="7"/>
        <v>NYABUSHONZI</v>
      </c>
      <c r="F461" s="91">
        <v>386</v>
      </c>
    </row>
    <row r="462" spans="1:6">
      <c r="A462" s="91" t="s">
        <v>736</v>
      </c>
      <c r="D462" s="91" t="str">
        <f t="shared" si="7"/>
        <v>NYAMISINDO</v>
      </c>
      <c r="F462" s="91">
        <v>386</v>
      </c>
    </row>
    <row r="463" spans="1:6">
      <c r="A463" s="91" t="s">
        <v>737</v>
      </c>
      <c r="D463" s="91" t="str">
        <f t="shared" si="7"/>
        <v>Nyamitsindo</v>
      </c>
      <c r="F463" s="91">
        <v>386</v>
      </c>
    </row>
    <row r="464" spans="1:6">
      <c r="A464" s="91" t="s">
        <v>738</v>
      </c>
      <c r="B464" s="91" t="s">
        <v>53</v>
      </c>
      <c r="C464" s="91" t="s">
        <v>715</v>
      </c>
      <c r="D464" s="91" t="str">
        <f t="shared" si="7"/>
        <v>Mbaare</v>
      </c>
      <c r="F464" s="91">
        <v>387</v>
      </c>
    </row>
    <row r="465" spans="1:6">
      <c r="A465" s="91" t="s">
        <v>739</v>
      </c>
      <c r="B465" s="91" t="s">
        <v>53</v>
      </c>
      <c r="C465" s="91" t="s">
        <v>715</v>
      </c>
      <c r="D465" s="91" t="str">
        <f t="shared" si="7"/>
        <v>Nakivale Refugee Camp</v>
      </c>
      <c r="F465" s="91">
        <v>388</v>
      </c>
    </row>
    <row r="466" spans="1:6">
      <c r="A466" s="91" t="s">
        <v>740</v>
      </c>
      <c r="D466" s="91" t="str">
        <f t="shared" si="7"/>
        <v>NAKIVALE</v>
      </c>
      <c r="F466" s="91">
        <v>388</v>
      </c>
    </row>
    <row r="467" spans="1:6">
      <c r="A467" s="91" t="s">
        <v>741</v>
      </c>
      <c r="D467" s="91" t="str">
        <f t="shared" si="7"/>
        <v>NAKIVALA</v>
      </c>
      <c r="F467" s="91">
        <v>388</v>
      </c>
    </row>
    <row r="468" spans="1:6">
      <c r="A468" s="91" t="s">
        <v>742</v>
      </c>
      <c r="B468" s="91" t="s">
        <v>53</v>
      </c>
      <c r="C468" s="91" t="s">
        <v>715</v>
      </c>
      <c r="D468" s="91" t="str">
        <f t="shared" si="7"/>
        <v>Ngarama</v>
      </c>
      <c r="F468" s="91">
        <v>389</v>
      </c>
    </row>
    <row r="469" spans="1:6">
      <c r="A469" s="91" t="s">
        <v>743</v>
      </c>
      <c r="B469" s="91" t="s">
        <v>53</v>
      </c>
      <c r="C469" s="91" t="s">
        <v>53</v>
      </c>
      <c r="D469" s="91" t="str">
        <f t="shared" si="7"/>
        <v>Nyakitunda</v>
      </c>
      <c r="F469" s="91">
        <v>390</v>
      </c>
    </row>
    <row r="470" spans="1:6">
      <c r="A470" s="91" t="s">
        <v>744</v>
      </c>
      <c r="D470" s="91" t="str">
        <f t="shared" si="7"/>
        <v>NTUNGU</v>
      </c>
      <c r="F470" s="91">
        <v>390</v>
      </c>
    </row>
    <row r="471" spans="1:6">
      <c r="A471" s="91" t="s">
        <v>745</v>
      </c>
      <c r="B471" s="91" t="s">
        <v>53</v>
      </c>
      <c r="C471" s="91" t="s">
        <v>53</v>
      </c>
      <c r="D471" s="91" t="str">
        <f t="shared" si="7"/>
        <v>Nyamuyanja</v>
      </c>
      <c r="F471" s="91">
        <v>391</v>
      </c>
    </row>
    <row r="472" spans="1:6">
      <c r="A472" s="91" t="s">
        <v>746</v>
      </c>
      <c r="B472" s="91" t="s">
        <v>53</v>
      </c>
      <c r="C472" s="91" t="s">
        <v>53</v>
      </c>
      <c r="D472" s="91" t="str">
        <f t="shared" si="7"/>
        <v>Oruchinga Refugee Camp</v>
      </c>
      <c r="F472" s="91">
        <v>392</v>
      </c>
    </row>
    <row r="473" spans="1:6">
      <c r="A473" s="91" t="s">
        <v>747</v>
      </c>
      <c r="B473" s="91" t="s">
        <v>53</v>
      </c>
      <c r="C473" s="91" t="s">
        <v>53</v>
      </c>
      <c r="D473" s="91" t="str">
        <f t="shared" si="7"/>
        <v>Ruborogota</v>
      </c>
      <c r="F473" s="91">
        <v>393</v>
      </c>
    </row>
    <row r="474" spans="1:6">
      <c r="A474" s="91" t="s">
        <v>748</v>
      </c>
      <c r="B474" s="91" t="s">
        <v>53</v>
      </c>
      <c r="C474" s="91" t="s">
        <v>715</v>
      </c>
      <c r="D474" s="91" t="str">
        <f t="shared" si="7"/>
        <v>Rugaaga</v>
      </c>
      <c r="F474" s="91">
        <v>394</v>
      </c>
    </row>
    <row r="475" spans="1:6">
      <c r="A475" s="91" t="s">
        <v>749</v>
      </c>
      <c r="D475" s="91" t="str">
        <f t="shared" si="7"/>
        <v>RUGAGA</v>
      </c>
      <c r="F475" s="91">
        <v>394</v>
      </c>
    </row>
    <row r="476" spans="1:6">
      <c r="A476" s="91" t="s">
        <v>750</v>
      </c>
      <c r="D476" s="91" t="str">
        <f t="shared" si="7"/>
        <v>KITYAZA</v>
      </c>
      <c r="F476" s="91">
        <v>394</v>
      </c>
    </row>
    <row r="477" spans="1:6">
      <c r="A477" s="91" t="s">
        <v>751</v>
      </c>
      <c r="B477" s="91" t="s">
        <v>53</v>
      </c>
      <c r="C477" s="91" t="s">
        <v>715</v>
      </c>
      <c r="D477" s="91" t="str">
        <f t="shared" si="7"/>
        <v>Rushasha</v>
      </c>
      <c r="F477" s="91">
        <v>395</v>
      </c>
    </row>
    <row r="478" spans="1:6">
      <c r="A478" s="91" t="s">
        <v>752</v>
      </c>
      <c r="B478" s="91" t="s">
        <v>186</v>
      </c>
      <c r="C478" s="91" t="s">
        <v>753</v>
      </c>
      <c r="D478" s="91" t="str">
        <f t="shared" si="7"/>
        <v>Budondo</v>
      </c>
      <c r="F478" s="91">
        <v>396</v>
      </c>
    </row>
    <row r="479" spans="1:6">
      <c r="A479" s="91" t="s">
        <v>754</v>
      </c>
      <c r="B479" s="91" t="s">
        <v>186</v>
      </c>
      <c r="C479" s="91" t="s">
        <v>755</v>
      </c>
      <c r="D479" s="91" t="str">
        <f t="shared" si="7"/>
        <v>Bugembe Town Council</v>
      </c>
      <c r="F479" s="91">
        <v>397</v>
      </c>
    </row>
    <row r="480" spans="1:6">
      <c r="A480" s="91" t="s">
        <v>756</v>
      </c>
      <c r="B480" s="91" t="s">
        <v>186</v>
      </c>
      <c r="C480" s="91" t="s">
        <v>755</v>
      </c>
      <c r="D480" s="91" t="str">
        <f t="shared" si="7"/>
        <v>Busedde</v>
      </c>
      <c r="F480" s="91">
        <v>398</v>
      </c>
    </row>
    <row r="481" spans="1:6">
      <c r="A481" s="91" t="s">
        <v>757</v>
      </c>
      <c r="B481" s="91" t="s">
        <v>186</v>
      </c>
      <c r="C481" s="91" t="s">
        <v>753</v>
      </c>
      <c r="D481" s="91" t="str">
        <f t="shared" si="7"/>
        <v>Butagaya</v>
      </c>
      <c r="F481" s="91">
        <v>399</v>
      </c>
    </row>
    <row r="482" spans="1:6">
      <c r="A482" s="91" t="s">
        <v>758</v>
      </c>
      <c r="B482" s="91" t="s">
        <v>186</v>
      </c>
      <c r="C482" s="91" t="s">
        <v>753</v>
      </c>
      <c r="D482" s="91" t="str">
        <f t="shared" si="7"/>
        <v>Buwenge</v>
      </c>
      <c r="F482" s="91">
        <v>400</v>
      </c>
    </row>
    <row r="483" spans="1:6">
      <c r="A483" s="91" t="s">
        <v>759</v>
      </c>
      <c r="B483" s="91" t="s">
        <v>186</v>
      </c>
      <c r="C483" s="91" t="s">
        <v>753</v>
      </c>
      <c r="D483" s="91" t="str">
        <f t="shared" si="7"/>
        <v>Buwenge Town Council</v>
      </c>
      <c r="F483" s="91">
        <v>401</v>
      </c>
    </row>
    <row r="484" spans="1:6">
      <c r="A484" s="91" t="s">
        <v>760</v>
      </c>
      <c r="B484" s="91" t="s">
        <v>186</v>
      </c>
      <c r="C484" s="91" t="s">
        <v>753</v>
      </c>
      <c r="D484" s="91" t="str">
        <f t="shared" si="7"/>
        <v>Buyengo</v>
      </c>
      <c r="F484" s="91">
        <v>402</v>
      </c>
    </row>
    <row r="485" spans="1:6">
      <c r="A485" s="91" t="s">
        <v>761</v>
      </c>
      <c r="B485" s="91" t="s">
        <v>186</v>
      </c>
      <c r="C485" s="91" t="s">
        <v>761</v>
      </c>
      <c r="D485" s="91" t="str">
        <f t="shared" si="7"/>
        <v>Jinja Municipality</v>
      </c>
      <c r="F485" s="91">
        <v>403</v>
      </c>
    </row>
    <row r="486" spans="1:6">
      <c r="A486" s="91" t="s">
        <v>186</v>
      </c>
      <c r="D486" s="91" t="str">
        <f t="shared" si="7"/>
        <v>Jinja</v>
      </c>
      <c r="F486" s="91">
        <v>403</v>
      </c>
    </row>
    <row r="487" spans="1:6">
      <c r="A487" s="91" t="s">
        <v>762</v>
      </c>
      <c r="D487" s="91" t="str">
        <f t="shared" si="7"/>
        <v>Walukuba</v>
      </c>
      <c r="F487" s="91">
        <v>403</v>
      </c>
    </row>
    <row r="488" spans="1:6">
      <c r="A488" s="91" t="s">
        <v>763</v>
      </c>
      <c r="D488" s="91" t="str">
        <f t="shared" si="7"/>
        <v>Nagalama</v>
      </c>
      <c r="F488" s="91">
        <v>403</v>
      </c>
    </row>
    <row r="489" spans="1:6">
      <c r="A489" s="91" t="s">
        <v>764</v>
      </c>
      <c r="D489" s="91" t="str">
        <f t="shared" si="7"/>
        <v>Masese</v>
      </c>
      <c r="F489" s="91">
        <v>403</v>
      </c>
    </row>
    <row r="490" spans="1:6">
      <c r="A490" s="91" t="s">
        <v>765</v>
      </c>
      <c r="D490" s="91" t="str">
        <f t="shared" si="7"/>
        <v>Jinja town</v>
      </c>
      <c r="F490" s="91">
        <v>403</v>
      </c>
    </row>
    <row r="491" spans="1:6">
      <c r="A491" s="91" t="s">
        <v>766</v>
      </c>
      <c r="B491" s="91" t="s">
        <v>186</v>
      </c>
      <c r="C491" s="91" t="s">
        <v>755</v>
      </c>
      <c r="D491" s="91" t="str">
        <f t="shared" si="7"/>
        <v>Kakira Town Council</v>
      </c>
      <c r="F491" s="91">
        <v>404</v>
      </c>
    </row>
    <row r="492" spans="1:6">
      <c r="A492" s="91" t="s">
        <v>767</v>
      </c>
      <c r="D492" s="91" t="str">
        <f t="shared" si="7"/>
        <v xml:space="preserve">Kakira  </v>
      </c>
      <c r="F492" s="91">
        <v>404</v>
      </c>
    </row>
    <row r="493" spans="1:6">
      <c r="A493" s="91" t="s">
        <v>768</v>
      </c>
      <c r="B493" s="91" t="s">
        <v>186</v>
      </c>
      <c r="C493" s="91" t="s">
        <v>755</v>
      </c>
      <c r="D493" s="91" t="str">
        <f t="shared" si="7"/>
        <v>Mafubira</v>
      </c>
      <c r="F493" s="91">
        <v>405</v>
      </c>
    </row>
    <row r="494" spans="1:6">
      <c r="A494" s="91" t="s">
        <v>769</v>
      </c>
      <c r="B494" s="91" t="s">
        <v>770</v>
      </c>
      <c r="C494" s="91" t="s">
        <v>771</v>
      </c>
      <c r="D494" s="91" t="str">
        <f t="shared" si="7"/>
        <v>Kaabong East</v>
      </c>
      <c r="F494" s="91">
        <v>406</v>
      </c>
    </row>
    <row r="495" spans="1:6">
      <c r="A495" s="91" t="s">
        <v>772</v>
      </c>
      <c r="B495" s="91" t="s">
        <v>770</v>
      </c>
      <c r="C495" s="91" t="s">
        <v>771</v>
      </c>
      <c r="D495" s="91" t="str">
        <f t="shared" si="7"/>
        <v>Kaabong Town Council</v>
      </c>
      <c r="F495" s="91">
        <v>407</v>
      </c>
    </row>
    <row r="496" spans="1:6">
      <c r="A496" s="91" t="s">
        <v>773</v>
      </c>
      <c r="B496" s="91" t="s">
        <v>770</v>
      </c>
      <c r="C496" s="91" t="s">
        <v>771</v>
      </c>
      <c r="D496" s="91" t="str">
        <f t="shared" si="7"/>
        <v>Kaabong West</v>
      </c>
      <c r="F496" s="91">
        <v>408</v>
      </c>
    </row>
    <row r="497" spans="1:6">
      <c r="A497" s="91" t="s">
        <v>774</v>
      </c>
      <c r="B497" s="91" t="s">
        <v>770</v>
      </c>
      <c r="C497" s="91" t="s">
        <v>771</v>
      </c>
      <c r="D497" s="91" t="str">
        <f t="shared" si="7"/>
        <v>Kalapata</v>
      </c>
      <c r="F497" s="91">
        <v>409</v>
      </c>
    </row>
    <row r="498" spans="1:6">
      <c r="A498" s="91" t="s">
        <v>775</v>
      </c>
      <c r="B498" s="91" t="s">
        <v>770</v>
      </c>
      <c r="C498" s="91" t="s">
        <v>771</v>
      </c>
      <c r="D498" s="91" t="str">
        <f t="shared" si="7"/>
        <v>Kamion</v>
      </c>
      <c r="F498" s="91">
        <v>410</v>
      </c>
    </row>
    <row r="499" spans="1:6">
      <c r="A499" s="91" t="s">
        <v>776</v>
      </c>
      <c r="B499" s="91" t="s">
        <v>770</v>
      </c>
      <c r="C499" s="91" t="s">
        <v>771</v>
      </c>
      <c r="D499" s="91" t="str">
        <f t="shared" si="7"/>
        <v>Kapedo</v>
      </c>
      <c r="F499" s="91">
        <v>411</v>
      </c>
    </row>
    <row r="500" spans="1:6">
      <c r="A500" s="91" t="s">
        <v>777</v>
      </c>
      <c r="B500" s="91" t="s">
        <v>770</v>
      </c>
      <c r="C500" s="91" t="s">
        <v>771</v>
      </c>
      <c r="D500" s="91" t="str">
        <f t="shared" si="7"/>
        <v>Kathile</v>
      </c>
      <c r="F500" s="91">
        <v>412</v>
      </c>
    </row>
    <row r="501" spans="1:6">
      <c r="A501" s="91" t="s">
        <v>778</v>
      </c>
      <c r="B501" s="91" t="s">
        <v>770</v>
      </c>
      <c r="C501" s="91" t="s">
        <v>771</v>
      </c>
      <c r="D501" s="91" t="str">
        <f t="shared" si="7"/>
        <v>Kawalakol</v>
      </c>
      <c r="F501" s="91">
        <v>413</v>
      </c>
    </row>
    <row r="502" spans="1:6">
      <c r="A502" s="91" t="s">
        <v>779</v>
      </c>
      <c r="B502" s="91" t="s">
        <v>770</v>
      </c>
      <c r="C502" s="91" t="s">
        <v>771</v>
      </c>
      <c r="D502" s="91" t="str">
        <f t="shared" si="7"/>
        <v>Lobalangit</v>
      </c>
      <c r="F502" s="91">
        <v>414</v>
      </c>
    </row>
    <row r="503" spans="1:6">
      <c r="A503" s="91" t="s">
        <v>780</v>
      </c>
      <c r="B503" s="91" t="s">
        <v>770</v>
      </c>
      <c r="C503" s="91" t="s">
        <v>771</v>
      </c>
      <c r="D503" s="91" t="str">
        <f t="shared" si="7"/>
        <v>Lodiko</v>
      </c>
      <c r="F503" s="91">
        <v>415</v>
      </c>
    </row>
    <row r="504" spans="1:6">
      <c r="A504" s="91" t="s">
        <v>781</v>
      </c>
      <c r="B504" s="91" t="s">
        <v>770</v>
      </c>
      <c r="C504" s="91" t="s">
        <v>771</v>
      </c>
      <c r="D504" s="91" t="str">
        <f t="shared" si="7"/>
        <v>Lolelia</v>
      </c>
      <c r="F504" s="91">
        <v>416</v>
      </c>
    </row>
    <row r="505" spans="1:6">
      <c r="A505" s="91" t="s">
        <v>782</v>
      </c>
      <c r="B505" s="91" t="s">
        <v>770</v>
      </c>
      <c r="C505" s="91" t="s">
        <v>771</v>
      </c>
      <c r="D505" s="91" t="str">
        <f t="shared" si="7"/>
        <v>Loyoro</v>
      </c>
      <c r="F505" s="91">
        <v>417</v>
      </c>
    </row>
    <row r="506" spans="1:6">
      <c r="A506" s="91" t="s">
        <v>783</v>
      </c>
      <c r="B506" s="91" t="s">
        <v>770</v>
      </c>
      <c r="C506" s="91" t="s">
        <v>771</v>
      </c>
      <c r="D506" s="91" t="str">
        <f t="shared" si="7"/>
        <v>Napore Karenga</v>
      </c>
      <c r="F506" s="91">
        <v>418</v>
      </c>
    </row>
    <row r="507" spans="1:6">
      <c r="A507" s="91" t="s">
        <v>784</v>
      </c>
      <c r="B507" s="91" t="s">
        <v>770</v>
      </c>
      <c r="C507" s="91" t="s">
        <v>771</v>
      </c>
      <c r="D507" s="91" t="str">
        <f t="shared" si="7"/>
        <v>Sidok</v>
      </c>
      <c r="F507" s="91">
        <v>419</v>
      </c>
    </row>
    <row r="508" spans="1:6">
      <c r="A508" s="91" t="s">
        <v>785</v>
      </c>
      <c r="B508" s="91" t="s">
        <v>786</v>
      </c>
      <c r="C508" s="91" t="s">
        <v>787</v>
      </c>
      <c r="D508" s="91" t="str">
        <f t="shared" si="7"/>
        <v>Buhara</v>
      </c>
      <c r="F508" s="91">
        <v>420</v>
      </c>
    </row>
    <row r="509" spans="1:6">
      <c r="A509" s="91" t="s">
        <v>788</v>
      </c>
      <c r="B509" s="91" t="s">
        <v>786</v>
      </c>
      <c r="C509" s="91" t="s">
        <v>787</v>
      </c>
      <c r="D509" s="91" t="str">
        <f t="shared" si="7"/>
        <v>Butanda</v>
      </c>
      <c r="F509" s="91">
        <v>421</v>
      </c>
    </row>
    <row r="510" spans="1:6">
      <c r="A510" s="91" t="s">
        <v>789</v>
      </c>
      <c r="B510" s="91" t="s">
        <v>786</v>
      </c>
      <c r="C510" s="91" t="s">
        <v>789</v>
      </c>
      <c r="D510" s="91" t="str">
        <f t="shared" si="7"/>
        <v>Kabale Municipality</v>
      </c>
      <c r="F510" s="91">
        <v>422</v>
      </c>
    </row>
    <row r="511" spans="1:6">
      <c r="A511" s="91" t="s">
        <v>790</v>
      </c>
      <c r="D511" s="91" t="str">
        <f t="shared" si="7"/>
        <v>Kabale town</v>
      </c>
      <c r="F511" s="91">
        <v>422</v>
      </c>
    </row>
    <row r="512" spans="1:6">
      <c r="A512" s="91" t="s">
        <v>786</v>
      </c>
      <c r="D512" s="91" t="str">
        <f t="shared" si="7"/>
        <v>Kabale</v>
      </c>
      <c r="F512" s="91">
        <v>422</v>
      </c>
    </row>
    <row r="513" spans="1:6">
      <c r="A513" s="91" t="s">
        <v>791</v>
      </c>
      <c r="D513" s="91" t="str">
        <f t="shared" si="7"/>
        <v>Bunyonyi</v>
      </c>
      <c r="F513" s="91">
        <v>422</v>
      </c>
    </row>
    <row r="514" spans="1:6">
      <c r="A514" s="91" t="s">
        <v>792</v>
      </c>
      <c r="D514" s="91" t="str">
        <f t="shared" si="7"/>
        <v>KABALE</v>
      </c>
      <c r="F514" s="91">
        <v>422</v>
      </c>
    </row>
    <row r="515" spans="1:6">
      <c r="A515" s="91" t="s">
        <v>793</v>
      </c>
      <c r="D515" s="91" t="str">
        <f t="shared" ref="D515:D578" si="8">A515</f>
        <v>Rubanda</v>
      </c>
      <c r="F515" s="91">
        <v>422</v>
      </c>
    </row>
    <row r="516" spans="1:6">
      <c r="A516" s="91" t="s">
        <v>794</v>
      </c>
      <c r="B516" s="91" t="s">
        <v>786</v>
      </c>
      <c r="C516" s="91" t="s">
        <v>787</v>
      </c>
      <c r="D516" s="91" t="str">
        <f t="shared" si="8"/>
        <v>Kaharo</v>
      </c>
      <c r="F516" s="91">
        <v>423</v>
      </c>
    </row>
    <row r="517" spans="1:6">
      <c r="A517" s="91" t="s">
        <v>795</v>
      </c>
      <c r="B517" s="91" t="s">
        <v>786</v>
      </c>
      <c r="C517" s="91" t="s">
        <v>787</v>
      </c>
      <c r="D517" s="91" t="str">
        <f t="shared" si="8"/>
        <v>Kamuganguzi</v>
      </c>
      <c r="F517" s="91">
        <v>424</v>
      </c>
    </row>
    <row r="518" spans="1:6">
      <c r="A518" s="91" t="s">
        <v>796</v>
      </c>
      <c r="B518" s="91" t="s">
        <v>786</v>
      </c>
      <c r="C518" s="91" t="s">
        <v>787</v>
      </c>
      <c r="D518" s="91" t="str">
        <f t="shared" si="8"/>
        <v>Katuna Town Council</v>
      </c>
      <c r="F518" s="91">
        <v>425</v>
      </c>
    </row>
    <row r="519" spans="1:6">
      <c r="A519" s="91" t="s">
        <v>797</v>
      </c>
      <c r="B519" s="91" t="s">
        <v>786</v>
      </c>
      <c r="C519" s="91" t="s">
        <v>787</v>
      </c>
      <c r="D519" s="91" t="str">
        <f t="shared" si="8"/>
        <v>Kitumba</v>
      </c>
      <c r="F519" s="91">
        <v>426</v>
      </c>
    </row>
    <row r="520" spans="1:6">
      <c r="A520" s="91" t="s">
        <v>798</v>
      </c>
      <c r="B520" s="91" t="s">
        <v>786</v>
      </c>
      <c r="C520" s="91" t="s">
        <v>787</v>
      </c>
      <c r="D520" s="91" t="str">
        <f t="shared" si="8"/>
        <v>Kyanamira</v>
      </c>
      <c r="F520" s="91">
        <v>427</v>
      </c>
    </row>
    <row r="521" spans="1:6">
      <c r="A521" s="91" t="s">
        <v>799</v>
      </c>
      <c r="B521" s="91" t="s">
        <v>786</v>
      </c>
      <c r="C521" s="91" t="s">
        <v>787</v>
      </c>
      <c r="D521" s="91" t="str">
        <f t="shared" si="8"/>
        <v>Maziba</v>
      </c>
      <c r="F521" s="91">
        <v>428</v>
      </c>
    </row>
    <row r="522" spans="1:6">
      <c r="A522" s="91" t="s">
        <v>800</v>
      </c>
      <c r="B522" s="91" t="s">
        <v>786</v>
      </c>
      <c r="C522" s="91" t="s">
        <v>787</v>
      </c>
      <c r="D522" s="91" t="str">
        <f t="shared" si="8"/>
        <v>Rubaya-Kabale</v>
      </c>
      <c r="F522" s="91">
        <v>429</v>
      </c>
    </row>
    <row r="523" spans="1:6">
      <c r="A523" s="91" t="s">
        <v>801</v>
      </c>
      <c r="B523" s="91" t="s">
        <v>786</v>
      </c>
      <c r="C523" s="91" t="s">
        <v>787</v>
      </c>
      <c r="D523" s="91" t="str">
        <f t="shared" si="8"/>
        <v>Ryakirimira Town Council</v>
      </c>
      <c r="F523" s="91">
        <v>430</v>
      </c>
    </row>
    <row r="524" spans="1:6">
      <c r="A524" s="91" t="s">
        <v>802</v>
      </c>
      <c r="B524" s="91" t="s">
        <v>803</v>
      </c>
      <c r="C524" s="91" t="s">
        <v>804</v>
      </c>
      <c r="D524" s="91" t="str">
        <f t="shared" si="8"/>
        <v>Bukuuku</v>
      </c>
      <c r="F524" s="91">
        <v>431</v>
      </c>
    </row>
    <row r="525" spans="1:6">
      <c r="A525" s="91" t="s">
        <v>805</v>
      </c>
      <c r="B525" s="91" t="s">
        <v>803</v>
      </c>
      <c r="C525" s="91" t="s">
        <v>804</v>
      </c>
      <c r="D525" s="91" t="str">
        <f t="shared" si="8"/>
        <v>Busoro</v>
      </c>
      <c r="F525" s="91">
        <v>432</v>
      </c>
    </row>
    <row r="526" spans="1:6">
      <c r="A526" s="91" t="s">
        <v>806</v>
      </c>
      <c r="B526" s="91" t="s">
        <v>803</v>
      </c>
      <c r="C526" s="91" t="s">
        <v>806</v>
      </c>
      <c r="D526" s="91" t="str">
        <f t="shared" si="8"/>
        <v>Fort Portal Municipality</v>
      </c>
      <c r="F526" s="91">
        <v>433</v>
      </c>
    </row>
    <row r="527" spans="1:6">
      <c r="A527" s="91" t="s">
        <v>807</v>
      </c>
      <c r="D527" s="91" t="str">
        <f t="shared" si="8"/>
        <v>Fortportal</v>
      </c>
      <c r="F527" s="91">
        <v>433</v>
      </c>
    </row>
    <row r="528" spans="1:6">
      <c r="A528" s="91" t="s">
        <v>808</v>
      </c>
      <c r="D528" s="91" t="str">
        <f t="shared" si="8"/>
        <v xml:space="preserve">FORT </v>
      </c>
      <c r="F528" s="91">
        <v>433</v>
      </c>
    </row>
    <row r="529" spans="1:6">
      <c r="A529" s="91" t="s">
        <v>809</v>
      </c>
      <c r="D529" s="91" t="str">
        <f t="shared" si="8"/>
        <v>FORT PORTAL TOWN</v>
      </c>
      <c r="F529" s="91">
        <v>433</v>
      </c>
    </row>
    <row r="530" spans="1:6">
      <c r="A530" s="91" t="s">
        <v>810</v>
      </c>
      <c r="D530" s="91" t="str">
        <f t="shared" si="8"/>
        <v>FORT PORTAL</v>
      </c>
      <c r="F530" s="91">
        <v>433</v>
      </c>
    </row>
    <row r="531" spans="1:6">
      <c r="A531" s="91" t="s">
        <v>811</v>
      </c>
      <c r="B531" s="91" t="s">
        <v>803</v>
      </c>
      <c r="C531" s="91" t="s">
        <v>804</v>
      </c>
      <c r="D531" s="91" t="str">
        <f t="shared" si="8"/>
        <v>Hakibaale</v>
      </c>
      <c r="F531" s="91">
        <v>434</v>
      </c>
    </row>
    <row r="532" spans="1:6">
      <c r="A532" s="91" t="s">
        <v>812</v>
      </c>
      <c r="B532" s="91" t="s">
        <v>803</v>
      </c>
      <c r="C532" s="91" t="s">
        <v>804</v>
      </c>
      <c r="D532" s="91" t="str">
        <f t="shared" si="8"/>
        <v>Karago Town Council</v>
      </c>
      <c r="F532" s="91">
        <v>435</v>
      </c>
    </row>
    <row r="533" spans="1:6">
      <c r="A533" s="91" t="s">
        <v>813</v>
      </c>
      <c r="B533" s="91" t="s">
        <v>803</v>
      </c>
      <c r="C533" s="91" t="s">
        <v>804</v>
      </c>
      <c r="D533" s="91" t="str">
        <f t="shared" si="8"/>
        <v>Karambi-Kabarole</v>
      </c>
      <c r="F533" s="91">
        <v>436</v>
      </c>
    </row>
    <row r="534" spans="1:6">
      <c r="A534" s="91" t="s">
        <v>814</v>
      </c>
      <c r="B534" s="91" t="s">
        <v>803</v>
      </c>
      <c r="C534" s="91" t="s">
        <v>804</v>
      </c>
      <c r="D534" s="91" t="str">
        <f t="shared" si="8"/>
        <v>Karangura</v>
      </c>
      <c r="F534" s="91">
        <v>437</v>
      </c>
    </row>
    <row r="535" spans="1:6">
      <c r="A535" s="91" t="s">
        <v>815</v>
      </c>
      <c r="B535" s="91" t="s">
        <v>803</v>
      </c>
      <c r="C535" s="91" t="s">
        <v>804</v>
      </c>
      <c r="D535" s="91" t="str">
        <f t="shared" si="8"/>
        <v>Kasenda</v>
      </c>
      <c r="F535" s="91">
        <v>438</v>
      </c>
    </row>
    <row r="536" spans="1:6">
      <c r="A536" s="91" t="s">
        <v>816</v>
      </c>
      <c r="B536" s="91" t="s">
        <v>803</v>
      </c>
      <c r="C536" s="91" t="s">
        <v>804</v>
      </c>
      <c r="D536" s="91" t="str">
        <f t="shared" si="8"/>
        <v>Kicwamba</v>
      </c>
      <c r="F536" s="91">
        <v>439</v>
      </c>
    </row>
    <row r="537" spans="1:6">
      <c r="A537" s="91" t="s">
        <v>817</v>
      </c>
      <c r="B537" s="91" t="s">
        <v>803</v>
      </c>
      <c r="C537" s="91" t="s">
        <v>804</v>
      </c>
      <c r="D537" s="91" t="str">
        <f t="shared" si="8"/>
        <v>Kijura Town Council</v>
      </c>
      <c r="F537" s="91">
        <v>440</v>
      </c>
    </row>
    <row r="538" spans="1:6">
      <c r="A538" s="91" t="s">
        <v>818</v>
      </c>
      <c r="B538" s="91" t="s">
        <v>803</v>
      </c>
      <c r="C538" s="91" t="s">
        <v>804</v>
      </c>
      <c r="D538" s="91" t="str">
        <f t="shared" si="8"/>
        <v>Kiko Town Council</v>
      </c>
      <c r="F538" s="91">
        <v>441</v>
      </c>
    </row>
    <row r="539" spans="1:6">
      <c r="A539" s="91" t="s">
        <v>819</v>
      </c>
      <c r="B539" s="91" t="s">
        <v>803</v>
      </c>
      <c r="C539" s="91" t="s">
        <v>804</v>
      </c>
      <c r="D539" s="91" t="str">
        <f t="shared" si="8"/>
        <v>Mugusu</v>
      </c>
      <c r="F539" s="91">
        <v>442</v>
      </c>
    </row>
    <row r="540" spans="1:6">
      <c r="A540" s="91" t="s">
        <v>820</v>
      </c>
      <c r="D540" s="91" t="str">
        <f t="shared" si="8"/>
        <v>Kitojjo</v>
      </c>
      <c r="F540" s="91">
        <v>442</v>
      </c>
    </row>
    <row r="541" spans="1:6">
      <c r="A541" s="91" t="s">
        <v>821</v>
      </c>
      <c r="D541" s="91" t="str">
        <f t="shared" si="8"/>
        <v>Kitojo</v>
      </c>
      <c r="F541" s="91">
        <v>442</v>
      </c>
    </row>
    <row r="542" spans="1:6">
      <c r="A542" s="91" t="s">
        <v>822</v>
      </c>
      <c r="B542" s="91" t="s">
        <v>803</v>
      </c>
      <c r="C542" s="91" t="s">
        <v>804</v>
      </c>
      <c r="D542" s="91" t="str">
        <f t="shared" si="8"/>
        <v>Mugusu Town Council</v>
      </c>
      <c r="F542" s="91">
        <v>443</v>
      </c>
    </row>
    <row r="543" spans="1:6">
      <c r="A543" s="91" t="s">
        <v>823</v>
      </c>
      <c r="B543" s="91" t="s">
        <v>803</v>
      </c>
      <c r="C543" s="91" t="s">
        <v>804</v>
      </c>
      <c r="D543" s="91" t="str">
        <f t="shared" si="8"/>
        <v>Ruteete-Kabarole</v>
      </c>
      <c r="F543" s="91">
        <v>444</v>
      </c>
    </row>
    <row r="544" spans="1:6">
      <c r="A544" s="91" t="s">
        <v>824</v>
      </c>
      <c r="B544" s="91" t="s">
        <v>825</v>
      </c>
      <c r="C544" s="91" t="s">
        <v>825</v>
      </c>
      <c r="D544" s="91" t="str">
        <f t="shared" si="8"/>
        <v>Alwa</v>
      </c>
      <c r="F544" s="91">
        <v>445</v>
      </c>
    </row>
    <row r="545" spans="1:6">
      <c r="A545" s="91" t="s">
        <v>826</v>
      </c>
      <c r="B545" s="91" t="s">
        <v>825</v>
      </c>
      <c r="C545" s="91" t="s">
        <v>827</v>
      </c>
      <c r="D545" s="91" t="str">
        <f t="shared" si="8"/>
        <v>Anyara</v>
      </c>
      <c r="F545" s="91">
        <v>446</v>
      </c>
    </row>
    <row r="546" spans="1:6">
      <c r="A546" s="91" t="s">
        <v>828</v>
      </c>
      <c r="B546" s="91" t="s">
        <v>825</v>
      </c>
      <c r="C546" s="91" t="s">
        <v>827</v>
      </c>
      <c r="D546" s="91" t="str">
        <f t="shared" si="8"/>
        <v>Apapai</v>
      </c>
      <c r="F546" s="91">
        <v>447</v>
      </c>
    </row>
    <row r="547" spans="1:6">
      <c r="A547" s="91" t="s">
        <v>829</v>
      </c>
      <c r="B547" s="91" t="s">
        <v>825</v>
      </c>
      <c r="C547" s="91" t="s">
        <v>825</v>
      </c>
      <c r="D547" s="91" t="str">
        <f t="shared" si="8"/>
        <v>Aperkira</v>
      </c>
      <c r="F547" s="91">
        <v>448</v>
      </c>
    </row>
    <row r="548" spans="1:6">
      <c r="A548" s="91" t="s">
        <v>830</v>
      </c>
      <c r="B548" s="91" t="s">
        <v>825</v>
      </c>
      <c r="C548" s="91" t="s">
        <v>827</v>
      </c>
      <c r="D548" s="91" t="str">
        <f t="shared" si="8"/>
        <v>Bululu</v>
      </c>
      <c r="F548" s="91">
        <v>449</v>
      </c>
    </row>
    <row r="549" spans="1:6">
      <c r="A549" s="91" t="s">
        <v>825</v>
      </c>
      <c r="B549" s="91" t="s">
        <v>825</v>
      </c>
      <c r="C549" s="91" t="s">
        <v>825</v>
      </c>
      <c r="D549" s="91" t="str">
        <f t="shared" si="8"/>
        <v>Kaberamaido</v>
      </c>
      <c r="F549" s="91">
        <v>450</v>
      </c>
    </row>
    <row r="550" spans="1:6">
      <c r="A550" s="91" t="s">
        <v>831</v>
      </c>
      <c r="B550" s="91" t="s">
        <v>825</v>
      </c>
      <c r="C550" s="91" t="s">
        <v>825</v>
      </c>
      <c r="D550" s="91" t="str">
        <f t="shared" si="8"/>
        <v>Kaberamaido Town Council</v>
      </c>
      <c r="F550" s="91">
        <v>451</v>
      </c>
    </row>
    <row r="551" spans="1:6">
      <c r="A551" s="91" t="s">
        <v>832</v>
      </c>
      <c r="B551" s="91" t="s">
        <v>825</v>
      </c>
      <c r="C551" s="91" t="s">
        <v>827</v>
      </c>
      <c r="D551" s="91" t="str">
        <f t="shared" si="8"/>
        <v>Kakure</v>
      </c>
      <c r="F551" s="91">
        <v>452</v>
      </c>
    </row>
    <row r="552" spans="1:6">
      <c r="A552" s="91" t="s">
        <v>827</v>
      </c>
      <c r="B552" s="91" t="s">
        <v>825</v>
      </c>
      <c r="C552" s="91" t="s">
        <v>827</v>
      </c>
      <c r="D552" s="91" t="str">
        <f t="shared" si="8"/>
        <v>Kalaki</v>
      </c>
      <c r="F552" s="91">
        <v>453</v>
      </c>
    </row>
    <row r="553" spans="1:6">
      <c r="A553" s="91" t="s">
        <v>833</v>
      </c>
      <c r="B553" s="91" t="s">
        <v>825</v>
      </c>
      <c r="C553" s="91" t="s">
        <v>825</v>
      </c>
      <c r="D553" s="91" t="str">
        <f t="shared" si="8"/>
        <v>Kobulubulu</v>
      </c>
      <c r="F553" s="91">
        <v>454</v>
      </c>
    </row>
    <row r="554" spans="1:6">
      <c r="A554" s="91" t="s">
        <v>834</v>
      </c>
      <c r="B554" s="91" t="s">
        <v>825</v>
      </c>
      <c r="C554" s="91" t="s">
        <v>825</v>
      </c>
      <c r="D554" s="91" t="str">
        <f t="shared" si="8"/>
        <v>Ochero</v>
      </c>
      <c r="F554" s="91">
        <v>455</v>
      </c>
    </row>
    <row r="555" spans="1:6">
      <c r="A555" s="91" t="s">
        <v>835</v>
      </c>
      <c r="B555" s="91" t="s">
        <v>825</v>
      </c>
      <c r="C555" s="91" t="s">
        <v>827</v>
      </c>
      <c r="D555" s="91" t="str">
        <f t="shared" si="8"/>
        <v>Otuboi</v>
      </c>
      <c r="F555" s="91">
        <v>456</v>
      </c>
    </row>
    <row r="556" spans="1:6">
      <c r="A556" s="91" t="s">
        <v>836</v>
      </c>
      <c r="B556" s="91" t="s">
        <v>837</v>
      </c>
      <c r="C556" s="91" t="s">
        <v>838</v>
      </c>
      <c r="D556" s="91" t="str">
        <f t="shared" si="8"/>
        <v>Burora</v>
      </c>
      <c r="F556" s="91">
        <v>457</v>
      </c>
    </row>
    <row r="557" spans="1:6">
      <c r="A557" s="91" t="s">
        <v>839</v>
      </c>
      <c r="B557" s="91" t="s">
        <v>837</v>
      </c>
      <c r="C557" s="91" t="s">
        <v>838</v>
      </c>
      <c r="D557" s="91" t="str">
        <f t="shared" si="8"/>
        <v>Bwikara</v>
      </c>
      <c r="F557" s="91">
        <v>458</v>
      </c>
    </row>
    <row r="558" spans="1:6">
      <c r="A558" s="91" t="s">
        <v>840</v>
      </c>
      <c r="B558" s="91" t="s">
        <v>837</v>
      </c>
      <c r="C558" s="91" t="s">
        <v>838</v>
      </c>
      <c r="D558" s="91" t="str">
        <f t="shared" si="8"/>
        <v>Kabamba</v>
      </c>
      <c r="F558" s="91">
        <v>459</v>
      </c>
    </row>
    <row r="559" spans="1:6">
      <c r="A559" s="91" t="s">
        <v>837</v>
      </c>
      <c r="B559" s="91" t="s">
        <v>837</v>
      </c>
      <c r="C559" s="91" t="s">
        <v>838</v>
      </c>
      <c r="D559" s="91" t="str">
        <f t="shared" si="8"/>
        <v>Kagadi</v>
      </c>
      <c r="F559" s="91">
        <v>460</v>
      </c>
    </row>
    <row r="560" spans="1:6">
      <c r="A560" s="91" t="s">
        <v>841</v>
      </c>
      <c r="B560" s="91" t="s">
        <v>837</v>
      </c>
      <c r="C560" s="91" t="s">
        <v>838</v>
      </c>
      <c r="D560" s="91" t="str">
        <f t="shared" si="8"/>
        <v>Kagadi Town Council</v>
      </c>
      <c r="F560" s="91">
        <v>461</v>
      </c>
    </row>
    <row r="561" spans="1:6">
      <c r="A561" s="91" t="s">
        <v>842</v>
      </c>
      <c r="B561" s="91" t="s">
        <v>837</v>
      </c>
      <c r="C561" s="91" t="s">
        <v>838</v>
      </c>
      <c r="D561" s="91" t="str">
        <f t="shared" si="8"/>
        <v>Kiryanga</v>
      </c>
      <c r="F561" s="91">
        <v>462</v>
      </c>
    </row>
    <row r="562" spans="1:6">
      <c r="A562" s="91" t="s">
        <v>843</v>
      </c>
      <c r="B562" s="91" t="s">
        <v>837</v>
      </c>
      <c r="C562" s="91" t="s">
        <v>838</v>
      </c>
      <c r="D562" s="91" t="str">
        <f t="shared" si="8"/>
        <v>Kyakabadiima</v>
      </c>
      <c r="F562" s="91">
        <v>463</v>
      </c>
    </row>
    <row r="563" spans="1:6">
      <c r="A563" s="91" t="s">
        <v>844</v>
      </c>
      <c r="B563" s="91" t="s">
        <v>837</v>
      </c>
      <c r="C563" s="91" t="s">
        <v>838</v>
      </c>
      <c r="D563" s="91" t="str">
        <f t="shared" si="8"/>
        <v>Kyanaisoke</v>
      </c>
      <c r="F563" s="91">
        <v>464</v>
      </c>
    </row>
    <row r="564" spans="1:6">
      <c r="A564" s="91" t="s">
        <v>845</v>
      </c>
      <c r="B564" s="91" t="s">
        <v>837</v>
      </c>
      <c r="C564" s="91" t="s">
        <v>838</v>
      </c>
      <c r="D564" s="91" t="str">
        <f t="shared" si="8"/>
        <v>Kyaterekera</v>
      </c>
      <c r="F564" s="91">
        <v>465</v>
      </c>
    </row>
    <row r="565" spans="1:6">
      <c r="A565" s="91" t="s">
        <v>846</v>
      </c>
      <c r="B565" s="91" t="s">
        <v>837</v>
      </c>
      <c r="C565" s="91" t="s">
        <v>838</v>
      </c>
      <c r="D565" s="91" t="str">
        <f t="shared" si="8"/>
        <v>Kyenzige</v>
      </c>
      <c r="F565" s="91">
        <v>466</v>
      </c>
    </row>
    <row r="566" spans="1:6">
      <c r="A566" s="91" t="s">
        <v>847</v>
      </c>
      <c r="B566" s="91" t="s">
        <v>837</v>
      </c>
      <c r="C566" s="91" t="s">
        <v>838</v>
      </c>
      <c r="D566" s="91" t="str">
        <f t="shared" si="8"/>
        <v>Mabaale</v>
      </c>
      <c r="F566" s="91">
        <v>467</v>
      </c>
    </row>
    <row r="567" spans="1:6">
      <c r="A567" s="91" t="s">
        <v>848</v>
      </c>
      <c r="B567" s="91" t="s">
        <v>837</v>
      </c>
      <c r="C567" s="91" t="s">
        <v>838</v>
      </c>
      <c r="D567" s="91" t="str">
        <f t="shared" si="8"/>
        <v>Mpeefu</v>
      </c>
      <c r="F567" s="91">
        <v>468</v>
      </c>
    </row>
    <row r="568" spans="1:6">
      <c r="A568" s="91" t="s">
        <v>849</v>
      </c>
      <c r="B568" s="91" t="s">
        <v>837</v>
      </c>
      <c r="C568" s="91" t="s">
        <v>838</v>
      </c>
      <c r="D568" s="91" t="str">
        <f t="shared" si="8"/>
        <v>Muhorro</v>
      </c>
      <c r="F568" s="91">
        <v>469</v>
      </c>
    </row>
    <row r="569" spans="1:6">
      <c r="A569" s="91" t="s">
        <v>850</v>
      </c>
      <c r="B569" s="91" t="s">
        <v>837</v>
      </c>
      <c r="C569" s="91" t="s">
        <v>838</v>
      </c>
      <c r="D569" s="91" t="str">
        <f t="shared" si="8"/>
        <v>Muhorro Town Council</v>
      </c>
      <c r="F569" s="91">
        <v>470</v>
      </c>
    </row>
    <row r="570" spans="1:6">
      <c r="A570" s="91" t="s">
        <v>851</v>
      </c>
      <c r="B570" s="91" t="s">
        <v>837</v>
      </c>
      <c r="C570" s="91" t="s">
        <v>838</v>
      </c>
      <c r="D570" s="91" t="str">
        <f t="shared" si="8"/>
        <v>Ndaiga</v>
      </c>
      <c r="F570" s="91">
        <v>471</v>
      </c>
    </row>
    <row r="571" spans="1:6">
      <c r="A571" s="91" t="s">
        <v>852</v>
      </c>
      <c r="B571" s="91" t="s">
        <v>837</v>
      </c>
      <c r="C571" s="91" t="s">
        <v>838</v>
      </c>
      <c r="D571" s="91" t="str">
        <f t="shared" si="8"/>
        <v>Paacwa</v>
      </c>
      <c r="F571" s="91">
        <v>472</v>
      </c>
    </row>
    <row r="572" spans="1:6">
      <c r="A572" s="91" t="s">
        <v>853</v>
      </c>
      <c r="B572" s="91" t="s">
        <v>837</v>
      </c>
      <c r="C572" s="91" t="s">
        <v>838</v>
      </c>
      <c r="D572" s="91" t="str">
        <f t="shared" si="8"/>
        <v>Rugashari</v>
      </c>
      <c r="F572" s="91">
        <v>473</v>
      </c>
    </row>
    <row r="573" spans="1:6">
      <c r="A573" s="91" t="s">
        <v>854</v>
      </c>
      <c r="B573" s="91" t="s">
        <v>837</v>
      </c>
      <c r="C573" s="91" t="s">
        <v>838</v>
      </c>
      <c r="D573" s="91" t="str">
        <f t="shared" si="8"/>
        <v>Ruteete-Kagadi</v>
      </c>
      <c r="F573" s="91">
        <v>474</v>
      </c>
    </row>
    <row r="574" spans="1:6">
      <c r="A574" s="91" t="s">
        <v>855</v>
      </c>
      <c r="B574" s="91" t="s">
        <v>856</v>
      </c>
      <c r="C574" s="91" t="s">
        <v>857</v>
      </c>
      <c r="D574" s="91" t="str">
        <f t="shared" si="8"/>
        <v>Birembo</v>
      </c>
      <c r="F574" s="91">
        <v>475</v>
      </c>
    </row>
    <row r="575" spans="1:6">
      <c r="A575" s="91" t="s">
        <v>858</v>
      </c>
      <c r="B575" s="91" t="s">
        <v>856</v>
      </c>
      <c r="C575" s="91" t="s">
        <v>857</v>
      </c>
      <c r="D575" s="91" t="str">
        <f t="shared" si="8"/>
        <v>Bwanswa</v>
      </c>
      <c r="F575" s="91">
        <v>476</v>
      </c>
    </row>
    <row r="576" spans="1:6">
      <c r="A576" s="91" t="s">
        <v>859</v>
      </c>
      <c r="B576" s="91" t="s">
        <v>856</v>
      </c>
      <c r="C576" s="91" t="s">
        <v>857</v>
      </c>
      <c r="D576" s="91" t="str">
        <f t="shared" si="8"/>
        <v>Kakindo</v>
      </c>
      <c r="F576" s="91">
        <v>477</v>
      </c>
    </row>
    <row r="577" spans="1:6">
      <c r="A577" s="91" t="s">
        <v>860</v>
      </c>
      <c r="B577" s="91" t="s">
        <v>856</v>
      </c>
      <c r="C577" s="91" t="s">
        <v>857</v>
      </c>
      <c r="D577" s="91" t="str">
        <f t="shared" si="8"/>
        <v>Kakumiro Town Council</v>
      </c>
      <c r="F577" s="91">
        <v>478</v>
      </c>
    </row>
    <row r="578" spans="1:6">
      <c r="A578" s="91" t="s">
        <v>861</v>
      </c>
      <c r="D578" s="91" t="str">
        <f t="shared" si="8"/>
        <v>KAKUMIRO TOWN</v>
      </c>
      <c r="F578" s="91">
        <v>478</v>
      </c>
    </row>
    <row r="579" spans="1:6">
      <c r="A579" s="91" t="s">
        <v>862</v>
      </c>
      <c r="B579" s="91" t="s">
        <v>856</v>
      </c>
      <c r="C579" s="91" t="s">
        <v>857</v>
      </c>
      <c r="D579" s="91" t="str">
        <f t="shared" ref="D579:D642" si="9">A579</f>
        <v>Kasambya-Kakumiro</v>
      </c>
      <c r="F579" s="91">
        <v>479</v>
      </c>
    </row>
    <row r="580" spans="1:6">
      <c r="A580" s="91" t="s">
        <v>863</v>
      </c>
      <c r="B580" s="91" t="s">
        <v>856</v>
      </c>
      <c r="C580" s="91" t="s">
        <v>857</v>
      </c>
      <c r="D580" s="91" t="str">
        <f t="shared" si="9"/>
        <v>Kikwaya</v>
      </c>
      <c r="F580" s="91">
        <v>480</v>
      </c>
    </row>
    <row r="581" spans="1:6">
      <c r="A581" s="91" t="s">
        <v>864</v>
      </c>
      <c r="B581" s="91" t="s">
        <v>856</v>
      </c>
      <c r="C581" s="91" t="s">
        <v>857</v>
      </c>
      <c r="D581" s="91" t="str">
        <f t="shared" si="9"/>
        <v>Kisiita</v>
      </c>
      <c r="F581" s="91">
        <v>481</v>
      </c>
    </row>
    <row r="582" spans="1:6">
      <c r="A582" s="91" t="s">
        <v>865</v>
      </c>
      <c r="B582" s="91" t="s">
        <v>856</v>
      </c>
      <c r="C582" s="91" t="s">
        <v>857</v>
      </c>
      <c r="D582" s="91" t="str">
        <f t="shared" si="9"/>
        <v>Kitaihuka</v>
      </c>
      <c r="F582" s="91">
        <v>482</v>
      </c>
    </row>
    <row r="583" spans="1:6">
      <c r="A583" s="91" t="s">
        <v>866</v>
      </c>
      <c r="B583" s="91" t="s">
        <v>856</v>
      </c>
      <c r="C583" s="91" t="s">
        <v>857</v>
      </c>
      <c r="D583" s="91" t="str">
        <f t="shared" si="9"/>
        <v>Mpasaana</v>
      </c>
      <c r="F583" s="91">
        <v>483</v>
      </c>
    </row>
    <row r="584" spans="1:6">
      <c r="A584" s="91" t="s">
        <v>867</v>
      </c>
      <c r="B584" s="91" t="s">
        <v>856</v>
      </c>
      <c r="C584" s="91" t="s">
        <v>857</v>
      </c>
      <c r="D584" s="91" t="str">
        <f t="shared" si="9"/>
        <v>Nalweyo</v>
      </c>
      <c r="F584" s="91">
        <v>484</v>
      </c>
    </row>
    <row r="585" spans="1:6">
      <c r="A585" s="91" t="s">
        <v>868</v>
      </c>
      <c r="B585" s="91" t="s">
        <v>856</v>
      </c>
      <c r="C585" s="91" t="s">
        <v>857</v>
      </c>
      <c r="D585" s="91" t="str">
        <f t="shared" si="9"/>
        <v>Nkooko</v>
      </c>
      <c r="F585" s="91">
        <v>485</v>
      </c>
    </row>
    <row r="586" spans="1:6">
      <c r="A586" s="91" t="s">
        <v>869</v>
      </c>
      <c r="B586" s="91" t="s">
        <v>870</v>
      </c>
      <c r="C586" s="91" t="s">
        <v>871</v>
      </c>
      <c r="D586" s="91" t="str">
        <f t="shared" si="9"/>
        <v>Bubeke</v>
      </c>
      <c r="F586" s="91">
        <v>486</v>
      </c>
    </row>
    <row r="587" spans="1:6">
      <c r="A587" s="91" t="s">
        <v>872</v>
      </c>
      <c r="B587" s="91" t="s">
        <v>870</v>
      </c>
      <c r="C587" s="91" t="s">
        <v>871</v>
      </c>
      <c r="D587" s="91" t="str">
        <f t="shared" si="9"/>
        <v>Bufumira</v>
      </c>
      <c r="F587" s="91">
        <v>487</v>
      </c>
    </row>
    <row r="588" spans="1:6">
      <c r="A588" s="91" t="s">
        <v>873</v>
      </c>
      <c r="B588" s="91" t="s">
        <v>870</v>
      </c>
      <c r="C588" s="91" t="s">
        <v>873</v>
      </c>
      <c r="D588" s="91" t="str">
        <f t="shared" si="9"/>
        <v>Bujumba</v>
      </c>
      <c r="F588" s="91">
        <v>488</v>
      </c>
    </row>
    <row r="589" spans="1:6">
      <c r="A589" s="91" t="s">
        <v>874</v>
      </c>
      <c r="B589" s="91" t="s">
        <v>870</v>
      </c>
      <c r="C589" s="91" t="s">
        <v>873</v>
      </c>
      <c r="D589" s="91" t="str">
        <f t="shared" si="9"/>
        <v>Kalangala Town Council</v>
      </c>
      <c r="F589" s="91">
        <v>489</v>
      </c>
    </row>
    <row r="590" spans="1:6">
      <c r="A590" s="91" t="s">
        <v>871</v>
      </c>
      <c r="B590" s="91" t="s">
        <v>870</v>
      </c>
      <c r="C590" s="91" t="s">
        <v>871</v>
      </c>
      <c r="D590" s="91" t="str">
        <f t="shared" si="9"/>
        <v>Kyamuswa</v>
      </c>
      <c r="F590" s="91">
        <v>490</v>
      </c>
    </row>
    <row r="591" spans="1:6">
      <c r="A591" s="91" t="s">
        <v>875</v>
      </c>
      <c r="B591" s="91" t="s">
        <v>870</v>
      </c>
      <c r="C591" s="91" t="s">
        <v>871</v>
      </c>
      <c r="D591" s="91" t="str">
        <f t="shared" si="9"/>
        <v>Mazinga</v>
      </c>
      <c r="F591" s="91">
        <v>491</v>
      </c>
    </row>
    <row r="592" spans="1:6">
      <c r="A592" s="91" t="s">
        <v>876</v>
      </c>
      <c r="B592" s="91" t="s">
        <v>870</v>
      </c>
      <c r="C592" s="91" t="s">
        <v>873</v>
      </c>
      <c r="D592" s="91" t="str">
        <f t="shared" si="9"/>
        <v>Mugoye</v>
      </c>
      <c r="F592" s="91">
        <v>492</v>
      </c>
    </row>
    <row r="593" spans="1:6">
      <c r="A593" s="91" t="s">
        <v>877</v>
      </c>
      <c r="B593" s="91" t="s">
        <v>878</v>
      </c>
      <c r="C593" s="91" t="s">
        <v>687</v>
      </c>
      <c r="D593" s="91" t="str">
        <f t="shared" si="9"/>
        <v>Budomero</v>
      </c>
      <c r="F593" s="91">
        <v>493</v>
      </c>
    </row>
    <row r="594" spans="1:6">
      <c r="A594" s="91" t="s">
        <v>879</v>
      </c>
      <c r="B594" s="91" t="s">
        <v>878</v>
      </c>
      <c r="C594" s="91" t="s">
        <v>687</v>
      </c>
      <c r="D594" s="91" t="str">
        <f t="shared" si="9"/>
        <v>Bukamba</v>
      </c>
      <c r="F594" s="91">
        <v>494</v>
      </c>
    </row>
    <row r="595" spans="1:6">
      <c r="A595" s="91" t="s">
        <v>880</v>
      </c>
      <c r="B595" s="91" t="s">
        <v>878</v>
      </c>
      <c r="C595" s="91" t="s">
        <v>687</v>
      </c>
      <c r="D595" s="91" t="str">
        <f t="shared" si="9"/>
        <v>Bumanya</v>
      </c>
      <c r="F595" s="91">
        <v>495</v>
      </c>
    </row>
    <row r="596" spans="1:6">
      <c r="A596" s="91" t="s">
        <v>881</v>
      </c>
      <c r="B596" s="91" t="s">
        <v>878</v>
      </c>
      <c r="C596" s="91" t="s">
        <v>687</v>
      </c>
      <c r="D596" s="91" t="str">
        <f t="shared" si="9"/>
        <v>Buyinda</v>
      </c>
      <c r="F596" s="91">
        <v>496</v>
      </c>
    </row>
    <row r="597" spans="1:6">
      <c r="A597" s="91" t="s">
        <v>882</v>
      </c>
      <c r="B597" s="91" t="s">
        <v>878</v>
      </c>
      <c r="C597" s="91" t="s">
        <v>687</v>
      </c>
      <c r="D597" s="91" t="str">
        <f t="shared" si="9"/>
        <v>Gadumire</v>
      </c>
      <c r="F597" s="91">
        <v>497</v>
      </c>
    </row>
    <row r="598" spans="1:6">
      <c r="A598" s="91" t="s">
        <v>883</v>
      </c>
      <c r="B598" s="91" t="s">
        <v>878</v>
      </c>
      <c r="C598" s="91" t="s">
        <v>687</v>
      </c>
      <c r="D598" s="91" t="str">
        <f t="shared" si="9"/>
        <v>Kaliro Town Council</v>
      </c>
      <c r="F598" s="91">
        <v>498</v>
      </c>
    </row>
    <row r="599" spans="1:6">
      <c r="A599" s="91" t="s">
        <v>884</v>
      </c>
      <c r="D599" s="91" t="str">
        <f t="shared" si="9"/>
        <v>KALIRO TOWN</v>
      </c>
      <c r="F599" s="91">
        <v>498</v>
      </c>
    </row>
    <row r="600" spans="1:6">
      <c r="A600" s="91" t="s">
        <v>885</v>
      </c>
      <c r="B600" s="91" t="s">
        <v>878</v>
      </c>
      <c r="C600" s="91" t="s">
        <v>687</v>
      </c>
      <c r="D600" s="91" t="str">
        <f t="shared" si="9"/>
        <v>Kasokwe</v>
      </c>
      <c r="F600" s="91">
        <v>499</v>
      </c>
    </row>
    <row r="601" spans="1:6">
      <c r="A601" s="91" t="s">
        <v>886</v>
      </c>
      <c r="B601" s="91" t="s">
        <v>878</v>
      </c>
      <c r="C601" s="91" t="s">
        <v>687</v>
      </c>
      <c r="D601" s="91" t="str">
        <f t="shared" si="9"/>
        <v>Kisinda</v>
      </c>
      <c r="F601" s="91">
        <v>500</v>
      </c>
    </row>
    <row r="602" spans="1:6">
      <c r="A602" s="91" t="s">
        <v>887</v>
      </c>
      <c r="B602" s="91" t="s">
        <v>878</v>
      </c>
      <c r="C602" s="91" t="s">
        <v>687</v>
      </c>
      <c r="D602" s="91" t="str">
        <f t="shared" si="9"/>
        <v>Namugongo-Kaliro</v>
      </c>
      <c r="F602" s="91">
        <v>501</v>
      </c>
    </row>
    <row r="603" spans="1:6">
      <c r="A603" s="91" t="s">
        <v>888</v>
      </c>
      <c r="B603" s="91" t="s">
        <v>878</v>
      </c>
      <c r="C603" s="91" t="s">
        <v>687</v>
      </c>
      <c r="D603" s="91" t="str">
        <f t="shared" si="9"/>
        <v>Namwiwa</v>
      </c>
      <c r="F603" s="91">
        <v>502</v>
      </c>
    </row>
    <row r="604" spans="1:6">
      <c r="A604" s="91" t="s">
        <v>889</v>
      </c>
      <c r="B604" s="91" t="s">
        <v>878</v>
      </c>
      <c r="C604" s="91" t="s">
        <v>687</v>
      </c>
      <c r="D604" s="91" t="str">
        <f t="shared" si="9"/>
        <v>Nansololo</v>
      </c>
      <c r="F604" s="91">
        <v>503</v>
      </c>
    </row>
    <row r="605" spans="1:6">
      <c r="A605" s="91" t="s">
        <v>890</v>
      </c>
      <c r="B605" s="91" t="s">
        <v>878</v>
      </c>
      <c r="C605" s="91" t="s">
        <v>687</v>
      </c>
      <c r="D605" s="91" t="str">
        <f t="shared" si="9"/>
        <v>Nawaikoke</v>
      </c>
      <c r="F605" s="91">
        <v>504</v>
      </c>
    </row>
    <row r="606" spans="1:6">
      <c r="A606" s="91" t="s">
        <v>891</v>
      </c>
      <c r="B606" s="91" t="s">
        <v>892</v>
      </c>
      <c r="C606" s="91" t="s">
        <v>892</v>
      </c>
      <c r="D606" s="91" t="str">
        <f t="shared" si="9"/>
        <v>Bukulula</v>
      </c>
      <c r="F606" s="91">
        <v>505</v>
      </c>
    </row>
    <row r="607" spans="1:6">
      <c r="A607" s="91" t="s">
        <v>892</v>
      </c>
      <c r="B607" s="91" t="s">
        <v>892</v>
      </c>
      <c r="C607" s="91" t="s">
        <v>892</v>
      </c>
      <c r="D607" s="91" t="str">
        <f t="shared" si="9"/>
        <v>Kalungu</v>
      </c>
      <c r="F607" s="91">
        <v>506</v>
      </c>
    </row>
    <row r="608" spans="1:6">
      <c r="A608" s="91" t="s">
        <v>893</v>
      </c>
      <c r="B608" s="91" t="s">
        <v>892</v>
      </c>
      <c r="C608" s="91" t="s">
        <v>892</v>
      </c>
      <c r="D608" s="91" t="str">
        <f t="shared" si="9"/>
        <v>Kalungu Town Council</v>
      </c>
      <c r="F608" s="91">
        <v>507</v>
      </c>
    </row>
    <row r="609" spans="1:6">
      <c r="A609" s="91" t="s">
        <v>894</v>
      </c>
      <c r="B609" s="91" t="s">
        <v>892</v>
      </c>
      <c r="C609" s="91" t="s">
        <v>892</v>
      </c>
      <c r="D609" s="91" t="str">
        <f t="shared" si="9"/>
        <v>Kyamulibwa</v>
      </c>
      <c r="F609" s="91">
        <v>508</v>
      </c>
    </row>
    <row r="610" spans="1:6">
      <c r="A610" s="91" t="s">
        <v>895</v>
      </c>
      <c r="B610" s="91" t="s">
        <v>892</v>
      </c>
      <c r="C610" s="91" t="s">
        <v>892</v>
      </c>
      <c r="D610" s="91" t="str">
        <f t="shared" si="9"/>
        <v>Kyamulibwa Town Council</v>
      </c>
      <c r="F610" s="91">
        <v>509</v>
      </c>
    </row>
    <row r="611" spans="1:6">
      <c r="A611" s="91" t="s">
        <v>896</v>
      </c>
      <c r="B611" s="91" t="s">
        <v>892</v>
      </c>
      <c r="C611" s="91" t="s">
        <v>892</v>
      </c>
      <c r="D611" s="91" t="str">
        <f t="shared" si="9"/>
        <v>Lukaya Town Council</v>
      </c>
      <c r="F611" s="91">
        <v>510</v>
      </c>
    </row>
    <row r="612" spans="1:6">
      <c r="A612" s="91" t="s">
        <v>897</v>
      </c>
      <c r="B612" s="91" t="s">
        <v>892</v>
      </c>
      <c r="C612" s="91" t="s">
        <v>892</v>
      </c>
      <c r="D612" s="91" t="str">
        <f t="shared" si="9"/>
        <v>Lwabenge</v>
      </c>
      <c r="F612" s="91">
        <v>511</v>
      </c>
    </row>
    <row r="613" spans="1:6">
      <c r="A613" s="91" t="s">
        <v>898</v>
      </c>
      <c r="B613" s="91" t="s">
        <v>183</v>
      </c>
      <c r="C613" s="91" t="s">
        <v>899</v>
      </c>
      <c r="D613" s="91" t="str">
        <f t="shared" si="9"/>
        <v>Banda</v>
      </c>
      <c r="E613" s="91" t="str">
        <f t="shared" ref="E613:E1056" si="10">A613</f>
        <v>Banda</v>
      </c>
      <c r="F613" s="91">
        <v>512</v>
      </c>
    </row>
    <row r="614" spans="1:6">
      <c r="A614" s="91" t="s">
        <v>216</v>
      </c>
      <c r="B614" s="91" t="s">
        <v>183</v>
      </c>
      <c r="C614" s="91" t="s">
        <v>899</v>
      </c>
      <c r="D614" s="91" t="str">
        <f t="shared" si="9"/>
        <v>Bugolobi</v>
      </c>
      <c r="E614" s="91" t="str">
        <f t="shared" si="10"/>
        <v>Bugolobi</v>
      </c>
      <c r="F614" s="91">
        <v>513</v>
      </c>
    </row>
    <row r="615" spans="1:6">
      <c r="A615" s="91" t="s">
        <v>901</v>
      </c>
      <c r="D615" s="91" t="str">
        <f t="shared" si="9"/>
        <v>Namuwonge</v>
      </c>
      <c r="F615" s="91">
        <v>513</v>
      </c>
    </row>
    <row r="616" spans="1:6">
      <c r="A616" s="91" t="s">
        <v>902</v>
      </c>
      <c r="D616" s="91" t="str">
        <f t="shared" si="9"/>
        <v>Village mall</v>
      </c>
      <c r="F616" s="91">
        <v>513</v>
      </c>
    </row>
    <row r="617" spans="1:6">
      <c r="A617" s="91" t="s">
        <v>903</v>
      </c>
      <c r="D617" s="91" t="str">
        <f t="shared" si="9"/>
        <v>VILLAGE MLL</v>
      </c>
      <c r="F617" s="91">
        <v>513</v>
      </c>
    </row>
    <row r="618" spans="1:6">
      <c r="A618" s="91" t="s">
        <v>904</v>
      </c>
      <c r="D618" s="91" t="str">
        <f t="shared" si="9"/>
        <v>Namuwongo</v>
      </c>
      <c r="F618" s="91">
        <v>513</v>
      </c>
    </row>
    <row r="619" spans="1:6">
      <c r="A619" s="91" t="s">
        <v>905</v>
      </c>
      <c r="D619" s="91" t="str">
        <f t="shared" si="9"/>
        <v>WABIGOLO</v>
      </c>
      <c r="F619" s="91">
        <v>513</v>
      </c>
    </row>
    <row r="620" spans="1:6">
      <c r="A620" s="91" t="s">
        <v>906</v>
      </c>
      <c r="D620" s="91" t="str">
        <f t="shared" si="9"/>
        <v>IHK</v>
      </c>
      <c r="F620" s="91">
        <v>513</v>
      </c>
    </row>
    <row r="621" spans="1:6">
      <c r="A621" s="91" t="s">
        <v>907</v>
      </c>
      <c r="D621" s="91" t="str">
        <f t="shared" si="9"/>
        <v>Tanka</v>
      </c>
      <c r="F621" s="91">
        <v>513</v>
      </c>
    </row>
    <row r="622" spans="1:6">
      <c r="A622" s="91" t="s">
        <v>202</v>
      </c>
      <c r="B622" s="91" t="s">
        <v>183</v>
      </c>
      <c r="C622" s="91" t="s">
        <v>899</v>
      </c>
      <c r="D622" s="91" t="str">
        <f t="shared" si="9"/>
        <v>Bukasa</v>
      </c>
      <c r="E622" s="91" t="str">
        <f t="shared" si="10"/>
        <v>Bukasa</v>
      </c>
      <c r="F622" s="91">
        <v>514</v>
      </c>
    </row>
    <row r="623" spans="1:6">
      <c r="A623" s="91" t="s">
        <v>909</v>
      </c>
      <c r="D623" s="91" t="str">
        <f t="shared" si="9"/>
        <v>NAKABUGO</v>
      </c>
      <c r="F623" s="91">
        <v>514</v>
      </c>
    </row>
    <row r="624" spans="1:6">
      <c r="A624" s="91" t="s">
        <v>910</v>
      </c>
      <c r="B624" s="91" t="s">
        <v>183</v>
      </c>
      <c r="C624" s="91" t="s">
        <v>899</v>
      </c>
      <c r="D624" s="91" t="str">
        <f t="shared" si="9"/>
        <v>Bukesa</v>
      </c>
      <c r="E624" s="91" t="str">
        <f t="shared" si="10"/>
        <v>Bukesa</v>
      </c>
      <c r="F624" s="91">
        <v>515</v>
      </c>
    </row>
    <row r="625" spans="1:6">
      <c r="A625" s="91" t="s">
        <v>23</v>
      </c>
      <c r="B625" s="91" t="s">
        <v>183</v>
      </c>
      <c r="C625" s="91" t="s">
        <v>899</v>
      </c>
      <c r="D625" s="91" t="str">
        <f t="shared" si="9"/>
        <v>Bukoto</v>
      </c>
      <c r="E625" s="91" t="str">
        <f t="shared" si="10"/>
        <v>Bukoto</v>
      </c>
      <c r="F625" s="91">
        <v>516</v>
      </c>
    </row>
    <row r="626" spans="1:6">
      <c r="A626" s="91" t="s">
        <v>912</v>
      </c>
      <c r="D626" s="91" t="str">
        <f t="shared" si="9"/>
        <v>KABIRA C.C</v>
      </c>
      <c r="F626" s="91">
        <v>516</v>
      </c>
    </row>
    <row r="627" spans="1:6">
      <c r="A627" s="91" t="s">
        <v>913</v>
      </c>
      <c r="D627" s="91" t="str">
        <f t="shared" si="9"/>
        <v>Neo Genesis</v>
      </c>
      <c r="F627" s="91">
        <v>516</v>
      </c>
    </row>
    <row r="628" spans="1:6">
      <c r="A628" s="91" t="s">
        <v>914</v>
      </c>
      <c r="D628" s="91" t="str">
        <f t="shared" si="9"/>
        <v>KPS</v>
      </c>
      <c r="F628" s="91">
        <v>516</v>
      </c>
    </row>
    <row r="629" spans="1:6">
      <c r="A629" s="91" t="s">
        <v>915</v>
      </c>
      <c r="D629" s="91" t="str">
        <f t="shared" si="9"/>
        <v>KAMPALA PARENTS SCHOOL</v>
      </c>
      <c r="F629" s="91">
        <v>516</v>
      </c>
    </row>
    <row r="630" spans="1:6">
      <c r="A630" s="91" t="s">
        <v>916</v>
      </c>
      <c r="D630" s="91" t="str">
        <f t="shared" si="9"/>
        <v>Kikulu Zone</v>
      </c>
      <c r="F630" s="91">
        <v>516</v>
      </c>
    </row>
    <row r="631" spans="1:6">
      <c r="A631" s="91" t="s">
        <v>917</v>
      </c>
      <c r="D631" s="91" t="str">
        <f t="shared" si="9"/>
        <v>Kira road</v>
      </c>
      <c r="F631" s="91">
        <v>516</v>
      </c>
    </row>
    <row r="632" spans="1:6">
      <c r="A632" s="91" t="s">
        <v>918</v>
      </c>
      <c r="D632" s="91" t="str">
        <f t="shared" si="9"/>
        <v>KIIRA ROAD</v>
      </c>
      <c r="F632" s="91">
        <v>516</v>
      </c>
    </row>
    <row r="633" spans="1:6">
      <c r="A633" s="91" t="s">
        <v>919</v>
      </c>
      <c r="B633" s="91" t="s">
        <v>183</v>
      </c>
      <c r="C633" s="91" t="s">
        <v>899</v>
      </c>
      <c r="D633" s="91" t="str">
        <f t="shared" si="9"/>
        <v>Busega</v>
      </c>
      <c r="E633" s="91" t="str">
        <f t="shared" si="10"/>
        <v>Busega</v>
      </c>
      <c r="F633" s="91">
        <v>517</v>
      </c>
    </row>
    <row r="634" spans="1:6">
      <c r="A634" s="91" t="s">
        <v>921</v>
      </c>
      <c r="D634" s="91" t="str">
        <f t="shared" si="9"/>
        <v>Lugala</v>
      </c>
      <c r="E634" s="91" t="str">
        <f t="shared" si="10"/>
        <v>Lugala</v>
      </c>
      <c r="F634" s="91">
        <v>517</v>
      </c>
    </row>
    <row r="635" spans="1:6">
      <c r="A635" s="91" t="s">
        <v>922</v>
      </c>
      <c r="D635" s="91" t="str">
        <f t="shared" si="9"/>
        <v>LUNGALA</v>
      </c>
      <c r="F635" s="91">
        <v>517</v>
      </c>
    </row>
    <row r="636" spans="1:6">
      <c r="A636" s="91" t="s">
        <v>923</v>
      </c>
      <c r="D636" s="91" t="str">
        <f t="shared" si="9"/>
        <v>Munaku</v>
      </c>
      <c r="F636" s="91">
        <v>517</v>
      </c>
    </row>
    <row r="637" spans="1:6">
      <c r="A637" s="91" t="s">
        <v>924</v>
      </c>
      <c r="D637" s="91" t="str">
        <f t="shared" si="9"/>
        <v>Wakasanke</v>
      </c>
      <c r="F637" s="91">
        <v>517</v>
      </c>
    </row>
    <row r="638" spans="1:6">
      <c r="A638" s="91" t="s">
        <v>925</v>
      </c>
      <c r="D638" s="91" t="str">
        <f t="shared" si="9"/>
        <v>Masanafu</v>
      </c>
      <c r="E638" s="91" t="str">
        <f t="shared" si="10"/>
        <v>Masanafu</v>
      </c>
      <c r="F638" s="91">
        <v>517</v>
      </c>
    </row>
    <row r="639" spans="1:6">
      <c r="A639" s="91" t="s">
        <v>926</v>
      </c>
      <c r="B639" s="91" t="s">
        <v>183</v>
      </c>
      <c r="C639" s="91" t="s">
        <v>899</v>
      </c>
      <c r="D639" s="91" t="str">
        <f t="shared" si="9"/>
        <v>Butabika</v>
      </c>
      <c r="E639" s="91" t="str">
        <f t="shared" si="10"/>
        <v>Butabika</v>
      </c>
      <c r="F639" s="91">
        <v>518</v>
      </c>
    </row>
    <row r="640" spans="1:6">
      <c r="A640" s="91" t="s">
        <v>927</v>
      </c>
      <c r="D640" s="91" t="str">
        <f t="shared" si="9"/>
        <v>Kirombe</v>
      </c>
      <c r="F640" s="91">
        <v>518</v>
      </c>
    </row>
    <row r="641" spans="1:6">
      <c r="A641" s="91" t="s">
        <v>928</v>
      </c>
      <c r="B641" s="91" t="s">
        <v>183</v>
      </c>
      <c r="C641" s="91" t="s">
        <v>899</v>
      </c>
      <c r="D641" s="91" t="str">
        <f t="shared" si="9"/>
        <v>Buziga</v>
      </c>
      <c r="E641" s="91" t="str">
        <f t="shared" si="10"/>
        <v>Buziga</v>
      </c>
      <c r="F641" s="91">
        <v>519</v>
      </c>
    </row>
    <row r="642" spans="1:6">
      <c r="A642" s="91" t="s">
        <v>929</v>
      </c>
      <c r="B642" s="91" t="s">
        <v>183</v>
      </c>
      <c r="C642" s="91" t="s">
        <v>899</v>
      </c>
      <c r="D642" s="91" t="str">
        <f t="shared" si="9"/>
        <v>Bwaise</v>
      </c>
      <c r="E642" s="91" t="str">
        <f t="shared" si="10"/>
        <v>Bwaise</v>
      </c>
      <c r="F642" s="91">
        <v>520</v>
      </c>
    </row>
    <row r="643" spans="1:6">
      <c r="A643" s="91" t="s">
        <v>931</v>
      </c>
      <c r="B643" s="91" t="s">
        <v>183</v>
      </c>
      <c r="C643" s="91" t="s">
        <v>899</v>
      </c>
      <c r="D643" s="91" t="str">
        <f t="shared" ref="D643:D706" si="11">A643</f>
        <v>Civic Centre</v>
      </c>
      <c r="E643" s="91" t="str">
        <f t="shared" si="10"/>
        <v>Civic Centre</v>
      </c>
      <c r="F643" s="91">
        <v>521</v>
      </c>
    </row>
    <row r="644" spans="1:6">
      <c r="A644" s="91" t="s">
        <v>932</v>
      </c>
      <c r="D644" s="91" t="str">
        <f t="shared" si="11"/>
        <v>KCCA CITY HALL</v>
      </c>
      <c r="F644" s="91">
        <v>521</v>
      </c>
    </row>
    <row r="645" spans="1:6">
      <c r="A645" s="91" t="s">
        <v>933</v>
      </c>
      <c r="D645" s="91" t="str">
        <f t="shared" si="11"/>
        <v>Wilson Road</v>
      </c>
      <c r="F645" s="91">
        <v>521</v>
      </c>
    </row>
    <row r="646" spans="1:6">
      <c r="A646" s="91" t="s">
        <v>934</v>
      </c>
      <c r="D646" s="91" t="str">
        <f t="shared" si="11"/>
        <v>UMI</v>
      </c>
      <c r="F646" s="91">
        <v>521</v>
      </c>
    </row>
    <row r="647" spans="1:6">
      <c r="A647" s="91" t="s">
        <v>935</v>
      </c>
      <c r="D647" s="91" t="str">
        <f t="shared" si="11"/>
        <v>1st street</v>
      </c>
      <c r="F647" s="91">
        <v>521</v>
      </c>
    </row>
    <row r="648" spans="1:6">
      <c r="A648" s="91" t="s">
        <v>936</v>
      </c>
      <c r="D648" s="91" t="str">
        <f t="shared" si="11"/>
        <v>Uga Chick</v>
      </c>
      <c r="F648" s="91">
        <v>521</v>
      </c>
    </row>
    <row r="649" spans="1:6">
      <c r="A649" s="91" t="s">
        <v>937</v>
      </c>
      <c r="D649" s="91" t="str">
        <f t="shared" si="11"/>
        <v>Kamukamu</v>
      </c>
      <c r="F649" s="91">
        <v>521</v>
      </c>
    </row>
    <row r="650" spans="1:6">
      <c r="A650" s="91" t="s">
        <v>938</v>
      </c>
      <c r="D650" s="91" t="str">
        <f t="shared" si="11"/>
        <v>William strt</v>
      </c>
      <c r="F650" s="91">
        <v>521</v>
      </c>
    </row>
    <row r="651" spans="1:6">
      <c r="A651" s="91" t="s">
        <v>939</v>
      </c>
      <c r="D651" s="91" t="str">
        <f t="shared" si="11"/>
        <v>UMA show ground</v>
      </c>
      <c r="F651" s="91">
        <v>521</v>
      </c>
    </row>
    <row r="652" spans="1:6">
      <c r="A652" s="91" t="s">
        <v>940</v>
      </c>
      <c r="D652" s="91" t="str">
        <f t="shared" si="11"/>
        <v>Bus park kla</v>
      </c>
      <c r="F652" s="91">
        <v>521</v>
      </c>
    </row>
    <row r="653" spans="1:6">
      <c r="A653" s="91" t="s">
        <v>941</v>
      </c>
      <c r="D653" s="91" t="str">
        <f t="shared" si="11"/>
        <v>Bus Park</v>
      </c>
      <c r="F653" s="91">
        <v>521</v>
      </c>
    </row>
    <row r="654" spans="1:6">
      <c r="A654" s="91" t="s">
        <v>942</v>
      </c>
      <c r="D654" s="91" t="str">
        <f t="shared" si="11"/>
        <v>Planning House</v>
      </c>
      <c r="F654" s="91">
        <v>521</v>
      </c>
    </row>
    <row r="655" spans="1:6">
      <c r="A655" s="91" t="s">
        <v>943</v>
      </c>
      <c r="D655" s="91" t="str">
        <f t="shared" si="11"/>
        <v>MTN Arena</v>
      </c>
      <c r="F655" s="91">
        <v>521</v>
      </c>
    </row>
    <row r="656" spans="1:6">
      <c r="A656" s="91" t="s">
        <v>944</v>
      </c>
      <c r="D656" s="91" t="str">
        <f t="shared" si="11"/>
        <v>KAMPALA  ROAD</v>
      </c>
      <c r="F656" s="91">
        <v>521</v>
      </c>
    </row>
    <row r="657" spans="1:6">
      <c r="A657" s="91" t="s">
        <v>945</v>
      </c>
      <c r="D657" s="91" t="str">
        <f t="shared" si="11"/>
        <v>Kampala rd</v>
      </c>
      <c r="F657" s="91">
        <v>521</v>
      </c>
    </row>
    <row r="658" spans="1:6">
      <c r="A658" s="91" t="s">
        <v>183</v>
      </c>
      <c r="D658" s="91" t="str">
        <f t="shared" si="11"/>
        <v>Kampala</v>
      </c>
      <c r="E658" s="91" t="str">
        <f t="shared" si="10"/>
        <v>Kampala</v>
      </c>
      <c r="F658" s="91">
        <v>521</v>
      </c>
    </row>
    <row r="659" spans="1:6">
      <c r="A659" s="91" t="s">
        <v>946</v>
      </c>
      <c r="D659" s="91" t="str">
        <f t="shared" si="11"/>
        <v>KPALA</v>
      </c>
      <c r="F659" s="91">
        <v>521</v>
      </c>
    </row>
    <row r="660" spans="1:6">
      <c r="A660" s="91" t="s">
        <v>947</v>
      </c>
      <c r="D660" s="91" t="str">
        <f t="shared" si="11"/>
        <v>CITY KAMPALA</v>
      </c>
      <c r="F660" s="91">
        <v>521</v>
      </c>
    </row>
    <row r="661" spans="1:6">
      <c r="A661" s="91" t="s">
        <v>948</v>
      </c>
      <c r="D661" s="91" t="str">
        <f t="shared" si="11"/>
        <v>FOREIGN AFFAIRS</v>
      </c>
      <c r="F661" s="91">
        <v>521</v>
      </c>
    </row>
    <row r="662" spans="1:6">
      <c r="A662" s="91" t="s">
        <v>949</v>
      </c>
      <c r="D662" s="91" t="str">
        <f t="shared" si="11"/>
        <v xml:space="preserve"> KAMPALA CITY</v>
      </c>
      <c r="F662" s="91">
        <v>521</v>
      </c>
    </row>
    <row r="663" spans="1:6">
      <c r="A663" s="91" t="s">
        <v>950</v>
      </c>
      <c r="D663" s="91" t="str">
        <f t="shared" si="11"/>
        <v>Buganda road</v>
      </c>
      <c r="E663" s="91" t="str">
        <f t="shared" si="10"/>
        <v>Buganda road</v>
      </c>
      <c r="F663" s="91">
        <v>521</v>
      </c>
    </row>
    <row r="664" spans="1:6">
      <c r="A664" s="91" t="s">
        <v>951</v>
      </c>
      <c r="D664" s="91" t="str">
        <f t="shared" si="11"/>
        <v>Equtorial hotel</v>
      </c>
      <c r="F664" s="91">
        <v>521</v>
      </c>
    </row>
    <row r="665" spans="1:6">
      <c r="A665" s="91" t="s">
        <v>952</v>
      </c>
      <c r="D665" s="91" t="str">
        <f t="shared" si="11"/>
        <v>Uganda house</v>
      </c>
      <c r="E665" s="91" t="str">
        <f t="shared" si="10"/>
        <v>Uganda house</v>
      </c>
      <c r="F665" s="91">
        <v>521</v>
      </c>
    </row>
    <row r="666" spans="1:6">
      <c r="A666" s="91" t="s">
        <v>953</v>
      </c>
      <c r="D666" s="91" t="str">
        <f t="shared" si="11"/>
        <v>SHOPRITE</v>
      </c>
      <c r="F666" s="91">
        <v>521</v>
      </c>
    </row>
    <row r="667" spans="1:6">
      <c r="A667" s="91" t="s">
        <v>954</v>
      </c>
      <c r="D667" s="91" t="str">
        <f t="shared" si="11"/>
        <v>Oasis mall</v>
      </c>
      <c r="E667" s="91" t="str">
        <f t="shared" si="10"/>
        <v>Oasis mall</v>
      </c>
      <c r="F667" s="91">
        <v>521</v>
      </c>
    </row>
    <row r="668" spans="1:6">
      <c r="A668" s="91" t="s">
        <v>955</v>
      </c>
      <c r="D668" s="91" t="str">
        <f t="shared" si="11"/>
        <v>kk hotel</v>
      </c>
      <c r="E668" s="91" t="str">
        <f t="shared" si="10"/>
        <v>kk hotel</v>
      </c>
      <c r="F668" s="91">
        <v>521</v>
      </c>
    </row>
    <row r="669" spans="1:6">
      <c r="A669" s="91" t="s">
        <v>956</v>
      </c>
      <c r="D669" s="91" t="str">
        <f t="shared" si="11"/>
        <v>TOWN KAMPALA</v>
      </c>
      <c r="F669" s="91">
        <v>521</v>
      </c>
    </row>
    <row r="670" spans="1:6">
      <c r="A670" s="91" t="s">
        <v>957</v>
      </c>
      <c r="D670" s="91" t="str">
        <f t="shared" si="11"/>
        <v>MINISTRY OF WORKS</v>
      </c>
      <c r="F670" s="91">
        <v>521</v>
      </c>
    </row>
    <row r="671" spans="1:6">
      <c r="A671" s="91" t="s">
        <v>958</v>
      </c>
      <c r="D671" s="91" t="str">
        <f t="shared" si="11"/>
        <v>Namirembe road</v>
      </c>
      <c r="E671" s="91" t="str">
        <f t="shared" si="10"/>
        <v>Namirembe road</v>
      </c>
      <c r="F671" s="91">
        <v>521</v>
      </c>
    </row>
    <row r="672" spans="1:6">
      <c r="A672" s="91" t="s">
        <v>959</v>
      </c>
      <c r="D672" s="91" t="str">
        <f t="shared" si="11"/>
        <v>QUALICELL</v>
      </c>
      <c r="F672" s="91">
        <v>521</v>
      </c>
    </row>
    <row r="673" spans="1:6">
      <c r="A673" s="91" t="s">
        <v>960</v>
      </c>
      <c r="D673" s="91" t="str">
        <f t="shared" si="11"/>
        <v>Ssebagala rd</v>
      </c>
      <c r="E673" s="91" t="str">
        <f t="shared" si="10"/>
        <v>Ssebagala rd</v>
      </c>
      <c r="F673" s="91">
        <v>521</v>
      </c>
    </row>
    <row r="674" spans="1:6">
      <c r="A674" s="91" t="s">
        <v>961</v>
      </c>
      <c r="D674" s="91" t="str">
        <f t="shared" si="11"/>
        <v>INDUSTRAIL AREA</v>
      </c>
      <c r="F674" s="91">
        <v>521</v>
      </c>
    </row>
    <row r="675" spans="1:6">
      <c r="A675" s="91" t="s">
        <v>962</v>
      </c>
      <c r="D675" s="91" t="str">
        <f t="shared" si="11"/>
        <v>NABUGABO PLAZA</v>
      </c>
      <c r="F675" s="91">
        <v>521</v>
      </c>
    </row>
    <row r="676" spans="1:6">
      <c r="A676" s="91" t="s">
        <v>963</v>
      </c>
      <c r="D676" s="91" t="str">
        <f t="shared" si="11"/>
        <v>Mini price</v>
      </c>
      <c r="E676" s="91" t="str">
        <f t="shared" si="10"/>
        <v>Mini price</v>
      </c>
      <c r="F676" s="91">
        <v>521</v>
      </c>
    </row>
    <row r="677" spans="1:6">
      <c r="A677" s="91" t="s">
        <v>964</v>
      </c>
      <c r="D677" s="91" t="str">
        <f t="shared" si="11"/>
        <v>MINI PRIZE</v>
      </c>
      <c r="F677" s="91">
        <v>521</v>
      </c>
    </row>
    <row r="678" spans="1:6">
      <c r="A678" s="91" t="s">
        <v>965</v>
      </c>
      <c r="D678" s="91" t="str">
        <f t="shared" si="11"/>
        <v>CAPITAL SHOPPERS</v>
      </c>
      <c r="F678" s="91">
        <v>521</v>
      </c>
    </row>
    <row r="679" spans="1:6">
      <c r="A679" s="91" t="s">
        <v>966</v>
      </c>
      <c r="D679" s="91" t="str">
        <f t="shared" si="11"/>
        <v>William street</v>
      </c>
      <c r="E679" s="91" t="str">
        <f t="shared" si="10"/>
        <v>William street</v>
      </c>
      <c r="F679" s="91">
        <v>521</v>
      </c>
    </row>
    <row r="680" spans="1:6">
      <c r="A680" s="91" t="s">
        <v>967</v>
      </c>
      <c r="D680" s="91" t="str">
        <f t="shared" si="11"/>
        <v>KAMPALA CENTRAL</v>
      </c>
      <c r="F680" s="91">
        <v>521</v>
      </c>
    </row>
    <row r="681" spans="1:6">
      <c r="A681" s="91" t="s">
        <v>968</v>
      </c>
      <c r="D681" s="91" t="str">
        <f t="shared" si="11"/>
        <v>Down town</v>
      </c>
      <c r="E681" s="91" t="str">
        <f t="shared" si="10"/>
        <v>Down town</v>
      </c>
      <c r="F681" s="91">
        <v>521</v>
      </c>
    </row>
    <row r="682" spans="1:6">
      <c r="A682" s="91" t="s">
        <v>969</v>
      </c>
      <c r="D682" s="91" t="str">
        <f t="shared" si="11"/>
        <v>KIIKUBO</v>
      </c>
      <c r="F682" s="91">
        <v>521</v>
      </c>
    </row>
    <row r="683" spans="1:6">
      <c r="A683" s="91" t="s">
        <v>970</v>
      </c>
      <c r="D683" s="91" t="str">
        <f t="shared" si="11"/>
        <v>Parliament</v>
      </c>
      <c r="F683" s="91">
        <v>521</v>
      </c>
    </row>
    <row r="684" spans="1:6">
      <c r="A684" s="91" t="s">
        <v>971</v>
      </c>
      <c r="D684" s="91" t="str">
        <f t="shared" si="11"/>
        <v>MUKWANO ARCADE</v>
      </c>
      <c r="F684" s="91">
        <v>521</v>
      </c>
    </row>
    <row r="685" spans="1:6">
      <c r="A685" s="91" t="s">
        <v>972</v>
      </c>
      <c r="D685" s="91" t="str">
        <f t="shared" si="11"/>
        <v>Gazaland</v>
      </c>
      <c r="F685" s="91">
        <v>521</v>
      </c>
    </row>
    <row r="686" spans="1:6">
      <c r="A686" s="91" t="s">
        <v>973</v>
      </c>
      <c r="D686" s="91" t="str">
        <f t="shared" si="11"/>
        <v>PIONEER MALL</v>
      </c>
      <c r="F686" s="91">
        <v>521</v>
      </c>
    </row>
    <row r="687" spans="1:6">
      <c r="A687" s="91" t="s">
        <v>974</v>
      </c>
      <c r="D687" s="91" t="str">
        <f t="shared" si="11"/>
        <v>New vision</v>
      </c>
      <c r="E687" s="91" t="str">
        <f t="shared" si="10"/>
        <v>New vision</v>
      </c>
      <c r="F687" s="91">
        <v>521</v>
      </c>
    </row>
    <row r="688" spans="1:6">
      <c r="A688" s="91" t="s">
        <v>975</v>
      </c>
      <c r="D688" s="91" t="str">
        <f t="shared" si="11"/>
        <v>Sheraton</v>
      </c>
      <c r="E688" s="91" t="str">
        <f t="shared" si="10"/>
        <v>Sheraton</v>
      </c>
      <c r="F688" s="91">
        <v>521</v>
      </c>
    </row>
    <row r="689" spans="1:6">
      <c r="A689" s="91" t="s">
        <v>976</v>
      </c>
      <c r="D689" s="91" t="str">
        <f t="shared" si="11"/>
        <v>Hotel african</v>
      </c>
      <c r="E689" s="91" t="str">
        <f t="shared" si="10"/>
        <v>Hotel african</v>
      </c>
      <c r="F689" s="91">
        <v>521</v>
      </c>
    </row>
    <row r="690" spans="1:6">
      <c r="A690" s="91" t="s">
        <v>977</v>
      </c>
      <c r="D690" s="91" t="str">
        <f t="shared" si="11"/>
        <v>AFRICANA</v>
      </c>
      <c r="F690" s="91">
        <v>521</v>
      </c>
    </row>
    <row r="691" spans="1:6">
      <c r="A691" s="91" t="s">
        <v>978</v>
      </c>
      <c r="D691" s="91" t="str">
        <f t="shared" si="11"/>
        <v>Clement rd</v>
      </c>
      <c r="E691" s="91" t="str">
        <f t="shared" si="10"/>
        <v>Clement rd</v>
      </c>
      <c r="F691" s="91">
        <v>521</v>
      </c>
    </row>
    <row r="692" spans="1:6">
      <c r="A692" s="91" t="s">
        <v>979</v>
      </c>
      <c r="D692" s="91" t="str">
        <f t="shared" si="11"/>
        <v>Entebbe rd</v>
      </c>
      <c r="E692" s="91" t="str">
        <f t="shared" si="10"/>
        <v>Entebbe rd</v>
      </c>
      <c r="F692" s="91">
        <v>521</v>
      </c>
    </row>
    <row r="693" spans="1:6">
      <c r="A693" s="91" t="s">
        <v>980</v>
      </c>
      <c r="D693" s="91" t="str">
        <f t="shared" si="11"/>
        <v>Sselumaga Rd</v>
      </c>
      <c r="E693" s="91" t="str">
        <f t="shared" si="10"/>
        <v>Sselumaga Rd</v>
      </c>
      <c r="F693" s="91">
        <v>521</v>
      </c>
    </row>
    <row r="694" spans="1:6">
      <c r="A694" s="91" t="s">
        <v>981</v>
      </c>
      <c r="D694" s="91" t="str">
        <f t="shared" si="11"/>
        <v>Speke hotel</v>
      </c>
      <c r="E694" s="91" t="str">
        <f t="shared" si="10"/>
        <v>Speke hotel</v>
      </c>
      <c r="F694" s="91">
        <v>521</v>
      </c>
    </row>
    <row r="695" spans="1:6">
      <c r="A695" s="91" t="s">
        <v>982</v>
      </c>
      <c r="D695" s="91" t="str">
        <f t="shared" si="11"/>
        <v>MUKWANO</v>
      </c>
      <c r="E695" s="91" t="str">
        <f t="shared" si="10"/>
        <v>MUKWANO</v>
      </c>
      <c r="F695" s="91">
        <v>521</v>
      </c>
    </row>
    <row r="696" spans="1:6">
      <c r="A696" s="91" t="s">
        <v>983</v>
      </c>
      <c r="D696" s="91" t="str">
        <f t="shared" si="11"/>
        <v>Jinja rd</v>
      </c>
      <c r="E696" s="91" t="str">
        <f t="shared" si="10"/>
        <v>Jinja rd</v>
      </c>
      <c r="F696" s="91">
        <v>521</v>
      </c>
    </row>
    <row r="697" spans="1:6">
      <c r="A697" s="91" t="s">
        <v>984</v>
      </c>
      <c r="D697" s="91" t="str">
        <f t="shared" si="11"/>
        <v>OWINO</v>
      </c>
      <c r="E697" s="91" t="str">
        <f t="shared" si="10"/>
        <v>OWINO</v>
      </c>
      <c r="F697" s="91">
        <v>521</v>
      </c>
    </row>
    <row r="698" spans="1:6">
      <c r="A698" s="91" t="s">
        <v>985</v>
      </c>
      <c r="D698" s="91" t="str">
        <f t="shared" si="11"/>
        <v>SEVENTH STREET</v>
      </c>
      <c r="E698" s="91" t="str">
        <f t="shared" si="10"/>
        <v>SEVENTH STREET</v>
      </c>
      <c r="F698" s="91">
        <v>521</v>
      </c>
    </row>
    <row r="699" spans="1:6">
      <c r="A699" s="91" t="s">
        <v>986</v>
      </c>
      <c r="D699" s="91" t="str">
        <f t="shared" si="11"/>
        <v>Ham towers</v>
      </c>
      <c r="E699" s="91" t="str">
        <f t="shared" si="10"/>
        <v>Ham towers</v>
      </c>
      <c r="F699" s="91">
        <v>521</v>
      </c>
    </row>
    <row r="700" spans="1:6">
      <c r="A700" s="91" t="s">
        <v>987</v>
      </c>
      <c r="D700" s="91" t="str">
        <f t="shared" si="11"/>
        <v>Sixth street</v>
      </c>
      <c r="E700" s="91" t="str">
        <f t="shared" si="10"/>
        <v>Sixth street</v>
      </c>
      <c r="F700" s="91">
        <v>521</v>
      </c>
    </row>
    <row r="701" spans="1:6">
      <c r="A701" s="91" t="s">
        <v>988</v>
      </c>
      <c r="D701" s="91" t="str">
        <f t="shared" si="11"/>
        <v>Kampala city</v>
      </c>
      <c r="E701" s="91" t="str">
        <f t="shared" si="10"/>
        <v>Kampala city</v>
      </c>
      <c r="F701" s="91">
        <v>521</v>
      </c>
    </row>
    <row r="702" spans="1:6">
      <c r="A702" s="91" t="s">
        <v>989</v>
      </c>
      <c r="D702" s="91" t="str">
        <f t="shared" si="11"/>
        <v>State house</v>
      </c>
      <c r="E702" s="91" t="str">
        <f t="shared" si="10"/>
        <v>State house</v>
      </c>
      <c r="F702" s="91">
        <v>521</v>
      </c>
    </row>
    <row r="703" spans="1:6">
      <c r="A703" s="91" t="s">
        <v>990</v>
      </c>
      <c r="D703" s="91" t="str">
        <f t="shared" si="11"/>
        <v>Martin road</v>
      </c>
      <c r="E703" s="91" t="str">
        <f t="shared" si="10"/>
        <v>Martin road</v>
      </c>
      <c r="F703" s="91">
        <v>521</v>
      </c>
    </row>
    <row r="704" spans="1:6">
      <c r="A704" s="91" t="s">
        <v>991</v>
      </c>
      <c r="D704" s="91" t="str">
        <f t="shared" si="11"/>
        <v>old taxi park</v>
      </c>
      <c r="E704" s="91" t="str">
        <f t="shared" si="10"/>
        <v>old taxi park</v>
      </c>
      <c r="F704" s="91">
        <v>521</v>
      </c>
    </row>
    <row r="705" spans="1:6">
      <c r="A705" s="91" t="s">
        <v>992</v>
      </c>
      <c r="D705" s="91" t="str">
        <f t="shared" si="11"/>
        <v>SIR APPOLLO KAGWA</v>
      </c>
      <c r="E705" s="91" t="str">
        <f t="shared" si="10"/>
        <v>SIR APPOLLO KAGWA</v>
      </c>
      <c r="F705" s="91">
        <v>521</v>
      </c>
    </row>
    <row r="706" spans="1:6">
      <c r="A706" s="91" t="s">
        <v>993</v>
      </c>
      <c r="D706" s="91" t="str">
        <f t="shared" si="11"/>
        <v>Gaden city</v>
      </c>
      <c r="E706" s="91" t="str">
        <f t="shared" si="10"/>
        <v>Gaden city</v>
      </c>
      <c r="F706" s="91">
        <v>521</v>
      </c>
    </row>
    <row r="707" spans="1:6">
      <c r="A707" s="91" t="s">
        <v>994</v>
      </c>
      <c r="D707" s="91" t="str">
        <f t="shared" ref="D707:D770" si="12">A707</f>
        <v>Ben Kiwanuka street</v>
      </c>
      <c r="E707" s="91" t="str">
        <f t="shared" si="10"/>
        <v>Ben Kiwanuka street</v>
      </c>
      <c r="F707" s="91">
        <v>521</v>
      </c>
    </row>
    <row r="708" spans="1:6">
      <c r="A708" s="91" t="s">
        <v>995</v>
      </c>
      <c r="D708" s="91" t="str">
        <f t="shared" si="12"/>
        <v>NAMIREMBE ROARD</v>
      </c>
      <c r="E708" s="91" t="str">
        <f t="shared" si="10"/>
        <v>NAMIREMBE ROARD</v>
      </c>
      <c r="F708" s="91">
        <v>521</v>
      </c>
    </row>
    <row r="709" spans="1:6">
      <c r="A709" s="91" t="s">
        <v>996</v>
      </c>
      <c r="D709" s="91" t="str">
        <f t="shared" si="12"/>
        <v>ENTEBE ROAD</v>
      </c>
      <c r="E709" s="91" t="str">
        <f t="shared" si="10"/>
        <v>ENTEBE ROAD</v>
      </c>
      <c r="F709" s="91">
        <v>521</v>
      </c>
    </row>
    <row r="710" spans="1:6">
      <c r="A710" s="91" t="s">
        <v>997</v>
      </c>
      <c r="D710" s="91" t="str">
        <f t="shared" si="12"/>
        <v>Jinja road</v>
      </c>
      <c r="E710" s="91" t="str">
        <f t="shared" si="10"/>
        <v>Jinja road</v>
      </c>
      <c r="F710" s="91">
        <v>521</v>
      </c>
    </row>
    <row r="711" spans="1:6">
      <c r="A711" s="91" t="s">
        <v>998</v>
      </c>
      <c r="D711" s="91" t="str">
        <f t="shared" si="12"/>
        <v xml:space="preserve">JINJA ROAD </v>
      </c>
      <c r="E711" s="91" t="str">
        <f t="shared" si="10"/>
        <v xml:space="preserve">JINJA ROAD </v>
      </c>
      <c r="F711" s="91">
        <v>521</v>
      </c>
    </row>
    <row r="712" spans="1:6">
      <c r="A712" s="91" t="s">
        <v>999</v>
      </c>
      <c r="D712" s="91" t="str">
        <f t="shared" si="12"/>
        <v>NAMIREMBE PARK</v>
      </c>
      <c r="E712" s="91" t="str">
        <f t="shared" si="10"/>
        <v>NAMIREMBE PARK</v>
      </c>
      <c r="F712" s="91">
        <v>521</v>
      </c>
    </row>
    <row r="713" spans="1:6">
      <c r="A713" s="91" t="s">
        <v>1000</v>
      </c>
      <c r="D713" s="91" t="str">
        <f t="shared" si="12"/>
        <v>OWINO MARKET</v>
      </c>
      <c r="E713" s="91" t="str">
        <f t="shared" si="10"/>
        <v>OWINO MARKET</v>
      </c>
      <c r="F713" s="91">
        <v>521</v>
      </c>
    </row>
    <row r="714" spans="1:6">
      <c r="A714" s="91" t="s">
        <v>1001</v>
      </c>
      <c r="D714" s="91" t="str">
        <f t="shared" si="12"/>
        <v>KAMPALA ROARD</v>
      </c>
      <c r="E714" s="91" t="str">
        <f t="shared" si="10"/>
        <v>KAMPALA ROARD</v>
      </c>
      <c r="F714" s="91">
        <v>521</v>
      </c>
    </row>
    <row r="715" spans="1:6">
      <c r="A715" s="91" t="s">
        <v>1002</v>
      </c>
      <c r="D715" s="91" t="str">
        <f t="shared" si="12"/>
        <v>NEW TAX PARK</v>
      </c>
      <c r="E715" s="91" t="str">
        <f t="shared" si="10"/>
        <v>NEW TAX PARK</v>
      </c>
      <c r="F715" s="91">
        <v>521</v>
      </c>
    </row>
    <row r="716" spans="1:6">
      <c r="A716" s="91" t="s">
        <v>1003</v>
      </c>
      <c r="D716" s="91" t="str">
        <f t="shared" si="12"/>
        <v>NAKASERO MARKET</v>
      </c>
      <c r="E716" s="91" t="str">
        <f t="shared" si="10"/>
        <v>NAKASERO MARKET</v>
      </c>
      <c r="F716" s="91">
        <v>521</v>
      </c>
    </row>
    <row r="717" spans="1:6">
      <c r="A717" s="91" t="s">
        <v>1004</v>
      </c>
      <c r="D717" s="91" t="str">
        <f t="shared" si="12"/>
        <v xml:space="preserve">Kinawa  </v>
      </c>
      <c r="E717" s="91" t="str">
        <f t="shared" si="10"/>
        <v xml:space="preserve">Kinawa  </v>
      </c>
      <c r="F717" s="91">
        <v>521</v>
      </c>
    </row>
    <row r="718" spans="1:6">
      <c r="A718" s="91" t="s">
        <v>1005</v>
      </c>
      <c r="D718" s="91" t="str">
        <f t="shared" si="12"/>
        <v>Kampala industrian</v>
      </c>
      <c r="E718" s="91" t="str">
        <f t="shared" si="10"/>
        <v>Kampala industrian</v>
      </c>
      <c r="F718" s="91">
        <v>521</v>
      </c>
    </row>
    <row r="719" spans="1:6">
      <c r="A719" s="91" t="s">
        <v>1006</v>
      </c>
      <c r="D719" s="91" t="str">
        <f t="shared" si="12"/>
        <v>CITY SQUARE</v>
      </c>
      <c r="E719" s="91" t="str">
        <f t="shared" si="10"/>
        <v>CITY SQUARE</v>
      </c>
      <c r="F719" s="91">
        <v>521</v>
      </c>
    </row>
    <row r="720" spans="1:6">
      <c r="A720" s="91" t="s">
        <v>1007</v>
      </c>
      <c r="D720" s="91" t="str">
        <f t="shared" si="12"/>
        <v>CITYSQUARE</v>
      </c>
      <c r="E720" s="91" t="str">
        <f t="shared" si="10"/>
        <v>CITYSQUARE</v>
      </c>
      <c r="F720" s="91">
        <v>521</v>
      </c>
    </row>
    <row r="721" spans="1:6">
      <c r="A721" s="91" t="s">
        <v>1008</v>
      </c>
      <c r="D721" s="91" t="str">
        <f t="shared" si="12"/>
        <v>OLDTAXIPARK</v>
      </c>
      <c r="E721" s="91" t="str">
        <f t="shared" si="10"/>
        <v>OLDTAXIPARK</v>
      </c>
      <c r="F721" s="91">
        <v>521</v>
      </c>
    </row>
    <row r="722" spans="1:6">
      <c r="A722" s="91" t="s">
        <v>1009</v>
      </c>
      <c r="D722" s="91" t="str">
        <f t="shared" si="12"/>
        <v>NEWTAXIPARK</v>
      </c>
      <c r="E722" s="91" t="str">
        <f t="shared" si="10"/>
        <v>NEWTAXIPARK</v>
      </c>
      <c r="F722" s="91">
        <v>521</v>
      </c>
    </row>
    <row r="723" spans="1:6">
      <c r="A723" s="91" t="s">
        <v>1010</v>
      </c>
      <c r="D723" s="91" t="str">
        <f t="shared" si="12"/>
        <v>TAX PARK</v>
      </c>
      <c r="F723" s="91">
        <v>521</v>
      </c>
    </row>
    <row r="724" spans="1:6">
      <c r="A724" s="91" t="s">
        <v>1011</v>
      </c>
      <c r="D724" s="91" t="str">
        <f t="shared" si="12"/>
        <v>bela</v>
      </c>
      <c r="E724" s="91" t="str">
        <f t="shared" si="10"/>
        <v>bela</v>
      </c>
      <c r="F724" s="91">
        <v>521</v>
      </c>
    </row>
    <row r="725" spans="1:6">
      <c r="A725" s="91" t="s">
        <v>958</v>
      </c>
      <c r="D725" s="91" t="str">
        <f t="shared" si="12"/>
        <v>Namirembe road</v>
      </c>
      <c r="E725" s="91" t="str">
        <f t="shared" si="10"/>
        <v>Namirembe road</v>
      </c>
      <c r="F725" s="91">
        <v>521</v>
      </c>
    </row>
    <row r="726" spans="1:6">
      <c r="A726" s="91" t="s">
        <v>1012</v>
      </c>
      <c r="D726" s="91" t="str">
        <f t="shared" si="12"/>
        <v>Workers house</v>
      </c>
      <c r="E726" s="91" t="str">
        <f t="shared" si="10"/>
        <v>Workers house</v>
      </c>
      <c r="F726" s="91">
        <v>521</v>
      </c>
    </row>
    <row r="727" spans="1:6">
      <c r="A727" s="91" t="s">
        <v>1013</v>
      </c>
      <c r="D727" s="91" t="str">
        <f t="shared" si="12"/>
        <v>Mega standard</v>
      </c>
      <c r="E727" s="91" t="str">
        <f t="shared" si="10"/>
        <v>Mega standard</v>
      </c>
      <c r="F727" s="91">
        <v>521</v>
      </c>
    </row>
    <row r="728" spans="1:6">
      <c r="A728" s="91" t="s">
        <v>1014</v>
      </c>
      <c r="D728" s="91" t="str">
        <f t="shared" si="12"/>
        <v>Lumumba avenue</v>
      </c>
      <c r="F728" s="91">
        <v>521</v>
      </c>
    </row>
    <row r="729" spans="1:6">
      <c r="A729" s="91" t="s">
        <v>1015</v>
      </c>
      <c r="D729" s="91" t="str">
        <f t="shared" si="12"/>
        <v>Luwumba Avenue</v>
      </c>
      <c r="F729" s="91">
        <v>521</v>
      </c>
    </row>
    <row r="730" spans="1:6">
      <c r="A730" s="91" t="s">
        <v>1016</v>
      </c>
      <c r="D730" s="91" t="str">
        <f t="shared" si="12"/>
        <v>Mapeera</v>
      </c>
      <c r="F730" s="91">
        <v>521</v>
      </c>
    </row>
    <row r="731" spans="1:6">
      <c r="A731" s="91" t="s">
        <v>1017</v>
      </c>
      <c r="D731" s="91" t="str">
        <f t="shared" si="12"/>
        <v>Namayiba taxi park</v>
      </c>
      <c r="E731" s="91" t="str">
        <f t="shared" si="10"/>
        <v>Namayiba taxi park</v>
      </c>
      <c r="F731" s="91">
        <v>521</v>
      </c>
    </row>
    <row r="732" spans="1:6">
      <c r="A732" s="91" t="s">
        <v>1018</v>
      </c>
      <c r="D732" s="91" t="str">
        <f t="shared" si="12"/>
        <v>Namayimba</v>
      </c>
      <c r="F732" s="91">
        <v>521</v>
      </c>
    </row>
    <row r="733" spans="1:6">
      <c r="A733" s="91" t="s">
        <v>1019</v>
      </c>
      <c r="D733" s="91" t="str">
        <f t="shared" si="12"/>
        <v>Namayiba</v>
      </c>
      <c r="F733" s="91">
        <v>521</v>
      </c>
    </row>
    <row r="734" spans="1:6">
      <c r="A734" s="91" t="s">
        <v>1020</v>
      </c>
      <c r="D734" s="91" t="str">
        <f t="shared" si="12"/>
        <v>NAMAYUBA</v>
      </c>
      <c r="F734" s="91">
        <v>521</v>
      </c>
    </row>
    <row r="735" spans="1:6">
      <c r="A735" s="91" t="s">
        <v>1021</v>
      </c>
      <c r="D735" s="91" t="str">
        <f t="shared" si="12"/>
        <v>Kampala road</v>
      </c>
      <c r="E735" s="91" t="str">
        <f t="shared" si="10"/>
        <v>Kampala road</v>
      </c>
      <c r="F735" s="91">
        <v>521</v>
      </c>
    </row>
    <row r="736" spans="1:6">
      <c r="A736" s="91" t="s">
        <v>1022</v>
      </c>
      <c r="D736" s="91" t="str">
        <f t="shared" si="12"/>
        <v>Mukwano mall</v>
      </c>
      <c r="E736" s="91" t="str">
        <f t="shared" si="10"/>
        <v>Mukwano mall</v>
      </c>
      <c r="F736" s="91">
        <v>521</v>
      </c>
    </row>
    <row r="737" spans="1:6">
      <c r="A737" s="91" t="s">
        <v>1023</v>
      </c>
      <c r="D737" s="91" t="str">
        <f t="shared" si="12"/>
        <v>New taxi park</v>
      </c>
      <c r="F737" s="91">
        <v>521</v>
      </c>
    </row>
    <row r="738" spans="1:6">
      <c r="A738" s="91" t="s">
        <v>1024</v>
      </c>
      <c r="D738" s="91" t="str">
        <f t="shared" si="12"/>
        <v>Equatorial mall</v>
      </c>
      <c r="E738" s="91" t="str">
        <f t="shared" si="10"/>
        <v>Equatorial mall</v>
      </c>
      <c r="F738" s="91">
        <v>521</v>
      </c>
    </row>
    <row r="739" spans="1:6">
      <c r="A739" s="91" t="s">
        <v>1025</v>
      </c>
      <c r="D739" s="91" t="str">
        <f t="shared" si="12"/>
        <v>kasajja</v>
      </c>
      <c r="F739" s="91">
        <v>521</v>
      </c>
    </row>
    <row r="740" spans="1:6">
      <c r="A740" s="91" t="s">
        <v>1026</v>
      </c>
      <c r="D740" s="91" t="str">
        <f t="shared" si="12"/>
        <v>Nasser road</v>
      </c>
      <c r="E740" s="91" t="str">
        <f t="shared" si="10"/>
        <v>Nasser road</v>
      </c>
      <c r="F740" s="91">
        <v>521</v>
      </c>
    </row>
    <row r="741" spans="1:6">
      <c r="A741" s="91" t="s">
        <v>1027</v>
      </c>
      <c r="D741" s="91" t="str">
        <f t="shared" si="12"/>
        <v>NKURUMAH ROAD</v>
      </c>
      <c r="E741" s="91" t="str">
        <f t="shared" si="10"/>
        <v>NKURUMAH ROAD</v>
      </c>
      <c r="F741" s="91">
        <v>521</v>
      </c>
    </row>
    <row r="742" spans="1:6">
      <c r="A742" s="91" t="s">
        <v>1028</v>
      </c>
      <c r="D742" s="91" t="str">
        <f t="shared" si="12"/>
        <v>Nkrumah Rd</v>
      </c>
      <c r="F742" s="91">
        <v>521</v>
      </c>
    </row>
    <row r="743" spans="1:6">
      <c r="A743" s="91" t="s">
        <v>1029</v>
      </c>
      <c r="D743" s="91" t="str">
        <f t="shared" si="12"/>
        <v>Nkrumah Road</v>
      </c>
      <c r="F743" s="91">
        <v>521</v>
      </c>
    </row>
    <row r="744" spans="1:6">
      <c r="A744" s="91" t="s">
        <v>1030</v>
      </c>
      <c r="D744" s="91" t="str">
        <f t="shared" si="12"/>
        <v>NKRUMAH</v>
      </c>
      <c r="F744" s="91">
        <v>521</v>
      </c>
    </row>
    <row r="745" spans="1:6">
      <c r="A745" s="91" t="s">
        <v>1031</v>
      </c>
      <c r="D745" s="91" t="str">
        <f t="shared" si="12"/>
        <v>STATION</v>
      </c>
      <c r="E745" s="91" t="str">
        <f t="shared" si="10"/>
        <v>STATION</v>
      </c>
      <c r="F745" s="91">
        <v>521</v>
      </c>
    </row>
    <row r="746" spans="1:6">
      <c r="A746" s="91" t="s">
        <v>1032</v>
      </c>
      <c r="D746" s="91" t="str">
        <f t="shared" si="12"/>
        <v>Clock tower</v>
      </c>
      <c r="E746" s="91" t="str">
        <f t="shared" si="10"/>
        <v>Clock tower</v>
      </c>
      <c r="F746" s="91">
        <v>521</v>
      </c>
    </row>
    <row r="747" spans="1:6">
      <c r="A747" s="91" t="s">
        <v>1033</v>
      </c>
      <c r="D747" s="91" t="str">
        <f t="shared" si="12"/>
        <v>CRUSADER HOUSE</v>
      </c>
      <c r="F747" s="91">
        <v>521</v>
      </c>
    </row>
    <row r="748" spans="1:6">
      <c r="A748" s="91" t="s">
        <v>1034</v>
      </c>
      <c r="D748" s="91" t="str">
        <f t="shared" si="12"/>
        <v>Engineering solution</v>
      </c>
      <c r="F748" s="91">
        <v>521</v>
      </c>
    </row>
    <row r="749" spans="1:6">
      <c r="A749" s="91" t="s">
        <v>1035</v>
      </c>
      <c r="D749" s="91" t="str">
        <f t="shared" si="12"/>
        <v>Sir Apollo</v>
      </c>
      <c r="E749" s="91" t="str">
        <f t="shared" si="10"/>
        <v>Sir Apollo</v>
      </c>
      <c r="F749" s="91">
        <v>521</v>
      </c>
    </row>
    <row r="750" spans="1:6">
      <c r="A750" s="91" t="s">
        <v>1036</v>
      </c>
      <c r="D750" s="91" t="str">
        <f t="shared" si="12"/>
        <v>Kavuma</v>
      </c>
      <c r="F750" s="91">
        <v>521</v>
      </c>
    </row>
    <row r="751" spans="1:6">
      <c r="A751" s="91" t="s">
        <v>1037</v>
      </c>
      <c r="D751" s="91" t="str">
        <f t="shared" si="12"/>
        <v>KAVUUMA</v>
      </c>
      <c r="F751" s="91">
        <v>521</v>
      </c>
    </row>
    <row r="752" spans="1:6">
      <c r="A752" s="91" t="s">
        <v>1038</v>
      </c>
      <c r="D752" s="91" t="str">
        <f t="shared" si="12"/>
        <v>CRESTED TOWERS</v>
      </c>
      <c r="F752" s="91">
        <v>521</v>
      </c>
    </row>
    <row r="753" spans="1:6">
      <c r="A753" s="91" t="s">
        <v>1039</v>
      </c>
      <c r="D753" s="91" t="str">
        <f t="shared" si="12"/>
        <v>Town city</v>
      </c>
      <c r="F753" s="91">
        <v>521</v>
      </c>
    </row>
    <row r="754" spans="1:6">
      <c r="A754" s="91" t="s">
        <v>1040</v>
      </c>
      <c r="D754" s="91" t="str">
        <f t="shared" si="12"/>
        <v>INDUSTRIAL</v>
      </c>
      <c r="E754" s="91" t="str">
        <f t="shared" si="10"/>
        <v>INDUSTRIAL</v>
      </c>
      <c r="F754" s="91">
        <v>521</v>
      </c>
    </row>
    <row r="755" spans="1:6">
      <c r="A755" s="91" t="s">
        <v>1041</v>
      </c>
      <c r="D755" s="91" t="str">
        <f t="shared" si="12"/>
        <v>Kikubo</v>
      </c>
      <c r="E755" s="91" t="str">
        <f t="shared" si="10"/>
        <v>Kikubo</v>
      </c>
      <c r="F755" s="91">
        <v>521</v>
      </c>
    </row>
    <row r="756" spans="1:6">
      <c r="A756" s="91" t="s">
        <v>1042</v>
      </c>
      <c r="D756" s="91" t="str">
        <f t="shared" si="12"/>
        <v>Arua park</v>
      </c>
      <c r="E756" s="91" t="str">
        <f t="shared" si="10"/>
        <v>Arua park</v>
      </c>
      <c r="F756" s="91">
        <v>521</v>
      </c>
    </row>
    <row r="757" spans="1:6">
      <c r="A757" s="91" t="s">
        <v>1043</v>
      </c>
      <c r="D757" s="91" t="str">
        <f t="shared" si="12"/>
        <v>NAMAYUBA PART</v>
      </c>
      <c r="F757" s="91">
        <v>521</v>
      </c>
    </row>
    <row r="758" spans="1:6">
      <c r="A758" s="91" t="s">
        <v>1044</v>
      </c>
      <c r="D758" s="91" t="str">
        <f t="shared" si="12"/>
        <v>Speke resort</v>
      </c>
      <c r="E758" s="91" t="str">
        <f t="shared" si="10"/>
        <v>Speke resort</v>
      </c>
      <c r="F758" s="91">
        <v>521</v>
      </c>
    </row>
    <row r="759" spans="1:6">
      <c r="A759" s="91" t="s">
        <v>1045</v>
      </c>
      <c r="D759" s="91" t="str">
        <f t="shared" si="12"/>
        <v>Clemet hill</v>
      </c>
      <c r="E759" s="91" t="str">
        <f t="shared" si="10"/>
        <v>Clemet hill</v>
      </c>
      <c r="F759" s="91">
        <v>521</v>
      </c>
    </row>
    <row r="760" spans="1:6">
      <c r="A760" s="91" t="s">
        <v>1046</v>
      </c>
      <c r="D760" s="91" t="str">
        <f t="shared" si="12"/>
        <v>CLEMENT</v>
      </c>
      <c r="E760" s="91" t="str">
        <f t="shared" si="10"/>
        <v>CLEMENT</v>
      </c>
      <c r="F760" s="91">
        <v>521</v>
      </c>
    </row>
    <row r="761" spans="1:6">
      <c r="A761" s="91" t="s">
        <v>1047</v>
      </c>
      <c r="D761" s="91" t="str">
        <f t="shared" si="12"/>
        <v>Town</v>
      </c>
      <c r="E761" s="91" t="str">
        <f t="shared" si="10"/>
        <v>Town</v>
      </c>
      <c r="F761" s="91">
        <v>521</v>
      </c>
    </row>
    <row r="762" spans="1:6">
      <c r="A762" s="91" t="s">
        <v>1048</v>
      </c>
      <c r="D762" s="91" t="str">
        <f t="shared" si="12"/>
        <v>Victoria Serena</v>
      </c>
      <c r="E762" s="91" t="str">
        <f t="shared" si="10"/>
        <v>Victoria Serena</v>
      </c>
      <c r="F762" s="91">
        <v>521</v>
      </c>
    </row>
    <row r="763" spans="1:6">
      <c r="A763" s="91" t="s">
        <v>1049</v>
      </c>
      <c r="D763" s="91" t="str">
        <f t="shared" si="12"/>
        <v>Serena</v>
      </c>
      <c r="E763" s="91" t="str">
        <f t="shared" si="10"/>
        <v>Serena</v>
      </c>
      <c r="F763" s="91">
        <v>521</v>
      </c>
    </row>
    <row r="764" spans="1:6">
      <c r="A764" s="91" t="s">
        <v>1050</v>
      </c>
      <c r="D764" s="91" t="str">
        <f t="shared" si="12"/>
        <v>Serena Hotel</v>
      </c>
      <c r="F764" s="91">
        <v>521</v>
      </c>
    </row>
    <row r="765" spans="1:6">
      <c r="A765" s="91" t="s">
        <v>1051</v>
      </c>
      <c r="D765" s="91" t="str">
        <f t="shared" si="12"/>
        <v>Northeern bypass</v>
      </c>
      <c r="E765" s="91" t="str">
        <f t="shared" si="10"/>
        <v>Northeern bypass</v>
      </c>
      <c r="F765" s="91">
        <v>521</v>
      </c>
    </row>
    <row r="766" spans="1:6">
      <c r="A766" s="91" t="s">
        <v>1052</v>
      </c>
      <c r="D766" s="91" t="str">
        <f t="shared" si="12"/>
        <v>Northern bypass</v>
      </c>
      <c r="E766" s="91" t="str">
        <f t="shared" si="10"/>
        <v>Northern bypass</v>
      </c>
      <c r="F766" s="91">
        <v>521</v>
      </c>
    </row>
    <row r="767" spans="1:6">
      <c r="A767" s="91" t="s">
        <v>1053</v>
      </c>
      <c r="D767" s="91" t="str">
        <f t="shared" si="12"/>
        <v>NORTHAN BY PASS</v>
      </c>
      <c r="F767" s="91">
        <v>521</v>
      </c>
    </row>
    <row r="768" spans="1:6">
      <c r="A768" s="91" t="s">
        <v>1054</v>
      </c>
      <c r="D768" s="91" t="str">
        <f t="shared" si="12"/>
        <v>Taxi park</v>
      </c>
      <c r="E768" s="91" t="str">
        <f t="shared" si="10"/>
        <v>Taxi park</v>
      </c>
      <c r="F768" s="91">
        <v>521</v>
      </c>
    </row>
    <row r="769" spans="1:6">
      <c r="A769" s="91" t="s">
        <v>1055</v>
      </c>
      <c r="D769" s="91" t="str">
        <f t="shared" si="12"/>
        <v>TAXI  PARK</v>
      </c>
      <c r="F769" s="91">
        <v>521</v>
      </c>
    </row>
    <row r="770" spans="1:6">
      <c r="A770" s="91" t="s">
        <v>1056</v>
      </c>
      <c r="D770" s="91" t="str">
        <f t="shared" si="12"/>
        <v>Station centre</v>
      </c>
      <c r="F770" s="91">
        <v>521</v>
      </c>
    </row>
    <row r="771" spans="1:6">
      <c r="A771" s="91" t="s">
        <v>1057</v>
      </c>
      <c r="D771" s="91" t="str">
        <f t="shared" ref="D771:D834" si="13">A771</f>
        <v>Old park</v>
      </c>
      <c r="E771" s="91" t="str">
        <f t="shared" si="10"/>
        <v>Old park</v>
      </c>
      <c r="F771" s="91">
        <v>521</v>
      </c>
    </row>
    <row r="772" spans="1:6">
      <c r="A772" s="91" t="s">
        <v>1058</v>
      </c>
      <c r="D772" s="91" t="str">
        <f t="shared" si="13"/>
        <v>Old parrk</v>
      </c>
      <c r="E772" s="91" t="str">
        <f t="shared" si="10"/>
        <v>Old parrk</v>
      </c>
      <c r="F772" s="91">
        <v>521</v>
      </c>
    </row>
    <row r="773" spans="1:6">
      <c r="A773" s="91" t="s">
        <v>1059</v>
      </c>
      <c r="D773" s="91" t="str">
        <f t="shared" si="13"/>
        <v>Newtax park</v>
      </c>
      <c r="E773" s="91" t="str">
        <f t="shared" si="10"/>
        <v>Newtax park</v>
      </c>
      <c r="F773" s="91">
        <v>521</v>
      </c>
    </row>
    <row r="774" spans="1:6">
      <c r="A774" s="91" t="s">
        <v>1060</v>
      </c>
      <c r="D774" s="91" t="str">
        <f t="shared" si="13"/>
        <v>New park</v>
      </c>
      <c r="E774" s="91" t="str">
        <f t="shared" si="10"/>
        <v>New park</v>
      </c>
      <c r="F774" s="91">
        <v>521</v>
      </c>
    </row>
    <row r="775" spans="1:6">
      <c r="A775" s="91" t="s">
        <v>1061</v>
      </c>
      <c r="D775" s="91" t="str">
        <f t="shared" si="13"/>
        <v>Mwalo</v>
      </c>
      <c r="E775" s="91" t="str">
        <f t="shared" si="10"/>
        <v>Mwalo</v>
      </c>
      <c r="F775" s="91">
        <v>521</v>
      </c>
    </row>
    <row r="776" spans="1:6">
      <c r="A776" s="91" t="s">
        <v>1062</v>
      </c>
      <c r="D776" s="91" t="str">
        <f t="shared" si="13"/>
        <v>Equatorial</v>
      </c>
      <c r="E776" s="91" t="str">
        <f t="shared" si="10"/>
        <v>Equatorial</v>
      </c>
      <c r="F776" s="91">
        <v>521</v>
      </c>
    </row>
    <row r="777" spans="1:6">
      <c r="A777" s="91" t="s">
        <v>899</v>
      </c>
      <c r="D777" s="91" t="str">
        <f t="shared" si="13"/>
        <v>KCCA</v>
      </c>
      <c r="E777" s="91" t="str">
        <f t="shared" si="10"/>
        <v>KCCA</v>
      </c>
      <c r="F777" s="91">
        <v>521</v>
      </c>
    </row>
    <row r="778" spans="1:6">
      <c r="A778" s="91" t="s">
        <v>1063</v>
      </c>
      <c r="D778" s="91" t="str">
        <f t="shared" si="13"/>
        <v xml:space="preserve">KAMPALA </v>
      </c>
      <c r="E778" s="91" t="str">
        <f t="shared" si="10"/>
        <v xml:space="preserve">KAMPALA </v>
      </c>
      <c r="F778" s="91">
        <v>521</v>
      </c>
    </row>
    <row r="779" spans="1:6">
      <c r="A779" s="91" t="s">
        <v>1064</v>
      </c>
      <c r="D779" s="91" t="str">
        <f t="shared" si="13"/>
        <v>Bahai</v>
      </c>
      <c r="E779" s="91" t="str">
        <f t="shared" si="10"/>
        <v>Bahai</v>
      </c>
      <c r="F779" s="91">
        <v>521</v>
      </c>
    </row>
    <row r="780" spans="1:6">
      <c r="A780" s="91" t="s">
        <v>1065</v>
      </c>
      <c r="D780" s="91" t="str">
        <f t="shared" si="13"/>
        <v>Bahai tempo</v>
      </c>
      <c r="E780" s="91" t="str">
        <f t="shared" si="10"/>
        <v>Bahai tempo</v>
      </c>
      <c r="F780" s="91">
        <v>521</v>
      </c>
    </row>
    <row r="781" spans="1:6">
      <c r="A781" s="91" t="s">
        <v>1066</v>
      </c>
      <c r="D781" s="91" t="str">
        <f t="shared" si="13"/>
        <v>Kampala town</v>
      </c>
      <c r="E781" s="91" t="str">
        <f t="shared" si="10"/>
        <v>Kampala town</v>
      </c>
      <c r="F781" s="91">
        <v>521</v>
      </c>
    </row>
    <row r="782" spans="1:6">
      <c r="A782" s="91" t="s">
        <v>1067</v>
      </c>
      <c r="D782" s="91" t="str">
        <f t="shared" si="13"/>
        <v>City center</v>
      </c>
      <c r="E782" s="91" t="str">
        <f t="shared" si="10"/>
        <v>City center</v>
      </c>
      <c r="F782" s="91">
        <v>521</v>
      </c>
    </row>
    <row r="783" spans="1:6">
      <c r="A783" s="91" t="s">
        <v>1068</v>
      </c>
      <c r="D783" s="91" t="str">
        <f t="shared" si="13"/>
        <v>CITY CENTRE</v>
      </c>
      <c r="F783" s="91">
        <v>521</v>
      </c>
    </row>
    <row r="784" spans="1:6">
      <c r="A784" s="91" t="s">
        <v>1069</v>
      </c>
      <c r="D784" s="91" t="str">
        <f t="shared" si="13"/>
        <v>CITYCENTRE</v>
      </c>
      <c r="F784" s="91">
        <v>521</v>
      </c>
    </row>
    <row r="785" spans="1:6">
      <c r="A785" s="91" t="s">
        <v>1070</v>
      </c>
      <c r="D785" s="91" t="str">
        <f t="shared" si="13"/>
        <v>CITYCENTER</v>
      </c>
      <c r="F785" s="91">
        <v>521</v>
      </c>
    </row>
    <row r="786" spans="1:6">
      <c r="A786" s="91" t="s">
        <v>1071</v>
      </c>
      <c r="D786" s="91" t="str">
        <f t="shared" si="13"/>
        <v>Gaba</v>
      </c>
      <c r="E786" s="91" t="str">
        <f t="shared" si="10"/>
        <v>Gaba</v>
      </c>
      <c r="F786" s="91">
        <v>522</v>
      </c>
    </row>
    <row r="787" spans="1:6">
      <c r="A787" s="91" t="s">
        <v>1072</v>
      </c>
      <c r="D787" s="91" t="str">
        <f t="shared" si="13"/>
        <v>Gabba</v>
      </c>
      <c r="E787" s="91" t="str">
        <f t="shared" si="10"/>
        <v>Gabba</v>
      </c>
      <c r="F787" s="91">
        <v>522</v>
      </c>
    </row>
    <row r="788" spans="1:6">
      <c r="A788" s="91" t="s">
        <v>1073</v>
      </c>
      <c r="D788" s="91" t="str">
        <f t="shared" si="13"/>
        <v>BALAMU</v>
      </c>
      <c r="F788" s="91">
        <v>522</v>
      </c>
    </row>
    <row r="789" spans="1:6">
      <c r="A789" s="91" t="s">
        <v>1074</v>
      </c>
      <c r="D789" s="91" t="str">
        <f t="shared" si="13"/>
        <v>Soya</v>
      </c>
      <c r="E789" s="91" t="str">
        <f t="shared" si="10"/>
        <v>Soya</v>
      </c>
      <c r="F789" s="91">
        <v>522</v>
      </c>
    </row>
    <row r="790" spans="1:6">
      <c r="A790" s="91" t="s">
        <v>1075</v>
      </c>
      <c r="D790" s="91" t="str">
        <f t="shared" si="13"/>
        <v>Auto spa</v>
      </c>
      <c r="E790" s="91" t="str">
        <f t="shared" si="10"/>
        <v>Auto spa</v>
      </c>
      <c r="F790" s="91">
        <v>522</v>
      </c>
    </row>
    <row r="791" spans="1:6">
      <c r="A791" s="91" t="s">
        <v>198</v>
      </c>
      <c r="D791" s="91" t="str">
        <f t="shared" si="13"/>
        <v>Munyonyo</v>
      </c>
      <c r="E791" s="91" t="str">
        <f t="shared" si="10"/>
        <v>Munyonyo</v>
      </c>
      <c r="F791" s="91">
        <v>522</v>
      </c>
    </row>
    <row r="792" spans="1:6">
      <c r="A792" s="91" t="s">
        <v>1076</v>
      </c>
      <c r="D792" s="91" t="str">
        <f t="shared" si="13"/>
        <v>BUGU</v>
      </c>
      <c r="F792" s="91">
        <v>522</v>
      </c>
    </row>
    <row r="793" spans="1:6">
      <c r="A793" s="91" t="s">
        <v>1077</v>
      </c>
      <c r="D793" s="91" t="str">
        <f t="shared" si="13"/>
        <v>Kibiri</v>
      </c>
      <c r="F793" s="91">
        <v>522</v>
      </c>
    </row>
    <row r="794" spans="1:6">
      <c r="A794" s="91" t="s">
        <v>1078</v>
      </c>
      <c r="D794" s="91" t="str">
        <f t="shared" si="13"/>
        <v>Ggangu</v>
      </c>
      <c r="F794" s="91">
        <v>522</v>
      </c>
    </row>
    <row r="795" spans="1:6">
      <c r="A795" s="91" t="s">
        <v>1079</v>
      </c>
      <c r="D795" s="91" t="str">
        <f t="shared" si="13"/>
        <v>Buggu</v>
      </c>
      <c r="F795" s="91">
        <v>522</v>
      </c>
    </row>
    <row r="796" spans="1:6">
      <c r="A796" s="91" t="s">
        <v>1080</v>
      </c>
      <c r="D796" s="91" t="str">
        <f t="shared" si="13"/>
        <v>Kibirii</v>
      </c>
      <c r="F796" s="91">
        <v>522</v>
      </c>
    </row>
    <row r="797" spans="1:6">
      <c r="A797" s="91" t="s">
        <v>1081</v>
      </c>
      <c r="D797" s="91" t="str">
        <f t="shared" si="13"/>
        <v>Gango</v>
      </c>
      <c r="F797" s="91">
        <v>522</v>
      </c>
    </row>
    <row r="798" spans="1:6">
      <c r="A798" s="91" t="s">
        <v>1082</v>
      </c>
      <c r="D798" s="91" t="str">
        <f t="shared" si="13"/>
        <v>Mulungu</v>
      </c>
      <c r="F798" s="91">
        <v>522</v>
      </c>
    </row>
    <row r="799" spans="1:6">
      <c r="A799" s="91" t="s">
        <v>1083</v>
      </c>
      <c r="D799" s="91" t="str">
        <f t="shared" si="13"/>
        <v>Mawanga</v>
      </c>
      <c r="F799" s="91">
        <v>522</v>
      </c>
    </row>
    <row r="800" spans="1:6">
      <c r="A800" s="91" t="s">
        <v>1084</v>
      </c>
      <c r="D800" s="91" t="str">
        <f t="shared" si="13"/>
        <v>KELTRON SERVICES</v>
      </c>
      <c r="F800" s="91">
        <v>522</v>
      </c>
    </row>
    <row r="801" spans="1:6">
      <c r="A801" s="91" t="s">
        <v>1085</v>
      </c>
      <c r="D801" s="91" t="str">
        <f t="shared" si="13"/>
        <v>Kabuuma</v>
      </c>
      <c r="E801" s="91" t="str">
        <f t="shared" si="10"/>
        <v>Kabuuma</v>
      </c>
      <c r="F801" s="91">
        <v>522</v>
      </c>
    </row>
    <row r="802" spans="1:6">
      <c r="A802" s="91" t="s">
        <v>1086</v>
      </c>
      <c r="D802" s="91" t="str">
        <f t="shared" si="13"/>
        <v>Kabuma</v>
      </c>
      <c r="F802" s="91">
        <v>522</v>
      </c>
    </row>
    <row r="803" spans="1:6">
      <c r="A803" s="91" t="s">
        <v>1087</v>
      </c>
      <c r="D803" s="91" t="str">
        <f t="shared" si="13"/>
        <v xml:space="preserve">KIGO </v>
      </c>
      <c r="F803" s="91">
        <v>522</v>
      </c>
    </row>
    <row r="804" spans="1:6">
      <c r="A804" s="91" t="s">
        <v>1088</v>
      </c>
      <c r="D804" s="91" t="str">
        <f t="shared" si="13"/>
        <v>Kakoola</v>
      </c>
      <c r="F804" s="91">
        <v>522</v>
      </c>
    </row>
    <row r="805" spans="1:6">
      <c r="A805" s="91" t="s">
        <v>1089</v>
      </c>
      <c r="D805" s="91" t="str">
        <f t="shared" si="13"/>
        <v>Kiggo</v>
      </c>
      <c r="F805" s="91">
        <v>522</v>
      </c>
    </row>
    <row r="806" spans="1:6">
      <c r="A806" s="91" t="s">
        <v>1090</v>
      </c>
      <c r="D806" s="91" t="str">
        <f t="shared" si="13"/>
        <v>Kigo</v>
      </c>
      <c r="E806" s="91" t="str">
        <f t="shared" si="10"/>
        <v>Kigo</v>
      </c>
      <c r="F806" s="91">
        <v>522</v>
      </c>
    </row>
    <row r="807" spans="1:6">
      <c r="A807" s="91" t="s">
        <v>1091</v>
      </c>
      <c r="D807" s="91" t="str">
        <f t="shared" si="13"/>
        <v>KIGO SERENE</v>
      </c>
      <c r="F807" s="91">
        <v>522</v>
      </c>
    </row>
    <row r="808" spans="1:6">
      <c r="A808" s="91" t="s">
        <v>1092</v>
      </c>
      <c r="D808" s="91" t="str">
        <f t="shared" si="13"/>
        <v>Busabala</v>
      </c>
      <c r="E808" s="91" t="str">
        <f t="shared" si="10"/>
        <v>Busabala</v>
      </c>
      <c r="F808" s="91">
        <v>522</v>
      </c>
    </row>
    <row r="809" spans="1:6">
      <c r="A809" s="91" t="s">
        <v>1093</v>
      </c>
      <c r="D809" s="91" t="str">
        <f t="shared" si="13"/>
        <v>BUSAABALA</v>
      </c>
      <c r="F809" s="91">
        <v>522</v>
      </c>
    </row>
    <row r="810" spans="1:6">
      <c r="A810" s="91" t="s">
        <v>1094</v>
      </c>
      <c r="D810" s="91" t="str">
        <f t="shared" si="13"/>
        <v>BUSALABA</v>
      </c>
      <c r="F810" s="91">
        <v>522</v>
      </c>
    </row>
    <row r="811" spans="1:6">
      <c r="A811" s="91" t="s">
        <v>1095</v>
      </c>
      <c r="D811" s="91" t="str">
        <f t="shared" si="13"/>
        <v>Kanaaba</v>
      </c>
      <c r="F811" s="91">
        <v>522</v>
      </c>
    </row>
    <row r="812" spans="1:6">
      <c r="A812" s="91" t="s">
        <v>1096</v>
      </c>
      <c r="D812" s="91" t="str">
        <f t="shared" si="13"/>
        <v>Kibir</v>
      </c>
      <c r="F812" s="91">
        <v>522</v>
      </c>
    </row>
    <row r="813" spans="1:6">
      <c r="A813" s="91" t="s">
        <v>1097</v>
      </c>
      <c r="D813" s="91" t="str">
        <f t="shared" si="13"/>
        <v>KIBIIRI</v>
      </c>
      <c r="E813" s="91" t="str">
        <f t="shared" si="10"/>
        <v>KIBIIRI</v>
      </c>
      <c r="F813" s="91">
        <v>522</v>
      </c>
    </row>
    <row r="814" spans="1:6">
      <c r="A814" s="91" t="s">
        <v>1098</v>
      </c>
      <c r="D814" s="91" t="str">
        <f t="shared" si="13"/>
        <v>KAZI</v>
      </c>
      <c r="E814" s="91" t="str">
        <f t="shared" si="10"/>
        <v>KAZI</v>
      </c>
      <c r="F814" s="91">
        <v>522</v>
      </c>
    </row>
    <row r="815" spans="1:6">
      <c r="A815" s="91" t="s">
        <v>1099</v>
      </c>
      <c r="D815" s="91" t="str">
        <f t="shared" si="13"/>
        <v>KAAZI</v>
      </c>
      <c r="F815" s="91">
        <v>522</v>
      </c>
    </row>
    <row r="816" spans="1:6">
      <c r="A816" s="91" t="s">
        <v>1100</v>
      </c>
      <c r="D816" s="91" t="str">
        <f t="shared" si="13"/>
        <v>Kazii</v>
      </c>
      <c r="E816" s="91" t="str">
        <f t="shared" si="10"/>
        <v>Kazii</v>
      </c>
      <c r="F816" s="91">
        <v>522</v>
      </c>
    </row>
    <row r="817" spans="1:6">
      <c r="A817" s="91" t="s">
        <v>1101</v>
      </c>
      <c r="D817" s="91" t="str">
        <f t="shared" si="13"/>
        <v>Buzinga</v>
      </c>
      <c r="F817" s="91">
        <v>522</v>
      </c>
    </row>
    <row r="818" spans="1:6">
      <c r="A818" s="91" t="s">
        <v>1102</v>
      </c>
      <c r="D818" s="91" t="str">
        <f t="shared" si="13"/>
        <v>Kiruddu</v>
      </c>
      <c r="E818" s="91" t="str">
        <f t="shared" si="10"/>
        <v>Kiruddu</v>
      </c>
      <c r="F818" s="91">
        <v>522</v>
      </c>
    </row>
    <row r="819" spans="1:6">
      <c r="A819" s="91" t="s">
        <v>1103</v>
      </c>
      <c r="D819" s="91" t="str">
        <f t="shared" si="13"/>
        <v>Kirundu</v>
      </c>
      <c r="E819" s="91" t="str">
        <f t="shared" si="10"/>
        <v>Kirundu</v>
      </c>
      <c r="F819" s="91">
        <v>522</v>
      </c>
    </row>
    <row r="820" spans="1:6">
      <c r="A820" s="91" t="s">
        <v>1104</v>
      </c>
      <c r="D820" s="91" t="str">
        <f t="shared" si="13"/>
        <v>Kirudu</v>
      </c>
      <c r="E820" s="91" t="str">
        <f t="shared" si="10"/>
        <v>Kirudu</v>
      </c>
      <c r="F820" s="91">
        <v>522</v>
      </c>
    </row>
    <row r="821" spans="1:6">
      <c r="A821" s="91" t="s">
        <v>1105</v>
      </c>
      <c r="D821" s="91" t="str">
        <f t="shared" si="13"/>
        <v>Kirudu hospital</v>
      </c>
      <c r="E821" s="91" t="str">
        <f t="shared" si="10"/>
        <v>Kirudu hospital</v>
      </c>
      <c r="F821" s="91">
        <v>522</v>
      </c>
    </row>
    <row r="822" spans="1:6">
      <c r="A822" s="91" t="s">
        <v>1106</v>
      </c>
      <c r="D822" s="91" t="str">
        <f t="shared" si="13"/>
        <v xml:space="preserve">Bunga </v>
      </c>
      <c r="E822" s="91" t="str">
        <f t="shared" si="10"/>
        <v xml:space="preserve">Bunga </v>
      </c>
      <c r="F822" s="91">
        <v>522</v>
      </c>
    </row>
    <row r="823" spans="1:6">
      <c r="A823" s="91" t="s">
        <v>1107</v>
      </c>
      <c r="D823" s="91" t="str">
        <f t="shared" si="13"/>
        <v>Bungu</v>
      </c>
      <c r="E823" s="91" t="str">
        <f t="shared" si="10"/>
        <v>Bungu</v>
      </c>
      <c r="F823" s="91">
        <v>522</v>
      </c>
    </row>
    <row r="824" spans="1:6">
      <c r="A824" s="91" t="s">
        <v>1108</v>
      </c>
      <c r="D824" s="91" t="str">
        <f t="shared" si="13"/>
        <v>BUNGA</v>
      </c>
      <c r="F824" s="91">
        <v>522</v>
      </c>
    </row>
    <row r="825" spans="1:6">
      <c r="A825" s="91" t="s">
        <v>1109</v>
      </c>
      <c r="B825" s="91" t="s">
        <v>183</v>
      </c>
      <c r="C825" s="91" t="s">
        <v>899</v>
      </c>
      <c r="D825" s="91" t="str">
        <f t="shared" si="13"/>
        <v>Ggaba</v>
      </c>
      <c r="E825" s="91" t="str">
        <f t="shared" si="10"/>
        <v>Ggaba</v>
      </c>
      <c r="F825" s="91">
        <v>522</v>
      </c>
    </row>
    <row r="826" spans="1:6">
      <c r="A826" s="91" t="s">
        <v>1110</v>
      </c>
      <c r="D826" s="91" t="str">
        <f t="shared" si="13"/>
        <v>Konge</v>
      </c>
      <c r="E826" s="91" t="str">
        <f t="shared" si="10"/>
        <v>Konge</v>
      </c>
      <c r="F826" s="91">
        <v>522</v>
      </c>
    </row>
    <row r="827" spans="1:6">
      <c r="A827" s="91" t="s">
        <v>223</v>
      </c>
      <c r="B827" s="91" t="s">
        <v>183</v>
      </c>
      <c r="C827" s="91" t="s">
        <v>899</v>
      </c>
      <c r="D827" s="91" t="str">
        <f t="shared" si="13"/>
        <v>Industrial Area</v>
      </c>
      <c r="E827" s="91" t="str">
        <f t="shared" si="10"/>
        <v>Industrial Area</v>
      </c>
      <c r="F827" s="91">
        <v>523</v>
      </c>
    </row>
    <row r="828" spans="1:6">
      <c r="A828" s="91" t="s">
        <v>1111</v>
      </c>
      <c r="D828" s="91" t="str">
        <f t="shared" si="13"/>
        <v>6th street</v>
      </c>
      <c r="F828" s="91">
        <v>523</v>
      </c>
    </row>
    <row r="829" spans="1:6">
      <c r="A829" s="91" t="s">
        <v>1112</v>
      </c>
      <c r="B829" s="91" t="s">
        <v>183</v>
      </c>
      <c r="C829" s="91" t="s">
        <v>899</v>
      </c>
      <c r="D829" s="91" t="str">
        <f t="shared" si="13"/>
        <v>Itek</v>
      </c>
      <c r="E829" s="91" t="str">
        <f t="shared" si="10"/>
        <v>Itek</v>
      </c>
      <c r="F829" s="91">
        <v>524</v>
      </c>
    </row>
    <row r="830" spans="1:6">
      <c r="A830" s="91" t="s">
        <v>1113</v>
      </c>
      <c r="B830" s="91" t="s">
        <v>183</v>
      </c>
      <c r="C830" s="91" t="s">
        <v>899</v>
      </c>
      <c r="D830" s="91" t="str">
        <f t="shared" si="13"/>
        <v>Kabalagala</v>
      </c>
      <c r="E830" s="91" t="str">
        <f t="shared" si="10"/>
        <v>Kabalagala</v>
      </c>
      <c r="F830" s="91">
        <v>525</v>
      </c>
    </row>
    <row r="831" spans="1:6">
      <c r="A831" s="91" t="s">
        <v>205</v>
      </c>
      <c r="D831" s="91" t="str">
        <f t="shared" si="13"/>
        <v>Muyenga</v>
      </c>
      <c r="E831" s="91" t="str">
        <f t="shared" si="10"/>
        <v>Muyenga</v>
      </c>
      <c r="F831" s="91">
        <v>525</v>
      </c>
    </row>
    <row r="832" spans="1:6">
      <c r="A832" s="91" t="s">
        <v>1114</v>
      </c>
      <c r="D832" s="91" t="str">
        <f t="shared" si="13"/>
        <v>Nyakana</v>
      </c>
      <c r="F832" s="91">
        <v>525</v>
      </c>
    </row>
    <row r="833" spans="1:6">
      <c r="A833" s="91" t="s">
        <v>1115</v>
      </c>
      <c r="B833" s="91" t="s">
        <v>183</v>
      </c>
      <c r="C833" s="91" t="s">
        <v>899</v>
      </c>
      <c r="D833" s="91" t="str">
        <f t="shared" si="13"/>
        <v>Kabowa</v>
      </c>
      <c r="E833" s="91" t="str">
        <f t="shared" si="10"/>
        <v>Kabowa</v>
      </c>
      <c r="F833" s="91">
        <v>526</v>
      </c>
    </row>
    <row r="834" spans="1:6">
      <c r="A834" s="91" t="s">
        <v>1116</v>
      </c>
      <c r="B834" s="91" t="s">
        <v>183</v>
      </c>
      <c r="C834" s="91" t="s">
        <v>899</v>
      </c>
      <c r="D834" s="91" t="str">
        <f t="shared" si="13"/>
        <v>Kagugube</v>
      </c>
      <c r="E834" s="91" t="str">
        <f t="shared" si="10"/>
        <v>Kagugube</v>
      </c>
      <c r="F834" s="91">
        <v>527</v>
      </c>
    </row>
    <row r="835" spans="1:6">
      <c r="A835" s="91" t="s">
        <v>1117</v>
      </c>
      <c r="B835" s="91" t="s">
        <v>183</v>
      </c>
      <c r="C835" s="91" t="s">
        <v>899</v>
      </c>
      <c r="D835" s="91" t="str">
        <f t="shared" ref="D835:D898" si="14">A835</f>
        <v>Kamwokya</v>
      </c>
      <c r="E835" s="91" t="str">
        <f t="shared" si="10"/>
        <v>Kamwokya</v>
      </c>
      <c r="F835" s="91">
        <v>528</v>
      </c>
    </row>
    <row r="836" spans="1:6">
      <c r="A836" s="91" t="s">
        <v>1118</v>
      </c>
      <c r="D836" s="91" t="str">
        <f t="shared" si="14"/>
        <v>KAMOKYA</v>
      </c>
      <c r="F836" s="91">
        <v>528</v>
      </c>
    </row>
    <row r="837" spans="1:6">
      <c r="A837" s="91" t="s">
        <v>1119</v>
      </c>
      <c r="D837" s="91" t="str">
        <f t="shared" si="14"/>
        <v>Mawanda</v>
      </c>
      <c r="F837" s="91">
        <v>528</v>
      </c>
    </row>
    <row r="838" spans="1:6">
      <c r="A838" s="91" t="s">
        <v>1120</v>
      </c>
      <c r="D838" s="91" t="str">
        <f t="shared" si="14"/>
        <v>Mawanda rd</v>
      </c>
      <c r="F838" s="91">
        <v>528</v>
      </c>
    </row>
    <row r="839" spans="1:6">
      <c r="A839" s="91" t="s">
        <v>1121</v>
      </c>
      <c r="D839" s="91" t="str">
        <f t="shared" si="14"/>
        <v>KAWOKYA</v>
      </c>
      <c r="F839" s="91">
        <v>528</v>
      </c>
    </row>
    <row r="840" spans="1:6">
      <c r="A840" s="91" t="s">
        <v>1122</v>
      </c>
      <c r="D840" s="91" t="str">
        <f t="shared" si="14"/>
        <v>KAMWOJA</v>
      </c>
      <c r="F840" s="91">
        <v>528</v>
      </c>
    </row>
    <row r="841" spans="1:6">
      <c r="A841" s="91" t="s">
        <v>1123</v>
      </c>
      <c r="D841" s="91" t="str">
        <f t="shared" si="14"/>
        <v>NBS</v>
      </c>
      <c r="F841" s="91">
        <v>528</v>
      </c>
    </row>
    <row r="842" spans="1:6">
      <c r="A842" s="91" t="s">
        <v>1124</v>
      </c>
      <c r="D842" s="91" t="str">
        <f t="shared" si="14"/>
        <v>Acacia mall</v>
      </c>
      <c r="F842" s="91">
        <v>528</v>
      </c>
    </row>
    <row r="843" spans="1:6">
      <c r="A843" s="91" t="s">
        <v>1125</v>
      </c>
      <c r="D843" s="91" t="str">
        <f t="shared" si="14"/>
        <v>ACACIA</v>
      </c>
      <c r="F843" s="91">
        <v>528</v>
      </c>
    </row>
    <row r="844" spans="1:6">
      <c r="A844" s="91" t="s">
        <v>1126</v>
      </c>
      <c r="D844" s="91" t="str">
        <f t="shared" si="14"/>
        <v>ACASSIA MALL</v>
      </c>
      <c r="F844" s="91">
        <v>528</v>
      </c>
    </row>
    <row r="845" spans="1:6">
      <c r="A845" s="91" t="s">
        <v>1127</v>
      </c>
      <c r="D845" s="91" t="str">
        <f t="shared" si="14"/>
        <v>ACACIA MALL KAMOKYA</v>
      </c>
      <c r="F845" s="91">
        <v>528</v>
      </c>
    </row>
    <row r="846" spans="1:6">
      <c r="A846" s="91" t="s">
        <v>1128</v>
      </c>
      <c r="B846" s="91" t="s">
        <v>183</v>
      </c>
      <c r="C846" s="91" t="s">
        <v>899</v>
      </c>
      <c r="D846" s="91" t="str">
        <f t="shared" si="14"/>
        <v>Kansanga</v>
      </c>
      <c r="E846" s="91" t="str">
        <f t="shared" si="10"/>
        <v>Kansanga</v>
      </c>
      <c r="F846" s="91">
        <v>529</v>
      </c>
    </row>
    <row r="847" spans="1:6">
      <c r="A847" s="91" t="s">
        <v>1129</v>
      </c>
      <c r="D847" s="91" t="str">
        <f t="shared" si="14"/>
        <v>NABUTITI</v>
      </c>
      <c r="F847" s="91">
        <v>529</v>
      </c>
    </row>
    <row r="848" spans="1:6">
      <c r="A848" s="91" t="s">
        <v>1130</v>
      </c>
      <c r="D848" s="91" t="str">
        <f t="shared" si="14"/>
        <v>Nganda</v>
      </c>
      <c r="F848" s="91">
        <v>529</v>
      </c>
    </row>
    <row r="849" spans="1:6">
      <c r="A849" s="91" t="s">
        <v>1131</v>
      </c>
      <c r="D849" s="91" t="str">
        <f t="shared" si="14"/>
        <v>Kasanga</v>
      </c>
      <c r="E849" s="91" t="str">
        <f t="shared" si="10"/>
        <v>Kasanga</v>
      </c>
      <c r="F849" s="91">
        <v>529</v>
      </c>
    </row>
    <row r="850" spans="1:6">
      <c r="A850" s="91" t="s">
        <v>1132</v>
      </c>
      <c r="B850" s="91" t="s">
        <v>183</v>
      </c>
      <c r="C850" s="91" t="s">
        <v>899</v>
      </c>
      <c r="D850" s="91" t="str">
        <f t="shared" si="14"/>
        <v>Kanyanya</v>
      </c>
      <c r="E850" s="91" t="str">
        <f t="shared" si="10"/>
        <v>Kanyanya</v>
      </c>
      <c r="F850" s="91">
        <v>530</v>
      </c>
    </row>
    <row r="851" spans="1:6">
      <c r="A851" s="91" t="s">
        <v>1133</v>
      </c>
      <c r="D851" s="91" t="str">
        <f t="shared" si="14"/>
        <v>Kiteezi</v>
      </c>
      <c r="F851" s="91">
        <v>530</v>
      </c>
    </row>
    <row r="852" spans="1:6">
      <c r="A852" s="91" t="s">
        <v>1134</v>
      </c>
      <c r="D852" s="91" t="str">
        <f t="shared" si="14"/>
        <v>Lusanja</v>
      </c>
      <c r="F852" s="91">
        <v>530</v>
      </c>
    </row>
    <row r="853" spans="1:6">
      <c r="A853" s="91" t="s">
        <v>1135</v>
      </c>
      <c r="D853" s="91" t="str">
        <f t="shared" si="14"/>
        <v>Bamba</v>
      </c>
      <c r="F853" s="91">
        <v>530</v>
      </c>
    </row>
    <row r="854" spans="1:6">
      <c r="A854" s="91" t="s">
        <v>1136</v>
      </c>
      <c r="B854" s="91" t="s">
        <v>183</v>
      </c>
      <c r="C854" s="91" t="s">
        <v>899</v>
      </c>
      <c r="D854" s="91" t="str">
        <f t="shared" si="14"/>
        <v>Kasubi</v>
      </c>
      <c r="E854" s="91" t="str">
        <f t="shared" si="10"/>
        <v>Kasubi</v>
      </c>
      <c r="F854" s="91">
        <v>531</v>
      </c>
    </row>
    <row r="855" spans="1:6">
      <c r="A855" s="91" t="s">
        <v>1137</v>
      </c>
      <c r="D855" s="91" t="str">
        <f t="shared" si="14"/>
        <v>Hoima rd</v>
      </c>
      <c r="F855" s="91">
        <v>531</v>
      </c>
    </row>
    <row r="856" spans="1:6">
      <c r="A856" s="91" t="s">
        <v>1138</v>
      </c>
      <c r="D856" s="91" t="str">
        <f t="shared" si="14"/>
        <v>Namugona</v>
      </c>
      <c r="E856" s="91" t="str">
        <f t="shared" si="10"/>
        <v>Namugona</v>
      </c>
      <c r="F856" s="91">
        <v>531</v>
      </c>
    </row>
    <row r="857" spans="1:6">
      <c r="A857" s="91" t="s">
        <v>1139</v>
      </c>
      <c r="D857" s="91" t="str">
        <f t="shared" si="14"/>
        <v>Namungona</v>
      </c>
      <c r="F857" s="91">
        <v>531</v>
      </c>
    </row>
    <row r="858" spans="1:6">
      <c r="A858" s="91" t="s">
        <v>1140</v>
      </c>
      <c r="D858" s="91" t="str">
        <f t="shared" si="14"/>
        <v>Namungoona</v>
      </c>
      <c r="E858" s="91" t="str">
        <f t="shared" si="10"/>
        <v>Namungoona</v>
      </c>
      <c r="F858" s="91">
        <v>531</v>
      </c>
    </row>
    <row r="859" spans="1:6">
      <c r="A859" s="91" t="s">
        <v>1141</v>
      </c>
      <c r="D859" s="91" t="str">
        <f t="shared" si="14"/>
        <v>NAMUNGHONA</v>
      </c>
      <c r="F859" s="91">
        <v>531</v>
      </c>
    </row>
    <row r="860" spans="1:6">
      <c r="A860" s="91" t="s">
        <v>1142</v>
      </c>
      <c r="D860" s="91" t="str">
        <f t="shared" si="14"/>
        <v>MAMUNGONA</v>
      </c>
      <c r="F860" s="91">
        <v>531</v>
      </c>
    </row>
    <row r="861" spans="1:6">
      <c r="A861" s="91" t="s">
        <v>1143</v>
      </c>
      <c r="D861" s="91" t="str">
        <f t="shared" si="14"/>
        <v>Cleanex petrol station</v>
      </c>
      <c r="F861" s="91">
        <v>531</v>
      </c>
    </row>
    <row r="862" spans="1:6">
      <c r="A862" s="91" t="s">
        <v>1144</v>
      </c>
      <c r="D862" s="91" t="str">
        <f t="shared" si="14"/>
        <v>Nasere</v>
      </c>
      <c r="F862" s="91">
        <v>531</v>
      </c>
    </row>
    <row r="863" spans="1:6">
      <c r="A863" s="91" t="s">
        <v>1145</v>
      </c>
      <c r="D863" s="91" t="str">
        <f t="shared" si="14"/>
        <v>KAWALA</v>
      </c>
      <c r="F863" s="91">
        <v>531</v>
      </c>
    </row>
    <row r="864" spans="1:6">
      <c r="A864" s="91" t="s">
        <v>1146</v>
      </c>
      <c r="D864" s="91" t="str">
        <f t="shared" si="14"/>
        <v>Kawaala</v>
      </c>
      <c r="F864" s="91">
        <v>531</v>
      </c>
    </row>
    <row r="865" spans="1:6">
      <c r="A865" s="91" t="s">
        <v>1147</v>
      </c>
      <c r="B865" s="91" t="s">
        <v>183</v>
      </c>
      <c r="C865" s="91" t="s">
        <v>899</v>
      </c>
      <c r="D865" s="91" t="str">
        <f t="shared" si="14"/>
        <v>Katwe</v>
      </c>
      <c r="E865" s="91" t="str">
        <f t="shared" si="10"/>
        <v>Katwe</v>
      </c>
      <c r="F865" s="91">
        <v>532</v>
      </c>
    </row>
    <row r="866" spans="1:6">
      <c r="A866" s="91" t="s">
        <v>1148</v>
      </c>
      <c r="D866" s="91" t="str">
        <f t="shared" si="14"/>
        <v>QUEENS WAY</v>
      </c>
      <c r="F866" s="91">
        <v>532</v>
      </c>
    </row>
    <row r="867" spans="1:6">
      <c r="A867" s="91" t="s">
        <v>188</v>
      </c>
      <c r="B867" s="91" t="s">
        <v>183</v>
      </c>
      <c r="C867" s="91" t="s">
        <v>899</v>
      </c>
      <c r="D867" s="91" t="str">
        <f t="shared" si="14"/>
        <v>Kawempe</v>
      </c>
      <c r="E867" s="91" t="str">
        <f t="shared" si="10"/>
        <v>Kawempe</v>
      </c>
      <c r="F867" s="91">
        <v>533</v>
      </c>
    </row>
    <row r="868" spans="1:6">
      <c r="A868" s="91" t="s">
        <v>1149</v>
      </c>
      <c r="D868" s="91" t="str">
        <f t="shared" si="14"/>
        <v>CENTRAL KAWEMPE</v>
      </c>
      <c r="F868" s="91">
        <v>533</v>
      </c>
    </row>
    <row r="869" spans="1:6">
      <c r="A869" s="91" t="s">
        <v>1150</v>
      </c>
      <c r="D869" s="91" t="str">
        <f t="shared" si="14"/>
        <v>Tula</v>
      </c>
      <c r="F869" s="91">
        <v>533</v>
      </c>
    </row>
    <row r="870" spans="1:6">
      <c r="A870" s="91" t="s">
        <v>1151</v>
      </c>
      <c r="D870" s="91" t="str">
        <f t="shared" si="14"/>
        <v>Agakhan</v>
      </c>
      <c r="E870" s="91" t="str">
        <f t="shared" si="10"/>
        <v>Agakhan</v>
      </c>
      <c r="F870" s="91">
        <v>533</v>
      </c>
    </row>
    <row r="871" spans="1:6">
      <c r="A871" s="91" t="s">
        <v>1152</v>
      </c>
      <c r="B871" s="91" t="s">
        <v>183</v>
      </c>
      <c r="C871" s="91" t="s">
        <v>899</v>
      </c>
      <c r="D871" s="91" t="str">
        <f t="shared" si="14"/>
        <v>Kazo Angola</v>
      </c>
      <c r="E871" s="91" t="str">
        <f t="shared" si="10"/>
        <v>Kazo Angola</v>
      </c>
      <c r="F871" s="91">
        <v>534</v>
      </c>
    </row>
    <row r="872" spans="1:6">
      <c r="A872" s="91" t="s">
        <v>1153</v>
      </c>
      <c r="B872" s="91" t="s">
        <v>183</v>
      </c>
      <c r="C872" s="91" t="s">
        <v>899</v>
      </c>
      <c r="D872" s="91" t="str">
        <f t="shared" si="14"/>
        <v>Kibuli</v>
      </c>
      <c r="E872" s="91" t="str">
        <f t="shared" si="10"/>
        <v>Kibuli</v>
      </c>
      <c r="F872" s="91">
        <v>535</v>
      </c>
    </row>
    <row r="873" spans="1:6">
      <c r="A873" s="91" t="s">
        <v>199</v>
      </c>
      <c r="B873" s="91" t="s">
        <v>183</v>
      </c>
      <c r="C873" s="91" t="s">
        <v>899</v>
      </c>
      <c r="D873" s="91" t="str">
        <f t="shared" si="14"/>
        <v>Kibuye</v>
      </c>
      <c r="E873" s="91" t="str">
        <f t="shared" si="10"/>
        <v>Kibuye</v>
      </c>
      <c r="F873" s="91">
        <v>536</v>
      </c>
    </row>
    <row r="874" spans="1:6">
      <c r="A874" s="91" t="s">
        <v>1154</v>
      </c>
      <c r="B874" s="91" t="s">
        <v>183</v>
      </c>
      <c r="C874" s="91" t="s">
        <v>899</v>
      </c>
      <c r="D874" s="91" t="str">
        <f t="shared" si="14"/>
        <v>Kikaaya</v>
      </c>
      <c r="E874" s="91" t="str">
        <f t="shared" si="10"/>
        <v>Kikaaya</v>
      </c>
      <c r="F874" s="91">
        <v>537</v>
      </c>
    </row>
    <row r="875" spans="1:6">
      <c r="A875" s="91" t="s">
        <v>1155</v>
      </c>
      <c r="B875" s="91" t="s">
        <v>183</v>
      </c>
      <c r="C875" s="91" t="s">
        <v>899</v>
      </c>
      <c r="D875" s="91" t="str">
        <f t="shared" si="14"/>
        <v xml:space="preserve">Kisenyi </v>
      </c>
      <c r="E875" s="91" t="str">
        <f t="shared" si="10"/>
        <v xml:space="preserve">Kisenyi </v>
      </c>
      <c r="F875" s="91">
        <v>538</v>
      </c>
    </row>
    <row r="876" spans="1:6">
      <c r="A876" s="91" t="s">
        <v>1156</v>
      </c>
      <c r="D876" s="91" t="str">
        <f t="shared" si="14"/>
        <v>KISENYI</v>
      </c>
      <c r="F876" s="91">
        <v>538</v>
      </c>
    </row>
    <row r="877" spans="1:6">
      <c r="A877" s="91" t="s">
        <v>1157</v>
      </c>
      <c r="D877" s="91" t="str">
        <f t="shared" si="14"/>
        <v>MUKASA ROAD</v>
      </c>
      <c r="F877" s="91">
        <v>538</v>
      </c>
    </row>
    <row r="878" spans="1:6">
      <c r="A878" s="91" t="s">
        <v>1158</v>
      </c>
      <c r="D878" s="91" t="str">
        <f t="shared" si="14"/>
        <v>KISENYI  PARK</v>
      </c>
      <c r="F878" s="91">
        <v>538</v>
      </c>
    </row>
    <row r="879" spans="1:6">
      <c r="A879" s="91" t="s">
        <v>1159</v>
      </c>
      <c r="D879" s="91" t="str">
        <f t="shared" si="14"/>
        <v>KISENYI BUS TERMINAL</v>
      </c>
      <c r="F879" s="91">
        <v>538</v>
      </c>
    </row>
    <row r="880" spans="1:6">
      <c r="A880" s="91" t="s">
        <v>1160</v>
      </c>
      <c r="D880" s="91" t="str">
        <f t="shared" si="14"/>
        <v>Kasenyi</v>
      </c>
      <c r="F880" s="91">
        <v>538</v>
      </c>
    </row>
    <row r="881" spans="1:6">
      <c r="A881" s="91" t="s">
        <v>1161</v>
      </c>
      <c r="B881" s="91" t="s">
        <v>183</v>
      </c>
      <c r="C881" s="91" t="s">
        <v>899</v>
      </c>
      <c r="D881" s="91" t="str">
        <f t="shared" si="14"/>
        <v>Kisugu</v>
      </c>
      <c r="E881" s="91" t="str">
        <f t="shared" si="10"/>
        <v>Kisugu</v>
      </c>
      <c r="F881" s="91">
        <v>539</v>
      </c>
    </row>
    <row r="882" spans="1:6">
      <c r="A882" s="91" t="s">
        <v>1162</v>
      </c>
      <c r="B882" s="91" t="s">
        <v>183</v>
      </c>
      <c r="C882" s="91" t="s">
        <v>899</v>
      </c>
      <c r="D882" s="91" t="str">
        <f t="shared" si="14"/>
        <v>Kiswa</v>
      </c>
      <c r="E882" s="91" t="str">
        <f t="shared" si="10"/>
        <v>Kiswa</v>
      </c>
      <c r="F882" s="91">
        <v>540</v>
      </c>
    </row>
    <row r="883" spans="1:6">
      <c r="A883" s="91" t="s">
        <v>1163</v>
      </c>
      <c r="B883" s="91" t="s">
        <v>183</v>
      </c>
      <c r="C883" s="91" t="s">
        <v>899</v>
      </c>
      <c r="D883" s="91" t="str">
        <f t="shared" si="14"/>
        <v>Kiwatule</v>
      </c>
      <c r="E883" s="91" t="str">
        <f t="shared" si="10"/>
        <v>Kiwatule</v>
      </c>
      <c r="F883" s="91">
        <v>541</v>
      </c>
    </row>
    <row r="884" spans="1:6">
      <c r="A884" s="91" t="s">
        <v>1164</v>
      </c>
      <c r="D884" s="91" t="str">
        <f t="shared" si="14"/>
        <v>KIWAATULE</v>
      </c>
      <c r="F884" s="91">
        <v>541</v>
      </c>
    </row>
    <row r="885" spans="1:6">
      <c r="A885" s="91" t="s">
        <v>1165</v>
      </c>
      <c r="D885" s="91" t="str">
        <f t="shared" si="14"/>
        <v>POLICE STATION KIWATULE</v>
      </c>
      <c r="F885" s="91">
        <v>541</v>
      </c>
    </row>
    <row r="886" spans="1:6">
      <c r="A886" s="91" t="s">
        <v>1166</v>
      </c>
      <c r="D886" s="91" t="str">
        <f t="shared" si="14"/>
        <v>KIGOWA</v>
      </c>
      <c r="F886" s="91">
        <v>541</v>
      </c>
    </row>
    <row r="887" spans="1:6">
      <c r="A887" s="91" t="s">
        <v>1167</v>
      </c>
      <c r="D887" s="91" t="str">
        <f t="shared" si="14"/>
        <v>Wamala</v>
      </c>
      <c r="F887" s="91">
        <v>541</v>
      </c>
    </row>
    <row r="888" spans="1:6">
      <c r="A888" s="91" t="s">
        <v>1168</v>
      </c>
      <c r="D888" s="91" t="str">
        <f t="shared" si="14"/>
        <v>Kajiri</v>
      </c>
      <c r="F888" s="91">
        <v>541</v>
      </c>
    </row>
    <row r="889" spans="1:6">
      <c r="A889" s="91" t="s">
        <v>1169</v>
      </c>
      <c r="B889" s="91" t="s">
        <v>183</v>
      </c>
      <c r="C889" s="91" t="s">
        <v>899</v>
      </c>
      <c r="D889" s="91" t="str">
        <f t="shared" si="14"/>
        <v>Kololo</v>
      </c>
      <c r="E889" s="91" t="str">
        <f t="shared" si="10"/>
        <v>Kololo</v>
      </c>
      <c r="F889" s="91">
        <v>542</v>
      </c>
    </row>
    <row r="890" spans="1:6">
      <c r="A890" s="91" t="s">
        <v>1170</v>
      </c>
      <c r="D890" s="91" t="str">
        <f t="shared" si="14"/>
        <v>Upper Kololo</v>
      </c>
      <c r="F890" s="91">
        <v>542</v>
      </c>
    </row>
    <row r="891" spans="1:6">
      <c r="A891" s="91" t="s">
        <v>1171</v>
      </c>
      <c r="D891" s="91" t="str">
        <f t="shared" si="14"/>
        <v>ADONAI</v>
      </c>
      <c r="F891" s="91">
        <v>542</v>
      </c>
    </row>
    <row r="892" spans="1:6">
      <c r="A892" s="91" t="s">
        <v>1172</v>
      </c>
      <c r="D892" s="91" t="str">
        <f t="shared" si="14"/>
        <v>Garden City</v>
      </c>
      <c r="F892" s="91">
        <v>542</v>
      </c>
    </row>
    <row r="893" spans="1:6">
      <c r="D893" s="91">
        <f t="shared" si="14"/>
        <v>0</v>
      </c>
    </row>
    <row r="894" spans="1:6">
      <c r="A894" s="91" t="s">
        <v>1173</v>
      </c>
      <c r="D894" s="91" t="str">
        <f t="shared" si="14"/>
        <v>YUSUF LULE ROAD</v>
      </c>
      <c r="F894" s="91">
        <v>542</v>
      </c>
    </row>
    <row r="895" spans="1:6">
      <c r="A895" s="91" t="s">
        <v>1174</v>
      </c>
      <c r="D895" s="91" t="str">
        <f t="shared" si="14"/>
        <v>Yusuf Lule</v>
      </c>
      <c r="F895" s="91">
        <v>542</v>
      </c>
    </row>
    <row r="896" spans="1:6">
      <c r="A896" s="91" t="s">
        <v>1175</v>
      </c>
      <c r="D896" s="91" t="str">
        <f t="shared" si="14"/>
        <v>Kitante</v>
      </c>
      <c r="F896" s="91">
        <v>542</v>
      </c>
    </row>
    <row r="897" spans="1:6">
      <c r="A897" s="91" t="s">
        <v>1176</v>
      </c>
      <c r="D897" s="91" t="str">
        <f t="shared" si="14"/>
        <v>Bulemezi</v>
      </c>
      <c r="F897" s="91">
        <v>542</v>
      </c>
    </row>
    <row r="898" spans="1:6">
      <c r="A898" s="91" t="s">
        <v>1177</v>
      </c>
      <c r="D898" s="91" t="str">
        <f t="shared" si="14"/>
        <v>NYONYI GARDENS</v>
      </c>
      <c r="F898" s="91">
        <v>542</v>
      </c>
    </row>
    <row r="899" spans="1:6">
      <c r="A899" s="91" t="s">
        <v>1178</v>
      </c>
      <c r="D899" s="91" t="str">
        <f t="shared" ref="D899:D962" si="15">A899</f>
        <v>Lugogo</v>
      </c>
      <c r="F899" s="91">
        <v>542</v>
      </c>
    </row>
    <row r="900" spans="1:6">
      <c r="A900" s="91" t="s">
        <v>1179</v>
      </c>
      <c r="D900" s="91" t="str">
        <f t="shared" si="15"/>
        <v>Kinyara</v>
      </c>
      <c r="F900" s="91">
        <v>542</v>
      </c>
    </row>
    <row r="901" spans="1:6">
      <c r="A901" s="91" t="s">
        <v>1180</v>
      </c>
      <c r="D901" s="91" t="str">
        <f t="shared" si="15"/>
        <v>WAVA WATER-LUGOGO</v>
      </c>
      <c r="F901" s="91">
        <v>542</v>
      </c>
    </row>
    <row r="902" spans="1:6">
      <c r="A902" s="91" t="s">
        <v>1181</v>
      </c>
      <c r="D902" s="91" t="str">
        <f t="shared" si="15"/>
        <v>GAME SHOPPING CENTRE</v>
      </c>
      <c r="F902" s="91">
        <v>542</v>
      </c>
    </row>
    <row r="903" spans="1:6">
      <c r="A903" s="91" t="s">
        <v>1182</v>
      </c>
      <c r="D903" s="91" t="str">
        <f t="shared" si="15"/>
        <v>GAME</v>
      </c>
      <c r="F903" s="91">
        <v>542</v>
      </c>
    </row>
    <row r="904" spans="1:6">
      <c r="A904" s="91" t="s">
        <v>1183</v>
      </c>
      <c r="D904" s="91" t="str">
        <f t="shared" si="15"/>
        <v>LUGOGO BY PASS</v>
      </c>
      <c r="F904" s="91">
        <v>542</v>
      </c>
    </row>
    <row r="905" spans="1:6">
      <c r="A905" s="91" t="s">
        <v>1184</v>
      </c>
      <c r="D905" s="91" t="str">
        <f t="shared" si="15"/>
        <v>Lugogo Bypass</v>
      </c>
      <c r="F905" s="91">
        <v>542</v>
      </c>
    </row>
    <row r="906" spans="1:6">
      <c r="A906" s="91" t="s">
        <v>1185</v>
      </c>
      <c r="D906" s="91" t="str">
        <f t="shared" si="15"/>
        <v>Kyadondo</v>
      </c>
      <c r="F906" s="91">
        <v>542</v>
      </c>
    </row>
    <row r="907" spans="1:6">
      <c r="A907" s="91" t="s">
        <v>1186</v>
      </c>
      <c r="D907" s="91" t="str">
        <f t="shared" si="15"/>
        <v>Forest mall</v>
      </c>
      <c r="F907" s="91">
        <v>542</v>
      </c>
    </row>
    <row r="908" spans="1:6">
      <c r="A908" s="91" t="s">
        <v>1187</v>
      </c>
      <c r="D908" s="91" t="str">
        <f t="shared" si="15"/>
        <v>Kabojja</v>
      </c>
      <c r="F908" s="91">
        <v>542</v>
      </c>
    </row>
    <row r="909" spans="1:6">
      <c r="A909" s="91" t="s">
        <v>1188</v>
      </c>
      <c r="D909" s="91" t="str">
        <f t="shared" si="15"/>
        <v>KABOGGA</v>
      </c>
      <c r="F909" s="91">
        <v>542</v>
      </c>
    </row>
    <row r="910" spans="1:6">
      <c r="A910" s="91" t="s">
        <v>1189</v>
      </c>
      <c r="D910" s="91" t="str">
        <f t="shared" si="15"/>
        <v>KABOGA</v>
      </c>
      <c r="F910" s="91">
        <v>542</v>
      </c>
    </row>
    <row r="911" spans="1:6">
      <c r="A911" s="91" t="s">
        <v>1190</v>
      </c>
      <c r="D911" s="91" t="str">
        <f t="shared" si="15"/>
        <v>Wampewo</v>
      </c>
      <c r="E911" s="91" t="str">
        <f t="shared" si="10"/>
        <v>Wampewo</v>
      </c>
      <c r="F911" s="91">
        <v>542</v>
      </c>
    </row>
    <row r="912" spans="1:6">
      <c r="A912" s="91" t="s">
        <v>1191</v>
      </c>
      <c r="D912" s="91" t="str">
        <f t="shared" si="15"/>
        <v>Wampeewo</v>
      </c>
      <c r="F912" s="91">
        <v>542</v>
      </c>
    </row>
    <row r="913" spans="1:6">
      <c r="A913" s="91" t="s">
        <v>1192</v>
      </c>
      <c r="D913" s="91" t="str">
        <f t="shared" si="15"/>
        <v>Masoli</v>
      </c>
      <c r="F913" s="91">
        <v>542</v>
      </c>
    </row>
    <row r="914" spans="1:6">
      <c r="A914" s="91" t="s">
        <v>1193</v>
      </c>
      <c r="D914" s="91" t="str">
        <f t="shared" si="15"/>
        <v>MASOOLI</v>
      </c>
      <c r="F914" s="91">
        <v>542</v>
      </c>
    </row>
    <row r="915" spans="1:6">
      <c r="A915" s="91" t="s">
        <v>1194</v>
      </c>
      <c r="D915" s="91" t="str">
        <f t="shared" si="15"/>
        <v>Luteete</v>
      </c>
      <c r="F915" s="91">
        <v>542</v>
      </c>
    </row>
    <row r="916" spans="1:6">
      <c r="A916" s="91" t="s">
        <v>1195</v>
      </c>
      <c r="D916" s="91" t="str">
        <f t="shared" si="15"/>
        <v>Lutete</v>
      </c>
      <c r="F916" s="91">
        <v>542</v>
      </c>
    </row>
    <row r="917" spans="1:6">
      <c r="A917" s="91" t="s">
        <v>1196</v>
      </c>
      <c r="B917" s="91" t="s">
        <v>183</v>
      </c>
      <c r="C917" s="91" t="s">
        <v>899</v>
      </c>
      <c r="D917" s="91" t="str">
        <f t="shared" si="15"/>
        <v>Komamboga</v>
      </c>
      <c r="E917" s="91" t="str">
        <f t="shared" si="10"/>
        <v>Komamboga</v>
      </c>
      <c r="F917" s="91">
        <v>543</v>
      </c>
    </row>
    <row r="918" spans="1:6">
      <c r="A918" s="91" t="s">
        <v>1197</v>
      </c>
      <c r="D918" s="91" t="str">
        <f t="shared" si="15"/>
        <v>Ndundu</v>
      </c>
      <c r="F918" s="91">
        <v>543</v>
      </c>
    </row>
    <row r="919" spans="1:6">
      <c r="A919" s="91" t="s">
        <v>1198</v>
      </c>
      <c r="B919" s="91" t="s">
        <v>183</v>
      </c>
      <c r="C919" s="91" t="s">
        <v>899</v>
      </c>
      <c r="D919" s="91" t="str">
        <f t="shared" si="15"/>
        <v>Kyambogo</v>
      </c>
      <c r="E919" s="91" t="str">
        <f t="shared" si="10"/>
        <v>Kyambogo</v>
      </c>
      <c r="F919" s="91">
        <v>544</v>
      </c>
    </row>
    <row r="920" spans="1:6">
      <c r="A920" s="91" t="s">
        <v>1199</v>
      </c>
      <c r="D920" s="91" t="str">
        <f t="shared" si="15"/>
        <v>KYBOGO</v>
      </c>
      <c r="F920" s="91">
        <v>544</v>
      </c>
    </row>
    <row r="921" spans="1:6">
      <c r="A921" s="91" t="s">
        <v>1200</v>
      </c>
      <c r="D921" s="91" t="str">
        <f t="shared" si="15"/>
        <v>MBOGO</v>
      </c>
      <c r="F921" s="91">
        <v>544</v>
      </c>
    </row>
    <row r="922" spans="1:6">
      <c r="A922" s="91" t="s">
        <v>1201</v>
      </c>
      <c r="D922" s="91" t="str">
        <f t="shared" si="15"/>
        <v>Kyambogo university</v>
      </c>
      <c r="F922" s="91">
        <v>544</v>
      </c>
    </row>
    <row r="923" spans="1:6">
      <c r="A923" s="91" t="s">
        <v>1202</v>
      </c>
      <c r="B923" s="91" t="s">
        <v>183</v>
      </c>
      <c r="C923" s="91" t="s">
        <v>899</v>
      </c>
      <c r="D923" s="91" t="str">
        <f t="shared" si="15"/>
        <v>Kyanja</v>
      </c>
      <c r="E923" s="91" t="str">
        <f t="shared" si="10"/>
        <v>Kyanja</v>
      </c>
      <c r="F923" s="91">
        <v>545</v>
      </c>
    </row>
    <row r="924" spans="1:6">
      <c r="A924" s="91" t="s">
        <v>1203</v>
      </c>
      <c r="D924" s="91" t="str">
        <f t="shared" si="15"/>
        <v>Kyanga</v>
      </c>
      <c r="F924" s="91">
        <v>545</v>
      </c>
    </row>
    <row r="925" spans="1:6">
      <c r="A925" s="91" t="s">
        <v>1204</v>
      </c>
      <c r="D925" s="91" t="str">
        <f t="shared" si="15"/>
        <v>Kyanjja</v>
      </c>
      <c r="E925" s="91" t="str">
        <f t="shared" si="10"/>
        <v>Kyanjja</v>
      </c>
      <c r="F925" s="91">
        <v>545</v>
      </c>
    </row>
    <row r="926" spans="1:6">
      <c r="A926" s="91" t="s">
        <v>1205</v>
      </c>
      <c r="D926" s="91" t="str">
        <f t="shared" si="15"/>
        <v>Kumbuzi</v>
      </c>
      <c r="E926" s="91" t="str">
        <f t="shared" si="10"/>
        <v>Kumbuzi</v>
      </c>
      <c r="F926" s="91">
        <v>545</v>
      </c>
    </row>
    <row r="927" spans="1:6">
      <c r="A927" s="91" t="s">
        <v>1206</v>
      </c>
      <c r="D927" s="91" t="str">
        <f t="shared" si="15"/>
        <v>Kumbusi</v>
      </c>
      <c r="F927" s="91">
        <v>545</v>
      </c>
    </row>
    <row r="928" spans="1:6">
      <c r="A928" s="91" t="s">
        <v>1207</v>
      </c>
      <c r="B928" s="91" t="s">
        <v>183</v>
      </c>
      <c r="C928" s="91" t="s">
        <v>899</v>
      </c>
      <c r="D928" s="91" t="str">
        <f t="shared" si="15"/>
        <v>Kyebando</v>
      </c>
      <c r="E928" s="91" t="str">
        <f t="shared" si="10"/>
        <v>Kyebando</v>
      </c>
      <c r="F928" s="91">
        <v>546</v>
      </c>
    </row>
    <row r="929" spans="1:6">
      <c r="A929" s="91" t="s">
        <v>1208</v>
      </c>
      <c r="D929" s="91" t="str">
        <f t="shared" si="15"/>
        <v>Kikaya</v>
      </c>
      <c r="F929" s="91">
        <v>546</v>
      </c>
    </row>
    <row r="930" spans="1:6">
      <c r="A930" s="91" t="s">
        <v>1209</v>
      </c>
      <c r="D930" s="91" t="str">
        <f t="shared" si="15"/>
        <v>Kalerwe</v>
      </c>
      <c r="F930" s="91">
        <v>546</v>
      </c>
    </row>
    <row r="931" spans="1:6">
      <c r="A931" s="91" t="s">
        <v>1210</v>
      </c>
      <c r="D931" s="91" t="str">
        <f t="shared" si="15"/>
        <v>Kalelwe</v>
      </c>
      <c r="F931" s="91">
        <v>546</v>
      </c>
    </row>
    <row r="932" spans="1:6">
      <c r="A932" s="91" t="s">
        <v>1211</v>
      </c>
      <c r="D932" s="91" t="str">
        <f t="shared" si="15"/>
        <v>Kalerwa</v>
      </c>
      <c r="F932" s="91">
        <v>546</v>
      </c>
    </row>
    <row r="933" spans="1:6">
      <c r="A933" s="91" t="s">
        <v>1212</v>
      </c>
      <c r="B933" s="91" t="s">
        <v>183</v>
      </c>
      <c r="C933" s="91" t="s">
        <v>899</v>
      </c>
      <c r="D933" s="91" t="str">
        <f t="shared" si="15"/>
        <v>Lubaga</v>
      </c>
      <c r="E933" s="91" t="str">
        <f t="shared" si="10"/>
        <v>Lubaga</v>
      </c>
      <c r="F933" s="91">
        <v>547</v>
      </c>
    </row>
    <row r="934" spans="1:6">
      <c r="A934" s="91" t="s">
        <v>610</v>
      </c>
      <c r="B934" s="91" t="s">
        <v>183</v>
      </c>
      <c r="C934" s="91" t="s">
        <v>899</v>
      </c>
      <c r="D934" s="91" t="str">
        <f t="shared" si="15"/>
        <v>Lubya</v>
      </c>
      <c r="E934" s="91" t="str">
        <f t="shared" si="10"/>
        <v>Lubya</v>
      </c>
      <c r="F934" s="91">
        <v>548</v>
      </c>
    </row>
    <row r="935" spans="1:6">
      <c r="A935" s="91" t="s">
        <v>1213</v>
      </c>
      <c r="B935" s="91" t="s">
        <v>183</v>
      </c>
      <c r="C935" s="91" t="s">
        <v>899</v>
      </c>
      <c r="D935" s="91" t="str">
        <f t="shared" si="15"/>
        <v>Lukuli</v>
      </c>
      <c r="E935" s="91" t="str">
        <f t="shared" si="10"/>
        <v>Lukuli</v>
      </c>
      <c r="F935" s="91">
        <v>549</v>
      </c>
    </row>
    <row r="936" spans="1:6">
      <c r="A936" s="91" t="s">
        <v>1214</v>
      </c>
      <c r="B936" s="91" t="s">
        <v>183</v>
      </c>
      <c r="C936" s="91" t="s">
        <v>899</v>
      </c>
      <c r="D936" s="91" t="str">
        <f t="shared" si="15"/>
        <v>Lungujja</v>
      </c>
      <c r="E936" s="91" t="str">
        <f t="shared" si="10"/>
        <v>Lungujja</v>
      </c>
      <c r="F936" s="91">
        <v>550</v>
      </c>
    </row>
    <row r="937" spans="1:6">
      <c r="A937" s="91" t="s">
        <v>1215</v>
      </c>
      <c r="D937" s="91" t="str">
        <f t="shared" si="15"/>
        <v>Lunguja</v>
      </c>
      <c r="E937" s="91" t="str">
        <f t="shared" si="10"/>
        <v>Lunguja</v>
      </c>
      <c r="F937" s="91">
        <v>550</v>
      </c>
    </row>
    <row r="938" spans="1:6">
      <c r="A938" s="91" t="s">
        <v>1216</v>
      </c>
      <c r="D938" s="91" t="str">
        <f t="shared" si="15"/>
        <v xml:space="preserve">WAKALIGA </v>
      </c>
      <c r="F938" s="91">
        <v>550</v>
      </c>
    </row>
    <row r="939" spans="1:6">
      <c r="A939" s="91" t="s">
        <v>1217</v>
      </c>
      <c r="D939" s="91" t="str">
        <f t="shared" si="15"/>
        <v>Wakaliga</v>
      </c>
      <c r="F939" s="91">
        <v>550</v>
      </c>
    </row>
    <row r="940" spans="1:6">
      <c r="A940" s="91" t="s">
        <v>1218</v>
      </c>
      <c r="D940" s="91" t="str">
        <f t="shared" si="15"/>
        <v>Stabex</v>
      </c>
      <c r="E940" s="91" t="str">
        <f t="shared" si="10"/>
        <v>Stabex</v>
      </c>
      <c r="F940" s="91">
        <v>550</v>
      </c>
    </row>
    <row r="941" spans="1:6">
      <c r="A941" s="91" t="s">
        <v>1219</v>
      </c>
      <c r="B941" s="91" t="s">
        <v>183</v>
      </c>
      <c r="C941" s="91" t="s">
        <v>899</v>
      </c>
      <c r="D941" s="91" t="str">
        <f t="shared" si="15"/>
        <v>Luwafu</v>
      </c>
      <c r="E941" s="91" t="str">
        <f t="shared" si="10"/>
        <v>Luwafu</v>
      </c>
      <c r="F941" s="91">
        <v>551</v>
      </c>
    </row>
    <row r="942" spans="1:6">
      <c r="A942" s="91" t="s">
        <v>1220</v>
      </c>
      <c r="D942" s="91" t="str">
        <f t="shared" si="15"/>
        <v>Mirembe</v>
      </c>
      <c r="E942" s="91" t="str">
        <f t="shared" si="10"/>
        <v>Mirembe</v>
      </c>
      <c r="F942" s="91">
        <v>551</v>
      </c>
    </row>
    <row r="943" spans="1:6">
      <c r="A943" s="91" t="s">
        <v>232</v>
      </c>
      <c r="B943" s="91" t="s">
        <v>183</v>
      </c>
      <c r="C943" s="91" t="s">
        <v>899</v>
      </c>
      <c r="D943" s="91" t="str">
        <f t="shared" si="15"/>
        <v>Luzira</v>
      </c>
      <c r="E943" s="91" t="str">
        <f t="shared" si="10"/>
        <v>Luzira</v>
      </c>
      <c r="F943" s="91">
        <v>552</v>
      </c>
    </row>
    <row r="944" spans="1:6">
      <c r="A944" s="91" t="s">
        <v>1221</v>
      </c>
      <c r="B944" s="91" t="s">
        <v>183</v>
      </c>
      <c r="C944" s="91" t="s">
        <v>899</v>
      </c>
      <c r="D944" s="91" t="str">
        <f t="shared" si="15"/>
        <v>Luzira Prisons</v>
      </c>
      <c r="E944" s="91" t="str">
        <f t="shared" si="10"/>
        <v>Luzira Prisons</v>
      </c>
      <c r="F944" s="91">
        <v>553</v>
      </c>
    </row>
    <row r="945" spans="1:6">
      <c r="A945" s="91" t="s">
        <v>1222</v>
      </c>
      <c r="B945" s="91" t="s">
        <v>183</v>
      </c>
      <c r="C945" s="91" t="s">
        <v>899</v>
      </c>
      <c r="D945" s="91" t="str">
        <f t="shared" si="15"/>
        <v>Makerere</v>
      </c>
      <c r="E945" s="91" t="str">
        <f t="shared" si="10"/>
        <v>Makerere</v>
      </c>
      <c r="F945" s="91">
        <v>554</v>
      </c>
    </row>
    <row r="946" spans="1:6">
      <c r="A946" s="91" t="s">
        <v>1223</v>
      </c>
      <c r="D946" s="91" t="str">
        <f t="shared" si="15"/>
        <v>MAKRERE</v>
      </c>
      <c r="F946" s="91">
        <v>554</v>
      </c>
    </row>
    <row r="947" spans="1:6">
      <c r="A947" s="91" t="s">
        <v>1224</v>
      </c>
      <c r="D947" s="91" t="str">
        <f t="shared" si="15"/>
        <v>Bila</v>
      </c>
      <c r="E947" s="91" t="str">
        <f t="shared" si="10"/>
        <v>Bila</v>
      </c>
      <c r="F947" s="91">
        <v>554</v>
      </c>
    </row>
    <row r="948" spans="1:6">
      <c r="A948" s="91" t="s">
        <v>1225</v>
      </c>
      <c r="D948" s="91" t="str">
        <f t="shared" si="15"/>
        <v>Billa</v>
      </c>
      <c r="F948" s="91">
        <v>554</v>
      </c>
    </row>
    <row r="949" spans="1:6">
      <c r="A949" s="91" t="s">
        <v>1226</v>
      </c>
      <c r="D949" s="91" t="str">
        <f t="shared" si="15"/>
        <v>KIKONI</v>
      </c>
      <c r="E949" s="91" t="str">
        <f t="shared" si="10"/>
        <v>KIKONI</v>
      </c>
      <c r="F949" s="91">
        <v>554</v>
      </c>
    </row>
    <row r="950" spans="1:6">
      <c r="A950" s="91" t="s">
        <v>1227</v>
      </c>
      <c r="D950" s="91" t="str">
        <f t="shared" si="15"/>
        <v>Sir Apollo Kaggwa Road</v>
      </c>
      <c r="F950" s="91">
        <v>554</v>
      </c>
    </row>
    <row r="951" spans="1:6">
      <c r="A951" s="91" t="s">
        <v>1228</v>
      </c>
      <c r="B951" s="91" t="s">
        <v>183</v>
      </c>
      <c r="C951" s="91" t="s">
        <v>899</v>
      </c>
      <c r="D951" s="91" t="str">
        <f t="shared" si="15"/>
        <v>Makerere University</v>
      </c>
      <c r="E951" s="91" t="str">
        <f t="shared" si="10"/>
        <v>Makerere University</v>
      </c>
      <c r="F951" s="91">
        <v>555</v>
      </c>
    </row>
    <row r="952" spans="1:6">
      <c r="A952" s="91" t="s">
        <v>214</v>
      </c>
      <c r="B952" s="91" t="s">
        <v>183</v>
      </c>
      <c r="C952" s="91" t="s">
        <v>899</v>
      </c>
      <c r="D952" s="91" t="str">
        <f t="shared" si="15"/>
        <v>Makindye</v>
      </c>
      <c r="E952" s="91" t="str">
        <f t="shared" si="10"/>
        <v>Makindye</v>
      </c>
      <c r="F952" s="91">
        <v>556</v>
      </c>
    </row>
    <row r="953" spans="1:6">
      <c r="A953" s="91" t="s">
        <v>1229</v>
      </c>
      <c r="D953" s="91" t="str">
        <f t="shared" si="15"/>
        <v>Gangu</v>
      </c>
      <c r="F953" s="91">
        <v>556</v>
      </c>
    </row>
    <row r="954" spans="1:6">
      <c r="A954" s="91" t="s">
        <v>1230</v>
      </c>
      <c r="B954" s="91" t="s">
        <v>183</v>
      </c>
      <c r="C954" s="91" t="s">
        <v>899</v>
      </c>
      <c r="D954" s="91" t="str">
        <f t="shared" si="15"/>
        <v>Mbuya</v>
      </c>
      <c r="E954" s="91" t="str">
        <f t="shared" si="10"/>
        <v>Mbuya</v>
      </c>
      <c r="F954" s="91">
        <v>557</v>
      </c>
    </row>
    <row r="955" spans="1:6">
      <c r="A955" s="91" t="s">
        <v>1231</v>
      </c>
      <c r="B955" s="91" t="s">
        <v>183</v>
      </c>
      <c r="C955" s="91" t="s">
        <v>899</v>
      </c>
      <c r="D955" s="91" t="str">
        <f t="shared" si="15"/>
        <v>Mengo</v>
      </c>
      <c r="E955" s="91" t="str">
        <f t="shared" si="10"/>
        <v>Mengo</v>
      </c>
      <c r="F955" s="91">
        <v>558</v>
      </c>
    </row>
    <row r="956" spans="1:6">
      <c r="A956" s="91" t="s">
        <v>1232</v>
      </c>
      <c r="D956" s="91" t="str">
        <f t="shared" si="15"/>
        <v>MENGO HOSPITAL</v>
      </c>
      <c r="F956" s="91">
        <v>558</v>
      </c>
    </row>
    <row r="957" spans="1:6">
      <c r="A957" s="91" t="s">
        <v>1233</v>
      </c>
      <c r="D957" s="91" t="str">
        <f t="shared" si="15"/>
        <v>Kabaka njagala</v>
      </c>
      <c r="F957" s="91">
        <v>558</v>
      </c>
    </row>
    <row r="958" spans="1:6">
      <c r="A958" s="91" t="s">
        <v>1234</v>
      </c>
      <c r="D958" s="91" t="str">
        <f t="shared" si="15"/>
        <v>Rubaga</v>
      </c>
      <c r="E958" s="91" t="str">
        <f t="shared" si="10"/>
        <v>Rubaga</v>
      </c>
      <c r="F958" s="91">
        <v>558</v>
      </c>
    </row>
    <row r="959" spans="1:6">
      <c r="A959" s="91" t="s">
        <v>1235</v>
      </c>
      <c r="D959" s="91" t="str">
        <f t="shared" si="15"/>
        <v>Kayanja</v>
      </c>
      <c r="E959" s="91" t="str">
        <f t="shared" si="10"/>
        <v>Kayanja</v>
      </c>
      <c r="F959" s="91">
        <v>558</v>
      </c>
    </row>
    <row r="960" spans="1:6">
      <c r="A960" s="91" t="s">
        <v>1236</v>
      </c>
      <c r="B960" s="91" t="s">
        <v>183</v>
      </c>
      <c r="C960" s="91" t="s">
        <v>899</v>
      </c>
      <c r="D960" s="91" t="str">
        <f t="shared" si="15"/>
        <v>Mpererwe</v>
      </c>
      <c r="E960" s="91" t="str">
        <f t="shared" si="10"/>
        <v>Mpererwe</v>
      </c>
      <c r="F960" s="91">
        <v>559</v>
      </c>
    </row>
    <row r="961" spans="1:6">
      <c r="A961" s="91" t="s">
        <v>1237</v>
      </c>
      <c r="D961" s="91" t="str">
        <f t="shared" si="15"/>
        <v>Mpelerwe</v>
      </c>
      <c r="F961" s="91">
        <v>559</v>
      </c>
    </row>
    <row r="962" spans="1:6">
      <c r="A962" s="91" t="s">
        <v>1238</v>
      </c>
      <c r="D962" s="91" t="str">
        <f t="shared" si="15"/>
        <v>MPERRWE</v>
      </c>
      <c r="F962" s="91">
        <v>559</v>
      </c>
    </row>
    <row r="963" spans="1:6">
      <c r="A963" s="91" t="s">
        <v>1239</v>
      </c>
      <c r="D963" s="91" t="str">
        <f t="shared" ref="D963:D1026" si="16">A963</f>
        <v>MPERWERWE</v>
      </c>
      <c r="F963" s="91">
        <v>559</v>
      </c>
    </row>
    <row r="964" spans="1:6">
      <c r="A964" s="91" t="s">
        <v>1240</v>
      </c>
      <c r="D964" s="91" t="str">
        <f t="shared" si="16"/>
        <v>MPEREWE</v>
      </c>
      <c r="F964" s="91">
        <v>559</v>
      </c>
    </row>
    <row r="965" spans="1:6">
      <c r="A965" s="91" t="s">
        <v>1241</v>
      </c>
      <c r="D965" s="91" t="str">
        <f t="shared" si="16"/>
        <v>MPERERE</v>
      </c>
      <c r="F965" s="91">
        <v>559</v>
      </c>
    </row>
    <row r="966" spans="1:6">
      <c r="A966" s="91" t="s">
        <v>1242</v>
      </c>
      <c r="D966" s="91" t="str">
        <f t="shared" si="16"/>
        <v>BUGERERE</v>
      </c>
      <c r="F966" s="91">
        <v>559</v>
      </c>
    </row>
    <row r="967" spans="1:6">
      <c r="A967" s="91" t="s">
        <v>1243</v>
      </c>
      <c r="D967" s="91" t="str">
        <f t="shared" si="16"/>
        <v>KAGOMA</v>
      </c>
      <c r="F967" s="91">
        <v>559</v>
      </c>
    </row>
    <row r="968" spans="1:6">
      <c r="A968" s="91" t="s">
        <v>1244</v>
      </c>
      <c r="D968" s="91" t="str">
        <f t="shared" si="16"/>
        <v>KATALEMWA</v>
      </c>
      <c r="F968" s="91">
        <v>559</v>
      </c>
    </row>
    <row r="969" spans="1:6">
      <c r="A969" s="91" t="s">
        <v>1245</v>
      </c>
      <c r="D969" s="91" t="str">
        <f t="shared" si="16"/>
        <v>Kitezi</v>
      </c>
      <c r="E969" s="91" t="str">
        <f t="shared" si="10"/>
        <v>Kitezi</v>
      </c>
      <c r="F969" s="91">
        <v>559</v>
      </c>
    </row>
    <row r="970" spans="1:6">
      <c r="A970" s="91" t="s">
        <v>1246</v>
      </c>
      <c r="D970" s="91" t="str">
        <f t="shared" si="16"/>
        <v>KITEZII</v>
      </c>
      <c r="F970" s="91">
        <v>559</v>
      </c>
    </row>
    <row r="971" spans="1:6">
      <c r="A971" s="91" t="s">
        <v>1247</v>
      </c>
      <c r="D971" s="91" t="str">
        <f t="shared" si="16"/>
        <v>Lusanja-Gayaza</v>
      </c>
      <c r="F971" s="91">
        <v>559</v>
      </c>
    </row>
    <row r="972" spans="1:6">
      <c r="A972" s="91" t="s">
        <v>1248</v>
      </c>
      <c r="D972" s="91" t="str">
        <f t="shared" si="16"/>
        <v>KOMANBOGA</v>
      </c>
      <c r="F972" s="91">
        <v>559</v>
      </c>
    </row>
    <row r="973" spans="1:6">
      <c r="A973" s="91" t="s">
        <v>1249</v>
      </c>
      <c r="D973" s="91" t="str">
        <f t="shared" si="16"/>
        <v>KITETIKA</v>
      </c>
      <c r="F973" s="91">
        <v>559</v>
      </c>
    </row>
    <row r="974" spans="1:6">
      <c r="A974" s="91" t="s">
        <v>1250</v>
      </c>
      <c r="B974" s="91" t="s">
        <v>183</v>
      </c>
      <c r="C974" s="91" t="s">
        <v>899</v>
      </c>
      <c r="D974" s="91" t="str">
        <f t="shared" si="16"/>
        <v>Mulago</v>
      </c>
      <c r="E974" s="91" t="str">
        <f t="shared" si="10"/>
        <v>Mulago</v>
      </c>
      <c r="F974" s="91">
        <v>560</v>
      </c>
    </row>
    <row r="975" spans="1:6">
      <c r="A975" s="91" t="s">
        <v>1251</v>
      </c>
      <c r="D975" s="91" t="str">
        <f t="shared" si="16"/>
        <v>MASULITA</v>
      </c>
      <c r="F975" s="91">
        <v>560</v>
      </c>
    </row>
    <row r="976" spans="1:6">
      <c r="A976" s="91" t="s">
        <v>1252</v>
      </c>
      <c r="D976" s="91" t="str">
        <f t="shared" si="16"/>
        <v>ST JUDE</v>
      </c>
      <c r="F976" s="91">
        <v>560</v>
      </c>
    </row>
    <row r="977" spans="1:6">
      <c r="A977" s="91" t="s">
        <v>1253</v>
      </c>
      <c r="D977" s="91" t="str">
        <f t="shared" si="16"/>
        <v>Mulogo</v>
      </c>
      <c r="F977" s="91">
        <v>560</v>
      </c>
    </row>
    <row r="978" spans="1:6">
      <c r="A978" s="91" t="s">
        <v>1254</v>
      </c>
      <c r="D978" s="91" t="str">
        <f t="shared" si="16"/>
        <v>MASUULITA</v>
      </c>
      <c r="F978" s="91">
        <v>560</v>
      </c>
    </row>
    <row r="979" spans="1:6">
      <c r="A979" s="91" t="s">
        <v>1255</v>
      </c>
      <c r="B979" s="91" t="s">
        <v>183</v>
      </c>
      <c r="C979" s="91" t="s">
        <v>899</v>
      </c>
      <c r="D979" s="91" t="str">
        <f t="shared" si="16"/>
        <v>Mutundwe</v>
      </c>
      <c r="E979" s="91" t="str">
        <f t="shared" si="10"/>
        <v>Mutundwe</v>
      </c>
      <c r="F979" s="91">
        <v>561</v>
      </c>
    </row>
    <row r="980" spans="1:6">
      <c r="A980" s="91" t="s">
        <v>1256</v>
      </c>
      <c r="D980" s="91" t="str">
        <f t="shared" si="16"/>
        <v>Mutunde</v>
      </c>
      <c r="F980" s="91">
        <v>561</v>
      </c>
    </row>
    <row r="981" spans="1:6">
      <c r="A981" s="91" t="s">
        <v>1257</v>
      </c>
      <c r="D981" s="91" t="str">
        <f t="shared" si="16"/>
        <v>KITEBI</v>
      </c>
      <c r="F981" s="91">
        <v>561</v>
      </c>
    </row>
    <row r="982" spans="1:6">
      <c r="A982" s="91" t="s">
        <v>1258</v>
      </c>
      <c r="B982" s="91" t="s">
        <v>183</v>
      </c>
      <c r="C982" s="91" t="s">
        <v>899</v>
      </c>
      <c r="D982" s="91" t="str">
        <f t="shared" si="16"/>
        <v>Mutungo</v>
      </c>
      <c r="E982" s="91" t="str">
        <f t="shared" si="10"/>
        <v>Mutungo</v>
      </c>
      <c r="F982" s="91">
        <v>562</v>
      </c>
    </row>
    <row r="983" spans="1:6">
      <c r="A983" s="91" t="s">
        <v>1259</v>
      </c>
      <c r="D983" s="91" t="str">
        <f t="shared" si="16"/>
        <v>MUTONGO BIINA</v>
      </c>
      <c r="F983" s="91">
        <v>562</v>
      </c>
    </row>
    <row r="984" spans="1:6">
      <c r="A984" s="91" t="s">
        <v>1260</v>
      </c>
      <c r="D984" s="91" t="str">
        <f t="shared" si="16"/>
        <v>Binna</v>
      </c>
      <c r="F984" s="91">
        <v>562</v>
      </c>
    </row>
    <row r="985" spans="1:6">
      <c r="A985" s="91" t="s">
        <v>1261</v>
      </c>
      <c r="D985" s="91" t="str">
        <f t="shared" si="16"/>
        <v>Mutungu</v>
      </c>
      <c r="E985" s="91" t="str">
        <f t="shared" si="10"/>
        <v>Mutungu</v>
      </c>
      <c r="F985" s="91">
        <v>562</v>
      </c>
    </row>
    <row r="986" spans="1:6">
      <c r="A986" s="91" t="s">
        <v>1262</v>
      </c>
      <c r="D986" s="91" t="str">
        <f t="shared" si="16"/>
        <v>Kitiko</v>
      </c>
      <c r="E986" s="91" t="str">
        <f t="shared" si="10"/>
        <v>Kitiko</v>
      </c>
      <c r="F986" s="91">
        <v>562</v>
      </c>
    </row>
    <row r="987" spans="1:6">
      <c r="A987" s="91" t="s">
        <v>1263</v>
      </c>
      <c r="D987" s="91" t="str">
        <f t="shared" si="16"/>
        <v>Mutugo</v>
      </c>
      <c r="E987" s="91" t="str">
        <f t="shared" si="10"/>
        <v>Mutugo</v>
      </c>
      <c r="F987" s="91">
        <v>562</v>
      </c>
    </row>
    <row r="988" spans="1:6">
      <c r="A988" s="91" t="s">
        <v>1264</v>
      </c>
      <c r="D988" s="91" t="str">
        <f t="shared" si="16"/>
        <v>BWEYA</v>
      </c>
      <c r="E988" s="91" t="str">
        <f t="shared" si="10"/>
        <v>BWEYA</v>
      </c>
      <c r="F988" s="91">
        <v>562</v>
      </c>
    </row>
    <row r="989" spans="1:6">
      <c r="A989" s="91" t="s">
        <v>1265</v>
      </c>
      <c r="D989" s="91" t="str">
        <f t="shared" si="16"/>
        <v>Kitintale</v>
      </c>
      <c r="E989" s="91" t="str">
        <f t="shared" si="10"/>
        <v>Kitintale</v>
      </c>
      <c r="F989" s="91">
        <v>562</v>
      </c>
    </row>
    <row r="990" spans="1:6">
      <c r="A990" s="91" t="s">
        <v>1266</v>
      </c>
      <c r="D990" s="91" t="str">
        <f t="shared" si="16"/>
        <v>KITANTALE</v>
      </c>
      <c r="F990" s="91">
        <v>562</v>
      </c>
    </row>
    <row r="991" spans="1:6">
      <c r="A991" s="91" t="s">
        <v>1267</v>
      </c>
      <c r="D991" s="91" t="str">
        <f t="shared" si="16"/>
        <v>KINTINTALE</v>
      </c>
      <c r="F991" s="91">
        <v>562</v>
      </c>
    </row>
    <row r="992" spans="1:6">
      <c r="A992" s="91" t="s">
        <v>1268</v>
      </c>
      <c r="D992" s="91" t="str">
        <f t="shared" si="16"/>
        <v>Muntungo</v>
      </c>
      <c r="E992" s="91" t="str">
        <f t="shared" si="10"/>
        <v>Muntungo</v>
      </c>
      <c r="F992" s="91">
        <v>562</v>
      </c>
    </row>
    <row r="993" spans="1:6">
      <c r="A993" s="91" t="s">
        <v>1269</v>
      </c>
      <c r="B993" s="91" t="s">
        <v>183</v>
      </c>
      <c r="C993" s="91" t="s">
        <v>899</v>
      </c>
      <c r="D993" s="91" t="str">
        <f t="shared" si="16"/>
        <v>Nabisunsa</v>
      </c>
      <c r="E993" s="91" t="str">
        <f t="shared" si="10"/>
        <v>Nabisunsa</v>
      </c>
      <c r="F993" s="91">
        <v>563</v>
      </c>
    </row>
    <row r="994" spans="1:6">
      <c r="A994" s="91" t="s">
        <v>1270</v>
      </c>
      <c r="B994" s="91" t="s">
        <v>183</v>
      </c>
      <c r="C994" s="91" t="s">
        <v>899</v>
      </c>
      <c r="D994" s="91" t="str">
        <f t="shared" si="16"/>
        <v>Naguru</v>
      </c>
      <c r="E994" s="91" t="str">
        <f t="shared" si="10"/>
        <v>Naguru</v>
      </c>
      <c r="F994" s="91">
        <v>564</v>
      </c>
    </row>
    <row r="995" spans="1:6">
      <c r="A995" s="91" t="s">
        <v>1271</v>
      </c>
      <c r="D995" s="91" t="str">
        <f t="shared" si="16"/>
        <v>NAGULU POLICE</v>
      </c>
      <c r="F995" s="91">
        <v>564</v>
      </c>
    </row>
    <row r="996" spans="1:6">
      <c r="A996" s="91" t="s">
        <v>1272</v>
      </c>
      <c r="D996" s="91" t="str">
        <f t="shared" si="16"/>
        <v>NAGURU UPPER</v>
      </c>
      <c r="F996" s="91">
        <v>564</v>
      </c>
    </row>
    <row r="997" spans="1:6">
      <c r="A997" s="91" t="s">
        <v>1273</v>
      </c>
      <c r="D997" s="91" t="str">
        <f t="shared" si="16"/>
        <v>Lower Naguru</v>
      </c>
      <c r="F997" s="91">
        <v>564</v>
      </c>
    </row>
    <row r="998" spans="1:6">
      <c r="A998" s="91" t="s">
        <v>1274</v>
      </c>
      <c r="D998" s="91" t="str">
        <f t="shared" si="16"/>
        <v>Katalima</v>
      </c>
      <c r="F998" s="91">
        <v>564</v>
      </c>
    </row>
    <row r="999" spans="1:6">
      <c r="A999" s="91" t="s">
        <v>1275</v>
      </c>
      <c r="D999" s="91" t="str">
        <f t="shared" si="16"/>
        <v>SCHOOL CHERUBS</v>
      </c>
      <c r="F999" s="91">
        <v>564</v>
      </c>
    </row>
    <row r="1000" spans="1:6">
      <c r="A1000" s="91" t="s">
        <v>1276</v>
      </c>
      <c r="D1000" s="91" t="str">
        <f t="shared" si="16"/>
        <v>KEMBABAZI</v>
      </c>
      <c r="F1000" s="91">
        <v>564</v>
      </c>
    </row>
    <row r="1001" spans="1:6">
      <c r="A1001" s="91" t="s">
        <v>1277</v>
      </c>
      <c r="D1001" s="91" t="str">
        <f t="shared" si="16"/>
        <v>NAGGULU</v>
      </c>
      <c r="F1001" s="91">
        <v>564</v>
      </c>
    </row>
    <row r="1002" spans="1:6">
      <c r="A1002" s="91" t="s">
        <v>1278</v>
      </c>
      <c r="D1002" s="91" t="str">
        <f t="shared" si="16"/>
        <v>NAGULU</v>
      </c>
      <c r="F1002" s="91">
        <v>564</v>
      </c>
    </row>
    <row r="1003" spans="1:6">
      <c r="A1003" s="91" t="s">
        <v>1279</v>
      </c>
      <c r="D1003" s="91" t="str">
        <f t="shared" si="16"/>
        <v>VICTORIA HOSPITAL</v>
      </c>
      <c r="F1003" s="91">
        <v>564</v>
      </c>
    </row>
    <row r="1004" spans="1:6">
      <c r="A1004" s="91" t="s">
        <v>1280</v>
      </c>
      <c r="B1004" s="91" t="s">
        <v>183</v>
      </c>
      <c r="C1004" s="91" t="s">
        <v>899</v>
      </c>
      <c r="D1004" s="91" t="str">
        <f t="shared" si="16"/>
        <v>Najjanankumbi</v>
      </c>
      <c r="E1004" s="91" t="str">
        <f t="shared" si="10"/>
        <v>Najjanankumbi</v>
      </c>
      <c r="F1004" s="91">
        <v>565</v>
      </c>
    </row>
    <row r="1005" spans="1:6">
      <c r="A1005" s="91" t="s">
        <v>1281</v>
      </c>
      <c r="D1005" s="91" t="str">
        <f t="shared" si="16"/>
        <v>Freedom city</v>
      </c>
      <c r="F1005" s="91">
        <v>565</v>
      </c>
    </row>
    <row r="1006" spans="1:6">
      <c r="A1006" s="91" t="s">
        <v>1282</v>
      </c>
      <c r="D1006" s="91" t="str">
        <f t="shared" si="16"/>
        <v>Stella</v>
      </c>
      <c r="E1006" s="91" t="str">
        <f t="shared" si="10"/>
        <v>Stella</v>
      </c>
      <c r="F1006" s="91">
        <v>565</v>
      </c>
    </row>
    <row r="1007" spans="1:6">
      <c r="A1007" s="91" t="s">
        <v>1283</v>
      </c>
      <c r="D1007" s="91" t="str">
        <f t="shared" si="16"/>
        <v>Nyanama</v>
      </c>
      <c r="F1007" s="91">
        <v>565</v>
      </c>
    </row>
    <row r="1008" spans="1:6">
      <c r="A1008" s="91" t="s">
        <v>1284</v>
      </c>
      <c r="D1008" s="91" t="str">
        <f t="shared" si="16"/>
        <v>NAJJANAMKUMBI</v>
      </c>
      <c r="F1008" s="91">
        <v>565</v>
      </c>
    </row>
    <row r="1009" spans="1:6">
      <c r="A1009" s="91" t="s">
        <v>1285</v>
      </c>
      <c r="D1009" s="91" t="str">
        <f t="shared" si="16"/>
        <v>NAJJANAKUMBI</v>
      </c>
      <c r="F1009" s="91">
        <v>565</v>
      </c>
    </row>
    <row r="1010" spans="1:6">
      <c r="A1010" s="91" t="s">
        <v>1286</v>
      </c>
      <c r="D1010" s="91" t="str">
        <f t="shared" si="16"/>
        <v>Lubowa</v>
      </c>
      <c r="F1010" s="91">
        <v>565</v>
      </c>
    </row>
    <row r="1011" spans="1:6">
      <c r="A1011" s="91" t="s">
        <v>1287</v>
      </c>
      <c r="D1011" s="91" t="str">
        <f t="shared" si="16"/>
        <v>Lubuguma</v>
      </c>
      <c r="F1011" s="91">
        <v>565</v>
      </c>
    </row>
    <row r="1012" spans="1:6">
      <c r="A1012" s="91" t="s">
        <v>1288</v>
      </c>
      <c r="D1012" s="91" t="str">
        <f t="shared" si="16"/>
        <v>Lumbugu</v>
      </c>
      <c r="F1012" s="91">
        <v>565</v>
      </c>
    </row>
    <row r="1013" spans="1:6">
      <c r="A1013" s="91" t="s">
        <v>1289</v>
      </c>
      <c r="D1013" s="91" t="str">
        <f t="shared" si="16"/>
        <v>Lubugumu</v>
      </c>
      <c r="F1013" s="91">
        <v>565</v>
      </c>
    </row>
    <row r="1014" spans="1:6">
      <c r="A1014" s="91" t="s">
        <v>1290</v>
      </c>
      <c r="D1014" s="91" t="str">
        <f t="shared" si="16"/>
        <v>Lumbugumu</v>
      </c>
      <c r="F1014" s="91">
        <v>565</v>
      </c>
    </row>
    <row r="1015" spans="1:6">
      <c r="A1015" s="91" t="s">
        <v>1291</v>
      </c>
      <c r="D1015" s="91" t="str">
        <f t="shared" si="16"/>
        <v>NAJANANKUMBI</v>
      </c>
      <c r="F1015" s="91">
        <v>565</v>
      </c>
    </row>
    <row r="1016" spans="1:6">
      <c r="A1016" s="91" t="s">
        <v>1292</v>
      </c>
      <c r="D1016" s="91" t="str">
        <f t="shared" si="16"/>
        <v>NAJANAKUMBI</v>
      </c>
      <c r="F1016" s="91">
        <v>565</v>
      </c>
    </row>
    <row r="1017" spans="1:6">
      <c r="A1017" s="91" t="s">
        <v>195</v>
      </c>
      <c r="D1017" s="91" t="str">
        <f t="shared" si="16"/>
        <v>Nalukolongo</v>
      </c>
      <c r="E1017" s="91" t="str">
        <f t="shared" si="10"/>
        <v>Nalukolongo</v>
      </c>
      <c r="F1017" s="91">
        <v>565</v>
      </c>
    </row>
    <row r="1018" spans="1:6">
      <c r="A1018" s="91" t="s">
        <v>1293</v>
      </c>
      <c r="D1018" s="91" t="str">
        <f t="shared" si="16"/>
        <v>Wankulukuku</v>
      </c>
      <c r="F1018" s="91">
        <v>565</v>
      </c>
    </row>
    <row r="1019" spans="1:6">
      <c r="A1019" s="91" t="s">
        <v>1294</v>
      </c>
      <c r="D1019" s="91" t="str">
        <f t="shared" si="16"/>
        <v>Kabusu</v>
      </c>
      <c r="F1019" s="91">
        <v>565</v>
      </c>
    </row>
    <row r="1020" spans="1:6">
      <c r="A1020" s="91" t="s">
        <v>1295</v>
      </c>
      <c r="D1020" s="91" t="str">
        <f t="shared" si="16"/>
        <v>Lubiri</v>
      </c>
      <c r="F1020" s="91">
        <v>565</v>
      </c>
    </row>
    <row r="1021" spans="1:6">
      <c r="A1021" s="91" t="s">
        <v>1296</v>
      </c>
      <c r="D1021" s="91" t="str">
        <f t="shared" si="16"/>
        <v>kabugo</v>
      </c>
      <c r="F1021" s="91">
        <v>565</v>
      </c>
    </row>
    <row r="1022" spans="1:6">
      <c r="A1022" s="91" t="s">
        <v>1297</v>
      </c>
      <c r="D1022" s="91" t="str">
        <f t="shared" si="16"/>
        <v>Zana</v>
      </c>
      <c r="E1022" s="91" t="str">
        <f t="shared" si="10"/>
        <v>Zana</v>
      </c>
      <c r="F1022" s="91">
        <v>565</v>
      </c>
    </row>
    <row r="1023" spans="1:6">
      <c r="A1023" s="91" t="s">
        <v>1298</v>
      </c>
      <c r="D1023" s="91" t="str">
        <f t="shared" si="16"/>
        <v>Zzana</v>
      </c>
      <c r="F1023" s="91">
        <v>565</v>
      </c>
    </row>
    <row r="1024" spans="1:6">
      <c r="A1024" s="91" t="s">
        <v>1299</v>
      </c>
      <c r="D1024" s="91" t="str">
        <f t="shared" si="16"/>
        <v>ZAANA</v>
      </c>
      <c r="F1024" s="91">
        <v>565</v>
      </c>
    </row>
    <row r="1025" spans="1:6">
      <c r="A1025" s="91" t="s">
        <v>1300</v>
      </c>
      <c r="D1025" s="91" t="str">
        <f t="shared" si="16"/>
        <v>Namasuba</v>
      </c>
      <c r="E1025" s="91" t="str">
        <f t="shared" si="10"/>
        <v>Namasuba</v>
      </c>
      <c r="F1025" s="91">
        <v>565</v>
      </c>
    </row>
    <row r="1026" spans="1:6">
      <c r="A1026" s="91" t="s">
        <v>1301</v>
      </c>
      <c r="B1026" s="91" t="s">
        <v>183</v>
      </c>
      <c r="C1026" s="91" t="s">
        <v>899</v>
      </c>
      <c r="D1026" s="91" t="str">
        <f t="shared" si="16"/>
        <v>Nakasero</v>
      </c>
      <c r="E1026" s="91" t="str">
        <f t="shared" si="10"/>
        <v>Nakasero</v>
      </c>
      <c r="F1026" s="91">
        <v>566</v>
      </c>
    </row>
    <row r="1027" spans="1:6">
      <c r="A1027" s="91" t="s">
        <v>1302</v>
      </c>
      <c r="D1027" s="91" t="str">
        <f t="shared" ref="D1027:D1090" si="17">A1027</f>
        <v>NAKASEERO</v>
      </c>
      <c r="F1027" s="91">
        <v>566</v>
      </c>
    </row>
    <row r="1028" spans="1:6">
      <c r="A1028" s="91" t="s">
        <v>1303</v>
      </c>
      <c r="D1028" s="91" t="str">
        <f t="shared" si="17"/>
        <v>Mboga</v>
      </c>
      <c r="F1028" s="91">
        <v>566</v>
      </c>
    </row>
    <row r="1029" spans="1:6">
      <c r="A1029" s="91" t="s">
        <v>1304</v>
      </c>
      <c r="D1029" s="91" t="str">
        <f t="shared" si="17"/>
        <v>Pearl Africa</v>
      </c>
      <c r="F1029" s="91">
        <v>566</v>
      </c>
    </row>
    <row r="1030" spans="1:6">
      <c r="A1030" s="91" t="s">
        <v>1305</v>
      </c>
      <c r="D1030" s="91" t="str">
        <f t="shared" si="17"/>
        <v>Kyagwe</v>
      </c>
      <c r="F1030" s="91">
        <v>566</v>
      </c>
    </row>
    <row r="1031" spans="1:6">
      <c r="A1031" s="91" t="s">
        <v>1306</v>
      </c>
      <c r="D1031" s="91" t="str">
        <f t="shared" si="17"/>
        <v>KAWANGA</v>
      </c>
      <c r="F1031" s="91">
        <v>566</v>
      </c>
    </row>
    <row r="1032" spans="1:6">
      <c r="A1032" s="91" t="s">
        <v>1307</v>
      </c>
      <c r="D1032" s="91" t="str">
        <f t="shared" si="17"/>
        <v>COLVILLE STREET</v>
      </c>
      <c r="F1032" s="91">
        <v>566</v>
      </c>
    </row>
    <row r="1033" spans="1:6">
      <c r="A1033" s="91" t="s">
        <v>1308</v>
      </c>
      <c r="D1033" s="91" t="str">
        <f t="shared" si="17"/>
        <v>Dembe</v>
      </c>
      <c r="F1033" s="91">
        <v>566</v>
      </c>
    </row>
    <row r="1034" spans="1:6">
      <c r="A1034" s="91" t="s">
        <v>1309</v>
      </c>
      <c r="D1034" s="91" t="str">
        <f t="shared" si="17"/>
        <v>Usafi</v>
      </c>
      <c r="E1034" s="91" t="str">
        <f t="shared" si="10"/>
        <v>Usafi</v>
      </c>
      <c r="F1034" s="91">
        <v>566</v>
      </c>
    </row>
    <row r="1035" spans="1:6">
      <c r="A1035" s="91" t="s">
        <v>1310</v>
      </c>
      <c r="D1035" s="91" t="str">
        <f t="shared" si="17"/>
        <v>Rwenzori courts</v>
      </c>
      <c r="E1035" s="91" t="str">
        <f t="shared" si="10"/>
        <v>Rwenzori courts</v>
      </c>
      <c r="F1035" s="91">
        <v>566</v>
      </c>
    </row>
    <row r="1036" spans="1:6">
      <c r="A1036" s="91" t="s">
        <v>204</v>
      </c>
      <c r="B1036" s="91" t="s">
        <v>183</v>
      </c>
      <c r="C1036" s="91" t="s">
        <v>899</v>
      </c>
      <c r="D1036" s="91" t="str">
        <f t="shared" si="17"/>
        <v>Nakawa</v>
      </c>
      <c r="E1036" s="91" t="str">
        <f t="shared" si="10"/>
        <v>Nakawa</v>
      </c>
      <c r="F1036" s="91">
        <v>567</v>
      </c>
    </row>
    <row r="1037" spans="1:6">
      <c r="A1037" s="91" t="s">
        <v>1311</v>
      </c>
      <c r="D1037" s="91" t="str">
        <f t="shared" si="17"/>
        <v>MUBS</v>
      </c>
      <c r="F1037" s="91">
        <v>567</v>
      </c>
    </row>
    <row r="1038" spans="1:6">
      <c r="A1038" s="91" t="s">
        <v>1312</v>
      </c>
      <c r="D1038" s="91" t="str">
        <f t="shared" si="17"/>
        <v xml:space="preserve">CAPITAL SHOPPERS NAKAWA </v>
      </c>
      <c r="F1038" s="91">
        <v>567</v>
      </c>
    </row>
    <row r="1039" spans="1:6">
      <c r="A1039" s="91" t="s">
        <v>1313</v>
      </c>
      <c r="D1039" s="91" t="str">
        <f t="shared" si="17"/>
        <v>NAKAWA  MARKET</v>
      </c>
      <c r="F1039" s="91">
        <v>567</v>
      </c>
    </row>
    <row r="1040" spans="1:6">
      <c r="A1040" s="91" t="s">
        <v>1314</v>
      </c>
      <c r="D1040" s="91" t="str">
        <f t="shared" si="17"/>
        <v>Nakawa stage</v>
      </c>
      <c r="E1040" s="91" t="str">
        <f t="shared" si="10"/>
        <v>Nakawa stage</v>
      </c>
      <c r="F1040" s="91">
        <v>567</v>
      </c>
    </row>
    <row r="1041" spans="1:6">
      <c r="A1041" s="91" t="s">
        <v>1315</v>
      </c>
      <c r="D1041" s="91" t="str">
        <f t="shared" si="17"/>
        <v>Kinawataka</v>
      </c>
      <c r="E1041" s="91" t="str">
        <f t="shared" si="10"/>
        <v>Kinawataka</v>
      </c>
      <c r="F1041" s="91">
        <v>567</v>
      </c>
    </row>
    <row r="1042" spans="1:6">
      <c r="A1042" s="91" t="s">
        <v>1316</v>
      </c>
      <c r="D1042" s="91" t="str">
        <f t="shared" si="17"/>
        <v>UNRA</v>
      </c>
      <c r="E1042" s="91" t="str">
        <f t="shared" si="10"/>
        <v>UNRA</v>
      </c>
      <c r="F1042" s="91">
        <v>567</v>
      </c>
    </row>
    <row r="1043" spans="1:6">
      <c r="A1043" s="91" t="s">
        <v>1317</v>
      </c>
      <c r="D1043" s="91" t="str">
        <f t="shared" si="17"/>
        <v>UNRA OFFICES</v>
      </c>
      <c r="F1043" s="91">
        <v>567</v>
      </c>
    </row>
    <row r="1044" spans="1:6">
      <c r="A1044" s="91" t="s">
        <v>1318</v>
      </c>
      <c r="D1044" s="91" t="str">
        <f t="shared" si="17"/>
        <v>URA</v>
      </c>
      <c r="E1044" s="91" t="str">
        <f t="shared" si="10"/>
        <v>URA</v>
      </c>
      <c r="F1044" s="91">
        <v>567</v>
      </c>
    </row>
    <row r="1045" spans="1:6">
      <c r="A1045" s="91" t="s">
        <v>1319</v>
      </c>
      <c r="B1045" s="91" t="s">
        <v>183</v>
      </c>
      <c r="C1045" s="91" t="s">
        <v>899</v>
      </c>
      <c r="D1045" s="91" t="str">
        <f t="shared" si="17"/>
        <v>Nakawa Institute</v>
      </c>
      <c r="E1045" s="91" t="str">
        <f t="shared" si="10"/>
        <v>Nakawa Institute</v>
      </c>
      <c r="F1045" s="91">
        <v>568</v>
      </c>
    </row>
    <row r="1046" spans="1:6">
      <c r="A1046" s="91" t="s">
        <v>1320</v>
      </c>
      <c r="B1046" s="91" t="s">
        <v>183</v>
      </c>
      <c r="C1046" s="91" t="s">
        <v>899</v>
      </c>
      <c r="D1046" s="91" t="str">
        <f t="shared" si="17"/>
        <v>Nakivubo Shauriyaako</v>
      </c>
      <c r="E1046" s="91" t="str">
        <f t="shared" si="10"/>
        <v>Nakivubo Shauriyaako</v>
      </c>
      <c r="F1046" s="91">
        <v>569</v>
      </c>
    </row>
    <row r="1047" spans="1:6">
      <c r="A1047" s="91" t="s">
        <v>1321</v>
      </c>
      <c r="D1047" s="91" t="str">
        <f t="shared" si="17"/>
        <v>Nakivubo</v>
      </c>
      <c r="E1047" s="91" t="str">
        <f t="shared" si="10"/>
        <v>Nakivubo</v>
      </c>
      <c r="F1047" s="91">
        <v>569</v>
      </c>
    </row>
    <row r="1048" spans="1:6">
      <c r="A1048" s="91" t="s">
        <v>1322</v>
      </c>
      <c r="B1048" s="91" t="s">
        <v>183</v>
      </c>
      <c r="C1048" s="91" t="s">
        <v>899</v>
      </c>
      <c r="D1048" s="91" t="str">
        <f t="shared" si="17"/>
        <v>Namirembe</v>
      </c>
      <c r="E1048" s="91" t="str">
        <f t="shared" si="10"/>
        <v>Namirembe</v>
      </c>
      <c r="F1048" s="91">
        <v>570</v>
      </c>
    </row>
    <row r="1049" spans="1:6">
      <c r="A1049" s="91" t="s">
        <v>1323</v>
      </c>
      <c r="D1049" s="91" t="str">
        <f t="shared" si="17"/>
        <v>Bakuli</v>
      </c>
      <c r="E1049" s="91" t="str">
        <f t="shared" si="10"/>
        <v>Bakuli</v>
      </c>
      <c r="F1049" s="91">
        <v>570</v>
      </c>
    </row>
    <row r="1050" spans="1:6">
      <c r="A1050" s="91" t="s">
        <v>1324</v>
      </c>
      <c r="D1050" s="91" t="str">
        <f t="shared" si="17"/>
        <v>Bukuli</v>
      </c>
      <c r="E1050" s="91" t="str">
        <f t="shared" si="10"/>
        <v>Bukuli</v>
      </c>
      <c r="F1050" s="91">
        <v>570</v>
      </c>
    </row>
    <row r="1051" spans="1:6">
      <c r="A1051" s="91" t="s">
        <v>1325</v>
      </c>
      <c r="D1051" s="91" t="str">
        <f t="shared" si="17"/>
        <v>Bakuuli</v>
      </c>
      <c r="F1051" s="91">
        <v>570</v>
      </c>
    </row>
    <row r="1052" spans="1:6">
      <c r="A1052" s="91" t="s">
        <v>1326</v>
      </c>
      <c r="B1052" s="91" t="s">
        <v>183</v>
      </c>
      <c r="C1052" s="91" t="s">
        <v>899</v>
      </c>
      <c r="D1052" s="91" t="str">
        <f t="shared" si="17"/>
        <v>Nankulabye</v>
      </c>
      <c r="E1052" s="91" t="str">
        <f t="shared" si="10"/>
        <v>Nankulabye</v>
      </c>
      <c r="F1052" s="91">
        <v>571</v>
      </c>
    </row>
    <row r="1053" spans="1:6">
      <c r="A1053" s="91" t="s">
        <v>1327</v>
      </c>
      <c r="D1053" s="91" t="str">
        <f t="shared" si="17"/>
        <v>Nakulabye</v>
      </c>
      <c r="E1053" s="91" t="str">
        <f t="shared" si="10"/>
        <v>Nakulabye</v>
      </c>
      <c r="F1053" s="91">
        <v>571</v>
      </c>
    </row>
    <row r="1054" spans="1:6">
      <c r="A1054" s="91" t="s">
        <v>1328</v>
      </c>
      <c r="D1054" s="91" t="str">
        <f t="shared" si="17"/>
        <v>NABULAGALA</v>
      </c>
      <c r="F1054" s="91">
        <v>571</v>
      </c>
    </row>
    <row r="1055" spans="1:6">
      <c r="A1055" s="91" t="s">
        <v>185</v>
      </c>
      <c r="B1055" s="91" t="s">
        <v>183</v>
      </c>
      <c r="C1055" s="91" t="s">
        <v>899</v>
      </c>
      <c r="D1055" s="91" t="str">
        <f t="shared" si="17"/>
        <v>Nateete</v>
      </c>
      <c r="E1055" s="91" t="str">
        <f t="shared" si="10"/>
        <v>Nateete</v>
      </c>
      <c r="F1055" s="91">
        <v>572</v>
      </c>
    </row>
    <row r="1056" spans="1:6">
      <c r="A1056" s="91" t="s">
        <v>1329</v>
      </c>
      <c r="D1056" s="91" t="str">
        <f t="shared" si="17"/>
        <v>Natete</v>
      </c>
      <c r="E1056" s="91" t="str">
        <f t="shared" si="10"/>
        <v>Natete</v>
      </c>
      <c r="F1056" s="91">
        <v>572</v>
      </c>
    </row>
    <row r="1057" spans="1:6">
      <c r="A1057" s="91" t="s">
        <v>227</v>
      </c>
      <c r="B1057" s="91" t="s">
        <v>183</v>
      </c>
      <c r="C1057" s="91" t="s">
        <v>899</v>
      </c>
      <c r="D1057" s="91" t="str">
        <f t="shared" si="17"/>
        <v>Ndeeba</v>
      </c>
      <c r="E1057" s="91" t="str">
        <f t="shared" ref="E1057:E1103" si="18">A1057</f>
        <v>Ndeeba</v>
      </c>
      <c r="F1057" s="91">
        <v>573</v>
      </c>
    </row>
    <row r="1058" spans="1:6">
      <c r="A1058" s="91" t="s">
        <v>1330</v>
      </c>
      <c r="D1058" s="91" t="str">
        <f t="shared" si="17"/>
        <v>Sawuliyako</v>
      </c>
      <c r="F1058" s="91">
        <v>573</v>
      </c>
    </row>
    <row r="1059" spans="1:6">
      <c r="A1059" s="91" t="s">
        <v>1331</v>
      </c>
      <c r="D1059" s="91" t="str">
        <f t="shared" si="17"/>
        <v>Mundebba</v>
      </c>
      <c r="E1059" s="91" t="str">
        <f t="shared" si="18"/>
        <v>Mundebba</v>
      </c>
      <c r="F1059" s="91">
        <v>573</v>
      </c>
    </row>
    <row r="1060" spans="1:6">
      <c r="A1060" s="91" t="s">
        <v>1332</v>
      </c>
      <c r="D1060" s="91" t="str">
        <f t="shared" si="17"/>
        <v>Ndeba</v>
      </c>
      <c r="E1060" s="91" t="str">
        <f t="shared" si="18"/>
        <v>Ndeba</v>
      </c>
      <c r="F1060" s="91">
        <v>573</v>
      </c>
    </row>
    <row r="1061" spans="1:6">
      <c r="A1061" s="91" t="s">
        <v>1333</v>
      </c>
      <c r="B1061" s="91" t="s">
        <v>183</v>
      </c>
      <c r="C1061" s="91" t="s">
        <v>899</v>
      </c>
      <c r="D1061" s="91" t="str">
        <f t="shared" si="17"/>
        <v>Nsambya</v>
      </c>
      <c r="E1061" s="91" t="str">
        <f t="shared" si="18"/>
        <v>Nsambya</v>
      </c>
      <c r="F1061" s="91">
        <v>574</v>
      </c>
    </row>
    <row r="1062" spans="1:6">
      <c r="A1062" s="91" t="s">
        <v>1334</v>
      </c>
      <c r="D1062" s="91" t="str">
        <f t="shared" si="17"/>
        <v>Nsambya hospital</v>
      </c>
      <c r="E1062" s="91" t="str">
        <f t="shared" si="18"/>
        <v>Nsambya hospital</v>
      </c>
      <c r="F1062" s="91">
        <v>574</v>
      </c>
    </row>
    <row r="1063" spans="1:6">
      <c r="A1063" s="91" t="s">
        <v>1335</v>
      </c>
      <c r="D1063" s="91" t="str">
        <f t="shared" si="17"/>
        <v>Nsamya hospital</v>
      </c>
      <c r="E1063" s="91" t="str">
        <f t="shared" si="18"/>
        <v>Nsamya hospital</v>
      </c>
      <c r="F1063" s="91">
        <v>574</v>
      </c>
    </row>
    <row r="1064" spans="1:6">
      <c r="A1064" s="91" t="s">
        <v>1336</v>
      </c>
      <c r="D1064" s="91" t="str">
        <f t="shared" si="17"/>
        <v xml:space="preserve">NSAMBYA </v>
      </c>
      <c r="F1064" s="91">
        <v>574</v>
      </c>
    </row>
    <row r="1065" spans="1:6">
      <c r="A1065" s="91" t="s">
        <v>1337</v>
      </c>
      <c r="D1065" s="91" t="str">
        <f t="shared" si="17"/>
        <v>GOGONYA</v>
      </c>
      <c r="F1065" s="91">
        <v>574</v>
      </c>
    </row>
    <row r="1066" spans="1:6">
      <c r="A1066" s="91" t="s">
        <v>1338</v>
      </c>
      <c r="B1066" s="91" t="s">
        <v>183</v>
      </c>
      <c r="C1066" s="91" t="s">
        <v>899</v>
      </c>
      <c r="D1066" s="91" t="str">
        <f t="shared" si="17"/>
        <v>Nsambya Police Barracks</v>
      </c>
      <c r="E1066" s="91" t="str">
        <f t="shared" si="18"/>
        <v>Nsambya Police Barracks</v>
      </c>
      <c r="F1066" s="91">
        <v>575</v>
      </c>
    </row>
    <row r="1067" spans="1:6">
      <c r="A1067" s="91" t="s">
        <v>1339</v>
      </c>
      <c r="B1067" s="91" t="s">
        <v>183</v>
      </c>
      <c r="C1067" s="91" t="s">
        <v>899</v>
      </c>
      <c r="D1067" s="91" t="str">
        <f t="shared" si="17"/>
        <v>Nsambya Railway</v>
      </c>
      <c r="E1067" s="91" t="str">
        <f t="shared" si="18"/>
        <v>Nsambya Railway</v>
      </c>
      <c r="F1067" s="91">
        <v>576</v>
      </c>
    </row>
    <row r="1068" spans="1:6">
      <c r="A1068" s="91" t="s">
        <v>203</v>
      </c>
      <c r="B1068" s="91" t="s">
        <v>183</v>
      </c>
      <c r="C1068" s="91" t="s">
        <v>899</v>
      </c>
      <c r="D1068" s="91" t="str">
        <f t="shared" si="17"/>
        <v>Ntinda</v>
      </c>
      <c r="E1068" s="91" t="str">
        <f t="shared" si="18"/>
        <v>Ntinda</v>
      </c>
      <c r="F1068" s="91">
        <v>577</v>
      </c>
    </row>
    <row r="1069" spans="1:6">
      <c r="A1069" s="91" t="s">
        <v>1340</v>
      </c>
      <c r="D1069" s="91" t="str">
        <f t="shared" si="17"/>
        <v>CAPITAL SHOPPERS NTINDA</v>
      </c>
      <c r="F1069" s="91">
        <v>577</v>
      </c>
    </row>
    <row r="1070" spans="1:6">
      <c r="A1070" s="91" t="s">
        <v>1341</v>
      </c>
      <c r="D1070" s="91" t="str">
        <f t="shared" si="17"/>
        <v>Container village</v>
      </c>
      <c r="F1070" s="91">
        <v>577</v>
      </c>
    </row>
    <row r="1071" spans="1:6">
      <c r="A1071" s="91" t="s">
        <v>1342</v>
      </c>
      <c r="D1071" s="91" t="str">
        <f t="shared" si="17"/>
        <v>UNEB NTINDA</v>
      </c>
      <c r="F1071" s="91">
        <v>577</v>
      </c>
    </row>
    <row r="1072" spans="1:6">
      <c r="A1072" s="91" t="s">
        <v>1343</v>
      </c>
      <c r="D1072" s="91" t="str">
        <f t="shared" si="17"/>
        <v>Kumunana</v>
      </c>
      <c r="F1072" s="91">
        <v>577</v>
      </c>
    </row>
    <row r="1073" spans="1:6">
      <c r="A1073" s="91" t="s">
        <v>1344</v>
      </c>
      <c r="D1073" s="91" t="str">
        <f t="shared" si="17"/>
        <v>SEMAWATA ROAD</v>
      </c>
      <c r="F1073" s="91">
        <v>577</v>
      </c>
    </row>
    <row r="1074" spans="1:6">
      <c r="A1074" s="91" t="s">
        <v>1345</v>
      </c>
      <c r="D1074" s="91" t="str">
        <f t="shared" si="17"/>
        <v>Kisasi</v>
      </c>
      <c r="E1074" s="91" t="str">
        <f t="shared" si="18"/>
        <v>Kisasi</v>
      </c>
      <c r="F1074" s="91">
        <v>577</v>
      </c>
    </row>
    <row r="1075" spans="1:6">
      <c r="A1075" s="91" t="s">
        <v>1346</v>
      </c>
      <c r="D1075" s="91" t="str">
        <f t="shared" si="17"/>
        <v>KISAASI</v>
      </c>
      <c r="F1075" s="91">
        <v>577</v>
      </c>
    </row>
    <row r="1076" spans="1:6">
      <c r="A1076" s="91" t="s">
        <v>1347</v>
      </c>
      <c r="D1076" s="91" t="str">
        <f t="shared" si="17"/>
        <v>Kisota</v>
      </c>
      <c r="F1076" s="91">
        <v>577</v>
      </c>
    </row>
    <row r="1077" spans="1:6">
      <c r="A1077" s="91" t="s">
        <v>1348</v>
      </c>
      <c r="D1077" s="91" t="str">
        <f t="shared" si="17"/>
        <v>Kulambiro</v>
      </c>
      <c r="F1077" s="91">
        <v>577</v>
      </c>
    </row>
    <row r="1078" spans="1:6">
      <c r="A1078" s="91" t="s">
        <v>1349</v>
      </c>
      <c r="D1078" s="91" t="str">
        <f t="shared" si="17"/>
        <v>Kulambilo</v>
      </c>
      <c r="F1078" s="91">
        <v>577</v>
      </c>
    </row>
    <row r="1079" spans="1:6">
      <c r="A1079" s="91" t="s">
        <v>1350</v>
      </c>
      <c r="D1079" s="91" t="str">
        <f t="shared" si="17"/>
        <v>Sebagala</v>
      </c>
      <c r="F1079" s="91">
        <v>577</v>
      </c>
    </row>
    <row r="1080" spans="1:6">
      <c r="A1080" s="91" t="s">
        <v>1351</v>
      </c>
      <c r="B1080" s="91" t="s">
        <v>183</v>
      </c>
      <c r="C1080" s="91" t="s">
        <v>899</v>
      </c>
      <c r="D1080" s="91" t="str">
        <f t="shared" si="17"/>
        <v>Old Kampala</v>
      </c>
      <c r="E1080" s="91" t="str">
        <f t="shared" si="18"/>
        <v>Old Kampala</v>
      </c>
      <c r="F1080" s="91">
        <v>578</v>
      </c>
    </row>
    <row r="1081" spans="1:6">
      <c r="A1081" s="91" t="s">
        <v>1352</v>
      </c>
      <c r="D1081" s="91" t="str">
        <f t="shared" si="17"/>
        <v>OLD KAMPALA STAGE</v>
      </c>
      <c r="F1081" s="91">
        <v>578</v>
      </c>
    </row>
    <row r="1082" spans="1:6">
      <c r="A1082" s="91" t="s">
        <v>1353</v>
      </c>
      <c r="D1082" s="91" t="str">
        <f t="shared" si="17"/>
        <v>Kiseka</v>
      </c>
      <c r="E1082" s="91" t="str">
        <f t="shared" si="18"/>
        <v>Kiseka</v>
      </c>
      <c r="F1082" s="91">
        <v>578</v>
      </c>
    </row>
    <row r="1083" spans="1:6">
      <c r="A1083" s="91" t="s">
        <v>1354</v>
      </c>
      <c r="D1083" s="91" t="str">
        <f t="shared" si="17"/>
        <v>NALUSUGA</v>
      </c>
      <c r="F1083" s="91">
        <v>578</v>
      </c>
    </row>
    <row r="1084" spans="1:6">
      <c r="A1084" s="91" t="s">
        <v>1355</v>
      </c>
      <c r="B1084" s="91" t="s">
        <v>183</v>
      </c>
      <c r="C1084" s="91" t="s">
        <v>899</v>
      </c>
      <c r="D1084" s="91" t="str">
        <f t="shared" si="17"/>
        <v>Salaama</v>
      </c>
      <c r="E1084" s="91" t="str">
        <f t="shared" si="18"/>
        <v>Salaama</v>
      </c>
      <c r="F1084" s="91">
        <v>579</v>
      </c>
    </row>
    <row r="1085" spans="1:6">
      <c r="A1085" s="91" t="s">
        <v>1356</v>
      </c>
      <c r="D1085" s="91" t="str">
        <f t="shared" si="17"/>
        <v>Saalama</v>
      </c>
      <c r="E1085" s="91" t="str">
        <f t="shared" si="18"/>
        <v>Saalama</v>
      </c>
      <c r="F1085" s="91">
        <v>579</v>
      </c>
    </row>
    <row r="1086" spans="1:6">
      <c r="A1086" s="91" t="s">
        <v>1357</v>
      </c>
      <c r="D1086" s="91" t="str">
        <f t="shared" si="17"/>
        <v>Busiga</v>
      </c>
      <c r="E1086" s="91" t="str">
        <f t="shared" si="18"/>
        <v>Busiga</v>
      </c>
      <c r="F1086" s="91">
        <v>579</v>
      </c>
    </row>
    <row r="1087" spans="1:6">
      <c r="A1087" s="91" t="s">
        <v>1358</v>
      </c>
      <c r="D1087" s="91" t="str">
        <f t="shared" si="17"/>
        <v>Kyamula</v>
      </c>
      <c r="E1087" s="91" t="str">
        <f t="shared" si="18"/>
        <v>Kyamula</v>
      </c>
      <c r="F1087" s="91">
        <v>579</v>
      </c>
    </row>
    <row r="1088" spans="1:6">
      <c r="A1088" s="91" t="s">
        <v>1359</v>
      </c>
      <c r="D1088" s="91" t="str">
        <f t="shared" si="17"/>
        <v>Lubwama</v>
      </c>
      <c r="F1088" s="91">
        <v>579</v>
      </c>
    </row>
    <row r="1089" spans="1:6">
      <c r="A1089" s="91" t="s">
        <v>1360</v>
      </c>
      <c r="D1089" s="91" t="str">
        <f t="shared" si="17"/>
        <v>Salama</v>
      </c>
      <c r="E1089" s="91" t="str">
        <f t="shared" si="18"/>
        <v>Salama</v>
      </c>
      <c r="F1089" s="91">
        <v>579</v>
      </c>
    </row>
    <row r="1090" spans="1:6">
      <c r="A1090" s="91" t="s">
        <v>1361</v>
      </c>
      <c r="D1090" s="91" t="str">
        <f t="shared" si="17"/>
        <v>Wavamuno road</v>
      </c>
      <c r="E1090" s="91" t="str">
        <f t="shared" si="18"/>
        <v>Wavamuno road</v>
      </c>
      <c r="F1090" s="91">
        <v>579</v>
      </c>
    </row>
    <row r="1091" spans="1:6">
      <c r="A1091" s="91" t="s">
        <v>1362</v>
      </c>
      <c r="D1091" s="91" t="str">
        <f t="shared" ref="D1091:D1154" si="19">A1091</f>
        <v>Salaama road</v>
      </c>
      <c r="E1091" s="91" t="str">
        <f t="shared" si="18"/>
        <v>Salaama road</v>
      </c>
      <c r="F1091" s="91">
        <v>579</v>
      </c>
    </row>
    <row r="1092" spans="1:6">
      <c r="A1092" s="91" t="s">
        <v>1363</v>
      </c>
      <c r="D1092" s="91" t="str">
        <f t="shared" si="19"/>
        <v>Salama road</v>
      </c>
      <c r="E1092" s="91" t="str">
        <f t="shared" si="18"/>
        <v>Salama road</v>
      </c>
      <c r="F1092" s="91">
        <v>579</v>
      </c>
    </row>
    <row r="1093" spans="1:6">
      <c r="A1093" s="91" t="s">
        <v>1364</v>
      </c>
      <c r="D1093" s="91" t="str">
        <f t="shared" si="19"/>
        <v>Kulekaana</v>
      </c>
      <c r="E1093" s="91" t="str">
        <f t="shared" si="18"/>
        <v>Kulekaana</v>
      </c>
      <c r="F1093" s="91">
        <v>579</v>
      </c>
    </row>
    <row r="1094" spans="1:6">
      <c r="A1094" s="91" t="s">
        <v>1365</v>
      </c>
      <c r="B1094" s="91" t="s">
        <v>183</v>
      </c>
      <c r="C1094" s="91" t="s">
        <v>899</v>
      </c>
      <c r="D1094" s="91" t="str">
        <f t="shared" si="19"/>
        <v>Upk</v>
      </c>
      <c r="E1094" s="91" t="str">
        <f t="shared" si="18"/>
        <v>Upk</v>
      </c>
      <c r="F1094" s="91">
        <v>580</v>
      </c>
    </row>
    <row r="1095" spans="1:6">
      <c r="A1095" s="91" t="s">
        <v>1366</v>
      </c>
      <c r="B1095" s="91" t="s">
        <v>183</v>
      </c>
      <c r="C1095" s="91" t="s">
        <v>899</v>
      </c>
      <c r="D1095" s="91" t="str">
        <f t="shared" si="19"/>
        <v>Upper Estate</v>
      </c>
      <c r="E1095" s="91" t="str">
        <f t="shared" si="18"/>
        <v>Upper Estate</v>
      </c>
      <c r="F1095" s="91">
        <v>581</v>
      </c>
    </row>
    <row r="1096" spans="1:6">
      <c r="A1096" s="91" t="s">
        <v>1367</v>
      </c>
      <c r="B1096" s="91" t="s">
        <v>183</v>
      </c>
      <c r="C1096" s="91" t="s">
        <v>899</v>
      </c>
      <c r="D1096" s="91" t="str">
        <f t="shared" si="19"/>
        <v>Wabigalo</v>
      </c>
      <c r="E1096" s="91" t="str">
        <f t="shared" si="18"/>
        <v>Wabigalo</v>
      </c>
      <c r="F1096" s="91">
        <v>582</v>
      </c>
    </row>
    <row r="1097" spans="1:6">
      <c r="A1097" s="91" t="s">
        <v>1368</v>
      </c>
      <c r="B1097" s="91" t="s">
        <v>183</v>
      </c>
      <c r="C1097" s="91" t="s">
        <v>899</v>
      </c>
      <c r="D1097" s="91" t="str">
        <f t="shared" si="19"/>
        <v>Wandegeya</v>
      </c>
      <c r="E1097" s="91" t="str">
        <f t="shared" si="18"/>
        <v>Wandegeya</v>
      </c>
      <c r="F1097" s="91">
        <v>583</v>
      </c>
    </row>
    <row r="1098" spans="1:6">
      <c r="A1098" s="91" t="s">
        <v>1369</v>
      </c>
      <c r="D1098" s="91" t="str">
        <f t="shared" si="19"/>
        <v>YMCA WANDEGEYA</v>
      </c>
      <c r="F1098" s="91">
        <v>583</v>
      </c>
    </row>
    <row r="1099" spans="1:6">
      <c r="A1099" s="91" t="s">
        <v>1370</v>
      </c>
      <c r="D1099" s="91" t="str">
        <f t="shared" si="19"/>
        <v>Kavule</v>
      </c>
      <c r="E1099" s="91" t="str">
        <f t="shared" si="18"/>
        <v>Kavule</v>
      </c>
      <c r="F1099" s="91">
        <v>583</v>
      </c>
    </row>
    <row r="1100" spans="1:6">
      <c r="A1100" s="91" t="s">
        <v>1371</v>
      </c>
      <c r="D1100" s="91" t="str">
        <f t="shared" si="19"/>
        <v xml:space="preserve">WANDEYA </v>
      </c>
      <c r="E1100" s="91" t="str">
        <f t="shared" si="18"/>
        <v xml:space="preserve">WANDEYA </v>
      </c>
      <c r="F1100" s="91">
        <v>583</v>
      </c>
    </row>
    <row r="1101" spans="1:6">
      <c r="A1101" s="91" t="s">
        <v>1372</v>
      </c>
      <c r="D1101" s="91" t="str">
        <f t="shared" si="19"/>
        <v>Wandekeya</v>
      </c>
      <c r="E1101" s="91" t="str">
        <f t="shared" si="18"/>
        <v>Wandekeya</v>
      </c>
      <c r="F1101" s="91">
        <v>583</v>
      </c>
    </row>
    <row r="1102" spans="1:6">
      <c r="A1102" s="91" t="s">
        <v>1373</v>
      </c>
      <c r="D1102" s="91" t="str">
        <f t="shared" si="19"/>
        <v>Bombo road</v>
      </c>
      <c r="E1102" s="91" t="str">
        <f t="shared" si="18"/>
        <v>Bombo road</v>
      </c>
      <c r="F1102" s="91">
        <v>583</v>
      </c>
    </row>
    <row r="1103" spans="1:6">
      <c r="A1103" s="91" t="s">
        <v>1374</v>
      </c>
      <c r="D1103" s="91" t="str">
        <f t="shared" si="19"/>
        <v>Case Hospital</v>
      </c>
      <c r="E1103" s="91" t="str">
        <f t="shared" si="18"/>
        <v>Case Hospital</v>
      </c>
      <c r="F1103" s="91">
        <v>583</v>
      </c>
    </row>
    <row r="1104" spans="1:6">
      <c r="A1104" s="91" t="s">
        <v>1375</v>
      </c>
      <c r="B1104" s="91" t="s">
        <v>1376</v>
      </c>
      <c r="C1104" s="91" t="s">
        <v>1377</v>
      </c>
      <c r="D1104" s="91" t="str">
        <f t="shared" si="19"/>
        <v>Balawoli</v>
      </c>
      <c r="F1104" s="91">
        <v>584</v>
      </c>
    </row>
    <row r="1105" spans="1:6">
      <c r="A1105" s="91" t="s">
        <v>1378</v>
      </c>
      <c r="B1105" s="91" t="s">
        <v>1376</v>
      </c>
      <c r="C1105" s="91" t="s">
        <v>1379</v>
      </c>
      <c r="D1105" s="91" t="str">
        <f t="shared" si="19"/>
        <v>Bugulumbya</v>
      </c>
      <c r="F1105" s="91">
        <v>585</v>
      </c>
    </row>
    <row r="1106" spans="1:6">
      <c r="A1106" s="91" t="s">
        <v>1380</v>
      </c>
      <c r="B1106" s="91" t="s">
        <v>1376</v>
      </c>
      <c r="C1106" s="91" t="s">
        <v>1377</v>
      </c>
      <c r="D1106" s="91" t="str">
        <f t="shared" si="19"/>
        <v>Bulopa</v>
      </c>
      <c r="F1106" s="91">
        <v>586</v>
      </c>
    </row>
    <row r="1107" spans="1:6">
      <c r="A1107" s="91" t="s">
        <v>1381</v>
      </c>
      <c r="B1107" s="91" t="s">
        <v>1376</v>
      </c>
      <c r="C1107" s="91" t="s">
        <v>1377</v>
      </c>
      <c r="D1107" s="91" t="str">
        <f t="shared" si="19"/>
        <v>Butansi</v>
      </c>
      <c r="F1107" s="91">
        <v>587</v>
      </c>
    </row>
    <row r="1108" spans="1:6">
      <c r="A1108" s="91" t="s">
        <v>1382</v>
      </c>
      <c r="B1108" s="91" t="s">
        <v>1376</v>
      </c>
      <c r="C1108" s="91" t="s">
        <v>1382</v>
      </c>
      <c r="D1108" s="91" t="str">
        <f t="shared" si="19"/>
        <v>Kamuli Municipality</v>
      </c>
      <c r="F1108" s="91">
        <v>588</v>
      </c>
    </row>
    <row r="1109" spans="1:6">
      <c r="A1109" s="91" t="s">
        <v>1383</v>
      </c>
      <c r="B1109" s="91" t="s">
        <v>1376</v>
      </c>
      <c r="C1109" s="91" t="s">
        <v>1379</v>
      </c>
      <c r="D1109" s="91" t="str">
        <f t="shared" si="19"/>
        <v>Kisozi</v>
      </c>
      <c r="F1109" s="91">
        <v>589</v>
      </c>
    </row>
    <row r="1110" spans="1:6">
      <c r="A1110" s="91" t="s">
        <v>1384</v>
      </c>
      <c r="B1110" s="91" t="s">
        <v>1376</v>
      </c>
      <c r="C1110" s="91" t="s">
        <v>1377</v>
      </c>
      <c r="D1110" s="91" t="str">
        <f t="shared" si="19"/>
        <v>Kitayunjwa</v>
      </c>
      <c r="F1110" s="91">
        <v>590</v>
      </c>
    </row>
    <row r="1111" spans="1:6">
      <c r="A1111" s="91" t="s">
        <v>1385</v>
      </c>
      <c r="B1111" s="91" t="s">
        <v>1376</v>
      </c>
      <c r="C1111" s="91" t="s">
        <v>1379</v>
      </c>
      <c r="D1111" s="91" t="str">
        <f t="shared" si="19"/>
        <v>Mbulamuti</v>
      </c>
      <c r="F1111" s="91">
        <v>591</v>
      </c>
    </row>
    <row r="1112" spans="1:6">
      <c r="A1112" s="91" t="s">
        <v>1386</v>
      </c>
      <c r="B1112" s="91" t="s">
        <v>1376</v>
      </c>
      <c r="C1112" s="91" t="s">
        <v>1377</v>
      </c>
      <c r="D1112" s="91" t="str">
        <f t="shared" si="19"/>
        <v>Nabwigulu</v>
      </c>
      <c r="F1112" s="91">
        <v>592</v>
      </c>
    </row>
    <row r="1113" spans="1:6">
      <c r="A1113" s="91" t="s">
        <v>1387</v>
      </c>
      <c r="B1113" s="91" t="s">
        <v>1376</v>
      </c>
      <c r="C1113" s="91" t="s">
        <v>1377</v>
      </c>
      <c r="D1113" s="91" t="str">
        <f t="shared" si="19"/>
        <v>Namasagali</v>
      </c>
      <c r="F1113" s="91">
        <v>593</v>
      </c>
    </row>
    <row r="1114" spans="1:6">
      <c r="A1114" s="91" t="s">
        <v>1388</v>
      </c>
      <c r="B1114" s="91" t="s">
        <v>1376</v>
      </c>
      <c r="C1114" s="91" t="s">
        <v>1377</v>
      </c>
      <c r="D1114" s="91" t="str">
        <f t="shared" si="19"/>
        <v>Namwendwa</v>
      </c>
      <c r="F1114" s="91">
        <v>594</v>
      </c>
    </row>
    <row r="1115" spans="1:6">
      <c r="A1115" s="91" t="s">
        <v>1389</v>
      </c>
      <c r="B1115" s="91" t="s">
        <v>1376</v>
      </c>
      <c r="C1115" s="91" t="s">
        <v>1379</v>
      </c>
      <c r="D1115" s="91" t="str">
        <f t="shared" si="19"/>
        <v>Nawanyago</v>
      </c>
      <c r="F1115" s="91">
        <v>595</v>
      </c>
    </row>
    <row r="1116" spans="1:6">
      <c r="A1116" s="91" t="s">
        <v>1390</v>
      </c>
      <c r="B1116" s="91" t="s">
        <v>1376</v>
      </c>
      <c r="C1116" s="91" t="s">
        <v>1379</v>
      </c>
      <c r="D1116" s="91" t="str">
        <f t="shared" si="19"/>
        <v>Wankole</v>
      </c>
      <c r="F1116" s="91">
        <v>596</v>
      </c>
    </row>
    <row r="1117" spans="1:6">
      <c r="A1117" s="91" t="s">
        <v>1391</v>
      </c>
      <c r="B1117" s="91" t="s">
        <v>50</v>
      </c>
      <c r="C1117" s="91" t="s">
        <v>598</v>
      </c>
      <c r="D1117" s="91" t="str">
        <f t="shared" si="19"/>
        <v>Biguli</v>
      </c>
      <c r="F1117" s="91">
        <v>597</v>
      </c>
    </row>
    <row r="1118" spans="1:6">
      <c r="A1118" s="91" t="s">
        <v>1392</v>
      </c>
      <c r="B1118" s="91" t="s">
        <v>50</v>
      </c>
      <c r="C1118" s="91" t="s">
        <v>598</v>
      </c>
      <c r="D1118" s="91" t="str">
        <f t="shared" si="19"/>
        <v>Bihanga-Kamwenge</v>
      </c>
      <c r="F1118" s="91">
        <v>598</v>
      </c>
    </row>
    <row r="1119" spans="1:6">
      <c r="A1119" s="91" t="s">
        <v>1393</v>
      </c>
      <c r="B1119" s="91" t="s">
        <v>50</v>
      </c>
      <c r="C1119" s="91" t="s">
        <v>1394</v>
      </c>
      <c r="D1119" s="91" t="str">
        <f t="shared" si="19"/>
        <v>Buhanda</v>
      </c>
      <c r="F1119" s="91">
        <v>599</v>
      </c>
    </row>
    <row r="1120" spans="1:6">
      <c r="A1120" s="91" t="s">
        <v>1395</v>
      </c>
      <c r="B1120" s="91" t="s">
        <v>50</v>
      </c>
      <c r="C1120" s="91" t="s">
        <v>598</v>
      </c>
      <c r="D1120" s="91" t="str">
        <f t="shared" si="19"/>
        <v>Busiriba</v>
      </c>
      <c r="F1120" s="91">
        <v>600</v>
      </c>
    </row>
    <row r="1121" spans="1:6">
      <c r="A1121" s="91" t="s">
        <v>1396</v>
      </c>
      <c r="B1121" s="91" t="s">
        <v>50</v>
      </c>
      <c r="C1121" s="91" t="s">
        <v>598</v>
      </c>
      <c r="D1121" s="91" t="str">
        <f t="shared" si="19"/>
        <v>Bwizi</v>
      </c>
      <c r="F1121" s="91">
        <v>601</v>
      </c>
    </row>
    <row r="1122" spans="1:6">
      <c r="A1122" s="91" t="s">
        <v>1397</v>
      </c>
      <c r="B1122" s="91" t="s">
        <v>50</v>
      </c>
      <c r="C1122" s="91" t="s">
        <v>598</v>
      </c>
      <c r="D1122" s="91" t="str">
        <f t="shared" si="19"/>
        <v>Kabambiro</v>
      </c>
      <c r="F1122" s="91">
        <v>602</v>
      </c>
    </row>
    <row r="1123" spans="1:6">
      <c r="A1123" s="91" t="s">
        <v>1398</v>
      </c>
      <c r="B1123" s="91" t="s">
        <v>50</v>
      </c>
      <c r="C1123" s="91" t="s">
        <v>598</v>
      </c>
      <c r="D1123" s="91" t="str">
        <f t="shared" si="19"/>
        <v>Kahunge</v>
      </c>
      <c r="F1123" s="91">
        <v>603</v>
      </c>
    </row>
    <row r="1124" spans="1:6">
      <c r="A1124" s="91" t="s">
        <v>50</v>
      </c>
      <c r="B1124" s="91" t="s">
        <v>50</v>
      </c>
      <c r="C1124" s="91" t="s">
        <v>598</v>
      </c>
      <c r="D1124" s="91" t="str">
        <f t="shared" si="19"/>
        <v>Kamwenge</v>
      </c>
      <c r="F1124" s="91">
        <v>604</v>
      </c>
    </row>
    <row r="1125" spans="1:6">
      <c r="A1125" s="91" t="s">
        <v>1399</v>
      </c>
      <c r="B1125" s="91" t="s">
        <v>50</v>
      </c>
      <c r="C1125" s="91" t="s">
        <v>598</v>
      </c>
      <c r="D1125" s="91" t="str">
        <f t="shared" si="19"/>
        <v>Kamwenge Town Council</v>
      </c>
      <c r="F1125" s="91">
        <v>605</v>
      </c>
    </row>
    <row r="1126" spans="1:6">
      <c r="A1126" s="91" t="s">
        <v>1400</v>
      </c>
      <c r="B1126" s="91" t="s">
        <v>50</v>
      </c>
      <c r="C1126" s="91" t="s">
        <v>1394</v>
      </c>
      <c r="D1126" s="91" t="str">
        <f t="shared" si="19"/>
        <v>Kanara-Kamwenge</v>
      </c>
      <c r="F1126" s="91">
        <v>606</v>
      </c>
    </row>
    <row r="1127" spans="1:6">
      <c r="A1127" s="91" t="s">
        <v>1401</v>
      </c>
      <c r="B1127" s="91" t="s">
        <v>50</v>
      </c>
      <c r="C1127" s="91" t="s">
        <v>1394</v>
      </c>
      <c r="D1127" s="91" t="str">
        <f t="shared" si="19"/>
        <v>Kicheche</v>
      </c>
      <c r="F1127" s="91">
        <v>607</v>
      </c>
    </row>
    <row r="1128" spans="1:6">
      <c r="A1128" s="91" t="s">
        <v>1402</v>
      </c>
      <c r="B1128" s="91" t="s">
        <v>50</v>
      </c>
      <c r="C1128" s="91" t="s">
        <v>1394</v>
      </c>
      <c r="D1128" s="91" t="str">
        <f t="shared" si="19"/>
        <v>Mahyoro</v>
      </c>
      <c r="F1128" s="91">
        <v>608</v>
      </c>
    </row>
    <row r="1129" spans="1:6">
      <c r="A1129" s="91" t="s">
        <v>1403</v>
      </c>
      <c r="D1129" s="91" t="str">
        <f t="shared" si="19"/>
        <v>NYAKASHURA</v>
      </c>
      <c r="F1129" s="91">
        <v>608</v>
      </c>
    </row>
    <row r="1130" spans="1:6">
      <c r="A1130" s="91" t="s">
        <v>1404</v>
      </c>
      <c r="D1130" s="91" t="str">
        <f t="shared" si="19"/>
        <v>OMUKIHOGO</v>
      </c>
      <c r="F1130" s="91">
        <v>608</v>
      </c>
    </row>
    <row r="1131" spans="1:6">
      <c r="A1131" s="91" t="s">
        <v>1405</v>
      </c>
      <c r="D1131" s="91" t="str">
        <f t="shared" si="19"/>
        <v>MUKIHOGO</v>
      </c>
      <c r="F1131" s="91">
        <v>608</v>
      </c>
    </row>
    <row r="1132" spans="1:6">
      <c r="A1132" s="91" t="s">
        <v>1406</v>
      </c>
      <c r="D1132" s="91" t="str">
        <f t="shared" si="19"/>
        <v>MUKIHORGO</v>
      </c>
      <c r="F1132" s="91">
        <v>608</v>
      </c>
    </row>
    <row r="1133" spans="1:6">
      <c r="A1133" s="91" t="s">
        <v>1407</v>
      </c>
      <c r="D1133" s="91" t="str">
        <f t="shared" si="19"/>
        <v>OMUKIHONGO</v>
      </c>
      <c r="F1133" s="91">
        <v>608</v>
      </c>
    </row>
    <row r="1134" spans="1:6">
      <c r="A1134" s="91" t="s">
        <v>1408</v>
      </c>
      <c r="B1134" s="91" t="s">
        <v>50</v>
      </c>
      <c r="C1134" s="91" t="s">
        <v>598</v>
      </c>
      <c r="D1134" s="91" t="str">
        <f t="shared" si="19"/>
        <v>Nkoma</v>
      </c>
      <c r="F1134" s="91">
        <v>609</v>
      </c>
    </row>
    <row r="1135" spans="1:6">
      <c r="A1135" s="91" t="s">
        <v>1409</v>
      </c>
      <c r="D1135" s="91" t="str">
        <f t="shared" si="19"/>
        <v>ssanga</v>
      </c>
      <c r="F1135" s="91">
        <v>609</v>
      </c>
    </row>
    <row r="1136" spans="1:6">
      <c r="A1136" s="91" t="s">
        <v>1410</v>
      </c>
      <c r="D1136" s="91" t="str">
        <f t="shared" si="19"/>
        <v>Kungu</v>
      </c>
      <c r="F1136" s="91">
        <v>609</v>
      </c>
    </row>
    <row r="1137" spans="1:6">
      <c r="A1137" s="91" t="s">
        <v>1411</v>
      </c>
      <c r="D1137" s="91" t="str">
        <f t="shared" si="19"/>
        <v>Kkungu</v>
      </c>
      <c r="F1137" s="91">
        <v>609</v>
      </c>
    </row>
    <row r="1138" spans="1:6">
      <c r="A1138" s="91" t="s">
        <v>1412</v>
      </c>
      <c r="B1138" s="91" t="s">
        <v>50</v>
      </c>
      <c r="C1138" s="91" t="s">
        <v>1394</v>
      </c>
      <c r="D1138" s="91" t="str">
        <f t="shared" si="19"/>
        <v>Ntara</v>
      </c>
      <c r="F1138" s="91">
        <v>610</v>
      </c>
    </row>
    <row r="1139" spans="1:6">
      <c r="A1139" s="91" t="s">
        <v>1413</v>
      </c>
      <c r="B1139" s="91" t="s">
        <v>50</v>
      </c>
      <c r="C1139" s="91" t="s">
        <v>1394</v>
      </c>
      <c r="D1139" s="91" t="str">
        <f t="shared" si="19"/>
        <v>Nyabbani</v>
      </c>
      <c r="F1139" s="91">
        <v>611</v>
      </c>
    </row>
    <row r="1140" spans="1:6">
      <c r="A1140" s="91" t="s">
        <v>1414</v>
      </c>
      <c r="B1140" s="91" t="s">
        <v>50</v>
      </c>
      <c r="C1140" s="91" t="s">
        <v>598</v>
      </c>
      <c r="D1140" s="91" t="str">
        <f t="shared" si="19"/>
        <v>Rwamwanja Refugee Camp</v>
      </c>
      <c r="F1140" s="91">
        <v>612</v>
      </c>
    </row>
    <row r="1141" spans="1:6">
      <c r="A1141" s="91" t="s">
        <v>1415</v>
      </c>
      <c r="D1141" s="91" t="str">
        <f t="shared" si="19"/>
        <v>Lwamwanja</v>
      </c>
      <c r="F1141" s="91">
        <v>612</v>
      </c>
    </row>
    <row r="1142" spans="1:6">
      <c r="A1142" s="91" t="s">
        <v>1416</v>
      </c>
      <c r="D1142" s="91" t="str">
        <f t="shared" si="19"/>
        <v>RWAMWAZA</v>
      </c>
      <c r="F1142" s="91">
        <v>612</v>
      </c>
    </row>
    <row r="1143" spans="1:6">
      <c r="A1143" s="91" t="s">
        <v>1417</v>
      </c>
      <c r="B1143" s="91" t="s">
        <v>1418</v>
      </c>
      <c r="C1143" s="91" t="s">
        <v>1419</v>
      </c>
      <c r="D1143" s="91" t="str">
        <f t="shared" si="19"/>
        <v>Butogota Town Council</v>
      </c>
      <c r="F1143" s="91">
        <v>613</v>
      </c>
    </row>
    <row r="1144" spans="1:6">
      <c r="A1144" s="91" t="s">
        <v>1420</v>
      </c>
      <c r="B1144" s="91" t="s">
        <v>1418</v>
      </c>
      <c r="C1144" s="91" t="s">
        <v>1419</v>
      </c>
      <c r="D1144" s="91" t="str">
        <f t="shared" si="19"/>
        <v>Kambuga</v>
      </c>
      <c r="F1144" s="91">
        <v>614</v>
      </c>
    </row>
    <row r="1145" spans="1:6">
      <c r="A1145" s="91" t="s">
        <v>1421</v>
      </c>
      <c r="B1145" s="91" t="s">
        <v>1418</v>
      </c>
      <c r="C1145" s="91" t="s">
        <v>1419</v>
      </c>
      <c r="D1145" s="91" t="str">
        <f t="shared" si="19"/>
        <v>Kambuga Town Council</v>
      </c>
      <c r="F1145" s="91">
        <v>615</v>
      </c>
    </row>
    <row r="1146" spans="1:6">
      <c r="A1146" s="91" t="s">
        <v>1422</v>
      </c>
      <c r="B1146" s="91" t="s">
        <v>1418</v>
      </c>
      <c r="C1146" s="91" t="s">
        <v>1419</v>
      </c>
      <c r="D1146" s="91" t="str">
        <f t="shared" si="19"/>
        <v>Kanungu Town Council</v>
      </c>
      <c r="F1146" s="91">
        <v>616</v>
      </c>
    </row>
    <row r="1147" spans="1:6">
      <c r="A1147" s="91" t="s">
        <v>1418</v>
      </c>
      <c r="D1147" s="91" t="str">
        <f t="shared" si="19"/>
        <v>Kanungu</v>
      </c>
      <c r="F1147" s="91">
        <v>616</v>
      </c>
    </row>
    <row r="1148" spans="1:6">
      <c r="A1148" s="91" t="s">
        <v>1423</v>
      </c>
      <c r="B1148" s="91" t="s">
        <v>1418</v>
      </c>
      <c r="C1148" s="91" t="s">
        <v>1419</v>
      </c>
      <c r="D1148" s="91" t="str">
        <f t="shared" si="19"/>
        <v>Kanyantorogo</v>
      </c>
      <c r="F1148" s="91">
        <v>617</v>
      </c>
    </row>
    <row r="1149" spans="1:6">
      <c r="A1149" s="91" t="s">
        <v>1424</v>
      </c>
      <c r="B1149" s="91" t="s">
        <v>1418</v>
      </c>
      <c r="C1149" s="91" t="s">
        <v>1419</v>
      </c>
      <c r="D1149" s="91" t="str">
        <f t="shared" si="19"/>
        <v>Katete</v>
      </c>
      <c r="F1149" s="91">
        <v>618</v>
      </c>
    </row>
    <row r="1150" spans="1:6">
      <c r="A1150" s="91" t="s">
        <v>1425</v>
      </c>
      <c r="D1150" s="91" t="str">
        <f t="shared" si="19"/>
        <v>KATETE</v>
      </c>
      <c r="F1150" s="91">
        <v>618</v>
      </c>
    </row>
    <row r="1151" spans="1:6">
      <c r="A1151" s="91" t="s">
        <v>1426</v>
      </c>
      <c r="B1151" s="91" t="s">
        <v>1418</v>
      </c>
      <c r="C1151" s="91" t="s">
        <v>1419</v>
      </c>
      <c r="D1151" s="91" t="str">
        <f t="shared" si="19"/>
        <v>Kayonza-Kanungu</v>
      </c>
      <c r="F1151" s="91">
        <v>619</v>
      </c>
    </row>
    <row r="1152" spans="1:6">
      <c r="A1152" s="91" t="s">
        <v>1427</v>
      </c>
      <c r="B1152" s="91" t="s">
        <v>1418</v>
      </c>
      <c r="C1152" s="91" t="s">
        <v>1419</v>
      </c>
      <c r="D1152" s="91" t="str">
        <f t="shared" si="19"/>
        <v>Kihihi</v>
      </c>
      <c r="F1152" s="91">
        <v>620</v>
      </c>
    </row>
    <row r="1153" spans="1:6">
      <c r="A1153" s="91" t="s">
        <v>1428</v>
      </c>
      <c r="B1153" s="91" t="s">
        <v>1418</v>
      </c>
      <c r="C1153" s="91" t="s">
        <v>1419</v>
      </c>
      <c r="D1153" s="91" t="str">
        <f t="shared" si="19"/>
        <v>Kihiihi Town Council</v>
      </c>
      <c r="F1153" s="91">
        <v>621</v>
      </c>
    </row>
    <row r="1154" spans="1:6">
      <c r="A1154" s="91" t="s">
        <v>1429</v>
      </c>
      <c r="B1154" s="91" t="s">
        <v>1418</v>
      </c>
      <c r="C1154" s="91" t="s">
        <v>1419</v>
      </c>
      <c r="D1154" s="91" t="str">
        <f t="shared" si="19"/>
        <v>Kinaaba</v>
      </c>
      <c r="F1154" s="91">
        <v>622</v>
      </c>
    </row>
    <row r="1155" spans="1:6">
      <c r="A1155" s="91" t="s">
        <v>1430</v>
      </c>
      <c r="B1155" s="91" t="s">
        <v>1418</v>
      </c>
      <c r="C1155" s="91" t="s">
        <v>1419</v>
      </c>
      <c r="D1155" s="91" t="str">
        <f t="shared" ref="D1155:D1218" si="20">A1155</f>
        <v>Kirima</v>
      </c>
      <c r="F1155" s="91">
        <v>623</v>
      </c>
    </row>
    <row r="1156" spans="1:6">
      <c r="A1156" s="91" t="s">
        <v>1431</v>
      </c>
      <c r="B1156" s="91" t="s">
        <v>1418</v>
      </c>
      <c r="C1156" s="91" t="s">
        <v>1419</v>
      </c>
      <c r="D1156" s="91" t="str">
        <f t="shared" si="20"/>
        <v>Mpungu</v>
      </c>
      <c r="F1156" s="91">
        <v>624</v>
      </c>
    </row>
    <row r="1157" spans="1:6">
      <c r="A1157" s="91" t="s">
        <v>1432</v>
      </c>
      <c r="B1157" s="91" t="s">
        <v>1418</v>
      </c>
      <c r="C1157" s="91" t="s">
        <v>1419</v>
      </c>
      <c r="D1157" s="91" t="str">
        <f t="shared" si="20"/>
        <v>Nyakinoni</v>
      </c>
      <c r="F1157" s="91">
        <v>625</v>
      </c>
    </row>
    <row r="1158" spans="1:6">
      <c r="A1158" s="91" t="s">
        <v>1433</v>
      </c>
      <c r="B1158" s="91" t="s">
        <v>1418</v>
      </c>
      <c r="C1158" s="91" t="s">
        <v>1419</v>
      </c>
      <c r="D1158" s="91" t="str">
        <f t="shared" si="20"/>
        <v>Nyamirama</v>
      </c>
      <c r="F1158" s="91">
        <v>626</v>
      </c>
    </row>
    <row r="1159" spans="1:6">
      <c r="A1159" s="91" t="s">
        <v>1434</v>
      </c>
      <c r="B1159" s="91" t="s">
        <v>1418</v>
      </c>
      <c r="C1159" s="91" t="s">
        <v>1419</v>
      </c>
      <c r="D1159" s="91" t="str">
        <f t="shared" si="20"/>
        <v>Nyanga</v>
      </c>
      <c r="F1159" s="91">
        <v>627</v>
      </c>
    </row>
    <row r="1160" spans="1:6">
      <c r="A1160" s="91" t="s">
        <v>1435</v>
      </c>
      <c r="B1160" s="91" t="s">
        <v>1418</v>
      </c>
      <c r="C1160" s="91" t="s">
        <v>1419</v>
      </c>
      <c r="D1160" s="91" t="str">
        <f t="shared" si="20"/>
        <v>Rugyeyo</v>
      </c>
      <c r="F1160" s="91">
        <v>628</v>
      </c>
    </row>
    <row r="1161" spans="1:6">
      <c r="A1161" s="91" t="s">
        <v>1436</v>
      </c>
      <c r="B1161" s="91" t="s">
        <v>1418</v>
      </c>
      <c r="C1161" s="91" t="s">
        <v>1419</v>
      </c>
      <c r="D1161" s="91" t="str">
        <f t="shared" si="20"/>
        <v>Rutenga</v>
      </c>
      <c r="F1161" s="91">
        <v>629</v>
      </c>
    </row>
    <row r="1162" spans="1:6">
      <c r="A1162" s="91" t="s">
        <v>1437</v>
      </c>
      <c r="B1162" s="91" t="s">
        <v>1438</v>
      </c>
      <c r="C1162" s="91" t="s">
        <v>1439</v>
      </c>
      <c r="D1162" s="91" t="str">
        <f t="shared" si="20"/>
        <v>Amukol</v>
      </c>
      <c r="F1162" s="91">
        <v>630</v>
      </c>
    </row>
    <row r="1163" spans="1:6">
      <c r="A1163" s="91" t="s">
        <v>1440</v>
      </c>
      <c r="B1163" s="91" t="s">
        <v>1438</v>
      </c>
      <c r="C1163" s="91" t="s">
        <v>1439</v>
      </c>
      <c r="D1163" s="91" t="str">
        <f t="shared" si="20"/>
        <v>Chema</v>
      </c>
      <c r="F1163" s="91">
        <v>631</v>
      </c>
    </row>
    <row r="1164" spans="1:6">
      <c r="A1164" s="91" t="s">
        <v>1441</v>
      </c>
      <c r="B1164" s="91" t="s">
        <v>1438</v>
      </c>
      <c r="C1164" s="91" t="s">
        <v>1439</v>
      </c>
      <c r="D1164" s="91" t="str">
        <f t="shared" si="20"/>
        <v>Chepterech</v>
      </c>
      <c r="F1164" s="91">
        <v>632</v>
      </c>
    </row>
    <row r="1165" spans="1:6">
      <c r="A1165" s="91" t="s">
        <v>1442</v>
      </c>
      <c r="B1165" s="91" t="s">
        <v>1438</v>
      </c>
      <c r="C1165" s="91" t="s">
        <v>1439</v>
      </c>
      <c r="D1165" s="91" t="str">
        <f t="shared" si="20"/>
        <v>Gamogo</v>
      </c>
      <c r="F1165" s="91">
        <v>633</v>
      </c>
    </row>
    <row r="1166" spans="1:6">
      <c r="A1166" s="91" t="s">
        <v>1443</v>
      </c>
      <c r="B1166" s="91" t="s">
        <v>1438</v>
      </c>
      <c r="C1166" s="91" t="s">
        <v>1439</v>
      </c>
      <c r="D1166" s="91" t="str">
        <f t="shared" si="20"/>
        <v>Kabeywa</v>
      </c>
      <c r="F1166" s="91">
        <v>634</v>
      </c>
    </row>
    <row r="1167" spans="1:6">
      <c r="A1167" s="91" t="s">
        <v>1444</v>
      </c>
      <c r="B1167" s="91" t="s">
        <v>1438</v>
      </c>
      <c r="C1167" s="91" t="s">
        <v>1444</v>
      </c>
      <c r="D1167" s="91" t="str">
        <f t="shared" si="20"/>
        <v>Kapchorwa Municipality</v>
      </c>
      <c r="F1167" s="91">
        <v>635</v>
      </c>
    </row>
    <row r="1168" spans="1:6">
      <c r="A1168" s="91" t="s">
        <v>1445</v>
      </c>
      <c r="B1168" s="91" t="s">
        <v>1438</v>
      </c>
      <c r="C1168" s="91" t="s">
        <v>1439</v>
      </c>
      <c r="D1168" s="91" t="str">
        <f t="shared" si="20"/>
        <v>Kapsinda</v>
      </c>
      <c r="F1168" s="91">
        <v>636</v>
      </c>
    </row>
    <row r="1169" spans="1:6">
      <c r="A1169" s="91" t="s">
        <v>1446</v>
      </c>
      <c r="B1169" s="91" t="s">
        <v>1438</v>
      </c>
      <c r="C1169" s="91" t="s">
        <v>1439</v>
      </c>
      <c r="D1169" s="91" t="str">
        <f t="shared" si="20"/>
        <v>Kaptanya</v>
      </c>
      <c r="F1169" s="91">
        <v>637</v>
      </c>
    </row>
    <row r="1170" spans="1:6">
      <c r="A1170" s="91" t="s">
        <v>1447</v>
      </c>
      <c r="B1170" s="91" t="s">
        <v>1438</v>
      </c>
      <c r="C1170" s="91" t="s">
        <v>1439</v>
      </c>
      <c r="D1170" s="91" t="str">
        <f t="shared" si="20"/>
        <v>Kaserem</v>
      </c>
      <c r="F1170" s="91">
        <v>638</v>
      </c>
    </row>
    <row r="1171" spans="1:6">
      <c r="A1171" s="91" t="s">
        <v>1448</v>
      </c>
      <c r="B1171" s="91" t="s">
        <v>1438</v>
      </c>
      <c r="C1171" s="91" t="s">
        <v>1439</v>
      </c>
      <c r="D1171" s="91" t="str">
        <f t="shared" si="20"/>
        <v>Kawowo</v>
      </c>
      <c r="F1171" s="91">
        <v>639</v>
      </c>
    </row>
    <row r="1172" spans="1:6">
      <c r="A1172" s="91" t="s">
        <v>1449</v>
      </c>
      <c r="B1172" s="91" t="s">
        <v>1438</v>
      </c>
      <c r="C1172" s="91" t="s">
        <v>1439</v>
      </c>
      <c r="D1172" s="91" t="str">
        <f t="shared" si="20"/>
        <v>Munarya</v>
      </c>
      <c r="F1172" s="91">
        <v>640</v>
      </c>
    </row>
    <row r="1173" spans="1:6">
      <c r="A1173" s="91" t="s">
        <v>1450</v>
      </c>
      <c r="B1173" s="91" t="s">
        <v>1438</v>
      </c>
      <c r="C1173" s="91" t="s">
        <v>1439</v>
      </c>
      <c r="D1173" s="91" t="str">
        <f t="shared" si="20"/>
        <v>Sipi</v>
      </c>
      <c r="F1173" s="91">
        <v>641</v>
      </c>
    </row>
    <row r="1174" spans="1:6">
      <c r="A1174" s="91" t="s">
        <v>1451</v>
      </c>
      <c r="B1174" s="91" t="s">
        <v>37</v>
      </c>
      <c r="C1174" s="91" t="s">
        <v>1452</v>
      </c>
      <c r="D1174" s="91" t="str">
        <f t="shared" si="20"/>
        <v>Bugoye</v>
      </c>
      <c r="F1174" s="91">
        <v>642</v>
      </c>
    </row>
    <row r="1175" spans="1:6">
      <c r="A1175" s="91" t="s">
        <v>1453</v>
      </c>
      <c r="B1175" s="91" t="s">
        <v>37</v>
      </c>
      <c r="C1175" s="91" t="s">
        <v>1452</v>
      </c>
      <c r="D1175" s="91" t="str">
        <f t="shared" si="20"/>
        <v>Buhuhira</v>
      </c>
      <c r="F1175" s="91">
        <v>643</v>
      </c>
    </row>
    <row r="1176" spans="1:6">
      <c r="A1176" s="91" t="s">
        <v>38</v>
      </c>
      <c r="B1176" s="91" t="s">
        <v>37</v>
      </c>
      <c r="C1176" s="91" t="s">
        <v>502</v>
      </c>
      <c r="D1176" s="91" t="str">
        <f t="shared" si="20"/>
        <v>Bwera</v>
      </c>
      <c r="F1176" s="91">
        <v>644</v>
      </c>
    </row>
    <row r="1177" spans="1:6">
      <c r="A1177" s="91" t="s">
        <v>1454</v>
      </c>
      <c r="D1177" s="91" t="str">
        <f t="shared" si="20"/>
        <v>KYEMPALA</v>
      </c>
      <c r="F1177" s="91">
        <v>644</v>
      </c>
    </row>
    <row r="1178" spans="1:6">
      <c r="A1178" s="91" t="s">
        <v>1455</v>
      </c>
      <c r="B1178" s="91" t="s">
        <v>37</v>
      </c>
      <c r="C1178" s="91" t="s">
        <v>1452</v>
      </c>
      <c r="D1178" s="91" t="str">
        <f t="shared" si="20"/>
        <v>Bwesumbu</v>
      </c>
      <c r="F1178" s="91">
        <v>645</v>
      </c>
    </row>
    <row r="1179" spans="1:6">
      <c r="A1179" s="91" t="s">
        <v>1456</v>
      </c>
      <c r="B1179" s="91" t="s">
        <v>37</v>
      </c>
      <c r="C1179" s="91" t="s">
        <v>1452</v>
      </c>
      <c r="D1179" s="91" t="str">
        <f t="shared" si="20"/>
        <v>Hima Town Council</v>
      </c>
      <c r="F1179" s="91">
        <v>646</v>
      </c>
    </row>
    <row r="1180" spans="1:6">
      <c r="A1180" s="91" t="s">
        <v>1457</v>
      </c>
      <c r="D1180" s="91" t="str">
        <f t="shared" si="20"/>
        <v>HIMA</v>
      </c>
      <c r="F1180" s="91">
        <v>646</v>
      </c>
    </row>
    <row r="1181" spans="1:6">
      <c r="A1181" s="91" t="s">
        <v>1458</v>
      </c>
      <c r="B1181" s="91" t="s">
        <v>37</v>
      </c>
      <c r="C1181" s="91" t="s">
        <v>502</v>
      </c>
      <c r="D1181" s="91" t="str">
        <f t="shared" si="20"/>
        <v>Ihandiro</v>
      </c>
      <c r="F1181" s="91">
        <v>647</v>
      </c>
    </row>
    <row r="1182" spans="1:6">
      <c r="A1182" s="91" t="s">
        <v>1459</v>
      </c>
      <c r="B1182" s="91" t="s">
        <v>37</v>
      </c>
      <c r="C1182" s="91" t="s">
        <v>502</v>
      </c>
      <c r="D1182" s="91" t="str">
        <f t="shared" si="20"/>
        <v>Isango</v>
      </c>
      <c r="F1182" s="91">
        <v>648</v>
      </c>
    </row>
    <row r="1183" spans="1:6">
      <c r="A1183" s="91" t="s">
        <v>1460</v>
      </c>
      <c r="B1183" s="91" t="s">
        <v>37</v>
      </c>
      <c r="C1183" s="91" t="s">
        <v>502</v>
      </c>
      <c r="D1183" s="91" t="str">
        <f t="shared" si="20"/>
        <v>Karambi-Kasese</v>
      </c>
      <c r="F1183" s="91">
        <v>649</v>
      </c>
    </row>
    <row r="1184" spans="1:6">
      <c r="A1184" s="91" t="s">
        <v>1461</v>
      </c>
      <c r="B1184" s="91" t="s">
        <v>37</v>
      </c>
      <c r="C1184" s="91" t="s">
        <v>1452</v>
      </c>
      <c r="D1184" s="91" t="str">
        <f t="shared" si="20"/>
        <v>Karusandara</v>
      </c>
      <c r="F1184" s="91">
        <v>650</v>
      </c>
    </row>
    <row r="1185" spans="1:6">
      <c r="A1185" s="91" t="s">
        <v>1462</v>
      </c>
      <c r="B1185" s="91" t="s">
        <v>37</v>
      </c>
      <c r="C1185" s="91" t="s">
        <v>1462</v>
      </c>
      <c r="D1185" s="91" t="str">
        <f t="shared" si="20"/>
        <v>Kasese Municipality</v>
      </c>
      <c r="F1185" s="91">
        <v>651</v>
      </c>
    </row>
    <row r="1186" spans="1:6">
      <c r="A1186" s="91" t="s">
        <v>37</v>
      </c>
      <c r="D1186" s="91" t="str">
        <f t="shared" si="20"/>
        <v>Kasese</v>
      </c>
      <c r="F1186" s="91">
        <v>651</v>
      </c>
    </row>
    <row r="1187" spans="1:6">
      <c r="A1187" s="91" t="s">
        <v>59</v>
      </c>
      <c r="D1187" s="91" t="str">
        <f t="shared" si="20"/>
        <v>Mweya</v>
      </c>
      <c r="F1187" s="91">
        <v>651</v>
      </c>
    </row>
    <row r="1188" spans="1:6">
      <c r="A1188" s="91" t="s">
        <v>1463</v>
      </c>
      <c r="D1188" s="91" t="str">
        <f t="shared" si="20"/>
        <v>KASUMBA</v>
      </c>
      <c r="F1188" s="91">
        <v>651</v>
      </c>
    </row>
    <row r="1189" spans="1:6">
      <c r="A1189" s="91" t="s">
        <v>1464</v>
      </c>
      <c r="D1189" s="91" t="str">
        <f t="shared" si="20"/>
        <v>RWENZORI</v>
      </c>
      <c r="F1189" s="91">
        <v>651</v>
      </c>
    </row>
    <row r="1190" spans="1:6">
      <c r="A1190" s="91" t="s">
        <v>1465</v>
      </c>
      <c r="D1190" s="91" t="str">
        <f t="shared" si="20"/>
        <v>KASEESE</v>
      </c>
      <c r="F1190" s="91">
        <v>651</v>
      </c>
    </row>
    <row r="1191" spans="1:6">
      <c r="A1191" s="91" t="s">
        <v>1466</v>
      </c>
      <c r="D1191" s="91" t="str">
        <f t="shared" si="20"/>
        <v>KASEESE TOWN</v>
      </c>
      <c r="F1191" s="91">
        <v>651</v>
      </c>
    </row>
    <row r="1192" spans="1:6">
      <c r="A1192" s="91" t="s">
        <v>1467</v>
      </c>
      <c r="D1192" s="91" t="str">
        <f t="shared" si="20"/>
        <v>Kasese town</v>
      </c>
      <c r="F1192" s="91">
        <v>651</v>
      </c>
    </row>
    <row r="1193" spans="1:6">
      <c r="A1193" s="91" t="s">
        <v>1468</v>
      </c>
      <c r="B1193" s="91" t="s">
        <v>37</v>
      </c>
      <c r="C1193" s="91" t="s">
        <v>1452</v>
      </c>
      <c r="D1193" s="91" t="str">
        <f t="shared" si="20"/>
        <v>Katwe Kabatoro Town Council</v>
      </c>
      <c r="F1193" s="91">
        <v>652</v>
      </c>
    </row>
    <row r="1194" spans="1:6">
      <c r="A1194" s="91" t="s">
        <v>1469</v>
      </c>
      <c r="B1194" s="91" t="s">
        <v>37</v>
      </c>
      <c r="C1194" s="91" t="s">
        <v>1452</v>
      </c>
      <c r="D1194" s="91" t="str">
        <f t="shared" si="20"/>
        <v>Kilembe</v>
      </c>
      <c r="F1194" s="91">
        <v>653</v>
      </c>
    </row>
    <row r="1195" spans="1:6">
      <c r="A1195" s="91" t="s">
        <v>1470</v>
      </c>
      <c r="D1195" s="91" t="str">
        <f t="shared" si="20"/>
        <v>QUEEN ELIZABETH</v>
      </c>
      <c r="F1195" s="91">
        <v>653</v>
      </c>
    </row>
    <row r="1196" spans="1:6">
      <c r="A1196" s="91" t="s">
        <v>1471</v>
      </c>
      <c r="B1196" s="91" t="s">
        <v>37</v>
      </c>
      <c r="C1196" s="91" t="s">
        <v>502</v>
      </c>
      <c r="D1196" s="91" t="str">
        <f t="shared" si="20"/>
        <v>Kisinga</v>
      </c>
      <c r="F1196" s="91">
        <v>654</v>
      </c>
    </row>
    <row r="1197" spans="1:6">
      <c r="A1197" s="91" t="s">
        <v>1472</v>
      </c>
      <c r="B1197" s="91" t="s">
        <v>37</v>
      </c>
      <c r="C1197" s="91" t="s">
        <v>502</v>
      </c>
      <c r="D1197" s="91" t="str">
        <f t="shared" si="20"/>
        <v>Kisinga Town Council</v>
      </c>
      <c r="F1197" s="91">
        <v>655</v>
      </c>
    </row>
    <row r="1198" spans="1:6">
      <c r="A1198" s="91" t="s">
        <v>1473</v>
      </c>
      <c r="B1198" s="91" t="s">
        <v>37</v>
      </c>
      <c r="C1198" s="91" t="s">
        <v>502</v>
      </c>
      <c r="D1198" s="91" t="str">
        <f t="shared" si="20"/>
        <v>Kitholhu</v>
      </c>
      <c r="F1198" s="91">
        <v>656</v>
      </c>
    </row>
    <row r="1199" spans="1:6">
      <c r="A1199" s="91" t="s">
        <v>1474</v>
      </c>
      <c r="B1199" s="91" t="s">
        <v>37</v>
      </c>
      <c r="C1199" s="91" t="s">
        <v>1452</v>
      </c>
      <c r="D1199" s="91" t="str">
        <f t="shared" si="20"/>
        <v>Kitswamba</v>
      </c>
      <c r="F1199" s="91">
        <v>657</v>
      </c>
    </row>
    <row r="1200" spans="1:6">
      <c r="A1200" s="91" t="s">
        <v>1475</v>
      </c>
      <c r="B1200" s="91" t="s">
        <v>37</v>
      </c>
      <c r="C1200" s="91" t="s">
        <v>1452</v>
      </c>
      <c r="D1200" s="91" t="str">
        <f t="shared" si="20"/>
        <v>Kyabarungira</v>
      </c>
      <c r="F1200" s="91">
        <v>658</v>
      </c>
    </row>
    <row r="1201" spans="1:6">
      <c r="A1201" s="91" t="s">
        <v>1476</v>
      </c>
      <c r="B1201" s="91" t="s">
        <v>37</v>
      </c>
      <c r="C1201" s="91" t="s">
        <v>502</v>
      </c>
      <c r="D1201" s="91" t="str">
        <f t="shared" si="20"/>
        <v>Kyarumba</v>
      </c>
      <c r="F1201" s="91">
        <v>659</v>
      </c>
    </row>
    <row r="1202" spans="1:6">
      <c r="A1202" s="91" t="s">
        <v>1477</v>
      </c>
      <c r="B1202" s="91" t="s">
        <v>37</v>
      </c>
      <c r="C1202" s="91" t="s">
        <v>502</v>
      </c>
      <c r="D1202" s="91" t="str">
        <f t="shared" si="20"/>
        <v>Kyondo</v>
      </c>
      <c r="F1202" s="91">
        <v>660</v>
      </c>
    </row>
    <row r="1203" spans="1:6">
      <c r="A1203" s="91" t="s">
        <v>1478</v>
      </c>
      <c r="B1203" s="91" t="s">
        <v>37</v>
      </c>
      <c r="C1203" s="91" t="s">
        <v>1452</v>
      </c>
      <c r="D1203" s="91" t="str">
        <f t="shared" si="20"/>
        <v>Lake Katwe</v>
      </c>
      <c r="F1203" s="91">
        <v>661</v>
      </c>
    </row>
    <row r="1204" spans="1:6">
      <c r="A1204" s="91" t="s">
        <v>1479</v>
      </c>
      <c r="B1204" s="91" t="s">
        <v>37</v>
      </c>
      <c r="C1204" s="91" t="s">
        <v>502</v>
      </c>
      <c r="D1204" s="91" t="str">
        <f t="shared" si="20"/>
        <v>Mahango</v>
      </c>
      <c r="F1204" s="91">
        <v>662</v>
      </c>
    </row>
    <row r="1205" spans="1:6">
      <c r="A1205" s="91" t="s">
        <v>1480</v>
      </c>
      <c r="B1205" s="91" t="s">
        <v>37</v>
      </c>
      <c r="C1205" s="91" t="s">
        <v>1452</v>
      </c>
      <c r="D1205" s="91" t="str">
        <f t="shared" si="20"/>
        <v>Maliba</v>
      </c>
      <c r="F1205" s="91">
        <v>663</v>
      </c>
    </row>
    <row r="1206" spans="1:6">
      <c r="A1206" s="91" t="s">
        <v>1481</v>
      </c>
      <c r="B1206" s="91" t="s">
        <v>37</v>
      </c>
      <c r="C1206" s="91" t="s">
        <v>502</v>
      </c>
      <c r="D1206" s="91" t="str">
        <f t="shared" si="20"/>
        <v>Mpondwe-Lhubiriha</v>
      </c>
      <c r="F1206" s="91">
        <v>664</v>
      </c>
    </row>
    <row r="1207" spans="1:6">
      <c r="A1207" s="91" t="s">
        <v>1482</v>
      </c>
      <c r="B1207" s="91" t="s">
        <v>37</v>
      </c>
      <c r="C1207" s="91" t="s">
        <v>1452</v>
      </c>
      <c r="D1207" s="91" t="str">
        <f t="shared" si="20"/>
        <v>Muhokya</v>
      </c>
      <c r="F1207" s="91">
        <v>665</v>
      </c>
    </row>
    <row r="1208" spans="1:6">
      <c r="A1208" s="91" t="s">
        <v>1483</v>
      </c>
      <c r="B1208" s="91" t="s">
        <v>37</v>
      </c>
      <c r="C1208" s="91" t="s">
        <v>502</v>
      </c>
      <c r="D1208" s="91" t="str">
        <f t="shared" si="20"/>
        <v>Munkunyu</v>
      </c>
      <c r="F1208" s="91">
        <v>666</v>
      </c>
    </row>
    <row r="1209" spans="1:6">
      <c r="A1209" s="91" t="s">
        <v>1484</v>
      </c>
      <c r="B1209" s="91" t="s">
        <v>37</v>
      </c>
      <c r="C1209" s="91" t="s">
        <v>502</v>
      </c>
      <c r="D1209" s="91" t="str">
        <f t="shared" si="20"/>
        <v>Nyakatonzi</v>
      </c>
      <c r="F1209" s="91">
        <v>667</v>
      </c>
    </row>
    <row r="1210" spans="1:6">
      <c r="A1210" s="91" t="s">
        <v>1485</v>
      </c>
      <c r="B1210" s="91" t="s">
        <v>37</v>
      </c>
      <c r="C1210" s="91" t="s">
        <v>502</v>
      </c>
      <c r="D1210" s="91" t="str">
        <f t="shared" si="20"/>
        <v>Nyakiyumbu</v>
      </c>
      <c r="F1210" s="91">
        <v>668</v>
      </c>
    </row>
    <row r="1211" spans="1:6">
      <c r="A1211" s="91" t="s">
        <v>1486</v>
      </c>
      <c r="B1211" s="91" t="s">
        <v>37</v>
      </c>
      <c r="C1211" s="91" t="s">
        <v>1452</v>
      </c>
      <c r="D1211" s="91" t="str">
        <f t="shared" si="20"/>
        <v>Rukoki</v>
      </c>
      <c r="F1211" s="91">
        <v>669</v>
      </c>
    </row>
    <row r="1212" spans="1:6">
      <c r="A1212" s="91" t="s">
        <v>1487</v>
      </c>
      <c r="B1212" s="91" t="s">
        <v>1488</v>
      </c>
      <c r="C1212" s="91" t="s">
        <v>1489</v>
      </c>
      <c r="D1212" s="91" t="str">
        <f t="shared" si="20"/>
        <v>Kapujan</v>
      </c>
      <c r="F1212" s="91">
        <v>670</v>
      </c>
    </row>
    <row r="1213" spans="1:6">
      <c r="A1213" s="91" t="s">
        <v>1488</v>
      </c>
      <c r="B1213" s="91" t="s">
        <v>1488</v>
      </c>
      <c r="C1213" s="91" t="s">
        <v>1490</v>
      </c>
      <c r="D1213" s="91" t="str">
        <f t="shared" si="20"/>
        <v>Katakwi</v>
      </c>
      <c r="F1213" s="91">
        <v>671</v>
      </c>
    </row>
    <row r="1214" spans="1:6">
      <c r="A1214" s="91" t="s">
        <v>1491</v>
      </c>
      <c r="B1214" s="91" t="s">
        <v>1488</v>
      </c>
      <c r="C1214" s="91" t="s">
        <v>1490</v>
      </c>
      <c r="D1214" s="91" t="str">
        <f t="shared" si="20"/>
        <v>Katakwi Town Council</v>
      </c>
      <c r="F1214" s="91">
        <v>672</v>
      </c>
    </row>
    <row r="1215" spans="1:6">
      <c r="A1215" s="91" t="s">
        <v>1492</v>
      </c>
      <c r="B1215" s="91" t="s">
        <v>1488</v>
      </c>
      <c r="C1215" s="91" t="s">
        <v>1489</v>
      </c>
      <c r="D1215" s="91" t="str">
        <f t="shared" si="20"/>
        <v>Magoro</v>
      </c>
      <c r="F1215" s="91">
        <v>673</v>
      </c>
    </row>
    <row r="1216" spans="1:6">
      <c r="A1216" s="91" t="s">
        <v>1493</v>
      </c>
      <c r="B1216" s="91" t="s">
        <v>1488</v>
      </c>
      <c r="C1216" s="91" t="s">
        <v>1490</v>
      </c>
      <c r="D1216" s="91" t="str">
        <f t="shared" si="20"/>
        <v>Ngariam</v>
      </c>
      <c r="F1216" s="91">
        <v>674</v>
      </c>
    </row>
    <row r="1217" spans="1:6">
      <c r="A1217" s="91" t="s">
        <v>1494</v>
      </c>
      <c r="B1217" s="91" t="s">
        <v>1488</v>
      </c>
      <c r="C1217" s="91" t="s">
        <v>1489</v>
      </c>
      <c r="D1217" s="91" t="str">
        <f t="shared" si="20"/>
        <v>Omodoi</v>
      </c>
      <c r="F1217" s="91">
        <v>675</v>
      </c>
    </row>
    <row r="1218" spans="1:6">
      <c r="A1218" s="91" t="s">
        <v>1495</v>
      </c>
      <c r="B1218" s="91" t="s">
        <v>1488</v>
      </c>
      <c r="C1218" s="91" t="s">
        <v>1490</v>
      </c>
      <c r="D1218" s="91" t="str">
        <f t="shared" si="20"/>
        <v>Ongongoja</v>
      </c>
      <c r="F1218" s="91">
        <v>676</v>
      </c>
    </row>
    <row r="1219" spans="1:6">
      <c r="A1219" s="91" t="s">
        <v>1496</v>
      </c>
      <c r="B1219" s="91" t="s">
        <v>1488</v>
      </c>
      <c r="C1219" s="91" t="s">
        <v>1490</v>
      </c>
      <c r="D1219" s="91" t="str">
        <f t="shared" ref="D1219:D1282" si="21">A1219</f>
        <v>Palam</v>
      </c>
      <c r="F1219" s="91">
        <v>677</v>
      </c>
    </row>
    <row r="1220" spans="1:6">
      <c r="A1220" s="91" t="s">
        <v>1489</v>
      </c>
      <c r="B1220" s="91" t="s">
        <v>1488</v>
      </c>
      <c r="C1220" s="91" t="s">
        <v>1489</v>
      </c>
      <c r="D1220" s="91" t="str">
        <f t="shared" si="21"/>
        <v>Toroma</v>
      </c>
      <c r="F1220" s="91">
        <v>678</v>
      </c>
    </row>
    <row r="1221" spans="1:6">
      <c r="A1221" s="91" t="s">
        <v>1490</v>
      </c>
      <c r="B1221" s="91" t="s">
        <v>1488</v>
      </c>
      <c r="C1221" s="91" t="s">
        <v>1490</v>
      </c>
      <c r="D1221" s="91" t="str">
        <f t="shared" si="21"/>
        <v>Usuk</v>
      </c>
      <c r="F1221" s="91">
        <v>679</v>
      </c>
    </row>
    <row r="1222" spans="1:6">
      <c r="A1222" s="91" t="s">
        <v>1497</v>
      </c>
      <c r="B1222" s="91" t="s">
        <v>217</v>
      </c>
      <c r="C1222" s="91" t="s">
        <v>1497</v>
      </c>
      <c r="D1222" s="91" t="str">
        <f t="shared" si="21"/>
        <v>Bbaale</v>
      </c>
      <c r="F1222" s="91">
        <v>680</v>
      </c>
    </row>
    <row r="1223" spans="1:6">
      <c r="A1223" s="91" t="s">
        <v>1498</v>
      </c>
      <c r="B1223" s="91" t="s">
        <v>217</v>
      </c>
      <c r="C1223" s="91" t="s">
        <v>1499</v>
      </c>
      <c r="D1223" s="91" t="str">
        <f t="shared" si="21"/>
        <v>Busaana</v>
      </c>
      <c r="F1223" s="91">
        <v>681</v>
      </c>
    </row>
    <row r="1224" spans="1:6">
      <c r="A1224" s="91" t="s">
        <v>1500</v>
      </c>
      <c r="B1224" s="91" t="s">
        <v>217</v>
      </c>
      <c r="C1224" s="91" t="s">
        <v>1497</v>
      </c>
      <c r="D1224" s="91" t="str">
        <f t="shared" si="21"/>
        <v>Galiraya</v>
      </c>
      <c r="F1224" s="91">
        <v>682</v>
      </c>
    </row>
    <row r="1225" spans="1:6">
      <c r="A1225" s="91" t="s">
        <v>1501</v>
      </c>
      <c r="B1225" s="91" t="s">
        <v>217</v>
      </c>
      <c r="C1225" s="91" t="s">
        <v>1499</v>
      </c>
      <c r="D1225" s="91" t="str">
        <f t="shared" si="21"/>
        <v>Kangulumira</v>
      </c>
      <c r="F1225" s="91">
        <v>683</v>
      </c>
    </row>
    <row r="1226" spans="1:6">
      <c r="A1226" s="91" t="s">
        <v>1502</v>
      </c>
      <c r="B1226" s="91" t="s">
        <v>217</v>
      </c>
      <c r="C1226" s="91" t="s">
        <v>1497</v>
      </c>
      <c r="D1226" s="91" t="str">
        <f t="shared" si="21"/>
        <v>Kayonza-Kayunga</v>
      </c>
      <c r="F1226" s="91">
        <v>684</v>
      </c>
    </row>
    <row r="1227" spans="1:6">
      <c r="A1227" s="91" t="s">
        <v>217</v>
      </c>
      <c r="B1227" s="91" t="s">
        <v>217</v>
      </c>
      <c r="C1227" s="91" t="s">
        <v>1499</v>
      </c>
      <c r="D1227" s="91" t="str">
        <f t="shared" si="21"/>
        <v>Kayunga</v>
      </c>
      <c r="F1227" s="91">
        <v>685</v>
      </c>
    </row>
    <row r="1228" spans="1:6">
      <c r="A1228" s="91" t="s">
        <v>1503</v>
      </c>
      <c r="D1228" s="91" t="str">
        <f t="shared" si="21"/>
        <v>Kangulumila</v>
      </c>
      <c r="F1228" s="91">
        <v>685</v>
      </c>
    </row>
    <row r="1229" spans="1:6">
      <c r="A1229" s="91" t="s">
        <v>1504</v>
      </c>
      <c r="B1229" s="91" t="s">
        <v>217</v>
      </c>
      <c r="C1229" s="91" t="s">
        <v>1499</v>
      </c>
      <c r="D1229" s="91" t="str">
        <f t="shared" si="21"/>
        <v>Kayunga Town Council</v>
      </c>
      <c r="F1229" s="91">
        <v>686</v>
      </c>
    </row>
    <row r="1230" spans="1:6">
      <c r="A1230" s="91" t="s">
        <v>1505</v>
      </c>
      <c r="D1230" s="91" t="str">
        <f t="shared" si="21"/>
        <v xml:space="preserve">Kayunga town  </v>
      </c>
      <c r="F1230" s="91">
        <v>686</v>
      </c>
    </row>
    <row r="1231" spans="1:6">
      <c r="A1231" s="91" t="s">
        <v>1506</v>
      </c>
      <c r="D1231" s="91" t="str">
        <f t="shared" si="21"/>
        <v>KAYUNGA TOWN</v>
      </c>
      <c r="F1231" s="91">
        <v>686</v>
      </c>
    </row>
    <row r="1232" spans="1:6">
      <c r="A1232" s="91" t="s">
        <v>1507</v>
      </c>
      <c r="D1232" s="91" t="str">
        <f t="shared" si="21"/>
        <v>Busana</v>
      </c>
      <c r="F1232" s="91">
        <v>686</v>
      </c>
    </row>
    <row r="1233" spans="1:6">
      <c r="A1233" s="91" t="s">
        <v>1508</v>
      </c>
      <c r="D1233" s="91" t="str">
        <f t="shared" si="21"/>
        <v>NDESE</v>
      </c>
      <c r="F1233" s="91">
        <v>686</v>
      </c>
    </row>
    <row r="1234" spans="1:6">
      <c r="A1234" s="91" t="s">
        <v>1509</v>
      </c>
      <c r="D1234" s="91" t="str">
        <f t="shared" si="21"/>
        <v>Ssenge</v>
      </c>
      <c r="F1234" s="91">
        <v>686</v>
      </c>
    </row>
    <row r="1235" spans="1:6">
      <c r="A1235" s="91" t="s">
        <v>1510</v>
      </c>
      <c r="B1235" s="91" t="s">
        <v>217</v>
      </c>
      <c r="C1235" s="91" t="s">
        <v>1497</v>
      </c>
      <c r="D1235" s="91" t="str">
        <f t="shared" si="21"/>
        <v>Kitimbwa</v>
      </c>
      <c r="F1235" s="91">
        <v>687</v>
      </c>
    </row>
    <row r="1236" spans="1:6">
      <c r="A1236" s="91" t="s">
        <v>1511</v>
      </c>
      <c r="B1236" s="91" t="s">
        <v>217</v>
      </c>
      <c r="C1236" s="91" t="s">
        <v>1499</v>
      </c>
      <c r="D1236" s="91" t="str">
        <f t="shared" si="21"/>
        <v>Nazigo</v>
      </c>
      <c r="F1236" s="91">
        <v>688</v>
      </c>
    </row>
    <row r="1237" spans="1:6">
      <c r="A1237" s="91" t="s">
        <v>1512</v>
      </c>
      <c r="B1237" s="91" t="s">
        <v>1513</v>
      </c>
      <c r="C1237" s="91" t="s">
        <v>1514</v>
      </c>
      <c r="D1237" s="91" t="str">
        <f t="shared" si="21"/>
        <v>Bubango</v>
      </c>
      <c r="F1237" s="91">
        <v>689</v>
      </c>
    </row>
    <row r="1238" spans="1:6">
      <c r="A1238" s="91" t="s">
        <v>1515</v>
      </c>
      <c r="B1238" s="91" t="s">
        <v>1513</v>
      </c>
      <c r="C1238" s="91" t="s">
        <v>1514</v>
      </c>
      <c r="D1238" s="91" t="str">
        <f t="shared" si="21"/>
        <v>Bwamiramira</v>
      </c>
      <c r="F1238" s="91">
        <v>690</v>
      </c>
    </row>
    <row r="1239" spans="1:6">
      <c r="A1239" s="91" t="s">
        <v>1516</v>
      </c>
      <c r="D1239" s="91" t="str">
        <f t="shared" si="21"/>
        <v>KITOMA</v>
      </c>
      <c r="F1239" s="91">
        <v>690</v>
      </c>
    </row>
    <row r="1240" spans="1:6">
      <c r="A1240" s="91" t="s">
        <v>1517</v>
      </c>
      <c r="B1240" s="91" t="s">
        <v>1513</v>
      </c>
      <c r="C1240" s="91" t="s">
        <v>1514</v>
      </c>
      <c r="D1240" s="91" t="str">
        <f t="shared" si="21"/>
        <v>Kabasekende</v>
      </c>
      <c r="F1240" s="91">
        <v>691</v>
      </c>
    </row>
    <row r="1241" spans="1:6">
      <c r="A1241" s="91" t="s">
        <v>1518</v>
      </c>
      <c r="B1241" s="91" t="s">
        <v>1513</v>
      </c>
      <c r="C1241" s="91" t="s">
        <v>1514</v>
      </c>
      <c r="D1241" s="91" t="str">
        <f t="shared" si="21"/>
        <v>Kasimbi</v>
      </c>
      <c r="F1241" s="91">
        <v>692</v>
      </c>
    </row>
    <row r="1242" spans="1:6">
      <c r="A1242" s="91" t="s">
        <v>1519</v>
      </c>
      <c r="B1242" s="91" t="s">
        <v>1513</v>
      </c>
      <c r="C1242" s="91" t="s">
        <v>1514</v>
      </c>
      <c r="D1242" s="91" t="str">
        <f t="shared" si="21"/>
        <v>Kibaale Town Council</v>
      </c>
      <c r="F1242" s="91">
        <v>693</v>
      </c>
    </row>
    <row r="1243" spans="1:6">
      <c r="A1243" s="91" t="s">
        <v>1207</v>
      </c>
      <c r="B1243" s="91" t="s">
        <v>1513</v>
      </c>
      <c r="C1243" s="91" t="s">
        <v>1514</v>
      </c>
      <c r="D1243" s="91" t="str">
        <f t="shared" si="21"/>
        <v>Kyebando</v>
      </c>
      <c r="F1243" s="91">
        <v>694</v>
      </c>
    </row>
    <row r="1244" spans="1:6">
      <c r="A1244" s="91" t="s">
        <v>1520</v>
      </c>
      <c r="B1244" s="91" t="s">
        <v>1513</v>
      </c>
      <c r="C1244" s="91" t="s">
        <v>1514</v>
      </c>
      <c r="D1244" s="91" t="str">
        <f t="shared" si="21"/>
        <v>Matale</v>
      </c>
      <c r="F1244" s="91">
        <v>695</v>
      </c>
    </row>
    <row r="1245" spans="1:6">
      <c r="A1245" s="91" t="s">
        <v>1521</v>
      </c>
      <c r="B1245" s="91" t="s">
        <v>1513</v>
      </c>
      <c r="C1245" s="91" t="s">
        <v>1514</v>
      </c>
      <c r="D1245" s="91" t="str">
        <f t="shared" si="21"/>
        <v>Mugarama</v>
      </c>
      <c r="F1245" s="91">
        <v>696</v>
      </c>
    </row>
    <row r="1246" spans="1:6">
      <c r="A1246" s="91" t="s">
        <v>1522</v>
      </c>
      <c r="B1246" s="91" t="s">
        <v>1513</v>
      </c>
      <c r="C1246" s="91" t="s">
        <v>1514</v>
      </c>
      <c r="D1246" s="91" t="str">
        <f t="shared" si="21"/>
        <v>Nyamarunda</v>
      </c>
      <c r="F1246" s="91">
        <v>697</v>
      </c>
    </row>
    <row r="1247" spans="1:6">
      <c r="A1247" s="91" t="s">
        <v>1523</v>
      </c>
      <c r="B1247" s="91" t="s">
        <v>1513</v>
      </c>
      <c r="C1247" s="91" t="s">
        <v>1514</v>
      </c>
      <c r="D1247" s="91" t="str">
        <f t="shared" si="21"/>
        <v>Nyamarwa</v>
      </c>
      <c r="F1247" s="91">
        <v>698</v>
      </c>
    </row>
    <row r="1248" spans="1:6">
      <c r="A1248" s="91" t="s">
        <v>1524</v>
      </c>
      <c r="B1248" s="91" t="s">
        <v>1525</v>
      </c>
      <c r="C1248" s="91" t="s">
        <v>1525</v>
      </c>
      <c r="D1248" s="91" t="str">
        <f t="shared" si="21"/>
        <v>Bukomero</v>
      </c>
      <c r="F1248" s="91">
        <v>699</v>
      </c>
    </row>
    <row r="1249" spans="1:6">
      <c r="A1249" s="91" t="s">
        <v>1526</v>
      </c>
      <c r="D1249" s="91" t="str">
        <f t="shared" si="21"/>
        <v>Bukomelo</v>
      </c>
      <c r="F1249" s="91">
        <v>699</v>
      </c>
    </row>
    <row r="1250" spans="1:6">
      <c r="A1250" s="91" t="s">
        <v>1527</v>
      </c>
      <c r="D1250" s="91" t="str">
        <f t="shared" si="21"/>
        <v>KATERA</v>
      </c>
      <c r="F1250" s="91">
        <v>699</v>
      </c>
    </row>
    <row r="1251" spans="1:6">
      <c r="A1251" s="91" t="s">
        <v>1528</v>
      </c>
      <c r="B1251" s="91" t="s">
        <v>1525</v>
      </c>
      <c r="C1251" s="91" t="s">
        <v>1525</v>
      </c>
      <c r="D1251" s="91" t="str">
        <f t="shared" si="21"/>
        <v>Bukomero Town Council</v>
      </c>
      <c r="F1251" s="91">
        <v>700</v>
      </c>
    </row>
    <row r="1252" spans="1:6">
      <c r="A1252" s="91" t="s">
        <v>1529</v>
      </c>
      <c r="B1252" s="91" t="s">
        <v>1525</v>
      </c>
      <c r="C1252" s="91" t="s">
        <v>1525</v>
      </c>
      <c r="D1252" s="91" t="str">
        <f t="shared" si="21"/>
        <v>Ddwaniro-Kiboga</v>
      </c>
      <c r="F1252" s="91">
        <v>701</v>
      </c>
    </row>
    <row r="1253" spans="1:6">
      <c r="A1253" s="91" t="s">
        <v>1530</v>
      </c>
      <c r="B1253" s="91" t="s">
        <v>1525</v>
      </c>
      <c r="C1253" s="91" t="s">
        <v>1525</v>
      </c>
      <c r="D1253" s="91" t="str">
        <f t="shared" si="21"/>
        <v>Kapeke</v>
      </c>
      <c r="F1253" s="91">
        <v>702</v>
      </c>
    </row>
    <row r="1254" spans="1:6">
      <c r="A1254" s="91" t="s">
        <v>1531</v>
      </c>
      <c r="B1254" s="91" t="s">
        <v>1525</v>
      </c>
      <c r="C1254" s="91" t="s">
        <v>1525</v>
      </c>
      <c r="D1254" s="91" t="str">
        <f t="shared" si="21"/>
        <v>Kibiga</v>
      </c>
      <c r="F1254" s="91">
        <v>703</v>
      </c>
    </row>
    <row r="1255" spans="1:6">
      <c r="A1255" s="91" t="s">
        <v>1532</v>
      </c>
      <c r="B1255" s="91" t="s">
        <v>1525</v>
      </c>
      <c r="C1255" s="91" t="s">
        <v>1525</v>
      </c>
      <c r="D1255" s="91" t="str">
        <f t="shared" si="21"/>
        <v>Kiboga Town Council</v>
      </c>
      <c r="F1255" s="91">
        <v>704</v>
      </c>
    </row>
    <row r="1256" spans="1:6">
      <c r="A1256" s="91" t="s">
        <v>1533</v>
      </c>
      <c r="D1256" s="91" t="str">
        <f t="shared" si="21"/>
        <v>KIBOGA</v>
      </c>
      <c r="F1256" s="91">
        <v>704</v>
      </c>
    </row>
    <row r="1257" spans="1:6">
      <c r="A1257" s="91" t="s">
        <v>1534</v>
      </c>
      <c r="D1257" s="91" t="str">
        <f t="shared" si="21"/>
        <v>KIBOGA TOWN</v>
      </c>
      <c r="F1257" s="91">
        <v>704</v>
      </c>
    </row>
    <row r="1258" spans="1:6">
      <c r="A1258" s="91" t="s">
        <v>1535</v>
      </c>
      <c r="B1258" s="91" t="s">
        <v>1525</v>
      </c>
      <c r="C1258" s="91" t="s">
        <v>1525</v>
      </c>
      <c r="D1258" s="91" t="str">
        <f t="shared" si="21"/>
        <v>Lwamata</v>
      </c>
      <c r="F1258" s="91">
        <v>705</v>
      </c>
    </row>
    <row r="1259" spans="1:6">
      <c r="A1259" s="91" t="s">
        <v>1536</v>
      </c>
      <c r="B1259" s="91" t="s">
        <v>1525</v>
      </c>
      <c r="C1259" s="91" t="s">
        <v>1525</v>
      </c>
      <c r="D1259" s="91" t="str">
        <f t="shared" si="21"/>
        <v>Muwanga</v>
      </c>
      <c r="F1259" s="91">
        <v>706</v>
      </c>
    </row>
    <row r="1260" spans="1:6">
      <c r="A1260" s="91" t="s">
        <v>1537</v>
      </c>
      <c r="B1260" s="91" t="s">
        <v>1538</v>
      </c>
      <c r="C1260" s="91" t="s">
        <v>1538</v>
      </c>
      <c r="D1260" s="91" t="str">
        <f t="shared" si="21"/>
        <v>Bulangira</v>
      </c>
      <c r="F1260" s="91">
        <v>707</v>
      </c>
    </row>
    <row r="1261" spans="1:6">
      <c r="A1261" s="91" t="s">
        <v>1539</v>
      </c>
      <c r="B1261" s="91" t="s">
        <v>1538</v>
      </c>
      <c r="C1261" s="91" t="s">
        <v>1538</v>
      </c>
      <c r="D1261" s="91" t="str">
        <f t="shared" si="21"/>
        <v>Buseta</v>
      </c>
      <c r="F1261" s="91">
        <v>708</v>
      </c>
    </row>
    <row r="1262" spans="1:6">
      <c r="A1262" s="91" t="s">
        <v>1540</v>
      </c>
      <c r="B1262" s="91" t="s">
        <v>1538</v>
      </c>
      <c r="C1262" s="91" t="s">
        <v>1538</v>
      </c>
      <c r="D1262" s="91" t="str">
        <f t="shared" si="21"/>
        <v>Kabweri</v>
      </c>
      <c r="F1262" s="91">
        <v>709</v>
      </c>
    </row>
    <row r="1263" spans="1:6">
      <c r="A1263" s="91" t="s">
        <v>1541</v>
      </c>
      <c r="B1263" s="91" t="s">
        <v>1538</v>
      </c>
      <c r="C1263" s="91" t="s">
        <v>1538</v>
      </c>
      <c r="D1263" s="91" t="str">
        <f t="shared" si="21"/>
        <v>Kadama</v>
      </c>
      <c r="F1263" s="91">
        <v>710</v>
      </c>
    </row>
    <row r="1264" spans="1:6">
      <c r="A1264" s="91" t="s">
        <v>1542</v>
      </c>
      <c r="B1264" s="91" t="s">
        <v>1538</v>
      </c>
      <c r="C1264" s="91" t="s">
        <v>1538</v>
      </c>
      <c r="D1264" s="91" t="str">
        <f t="shared" si="21"/>
        <v>Kagumu</v>
      </c>
      <c r="F1264" s="91">
        <v>711</v>
      </c>
    </row>
    <row r="1265" spans="1:6">
      <c r="A1265" s="91" t="s">
        <v>1543</v>
      </c>
      <c r="B1265" s="91" t="s">
        <v>1538</v>
      </c>
      <c r="C1265" s="91" t="s">
        <v>1538</v>
      </c>
      <c r="D1265" s="91" t="str">
        <f t="shared" si="21"/>
        <v>Kasasira</v>
      </c>
      <c r="F1265" s="91">
        <v>712</v>
      </c>
    </row>
    <row r="1266" spans="1:6">
      <c r="A1266" s="91" t="s">
        <v>1538</v>
      </c>
      <c r="B1266" s="91" t="s">
        <v>1538</v>
      </c>
      <c r="C1266" s="91" t="s">
        <v>1538</v>
      </c>
      <c r="D1266" s="91" t="str">
        <f t="shared" si="21"/>
        <v>Kibuku</v>
      </c>
      <c r="F1266" s="91">
        <v>713</v>
      </c>
    </row>
    <row r="1267" spans="1:6">
      <c r="A1267" s="91" t="s">
        <v>1544</v>
      </c>
      <c r="B1267" s="91" t="s">
        <v>1538</v>
      </c>
      <c r="C1267" s="91" t="s">
        <v>1538</v>
      </c>
      <c r="D1267" s="91" t="str">
        <f t="shared" si="21"/>
        <v>Kibuku Town Council</v>
      </c>
      <c r="F1267" s="91">
        <v>714</v>
      </c>
    </row>
    <row r="1268" spans="1:6">
      <c r="A1268" s="91" t="s">
        <v>1545</v>
      </c>
      <c r="B1268" s="91" t="s">
        <v>1538</v>
      </c>
      <c r="C1268" s="91" t="s">
        <v>1538</v>
      </c>
      <c r="D1268" s="91" t="str">
        <f t="shared" si="21"/>
        <v>Kirika</v>
      </c>
      <c r="F1268" s="91">
        <v>715</v>
      </c>
    </row>
    <row r="1269" spans="1:6">
      <c r="A1269" s="91" t="s">
        <v>1546</v>
      </c>
      <c r="B1269" s="91" t="s">
        <v>1538</v>
      </c>
      <c r="C1269" s="91" t="s">
        <v>1538</v>
      </c>
      <c r="D1269" s="91" t="str">
        <f t="shared" si="21"/>
        <v>Tirinyi</v>
      </c>
      <c r="F1269" s="91">
        <v>716</v>
      </c>
    </row>
    <row r="1270" spans="1:6">
      <c r="A1270" s="91" t="s">
        <v>1547</v>
      </c>
      <c r="B1270" s="91" t="s">
        <v>1548</v>
      </c>
      <c r="C1270" s="91" t="s">
        <v>1549</v>
      </c>
      <c r="D1270" s="91" t="str">
        <f t="shared" si="21"/>
        <v>Buremba</v>
      </c>
      <c r="F1270" s="91">
        <v>717</v>
      </c>
    </row>
    <row r="1271" spans="1:6">
      <c r="A1271" s="91" t="s">
        <v>1550</v>
      </c>
      <c r="B1271" s="91" t="s">
        <v>1548</v>
      </c>
      <c r="C1271" s="91" t="s">
        <v>1549</v>
      </c>
      <c r="D1271" s="91" t="str">
        <f t="shared" si="21"/>
        <v>Burunga</v>
      </c>
      <c r="F1271" s="91">
        <v>718</v>
      </c>
    </row>
    <row r="1272" spans="1:6">
      <c r="A1272" s="91" t="s">
        <v>1551</v>
      </c>
      <c r="B1272" s="91" t="s">
        <v>1548</v>
      </c>
      <c r="C1272" s="91" t="s">
        <v>1549</v>
      </c>
      <c r="D1272" s="91" t="str">
        <f t="shared" si="21"/>
        <v>Engari</v>
      </c>
      <c r="F1272" s="91">
        <v>719</v>
      </c>
    </row>
    <row r="1273" spans="1:6">
      <c r="A1273" s="91" t="s">
        <v>1552</v>
      </c>
      <c r="B1273" s="91" t="s">
        <v>1548</v>
      </c>
      <c r="C1273" s="91" t="s">
        <v>1549</v>
      </c>
      <c r="D1273" s="91" t="str">
        <f t="shared" si="21"/>
        <v>Kanoni</v>
      </c>
      <c r="F1273" s="91">
        <v>720</v>
      </c>
    </row>
    <row r="1274" spans="1:6">
      <c r="A1274" s="91" t="s">
        <v>1553</v>
      </c>
      <c r="B1274" s="91" t="s">
        <v>1548</v>
      </c>
      <c r="C1274" s="91" t="s">
        <v>1554</v>
      </c>
      <c r="D1274" s="91" t="str">
        <f t="shared" si="21"/>
        <v>Kanyaryeru</v>
      </c>
      <c r="F1274" s="91">
        <v>721</v>
      </c>
    </row>
    <row r="1275" spans="1:6">
      <c r="A1275" s="91" t="s">
        <v>1555</v>
      </c>
      <c r="B1275" s="91" t="s">
        <v>1548</v>
      </c>
      <c r="C1275" s="91" t="s">
        <v>1554</v>
      </c>
      <c r="D1275" s="91" t="str">
        <f t="shared" si="21"/>
        <v>Kashongi</v>
      </c>
      <c r="F1275" s="91">
        <v>722</v>
      </c>
    </row>
    <row r="1276" spans="1:6">
      <c r="A1276" s="91" t="s">
        <v>1549</v>
      </c>
      <c r="B1276" s="91" t="s">
        <v>1548</v>
      </c>
      <c r="C1276" s="91" t="s">
        <v>1549</v>
      </c>
      <c r="D1276" s="91" t="str">
        <f t="shared" si="21"/>
        <v>Kazo</v>
      </c>
      <c r="F1276" s="91">
        <v>723</v>
      </c>
    </row>
    <row r="1277" spans="1:6">
      <c r="A1277" s="91" t="s">
        <v>1556</v>
      </c>
      <c r="D1277" s="91" t="str">
        <f t="shared" si="21"/>
        <v>Kayanga</v>
      </c>
      <c r="F1277" s="91">
        <v>723</v>
      </c>
    </row>
    <row r="1278" spans="1:6">
      <c r="A1278" s="91" t="s">
        <v>1557</v>
      </c>
      <c r="D1278" s="91" t="str">
        <f t="shared" si="21"/>
        <v>KANZO</v>
      </c>
      <c r="F1278" s="91">
        <v>723</v>
      </c>
    </row>
    <row r="1279" spans="1:6">
      <c r="A1279" s="91" t="s">
        <v>1558</v>
      </c>
      <c r="D1279" s="91" t="str">
        <f t="shared" si="21"/>
        <v>Buteraniro</v>
      </c>
      <c r="F1279" s="91">
        <v>723</v>
      </c>
    </row>
    <row r="1280" spans="1:6">
      <c r="A1280" s="91" t="s">
        <v>1559</v>
      </c>
      <c r="D1280" s="91" t="str">
        <f t="shared" si="21"/>
        <v>Rwakitura</v>
      </c>
      <c r="F1280" s="91">
        <v>723</v>
      </c>
    </row>
    <row r="1281" spans="1:6">
      <c r="A1281" s="91" t="s">
        <v>1560</v>
      </c>
      <c r="B1281" s="91" t="s">
        <v>1548</v>
      </c>
      <c r="C1281" s="91" t="s">
        <v>1549</v>
      </c>
      <c r="D1281" s="91" t="str">
        <f t="shared" si="21"/>
        <v>Kazo Town Council</v>
      </c>
      <c r="F1281" s="91">
        <v>724</v>
      </c>
    </row>
    <row r="1282" spans="1:6">
      <c r="A1282" s="91" t="s">
        <v>1561</v>
      </c>
      <c r="B1282" s="91" t="s">
        <v>1548</v>
      </c>
      <c r="C1282" s="91" t="s">
        <v>1554</v>
      </c>
      <c r="D1282" s="91" t="str">
        <f t="shared" si="21"/>
        <v>Kenshunga</v>
      </c>
      <c r="F1282" s="91">
        <v>725</v>
      </c>
    </row>
    <row r="1283" spans="1:6">
      <c r="A1283" s="91" t="s">
        <v>1562</v>
      </c>
      <c r="D1283" s="91" t="str">
        <f t="shared" ref="D1283:D1346" si="22">A1283</f>
        <v>Nshwerenkye</v>
      </c>
      <c r="F1283" s="91">
        <v>725</v>
      </c>
    </row>
    <row r="1284" spans="1:6">
      <c r="A1284" s="91" t="s">
        <v>1563</v>
      </c>
      <c r="D1284" s="91" t="str">
        <f t="shared" si="22"/>
        <v>Nyakasharara</v>
      </c>
      <c r="F1284" s="91">
        <v>725</v>
      </c>
    </row>
    <row r="1285" spans="1:6">
      <c r="A1285" s="91" t="s">
        <v>1564</v>
      </c>
      <c r="D1285" s="91" t="str">
        <f t="shared" si="22"/>
        <v>Nyakashara</v>
      </c>
      <c r="F1285" s="91">
        <v>725</v>
      </c>
    </row>
    <row r="1286" spans="1:6">
      <c r="A1286" s="91" t="s">
        <v>1565</v>
      </c>
      <c r="D1286" s="91" t="str">
        <f t="shared" si="22"/>
        <v>RUSHERE</v>
      </c>
      <c r="F1286" s="91">
        <v>725</v>
      </c>
    </row>
    <row r="1287" spans="1:6">
      <c r="A1287" s="91" t="s">
        <v>1566</v>
      </c>
      <c r="D1287" s="91" t="str">
        <f t="shared" si="22"/>
        <v xml:space="preserve">Rushere </v>
      </c>
      <c r="F1287" s="91">
        <v>725</v>
      </c>
    </row>
    <row r="1288" spans="1:6">
      <c r="A1288" s="91" t="s">
        <v>1567</v>
      </c>
      <c r="B1288" s="91" t="s">
        <v>1548</v>
      </c>
      <c r="C1288" s="91" t="s">
        <v>1554</v>
      </c>
      <c r="D1288" s="91" t="str">
        <f t="shared" si="22"/>
        <v>Kikaatsi</v>
      </c>
      <c r="F1288" s="91">
        <v>726</v>
      </c>
    </row>
    <row r="1289" spans="1:6">
      <c r="A1289" s="91" t="s">
        <v>1568</v>
      </c>
      <c r="B1289" s="91" t="s">
        <v>1548</v>
      </c>
      <c r="C1289" s="91" t="s">
        <v>1554</v>
      </c>
      <c r="D1289" s="91" t="str">
        <f t="shared" si="22"/>
        <v>Kinoni-Kiruhura</v>
      </c>
      <c r="F1289" s="91">
        <v>727</v>
      </c>
    </row>
    <row r="1290" spans="1:6">
      <c r="A1290" s="91" t="s">
        <v>1569</v>
      </c>
      <c r="B1290" s="91" t="s">
        <v>1548</v>
      </c>
      <c r="C1290" s="91" t="s">
        <v>1554</v>
      </c>
      <c r="D1290" s="91" t="str">
        <f t="shared" si="22"/>
        <v>Kiruhura Town Council</v>
      </c>
      <c r="F1290" s="91">
        <v>728</v>
      </c>
    </row>
    <row r="1291" spans="1:6">
      <c r="A1291" s="91" t="s">
        <v>1570</v>
      </c>
      <c r="D1291" s="91" t="str">
        <f t="shared" si="22"/>
        <v>KIRUHURA</v>
      </c>
      <c r="F1291" s="91">
        <v>728</v>
      </c>
    </row>
    <row r="1292" spans="1:6">
      <c r="A1292" s="91" t="s">
        <v>1571</v>
      </c>
      <c r="D1292" s="91" t="str">
        <f t="shared" si="22"/>
        <v>L.mburo</v>
      </c>
      <c r="F1292" s="91">
        <v>728</v>
      </c>
    </row>
    <row r="1293" spans="1:6">
      <c r="A1293" s="91" t="s">
        <v>1572</v>
      </c>
      <c r="D1293" s="91" t="str">
        <f t="shared" si="22"/>
        <v>Kakyenkye</v>
      </c>
      <c r="F1293" s="91">
        <v>728</v>
      </c>
    </row>
    <row r="1294" spans="1:6">
      <c r="A1294" s="91" t="s">
        <v>1573</v>
      </c>
      <c r="D1294" s="91" t="str">
        <f t="shared" si="22"/>
        <v>KIRIHURA</v>
      </c>
      <c r="F1294" s="91">
        <v>728</v>
      </c>
    </row>
    <row r="1295" spans="1:6">
      <c r="A1295" s="91" t="s">
        <v>1574</v>
      </c>
      <c r="B1295" s="91" t="s">
        <v>1548</v>
      </c>
      <c r="C1295" s="91" t="s">
        <v>1554</v>
      </c>
      <c r="D1295" s="91" t="str">
        <f t="shared" si="22"/>
        <v>Kitura</v>
      </c>
      <c r="F1295" s="91">
        <v>729</v>
      </c>
    </row>
    <row r="1296" spans="1:6">
      <c r="A1296" s="91" t="s">
        <v>1575</v>
      </c>
      <c r="B1296" s="91" t="s">
        <v>1548</v>
      </c>
      <c r="C1296" s="91" t="s">
        <v>1549</v>
      </c>
      <c r="D1296" s="91" t="str">
        <f t="shared" si="22"/>
        <v>Nkungu</v>
      </c>
      <c r="F1296" s="91">
        <v>730</v>
      </c>
    </row>
    <row r="1297" spans="1:6">
      <c r="A1297" s="91" t="s">
        <v>1576</v>
      </c>
      <c r="B1297" s="91" t="s">
        <v>1548</v>
      </c>
      <c r="C1297" s="91" t="s">
        <v>1554</v>
      </c>
      <c r="D1297" s="91" t="str">
        <f t="shared" si="22"/>
        <v>Nyakashashara</v>
      </c>
      <c r="F1297" s="91">
        <v>731</v>
      </c>
    </row>
    <row r="1298" spans="1:6">
      <c r="A1298" s="91" t="s">
        <v>1577</v>
      </c>
      <c r="D1298" s="91" t="str">
        <f t="shared" si="22"/>
        <v>Kyakabunga</v>
      </c>
      <c r="F1298" s="91">
        <v>731</v>
      </c>
    </row>
    <row r="1299" spans="1:6">
      <c r="A1299" s="91" t="s">
        <v>1578</v>
      </c>
      <c r="B1299" s="91" t="s">
        <v>1548</v>
      </c>
      <c r="C1299" s="91" t="s">
        <v>1549</v>
      </c>
      <c r="D1299" s="91" t="str">
        <f t="shared" si="22"/>
        <v>Rwemikoma</v>
      </c>
      <c r="F1299" s="91">
        <v>732</v>
      </c>
    </row>
    <row r="1300" spans="1:6">
      <c r="A1300" s="91" t="s">
        <v>1579</v>
      </c>
      <c r="B1300" s="91" t="s">
        <v>1548</v>
      </c>
      <c r="C1300" s="91" t="s">
        <v>1554</v>
      </c>
      <c r="D1300" s="91" t="str">
        <f t="shared" si="22"/>
        <v>Sanga</v>
      </c>
      <c r="F1300" s="91">
        <v>733</v>
      </c>
    </row>
    <row r="1301" spans="1:6">
      <c r="A1301" s="91" t="s">
        <v>1580</v>
      </c>
      <c r="B1301" s="91" t="s">
        <v>1548</v>
      </c>
      <c r="C1301" s="91" t="s">
        <v>1554</v>
      </c>
      <c r="D1301" s="91" t="str">
        <f t="shared" si="22"/>
        <v>Sanga Town Council</v>
      </c>
      <c r="F1301" s="91">
        <v>734</v>
      </c>
    </row>
    <row r="1302" spans="1:6">
      <c r="A1302" s="91" t="s">
        <v>1581</v>
      </c>
      <c r="B1302" s="91" t="s">
        <v>197</v>
      </c>
      <c r="C1302" s="91" t="s">
        <v>1582</v>
      </c>
      <c r="D1302" s="91" t="str">
        <f t="shared" si="22"/>
        <v>Bweyale Town Council</v>
      </c>
      <c r="F1302" s="91">
        <v>735</v>
      </c>
    </row>
    <row r="1303" spans="1:6">
      <c r="A1303" s="91" t="s">
        <v>1583</v>
      </c>
      <c r="D1303" s="91" t="str">
        <f t="shared" si="22"/>
        <v>Bweyale</v>
      </c>
      <c r="F1303" s="91">
        <v>735</v>
      </c>
    </row>
    <row r="1304" spans="1:6">
      <c r="A1304" s="91" t="s">
        <v>196</v>
      </c>
      <c r="D1304" s="91" t="str">
        <f t="shared" si="22"/>
        <v>Bweyare</v>
      </c>
      <c r="F1304" s="91">
        <v>735</v>
      </c>
    </row>
    <row r="1305" spans="1:6">
      <c r="A1305" s="91" t="s">
        <v>1584</v>
      </c>
      <c r="B1305" s="91" t="s">
        <v>197</v>
      </c>
      <c r="C1305" s="91" t="s">
        <v>1582</v>
      </c>
      <c r="D1305" s="91" t="str">
        <f t="shared" si="22"/>
        <v>Kigumba</v>
      </c>
      <c r="F1305" s="91">
        <v>736</v>
      </c>
    </row>
    <row r="1306" spans="1:6">
      <c r="A1306" s="91" t="s">
        <v>1585</v>
      </c>
      <c r="B1306" s="91" t="s">
        <v>197</v>
      </c>
      <c r="C1306" s="91" t="s">
        <v>1582</v>
      </c>
      <c r="D1306" s="91" t="str">
        <f t="shared" si="22"/>
        <v>Kigumba Town Council</v>
      </c>
      <c r="F1306" s="91">
        <v>737</v>
      </c>
    </row>
    <row r="1307" spans="1:6">
      <c r="A1307" s="91" t="s">
        <v>1586</v>
      </c>
      <c r="D1307" s="91" t="str">
        <f t="shared" si="22"/>
        <v>Karuma</v>
      </c>
      <c r="F1307" s="91">
        <v>737</v>
      </c>
    </row>
    <row r="1308" spans="1:6">
      <c r="A1308" s="91" t="s">
        <v>197</v>
      </c>
      <c r="B1308" s="91" t="s">
        <v>197</v>
      </c>
      <c r="C1308" s="91" t="s">
        <v>1582</v>
      </c>
      <c r="D1308" s="91" t="str">
        <f t="shared" si="22"/>
        <v>Kiryandongo</v>
      </c>
      <c r="F1308" s="91">
        <v>738</v>
      </c>
    </row>
    <row r="1309" spans="1:6">
      <c r="A1309" s="91" t="s">
        <v>1587</v>
      </c>
      <c r="B1309" s="91" t="s">
        <v>197</v>
      </c>
      <c r="C1309" s="91" t="s">
        <v>1582</v>
      </c>
      <c r="D1309" s="91" t="str">
        <f t="shared" si="22"/>
        <v>Kiryandongo Refugee Camp</v>
      </c>
      <c r="F1309" s="91">
        <v>739</v>
      </c>
    </row>
    <row r="1310" spans="1:6">
      <c r="A1310" s="91" t="s">
        <v>1588</v>
      </c>
      <c r="B1310" s="91" t="s">
        <v>197</v>
      </c>
      <c r="C1310" s="91" t="s">
        <v>1582</v>
      </c>
      <c r="D1310" s="91" t="str">
        <f t="shared" si="22"/>
        <v>Kiryandongo Town Council</v>
      </c>
      <c r="F1310" s="91">
        <v>740</v>
      </c>
    </row>
    <row r="1311" spans="1:6">
      <c r="A1311" s="91" t="s">
        <v>1589</v>
      </c>
      <c r="D1311" s="91" t="str">
        <f t="shared" si="22"/>
        <v>KIRYANDONGO TOWN</v>
      </c>
      <c r="F1311" s="91">
        <v>740</v>
      </c>
    </row>
    <row r="1312" spans="1:6">
      <c r="A1312" s="91" t="s">
        <v>1590</v>
      </c>
      <c r="B1312" s="91" t="s">
        <v>197</v>
      </c>
      <c r="C1312" s="91" t="s">
        <v>1582</v>
      </c>
      <c r="D1312" s="91" t="str">
        <f t="shared" si="22"/>
        <v>Masindi Port</v>
      </c>
      <c r="F1312" s="91">
        <v>741</v>
      </c>
    </row>
    <row r="1313" spans="1:6">
      <c r="A1313" s="91" t="s">
        <v>1591</v>
      </c>
      <c r="B1313" s="91" t="s">
        <v>197</v>
      </c>
      <c r="C1313" s="91" t="s">
        <v>1582</v>
      </c>
      <c r="D1313" s="91" t="str">
        <f t="shared" si="22"/>
        <v>Mutunda</v>
      </c>
      <c r="F1313" s="91">
        <v>742</v>
      </c>
    </row>
    <row r="1314" spans="1:6">
      <c r="A1314" s="91" t="s">
        <v>1592</v>
      </c>
      <c r="B1314" s="91" t="s">
        <v>1593</v>
      </c>
      <c r="C1314" s="91" t="s">
        <v>1594</v>
      </c>
      <c r="D1314" s="91" t="str">
        <f t="shared" si="22"/>
        <v>Bukimbiri</v>
      </c>
      <c r="F1314" s="91">
        <v>743</v>
      </c>
    </row>
    <row r="1315" spans="1:6">
      <c r="A1315" s="91" t="s">
        <v>1595</v>
      </c>
      <c r="B1315" s="91" t="s">
        <v>1593</v>
      </c>
      <c r="C1315" s="91" t="s">
        <v>1594</v>
      </c>
      <c r="D1315" s="91" t="str">
        <f t="shared" si="22"/>
        <v>Busanza</v>
      </c>
      <c r="F1315" s="91">
        <v>744</v>
      </c>
    </row>
    <row r="1316" spans="1:6">
      <c r="A1316" s="91" t="s">
        <v>1596</v>
      </c>
      <c r="B1316" s="91" t="s">
        <v>1593</v>
      </c>
      <c r="C1316" s="91" t="s">
        <v>1594</v>
      </c>
      <c r="D1316" s="91" t="str">
        <f t="shared" si="22"/>
        <v>Chahi</v>
      </c>
      <c r="F1316" s="91">
        <v>745</v>
      </c>
    </row>
    <row r="1317" spans="1:6">
      <c r="A1317" s="91" t="s">
        <v>1597</v>
      </c>
      <c r="B1317" s="91" t="s">
        <v>1593</v>
      </c>
      <c r="C1317" s="91" t="s">
        <v>1594</v>
      </c>
      <c r="D1317" s="91" t="str">
        <f t="shared" si="22"/>
        <v>Kanaba</v>
      </c>
      <c r="F1317" s="91">
        <v>746</v>
      </c>
    </row>
    <row r="1318" spans="1:6">
      <c r="A1318" s="91" t="s">
        <v>1598</v>
      </c>
      <c r="B1318" s="91" t="s">
        <v>1593</v>
      </c>
      <c r="C1318" s="91" t="s">
        <v>1594</v>
      </c>
      <c r="D1318" s="91" t="str">
        <f t="shared" si="22"/>
        <v>Kirundo</v>
      </c>
      <c r="F1318" s="91">
        <v>747</v>
      </c>
    </row>
    <row r="1319" spans="1:6">
      <c r="A1319" s="91" t="s">
        <v>1599</v>
      </c>
      <c r="B1319" s="91" t="s">
        <v>1593</v>
      </c>
      <c r="C1319" s="91" t="s">
        <v>1599</v>
      </c>
      <c r="D1319" s="91" t="str">
        <f t="shared" si="22"/>
        <v>Kisoro Municipality</v>
      </c>
      <c r="F1319" s="91">
        <v>748</v>
      </c>
    </row>
    <row r="1320" spans="1:6">
      <c r="A1320" s="91" t="s">
        <v>1593</v>
      </c>
      <c r="D1320" s="91" t="str">
        <f t="shared" si="22"/>
        <v>Kisoro</v>
      </c>
      <c r="F1320" s="91">
        <v>748</v>
      </c>
    </row>
    <row r="1321" spans="1:6">
      <c r="A1321" s="91" t="s">
        <v>1600</v>
      </c>
      <c r="D1321" s="91" t="str">
        <f t="shared" si="22"/>
        <v>L.Bunyonyi</v>
      </c>
      <c r="F1321" s="91">
        <v>748</v>
      </c>
    </row>
    <row r="1322" spans="1:6">
      <c r="A1322" s="91" t="s">
        <v>49</v>
      </c>
      <c r="D1322" s="91" t="str">
        <f t="shared" si="22"/>
        <v>Bwindi</v>
      </c>
      <c r="F1322" s="91">
        <v>748</v>
      </c>
    </row>
    <row r="1323" spans="1:6">
      <c r="A1323" s="91" t="s">
        <v>1601</v>
      </c>
      <c r="B1323" s="91" t="s">
        <v>1593</v>
      </c>
      <c r="C1323" s="91" t="s">
        <v>1594</v>
      </c>
      <c r="D1323" s="91" t="str">
        <f t="shared" si="22"/>
        <v>Muramba</v>
      </c>
      <c r="F1323" s="91">
        <v>749</v>
      </c>
    </row>
    <row r="1324" spans="1:6">
      <c r="A1324" s="91" t="s">
        <v>1602</v>
      </c>
      <c r="B1324" s="91" t="s">
        <v>1593</v>
      </c>
      <c r="C1324" s="91" t="s">
        <v>1594</v>
      </c>
      <c r="D1324" s="91" t="str">
        <f t="shared" si="22"/>
        <v>Murora</v>
      </c>
      <c r="F1324" s="91">
        <v>750</v>
      </c>
    </row>
    <row r="1325" spans="1:6">
      <c r="A1325" s="91" t="s">
        <v>1603</v>
      </c>
      <c r="B1325" s="91" t="s">
        <v>1593</v>
      </c>
      <c r="C1325" s="91" t="s">
        <v>1594</v>
      </c>
      <c r="D1325" s="91" t="str">
        <f t="shared" si="22"/>
        <v>Nyabwishenya</v>
      </c>
      <c r="F1325" s="91">
        <v>751</v>
      </c>
    </row>
    <row r="1326" spans="1:6">
      <c r="A1326" s="91" t="s">
        <v>1604</v>
      </c>
      <c r="B1326" s="91" t="s">
        <v>1593</v>
      </c>
      <c r="C1326" s="91" t="s">
        <v>1594</v>
      </c>
      <c r="D1326" s="91" t="str">
        <f t="shared" si="22"/>
        <v>Nyakabande</v>
      </c>
      <c r="F1326" s="91">
        <v>752</v>
      </c>
    </row>
    <row r="1327" spans="1:6">
      <c r="A1327" s="91" t="s">
        <v>1605</v>
      </c>
      <c r="B1327" s="91" t="s">
        <v>1593</v>
      </c>
      <c r="C1327" s="91" t="s">
        <v>1594</v>
      </c>
      <c r="D1327" s="91" t="str">
        <f t="shared" si="22"/>
        <v>Nyakinama</v>
      </c>
      <c r="F1327" s="91">
        <v>753</v>
      </c>
    </row>
    <row r="1328" spans="1:6">
      <c r="A1328" s="91" t="s">
        <v>1606</v>
      </c>
      <c r="B1328" s="91" t="s">
        <v>1593</v>
      </c>
      <c r="C1328" s="91" t="s">
        <v>1594</v>
      </c>
      <c r="D1328" s="91" t="str">
        <f t="shared" si="22"/>
        <v>Nyarubuye</v>
      </c>
      <c r="F1328" s="91">
        <v>754</v>
      </c>
    </row>
    <row r="1329" spans="1:6">
      <c r="A1329" s="91" t="s">
        <v>1607</v>
      </c>
      <c r="B1329" s="91" t="s">
        <v>1593</v>
      </c>
      <c r="C1329" s="91" t="s">
        <v>1594</v>
      </c>
      <c r="D1329" s="91" t="str">
        <f t="shared" si="22"/>
        <v>Nyarusiza</v>
      </c>
      <c r="F1329" s="91">
        <v>755</v>
      </c>
    </row>
    <row r="1330" spans="1:6">
      <c r="A1330" s="91" t="s">
        <v>1608</v>
      </c>
      <c r="B1330" s="91" t="s">
        <v>1593</v>
      </c>
      <c r="C1330" s="91" t="s">
        <v>1594</v>
      </c>
      <c r="D1330" s="91" t="str">
        <f t="shared" si="22"/>
        <v>Nyundo</v>
      </c>
      <c r="F1330" s="91">
        <v>756</v>
      </c>
    </row>
    <row r="1331" spans="1:6">
      <c r="A1331" s="91" t="s">
        <v>1609</v>
      </c>
      <c r="B1331" s="91" t="s">
        <v>1593</v>
      </c>
      <c r="C1331" s="91" t="s">
        <v>1594</v>
      </c>
      <c r="D1331" s="91" t="str">
        <f t="shared" si="22"/>
        <v>Rubuguri Town Council</v>
      </c>
      <c r="F1331" s="91">
        <v>757</v>
      </c>
    </row>
    <row r="1332" spans="1:6">
      <c r="A1332" s="91" t="s">
        <v>1610</v>
      </c>
      <c r="B1332" s="91" t="s">
        <v>220</v>
      </c>
      <c r="C1332" s="91" t="s">
        <v>1611</v>
      </c>
      <c r="D1332" s="91" t="str">
        <f t="shared" si="22"/>
        <v>Kitgum Matidi</v>
      </c>
      <c r="F1332" s="91">
        <v>758</v>
      </c>
    </row>
    <row r="1333" spans="1:6">
      <c r="A1333" s="91" t="s">
        <v>1612</v>
      </c>
      <c r="B1333" s="91" t="s">
        <v>220</v>
      </c>
      <c r="C1333" s="91" t="s">
        <v>1612</v>
      </c>
      <c r="D1333" s="91" t="str">
        <f t="shared" si="22"/>
        <v>Kitgum Municipality</v>
      </c>
      <c r="F1333" s="91">
        <v>759</v>
      </c>
    </row>
    <row r="1334" spans="1:6">
      <c r="A1334" s="91" t="s">
        <v>220</v>
      </c>
      <c r="D1334" s="91" t="str">
        <f t="shared" si="22"/>
        <v>Kitgum</v>
      </c>
      <c r="F1334" s="91">
        <v>759</v>
      </c>
    </row>
    <row r="1335" spans="1:6">
      <c r="A1335" s="91" t="s">
        <v>1613</v>
      </c>
      <c r="B1335" s="91" t="s">
        <v>220</v>
      </c>
      <c r="C1335" s="91" t="s">
        <v>1611</v>
      </c>
      <c r="D1335" s="91" t="str">
        <f t="shared" si="22"/>
        <v>Labongo Akwang</v>
      </c>
      <c r="F1335" s="91">
        <v>760</v>
      </c>
    </row>
    <row r="1336" spans="1:6">
      <c r="A1336" s="91" t="s">
        <v>1614</v>
      </c>
      <c r="B1336" s="91" t="s">
        <v>220</v>
      </c>
      <c r="C1336" s="91" t="s">
        <v>1611</v>
      </c>
      <c r="D1336" s="91" t="str">
        <f t="shared" si="22"/>
        <v>Labongo Amida</v>
      </c>
      <c r="F1336" s="91">
        <v>761</v>
      </c>
    </row>
    <row r="1337" spans="1:6">
      <c r="A1337" s="91" t="s">
        <v>1615</v>
      </c>
      <c r="B1337" s="91" t="s">
        <v>220</v>
      </c>
      <c r="C1337" s="91" t="s">
        <v>1611</v>
      </c>
      <c r="D1337" s="91" t="str">
        <f t="shared" si="22"/>
        <v>Labongo Layamo</v>
      </c>
      <c r="F1337" s="91">
        <v>762</v>
      </c>
    </row>
    <row r="1338" spans="1:6">
      <c r="A1338" s="91" t="s">
        <v>1616</v>
      </c>
      <c r="B1338" s="91" t="s">
        <v>220</v>
      </c>
      <c r="C1338" s="91" t="s">
        <v>1611</v>
      </c>
      <c r="D1338" s="91" t="str">
        <f t="shared" si="22"/>
        <v>Lagoro</v>
      </c>
      <c r="F1338" s="91">
        <v>763</v>
      </c>
    </row>
    <row r="1339" spans="1:6">
      <c r="A1339" s="91" t="s">
        <v>1617</v>
      </c>
      <c r="B1339" s="91" t="s">
        <v>220</v>
      </c>
      <c r="C1339" s="91" t="s">
        <v>1611</v>
      </c>
      <c r="D1339" s="91" t="str">
        <f t="shared" si="22"/>
        <v>Mucwini</v>
      </c>
      <c r="F1339" s="91">
        <v>764</v>
      </c>
    </row>
    <row r="1340" spans="1:6">
      <c r="A1340" s="91" t="s">
        <v>1618</v>
      </c>
      <c r="B1340" s="91" t="s">
        <v>220</v>
      </c>
      <c r="C1340" s="91" t="s">
        <v>1611</v>
      </c>
      <c r="D1340" s="91" t="str">
        <f t="shared" si="22"/>
        <v>Namokora</v>
      </c>
      <c r="F1340" s="91">
        <v>765</v>
      </c>
    </row>
    <row r="1341" spans="1:6">
      <c r="A1341" s="91" t="s">
        <v>1619</v>
      </c>
      <c r="B1341" s="91" t="s">
        <v>220</v>
      </c>
      <c r="C1341" s="91" t="s">
        <v>1611</v>
      </c>
      <c r="D1341" s="91" t="str">
        <f t="shared" si="22"/>
        <v>Omiya Anyima</v>
      </c>
      <c r="F1341" s="91">
        <v>766</v>
      </c>
    </row>
    <row r="1342" spans="1:6">
      <c r="A1342" s="91" t="s">
        <v>1620</v>
      </c>
      <c r="B1342" s="91" t="s">
        <v>220</v>
      </c>
      <c r="C1342" s="91" t="s">
        <v>1611</v>
      </c>
      <c r="D1342" s="91" t="str">
        <f t="shared" si="22"/>
        <v>Orom</v>
      </c>
      <c r="F1342" s="91">
        <v>767</v>
      </c>
    </row>
    <row r="1343" spans="1:6">
      <c r="A1343" s="91" t="s">
        <v>1621</v>
      </c>
      <c r="B1343" s="91" t="s">
        <v>1622</v>
      </c>
      <c r="C1343" s="91" t="s">
        <v>1622</v>
      </c>
      <c r="D1343" s="91" t="str">
        <f t="shared" si="22"/>
        <v>Abuku</v>
      </c>
      <c r="F1343" s="91">
        <v>768</v>
      </c>
    </row>
    <row r="1344" spans="1:6">
      <c r="A1344" s="91" t="s">
        <v>1623</v>
      </c>
      <c r="B1344" s="91" t="s">
        <v>1622</v>
      </c>
      <c r="C1344" s="91" t="s">
        <v>1622</v>
      </c>
      <c r="D1344" s="91" t="str">
        <f t="shared" si="22"/>
        <v>Dranya</v>
      </c>
      <c r="F1344" s="91">
        <v>769</v>
      </c>
    </row>
    <row r="1345" spans="1:6">
      <c r="A1345" s="91" t="s">
        <v>1624</v>
      </c>
      <c r="B1345" s="91" t="s">
        <v>1622</v>
      </c>
      <c r="C1345" s="91" t="s">
        <v>1624</v>
      </c>
      <c r="D1345" s="91" t="str">
        <f t="shared" si="22"/>
        <v>Koboko Municipality</v>
      </c>
      <c r="F1345" s="91">
        <v>770</v>
      </c>
    </row>
    <row r="1346" spans="1:6">
      <c r="A1346" s="91" t="s">
        <v>1625</v>
      </c>
      <c r="B1346" s="91" t="s">
        <v>1622</v>
      </c>
      <c r="C1346" s="91" t="s">
        <v>1622</v>
      </c>
      <c r="D1346" s="91" t="str">
        <f t="shared" si="22"/>
        <v>Kuluba</v>
      </c>
      <c r="F1346" s="91">
        <v>771</v>
      </c>
    </row>
    <row r="1347" spans="1:6">
      <c r="A1347" s="91" t="s">
        <v>1626</v>
      </c>
      <c r="B1347" s="91" t="s">
        <v>1622</v>
      </c>
      <c r="C1347" s="91" t="s">
        <v>1622</v>
      </c>
      <c r="D1347" s="91" t="str">
        <f t="shared" ref="D1347:D1410" si="23">A1347</f>
        <v>Lobule</v>
      </c>
      <c r="F1347" s="91">
        <v>772</v>
      </c>
    </row>
    <row r="1348" spans="1:6">
      <c r="A1348" s="91" t="s">
        <v>1627</v>
      </c>
      <c r="B1348" s="91" t="s">
        <v>1622</v>
      </c>
      <c r="C1348" s="91" t="s">
        <v>1622</v>
      </c>
      <c r="D1348" s="91" t="str">
        <f t="shared" si="23"/>
        <v>Ludara</v>
      </c>
      <c r="F1348" s="91">
        <v>773</v>
      </c>
    </row>
    <row r="1349" spans="1:6">
      <c r="A1349" s="91" t="s">
        <v>1628</v>
      </c>
      <c r="B1349" s="91" t="s">
        <v>1622</v>
      </c>
      <c r="C1349" s="91" t="s">
        <v>1622</v>
      </c>
      <c r="D1349" s="91" t="str">
        <f t="shared" si="23"/>
        <v>Midia</v>
      </c>
      <c r="F1349" s="91">
        <v>774</v>
      </c>
    </row>
    <row r="1350" spans="1:6">
      <c r="A1350" s="91" t="s">
        <v>194</v>
      </c>
      <c r="B1350" s="91" t="s">
        <v>1629</v>
      </c>
      <c r="C1350" s="91" t="s">
        <v>1629</v>
      </c>
      <c r="D1350" s="91" t="str">
        <f t="shared" si="23"/>
        <v>Aboke</v>
      </c>
      <c r="F1350" s="91">
        <v>775</v>
      </c>
    </row>
    <row r="1351" spans="1:6">
      <c r="A1351" s="91" t="s">
        <v>193</v>
      </c>
      <c r="B1351" s="91" t="s">
        <v>1629</v>
      </c>
      <c r="C1351" s="91" t="s">
        <v>1629</v>
      </c>
      <c r="D1351" s="91" t="str">
        <f t="shared" si="23"/>
        <v>Yabu</v>
      </c>
      <c r="F1351" s="91">
        <v>775</v>
      </c>
    </row>
    <row r="1352" spans="1:6">
      <c r="A1352" s="91" t="s">
        <v>1630</v>
      </c>
      <c r="B1352" s="91" t="s">
        <v>1629</v>
      </c>
      <c r="C1352" s="91" t="s">
        <v>1629</v>
      </c>
      <c r="D1352" s="91" t="str">
        <f t="shared" si="23"/>
        <v>Akalo</v>
      </c>
      <c r="F1352" s="91">
        <v>776</v>
      </c>
    </row>
    <row r="1353" spans="1:6">
      <c r="A1353" s="91" t="s">
        <v>1631</v>
      </c>
      <c r="B1353" s="91" t="s">
        <v>1629</v>
      </c>
      <c r="C1353" s="91" t="s">
        <v>1629</v>
      </c>
      <c r="D1353" s="91" t="str">
        <f t="shared" si="23"/>
        <v>Alito</v>
      </c>
      <c r="F1353" s="91">
        <v>777</v>
      </c>
    </row>
    <row r="1354" spans="1:6">
      <c r="A1354" s="91" t="s">
        <v>1632</v>
      </c>
      <c r="B1354" s="91" t="s">
        <v>1629</v>
      </c>
      <c r="C1354" s="91" t="s">
        <v>1629</v>
      </c>
      <c r="D1354" s="91" t="str">
        <f t="shared" si="23"/>
        <v>Ayer</v>
      </c>
      <c r="F1354" s="91">
        <v>778</v>
      </c>
    </row>
    <row r="1355" spans="1:6">
      <c r="A1355" s="91" t="s">
        <v>1633</v>
      </c>
      <c r="B1355" s="91" t="s">
        <v>1629</v>
      </c>
      <c r="C1355" s="91" t="s">
        <v>1629</v>
      </c>
      <c r="D1355" s="91" t="str">
        <f t="shared" si="23"/>
        <v>Bala</v>
      </c>
      <c r="F1355" s="91">
        <v>779</v>
      </c>
    </row>
    <row r="1356" spans="1:6">
      <c r="A1356" s="91" t="s">
        <v>1634</v>
      </c>
      <c r="B1356" s="91" t="s">
        <v>1629</v>
      </c>
      <c r="C1356" s="91" t="s">
        <v>1629</v>
      </c>
      <c r="D1356" s="91" t="str">
        <f t="shared" si="23"/>
        <v>Kole Town Council</v>
      </c>
      <c r="F1356" s="91">
        <v>780</v>
      </c>
    </row>
    <row r="1357" spans="1:6">
      <c r="A1357" s="91" t="s">
        <v>1635</v>
      </c>
      <c r="B1357" s="91" t="s">
        <v>1629</v>
      </c>
      <c r="C1357" s="91" t="s">
        <v>1629</v>
      </c>
      <c r="D1357" s="91" t="str">
        <f t="shared" si="23"/>
        <v>Okwerodot</v>
      </c>
      <c r="F1357" s="91">
        <v>781</v>
      </c>
    </row>
    <row r="1358" spans="1:6">
      <c r="A1358" s="91" t="s">
        <v>1636</v>
      </c>
      <c r="B1358" s="91" t="s">
        <v>1637</v>
      </c>
      <c r="C1358" s="91" t="s">
        <v>1638</v>
      </c>
      <c r="D1358" s="91" t="str">
        <f t="shared" si="23"/>
        <v>Kacheri</v>
      </c>
      <c r="F1358" s="91">
        <v>782</v>
      </c>
    </row>
    <row r="1359" spans="1:6">
      <c r="A1359" s="91" t="s">
        <v>1637</v>
      </c>
      <c r="B1359" s="91" t="s">
        <v>1637</v>
      </c>
      <c r="C1359" s="91" t="s">
        <v>1638</v>
      </c>
      <c r="D1359" s="91" t="str">
        <f t="shared" si="23"/>
        <v>Kotido</v>
      </c>
      <c r="F1359" s="91">
        <v>783</v>
      </c>
    </row>
    <row r="1360" spans="1:6">
      <c r="A1360" s="91" t="s">
        <v>1639</v>
      </c>
      <c r="B1360" s="91" t="s">
        <v>1637</v>
      </c>
      <c r="C1360" s="91" t="s">
        <v>1639</v>
      </c>
      <c r="D1360" s="91" t="str">
        <f t="shared" si="23"/>
        <v>Kotido Municipality</v>
      </c>
      <c r="F1360" s="91">
        <v>784</v>
      </c>
    </row>
    <row r="1361" spans="1:6">
      <c r="A1361" s="91" t="s">
        <v>1640</v>
      </c>
      <c r="B1361" s="91" t="s">
        <v>1637</v>
      </c>
      <c r="C1361" s="91" t="s">
        <v>1638</v>
      </c>
      <c r="D1361" s="91" t="str">
        <f t="shared" si="23"/>
        <v>Nakapelimoru</v>
      </c>
      <c r="F1361" s="91">
        <v>785</v>
      </c>
    </row>
    <row r="1362" spans="1:6">
      <c r="A1362" s="91" t="s">
        <v>1641</v>
      </c>
      <c r="B1362" s="91" t="s">
        <v>1637</v>
      </c>
      <c r="C1362" s="91" t="s">
        <v>1638</v>
      </c>
      <c r="D1362" s="91" t="str">
        <f t="shared" si="23"/>
        <v>Panyangara</v>
      </c>
      <c r="F1362" s="91">
        <v>786</v>
      </c>
    </row>
    <row r="1363" spans="1:6">
      <c r="A1363" s="91" t="s">
        <v>1642</v>
      </c>
      <c r="B1363" s="91" t="s">
        <v>1637</v>
      </c>
      <c r="C1363" s="91" t="s">
        <v>1638</v>
      </c>
      <c r="D1363" s="91" t="str">
        <f t="shared" si="23"/>
        <v>Rengen</v>
      </c>
      <c r="F1363" s="91">
        <v>787</v>
      </c>
    </row>
    <row r="1364" spans="1:6">
      <c r="A1364" s="91" t="s">
        <v>1643</v>
      </c>
      <c r="B1364" s="91" t="s">
        <v>1644</v>
      </c>
      <c r="C1364" s="91" t="s">
        <v>1644</v>
      </c>
      <c r="D1364" s="91" t="str">
        <f t="shared" si="23"/>
        <v>Atutur</v>
      </c>
      <c r="F1364" s="91">
        <v>788</v>
      </c>
    </row>
    <row r="1365" spans="1:6">
      <c r="A1365" s="91" t="s">
        <v>1645</v>
      </c>
      <c r="B1365" s="91" t="s">
        <v>1644</v>
      </c>
      <c r="C1365" s="91" t="s">
        <v>1644</v>
      </c>
      <c r="D1365" s="91" t="str">
        <f t="shared" si="23"/>
        <v>Kanyum</v>
      </c>
      <c r="F1365" s="91">
        <v>789</v>
      </c>
    </row>
    <row r="1366" spans="1:6">
      <c r="A1366" s="91" t="s">
        <v>1644</v>
      </c>
      <c r="B1366" s="91" t="s">
        <v>1644</v>
      </c>
      <c r="C1366" s="91" t="s">
        <v>1644</v>
      </c>
      <c r="D1366" s="91" t="str">
        <f t="shared" si="23"/>
        <v>Kumi</v>
      </c>
      <c r="F1366" s="91">
        <v>790</v>
      </c>
    </row>
    <row r="1367" spans="1:6">
      <c r="A1367" s="91" t="s">
        <v>1646</v>
      </c>
      <c r="B1367" s="91" t="s">
        <v>1644</v>
      </c>
      <c r="C1367" s="91" t="s">
        <v>1646</v>
      </c>
      <c r="D1367" s="91" t="str">
        <f t="shared" si="23"/>
        <v>Kumi Municipality</v>
      </c>
      <c r="F1367" s="91">
        <v>791</v>
      </c>
    </row>
    <row r="1368" spans="1:6">
      <c r="A1368" s="91" t="s">
        <v>1647</v>
      </c>
      <c r="B1368" s="91" t="s">
        <v>1644</v>
      </c>
      <c r="C1368" s="91" t="s">
        <v>1644</v>
      </c>
      <c r="D1368" s="91" t="str">
        <f t="shared" si="23"/>
        <v>Mukongoro</v>
      </c>
      <c r="F1368" s="91">
        <v>792</v>
      </c>
    </row>
    <row r="1369" spans="1:6">
      <c r="A1369" s="91" t="s">
        <v>1648</v>
      </c>
      <c r="B1369" s="91" t="s">
        <v>1644</v>
      </c>
      <c r="C1369" s="91" t="s">
        <v>1644</v>
      </c>
      <c r="D1369" s="91" t="str">
        <f t="shared" si="23"/>
        <v>Nyero</v>
      </c>
      <c r="F1369" s="91">
        <v>793</v>
      </c>
    </row>
    <row r="1370" spans="1:6">
      <c r="A1370" s="91" t="s">
        <v>1649</v>
      </c>
      <c r="B1370" s="91" t="s">
        <v>1644</v>
      </c>
      <c r="C1370" s="91" t="s">
        <v>1644</v>
      </c>
      <c r="D1370" s="91" t="str">
        <f t="shared" si="23"/>
        <v>Ongino</v>
      </c>
      <c r="F1370" s="91">
        <v>794</v>
      </c>
    </row>
    <row r="1371" spans="1:6">
      <c r="A1371" s="91" t="s">
        <v>1650</v>
      </c>
      <c r="B1371" s="91" t="s">
        <v>1651</v>
      </c>
      <c r="C1371" s="91" t="s">
        <v>1651</v>
      </c>
      <c r="D1371" s="91" t="str">
        <f t="shared" si="23"/>
        <v>Benet</v>
      </c>
      <c r="F1371" s="91">
        <v>795</v>
      </c>
    </row>
    <row r="1372" spans="1:6">
      <c r="A1372" s="91" t="s">
        <v>1652</v>
      </c>
      <c r="B1372" s="91" t="s">
        <v>1651</v>
      </c>
      <c r="C1372" s="91" t="s">
        <v>1651</v>
      </c>
      <c r="D1372" s="91" t="str">
        <f t="shared" si="23"/>
        <v>Binyiny</v>
      </c>
      <c r="F1372" s="91">
        <v>796</v>
      </c>
    </row>
    <row r="1373" spans="1:6">
      <c r="A1373" s="91" t="s">
        <v>1653</v>
      </c>
      <c r="B1373" s="91" t="s">
        <v>1651</v>
      </c>
      <c r="C1373" s="91" t="s">
        <v>1651</v>
      </c>
      <c r="D1373" s="91" t="str">
        <f t="shared" si="23"/>
        <v>Binyiny Town Council</v>
      </c>
      <c r="F1373" s="91">
        <v>797</v>
      </c>
    </row>
    <row r="1374" spans="1:6">
      <c r="A1374" s="91" t="s">
        <v>1654</v>
      </c>
      <c r="B1374" s="91" t="s">
        <v>1651</v>
      </c>
      <c r="C1374" s="91" t="s">
        <v>1651</v>
      </c>
      <c r="D1374" s="91" t="str">
        <f t="shared" si="23"/>
        <v>Kaproron</v>
      </c>
      <c r="F1374" s="91">
        <v>798</v>
      </c>
    </row>
    <row r="1375" spans="1:6">
      <c r="A1375" s="91" t="s">
        <v>1655</v>
      </c>
      <c r="B1375" s="91" t="s">
        <v>1651</v>
      </c>
      <c r="C1375" s="91" t="s">
        <v>1651</v>
      </c>
      <c r="D1375" s="91" t="str">
        <f t="shared" si="23"/>
        <v>Kaptoyoy</v>
      </c>
      <c r="F1375" s="91">
        <v>799</v>
      </c>
    </row>
    <row r="1376" spans="1:6">
      <c r="A1376" s="91" t="s">
        <v>1656</v>
      </c>
      <c r="B1376" s="91" t="s">
        <v>1651</v>
      </c>
      <c r="C1376" s="91" t="s">
        <v>1651</v>
      </c>
      <c r="D1376" s="91" t="str">
        <f t="shared" si="23"/>
        <v>Kaptum</v>
      </c>
      <c r="F1376" s="91">
        <v>800</v>
      </c>
    </row>
    <row r="1377" spans="1:6">
      <c r="A1377" s="91" t="s">
        <v>1657</v>
      </c>
      <c r="B1377" s="91" t="s">
        <v>1651</v>
      </c>
      <c r="C1377" s="91" t="s">
        <v>1651</v>
      </c>
      <c r="D1377" s="91" t="str">
        <f t="shared" si="23"/>
        <v>Kiriki</v>
      </c>
      <c r="F1377" s="91">
        <v>801</v>
      </c>
    </row>
    <row r="1378" spans="1:6">
      <c r="A1378" s="91" t="s">
        <v>1658</v>
      </c>
      <c r="B1378" s="91" t="s">
        <v>1651</v>
      </c>
      <c r="C1378" s="91" t="s">
        <v>1651</v>
      </c>
      <c r="D1378" s="91" t="str">
        <f t="shared" si="23"/>
        <v>Kitawoi</v>
      </c>
      <c r="F1378" s="91">
        <v>802</v>
      </c>
    </row>
    <row r="1379" spans="1:6">
      <c r="A1379" s="91" t="s">
        <v>1659</v>
      </c>
      <c r="B1379" s="91" t="s">
        <v>1651</v>
      </c>
      <c r="C1379" s="91" t="s">
        <v>1651</v>
      </c>
      <c r="D1379" s="91" t="str">
        <f t="shared" si="23"/>
        <v>Kwanyiy</v>
      </c>
      <c r="F1379" s="91">
        <v>803</v>
      </c>
    </row>
    <row r="1380" spans="1:6">
      <c r="A1380" s="91" t="s">
        <v>1660</v>
      </c>
      <c r="B1380" s="91" t="s">
        <v>1651</v>
      </c>
      <c r="C1380" s="91" t="s">
        <v>1651</v>
      </c>
      <c r="D1380" s="91" t="str">
        <f t="shared" si="23"/>
        <v>Kwosir</v>
      </c>
      <c r="F1380" s="91">
        <v>804</v>
      </c>
    </row>
    <row r="1381" spans="1:6">
      <c r="A1381" s="91" t="s">
        <v>1661</v>
      </c>
      <c r="B1381" s="91" t="s">
        <v>1651</v>
      </c>
      <c r="C1381" s="91" t="s">
        <v>1651</v>
      </c>
      <c r="D1381" s="91" t="str">
        <f t="shared" si="23"/>
        <v>Moyok</v>
      </c>
      <c r="F1381" s="91">
        <v>805</v>
      </c>
    </row>
    <row r="1382" spans="1:6">
      <c r="A1382" s="91" t="s">
        <v>1662</v>
      </c>
      <c r="B1382" s="91" t="s">
        <v>1651</v>
      </c>
      <c r="C1382" s="91" t="s">
        <v>1651</v>
      </c>
      <c r="D1382" s="91" t="str">
        <f t="shared" si="23"/>
        <v>Ngenge</v>
      </c>
      <c r="F1382" s="91">
        <v>806</v>
      </c>
    </row>
    <row r="1383" spans="1:6">
      <c r="A1383" s="91" t="s">
        <v>1663</v>
      </c>
      <c r="B1383" s="91" t="s">
        <v>1664</v>
      </c>
      <c r="C1383" s="91" t="s">
        <v>1525</v>
      </c>
      <c r="D1383" s="91" t="str">
        <f t="shared" si="23"/>
        <v>Bananywa</v>
      </c>
      <c r="F1383" s="91">
        <v>807</v>
      </c>
    </row>
    <row r="1384" spans="1:6">
      <c r="A1384" s="91" t="s">
        <v>1665</v>
      </c>
      <c r="B1384" s="91" t="s">
        <v>1664</v>
      </c>
      <c r="C1384" s="91" t="s">
        <v>1525</v>
      </c>
      <c r="D1384" s="91" t="str">
        <f t="shared" si="23"/>
        <v>Butemba</v>
      </c>
      <c r="F1384" s="91">
        <v>808</v>
      </c>
    </row>
    <row r="1385" spans="1:6">
      <c r="A1385" s="91" t="s">
        <v>1666</v>
      </c>
      <c r="B1385" s="91" t="s">
        <v>1664</v>
      </c>
      <c r="C1385" s="91" t="s">
        <v>1525</v>
      </c>
      <c r="D1385" s="91" t="str">
        <f t="shared" si="23"/>
        <v>Butemba Town Council</v>
      </c>
      <c r="F1385" s="91">
        <v>809</v>
      </c>
    </row>
    <row r="1386" spans="1:6">
      <c r="A1386" s="91" t="s">
        <v>1667</v>
      </c>
      <c r="B1386" s="91" t="s">
        <v>1664</v>
      </c>
      <c r="C1386" s="91" t="s">
        <v>1525</v>
      </c>
      <c r="D1386" s="91" t="str">
        <f t="shared" si="23"/>
        <v>Byerima</v>
      </c>
      <c r="F1386" s="91">
        <v>810</v>
      </c>
    </row>
    <row r="1387" spans="1:6">
      <c r="A1387" s="91" t="s">
        <v>1668</v>
      </c>
      <c r="B1387" s="91" t="s">
        <v>1664</v>
      </c>
      <c r="C1387" s="91" t="s">
        <v>1525</v>
      </c>
      <c r="D1387" s="91" t="str">
        <f t="shared" si="23"/>
        <v>Gayaza</v>
      </c>
      <c r="F1387" s="91">
        <v>811</v>
      </c>
    </row>
    <row r="1388" spans="1:6">
      <c r="A1388" s="91" t="s">
        <v>1669</v>
      </c>
      <c r="D1388" s="91" t="str">
        <f t="shared" si="23"/>
        <v>Kyetume</v>
      </c>
      <c r="F1388" s="91">
        <v>811</v>
      </c>
    </row>
    <row r="1389" spans="1:6">
      <c r="A1389" s="91" t="s">
        <v>1670</v>
      </c>
      <c r="D1389" s="91" t="str">
        <f t="shared" si="23"/>
        <v>Kyetune</v>
      </c>
      <c r="F1389" s="91">
        <v>811</v>
      </c>
    </row>
    <row r="1390" spans="1:6">
      <c r="A1390" s="91" t="s">
        <v>1671</v>
      </c>
      <c r="D1390" s="91" t="str">
        <f t="shared" si="23"/>
        <v>Cannan Estates</v>
      </c>
      <c r="F1390" s="91">
        <v>811</v>
      </c>
    </row>
    <row r="1391" spans="1:6">
      <c r="A1391" s="91" t="s">
        <v>1672</v>
      </c>
      <c r="D1391" s="91" t="str">
        <f t="shared" si="23"/>
        <v>Kabubu</v>
      </c>
      <c r="F1391" s="91">
        <v>811</v>
      </c>
    </row>
    <row r="1392" spans="1:6">
      <c r="A1392" s="91" t="s">
        <v>1673</v>
      </c>
      <c r="D1392" s="91" t="str">
        <f t="shared" si="23"/>
        <v>Kumusaanvu</v>
      </c>
      <c r="F1392" s="91">
        <v>811</v>
      </c>
    </row>
    <row r="1393" spans="1:6">
      <c r="A1393" s="91" t="s">
        <v>1674</v>
      </c>
      <c r="D1393" s="91" t="str">
        <f t="shared" si="23"/>
        <v>Kumusanvu</v>
      </c>
      <c r="F1393" s="91">
        <v>811</v>
      </c>
    </row>
    <row r="1394" spans="1:6">
      <c r="A1394" s="91" t="s">
        <v>1675</v>
      </c>
      <c r="D1394" s="91" t="str">
        <f t="shared" si="23"/>
        <v>Namavundu</v>
      </c>
      <c r="F1394" s="91">
        <v>811</v>
      </c>
    </row>
    <row r="1395" spans="1:6">
      <c r="A1395" s="91" t="s">
        <v>1676</v>
      </c>
      <c r="D1395" s="91" t="str">
        <f t="shared" si="23"/>
        <v>Kayebe</v>
      </c>
      <c r="F1395" s="91">
        <v>811</v>
      </c>
    </row>
    <row r="1396" spans="1:6">
      <c r="A1396" s="91" t="s">
        <v>1677</v>
      </c>
      <c r="D1396" s="91" t="str">
        <f t="shared" si="23"/>
        <v>Kabanyoro</v>
      </c>
      <c r="F1396" s="91">
        <v>811</v>
      </c>
    </row>
    <row r="1397" spans="1:6">
      <c r="A1397" s="91" t="s">
        <v>1678</v>
      </c>
      <c r="D1397" s="91" t="str">
        <f t="shared" si="23"/>
        <v>Manyangwa</v>
      </c>
      <c r="F1397" s="91">
        <v>811</v>
      </c>
    </row>
    <row r="1398" spans="1:6">
      <c r="A1398" s="91" t="s">
        <v>1679</v>
      </c>
      <c r="D1398" s="91" t="str">
        <f t="shared" si="23"/>
        <v>Gayaza rd</v>
      </c>
      <c r="F1398" s="91">
        <v>811</v>
      </c>
    </row>
    <row r="1399" spans="1:6">
      <c r="A1399" s="91" t="s">
        <v>1680</v>
      </c>
      <c r="D1399" s="91" t="str">
        <f t="shared" si="23"/>
        <v>kumunaana</v>
      </c>
      <c r="F1399" s="91">
        <v>811</v>
      </c>
    </row>
    <row r="1400" spans="1:6">
      <c r="A1400" s="91" t="s">
        <v>1681</v>
      </c>
      <c r="D1400" s="91" t="str">
        <f t="shared" si="23"/>
        <v>NAKWERO</v>
      </c>
      <c r="F1400" s="91">
        <v>811</v>
      </c>
    </row>
    <row r="1401" spans="1:6">
      <c r="A1401" s="91" t="s">
        <v>1682</v>
      </c>
      <c r="D1401" s="91" t="str">
        <f t="shared" si="23"/>
        <v>Nakweero</v>
      </c>
      <c r="F1401" s="91">
        <v>811</v>
      </c>
    </row>
    <row r="1402" spans="1:6">
      <c r="A1402" s="91" t="s">
        <v>1683</v>
      </c>
      <c r="D1402" s="91" t="str">
        <f t="shared" si="23"/>
        <v>Kabumba</v>
      </c>
      <c r="F1402" s="91">
        <v>811</v>
      </c>
    </row>
    <row r="1403" spans="1:6">
      <c r="A1403" s="91" t="s">
        <v>1684</v>
      </c>
      <c r="D1403" s="91" t="str">
        <f t="shared" si="23"/>
        <v>Namulonge</v>
      </c>
      <c r="F1403" s="91">
        <v>811</v>
      </c>
    </row>
    <row r="1404" spans="1:6">
      <c r="A1404" s="91" t="s">
        <v>1685</v>
      </c>
      <c r="D1404" s="91" t="str">
        <f t="shared" si="23"/>
        <v>KIWENDA</v>
      </c>
      <c r="F1404" s="91">
        <v>811</v>
      </c>
    </row>
    <row r="1405" spans="1:6">
      <c r="A1405" s="91" t="s">
        <v>1686</v>
      </c>
      <c r="D1405" s="91" t="str">
        <f t="shared" si="23"/>
        <v>Bugema</v>
      </c>
      <c r="F1405" s="91">
        <v>811</v>
      </c>
    </row>
    <row r="1406" spans="1:6">
      <c r="A1406" s="91" t="s">
        <v>1664</v>
      </c>
      <c r="B1406" s="91" t="s">
        <v>1664</v>
      </c>
      <c r="C1406" s="91" t="s">
        <v>1525</v>
      </c>
      <c r="D1406" s="91" t="str">
        <f t="shared" si="23"/>
        <v>Kyankwanzi</v>
      </c>
      <c r="F1406" s="91">
        <v>812</v>
      </c>
    </row>
    <row r="1407" spans="1:6">
      <c r="A1407" s="91" t="s">
        <v>1687</v>
      </c>
      <c r="D1407" s="91" t="str">
        <f t="shared" si="23"/>
        <v>KAYNKWANZI</v>
      </c>
      <c r="F1407" s="91">
        <v>812</v>
      </c>
    </row>
    <row r="1408" spans="1:6">
      <c r="A1408" s="91" t="s">
        <v>1688</v>
      </c>
      <c r="B1408" s="91" t="s">
        <v>1664</v>
      </c>
      <c r="C1408" s="91" t="s">
        <v>1525</v>
      </c>
      <c r="D1408" s="91" t="str">
        <f t="shared" si="23"/>
        <v>Kyankwanzi Town Council</v>
      </c>
      <c r="F1408" s="91">
        <v>813</v>
      </c>
    </row>
    <row r="1409" spans="1:6">
      <c r="A1409" s="91" t="s">
        <v>1689</v>
      </c>
      <c r="D1409" s="91" t="str">
        <f t="shared" si="23"/>
        <v>BYELIMA</v>
      </c>
      <c r="F1409" s="91">
        <v>813</v>
      </c>
    </row>
    <row r="1410" spans="1:6">
      <c r="A1410" s="91" t="s">
        <v>1690</v>
      </c>
      <c r="D1410" s="91" t="str">
        <f t="shared" si="23"/>
        <v>KYANKWANZI TOWN</v>
      </c>
      <c r="F1410" s="91">
        <v>813</v>
      </c>
    </row>
    <row r="1411" spans="1:6">
      <c r="A1411" s="91" t="s">
        <v>1691</v>
      </c>
      <c r="B1411" s="91" t="s">
        <v>1664</v>
      </c>
      <c r="C1411" s="91" t="s">
        <v>1525</v>
      </c>
      <c r="D1411" s="91" t="str">
        <f t="shared" ref="D1411:D1474" si="24">A1411</f>
        <v>Mulagi</v>
      </c>
      <c r="F1411" s="91">
        <v>814</v>
      </c>
    </row>
    <row r="1412" spans="1:6">
      <c r="A1412" s="91" t="s">
        <v>1692</v>
      </c>
      <c r="B1412" s="91" t="s">
        <v>1664</v>
      </c>
      <c r="C1412" s="91" t="s">
        <v>1525</v>
      </c>
      <c r="D1412" s="91" t="str">
        <f t="shared" si="24"/>
        <v>Nkandwa</v>
      </c>
      <c r="F1412" s="91">
        <v>815</v>
      </c>
    </row>
    <row r="1413" spans="1:6">
      <c r="A1413" s="91" t="s">
        <v>1333</v>
      </c>
      <c r="B1413" s="91" t="s">
        <v>1664</v>
      </c>
      <c r="C1413" s="91" t="s">
        <v>1525</v>
      </c>
      <c r="D1413" s="91" t="str">
        <f t="shared" si="24"/>
        <v>Nsambya</v>
      </c>
      <c r="F1413" s="91">
        <v>816</v>
      </c>
    </row>
    <row r="1414" spans="1:6">
      <c r="A1414" s="91" t="s">
        <v>1693</v>
      </c>
      <c r="B1414" s="91" t="s">
        <v>1664</v>
      </c>
      <c r="C1414" s="91" t="s">
        <v>1525</v>
      </c>
      <c r="D1414" s="91" t="str">
        <f t="shared" si="24"/>
        <v>Ntwetwe</v>
      </c>
      <c r="F1414" s="91">
        <v>817</v>
      </c>
    </row>
    <row r="1415" spans="1:6">
      <c r="A1415" s="91" t="s">
        <v>1694</v>
      </c>
      <c r="B1415" s="91" t="s">
        <v>1664</v>
      </c>
      <c r="C1415" s="91" t="s">
        <v>1525</v>
      </c>
      <c r="D1415" s="91" t="str">
        <f t="shared" si="24"/>
        <v>Ntwetwe Town Council</v>
      </c>
      <c r="F1415" s="91">
        <v>818</v>
      </c>
    </row>
    <row r="1416" spans="1:6">
      <c r="A1416" s="91" t="s">
        <v>1695</v>
      </c>
      <c r="B1416" s="91" t="s">
        <v>1664</v>
      </c>
      <c r="C1416" s="91" t="s">
        <v>1525</v>
      </c>
      <c r="D1416" s="91" t="str">
        <f t="shared" si="24"/>
        <v>Wattuba</v>
      </c>
      <c r="F1416" s="91">
        <v>819</v>
      </c>
    </row>
    <row r="1417" spans="1:6">
      <c r="A1417" s="91" t="s">
        <v>1696</v>
      </c>
      <c r="B1417" s="91" t="s">
        <v>1697</v>
      </c>
      <c r="C1417" s="91" t="s">
        <v>1698</v>
      </c>
      <c r="D1417" s="91" t="str">
        <f t="shared" si="24"/>
        <v>Hapuuyo</v>
      </c>
      <c r="F1417" s="91">
        <v>820</v>
      </c>
    </row>
    <row r="1418" spans="1:6">
      <c r="A1418" s="91" t="s">
        <v>1699</v>
      </c>
      <c r="B1418" s="91" t="s">
        <v>1697</v>
      </c>
      <c r="C1418" s="91" t="s">
        <v>1698</v>
      </c>
      <c r="D1418" s="91" t="str">
        <f t="shared" si="24"/>
        <v>Kabweza Kyegegwa</v>
      </c>
      <c r="F1418" s="91">
        <v>821</v>
      </c>
    </row>
    <row r="1419" spans="1:6">
      <c r="A1419" s="91" t="s">
        <v>1700</v>
      </c>
      <c r="B1419" s="91" t="s">
        <v>1697</v>
      </c>
      <c r="C1419" s="91" t="s">
        <v>1698</v>
      </c>
      <c r="D1419" s="91" t="str">
        <f t="shared" si="24"/>
        <v>Kakabara</v>
      </c>
      <c r="F1419" s="91">
        <v>822</v>
      </c>
    </row>
    <row r="1420" spans="1:6">
      <c r="A1420" s="91" t="s">
        <v>1701</v>
      </c>
      <c r="B1420" s="91" t="s">
        <v>1697</v>
      </c>
      <c r="C1420" s="91" t="s">
        <v>1698</v>
      </c>
      <c r="D1420" s="91" t="str">
        <f t="shared" si="24"/>
        <v>Kasule</v>
      </c>
      <c r="F1420" s="91">
        <v>823</v>
      </c>
    </row>
    <row r="1421" spans="1:6">
      <c r="A1421" s="91" t="s">
        <v>1702</v>
      </c>
      <c r="B1421" s="91" t="s">
        <v>1697</v>
      </c>
      <c r="C1421" s="91" t="s">
        <v>1698</v>
      </c>
      <c r="D1421" s="91" t="str">
        <f t="shared" si="24"/>
        <v>Kyaka Ii Refugee Camp</v>
      </c>
      <c r="F1421" s="91">
        <v>824</v>
      </c>
    </row>
    <row r="1422" spans="1:6">
      <c r="A1422" s="91" t="s">
        <v>1703</v>
      </c>
      <c r="B1422" s="91" t="s">
        <v>1697</v>
      </c>
      <c r="C1422" s="91" t="s">
        <v>1698</v>
      </c>
      <c r="D1422" s="91" t="str">
        <f t="shared" si="24"/>
        <v>Kyegegwa Town Council</v>
      </c>
      <c r="F1422" s="91">
        <v>825</v>
      </c>
    </row>
    <row r="1423" spans="1:6">
      <c r="A1423" s="91" t="s">
        <v>1704</v>
      </c>
      <c r="D1423" s="91" t="str">
        <f t="shared" si="24"/>
        <v>KYEGEGWA</v>
      </c>
      <c r="F1423" s="91">
        <v>825</v>
      </c>
    </row>
    <row r="1424" spans="1:6">
      <c r="A1424" s="91" t="s">
        <v>1705</v>
      </c>
      <c r="B1424" s="91" t="s">
        <v>1697</v>
      </c>
      <c r="C1424" s="91" t="s">
        <v>1698</v>
      </c>
      <c r="D1424" s="91" t="str">
        <f t="shared" si="24"/>
        <v>Mpara</v>
      </c>
      <c r="F1424" s="91">
        <v>826</v>
      </c>
    </row>
    <row r="1425" spans="1:6">
      <c r="A1425" s="91" t="s">
        <v>1706</v>
      </c>
      <c r="B1425" s="91" t="s">
        <v>1697</v>
      </c>
      <c r="C1425" s="91" t="s">
        <v>1698</v>
      </c>
      <c r="D1425" s="91" t="str">
        <f t="shared" si="24"/>
        <v>Ruyonza</v>
      </c>
      <c r="F1425" s="91">
        <v>827</v>
      </c>
    </row>
    <row r="1426" spans="1:6">
      <c r="A1426" s="91" t="s">
        <v>1707</v>
      </c>
      <c r="B1426" s="91" t="s">
        <v>1697</v>
      </c>
      <c r="C1426" s="91" t="s">
        <v>1698</v>
      </c>
      <c r="D1426" s="91" t="str">
        <f t="shared" si="24"/>
        <v>Rwentuha</v>
      </c>
      <c r="F1426" s="91">
        <v>828</v>
      </c>
    </row>
    <row r="1427" spans="1:6">
      <c r="A1427" s="91" t="s">
        <v>1708</v>
      </c>
      <c r="B1427" s="91" t="s">
        <v>1709</v>
      </c>
      <c r="C1427" s="91" t="s">
        <v>1710</v>
      </c>
      <c r="D1427" s="91" t="str">
        <f t="shared" si="24"/>
        <v>Bufunjo</v>
      </c>
      <c r="F1427" s="91">
        <v>829</v>
      </c>
    </row>
    <row r="1428" spans="1:6">
      <c r="A1428" s="91" t="s">
        <v>1711</v>
      </c>
      <c r="D1428" s="91" t="str">
        <f t="shared" si="24"/>
        <v>Bitoma</v>
      </c>
      <c r="F1428" s="91">
        <v>829</v>
      </c>
    </row>
    <row r="1429" spans="1:6">
      <c r="A1429" s="91" t="s">
        <v>1712</v>
      </c>
      <c r="B1429" s="91" t="s">
        <v>1709</v>
      </c>
      <c r="C1429" s="91" t="s">
        <v>1710</v>
      </c>
      <c r="D1429" s="91" t="str">
        <f t="shared" si="24"/>
        <v>Bugaaki</v>
      </c>
      <c r="F1429" s="91">
        <v>830</v>
      </c>
    </row>
    <row r="1430" spans="1:6">
      <c r="A1430" s="91" t="s">
        <v>1713</v>
      </c>
      <c r="B1430" s="91" t="s">
        <v>1709</v>
      </c>
      <c r="C1430" s="91" t="s">
        <v>1710</v>
      </c>
      <c r="D1430" s="91" t="str">
        <f t="shared" si="24"/>
        <v>Butiiti</v>
      </c>
      <c r="F1430" s="91">
        <v>831</v>
      </c>
    </row>
    <row r="1431" spans="1:6">
      <c r="A1431" s="91" t="s">
        <v>1714</v>
      </c>
      <c r="B1431" s="91" t="s">
        <v>1709</v>
      </c>
      <c r="C1431" s="91" t="s">
        <v>1710</v>
      </c>
      <c r="D1431" s="91" t="str">
        <f t="shared" si="24"/>
        <v>Butunduzi</v>
      </c>
      <c r="F1431" s="91">
        <v>832</v>
      </c>
    </row>
    <row r="1432" spans="1:6">
      <c r="A1432" s="91" t="s">
        <v>1715</v>
      </c>
      <c r="B1432" s="91" t="s">
        <v>1709</v>
      </c>
      <c r="C1432" s="91" t="s">
        <v>1710</v>
      </c>
      <c r="D1432" s="91" t="str">
        <f t="shared" si="24"/>
        <v>Butunduzi Town Council</v>
      </c>
      <c r="F1432" s="91">
        <v>833</v>
      </c>
    </row>
    <row r="1433" spans="1:6">
      <c r="A1433" s="91" t="s">
        <v>1716</v>
      </c>
      <c r="B1433" s="91" t="s">
        <v>1709</v>
      </c>
      <c r="C1433" s="91" t="s">
        <v>1710</v>
      </c>
      <c r="D1433" s="91" t="str">
        <f t="shared" si="24"/>
        <v>Katooke</v>
      </c>
      <c r="F1433" s="91">
        <v>834</v>
      </c>
    </row>
    <row r="1434" spans="1:6">
      <c r="A1434" s="91" t="s">
        <v>1717</v>
      </c>
      <c r="B1434" s="91" t="s">
        <v>1709</v>
      </c>
      <c r="C1434" s="91" t="s">
        <v>1710</v>
      </c>
      <c r="D1434" s="91" t="str">
        <f t="shared" si="24"/>
        <v>Katooke Town Council</v>
      </c>
      <c r="F1434" s="91">
        <v>835</v>
      </c>
    </row>
    <row r="1435" spans="1:6">
      <c r="A1435" s="91" t="s">
        <v>1718</v>
      </c>
      <c r="B1435" s="91" t="s">
        <v>1709</v>
      </c>
      <c r="C1435" s="91" t="s">
        <v>1710</v>
      </c>
      <c r="D1435" s="91" t="str">
        <f t="shared" si="24"/>
        <v>Kigaraale</v>
      </c>
      <c r="F1435" s="91">
        <v>836</v>
      </c>
    </row>
    <row r="1436" spans="1:6">
      <c r="A1436" s="91" t="s">
        <v>1719</v>
      </c>
      <c r="B1436" s="91" t="s">
        <v>1709</v>
      </c>
      <c r="C1436" s="91" t="s">
        <v>1710</v>
      </c>
      <c r="D1436" s="91" t="str">
        <f t="shared" si="24"/>
        <v>Kihuura</v>
      </c>
      <c r="F1436" s="91">
        <v>837</v>
      </c>
    </row>
    <row r="1437" spans="1:6">
      <c r="A1437" s="91" t="s">
        <v>1720</v>
      </c>
      <c r="B1437" s="91" t="s">
        <v>1709</v>
      </c>
      <c r="C1437" s="91" t="s">
        <v>1710</v>
      </c>
      <c r="D1437" s="91" t="str">
        <f t="shared" si="24"/>
        <v>Kisojo</v>
      </c>
      <c r="F1437" s="91">
        <v>838</v>
      </c>
    </row>
    <row r="1438" spans="1:6">
      <c r="A1438" s="91" t="s">
        <v>1721</v>
      </c>
      <c r="B1438" s="91" t="s">
        <v>1709</v>
      </c>
      <c r="C1438" s="91" t="s">
        <v>1710</v>
      </c>
      <c r="D1438" s="91" t="str">
        <f t="shared" si="24"/>
        <v>Kyarusozi</v>
      </c>
      <c r="F1438" s="91">
        <v>839</v>
      </c>
    </row>
    <row r="1439" spans="1:6">
      <c r="A1439" s="91" t="s">
        <v>1722</v>
      </c>
      <c r="B1439" s="91" t="s">
        <v>1709</v>
      </c>
      <c r="C1439" s="91" t="s">
        <v>1710</v>
      </c>
      <c r="D1439" s="91" t="str">
        <f t="shared" si="24"/>
        <v>Kyarusozi Town Council</v>
      </c>
      <c r="F1439" s="91">
        <v>840</v>
      </c>
    </row>
    <row r="1440" spans="1:6">
      <c r="A1440" s="91" t="s">
        <v>1723</v>
      </c>
      <c r="B1440" s="91" t="s">
        <v>1709</v>
      </c>
      <c r="C1440" s="91" t="s">
        <v>1710</v>
      </c>
      <c r="D1440" s="91" t="str">
        <f t="shared" si="24"/>
        <v>Kyenjojo Town Council</v>
      </c>
      <c r="F1440" s="91">
        <v>841</v>
      </c>
    </row>
    <row r="1441" spans="1:6">
      <c r="A1441" s="91" t="s">
        <v>1724</v>
      </c>
      <c r="D1441" s="91" t="str">
        <f t="shared" si="24"/>
        <v>KYENJOJO</v>
      </c>
      <c r="F1441" s="91">
        <v>841</v>
      </c>
    </row>
    <row r="1442" spans="1:6">
      <c r="A1442" s="91" t="s">
        <v>1725</v>
      </c>
      <c r="B1442" s="91" t="s">
        <v>1709</v>
      </c>
      <c r="C1442" s="91" t="s">
        <v>1710</v>
      </c>
      <c r="D1442" s="91" t="str">
        <f t="shared" si="24"/>
        <v>Nyabuharwa</v>
      </c>
      <c r="F1442" s="91">
        <v>842</v>
      </c>
    </row>
    <row r="1443" spans="1:6">
      <c r="A1443" s="91" t="s">
        <v>1726</v>
      </c>
      <c r="B1443" s="91" t="s">
        <v>1709</v>
      </c>
      <c r="C1443" s="91" t="s">
        <v>1710</v>
      </c>
      <c r="D1443" s="91" t="str">
        <f t="shared" si="24"/>
        <v>Nyankwanzi</v>
      </c>
      <c r="F1443" s="91">
        <v>843</v>
      </c>
    </row>
    <row r="1444" spans="1:6">
      <c r="A1444" s="91" t="s">
        <v>1727</v>
      </c>
      <c r="B1444" s="91" t="s">
        <v>1709</v>
      </c>
      <c r="C1444" s="91" t="s">
        <v>1710</v>
      </c>
      <c r="D1444" s="91" t="str">
        <f t="shared" si="24"/>
        <v>Nyantungo</v>
      </c>
      <c r="F1444" s="91">
        <v>844</v>
      </c>
    </row>
    <row r="1445" spans="1:6">
      <c r="A1445" s="91" t="s">
        <v>1728</v>
      </c>
      <c r="B1445" s="91" t="s">
        <v>1729</v>
      </c>
      <c r="C1445" s="91" t="s">
        <v>1729</v>
      </c>
      <c r="D1445" s="91" t="str">
        <f t="shared" si="24"/>
        <v>Kabira</v>
      </c>
      <c r="F1445" s="91">
        <v>845</v>
      </c>
    </row>
    <row r="1446" spans="1:6">
      <c r="A1446" s="91" t="s">
        <v>1730</v>
      </c>
      <c r="B1446" s="91" t="s">
        <v>1729</v>
      </c>
      <c r="C1446" s="91" t="s">
        <v>1729</v>
      </c>
      <c r="D1446" s="91" t="str">
        <f t="shared" si="24"/>
        <v>Kalisizo</v>
      </c>
      <c r="F1446" s="91">
        <v>846</v>
      </c>
    </row>
    <row r="1447" spans="1:6">
      <c r="A1447" s="91" t="s">
        <v>1731</v>
      </c>
      <c r="B1447" s="91" t="s">
        <v>1729</v>
      </c>
      <c r="C1447" s="91" t="s">
        <v>1729</v>
      </c>
      <c r="D1447" s="91" t="str">
        <f t="shared" si="24"/>
        <v>Kalisizo Town Council</v>
      </c>
      <c r="F1447" s="91">
        <v>847</v>
      </c>
    </row>
    <row r="1448" spans="1:6">
      <c r="A1448" s="91" t="s">
        <v>1732</v>
      </c>
      <c r="B1448" s="91" t="s">
        <v>1729</v>
      </c>
      <c r="C1448" s="91" t="s">
        <v>1733</v>
      </c>
      <c r="D1448" s="91" t="str">
        <f t="shared" si="24"/>
        <v>Kasasa</v>
      </c>
      <c r="F1448" s="91">
        <v>848</v>
      </c>
    </row>
    <row r="1449" spans="1:6">
      <c r="A1449" s="91" t="s">
        <v>1582</v>
      </c>
      <c r="B1449" s="91" t="s">
        <v>1729</v>
      </c>
      <c r="C1449" s="91" t="s">
        <v>1733</v>
      </c>
      <c r="D1449" s="91" t="str">
        <f t="shared" si="24"/>
        <v>Kibanda</v>
      </c>
      <c r="F1449" s="91">
        <v>849</v>
      </c>
    </row>
    <row r="1450" spans="1:6">
      <c r="A1450" s="91" t="s">
        <v>1734</v>
      </c>
      <c r="B1450" s="91" t="s">
        <v>1729</v>
      </c>
      <c r="C1450" s="91" t="s">
        <v>1729</v>
      </c>
      <c r="D1450" s="91" t="str">
        <f t="shared" si="24"/>
        <v>Kirumba</v>
      </c>
      <c r="F1450" s="91">
        <v>850</v>
      </c>
    </row>
    <row r="1451" spans="1:6">
      <c r="A1451" s="91" t="s">
        <v>1735</v>
      </c>
      <c r="D1451" s="91" t="str">
        <f t="shared" si="24"/>
        <v>KIRUMBA</v>
      </c>
      <c r="F1451" s="91">
        <v>850</v>
      </c>
    </row>
    <row r="1452" spans="1:6">
      <c r="A1452" s="91" t="s">
        <v>1736</v>
      </c>
      <c r="B1452" s="91" t="s">
        <v>1729</v>
      </c>
      <c r="C1452" s="91" t="s">
        <v>1733</v>
      </c>
      <c r="D1452" s="91" t="str">
        <f t="shared" si="24"/>
        <v>Kyebe</v>
      </c>
      <c r="F1452" s="91">
        <v>851</v>
      </c>
    </row>
    <row r="1453" spans="1:6">
      <c r="A1453" s="91" t="s">
        <v>1737</v>
      </c>
      <c r="B1453" s="91" t="s">
        <v>1729</v>
      </c>
      <c r="C1453" s="91" t="s">
        <v>1729</v>
      </c>
      <c r="D1453" s="91" t="str">
        <f t="shared" si="24"/>
        <v>Kyotera Town Council</v>
      </c>
      <c r="F1453" s="91">
        <v>852</v>
      </c>
    </row>
    <row r="1454" spans="1:6">
      <c r="A1454" s="91" t="s">
        <v>1738</v>
      </c>
      <c r="D1454" s="91" t="str">
        <f t="shared" si="24"/>
        <v xml:space="preserve">KYOTERA </v>
      </c>
      <c r="F1454" s="91">
        <v>852</v>
      </c>
    </row>
    <row r="1455" spans="1:6">
      <c r="A1455" s="91" t="s">
        <v>1739</v>
      </c>
      <c r="D1455" s="91" t="str">
        <f t="shared" si="24"/>
        <v>KYOTERA</v>
      </c>
      <c r="F1455" s="91">
        <v>852</v>
      </c>
    </row>
    <row r="1456" spans="1:6">
      <c r="A1456" s="91" t="s">
        <v>1740</v>
      </c>
      <c r="B1456" s="91" t="s">
        <v>1729</v>
      </c>
      <c r="C1456" s="91" t="s">
        <v>1729</v>
      </c>
      <c r="D1456" s="91" t="str">
        <f t="shared" si="24"/>
        <v>Lwankoni</v>
      </c>
      <c r="F1456" s="91">
        <v>853</v>
      </c>
    </row>
    <row r="1457" spans="1:6">
      <c r="A1457" s="91" t="s">
        <v>1741</v>
      </c>
      <c r="B1457" s="91" t="s">
        <v>1729</v>
      </c>
      <c r="C1457" s="91" t="s">
        <v>1729</v>
      </c>
      <c r="D1457" s="91" t="str">
        <f t="shared" si="24"/>
        <v>Nabigasa</v>
      </c>
      <c r="F1457" s="91">
        <v>854</v>
      </c>
    </row>
    <row r="1458" spans="1:6">
      <c r="A1458" s="91" t="s">
        <v>1742</v>
      </c>
      <c r="B1458" s="91" t="s">
        <v>222</v>
      </c>
      <c r="C1458" s="91" t="s">
        <v>222</v>
      </c>
      <c r="D1458" s="91" t="str">
        <f t="shared" si="24"/>
        <v>Agoro</v>
      </c>
      <c r="F1458" s="91">
        <v>855</v>
      </c>
    </row>
    <row r="1459" spans="1:6">
      <c r="A1459" s="91" t="s">
        <v>1743</v>
      </c>
      <c r="B1459" s="91" t="s">
        <v>222</v>
      </c>
      <c r="C1459" s="91" t="s">
        <v>222</v>
      </c>
      <c r="D1459" s="91" t="str">
        <f t="shared" si="24"/>
        <v>Lamwo Town Council</v>
      </c>
      <c r="F1459" s="91">
        <v>856</v>
      </c>
    </row>
    <row r="1460" spans="1:6">
      <c r="A1460" s="91" t="s">
        <v>1744</v>
      </c>
      <c r="B1460" s="91" t="s">
        <v>222</v>
      </c>
      <c r="C1460" s="91" t="s">
        <v>222</v>
      </c>
      <c r="D1460" s="91" t="str">
        <f t="shared" si="24"/>
        <v>Lokung</v>
      </c>
      <c r="F1460" s="91">
        <v>857</v>
      </c>
    </row>
    <row r="1461" spans="1:6">
      <c r="A1461" s="91" t="s">
        <v>1745</v>
      </c>
      <c r="B1461" s="91" t="s">
        <v>222</v>
      </c>
      <c r="C1461" s="91" t="s">
        <v>222</v>
      </c>
      <c r="D1461" s="91" t="str">
        <f t="shared" si="24"/>
        <v>Madi Opei</v>
      </c>
      <c r="F1461" s="91">
        <v>858</v>
      </c>
    </row>
    <row r="1462" spans="1:6">
      <c r="A1462" s="91" t="s">
        <v>1746</v>
      </c>
      <c r="B1462" s="91" t="s">
        <v>222</v>
      </c>
      <c r="C1462" s="91" t="s">
        <v>222</v>
      </c>
      <c r="D1462" s="91" t="str">
        <f t="shared" si="24"/>
        <v>Padibe</v>
      </c>
      <c r="F1462" s="91">
        <v>859</v>
      </c>
    </row>
    <row r="1463" spans="1:6">
      <c r="A1463" s="91" t="s">
        <v>1747</v>
      </c>
      <c r="B1463" s="91" t="s">
        <v>222</v>
      </c>
      <c r="C1463" s="91" t="s">
        <v>222</v>
      </c>
      <c r="D1463" s="91" t="str">
        <f t="shared" si="24"/>
        <v>Palabek</v>
      </c>
      <c r="F1463" s="91">
        <v>860</v>
      </c>
    </row>
    <row r="1464" spans="1:6">
      <c r="A1464" s="91" t="s">
        <v>221</v>
      </c>
      <c r="D1464" s="91" t="str">
        <f t="shared" si="24"/>
        <v>Parra Bek</v>
      </c>
      <c r="F1464" s="91">
        <v>860</v>
      </c>
    </row>
    <row r="1465" spans="1:6">
      <c r="A1465" s="91" t="s">
        <v>1748</v>
      </c>
      <c r="B1465" s="91" t="s">
        <v>222</v>
      </c>
      <c r="C1465" s="91" t="s">
        <v>222</v>
      </c>
      <c r="D1465" s="91" t="str">
        <f t="shared" si="24"/>
        <v>Paloga</v>
      </c>
      <c r="F1465" s="91">
        <v>861</v>
      </c>
    </row>
    <row r="1466" spans="1:6">
      <c r="A1466" s="91" t="s">
        <v>1749</v>
      </c>
      <c r="B1466" s="91" t="s">
        <v>213</v>
      </c>
      <c r="C1466" s="91" t="s">
        <v>1750</v>
      </c>
      <c r="D1466" s="91" t="str">
        <f t="shared" si="24"/>
        <v>Adekokwok</v>
      </c>
      <c r="F1466" s="91">
        <v>862</v>
      </c>
    </row>
    <row r="1467" spans="1:6">
      <c r="A1467" s="91" t="s">
        <v>1751</v>
      </c>
      <c r="B1467" s="91" t="s">
        <v>213</v>
      </c>
      <c r="C1467" s="91" t="s">
        <v>1750</v>
      </c>
      <c r="D1467" s="91" t="str">
        <f t="shared" si="24"/>
        <v>Agali</v>
      </c>
      <c r="F1467" s="91">
        <v>863</v>
      </c>
    </row>
    <row r="1468" spans="1:6">
      <c r="A1468" s="91" t="s">
        <v>1752</v>
      </c>
      <c r="B1468" s="91" t="s">
        <v>213</v>
      </c>
      <c r="C1468" s="91" t="s">
        <v>1750</v>
      </c>
      <c r="D1468" s="91" t="str">
        <f t="shared" si="24"/>
        <v>Agweng</v>
      </c>
      <c r="F1468" s="91">
        <v>864</v>
      </c>
    </row>
    <row r="1469" spans="1:6">
      <c r="A1469" s="91" t="s">
        <v>1753</v>
      </c>
      <c r="B1469" s="91" t="s">
        <v>213</v>
      </c>
      <c r="C1469" s="91" t="s">
        <v>1750</v>
      </c>
      <c r="D1469" s="91" t="str">
        <f t="shared" si="24"/>
        <v>Amach</v>
      </c>
      <c r="F1469" s="91">
        <v>865</v>
      </c>
    </row>
    <row r="1470" spans="1:6">
      <c r="A1470" s="91" t="s">
        <v>1754</v>
      </c>
      <c r="B1470" s="91" t="s">
        <v>213</v>
      </c>
      <c r="C1470" s="91" t="s">
        <v>1750</v>
      </c>
      <c r="D1470" s="91" t="str">
        <f t="shared" si="24"/>
        <v>Aromo</v>
      </c>
      <c r="F1470" s="91">
        <v>866</v>
      </c>
    </row>
    <row r="1471" spans="1:6">
      <c r="A1471" s="91" t="s">
        <v>1755</v>
      </c>
      <c r="B1471" s="91" t="s">
        <v>213</v>
      </c>
      <c r="C1471" s="91" t="s">
        <v>1750</v>
      </c>
      <c r="D1471" s="91" t="str">
        <f t="shared" si="24"/>
        <v>Barr</v>
      </c>
      <c r="F1471" s="91">
        <v>867</v>
      </c>
    </row>
    <row r="1472" spans="1:6">
      <c r="A1472" s="91" t="s">
        <v>213</v>
      </c>
      <c r="B1472" s="91" t="s">
        <v>213</v>
      </c>
      <c r="C1472" s="91" t="s">
        <v>1750</v>
      </c>
      <c r="D1472" s="91" t="str">
        <f t="shared" si="24"/>
        <v>Lira</v>
      </c>
      <c r="F1472" s="91">
        <v>868</v>
      </c>
    </row>
    <row r="1473" spans="1:6">
      <c r="A1473" s="91" t="s">
        <v>1756</v>
      </c>
      <c r="B1473" s="91" t="s">
        <v>213</v>
      </c>
      <c r="C1473" s="91" t="s">
        <v>1756</v>
      </c>
      <c r="D1473" s="91" t="str">
        <f t="shared" si="24"/>
        <v>Lira Municipality</v>
      </c>
      <c r="F1473" s="91">
        <v>869</v>
      </c>
    </row>
    <row r="1474" spans="1:6">
      <c r="A1474" s="91" t="s">
        <v>1757</v>
      </c>
      <c r="B1474" s="91" t="s">
        <v>213</v>
      </c>
      <c r="C1474" s="91" t="s">
        <v>1750</v>
      </c>
      <c r="D1474" s="91" t="str">
        <f t="shared" si="24"/>
        <v>Ngetta</v>
      </c>
      <c r="F1474" s="91">
        <v>870</v>
      </c>
    </row>
    <row r="1475" spans="1:6">
      <c r="A1475" s="91" t="s">
        <v>1758</v>
      </c>
      <c r="B1475" s="91" t="s">
        <v>213</v>
      </c>
      <c r="C1475" s="91" t="s">
        <v>1750</v>
      </c>
      <c r="D1475" s="91" t="str">
        <f t="shared" ref="D1475:D1538" si="25">A1475</f>
        <v>Ogur</v>
      </c>
      <c r="F1475" s="91">
        <v>871</v>
      </c>
    </row>
    <row r="1476" spans="1:6">
      <c r="A1476" s="91" t="s">
        <v>715</v>
      </c>
      <c r="B1476" s="91" t="s">
        <v>1759</v>
      </c>
      <c r="C1476" s="91" t="s">
        <v>1759</v>
      </c>
      <c r="D1476" s="91" t="str">
        <f t="shared" si="25"/>
        <v>Bukanga</v>
      </c>
      <c r="F1476" s="91">
        <v>872</v>
      </c>
    </row>
    <row r="1477" spans="1:6">
      <c r="A1477" s="91" t="s">
        <v>1760</v>
      </c>
      <c r="B1477" s="91" t="s">
        <v>1759</v>
      </c>
      <c r="C1477" s="91" t="s">
        <v>1759</v>
      </c>
      <c r="D1477" s="91" t="str">
        <f t="shared" si="25"/>
        <v>Bukooma</v>
      </c>
      <c r="F1477" s="91">
        <v>873</v>
      </c>
    </row>
    <row r="1478" spans="1:6">
      <c r="A1478" s="91" t="s">
        <v>1761</v>
      </c>
      <c r="B1478" s="91" t="s">
        <v>1759</v>
      </c>
      <c r="C1478" s="91" t="s">
        <v>1759</v>
      </c>
      <c r="D1478" s="91" t="str">
        <f t="shared" si="25"/>
        <v>Bulongo</v>
      </c>
      <c r="F1478" s="91">
        <v>874</v>
      </c>
    </row>
    <row r="1479" spans="1:6">
      <c r="A1479" s="91" t="s">
        <v>1762</v>
      </c>
      <c r="B1479" s="91" t="s">
        <v>1759</v>
      </c>
      <c r="C1479" s="91" t="s">
        <v>1759</v>
      </c>
      <c r="D1479" s="91" t="str">
        <f t="shared" si="25"/>
        <v>Ikumbya</v>
      </c>
      <c r="F1479" s="91">
        <v>875</v>
      </c>
    </row>
    <row r="1480" spans="1:6">
      <c r="A1480" s="91" t="s">
        <v>1763</v>
      </c>
      <c r="B1480" s="91" t="s">
        <v>1759</v>
      </c>
      <c r="C1480" s="91" t="s">
        <v>1759</v>
      </c>
      <c r="D1480" s="91" t="str">
        <f t="shared" si="25"/>
        <v>Irongo</v>
      </c>
      <c r="F1480" s="91">
        <v>876</v>
      </c>
    </row>
    <row r="1481" spans="1:6">
      <c r="A1481" s="91" t="s">
        <v>1764</v>
      </c>
      <c r="B1481" s="91" t="s">
        <v>1759</v>
      </c>
      <c r="C1481" s="91" t="s">
        <v>1759</v>
      </c>
      <c r="D1481" s="91" t="str">
        <f t="shared" si="25"/>
        <v>Luuka Town Council</v>
      </c>
      <c r="F1481" s="91">
        <v>877</v>
      </c>
    </row>
    <row r="1482" spans="1:6">
      <c r="A1482" s="91" t="s">
        <v>1765</v>
      </c>
      <c r="B1482" s="91" t="s">
        <v>1759</v>
      </c>
      <c r="C1482" s="91" t="s">
        <v>1759</v>
      </c>
      <c r="D1482" s="91" t="str">
        <f t="shared" si="25"/>
        <v>Nawampiti</v>
      </c>
      <c r="F1482" s="91">
        <v>878</v>
      </c>
    </row>
    <row r="1483" spans="1:6">
      <c r="A1483" s="91" t="s">
        <v>1766</v>
      </c>
      <c r="B1483" s="91" t="s">
        <v>1759</v>
      </c>
      <c r="C1483" s="91" t="s">
        <v>1759</v>
      </c>
      <c r="D1483" s="91" t="str">
        <f t="shared" si="25"/>
        <v>Waibuga</v>
      </c>
      <c r="F1483" s="91">
        <v>879</v>
      </c>
    </row>
    <row r="1484" spans="1:6">
      <c r="A1484" s="91" t="s">
        <v>1767</v>
      </c>
      <c r="B1484" s="91" t="s">
        <v>1768</v>
      </c>
      <c r="C1484" s="91" t="s">
        <v>1767</v>
      </c>
      <c r="D1484" s="91" t="str">
        <f t="shared" si="25"/>
        <v>Bamunanika</v>
      </c>
      <c r="F1484" s="91">
        <v>880</v>
      </c>
    </row>
    <row r="1485" spans="1:6">
      <c r="A1485" s="91" t="s">
        <v>1769</v>
      </c>
      <c r="B1485" s="91" t="s">
        <v>1768</v>
      </c>
      <c r="C1485" s="91" t="s">
        <v>1770</v>
      </c>
      <c r="D1485" s="91" t="str">
        <f t="shared" si="25"/>
        <v>Bombo Town Council</v>
      </c>
      <c r="F1485" s="91">
        <v>881</v>
      </c>
    </row>
    <row r="1486" spans="1:6">
      <c r="A1486" s="91" t="s">
        <v>1771</v>
      </c>
      <c r="D1486" s="91" t="str">
        <f t="shared" si="25"/>
        <v>Bombo</v>
      </c>
      <c r="F1486" s="91">
        <v>881</v>
      </c>
    </row>
    <row r="1487" spans="1:6">
      <c r="A1487" s="91" t="s">
        <v>1772</v>
      </c>
      <c r="D1487" s="91" t="str">
        <f t="shared" si="25"/>
        <v>Bombo barax</v>
      </c>
      <c r="F1487" s="91">
        <v>881</v>
      </c>
    </row>
    <row r="1488" spans="1:6">
      <c r="A1488" s="91" t="s">
        <v>1773</v>
      </c>
      <c r="D1488" s="91" t="str">
        <f t="shared" si="25"/>
        <v>NAKWAYA</v>
      </c>
      <c r="F1488" s="91">
        <v>881</v>
      </c>
    </row>
    <row r="1489" spans="1:6">
      <c r="A1489" s="91" t="s">
        <v>1774</v>
      </c>
      <c r="B1489" s="91" t="s">
        <v>1768</v>
      </c>
      <c r="C1489" s="91" t="s">
        <v>1770</v>
      </c>
      <c r="D1489" s="91" t="str">
        <f t="shared" si="25"/>
        <v>Butuntumula</v>
      </c>
      <c r="F1489" s="91">
        <v>882</v>
      </c>
    </row>
    <row r="1490" spans="1:6">
      <c r="A1490" s="91" t="s">
        <v>1775</v>
      </c>
      <c r="D1490" s="91" t="str">
        <f t="shared" si="25"/>
        <v>Kiwoko</v>
      </c>
      <c r="F1490" s="91">
        <v>882</v>
      </c>
    </row>
    <row r="1491" spans="1:6">
      <c r="A1491" s="91" t="s">
        <v>1776</v>
      </c>
      <c r="B1491" s="91" t="s">
        <v>1768</v>
      </c>
      <c r="C1491" s="91" t="s">
        <v>1767</v>
      </c>
      <c r="D1491" s="91" t="str">
        <f t="shared" si="25"/>
        <v>Kalagala</v>
      </c>
      <c r="F1491" s="91">
        <v>883</v>
      </c>
    </row>
    <row r="1492" spans="1:6">
      <c r="A1492" s="91" t="s">
        <v>1777</v>
      </c>
      <c r="D1492" s="91" t="str">
        <f t="shared" si="25"/>
        <v>Vvumba</v>
      </c>
      <c r="F1492" s="91">
        <v>883</v>
      </c>
    </row>
    <row r="1493" spans="1:6">
      <c r="A1493" s="91" t="s">
        <v>1778</v>
      </c>
      <c r="D1493" s="91" t="str">
        <f t="shared" si="25"/>
        <v>Vumba</v>
      </c>
      <c r="F1493" s="91">
        <v>883</v>
      </c>
    </row>
    <row r="1494" spans="1:6">
      <c r="A1494" s="91" t="s">
        <v>1779</v>
      </c>
      <c r="B1494" s="91" t="s">
        <v>1768</v>
      </c>
      <c r="C1494" s="91" t="s">
        <v>1767</v>
      </c>
      <c r="D1494" s="91" t="str">
        <f t="shared" si="25"/>
        <v>Kamira</v>
      </c>
      <c r="F1494" s="91">
        <v>884</v>
      </c>
    </row>
    <row r="1495" spans="1:6">
      <c r="A1495" s="91" t="s">
        <v>1770</v>
      </c>
      <c r="B1495" s="91" t="s">
        <v>1768</v>
      </c>
      <c r="C1495" s="91" t="s">
        <v>1770</v>
      </c>
      <c r="D1495" s="91" t="str">
        <f t="shared" si="25"/>
        <v>Katikamu</v>
      </c>
      <c r="F1495" s="91">
        <v>885</v>
      </c>
    </row>
    <row r="1496" spans="1:6">
      <c r="A1496" s="91" t="s">
        <v>1780</v>
      </c>
      <c r="D1496" s="91" t="str">
        <f t="shared" si="25"/>
        <v>Bukalasa</v>
      </c>
      <c r="F1496" s="91">
        <v>885</v>
      </c>
    </row>
    <row r="1497" spans="1:6">
      <c r="A1497" s="91" t="s">
        <v>1781</v>
      </c>
      <c r="B1497" s="91" t="s">
        <v>1768</v>
      </c>
      <c r="C1497" s="91" t="s">
        <v>1767</v>
      </c>
      <c r="D1497" s="91" t="str">
        <f t="shared" si="25"/>
        <v>Kikyusa</v>
      </c>
      <c r="F1497" s="91">
        <v>886</v>
      </c>
    </row>
    <row r="1498" spans="1:6">
      <c r="A1498" s="91" t="s">
        <v>1768</v>
      </c>
      <c r="B1498" s="91" t="s">
        <v>1768</v>
      </c>
      <c r="C1498" s="91" t="s">
        <v>1770</v>
      </c>
      <c r="D1498" s="91" t="str">
        <f t="shared" si="25"/>
        <v>Luwero</v>
      </c>
      <c r="F1498" s="91">
        <v>887</v>
      </c>
    </row>
    <row r="1499" spans="1:6">
      <c r="A1499" s="91" t="s">
        <v>1782</v>
      </c>
      <c r="D1499" s="91" t="str">
        <f t="shared" si="25"/>
        <v>LUWEROO</v>
      </c>
      <c r="F1499" s="91">
        <v>887</v>
      </c>
    </row>
    <row r="1500" spans="1:6">
      <c r="A1500" s="91" t="s">
        <v>1783</v>
      </c>
      <c r="D1500" s="91" t="str">
        <f t="shared" si="25"/>
        <v>LUWERO TOWN</v>
      </c>
      <c r="F1500" s="91">
        <v>887</v>
      </c>
    </row>
    <row r="1501" spans="1:6">
      <c r="A1501" s="91" t="s">
        <v>1784</v>
      </c>
      <c r="B1501" s="91" t="s">
        <v>1768</v>
      </c>
      <c r="C1501" s="91" t="s">
        <v>1770</v>
      </c>
      <c r="D1501" s="91" t="str">
        <f t="shared" si="25"/>
        <v>Luwero Town Council</v>
      </c>
      <c r="F1501" s="91">
        <v>888</v>
      </c>
    </row>
    <row r="1502" spans="1:6">
      <c r="A1502" s="91" t="s">
        <v>1785</v>
      </c>
      <c r="D1502" s="91" t="str">
        <f t="shared" si="25"/>
        <v>Kalule</v>
      </c>
      <c r="F1502" s="91">
        <v>888</v>
      </c>
    </row>
    <row r="1503" spans="1:6">
      <c r="A1503" s="91" t="s">
        <v>1786</v>
      </c>
      <c r="B1503" s="91" t="s">
        <v>1768</v>
      </c>
      <c r="C1503" s="91" t="s">
        <v>1770</v>
      </c>
      <c r="D1503" s="91" t="str">
        <f t="shared" si="25"/>
        <v>Makulubita</v>
      </c>
      <c r="F1503" s="91">
        <v>889</v>
      </c>
    </row>
    <row r="1504" spans="1:6">
      <c r="A1504" s="91" t="s">
        <v>1787</v>
      </c>
      <c r="B1504" s="91" t="s">
        <v>1768</v>
      </c>
      <c r="C1504" s="91" t="s">
        <v>1770</v>
      </c>
      <c r="D1504" s="91" t="str">
        <f t="shared" si="25"/>
        <v>Nyimbwa</v>
      </c>
      <c r="F1504" s="91">
        <v>890</v>
      </c>
    </row>
    <row r="1505" spans="1:6">
      <c r="A1505" s="91" t="s">
        <v>1788</v>
      </c>
      <c r="B1505" s="91" t="s">
        <v>1768</v>
      </c>
      <c r="C1505" s="91" t="s">
        <v>1770</v>
      </c>
      <c r="D1505" s="91" t="str">
        <f t="shared" si="25"/>
        <v>Wobulenzi Town Council</v>
      </c>
      <c r="F1505" s="91">
        <v>891</v>
      </c>
    </row>
    <row r="1506" spans="1:6">
      <c r="A1506" s="91" t="s">
        <v>1789</v>
      </c>
      <c r="D1506" s="91" t="str">
        <f t="shared" si="25"/>
        <v xml:space="preserve">Wobulenzi  </v>
      </c>
      <c r="F1506" s="91">
        <v>891</v>
      </c>
    </row>
    <row r="1507" spans="1:6">
      <c r="A1507" s="91" t="s">
        <v>1790</v>
      </c>
      <c r="D1507" s="91" t="str">
        <f t="shared" si="25"/>
        <v>Wobulenzi</v>
      </c>
      <c r="F1507" s="91">
        <v>891</v>
      </c>
    </row>
    <row r="1508" spans="1:6">
      <c r="A1508" s="91" t="s">
        <v>1791</v>
      </c>
      <c r="D1508" s="91" t="str">
        <f t="shared" si="25"/>
        <v>WOBULEZI</v>
      </c>
      <c r="F1508" s="91">
        <v>891</v>
      </c>
    </row>
    <row r="1509" spans="1:6">
      <c r="A1509" s="91" t="s">
        <v>1792</v>
      </c>
      <c r="B1509" s="91" t="s">
        <v>1768</v>
      </c>
      <c r="C1509" s="91" t="s">
        <v>1767</v>
      </c>
      <c r="D1509" s="91" t="str">
        <f t="shared" si="25"/>
        <v>Zirobwe</v>
      </c>
      <c r="F1509" s="91">
        <v>892</v>
      </c>
    </row>
    <row r="1510" spans="1:6">
      <c r="A1510" s="91" t="s">
        <v>1793</v>
      </c>
      <c r="D1510" s="91" t="str">
        <f t="shared" si="25"/>
        <v>ZIROBWA ROAD</v>
      </c>
      <c r="F1510" s="91">
        <v>892</v>
      </c>
    </row>
    <row r="1511" spans="1:6">
      <c r="A1511" s="91" t="s">
        <v>1794</v>
      </c>
      <c r="D1511" s="91" t="str">
        <f t="shared" si="25"/>
        <v>Zirobwa</v>
      </c>
      <c r="F1511" s="91">
        <v>892</v>
      </c>
    </row>
    <row r="1512" spans="1:6">
      <c r="A1512" s="91" t="s">
        <v>1795</v>
      </c>
      <c r="D1512" s="91" t="str">
        <f t="shared" si="25"/>
        <v>ZILOBWE</v>
      </c>
      <c r="F1512" s="91">
        <v>892</v>
      </c>
    </row>
    <row r="1513" spans="1:6">
      <c r="A1513" s="91" t="s">
        <v>1796</v>
      </c>
      <c r="B1513" s="91" t="s">
        <v>1797</v>
      </c>
      <c r="C1513" s="91" t="s">
        <v>23</v>
      </c>
      <c r="D1513" s="91" t="str">
        <f t="shared" si="25"/>
        <v>Kisekka</v>
      </c>
      <c r="F1513" s="91">
        <v>893</v>
      </c>
    </row>
    <row r="1514" spans="1:6">
      <c r="A1514" s="91" t="s">
        <v>1798</v>
      </c>
      <c r="B1514" s="91" t="s">
        <v>1797</v>
      </c>
      <c r="C1514" s="91" t="s">
        <v>23</v>
      </c>
      <c r="D1514" s="91" t="str">
        <f t="shared" si="25"/>
        <v>Kkingo</v>
      </c>
      <c r="F1514" s="91">
        <v>894</v>
      </c>
    </row>
    <row r="1515" spans="1:6">
      <c r="A1515" s="91" t="s">
        <v>1799</v>
      </c>
      <c r="B1515" s="91" t="s">
        <v>1797</v>
      </c>
      <c r="C1515" s="91" t="s">
        <v>23</v>
      </c>
      <c r="D1515" s="91" t="str">
        <f t="shared" si="25"/>
        <v>Kyazanga</v>
      </c>
      <c r="F1515" s="91">
        <v>895</v>
      </c>
    </row>
    <row r="1516" spans="1:6">
      <c r="A1516" s="91" t="s">
        <v>1800</v>
      </c>
      <c r="B1516" s="91" t="s">
        <v>1797</v>
      </c>
      <c r="C1516" s="91" t="s">
        <v>23</v>
      </c>
      <c r="D1516" s="91" t="str">
        <f t="shared" si="25"/>
        <v>Kyazanga Town Council</v>
      </c>
      <c r="F1516" s="91">
        <v>896</v>
      </c>
    </row>
    <row r="1517" spans="1:6">
      <c r="A1517" s="91" t="s">
        <v>1797</v>
      </c>
      <c r="B1517" s="91" t="s">
        <v>1797</v>
      </c>
      <c r="C1517" s="91" t="s">
        <v>23</v>
      </c>
      <c r="D1517" s="91" t="str">
        <f t="shared" si="25"/>
        <v>Lwengo</v>
      </c>
      <c r="F1517" s="91">
        <v>897</v>
      </c>
    </row>
    <row r="1518" spans="1:6">
      <c r="A1518" s="91" t="s">
        <v>1801</v>
      </c>
      <c r="B1518" s="91" t="s">
        <v>1797</v>
      </c>
      <c r="C1518" s="91" t="s">
        <v>23</v>
      </c>
      <c r="D1518" s="91" t="str">
        <f t="shared" si="25"/>
        <v>Lwengo Town Council</v>
      </c>
      <c r="F1518" s="91">
        <v>898</v>
      </c>
    </row>
    <row r="1519" spans="1:6">
      <c r="A1519" s="91" t="s">
        <v>1802</v>
      </c>
      <c r="B1519" s="91" t="s">
        <v>1797</v>
      </c>
      <c r="C1519" s="91" t="s">
        <v>23</v>
      </c>
      <c r="D1519" s="91" t="str">
        <f t="shared" si="25"/>
        <v>Malongo-Lwengo</v>
      </c>
      <c r="F1519" s="91">
        <v>899</v>
      </c>
    </row>
    <row r="1520" spans="1:6">
      <c r="A1520" s="91" t="s">
        <v>1803</v>
      </c>
      <c r="D1520" s="91" t="str">
        <f t="shared" si="25"/>
        <v>KOLANOLYA</v>
      </c>
      <c r="F1520" s="91">
        <v>899</v>
      </c>
    </row>
    <row r="1521" spans="1:6">
      <c r="A1521" s="91" t="s">
        <v>1804</v>
      </c>
      <c r="B1521" s="91" t="s">
        <v>1797</v>
      </c>
      <c r="C1521" s="91" t="s">
        <v>23</v>
      </c>
      <c r="D1521" s="91" t="str">
        <f t="shared" si="25"/>
        <v>Ndagwe</v>
      </c>
      <c r="F1521" s="91">
        <v>900</v>
      </c>
    </row>
    <row r="1522" spans="1:6">
      <c r="A1522" s="91" t="s">
        <v>1805</v>
      </c>
      <c r="B1522" s="91" t="s">
        <v>1806</v>
      </c>
      <c r="C1522" s="91" t="s">
        <v>1807</v>
      </c>
      <c r="D1522" s="91" t="str">
        <f t="shared" si="25"/>
        <v>Kaliiro</v>
      </c>
      <c r="F1522" s="91">
        <v>901</v>
      </c>
    </row>
    <row r="1523" spans="1:6">
      <c r="A1523" s="91" t="s">
        <v>1808</v>
      </c>
      <c r="B1523" s="91" t="s">
        <v>1806</v>
      </c>
      <c r="C1523" s="91" t="s">
        <v>1807</v>
      </c>
      <c r="D1523" s="91" t="str">
        <f t="shared" si="25"/>
        <v>Kasagama</v>
      </c>
      <c r="F1523" s="91">
        <v>902</v>
      </c>
    </row>
    <row r="1524" spans="1:6">
      <c r="A1524" s="91" t="s">
        <v>1809</v>
      </c>
      <c r="B1524" s="91" t="s">
        <v>1806</v>
      </c>
      <c r="C1524" s="91" t="s">
        <v>1807</v>
      </c>
      <c r="D1524" s="91" t="str">
        <f t="shared" si="25"/>
        <v>Kinuuka</v>
      </c>
      <c r="F1524" s="91">
        <v>903</v>
      </c>
    </row>
    <row r="1525" spans="1:6">
      <c r="A1525" s="91" t="s">
        <v>1806</v>
      </c>
      <c r="B1525" s="91" t="s">
        <v>1806</v>
      </c>
      <c r="C1525" s="91" t="s">
        <v>1807</v>
      </c>
      <c r="D1525" s="91" t="str">
        <f t="shared" si="25"/>
        <v>Lyantonde</v>
      </c>
      <c r="F1525" s="91">
        <v>904</v>
      </c>
    </row>
    <row r="1526" spans="1:6">
      <c r="A1526" s="91" t="s">
        <v>1810</v>
      </c>
      <c r="D1526" s="91" t="str">
        <f t="shared" si="25"/>
        <v>Lyantobde</v>
      </c>
      <c r="F1526" s="91">
        <v>904</v>
      </c>
    </row>
    <row r="1527" spans="1:6">
      <c r="A1527" s="91" t="s">
        <v>1811</v>
      </c>
      <c r="B1527" s="91" t="s">
        <v>1806</v>
      </c>
      <c r="C1527" s="91" t="s">
        <v>1807</v>
      </c>
      <c r="D1527" s="91" t="str">
        <f t="shared" si="25"/>
        <v>Lyantonde Town Council</v>
      </c>
      <c r="F1527" s="91">
        <v>905</v>
      </c>
    </row>
    <row r="1528" spans="1:6">
      <c r="A1528" s="91" t="s">
        <v>1812</v>
      </c>
      <c r="B1528" s="91" t="s">
        <v>1806</v>
      </c>
      <c r="C1528" s="91" t="s">
        <v>1807</v>
      </c>
      <c r="D1528" s="91" t="str">
        <f t="shared" si="25"/>
        <v>Mpumudde-Lyantonde</v>
      </c>
      <c r="F1528" s="91">
        <v>906</v>
      </c>
    </row>
    <row r="1529" spans="1:6">
      <c r="A1529" s="91" t="s">
        <v>1813</v>
      </c>
      <c r="D1529" s="91" t="str">
        <f t="shared" si="25"/>
        <v>Nakawuka</v>
      </c>
      <c r="F1529" s="91">
        <v>906</v>
      </c>
    </row>
    <row r="1530" spans="1:6">
      <c r="A1530" s="91" t="s">
        <v>1814</v>
      </c>
      <c r="B1530" s="91" t="s">
        <v>1815</v>
      </c>
      <c r="C1530" s="91" t="s">
        <v>1816</v>
      </c>
      <c r="D1530" s="91" t="str">
        <f t="shared" si="25"/>
        <v>Bugobero</v>
      </c>
      <c r="F1530" s="91">
        <v>907</v>
      </c>
    </row>
    <row r="1531" spans="1:6">
      <c r="A1531" s="91" t="s">
        <v>1817</v>
      </c>
      <c r="B1531" s="91" t="s">
        <v>1815</v>
      </c>
      <c r="C1531" s="91" t="s">
        <v>1816</v>
      </c>
      <c r="D1531" s="91" t="str">
        <f t="shared" si="25"/>
        <v>Bukhofu</v>
      </c>
      <c r="F1531" s="91">
        <v>908</v>
      </c>
    </row>
    <row r="1532" spans="1:6">
      <c r="A1532" s="91" t="s">
        <v>1818</v>
      </c>
      <c r="B1532" s="91" t="s">
        <v>1815</v>
      </c>
      <c r="C1532" s="91" t="s">
        <v>1816</v>
      </c>
      <c r="D1532" s="91" t="str">
        <f t="shared" si="25"/>
        <v>Bukusu</v>
      </c>
      <c r="F1532" s="91">
        <v>909</v>
      </c>
    </row>
    <row r="1533" spans="1:6">
      <c r="A1533" s="91" t="s">
        <v>1819</v>
      </c>
      <c r="B1533" s="91" t="s">
        <v>1815</v>
      </c>
      <c r="C1533" s="91" t="s">
        <v>1816</v>
      </c>
      <c r="D1533" s="91" t="str">
        <f t="shared" si="25"/>
        <v>Bunabwana</v>
      </c>
      <c r="F1533" s="91">
        <v>910</v>
      </c>
    </row>
    <row r="1534" spans="1:6">
      <c r="A1534" s="91" t="s">
        <v>1820</v>
      </c>
      <c r="B1534" s="91" t="s">
        <v>1815</v>
      </c>
      <c r="C1534" s="91" t="s">
        <v>1816</v>
      </c>
      <c r="D1534" s="91" t="str">
        <f t="shared" si="25"/>
        <v>Bunyinza Town Council</v>
      </c>
      <c r="F1534" s="91">
        <v>911</v>
      </c>
    </row>
    <row r="1535" spans="1:6">
      <c r="A1535" s="91" t="s">
        <v>1821</v>
      </c>
      <c r="B1535" s="91" t="s">
        <v>1815</v>
      </c>
      <c r="C1535" s="91" t="s">
        <v>1816</v>
      </c>
      <c r="D1535" s="91" t="str">
        <f t="shared" si="25"/>
        <v>Busukuya</v>
      </c>
      <c r="F1535" s="91">
        <v>912</v>
      </c>
    </row>
    <row r="1536" spans="1:6">
      <c r="A1536" s="91" t="s">
        <v>1822</v>
      </c>
      <c r="B1536" s="91" t="s">
        <v>1815</v>
      </c>
      <c r="C1536" s="91" t="s">
        <v>1816</v>
      </c>
      <c r="D1536" s="91" t="str">
        <f t="shared" si="25"/>
        <v>Butiru</v>
      </c>
      <c r="F1536" s="91">
        <v>913</v>
      </c>
    </row>
    <row r="1537" spans="1:6">
      <c r="A1537" s="91" t="s">
        <v>1823</v>
      </c>
      <c r="B1537" s="91" t="s">
        <v>1815</v>
      </c>
      <c r="C1537" s="91" t="s">
        <v>1816</v>
      </c>
      <c r="D1537" s="91" t="str">
        <f t="shared" si="25"/>
        <v>Butta</v>
      </c>
      <c r="F1537" s="91">
        <v>914</v>
      </c>
    </row>
    <row r="1538" spans="1:6">
      <c r="A1538" s="91" t="s">
        <v>1824</v>
      </c>
      <c r="B1538" s="91" t="s">
        <v>1815</v>
      </c>
      <c r="C1538" s="91" t="s">
        <v>1816</v>
      </c>
      <c r="D1538" s="91" t="str">
        <f t="shared" si="25"/>
        <v>Buwagogo</v>
      </c>
      <c r="F1538" s="91">
        <v>915</v>
      </c>
    </row>
    <row r="1539" spans="1:6">
      <c r="A1539" s="91" t="s">
        <v>1825</v>
      </c>
      <c r="B1539" s="91" t="s">
        <v>1815</v>
      </c>
      <c r="C1539" s="91" t="s">
        <v>1816</v>
      </c>
      <c r="D1539" s="91" t="str">
        <f t="shared" ref="D1539:D1602" si="26">A1539</f>
        <v>Buwangani Town Council</v>
      </c>
      <c r="F1539" s="91">
        <v>916</v>
      </c>
    </row>
    <row r="1540" spans="1:6">
      <c r="A1540" s="91" t="s">
        <v>1826</v>
      </c>
      <c r="B1540" s="91" t="s">
        <v>1815</v>
      </c>
      <c r="C1540" s="91" t="s">
        <v>1816</v>
      </c>
      <c r="D1540" s="91" t="str">
        <f t="shared" si="26"/>
        <v>Kaato</v>
      </c>
      <c r="F1540" s="91">
        <v>917</v>
      </c>
    </row>
    <row r="1541" spans="1:6">
      <c r="A1541" s="91" t="s">
        <v>1827</v>
      </c>
      <c r="B1541" s="91" t="s">
        <v>1815</v>
      </c>
      <c r="C1541" s="91" t="s">
        <v>1816</v>
      </c>
      <c r="D1541" s="91" t="str">
        <f t="shared" si="26"/>
        <v>Khabutoola</v>
      </c>
      <c r="F1541" s="91">
        <v>918</v>
      </c>
    </row>
    <row r="1542" spans="1:6">
      <c r="A1542" s="91" t="s">
        <v>1828</v>
      </c>
      <c r="B1542" s="91" t="s">
        <v>1815</v>
      </c>
      <c r="C1542" s="91" t="s">
        <v>1816</v>
      </c>
      <c r="D1542" s="91" t="str">
        <f t="shared" si="26"/>
        <v>Manafwa Town Council</v>
      </c>
      <c r="F1542" s="91">
        <v>919</v>
      </c>
    </row>
    <row r="1543" spans="1:6">
      <c r="A1543" s="91" t="s">
        <v>1829</v>
      </c>
      <c r="B1543" s="91" t="s">
        <v>1815</v>
      </c>
      <c r="C1543" s="91" t="s">
        <v>1816</v>
      </c>
      <c r="D1543" s="91" t="str">
        <f t="shared" si="26"/>
        <v>Nalondo</v>
      </c>
      <c r="F1543" s="91">
        <v>920</v>
      </c>
    </row>
    <row r="1544" spans="1:6">
      <c r="A1544" s="91" t="s">
        <v>1830</v>
      </c>
      <c r="B1544" s="91" t="s">
        <v>1815</v>
      </c>
      <c r="C1544" s="91" t="s">
        <v>1816</v>
      </c>
      <c r="D1544" s="91" t="str">
        <f t="shared" si="26"/>
        <v>Sibanga</v>
      </c>
      <c r="F1544" s="91">
        <v>921</v>
      </c>
    </row>
    <row r="1545" spans="1:6">
      <c r="A1545" s="91" t="s">
        <v>1831</v>
      </c>
      <c r="B1545" s="91" t="s">
        <v>1815</v>
      </c>
      <c r="C1545" s="91" t="s">
        <v>1816</v>
      </c>
      <c r="D1545" s="91" t="str">
        <f t="shared" si="26"/>
        <v>Sisuni</v>
      </c>
      <c r="F1545" s="91">
        <v>922</v>
      </c>
    </row>
    <row r="1546" spans="1:6">
      <c r="A1546" s="91" t="s">
        <v>1832</v>
      </c>
      <c r="B1546" s="91" t="s">
        <v>1815</v>
      </c>
      <c r="C1546" s="91" t="s">
        <v>1816</v>
      </c>
      <c r="D1546" s="91" t="str">
        <f t="shared" si="26"/>
        <v>Weswa</v>
      </c>
      <c r="F1546" s="91">
        <v>923</v>
      </c>
    </row>
    <row r="1547" spans="1:6">
      <c r="A1547" s="91" t="s">
        <v>1833</v>
      </c>
      <c r="B1547" s="91" t="s">
        <v>1834</v>
      </c>
      <c r="C1547" s="91" t="s">
        <v>1834</v>
      </c>
      <c r="D1547" s="91" t="str">
        <f t="shared" si="26"/>
        <v>Kijomoro</v>
      </c>
      <c r="F1547" s="91">
        <v>924</v>
      </c>
    </row>
    <row r="1548" spans="1:6">
      <c r="A1548" s="91" t="s">
        <v>1835</v>
      </c>
      <c r="B1548" s="91" t="s">
        <v>1834</v>
      </c>
      <c r="C1548" s="91" t="s">
        <v>1834</v>
      </c>
      <c r="D1548" s="91" t="str">
        <f t="shared" si="26"/>
        <v>Maracha Town Council</v>
      </c>
      <c r="F1548" s="91">
        <v>925</v>
      </c>
    </row>
    <row r="1549" spans="1:6">
      <c r="A1549" s="91" t="s">
        <v>1836</v>
      </c>
      <c r="B1549" s="91" t="s">
        <v>1834</v>
      </c>
      <c r="C1549" s="91" t="s">
        <v>1834</v>
      </c>
      <c r="D1549" s="91" t="str">
        <f t="shared" si="26"/>
        <v>Nyadri</v>
      </c>
      <c r="F1549" s="91">
        <v>926</v>
      </c>
    </row>
    <row r="1550" spans="1:6">
      <c r="A1550" s="91" t="s">
        <v>1837</v>
      </c>
      <c r="B1550" s="91" t="s">
        <v>1834</v>
      </c>
      <c r="C1550" s="91" t="s">
        <v>1834</v>
      </c>
      <c r="D1550" s="91" t="str">
        <f t="shared" si="26"/>
        <v>Oleba</v>
      </c>
      <c r="F1550" s="91">
        <v>927</v>
      </c>
    </row>
    <row r="1551" spans="1:6">
      <c r="A1551" s="91" t="s">
        <v>1838</v>
      </c>
      <c r="B1551" s="91" t="s">
        <v>1834</v>
      </c>
      <c r="C1551" s="91" t="s">
        <v>1834</v>
      </c>
      <c r="D1551" s="91" t="str">
        <f t="shared" si="26"/>
        <v>Oluffe</v>
      </c>
      <c r="F1551" s="91">
        <v>928</v>
      </c>
    </row>
    <row r="1552" spans="1:6">
      <c r="A1552" s="91" t="s">
        <v>1839</v>
      </c>
      <c r="B1552" s="91" t="s">
        <v>1834</v>
      </c>
      <c r="C1552" s="91" t="s">
        <v>1834</v>
      </c>
      <c r="D1552" s="91" t="str">
        <f t="shared" si="26"/>
        <v>Oluvu</v>
      </c>
      <c r="F1552" s="91">
        <v>929</v>
      </c>
    </row>
    <row r="1553" spans="1:6">
      <c r="A1553" s="91" t="s">
        <v>1840</v>
      </c>
      <c r="B1553" s="91" t="s">
        <v>1834</v>
      </c>
      <c r="C1553" s="91" t="s">
        <v>1834</v>
      </c>
      <c r="D1553" s="91" t="str">
        <f t="shared" si="26"/>
        <v>Tara</v>
      </c>
      <c r="F1553" s="91">
        <v>930</v>
      </c>
    </row>
    <row r="1554" spans="1:6">
      <c r="A1554" s="91" t="s">
        <v>1841</v>
      </c>
      <c r="B1554" s="91" t="s">
        <v>1834</v>
      </c>
      <c r="C1554" s="91" t="s">
        <v>1834</v>
      </c>
      <c r="D1554" s="91" t="str">
        <f t="shared" si="26"/>
        <v>Yivu</v>
      </c>
      <c r="F1554" s="91">
        <v>931</v>
      </c>
    </row>
    <row r="1555" spans="1:6">
      <c r="A1555" s="91" t="s">
        <v>1842</v>
      </c>
      <c r="B1555" s="91" t="s">
        <v>40</v>
      </c>
      <c r="C1555" s="91" t="s">
        <v>23</v>
      </c>
      <c r="D1555" s="91" t="str">
        <f t="shared" si="26"/>
        <v>Bukakata</v>
      </c>
      <c r="F1555" s="91">
        <v>932</v>
      </c>
    </row>
    <row r="1556" spans="1:6">
      <c r="A1556" s="91" t="s">
        <v>1843</v>
      </c>
      <c r="B1556" s="91" t="s">
        <v>40</v>
      </c>
      <c r="C1556" s="91" t="s">
        <v>23</v>
      </c>
      <c r="D1556" s="91" t="str">
        <f t="shared" si="26"/>
        <v>Buwunga-Masaka</v>
      </c>
      <c r="F1556" s="91">
        <v>933</v>
      </c>
    </row>
    <row r="1557" spans="1:6">
      <c r="A1557" s="91" t="s">
        <v>1844</v>
      </c>
      <c r="B1557" s="91" t="s">
        <v>40</v>
      </c>
      <c r="C1557" s="91" t="s">
        <v>23</v>
      </c>
      <c r="D1557" s="91" t="str">
        <f t="shared" si="26"/>
        <v>Kabonera</v>
      </c>
      <c r="F1557" s="91">
        <v>934</v>
      </c>
    </row>
    <row r="1558" spans="1:6">
      <c r="A1558" s="91" t="s">
        <v>48</v>
      </c>
      <c r="D1558" s="91" t="str">
        <f t="shared" si="26"/>
        <v>Kagezi</v>
      </c>
      <c r="F1558" s="91">
        <v>934</v>
      </c>
    </row>
    <row r="1559" spans="1:6">
      <c r="A1559" s="91" t="s">
        <v>1845</v>
      </c>
      <c r="B1559" s="91" t="s">
        <v>40</v>
      </c>
      <c r="C1559" s="91" t="s">
        <v>23</v>
      </c>
      <c r="D1559" s="91" t="str">
        <f t="shared" si="26"/>
        <v>Kyanamukaaka</v>
      </c>
      <c r="F1559" s="91">
        <v>935</v>
      </c>
    </row>
    <row r="1560" spans="1:6">
      <c r="A1560" s="91" t="s">
        <v>1846</v>
      </c>
      <c r="B1560" s="91" t="s">
        <v>40</v>
      </c>
      <c r="C1560" s="91" t="s">
        <v>23</v>
      </c>
      <c r="D1560" s="91" t="str">
        <f t="shared" si="26"/>
        <v>Kyesiiga</v>
      </c>
      <c r="F1560" s="91">
        <v>936</v>
      </c>
    </row>
    <row r="1561" spans="1:6">
      <c r="A1561" s="91" t="s">
        <v>1847</v>
      </c>
      <c r="B1561" s="91" t="s">
        <v>40</v>
      </c>
      <c r="C1561" s="91" t="s">
        <v>1847</v>
      </c>
      <c r="D1561" s="91" t="str">
        <f t="shared" si="26"/>
        <v>Masaka Municipality</v>
      </c>
      <c r="F1561" s="91">
        <v>937</v>
      </c>
    </row>
    <row r="1562" spans="1:6">
      <c r="A1562" s="91" t="s">
        <v>1848</v>
      </c>
      <c r="D1562" s="91" t="str">
        <f t="shared" si="26"/>
        <v>MAYA</v>
      </c>
      <c r="F1562" s="91">
        <v>937</v>
      </c>
    </row>
    <row r="1563" spans="1:6">
      <c r="A1563" s="91" t="s">
        <v>1849</v>
      </c>
      <c r="D1563" s="91" t="str">
        <f t="shared" si="26"/>
        <v>MAAYA</v>
      </c>
      <c r="F1563" s="91">
        <v>937</v>
      </c>
    </row>
    <row r="1564" spans="1:6">
      <c r="A1564" s="91" t="s">
        <v>1850</v>
      </c>
      <c r="D1564" s="91" t="str">
        <f t="shared" si="26"/>
        <v xml:space="preserve">MASAKA TOWN </v>
      </c>
      <c r="F1564" s="91">
        <v>937</v>
      </c>
    </row>
    <row r="1565" spans="1:6">
      <c r="A1565" s="91" t="s">
        <v>1851</v>
      </c>
      <c r="D1565" s="91" t="str">
        <f t="shared" si="26"/>
        <v>masaka town</v>
      </c>
      <c r="F1565" s="91">
        <v>937</v>
      </c>
    </row>
    <row r="1566" spans="1:6">
      <c r="A1566" s="91" t="s">
        <v>1852</v>
      </c>
      <c r="D1566" s="91" t="str">
        <f t="shared" si="26"/>
        <v>Nabugabo</v>
      </c>
      <c r="F1566" s="91">
        <v>937</v>
      </c>
    </row>
    <row r="1567" spans="1:6">
      <c r="A1567" s="91" t="s">
        <v>1853</v>
      </c>
      <c r="D1567" s="91" t="str">
        <f t="shared" si="26"/>
        <v>Masaka road</v>
      </c>
      <c r="F1567" s="91">
        <v>937</v>
      </c>
    </row>
    <row r="1568" spans="1:6">
      <c r="A1568" s="91" t="s">
        <v>1854</v>
      </c>
      <c r="D1568" s="91" t="str">
        <f t="shared" si="26"/>
        <v xml:space="preserve">Masaka  </v>
      </c>
      <c r="F1568" s="91">
        <v>937</v>
      </c>
    </row>
    <row r="1569" spans="1:6">
      <c r="A1569" s="91" t="s">
        <v>1855</v>
      </c>
      <c r="D1569" s="91" t="str">
        <f t="shared" si="26"/>
        <v>MASAKA</v>
      </c>
      <c r="F1569" s="91">
        <v>937</v>
      </c>
    </row>
    <row r="1570" spans="1:6">
      <c r="A1570" s="91" t="s">
        <v>1856</v>
      </c>
      <c r="B1570" s="91" t="s">
        <v>40</v>
      </c>
      <c r="C1570" s="91" t="s">
        <v>23</v>
      </c>
      <c r="D1570" s="91" t="str">
        <f t="shared" si="26"/>
        <v>Mukungwe</v>
      </c>
      <c r="F1570" s="91">
        <v>938</v>
      </c>
    </row>
    <row r="1571" spans="1:6">
      <c r="A1571" s="91" t="s">
        <v>1857</v>
      </c>
      <c r="D1571" s="91" t="str">
        <f t="shared" si="26"/>
        <v>Kinoni</v>
      </c>
      <c r="F1571" s="91">
        <v>938</v>
      </c>
    </row>
    <row r="1572" spans="1:6">
      <c r="A1572" s="91" t="s">
        <v>1858</v>
      </c>
      <c r="B1572" s="91" t="s">
        <v>1859</v>
      </c>
      <c r="C1572" s="91" t="s">
        <v>1860</v>
      </c>
      <c r="D1572" s="91" t="str">
        <f t="shared" si="26"/>
        <v>Budongo</v>
      </c>
      <c r="F1572" s="91">
        <v>939</v>
      </c>
    </row>
    <row r="1573" spans="1:6">
      <c r="A1573" s="91" t="s">
        <v>1861</v>
      </c>
      <c r="B1573" s="91" t="s">
        <v>1859</v>
      </c>
      <c r="C1573" s="91" t="s">
        <v>1860</v>
      </c>
      <c r="D1573" s="91" t="str">
        <f t="shared" si="26"/>
        <v>Bwijanga</v>
      </c>
      <c r="F1573" s="91">
        <v>940</v>
      </c>
    </row>
    <row r="1574" spans="1:6">
      <c r="A1574" s="91" t="s">
        <v>1862</v>
      </c>
      <c r="B1574" s="91" t="s">
        <v>1859</v>
      </c>
      <c r="C1574" s="91" t="s">
        <v>1863</v>
      </c>
      <c r="D1574" s="91" t="str">
        <f t="shared" si="26"/>
        <v>Kimengo</v>
      </c>
      <c r="F1574" s="91">
        <v>941</v>
      </c>
    </row>
    <row r="1575" spans="1:6">
      <c r="A1575" s="91" t="s">
        <v>1864</v>
      </c>
      <c r="D1575" s="91" t="str">
        <f t="shared" si="26"/>
        <v>Kyema</v>
      </c>
      <c r="F1575" s="91">
        <v>941</v>
      </c>
    </row>
    <row r="1576" spans="1:6">
      <c r="A1576" s="91" t="s">
        <v>1865</v>
      </c>
      <c r="B1576" s="91" t="s">
        <v>1859</v>
      </c>
      <c r="C1576" s="91" t="s">
        <v>1865</v>
      </c>
      <c r="D1576" s="91" t="str">
        <f t="shared" si="26"/>
        <v>Masindi Municipality</v>
      </c>
      <c r="F1576" s="91">
        <v>942</v>
      </c>
    </row>
    <row r="1577" spans="1:6">
      <c r="A1577" s="91" t="s">
        <v>1859</v>
      </c>
      <c r="D1577" s="91" t="str">
        <f t="shared" si="26"/>
        <v>Masindi</v>
      </c>
      <c r="F1577" s="91">
        <v>942</v>
      </c>
    </row>
    <row r="1578" spans="1:6">
      <c r="A1578" s="91" t="s">
        <v>1866</v>
      </c>
      <c r="B1578" s="91" t="s">
        <v>1859</v>
      </c>
      <c r="C1578" s="91" t="s">
        <v>1863</v>
      </c>
      <c r="D1578" s="91" t="str">
        <f t="shared" si="26"/>
        <v>Miirya</v>
      </c>
      <c r="F1578" s="91">
        <v>943</v>
      </c>
    </row>
    <row r="1579" spans="1:6">
      <c r="A1579" s="91" t="s">
        <v>1867</v>
      </c>
      <c r="B1579" s="91" t="s">
        <v>1859</v>
      </c>
      <c r="C1579" s="91" t="s">
        <v>1863</v>
      </c>
      <c r="D1579" s="91" t="str">
        <f t="shared" si="26"/>
        <v>Pakanyi</v>
      </c>
      <c r="F1579" s="91">
        <v>944</v>
      </c>
    </row>
    <row r="1580" spans="1:6">
      <c r="A1580" s="91" t="s">
        <v>1868</v>
      </c>
      <c r="B1580" s="91" t="s">
        <v>1869</v>
      </c>
      <c r="C1580" s="91" t="s">
        <v>1870</v>
      </c>
      <c r="D1580" s="91" t="str">
        <f t="shared" si="26"/>
        <v>Baitambogwe</v>
      </c>
      <c r="F1580" s="91">
        <v>945</v>
      </c>
    </row>
    <row r="1581" spans="1:6">
      <c r="A1581" s="91" t="s">
        <v>1871</v>
      </c>
      <c r="D1581" s="91" t="str">
        <f t="shared" si="26"/>
        <v>Nkombe</v>
      </c>
      <c r="F1581" s="91">
        <v>945</v>
      </c>
    </row>
    <row r="1582" spans="1:6">
      <c r="A1582" s="91" t="s">
        <v>1872</v>
      </c>
      <c r="B1582" s="91" t="s">
        <v>1869</v>
      </c>
      <c r="C1582" s="91" t="s">
        <v>1870</v>
      </c>
      <c r="D1582" s="91" t="str">
        <f t="shared" si="26"/>
        <v>Bukabooli</v>
      </c>
      <c r="F1582" s="91">
        <v>946</v>
      </c>
    </row>
    <row r="1583" spans="1:6">
      <c r="A1583" s="91" t="s">
        <v>1873</v>
      </c>
      <c r="B1583" s="91" t="s">
        <v>1869</v>
      </c>
      <c r="C1583" s="91" t="s">
        <v>1870</v>
      </c>
      <c r="D1583" s="91" t="str">
        <f t="shared" si="26"/>
        <v>Bukatube</v>
      </c>
      <c r="F1583" s="91">
        <v>947</v>
      </c>
    </row>
    <row r="1584" spans="1:6">
      <c r="A1584" s="91" t="s">
        <v>1874</v>
      </c>
      <c r="B1584" s="91" t="s">
        <v>1869</v>
      </c>
      <c r="C1584" s="91" t="s">
        <v>1870</v>
      </c>
      <c r="D1584" s="91" t="str">
        <f t="shared" si="26"/>
        <v>Busakira</v>
      </c>
      <c r="F1584" s="91">
        <v>948</v>
      </c>
    </row>
    <row r="1585" spans="1:6">
      <c r="A1585" s="91" t="s">
        <v>1875</v>
      </c>
      <c r="B1585" s="91" t="s">
        <v>1869</v>
      </c>
      <c r="C1585" s="91" t="s">
        <v>1870</v>
      </c>
      <c r="D1585" s="91" t="str">
        <f t="shared" si="26"/>
        <v>Buwaaya</v>
      </c>
      <c r="F1585" s="91">
        <v>949</v>
      </c>
    </row>
    <row r="1586" spans="1:6">
      <c r="A1586" s="91" t="s">
        <v>1876</v>
      </c>
      <c r="B1586" s="91" t="s">
        <v>1869</v>
      </c>
      <c r="C1586" s="91" t="s">
        <v>1870</v>
      </c>
      <c r="D1586" s="91" t="str">
        <f t="shared" si="26"/>
        <v>Imanyiro</v>
      </c>
      <c r="F1586" s="91">
        <v>950</v>
      </c>
    </row>
    <row r="1587" spans="1:6">
      <c r="A1587" s="91" t="s">
        <v>1877</v>
      </c>
      <c r="B1587" s="91" t="s">
        <v>1869</v>
      </c>
      <c r="C1587" s="91" t="s">
        <v>1870</v>
      </c>
      <c r="D1587" s="91" t="str">
        <f t="shared" si="26"/>
        <v>Jaguzi</v>
      </c>
      <c r="F1587" s="91">
        <v>951</v>
      </c>
    </row>
    <row r="1588" spans="1:6">
      <c r="A1588" s="91" t="s">
        <v>1878</v>
      </c>
      <c r="B1588" s="91" t="s">
        <v>1869</v>
      </c>
      <c r="C1588" s="91" t="s">
        <v>1870</v>
      </c>
      <c r="D1588" s="91" t="str">
        <f t="shared" si="26"/>
        <v>Kigandalo</v>
      </c>
      <c r="F1588" s="91">
        <v>952</v>
      </c>
    </row>
    <row r="1589" spans="1:6">
      <c r="A1589" s="91" t="s">
        <v>1879</v>
      </c>
      <c r="B1589" s="91" t="s">
        <v>1869</v>
      </c>
      <c r="C1589" s="91" t="s">
        <v>1870</v>
      </c>
      <c r="D1589" s="91" t="str">
        <f t="shared" si="26"/>
        <v>Kityerera</v>
      </c>
      <c r="F1589" s="91">
        <v>953</v>
      </c>
    </row>
    <row r="1590" spans="1:6">
      <c r="A1590" s="91" t="s">
        <v>1880</v>
      </c>
      <c r="B1590" s="91" t="s">
        <v>1869</v>
      </c>
      <c r="C1590" s="91" t="s">
        <v>1870</v>
      </c>
      <c r="D1590" s="91" t="str">
        <f t="shared" si="26"/>
        <v>Magamaga Town Council</v>
      </c>
      <c r="F1590" s="91">
        <v>954</v>
      </c>
    </row>
    <row r="1591" spans="1:6">
      <c r="A1591" s="91" t="s">
        <v>1881</v>
      </c>
      <c r="B1591" s="91" t="s">
        <v>1869</v>
      </c>
      <c r="C1591" s="91" t="s">
        <v>1870</v>
      </c>
      <c r="D1591" s="91" t="str">
        <f t="shared" si="26"/>
        <v>Malongo-Mayuge</v>
      </c>
      <c r="F1591" s="91">
        <v>955</v>
      </c>
    </row>
    <row r="1592" spans="1:6">
      <c r="A1592" s="91" t="s">
        <v>1882</v>
      </c>
      <c r="B1592" s="91" t="s">
        <v>1869</v>
      </c>
      <c r="C1592" s="91" t="s">
        <v>1870</v>
      </c>
      <c r="D1592" s="91" t="str">
        <f t="shared" si="26"/>
        <v>Mayuge Town Council</v>
      </c>
      <c r="F1592" s="91">
        <v>956</v>
      </c>
    </row>
    <row r="1593" spans="1:6">
      <c r="A1593" s="91" t="s">
        <v>1883</v>
      </c>
      <c r="B1593" s="91" t="s">
        <v>1869</v>
      </c>
      <c r="C1593" s="91" t="s">
        <v>1870</v>
      </c>
      <c r="D1593" s="91" t="str">
        <f t="shared" si="26"/>
        <v>Mpungwe</v>
      </c>
      <c r="F1593" s="91">
        <v>957</v>
      </c>
    </row>
    <row r="1594" spans="1:6">
      <c r="A1594" s="91" t="s">
        <v>1884</v>
      </c>
      <c r="B1594" s="91" t="s">
        <v>1869</v>
      </c>
      <c r="C1594" s="91" t="s">
        <v>1870</v>
      </c>
      <c r="D1594" s="91" t="str">
        <f t="shared" si="26"/>
        <v>Wairasa</v>
      </c>
      <c r="F1594" s="91">
        <v>958</v>
      </c>
    </row>
    <row r="1595" spans="1:6">
      <c r="A1595" s="91" t="s">
        <v>1885</v>
      </c>
      <c r="B1595" s="91" t="s">
        <v>228</v>
      </c>
      <c r="C1595" s="91" t="s">
        <v>1886</v>
      </c>
      <c r="D1595" s="91" t="str">
        <f t="shared" si="26"/>
        <v>Bubyangu</v>
      </c>
      <c r="F1595" s="91">
        <v>959</v>
      </c>
    </row>
    <row r="1596" spans="1:6">
      <c r="A1596" s="91" t="s">
        <v>1887</v>
      </c>
      <c r="B1596" s="91" t="s">
        <v>228</v>
      </c>
      <c r="C1596" s="91" t="s">
        <v>1886</v>
      </c>
      <c r="D1596" s="91" t="str">
        <f t="shared" si="26"/>
        <v>Budwale</v>
      </c>
      <c r="F1596" s="91">
        <v>960</v>
      </c>
    </row>
    <row r="1597" spans="1:6">
      <c r="A1597" s="91" t="s">
        <v>1888</v>
      </c>
      <c r="B1597" s="91" t="s">
        <v>228</v>
      </c>
      <c r="C1597" s="91" t="s">
        <v>1886</v>
      </c>
      <c r="D1597" s="91" t="str">
        <f t="shared" si="26"/>
        <v>Bufumbo</v>
      </c>
      <c r="F1597" s="91">
        <v>961</v>
      </c>
    </row>
    <row r="1598" spans="1:6">
      <c r="A1598" s="91" t="s">
        <v>1889</v>
      </c>
      <c r="B1598" s="91" t="s">
        <v>228</v>
      </c>
      <c r="C1598" s="91" t="s">
        <v>1886</v>
      </c>
      <c r="D1598" s="91" t="str">
        <f t="shared" si="26"/>
        <v>Bukasakya</v>
      </c>
      <c r="F1598" s="91">
        <v>962</v>
      </c>
    </row>
    <row r="1599" spans="1:6">
      <c r="A1599" s="91" t="s">
        <v>1890</v>
      </c>
      <c r="B1599" s="91" t="s">
        <v>228</v>
      </c>
      <c r="C1599" s="91" t="s">
        <v>1886</v>
      </c>
      <c r="D1599" s="91" t="str">
        <f t="shared" si="26"/>
        <v>Bukiende</v>
      </c>
      <c r="F1599" s="91">
        <v>963</v>
      </c>
    </row>
    <row r="1600" spans="1:6">
      <c r="A1600" s="91" t="s">
        <v>1891</v>
      </c>
      <c r="B1600" s="91" t="s">
        <v>228</v>
      </c>
      <c r="C1600" s="91" t="s">
        <v>1886</v>
      </c>
      <c r="D1600" s="91" t="str">
        <f t="shared" si="26"/>
        <v>Bukonde</v>
      </c>
      <c r="F1600" s="91">
        <v>964</v>
      </c>
    </row>
    <row r="1601" spans="1:6">
      <c r="A1601" s="91" t="s">
        <v>1892</v>
      </c>
      <c r="B1601" s="91" t="s">
        <v>228</v>
      </c>
      <c r="C1601" s="91" t="s">
        <v>1886</v>
      </c>
      <c r="D1601" s="91" t="str">
        <f t="shared" si="26"/>
        <v>Bumasikye</v>
      </c>
      <c r="F1601" s="91">
        <v>965</v>
      </c>
    </row>
    <row r="1602" spans="1:6">
      <c r="A1602" s="91" t="s">
        <v>1893</v>
      </c>
      <c r="B1602" s="91" t="s">
        <v>228</v>
      </c>
      <c r="C1602" s="91" t="s">
        <v>1886</v>
      </c>
      <c r="D1602" s="91" t="str">
        <f t="shared" si="26"/>
        <v>Bumbobi</v>
      </c>
      <c r="F1602" s="91">
        <v>966</v>
      </c>
    </row>
    <row r="1603" spans="1:6">
      <c r="A1603" s="91" t="s">
        <v>1886</v>
      </c>
      <c r="B1603" s="91" t="s">
        <v>228</v>
      </c>
      <c r="C1603" s="91" t="s">
        <v>1886</v>
      </c>
      <c r="D1603" s="91" t="str">
        <f t="shared" ref="D1603:D1666" si="27">A1603</f>
        <v>Bungokho</v>
      </c>
      <c r="F1603" s="91">
        <v>967</v>
      </c>
    </row>
    <row r="1604" spans="1:6">
      <c r="A1604" s="91" t="s">
        <v>1894</v>
      </c>
      <c r="B1604" s="91" t="s">
        <v>228</v>
      </c>
      <c r="C1604" s="91" t="s">
        <v>1886</v>
      </c>
      <c r="D1604" s="91" t="str">
        <f t="shared" si="27"/>
        <v>Bungokho Mutoto</v>
      </c>
      <c r="F1604" s="91">
        <v>968</v>
      </c>
    </row>
    <row r="1605" spans="1:6">
      <c r="A1605" s="91" t="s">
        <v>1895</v>
      </c>
      <c r="B1605" s="91" t="s">
        <v>228</v>
      </c>
      <c r="C1605" s="91" t="s">
        <v>1886</v>
      </c>
      <c r="D1605" s="91" t="str">
        <f t="shared" si="27"/>
        <v>Busano</v>
      </c>
      <c r="F1605" s="91">
        <v>969</v>
      </c>
    </row>
    <row r="1606" spans="1:6">
      <c r="A1606" s="91" t="s">
        <v>1896</v>
      </c>
      <c r="B1606" s="91" t="s">
        <v>228</v>
      </c>
      <c r="C1606" s="91" t="s">
        <v>1886</v>
      </c>
      <c r="D1606" s="91" t="str">
        <f t="shared" si="27"/>
        <v>Busiu</v>
      </c>
      <c r="F1606" s="91">
        <v>970</v>
      </c>
    </row>
    <row r="1607" spans="1:6">
      <c r="A1607" s="91" t="s">
        <v>1897</v>
      </c>
      <c r="B1607" s="91" t="s">
        <v>228</v>
      </c>
      <c r="C1607" s="91" t="s">
        <v>1886</v>
      </c>
      <c r="D1607" s="91" t="str">
        <f t="shared" si="27"/>
        <v>Busiu Town Council</v>
      </c>
      <c r="F1607" s="91">
        <v>971</v>
      </c>
    </row>
    <row r="1608" spans="1:6">
      <c r="A1608" s="91" t="s">
        <v>1898</v>
      </c>
      <c r="B1608" s="91" t="s">
        <v>228</v>
      </c>
      <c r="C1608" s="91" t="s">
        <v>1886</v>
      </c>
      <c r="D1608" s="91" t="str">
        <f t="shared" si="27"/>
        <v>Busoba</v>
      </c>
      <c r="F1608" s="91">
        <v>972</v>
      </c>
    </row>
    <row r="1609" spans="1:6">
      <c r="A1609" s="91" t="s">
        <v>1899</v>
      </c>
      <c r="B1609" s="91" t="s">
        <v>228</v>
      </c>
      <c r="C1609" s="91" t="s">
        <v>1886</v>
      </c>
      <c r="D1609" s="91" t="str">
        <f t="shared" si="27"/>
        <v>Lukhonge</v>
      </c>
      <c r="F1609" s="91">
        <v>973</v>
      </c>
    </row>
    <row r="1610" spans="1:6">
      <c r="A1610" s="91" t="s">
        <v>1900</v>
      </c>
      <c r="B1610" s="91" t="s">
        <v>228</v>
      </c>
      <c r="C1610" s="91" t="s">
        <v>1886</v>
      </c>
      <c r="D1610" s="91" t="str">
        <f t="shared" si="27"/>
        <v>Lwasso</v>
      </c>
      <c r="F1610" s="91">
        <v>974</v>
      </c>
    </row>
    <row r="1611" spans="1:6">
      <c r="A1611" s="91" t="s">
        <v>1901</v>
      </c>
      <c r="B1611" s="91" t="s">
        <v>228</v>
      </c>
      <c r="C1611" s="91" t="s">
        <v>1901</v>
      </c>
      <c r="D1611" s="91" t="str">
        <f t="shared" si="27"/>
        <v>Mbale Municipality</v>
      </c>
      <c r="F1611" s="91">
        <v>975</v>
      </c>
    </row>
    <row r="1612" spans="1:6">
      <c r="A1612" s="91" t="s">
        <v>1902</v>
      </c>
      <c r="D1612" s="91" t="str">
        <f t="shared" si="27"/>
        <v>Mbale town</v>
      </c>
      <c r="F1612" s="91">
        <v>975</v>
      </c>
    </row>
    <row r="1613" spans="1:6">
      <c r="A1613" s="91" t="s">
        <v>1903</v>
      </c>
      <c r="D1613" s="91" t="str">
        <f t="shared" si="27"/>
        <v>MBALE  TOWN</v>
      </c>
      <c r="F1613" s="91">
        <v>975</v>
      </c>
    </row>
    <row r="1614" spans="1:6">
      <c r="A1614" s="91" t="s">
        <v>228</v>
      </c>
      <c r="D1614" s="91" t="str">
        <f t="shared" si="27"/>
        <v>Mbale</v>
      </c>
      <c r="F1614" s="91">
        <v>975</v>
      </c>
    </row>
    <row r="1615" spans="1:6">
      <c r="A1615" s="91" t="s">
        <v>1904</v>
      </c>
      <c r="B1615" s="91" t="s">
        <v>228</v>
      </c>
      <c r="C1615" s="91" t="s">
        <v>1886</v>
      </c>
      <c r="D1615" s="91" t="str">
        <f t="shared" si="27"/>
        <v>Nabumali Town Council</v>
      </c>
      <c r="F1615" s="91">
        <v>976</v>
      </c>
    </row>
    <row r="1616" spans="1:6">
      <c r="A1616" s="91" t="s">
        <v>1905</v>
      </c>
      <c r="B1616" s="91" t="s">
        <v>228</v>
      </c>
      <c r="C1616" s="91" t="s">
        <v>1886</v>
      </c>
      <c r="D1616" s="91" t="str">
        <f t="shared" si="27"/>
        <v>Nakaloke</v>
      </c>
      <c r="F1616" s="91">
        <v>977</v>
      </c>
    </row>
    <row r="1617" spans="1:6">
      <c r="A1617" s="91" t="s">
        <v>1906</v>
      </c>
      <c r="B1617" s="91" t="s">
        <v>228</v>
      </c>
      <c r="C1617" s="91" t="s">
        <v>1886</v>
      </c>
      <c r="D1617" s="91" t="str">
        <f t="shared" si="27"/>
        <v>Nakaloke Town Council</v>
      </c>
      <c r="F1617" s="91">
        <v>978</v>
      </c>
    </row>
    <row r="1618" spans="1:6">
      <c r="A1618" s="91" t="s">
        <v>1907</v>
      </c>
      <c r="B1618" s="91" t="s">
        <v>228</v>
      </c>
      <c r="C1618" s="91" t="s">
        <v>1886</v>
      </c>
      <c r="D1618" s="91" t="str">
        <f t="shared" si="27"/>
        <v>Namanyonyi</v>
      </c>
      <c r="F1618" s="91">
        <v>979</v>
      </c>
    </row>
    <row r="1619" spans="1:6">
      <c r="A1619" s="91" t="s">
        <v>1908</v>
      </c>
      <c r="B1619" s="91" t="s">
        <v>228</v>
      </c>
      <c r="C1619" s="91" t="s">
        <v>1886</v>
      </c>
      <c r="D1619" s="91" t="str">
        <f t="shared" si="27"/>
        <v>Nyondo</v>
      </c>
      <c r="F1619" s="91">
        <v>980</v>
      </c>
    </row>
    <row r="1620" spans="1:6">
      <c r="A1620" s="91" t="s">
        <v>1909</v>
      </c>
      <c r="B1620" s="91" t="s">
        <v>228</v>
      </c>
      <c r="C1620" s="91" t="s">
        <v>1886</v>
      </c>
      <c r="D1620" s="91" t="str">
        <f t="shared" si="27"/>
        <v>Wanale</v>
      </c>
      <c r="F1620" s="91">
        <v>981</v>
      </c>
    </row>
    <row r="1621" spans="1:6">
      <c r="A1621" s="91" t="s">
        <v>1910</v>
      </c>
      <c r="B1621" s="91" t="s">
        <v>230</v>
      </c>
      <c r="C1621" s="91" t="s">
        <v>1911</v>
      </c>
      <c r="D1621" s="91" t="str">
        <f t="shared" si="27"/>
        <v>Bubaare-Mbarara</v>
      </c>
      <c r="F1621" s="91">
        <v>982</v>
      </c>
    </row>
    <row r="1622" spans="1:6">
      <c r="A1622" s="91" t="s">
        <v>1912</v>
      </c>
      <c r="B1622" s="91" t="s">
        <v>230</v>
      </c>
      <c r="C1622" s="91" t="s">
        <v>1913</v>
      </c>
      <c r="D1622" s="91" t="str">
        <f t="shared" si="27"/>
        <v>Bugamba</v>
      </c>
      <c r="F1622" s="91">
        <v>983</v>
      </c>
    </row>
    <row r="1623" spans="1:6">
      <c r="A1623" s="91" t="s">
        <v>1914</v>
      </c>
      <c r="B1623" s="91" t="s">
        <v>230</v>
      </c>
      <c r="C1623" s="91" t="s">
        <v>1911</v>
      </c>
      <c r="D1623" s="91" t="str">
        <f t="shared" si="27"/>
        <v>Bukiro</v>
      </c>
      <c r="F1623" s="91">
        <v>984</v>
      </c>
    </row>
    <row r="1624" spans="1:6">
      <c r="A1624" s="91" t="s">
        <v>1915</v>
      </c>
      <c r="D1624" s="91" t="str">
        <f t="shared" si="27"/>
        <v>NYARUBUNGO</v>
      </c>
      <c r="F1624" s="91">
        <v>984</v>
      </c>
    </row>
    <row r="1625" spans="1:6">
      <c r="A1625" s="91" t="s">
        <v>1916</v>
      </c>
      <c r="D1625" s="91" t="str">
        <f t="shared" si="27"/>
        <v>RWIZIRINGIRO</v>
      </c>
      <c r="F1625" s="91">
        <v>984</v>
      </c>
    </row>
    <row r="1626" spans="1:6">
      <c r="A1626" s="91" t="s">
        <v>1917</v>
      </c>
      <c r="D1626" s="91" t="str">
        <f t="shared" si="27"/>
        <v>RWEZIRINGIRO</v>
      </c>
      <c r="F1626" s="91">
        <v>984</v>
      </c>
    </row>
    <row r="1627" spans="1:6">
      <c r="A1627" s="91" t="s">
        <v>1918</v>
      </c>
      <c r="B1627" s="91" t="s">
        <v>230</v>
      </c>
      <c r="C1627" s="91" t="s">
        <v>1911</v>
      </c>
      <c r="D1627" s="91" t="str">
        <f t="shared" si="27"/>
        <v>Kagongi</v>
      </c>
      <c r="F1627" s="91">
        <v>985</v>
      </c>
    </row>
    <row r="1628" spans="1:6">
      <c r="A1628" s="91" t="s">
        <v>1919</v>
      </c>
      <c r="D1628" s="91" t="str">
        <f t="shared" si="27"/>
        <v>BWENGURE</v>
      </c>
      <c r="F1628" s="91">
        <v>985</v>
      </c>
    </row>
    <row r="1629" spans="1:6">
      <c r="A1629" s="91" t="s">
        <v>1920</v>
      </c>
      <c r="B1629" s="91" t="s">
        <v>230</v>
      </c>
      <c r="C1629" s="91" t="s">
        <v>1911</v>
      </c>
      <c r="D1629" s="91" t="str">
        <f t="shared" si="27"/>
        <v>Kashare</v>
      </c>
      <c r="F1629" s="91">
        <v>986</v>
      </c>
    </row>
    <row r="1630" spans="1:6">
      <c r="A1630" s="91" t="s">
        <v>1921</v>
      </c>
      <c r="B1630" s="91" t="s">
        <v>230</v>
      </c>
      <c r="C1630" s="91" t="s">
        <v>1921</v>
      </c>
      <c r="D1630" s="91" t="str">
        <f t="shared" si="27"/>
        <v>Mbarara Municipality</v>
      </c>
      <c r="F1630" s="91">
        <v>987</v>
      </c>
    </row>
    <row r="1631" spans="1:6">
      <c r="A1631" s="91" t="s">
        <v>1922</v>
      </c>
      <c r="D1631" s="91" t="str">
        <f t="shared" si="27"/>
        <v>Mbarara town</v>
      </c>
      <c r="F1631" s="91">
        <v>987</v>
      </c>
    </row>
    <row r="1632" spans="1:6">
      <c r="A1632" s="91" t="s">
        <v>1923</v>
      </c>
      <c r="D1632" s="91" t="str">
        <f t="shared" si="27"/>
        <v>MBARARAR</v>
      </c>
      <c r="F1632" s="91">
        <v>987</v>
      </c>
    </row>
    <row r="1633" spans="1:6">
      <c r="A1633" s="91" t="s">
        <v>1924</v>
      </c>
      <c r="D1633" s="91" t="str">
        <f t="shared" si="27"/>
        <v>RWEBIKOONA</v>
      </c>
      <c r="F1633" s="91">
        <v>987</v>
      </c>
    </row>
    <row r="1634" spans="1:6">
      <c r="A1634" s="91" t="s">
        <v>1925</v>
      </c>
      <c r="D1634" s="91" t="str">
        <f t="shared" si="27"/>
        <v>RWABIKONA</v>
      </c>
      <c r="F1634" s="91">
        <v>987</v>
      </c>
    </row>
    <row r="1635" spans="1:6">
      <c r="A1635" s="91" t="s">
        <v>1926</v>
      </c>
      <c r="D1635" s="91" t="str">
        <f t="shared" si="27"/>
        <v>RWEBIKONA</v>
      </c>
      <c r="F1635" s="91">
        <v>987</v>
      </c>
    </row>
    <row r="1636" spans="1:6">
      <c r="A1636" s="91" t="s">
        <v>1927</v>
      </c>
      <c r="D1636" s="91" t="str">
        <f t="shared" si="27"/>
        <v>MBARARA TOWN</v>
      </c>
      <c r="F1636" s="91">
        <v>987</v>
      </c>
    </row>
    <row r="1637" spans="1:6">
      <c r="A1637" s="91" t="s">
        <v>1928</v>
      </c>
      <c r="D1637" s="91" t="str">
        <f t="shared" si="27"/>
        <v>MBARARA CITY</v>
      </c>
      <c r="F1637" s="91">
        <v>987</v>
      </c>
    </row>
    <row r="1638" spans="1:6">
      <c r="A1638" s="91" t="s">
        <v>1929</v>
      </c>
      <c r="D1638" s="91" t="str">
        <f t="shared" si="27"/>
        <v>NYAMITANGA</v>
      </c>
      <c r="F1638" s="91">
        <v>987</v>
      </c>
    </row>
    <row r="1639" spans="1:6">
      <c r="A1639" s="91" t="s">
        <v>1930</v>
      </c>
      <c r="D1639" s="91" t="str">
        <f t="shared" si="27"/>
        <v>Ruti</v>
      </c>
      <c r="F1639" s="91">
        <v>987</v>
      </c>
    </row>
    <row r="1640" spans="1:6">
      <c r="A1640" s="91" t="s">
        <v>1931</v>
      </c>
      <c r="D1640" s="91" t="str">
        <f t="shared" si="27"/>
        <v>Ntale</v>
      </c>
      <c r="F1640" s="91">
        <v>987</v>
      </c>
    </row>
    <row r="1641" spans="1:6">
      <c r="A1641" s="91" t="s">
        <v>1932</v>
      </c>
      <c r="D1641" s="91" t="str">
        <f t="shared" si="27"/>
        <v>KAKIIKA</v>
      </c>
      <c r="F1641" s="91">
        <v>987</v>
      </c>
    </row>
    <row r="1642" spans="1:6">
      <c r="A1642" s="91" t="s">
        <v>1933</v>
      </c>
      <c r="D1642" s="91" t="str">
        <f t="shared" si="27"/>
        <v>KAKIKA</v>
      </c>
      <c r="F1642" s="91">
        <v>987</v>
      </c>
    </row>
    <row r="1643" spans="1:6">
      <c r="A1643" s="91" t="s">
        <v>1934</v>
      </c>
      <c r="D1643" s="91" t="str">
        <f t="shared" si="27"/>
        <v>MAKENKE</v>
      </c>
      <c r="F1643" s="91">
        <v>987</v>
      </c>
    </row>
    <row r="1644" spans="1:6">
      <c r="A1644" s="91" t="s">
        <v>1935</v>
      </c>
      <c r="D1644" s="91" t="str">
        <f t="shared" si="27"/>
        <v>MBARARA</v>
      </c>
      <c r="F1644" s="91">
        <v>987</v>
      </c>
    </row>
    <row r="1645" spans="1:6">
      <c r="A1645" s="91" t="s">
        <v>1936</v>
      </c>
      <c r="D1645" s="91" t="str">
        <f t="shared" si="27"/>
        <v>LAKE MBURO PARK</v>
      </c>
      <c r="F1645" s="91">
        <v>987</v>
      </c>
    </row>
    <row r="1646" spans="1:6">
      <c r="A1646" s="91" t="s">
        <v>1937</v>
      </c>
      <c r="D1646" s="91" t="str">
        <f t="shared" si="27"/>
        <v>KAGANGO</v>
      </c>
      <c r="F1646" s="91">
        <v>987</v>
      </c>
    </row>
    <row r="1647" spans="1:6">
      <c r="A1647" s="91" t="s">
        <v>1938</v>
      </c>
      <c r="B1647" s="91" t="s">
        <v>230</v>
      </c>
      <c r="C1647" s="91" t="s">
        <v>1913</v>
      </c>
      <c r="D1647" s="91" t="str">
        <f t="shared" si="27"/>
        <v>Mwizi</v>
      </c>
      <c r="F1647" s="91">
        <v>988</v>
      </c>
    </row>
    <row r="1648" spans="1:6">
      <c r="A1648" s="91" t="s">
        <v>1939</v>
      </c>
      <c r="D1648" s="91" t="str">
        <f t="shared" si="27"/>
        <v>KAKOBA</v>
      </c>
      <c r="F1648" s="91">
        <v>988</v>
      </c>
    </row>
    <row r="1649" spans="1:6">
      <c r="A1649" s="91" t="s">
        <v>1940</v>
      </c>
      <c r="D1649" s="91" t="str">
        <f t="shared" si="27"/>
        <v>KIZUNGU</v>
      </c>
      <c r="F1649" s="91">
        <v>988</v>
      </c>
    </row>
    <row r="1650" spans="1:6">
      <c r="A1650" s="91" t="s">
        <v>1941</v>
      </c>
      <c r="B1650" s="91" t="s">
        <v>230</v>
      </c>
      <c r="C1650" s="91" t="s">
        <v>1913</v>
      </c>
      <c r="D1650" s="91" t="str">
        <f t="shared" si="27"/>
        <v>Ndeija</v>
      </c>
      <c r="F1650" s="91">
        <v>989</v>
      </c>
    </row>
    <row r="1651" spans="1:6">
      <c r="A1651" s="91" t="s">
        <v>1942</v>
      </c>
      <c r="D1651" s="91" t="str">
        <f t="shared" si="27"/>
        <v>Nyeihanga</v>
      </c>
      <c r="F1651" s="91">
        <v>989</v>
      </c>
    </row>
    <row r="1652" spans="1:6">
      <c r="A1652" s="91" t="s">
        <v>1943</v>
      </c>
      <c r="D1652" s="91" t="str">
        <f t="shared" si="27"/>
        <v>Kakigani</v>
      </c>
      <c r="F1652" s="91">
        <v>989</v>
      </c>
    </row>
    <row r="1653" spans="1:6">
      <c r="A1653" s="91" t="s">
        <v>1944</v>
      </c>
      <c r="B1653" s="91" t="s">
        <v>230</v>
      </c>
      <c r="C1653" s="91" t="s">
        <v>1911</v>
      </c>
      <c r="D1653" s="91" t="str">
        <f t="shared" si="27"/>
        <v>Rubaya-Mbarara</v>
      </c>
      <c r="F1653" s="91">
        <v>990</v>
      </c>
    </row>
    <row r="1654" spans="1:6">
      <c r="A1654" s="91" t="s">
        <v>1945</v>
      </c>
      <c r="D1654" s="91" t="str">
        <f t="shared" si="27"/>
        <v>BIHARWE</v>
      </c>
      <c r="F1654" s="91">
        <v>990</v>
      </c>
    </row>
    <row r="1655" spans="1:6">
      <c r="A1655" s="91" t="s">
        <v>1946</v>
      </c>
      <c r="D1655" s="91" t="str">
        <f t="shared" si="27"/>
        <v>KASHAKA</v>
      </c>
      <c r="F1655" s="91">
        <v>990</v>
      </c>
    </row>
    <row r="1656" spans="1:6">
      <c r="A1656" s="91" t="s">
        <v>1947</v>
      </c>
      <c r="B1656" s="91" t="s">
        <v>230</v>
      </c>
      <c r="C1656" s="91" t="s">
        <v>1911</v>
      </c>
      <c r="D1656" s="91" t="str">
        <f t="shared" si="27"/>
        <v>Rubindi</v>
      </c>
      <c r="F1656" s="91">
        <v>991</v>
      </c>
    </row>
    <row r="1657" spans="1:6">
      <c r="A1657" s="91" t="s">
        <v>1948</v>
      </c>
      <c r="D1657" s="91" t="str">
        <f t="shared" si="27"/>
        <v>KABARE</v>
      </c>
      <c r="F1657" s="91">
        <v>991</v>
      </c>
    </row>
    <row r="1658" spans="1:6">
      <c r="A1658" s="91" t="s">
        <v>1949</v>
      </c>
      <c r="B1658" s="91" t="s">
        <v>230</v>
      </c>
      <c r="C1658" s="91" t="s">
        <v>1913</v>
      </c>
      <c r="D1658" s="91" t="str">
        <f t="shared" si="27"/>
        <v>Rugando</v>
      </c>
      <c r="F1658" s="91">
        <v>992</v>
      </c>
    </row>
    <row r="1659" spans="1:6">
      <c r="A1659" s="91" t="s">
        <v>1950</v>
      </c>
      <c r="B1659" s="91" t="s">
        <v>230</v>
      </c>
      <c r="C1659" s="91" t="s">
        <v>1911</v>
      </c>
      <c r="D1659" s="91" t="str">
        <f t="shared" si="27"/>
        <v>Rwanyamahembe</v>
      </c>
      <c r="F1659" s="91">
        <v>993</v>
      </c>
    </row>
    <row r="1660" spans="1:6">
      <c r="A1660" s="91" t="s">
        <v>1951</v>
      </c>
      <c r="D1660" s="91" t="str">
        <f t="shared" si="27"/>
        <v>BWIZIBWERA</v>
      </c>
      <c r="F1660" s="91">
        <v>993</v>
      </c>
    </row>
    <row r="1661" spans="1:6">
      <c r="A1661" s="91" t="s">
        <v>1952</v>
      </c>
      <c r="B1661" s="91" t="s">
        <v>230</v>
      </c>
      <c r="D1661" s="91" t="str">
        <f t="shared" si="27"/>
        <v>Rwampala</v>
      </c>
      <c r="F1661" s="91">
        <v>993</v>
      </c>
    </row>
    <row r="1662" spans="1:6">
      <c r="A1662" s="91" t="s">
        <v>1913</v>
      </c>
      <c r="D1662" s="91" t="str">
        <f t="shared" si="27"/>
        <v>Rwampara</v>
      </c>
      <c r="F1662" s="91">
        <v>993</v>
      </c>
    </row>
    <row r="1663" spans="1:6">
      <c r="A1663" s="91" t="s">
        <v>1953</v>
      </c>
      <c r="D1663" s="91" t="str">
        <f t="shared" si="27"/>
        <v>Wrampara</v>
      </c>
      <c r="F1663" s="91">
        <v>993</v>
      </c>
    </row>
    <row r="1664" spans="1:6">
      <c r="A1664" s="91" t="s">
        <v>1954</v>
      </c>
      <c r="D1664" s="91" t="str">
        <f t="shared" si="27"/>
        <v>Wampera</v>
      </c>
      <c r="F1664" s="91">
        <v>993</v>
      </c>
    </row>
    <row r="1665" spans="1:6">
      <c r="A1665" s="91" t="s">
        <v>1955</v>
      </c>
      <c r="B1665" s="91" t="s">
        <v>51</v>
      </c>
      <c r="C1665" s="91" t="s">
        <v>1956</v>
      </c>
      <c r="D1665" s="91" t="str">
        <f t="shared" si="27"/>
        <v>Bitereko</v>
      </c>
      <c r="F1665" s="91">
        <v>994</v>
      </c>
    </row>
    <row r="1666" spans="1:6">
      <c r="A1666" s="91" t="s">
        <v>1728</v>
      </c>
      <c r="B1666" s="91" t="s">
        <v>51</v>
      </c>
      <c r="C1666" s="91" t="s">
        <v>1956</v>
      </c>
      <c r="D1666" s="91" t="str">
        <f t="shared" si="27"/>
        <v>Kabira</v>
      </c>
      <c r="F1666" s="91">
        <v>995</v>
      </c>
    </row>
    <row r="1667" spans="1:6">
      <c r="A1667" s="91" t="s">
        <v>1957</v>
      </c>
      <c r="B1667" s="91" t="s">
        <v>51</v>
      </c>
      <c r="C1667" s="91" t="s">
        <v>1956</v>
      </c>
      <c r="D1667" s="91" t="str">
        <f t="shared" ref="D1667:D1730" si="28">A1667</f>
        <v>Kanyabwanga</v>
      </c>
      <c r="F1667" s="91">
        <v>996</v>
      </c>
    </row>
    <row r="1668" spans="1:6">
      <c r="A1668" s="91" t="s">
        <v>1958</v>
      </c>
      <c r="B1668" s="91" t="s">
        <v>51</v>
      </c>
      <c r="C1668" s="91" t="s">
        <v>1956</v>
      </c>
      <c r="D1668" s="91" t="str">
        <f t="shared" si="28"/>
        <v>Kashenshero</v>
      </c>
      <c r="F1668" s="91">
        <v>997</v>
      </c>
    </row>
    <row r="1669" spans="1:6">
      <c r="A1669" s="91" t="s">
        <v>1959</v>
      </c>
      <c r="B1669" s="91" t="s">
        <v>51</v>
      </c>
      <c r="C1669" s="91" t="s">
        <v>1956</v>
      </c>
      <c r="D1669" s="91" t="str">
        <f t="shared" si="28"/>
        <v>Kashenshero Town Council</v>
      </c>
      <c r="F1669" s="91">
        <v>998</v>
      </c>
    </row>
    <row r="1670" spans="1:6">
      <c r="A1670" s="91" t="s">
        <v>1960</v>
      </c>
      <c r="B1670" s="91" t="s">
        <v>51</v>
      </c>
      <c r="C1670" s="91" t="s">
        <v>1956</v>
      </c>
      <c r="D1670" s="91" t="str">
        <f t="shared" si="28"/>
        <v>Katenga</v>
      </c>
      <c r="F1670" s="91">
        <v>999</v>
      </c>
    </row>
    <row r="1671" spans="1:6">
      <c r="A1671" s="91" t="s">
        <v>1961</v>
      </c>
      <c r="B1671" s="91" t="s">
        <v>51</v>
      </c>
      <c r="C1671" s="91" t="s">
        <v>1956</v>
      </c>
      <c r="D1671" s="91" t="str">
        <f t="shared" si="28"/>
        <v>Kiyanga</v>
      </c>
      <c r="F1671" s="91">
        <v>1000</v>
      </c>
    </row>
    <row r="1672" spans="1:6">
      <c r="A1672" s="91" t="s">
        <v>1962</v>
      </c>
      <c r="B1672" s="91" t="s">
        <v>51</v>
      </c>
      <c r="C1672" s="91" t="s">
        <v>1956</v>
      </c>
      <c r="D1672" s="91" t="str">
        <f t="shared" si="28"/>
        <v>Mayanga</v>
      </c>
      <c r="F1672" s="91">
        <v>1001</v>
      </c>
    </row>
    <row r="1673" spans="1:6">
      <c r="A1673" s="91" t="s">
        <v>51</v>
      </c>
      <c r="B1673" s="91" t="s">
        <v>51</v>
      </c>
      <c r="C1673" s="91" t="s">
        <v>1956</v>
      </c>
      <c r="D1673" s="91" t="str">
        <f t="shared" si="28"/>
        <v>Mitooma</v>
      </c>
      <c r="F1673" s="91">
        <v>1002</v>
      </c>
    </row>
    <row r="1674" spans="1:6">
      <c r="A1674" s="91" t="s">
        <v>1963</v>
      </c>
      <c r="D1674" s="91" t="str">
        <f t="shared" si="28"/>
        <v>MITOOMA CITY</v>
      </c>
      <c r="F1674" s="91">
        <v>1002</v>
      </c>
    </row>
    <row r="1675" spans="1:6">
      <c r="A1675" s="91" t="s">
        <v>1964</v>
      </c>
      <c r="B1675" s="91" t="s">
        <v>51</v>
      </c>
      <c r="C1675" s="91" t="s">
        <v>1956</v>
      </c>
      <c r="D1675" s="91" t="str">
        <f t="shared" si="28"/>
        <v>Mitooma Town Council</v>
      </c>
      <c r="F1675" s="91">
        <v>1003</v>
      </c>
    </row>
    <row r="1676" spans="1:6">
      <c r="A1676" s="91" t="s">
        <v>1965</v>
      </c>
      <c r="B1676" s="91" t="s">
        <v>51</v>
      </c>
      <c r="C1676" s="91" t="s">
        <v>1956</v>
      </c>
      <c r="D1676" s="91" t="str">
        <f t="shared" si="28"/>
        <v>Mutara</v>
      </c>
      <c r="F1676" s="91">
        <v>1004</v>
      </c>
    </row>
    <row r="1677" spans="1:6">
      <c r="A1677" s="91" t="s">
        <v>1966</v>
      </c>
      <c r="B1677" s="91" t="s">
        <v>51</v>
      </c>
      <c r="C1677" s="91" t="s">
        <v>1956</v>
      </c>
      <c r="D1677" s="91" t="str">
        <f t="shared" si="28"/>
        <v>Rurehe</v>
      </c>
      <c r="F1677" s="91">
        <v>1005</v>
      </c>
    </row>
    <row r="1678" spans="1:6">
      <c r="A1678" s="91" t="s">
        <v>1967</v>
      </c>
      <c r="B1678" s="91" t="s">
        <v>1968</v>
      </c>
      <c r="C1678" s="91" t="s">
        <v>1969</v>
      </c>
      <c r="D1678" s="91" t="str">
        <f t="shared" si="28"/>
        <v>Bbanda</v>
      </c>
      <c r="F1678" s="91">
        <v>1006</v>
      </c>
    </row>
    <row r="1679" spans="1:6">
      <c r="A1679" s="91" t="s">
        <v>1969</v>
      </c>
      <c r="D1679" s="91" t="str">
        <f t="shared" si="28"/>
        <v>Busujju</v>
      </c>
      <c r="F1679" s="91">
        <v>1006</v>
      </c>
    </row>
    <row r="1680" spans="1:6">
      <c r="A1680" s="91" t="s">
        <v>1970</v>
      </c>
      <c r="B1680" s="91" t="s">
        <v>1968</v>
      </c>
      <c r="C1680" s="91" t="s">
        <v>1968</v>
      </c>
      <c r="D1680" s="91" t="str">
        <f t="shared" si="28"/>
        <v>Bulera</v>
      </c>
      <c r="F1680" s="91">
        <v>1007</v>
      </c>
    </row>
    <row r="1681" spans="1:6">
      <c r="A1681" s="91" t="s">
        <v>1971</v>
      </c>
      <c r="B1681" s="91" t="s">
        <v>1968</v>
      </c>
      <c r="C1681" s="91" t="s">
        <v>1972</v>
      </c>
      <c r="D1681" s="91" t="str">
        <f t="shared" si="28"/>
        <v>Busimbi Division</v>
      </c>
      <c r="F1681" s="91">
        <v>1008</v>
      </c>
    </row>
    <row r="1682" spans="1:6">
      <c r="A1682" s="91" t="s">
        <v>1973</v>
      </c>
      <c r="B1682" s="91" t="s">
        <v>1968</v>
      </c>
      <c r="C1682" s="91" t="s">
        <v>1968</v>
      </c>
      <c r="D1682" s="91" t="str">
        <f t="shared" si="28"/>
        <v>Busunju Town Council</v>
      </c>
      <c r="F1682" s="91">
        <v>1009</v>
      </c>
    </row>
    <row r="1683" spans="1:6">
      <c r="A1683" s="91" t="s">
        <v>1974</v>
      </c>
      <c r="D1683" s="91" t="str">
        <f t="shared" si="28"/>
        <v>Busunju</v>
      </c>
      <c r="F1683" s="91">
        <v>1009</v>
      </c>
    </row>
    <row r="1684" spans="1:6">
      <c r="A1684" s="91" t="s">
        <v>1975</v>
      </c>
      <c r="D1684" s="91" t="str">
        <f t="shared" si="28"/>
        <v>Busunjo</v>
      </c>
      <c r="F1684" s="91">
        <v>1009</v>
      </c>
    </row>
    <row r="1685" spans="1:6">
      <c r="A1685" s="91" t="s">
        <v>1976</v>
      </c>
      <c r="D1685" s="91" t="str">
        <f t="shared" si="28"/>
        <v>BUSINJU</v>
      </c>
      <c r="F1685" s="91">
        <v>1009</v>
      </c>
    </row>
    <row r="1686" spans="1:6">
      <c r="A1686" s="91" t="s">
        <v>1977</v>
      </c>
      <c r="D1686" s="91" t="str">
        <f t="shared" si="28"/>
        <v>Busunjju</v>
      </c>
      <c r="F1686" s="91">
        <v>1009</v>
      </c>
    </row>
    <row r="1687" spans="1:6">
      <c r="A1687" s="91" t="s">
        <v>1978</v>
      </c>
      <c r="B1687" s="91" t="s">
        <v>1968</v>
      </c>
      <c r="C1687" s="91" t="s">
        <v>1969</v>
      </c>
      <c r="D1687" s="91" t="str">
        <f t="shared" si="28"/>
        <v>Butayunja</v>
      </c>
      <c r="F1687" s="91">
        <v>1010</v>
      </c>
    </row>
    <row r="1688" spans="1:6">
      <c r="A1688" s="91" t="s">
        <v>1979</v>
      </c>
      <c r="B1688" s="91" t="s">
        <v>1968</v>
      </c>
      <c r="C1688" s="91" t="s">
        <v>1969</v>
      </c>
      <c r="D1688" s="91" t="str">
        <f t="shared" si="28"/>
        <v>Kakindu</v>
      </c>
      <c r="F1688" s="91">
        <v>1011</v>
      </c>
    </row>
    <row r="1689" spans="1:6">
      <c r="A1689" s="91" t="s">
        <v>1980</v>
      </c>
      <c r="B1689" s="91" t="s">
        <v>1968</v>
      </c>
      <c r="C1689" s="91" t="s">
        <v>1968</v>
      </c>
      <c r="D1689" s="91" t="str">
        <f t="shared" si="28"/>
        <v>Kalangaalo</v>
      </c>
      <c r="F1689" s="91">
        <v>1012</v>
      </c>
    </row>
    <row r="1690" spans="1:6">
      <c r="A1690" s="91" t="s">
        <v>1981</v>
      </c>
      <c r="B1690" s="91" t="s">
        <v>1968</v>
      </c>
      <c r="C1690" s="91" t="s">
        <v>1968</v>
      </c>
      <c r="D1690" s="91" t="str">
        <f t="shared" si="28"/>
        <v>Kikandwa</v>
      </c>
      <c r="F1690" s="91">
        <v>1013</v>
      </c>
    </row>
    <row r="1691" spans="1:6">
      <c r="A1691" s="91" t="s">
        <v>1982</v>
      </c>
      <c r="B1691" s="91" t="s">
        <v>1968</v>
      </c>
      <c r="C1691" s="91" t="s">
        <v>1969</v>
      </c>
      <c r="D1691" s="91" t="str">
        <f t="shared" si="28"/>
        <v>Maanyi</v>
      </c>
      <c r="F1691" s="91">
        <v>1014</v>
      </c>
    </row>
    <row r="1692" spans="1:6">
      <c r="A1692" s="91" t="s">
        <v>1983</v>
      </c>
      <c r="B1692" s="91" t="s">
        <v>1968</v>
      </c>
      <c r="C1692" s="91" t="s">
        <v>1969</v>
      </c>
      <c r="D1692" s="91" t="str">
        <f t="shared" si="28"/>
        <v>Malangala</v>
      </c>
      <c r="F1692" s="91">
        <v>1015</v>
      </c>
    </row>
    <row r="1693" spans="1:6">
      <c r="A1693" s="91" t="s">
        <v>1972</v>
      </c>
      <c r="B1693" s="91" t="s">
        <v>1968</v>
      </c>
      <c r="C1693" s="91" t="s">
        <v>1972</v>
      </c>
      <c r="D1693" s="91" t="str">
        <f t="shared" si="28"/>
        <v>Mityana Municipality</v>
      </c>
      <c r="F1693" s="91">
        <v>1016</v>
      </c>
    </row>
    <row r="1694" spans="1:6">
      <c r="A1694" s="91" t="s">
        <v>1984</v>
      </c>
      <c r="D1694" s="91" t="str">
        <f t="shared" si="28"/>
        <v xml:space="preserve">Mityana  </v>
      </c>
      <c r="F1694" s="91">
        <v>1016</v>
      </c>
    </row>
    <row r="1695" spans="1:6">
      <c r="A1695" s="91" t="s">
        <v>1985</v>
      </c>
      <c r="D1695" s="91" t="str">
        <f t="shared" si="28"/>
        <v>Busula</v>
      </c>
      <c r="F1695" s="91">
        <v>1016</v>
      </c>
    </row>
    <row r="1696" spans="1:6">
      <c r="A1696" s="91" t="s">
        <v>1986</v>
      </c>
      <c r="D1696" s="91" t="str">
        <f t="shared" si="28"/>
        <v>MITIYANA</v>
      </c>
      <c r="F1696" s="91">
        <v>1016</v>
      </c>
    </row>
    <row r="1697" spans="1:6">
      <c r="A1697" s="91" t="s">
        <v>1987</v>
      </c>
      <c r="D1697" s="91" t="str">
        <f t="shared" si="28"/>
        <v>KOONA</v>
      </c>
      <c r="F1697" s="91">
        <v>1016</v>
      </c>
    </row>
    <row r="1698" spans="1:6">
      <c r="A1698" s="91" t="s">
        <v>1988</v>
      </c>
      <c r="D1698" s="91" t="str">
        <f t="shared" si="28"/>
        <v>SEKANYONYI</v>
      </c>
      <c r="F1698" s="91">
        <v>1016</v>
      </c>
    </row>
    <row r="1699" spans="1:6">
      <c r="A1699" s="91" t="s">
        <v>1968</v>
      </c>
      <c r="D1699" s="91" t="str">
        <f t="shared" si="28"/>
        <v>Mityana</v>
      </c>
      <c r="F1699" s="91">
        <v>1016</v>
      </c>
    </row>
    <row r="1700" spans="1:6">
      <c r="A1700" s="91" t="s">
        <v>1989</v>
      </c>
      <c r="D1700" s="91" t="str">
        <f t="shared" si="28"/>
        <v>Mityana town</v>
      </c>
      <c r="F1700" s="91">
        <v>1016</v>
      </c>
    </row>
    <row r="1701" spans="1:6">
      <c r="A1701" s="91" t="s">
        <v>1990</v>
      </c>
      <c r="D1701" s="91" t="str">
        <f t="shared" si="28"/>
        <v>Mitiyana town</v>
      </c>
      <c r="F1701" s="91">
        <v>1016</v>
      </c>
    </row>
    <row r="1702" spans="1:6">
      <c r="A1702" s="91" t="s">
        <v>1991</v>
      </c>
      <c r="B1702" s="91" t="s">
        <v>1968</v>
      </c>
      <c r="C1702" s="91" t="s">
        <v>1968</v>
      </c>
      <c r="D1702" s="91" t="str">
        <f t="shared" si="28"/>
        <v>Namungo</v>
      </c>
      <c r="F1702" s="91">
        <v>1017</v>
      </c>
    </row>
    <row r="1703" spans="1:6">
      <c r="A1703" s="91" t="s">
        <v>1992</v>
      </c>
      <c r="B1703" s="91" t="s">
        <v>1968</v>
      </c>
      <c r="C1703" s="91" t="s">
        <v>1968</v>
      </c>
      <c r="D1703" s="91" t="str">
        <f t="shared" si="28"/>
        <v>Ssekanyonyi</v>
      </c>
      <c r="F1703" s="91">
        <v>1018</v>
      </c>
    </row>
    <row r="1704" spans="1:6">
      <c r="A1704" s="91" t="s">
        <v>1993</v>
      </c>
      <c r="B1704" s="91" t="s">
        <v>279</v>
      </c>
      <c r="C1704" s="91" t="s">
        <v>1994</v>
      </c>
      <c r="D1704" s="91" t="str">
        <f t="shared" si="28"/>
        <v>Katikekile</v>
      </c>
      <c r="F1704" s="91">
        <v>1019</v>
      </c>
    </row>
    <row r="1705" spans="1:6">
      <c r="A1705" s="91" t="s">
        <v>1995</v>
      </c>
      <c r="B1705" s="91" t="s">
        <v>279</v>
      </c>
      <c r="C1705" s="91" t="s">
        <v>1995</v>
      </c>
      <c r="D1705" s="91" t="str">
        <f t="shared" si="28"/>
        <v>Moroto Municipality</v>
      </c>
      <c r="F1705" s="91">
        <v>1020</v>
      </c>
    </row>
    <row r="1706" spans="1:6">
      <c r="A1706" s="91" t="s">
        <v>1996</v>
      </c>
      <c r="D1706" s="91" t="str">
        <f t="shared" si="28"/>
        <v>MOROTO</v>
      </c>
      <c r="F1706" s="91">
        <v>1020</v>
      </c>
    </row>
    <row r="1707" spans="1:6">
      <c r="A1707" s="91" t="s">
        <v>1997</v>
      </c>
      <c r="B1707" s="91" t="s">
        <v>279</v>
      </c>
      <c r="C1707" s="91" t="s">
        <v>1994</v>
      </c>
      <c r="D1707" s="91" t="str">
        <f t="shared" si="28"/>
        <v>Nadunget</v>
      </c>
      <c r="F1707" s="91">
        <v>1021</v>
      </c>
    </row>
    <row r="1708" spans="1:6">
      <c r="A1708" s="91" t="s">
        <v>1998</v>
      </c>
      <c r="B1708" s="91" t="s">
        <v>279</v>
      </c>
      <c r="C1708" s="91" t="s">
        <v>1994</v>
      </c>
      <c r="D1708" s="91" t="str">
        <f t="shared" si="28"/>
        <v>Rupa</v>
      </c>
      <c r="F1708" s="91">
        <v>1022</v>
      </c>
    </row>
    <row r="1709" spans="1:6">
      <c r="A1709" s="91" t="s">
        <v>1999</v>
      </c>
      <c r="B1709" s="91" t="s">
        <v>279</v>
      </c>
      <c r="C1709" s="91" t="s">
        <v>1994</v>
      </c>
      <c r="D1709" s="91" t="str">
        <f t="shared" si="28"/>
        <v>Tapac</v>
      </c>
      <c r="F1709" s="91">
        <v>1023</v>
      </c>
    </row>
    <row r="1710" spans="1:6">
      <c r="A1710" s="91" t="s">
        <v>2000</v>
      </c>
      <c r="B1710" s="91" t="s">
        <v>2001</v>
      </c>
      <c r="C1710" s="91" t="s">
        <v>2002</v>
      </c>
      <c r="D1710" s="91" t="str">
        <f t="shared" si="28"/>
        <v>Aliba</v>
      </c>
      <c r="F1710" s="91">
        <v>1024</v>
      </c>
    </row>
    <row r="1711" spans="1:6">
      <c r="A1711" s="91" t="s">
        <v>2003</v>
      </c>
      <c r="B1711" s="91" t="s">
        <v>2001</v>
      </c>
      <c r="C1711" s="91" t="s">
        <v>2004</v>
      </c>
      <c r="D1711" s="91" t="str">
        <f t="shared" si="28"/>
        <v>Difule</v>
      </c>
      <c r="F1711" s="91">
        <v>1025</v>
      </c>
    </row>
    <row r="1712" spans="1:6">
      <c r="A1712" s="91" t="s">
        <v>2005</v>
      </c>
      <c r="B1712" s="91" t="s">
        <v>2001</v>
      </c>
      <c r="C1712" s="91" t="s">
        <v>2002</v>
      </c>
      <c r="D1712" s="91" t="str">
        <f t="shared" si="28"/>
        <v>Gimara</v>
      </c>
      <c r="F1712" s="91">
        <v>1026</v>
      </c>
    </row>
    <row r="1713" spans="1:6">
      <c r="A1713" s="91" t="s">
        <v>2006</v>
      </c>
      <c r="B1713" s="91" t="s">
        <v>2001</v>
      </c>
      <c r="C1713" s="91" t="s">
        <v>2002</v>
      </c>
      <c r="D1713" s="91" t="str">
        <f t="shared" si="28"/>
        <v>Itula</v>
      </c>
      <c r="F1713" s="91">
        <v>1027</v>
      </c>
    </row>
    <row r="1714" spans="1:6">
      <c r="A1714" s="91" t="s">
        <v>2007</v>
      </c>
      <c r="B1714" s="91" t="s">
        <v>2001</v>
      </c>
      <c r="C1714" s="91" t="s">
        <v>2004</v>
      </c>
      <c r="D1714" s="91" t="str">
        <f t="shared" si="28"/>
        <v>Laropi</v>
      </c>
      <c r="F1714" s="91">
        <v>1028</v>
      </c>
    </row>
    <row r="1715" spans="1:6">
      <c r="A1715" s="91" t="s">
        <v>2008</v>
      </c>
      <c r="B1715" s="91" t="s">
        <v>2001</v>
      </c>
      <c r="C1715" s="91" t="s">
        <v>2004</v>
      </c>
      <c r="D1715" s="91" t="str">
        <f t="shared" si="28"/>
        <v>Lefori</v>
      </c>
      <c r="F1715" s="91">
        <v>1029</v>
      </c>
    </row>
    <row r="1716" spans="1:6">
      <c r="A1716" s="91" t="s">
        <v>2009</v>
      </c>
      <c r="B1716" s="91" t="s">
        <v>2001</v>
      </c>
      <c r="C1716" s="91" t="s">
        <v>2004</v>
      </c>
      <c r="D1716" s="91" t="str">
        <f t="shared" si="28"/>
        <v>Metu</v>
      </c>
      <c r="F1716" s="91">
        <v>1030</v>
      </c>
    </row>
    <row r="1717" spans="1:6">
      <c r="A1717" s="91" t="s">
        <v>2001</v>
      </c>
      <c r="B1717" s="91" t="s">
        <v>2001</v>
      </c>
      <c r="C1717" s="91" t="s">
        <v>2004</v>
      </c>
      <c r="D1717" s="91" t="str">
        <f t="shared" si="28"/>
        <v>Moyo</v>
      </c>
      <c r="F1717" s="91">
        <v>1031</v>
      </c>
    </row>
    <row r="1718" spans="1:6">
      <c r="A1718" s="91" t="s">
        <v>2010</v>
      </c>
      <c r="B1718" s="91" t="s">
        <v>2001</v>
      </c>
      <c r="C1718" s="91" t="s">
        <v>2004</v>
      </c>
      <c r="D1718" s="91" t="str">
        <f t="shared" si="28"/>
        <v>Moyo Town Council</v>
      </c>
      <c r="F1718" s="91">
        <v>1032</v>
      </c>
    </row>
    <row r="1719" spans="1:6">
      <c r="A1719" s="91" t="s">
        <v>2011</v>
      </c>
      <c r="B1719" s="91" t="s">
        <v>2012</v>
      </c>
      <c r="C1719" s="91" t="s">
        <v>2013</v>
      </c>
      <c r="D1719" s="91" t="str">
        <f t="shared" si="28"/>
        <v>Buwama</v>
      </c>
      <c r="F1719" s="91">
        <v>1033</v>
      </c>
    </row>
    <row r="1720" spans="1:6">
      <c r="A1720" s="91" t="s">
        <v>2014</v>
      </c>
      <c r="B1720" s="91" t="s">
        <v>2012</v>
      </c>
      <c r="C1720" s="91" t="s">
        <v>2013</v>
      </c>
      <c r="D1720" s="91" t="str">
        <f t="shared" si="28"/>
        <v>Kammengo</v>
      </c>
      <c r="F1720" s="91">
        <v>1034</v>
      </c>
    </row>
    <row r="1721" spans="1:6">
      <c r="A1721" s="91" t="s">
        <v>2015</v>
      </c>
      <c r="B1721" s="91" t="s">
        <v>2012</v>
      </c>
      <c r="C1721" s="91" t="s">
        <v>2013</v>
      </c>
      <c r="D1721" s="91" t="str">
        <f t="shared" si="28"/>
        <v>Kiringente</v>
      </c>
      <c r="F1721" s="91">
        <v>1035</v>
      </c>
    </row>
    <row r="1722" spans="1:6">
      <c r="A1722" s="91" t="s">
        <v>2016</v>
      </c>
      <c r="B1722" s="91" t="s">
        <v>2012</v>
      </c>
      <c r="C1722" s="91" t="s">
        <v>2013</v>
      </c>
      <c r="D1722" s="91" t="str">
        <f t="shared" si="28"/>
        <v>Kituntu</v>
      </c>
      <c r="F1722" s="91">
        <v>1036</v>
      </c>
    </row>
    <row r="1723" spans="1:6">
      <c r="A1723" s="91" t="s">
        <v>2017</v>
      </c>
      <c r="B1723" s="91" t="s">
        <v>2012</v>
      </c>
      <c r="C1723" s="91" t="s">
        <v>2013</v>
      </c>
      <c r="D1723" s="91" t="str">
        <f t="shared" si="28"/>
        <v>Mpigi Town Council</v>
      </c>
      <c r="F1723" s="91">
        <v>1037</v>
      </c>
    </row>
    <row r="1724" spans="1:6">
      <c r="A1724" s="91" t="s">
        <v>2018</v>
      </c>
      <c r="D1724" s="91" t="str">
        <f t="shared" si="28"/>
        <v xml:space="preserve">MPIGI TOWN </v>
      </c>
      <c r="F1724" s="91">
        <v>1037</v>
      </c>
    </row>
    <row r="1725" spans="1:6">
      <c r="A1725" s="91" t="s">
        <v>2019</v>
      </c>
      <c r="D1725" s="91" t="str">
        <f t="shared" si="28"/>
        <v>Kayabwe</v>
      </c>
      <c r="F1725" s="91">
        <v>1037</v>
      </c>
    </row>
    <row r="1726" spans="1:6">
      <c r="A1726" s="91" t="s">
        <v>2020</v>
      </c>
      <c r="D1726" s="91" t="str">
        <f t="shared" si="28"/>
        <v>Watubba</v>
      </c>
      <c r="F1726" s="91">
        <v>1037</v>
      </c>
    </row>
    <row r="1727" spans="1:6">
      <c r="A1727" s="91" t="s">
        <v>2021</v>
      </c>
      <c r="D1727" s="91" t="str">
        <f t="shared" si="28"/>
        <v>Kayebwe</v>
      </c>
      <c r="F1727" s="91">
        <v>1037</v>
      </c>
    </row>
    <row r="1728" spans="1:6">
      <c r="A1728" s="91" t="s">
        <v>2022</v>
      </c>
      <c r="D1728" s="91" t="str">
        <f t="shared" si="28"/>
        <v>MPIGI</v>
      </c>
      <c r="F1728" s="91">
        <v>1037</v>
      </c>
    </row>
    <row r="1729" spans="1:6">
      <c r="A1729" s="91" t="s">
        <v>2023</v>
      </c>
      <c r="B1729" s="91" t="s">
        <v>2012</v>
      </c>
      <c r="C1729" s="91" t="s">
        <v>2013</v>
      </c>
      <c r="D1729" s="91" t="str">
        <f t="shared" si="28"/>
        <v>Muduuma</v>
      </c>
      <c r="F1729" s="91">
        <v>1038</v>
      </c>
    </row>
    <row r="1730" spans="1:6">
      <c r="A1730" s="91" t="s">
        <v>2024</v>
      </c>
      <c r="B1730" s="91" t="s">
        <v>2012</v>
      </c>
      <c r="C1730" s="91" t="s">
        <v>2013</v>
      </c>
      <c r="D1730" s="91" t="str">
        <f t="shared" si="28"/>
        <v>Nkozi</v>
      </c>
      <c r="F1730" s="91">
        <v>1039</v>
      </c>
    </row>
    <row r="1731" spans="1:6">
      <c r="A1731" s="91" t="s">
        <v>2025</v>
      </c>
      <c r="B1731" s="91" t="s">
        <v>2026</v>
      </c>
      <c r="C1731" s="91" t="s">
        <v>2027</v>
      </c>
      <c r="D1731" s="91" t="str">
        <f t="shared" ref="D1731:D1794" si="29">A1731</f>
        <v>Bagezza</v>
      </c>
      <c r="F1731" s="91">
        <v>1040</v>
      </c>
    </row>
    <row r="1732" spans="1:6">
      <c r="A1732" s="91" t="s">
        <v>2028</v>
      </c>
      <c r="B1732" s="91" t="s">
        <v>2026</v>
      </c>
      <c r="C1732" s="91" t="s">
        <v>2029</v>
      </c>
      <c r="D1732" s="91" t="str">
        <f t="shared" si="29"/>
        <v>Bukuya</v>
      </c>
      <c r="F1732" s="91">
        <v>1041</v>
      </c>
    </row>
    <row r="1733" spans="1:6">
      <c r="A1733" s="91" t="s">
        <v>2030</v>
      </c>
      <c r="D1733" s="91" t="str">
        <f t="shared" si="29"/>
        <v>Kamengo</v>
      </c>
      <c r="F1733" s="91">
        <v>1041</v>
      </c>
    </row>
    <row r="1734" spans="1:6">
      <c r="A1734" s="91" t="s">
        <v>2031</v>
      </c>
      <c r="B1734" s="91" t="s">
        <v>2026</v>
      </c>
      <c r="C1734" s="91" t="s">
        <v>2032</v>
      </c>
      <c r="D1734" s="91" t="str">
        <f t="shared" si="29"/>
        <v>Butoloogo</v>
      </c>
      <c r="F1734" s="91">
        <v>1042</v>
      </c>
    </row>
    <row r="1735" spans="1:6">
      <c r="A1735" s="91" t="s">
        <v>2033</v>
      </c>
      <c r="B1735" s="91" t="s">
        <v>2026</v>
      </c>
      <c r="C1735" s="91" t="s">
        <v>2029</v>
      </c>
      <c r="D1735" s="91" t="str">
        <f t="shared" si="29"/>
        <v>Kalwana</v>
      </c>
      <c r="F1735" s="91">
        <v>1043</v>
      </c>
    </row>
    <row r="1736" spans="1:6">
      <c r="A1736" s="91" t="s">
        <v>2034</v>
      </c>
      <c r="B1736" s="91" t="s">
        <v>2026</v>
      </c>
      <c r="C1736" s="91" t="s">
        <v>2027</v>
      </c>
      <c r="D1736" s="91" t="str">
        <f t="shared" si="29"/>
        <v>Kasambya-Mubende</v>
      </c>
      <c r="F1736" s="91">
        <v>1044</v>
      </c>
    </row>
    <row r="1737" spans="1:6">
      <c r="A1737" s="91" t="s">
        <v>2027</v>
      </c>
      <c r="D1737" s="91" t="str">
        <f t="shared" si="29"/>
        <v>Kasambya</v>
      </c>
      <c r="F1737" s="91">
        <v>1044</v>
      </c>
    </row>
    <row r="1738" spans="1:6">
      <c r="A1738" s="91" t="s">
        <v>2029</v>
      </c>
      <c r="B1738" s="91" t="s">
        <v>2026</v>
      </c>
      <c r="C1738" s="91" t="s">
        <v>2029</v>
      </c>
      <c r="D1738" s="91" t="str">
        <f t="shared" si="29"/>
        <v>Kassanda</v>
      </c>
      <c r="F1738" s="91">
        <v>1045</v>
      </c>
    </row>
    <row r="1739" spans="1:6">
      <c r="A1739" s="91" t="s">
        <v>2035</v>
      </c>
      <c r="D1739" s="91" t="str">
        <f t="shared" si="29"/>
        <v>Kasanda</v>
      </c>
      <c r="F1739" s="91">
        <v>1045</v>
      </c>
    </row>
    <row r="1740" spans="1:6">
      <c r="A1740" s="91" t="s">
        <v>2036</v>
      </c>
      <c r="B1740" s="91" t="s">
        <v>2026</v>
      </c>
      <c r="C1740" s="91" t="s">
        <v>2027</v>
      </c>
      <c r="D1740" s="91" t="str">
        <f t="shared" si="29"/>
        <v>Kibalinga</v>
      </c>
      <c r="F1740" s="91">
        <v>1046</v>
      </c>
    </row>
    <row r="1741" spans="1:6">
      <c r="A1741" s="91" t="s">
        <v>2037</v>
      </c>
      <c r="B1741" s="91" t="s">
        <v>2026</v>
      </c>
      <c r="C1741" s="91" t="s">
        <v>2029</v>
      </c>
      <c r="D1741" s="91" t="str">
        <f t="shared" si="29"/>
        <v>Kiganda</v>
      </c>
      <c r="F1741" s="91">
        <v>1047</v>
      </c>
    </row>
    <row r="1742" spans="1:6">
      <c r="A1742" s="91" t="s">
        <v>2038</v>
      </c>
      <c r="B1742" s="91" t="s">
        <v>2026</v>
      </c>
      <c r="C1742" s="91" t="s">
        <v>2027</v>
      </c>
      <c r="D1742" s="91" t="str">
        <f t="shared" si="29"/>
        <v>Kigando</v>
      </c>
      <c r="F1742" s="91">
        <v>1048</v>
      </c>
    </row>
    <row r="1743" spans="1:6">
      <c r="A1743" s="91" t="s">
        <v>2039</v>
      </c>
      <c r="B1743" s="91" t="s">
        <v>2026</v>
      </c>
      <c r="C1743" s="91" t="s">
        <v>2032</v>
      </c>
      <c r="D1743" s="91" t="str">
        <f t="shared" si="29"/>
        <v>Kitenga</v>
      </c>
      <c r="F1743" s="91">
        <v>1049</v>
      </c>
    </row>
    <row r="1744" spans="1:6">
      <c r="A1744" s="91" t="s">
        <v>2040</v>
      </c>
      <c r="B1744" s="91" t="s">
        <v>2026</v>
      </c>
      <c r="C1744" s="91" t="s">
        <v>2029</v>
      </c>
      <c r="D1744" s="91" t="str">
        <f t="shared" si="29"/>
        <v>Kitumbi</v>
      </c>
      <c r="F1744" s="91">
        <v>1050</v>
      </c>
    </row>
    <row r="1745" spans="1:6">
      <c r="A1745" s="91" t="s">
        <v>2041</v>
      </c>
      <c r="B1745" s="91" t="s">
        <v>2026</v>
      </c>
      <c r="C1745" s="91" t="s">
        <v>2032</v>
      </c>
      <c r="D1745" s="91" t="str">
        <f t="shared" si="29"/>
        <v>Kiyuni</v>
      </c>
      <c r="F1745" s="91">
        <v>1051</v>
      </c>
    </row>
    <row r="1746" spans="1:6">
      <c r="A1746" s="91" t="s">
        <v>2042</v>
      </c>
      <c r="B1746" s="91" t="s">
        <v>2026</v>
      </c>
      <c r="C1746" s="91" t="s">
        <v>2032</v>
      </c>
      <c r="D1746" s="91" t="str">
        <f t="shared" si="29"/>
        <v>Madudu</v>
      </c>
      <c r="F1746" s="91">
        <v>1052</v>
      </c>
    </row>
    <row r="1747" spans="1:6">
      <c r="A1747" s="91" t="s">
        <v>2043</v>
      </c>
      <c r="B1747" s="91" t="s">
        <v>2026</v>
      </c>
      <c r="C1747" s="91" t="s">
        <v>2029</v>
      </c>
      <c r="D1747" s="91" t="str">
        <f t="shared" si="29"/>
        <v>Makokoto</v>
      </c>
      <c r="F1747" s="91">
        <v>1053</v>
      </c>
    </row>
    <row r="1748" spans="1:6">
      <c r="A1748" s="91" t="s">
        <v>2044</v>
      </c>
      <c r="B1748" s="91" t="s">
        <v>2026</v>
      </c>
      <c r="C1748" s="91" t="s">
        <v>2029</v>
      </c>
      <c r="D1748" s="91" t="str">
        <f t="shared" si="29"/>
        <v>Manyogaseka</v>
      </c>
      <c r="F1748" s="91">
        <v>1054</v>
      </c>
    </row>
    <row r="1749" spans="1:6">
      <c r="A1749" s="91" t="s">
        <v>2045</v>
      </c>
      <c r="B1749" s="91" t="s">
        <v>2026</v>
      </c>
      <c r="C1749" s="91" t="s">
        <v>2045</v>
      </c>
      <c r="D1749" s="91" t="str">
        <f t="shared" si="29"/>
        <v>Mubende Municipality</v>
      </c>
      <c r="F1749" s="91">
        <v>1055</v>
      </c>
    </row>
    <row r="1750" spans="1:6">
      <c r="A1750" s="91" t="s">
        <v>2046</v>
      </c>
      <c r="D1750" s="91" t="str">
        <f t="shared" si="29"/>
        <v>Mubende town</v>
      </c>
      <c r="F1750" s="91">
        <v>1055</v>
      </c>
    </row>
    <row r="1751" spans="1:6">
      <c r="A1751" s="91" t="s">
        <v>2047</v>
      </c>
      <c r="D1751" s="91" t="str">
        <f t="shared" si="29"/>
        <v>Kigezi</v>
      </c>
      <c r="F1751" s="91">
        <v>1055</v>
      </c>
    </row>
    <row r="1752" spans="1:6">
      <c r="A1752" s="91" t="s">
        <v>634</v>
      </c>
      <c r="D1752" s="91" t="str">
        <f t="shared" si="29"/>
        <v>Gomba</v>
      </c>
      <c r="F1752" s="91">
        <v>1055</v>
      </c>
    </row>
    <row r="1753" spans="1:6">
      <c r="A1753" s="91" t="s">
        <v>2048</v>
      </c>
      <c r="D1753" s="91" t="str">
        <f t="shared" si="29"/>
        <v>FORTPOTAL</v>
      </c>
      <c r="F1753" s="91">
        <v>1055</v>
      </c>
    </row>
    <row r="1754" spans="1:6">
      <c r="A1754" s="91" t="s">
        <v>2049</v>
      </c>
      <c r="D1754" s="91" t="str">
        <f t="shared" si="29"/>
        <v>MUBENDE</v>
      </c>
      <c r="F1754" s="91">
        <v>1055</v>
      </c>
    </row>
    <row r="1755" spans="1:6">
      <c r="A1755" s="91" t="s">
        <v>2050</v>
      </c>
      <c r="B1755" s="91" t="s">
        <v>2026</v>
      </c>
      <c r="C1755" s="91" t="s">
        <v>2029</v>
      </c>
      <c r="D1755" s="91" t="str">
        <f t="shared" si="29"/>
        <v>Myanzi</v>
      </c>
      <c r="F1755" s="91">
        <v>1056</v>
      </c>
    </row>
    <row r="1756" spans="1:6">
      <c r="A1756" s="91" t="s">
        <v>2051</v>
      </c>
      <c r="B1756" s="91" t="s">
        <v>2026</v>
      </c>
      <c r="C1756" s="91" t="s">
        <v>2027</v>
      </c>
      <c r="D1756" s="91" t="str">
        <f t="shared" si="29"/>
        <v>Nabingoola</v>
      </c>
      <c r="F1756" s="91">
        <v>1057</v>
      </c>
    </row>
    <row r="1757" spans="1:6">
      <c r="A1757" s="91" t="s">
        <v>2052</v>
      </c>
      <c r="B1757" s="91" t="s">
        <v>2053</v>
      </c>
      <c r="C1757" s="91" t="s">
        <v>2054</v>
      </c>
      <c r="D1757" s="91" t="str">
        <f t="shared" si="29"/>
        <v>Kasawo</v>
      </c>
      <c r="F1757" s="91">
        <v>1058</v>
      </c>
    </row>
    <row r="1758" spans="1:6">
      <c r="A1758" s="91" t="s">
        <v>2055</v>
      </c>
      <c r="B1758" s="91" t="s">
        <v>2053</v>
      </c>
      <c r="C1758" s="91" t="s">
        <v>2054</v>
      </c>
      <c r="D1758" s="91" t="str">
        <f t="shared" si="29"/>
        <v>Kimenyedde</v>
      </c>
      <c r="F1758" s="91">
        <v>1059</v>
      </c>
    </row>
    <row r="1759" spans="1:6">
      <c r="A1759" s="91" t="s">
        <v>2056</v>
      </c>
      <c r="B1759" s="91" t="s">
        <v>2053</v>
      </c>
      <c r="C1759" s="91" t="s">
        <v>2053</v>
      </c>
      <c r="D1759" s="91" t="str">
        <f t="shared" si="29"/>
        <v>Koome Island</v>
      </c>
      <c r="F1759" s="91">
        <v>1060</v>
      </c>
    </row>
    <row r="1760" spans="1:6">
      <c r="A1760" s="91" t="s">
        <v>2057</v>
      </c>
      <c r="B1760" s="91" t="s">
        <v>2053</v>
      </c>
      <c r="C1760" s="91" t="s">
        <v>2053</v>
      </c>
      <c r="D1760" s="91" t="str">
        <f t="shared" si="29"/>
        <v>Kyampisi</v>
      </c>
      <c r="F1760" s="91">
        <v>1061</v>
      </c>
    </row>
    <row r="1761" spans="1:6">
      <c r="A1761" s="91" t="s">
        <v>2058</v>
      </c>
      <c r="D1761" s="91" t="str">
        <f t="shared" si="29"/>
        <v>Ddundu</v>
      </c>
      <c r="F1761" s="91">
        <v>1061</v>
      </c>
    </row>
    <row r="1762" spans="1:6">
      <c r="A1762" s="91" t="s">
        <v>2059</v>
      </c>
      <c r="D1762" s="91" t="str">
        <f t="shared" si="29"/>
        <v>Kiwumu</v>
      </c>
      <c r="F1762" s="91">
        <v>1061</v>
      </c>
    </row>
    <row r="1763" spans="1:6">
      <c r="A1763" s="91" t="s">
        <v>2060</v>
      </c>
      <c r="B1763" s="91" t="s">
        <v>2053</v>
      </c>
      <c r="C1763" s="91" t="s">
        <v>2053</v>
      </c>
      <c r="D1763" s="91" t="str">
        <f t="shared" si="29"/>
        <v>Mpatta</v>
      </c>
      <c r="F1763" s="91">
        <v>1062</v>
      </c>
    </row>
    <row r="1764" spans="1:6">
      <c r="A1764" s="91" t="s">
        <v>2061</v>
      </c>
      <c r="B1764" s="91" t="s">
        <v>2053</v>
      </c>
      <c r="C1764" s="91" t="s">
        <v>2053</v>
      </c>
      <c r="D1764" s="91" t="str">
        <f t="shared" si="29"/>
        <v>Mpunge</v>
      </c>
      <c r="F1764" s="91">
        <v>1063</v>
      </c>
    </row>
    <row r="1765" spans="1:6">
      <c r="A1765" s="91" t="s">
        <v>2062</v>
      </c>
      <c r="B1765" s="91" t="s">
        <v>2053</v>
      </c>
      <c r="C1765" s="91" t="s">
        <v>2062</v>
      </c>
      <c r="D1765" s="91" t="str">
        <f t="shared" si="29"/>
        <v>Mukono Municipality</v>
      </c>
      <c r="F1765" s="91">
        <v>1064</v>
      </c>
    </row>
    <row r="1766" spans="1:6">
      <c r="A1766" s="91" t="s">
        <v>2063</v>
      </c>
      <c r="D1766" s="91" t="str">
        <f t="shared" si="29"/>
        <v>TOWN MUKONO</v>
      </c>
      <c r="F1766" s="91">
        <v>1064</v>
      </c>
    </row>
    <row r="1767" spans="1:6">
      <c r="A1767" s="91" t="s">
        <v>2064</v>
      </c>
      <c r="D1767" s="91" t="str">
        <f t="shared" si="29"/>
        <v>Kauga</v>
      </c>
      <c r="F1767" s="91">
        <v>1064</v>
      </c>
    </row>
    <row r="1768" spans="1:6">
      <c r="A1768" s="91" t="s">
        <v>2065</v>
      </c>
      <c r="D1768" s="91" t="str">
        <f t="shared" si="29"/>
        <v xml:space="preserve">MUKONO TOWN </v>
      </c>
      <c r="F1768" s="91">
        <v>1064</v>
      </c>
    </row>
    <row r="1769" spans="1:6">
      <c r="A1769" s="91" t="s">
        <v>2066</v>
      </c>
      <c r="D1769" s="91" t="str">
        <f t="shared" si="29"/>
        <v xml:space="preserve">MUKONO </v>
      </c>
      <c r="F1769" s="91">
        <v>1064</v>
      </c>
    </row>
    <row r="1770" spans="1:6">
      <c r="A1770" s="91" t="s">
        <v>2067</v>
      </c>
      <c r="D1770" s="91" t="str">
        <f t="shared" si="29"/>
        <v>Bukerere</v>
      </c>
      <c r="F1770" s="91">
        <v>1064</v>
      </c>
    </row>
    <row r="1771" spans="1:6">
      <c r="A1771" s="91" t="s">
        <v>2068</v>
      </c>
      <c r="D1771" s="91" t="str">
        <f t="shared" si="29"/>
        <v>Nakasajja</v>
      </c>
      <c r="F1771" s="91">
        <v>1064</v>
      </c>
    </row>
    <row r="1772" spans="1:6">
      <c r="A1772" s="91" t="s">
        <v>226</v>
      </c>
      <c r="D1772" s="91" t="str">
        <f t="shared" si="29"/>
        <v>Namanve</v>
      </c>
      <c r="F1772" s="91">
        <v>1064</v>
      </c>
    </row>
    <row r="1773" spans="1:6">
      <c r="A1773" s="91" t="s">
        <v>2069</v>
      </c>
      <c r="D1773" s="91" t="str">
        <f t="shared" si="29"/>
        <v>NANVE</v>
      </c>
      <c r="F1773" s="91">
        <v>1064</v>
      </c>
    </row>
    <row r="1774" spans="1:6">
      <c r="A1774" s="91" t="s">
        <v>2070</v>
      </c>
      <c r="D1774" s="91" t="str">
        <f t="shared" si="29"/>
        <v>Kalagi</v>
      </c>
      <c r="F1774" s="91">
        <v>1064</v>
      </c>
    </row>
    <row r="1775" spans="1:6">
      <c r="A1775" s="91" t="s">
        <v>2071</v>
      </c>
      <c r="D1775" s="91" t="str">
        <f t="shared" si="29"/>
        <v>NAKIFUMA</v>
      </c>
      <c r="F1775" s="91">
        <v>1064</v>
      </c>
    </row>
    <row r="1776" spans="1:6">
      <c r="A1776" s="91" t="s">
        <v>2072</v>
      </c>
      <c r="D1776" s="91" t="str">
        <f t="shared" si="29"/>
        <v>Nakituma</v>
      </c>
      <c r="F1776" s="91">
        <v>1064</v>
      </c>
    </row>
    <row r="1777" spans="1:6">
      <c r="A1777" s="91" t="s">
        <v>2073</v>
      </c>
      <c r="D1777" s="91" t="str">
        <f t="shared" si="29"/>
        <v>Mbalala</v>
      </c>
      <c r="F1777" s="91">
        <v>1064</v>
      </c>
    </row>
    <row r="1778" spans="1:6">
      <c r="A1778" s="91" t="s">
        <v>2074</v>
      </c>
      <c r="D1778" s="91" t="str">
        <f t="shared" si="29"/>
        <v>Mukono park</v>
      </c>
      <c r="F1778" s="91">
        <v>1064</v>
      </c>
    </row>
    <row r="1779" spans="1:6">
      <c r="A1779" s="91" t="s">
        <v>2075</v>
      </c>
      <c r="D1779" s="91" t="str">
        <f t="shared" si="29"/>
        <v>MUKONO</v>
      </c>
      <c r="F1779" s="91">
        <v>1064</v>
      </c>
    </row>
    <row r="1780" spans="1:6">
      <c r="A1780" s="91" t="s">
        <v>2076</v>
      </c>
      <c r="D1780" s="91" t="str">
        <f t="shared" si="29"/>
        <v>Mukono Town</v>
      </c>
      <c r="F1780" s="91">
        <v>1064</v>
      </c>
    </row>
    <row r="1781" spans="1:6">
      <c r="A1781" s="91" t="s">
        <v>2077</v>
      </c>
      <c r="B1781" s="91" t="s">
        <v>2053</v>
      </c>
      <c r="C1781" s="91" t="s">
        <v>2054</v>
      </c>
      <c r="D1781" s="91" t="str">
        <f t="shared" si="29"/>
        <v>Nabbaale</v>
      </c>
      <c r="F1781" s="91">
        <v>1065</v>
      </c>
    </row>
    <row r="1782" spans="1:6">
      <c r="A1782" s="91" t="s">
        <v>2078</v>
      </c>
      <c r="B1782" s="91" t="s">
        <v>2053</v>
      </c>
      <c r="C1782" s="91" t="s">
        <v>2054</v>
      </c>
      <c r="D1782" s="91" t="str">
        <f t="shared" si="29"/>
        <v>Nagojje</v>
      </c>
      <c r="F1782" s="91">
        <v>1066</v>
      </c>
    </row>
    <row r="1783" spans="1:6">
      <c r="A1783" s="91" t="s">
        <v>2079</v>
      </c>
      <c r="B1783" s="91" t="s">
        <v>2053</v>
      </c>
      <c r="C1783" s="91" t="s">
        <v>2053</v>
      </c>
      <c r="D1783" s="91" t="str">
        <f t="shared" si="29"/>
        <v>Nakisunga</v>
      </c>
      <c r="F1783" s="91">
        <v>1067</v>
      </c>
    </row>
    <row r="1784" spans="1:6">
      <c r="A1784" s="91" t="s">
        <v>2080</v>
      </c>
      <c r="B1784" s="91" t="s">
        <v>2053</v>
      </c>
      <c r="C1784" s="91" t="s">
        <v>2053</v>
      </c>
      <c r="D1784" s="91" t="str">
        <f t="shared" si="29"/>
        <v>Nama</v>
      </c>
      <c r="F1784" s="91">
        <v>1068</v>
      </c>
    </row>
    <row r="1785" spans="1:6">
      <c r="A1785" s="91" t="s">
        <v>2081</v>
      </c>
      <c r="D1785" s="91" t="str">
        <f t="shared" si="29"/>
        <v>Kubiiri</v>
      </c>
      <c r="F1785" s="91">
        <v>1068</v>
      </c>
    </row>
    <row r="1786" spans="1:6">
      <c r="A1786" s="91" t="s">
        <v>2082</v>
      </c>
      <c r="D1786" s="91" t="str">
        <f t="shared" si="29"/>
        <v>Kubiri</v>
      </c>
      <c r="F1786" s="91">
        <v>1068</v>
      </c>
    </row>
    <row r="1787" spans="1:6">
      <c r="A1787" s="91" t="s">
        <v>2083</v>
      </c>
      <c r="D1787" s="91" t="str">
        <f t="shared" si="29"/>
        <v>Kubbiri</v>
      </c>
      <c r="F1787" s="91">
        <v>1068</v>
      </c>
    </row>
    <row r="1788" spans="1:6">
      <c r="A1788" s="91" t="s">
        <v>1499</v>
      </c>
      <c r="B1788" s="91" t="s">
        <v>2053</v>
      </c>
      <c r="C1788" s="91" t="s">
        <v>2053</v>
      </c>
      <c r="D1788" s="91" t="str">
        <f t="shared" si="29"/>
        <v>Ntenjeru</v>
      </c>
      <c r="F1788" s="91">
        <v>1069</v>
      </c>
    </row>
    <row r="1789" spans="1:6">
      <c r="A1789" s="91" t="s">
        <v>2084</v>
      </c>
      <c r="B1789" s="91" t="s">
        <v>2053</v>
      </c>
      <c r="C1789" s="91" t="s">
        <v>2054</v>
      </c>
      <c r="D1789" s="91" t="str">
        <f t="shared" si="29"/>
        <v>Ntunda</v>
      </c>
      <c r="F1789" s="91">
        <v>1070</v>
      </c>
    </row>
    <row r="1790" spans="1:6">
      <c r="A1790" s="91" t="s">
        <v>2085</v>
      </c>
      <c r="D1790" s="91" t="str">
        <f t="shared" si="29"/>
        <v>SEETA</v>
      </c>
      <c r="F1790" s="91">
        <v>1071</v>
      </c>
    </row>
    <row r="1791" spans="1:6">
      <c r="A1791" s="91" t="s">
        <v>2086</v>
      </c>
      <c r="D1791" s="91" t="str">
        <f t="shared" si="29"/>
        <v>SETTA</v>
      </c>
      <c r="F1791" s="91">
        <v>1071</v>
      </c>
    </row>
    <row r="1792" spans="1:6">
      <c r="A1792" s="91" t="s">
        <v>2087</v>
      </c>
      <c r="D1792" s="91" t="str">
        <f t="shared" si="29"/>
        <v>GWAFU</v>
      </c>
      <c r="F1792" s="91">
        <v>1071</v>
      </c>
    </row>
    <row r="1793" spans="1:6">
      <c r="A1793" s="91" t="s">
        <v>31</v>
      </c>
      <c r="D1793" s="91" t="str">
        <f t="shared" si="29"/>
        <v>Kiwanga</v>
      </c>
      <c r="F1793" s="91">
        <v>1071</v>
      </c>
    </row>
    <row r="1794" spans="1:6">
      <c r="A1794" s="91" t="s">
        <v>2088</v>
      </c>
      <c r="B1794" s="91" t="s">
        <v>2053</v>
      </c>
      <c r="C1794" s="91" t="s">
        <v>2054</v>
      </c>
      <c r="D1794" s="91" t="str">
        <f t="shared" si="29"/>
        <v>Seeta Namuganga</v>
      </c>
      <c r="F1794" s="91">
        <v>1071</v>
      </c>
    </row>
    <row r="1795" spans="1:6">
      <c r="A1795" s="91" t="s">
        <v>2089</v>
      </c>
      <c r="B1795" s="91" t="s">
        <v>2090</v>
      </c>
      <c r="C1795" s="91" t="s">
        <v>2091</v>
      </c>
      <c r="D1795" s="91" t="str">
        <f t="shared" ref="D1795:D1858" si="30">A1795</f>
        <v>Kakomongole</v>
      </c>
      <c r="F1795" s="91">
        <v>1072</v>
      </c>
    </row>
    <row r="1796" spans="1:6">
      <c r="A1796" s="91" t="s">
        <v>2092</v>
      </c>
      <c r="B1796" s="91" t="s">
        <v>2090</v>
      </c>
      <c r="C1796" s="91" t="s">
        <v>2093</v>
      </c>
      <c r="D1796" s="91" t="str">
        <f t="shared" si="30"/>
        <v>Lolachat</v>
      </c>
      <c r="F1796" s="91">
        <v>1073</v>
      </c>
    </row>
    <row r="1797" spans="1:6">
      <c r="A1797" s="91" t="s">
        <v>2094</v>
      </c>
      <c r="B1797" s="91" t="s">
        <v>2090</v>
      </c>
      <c r="C1797" s="91" t="s">
        <v>2091</v>
      </c>
      <c r="D1797" s="91" t="str">
        <f t="shared" si="30"/>
        <v>Loregae</v>
      </c>
      <c r="F1797" s="91">
        <v>1074</v>
      </c>
    </row>
    <row r="1798" spans="1:6">
      <c r="A1798" s="91" t="s">
        <v>2095</v>
      </c>
      <c r="B1798" s="91" t="s">
        <v>2090</v>
      </c>
      <c r="C1798" s="91" t="s">
        <v>2093</v>
      </c>
      <c r="D1798" s="91" t="str">
        <f t="shared" si="30"/>
        <v>Lorengedwat</v>
      </c>
      <c r="F1798" s="91">
        <v>1075</v>
      </c>
    </row>
    <row r="1799" spans="1:6">
      <c r="A1799" s="91" t="s">
        <v>2096</v>
      </c>
      <c r="B1799" s="91" t="s">
        <v>2090</v>
      </c>
      <c r="C1799" s="91" t="s">
        <v>2091</v>
      </c>
      <c r="D1799" s="91" t="str">
        <f t="shared" si="30"/>
        <v>Moruita</v>
      </c>
      <c r="F1799" s="91">
        <v>1076</v>
      </c>
    </row>
    <row r="1800" spans="1:6">
      <c r="A1800" s="91" t="s">
        <v>2097</v>
      </c>
      <c r="B1800" s="91" t="s">
        <v>2090</v>
      </c>
      <c r="C1800" s="91" t="s">
        <v>2093</v>
      </c>
      <c r="D1800" s="91" t="str">
        <f t="shared" si="30"/>
        <v>Nabilatuk</v>
      </c>
      <c r="F1800" s="91">
        <v>1077</v>
      </c>
    </row>
    <row r="1801" spans="1:6">
      <c r="A1801" s="91" t="s">
        <v>2098</v>
      </c>
      <c r="B1801" s="91" t="s">
        <v>2090</v>
      </c>
      <c r="C1801" s="91" t="s">
        <v>2091</v>
      </c>
      <c r="D1801" s="91" t="str">
        <f t="shared" si="30"/>
        <v>Nakapiripirit Town Council</v>
      </c>
      <c r="F1801" s="91">
        <v>1078</v>
      </c>
    </row>
    <row r="1802" spans="1:6">
      <c r="A1802" s="91" t="s">
        <v>2099</v>
      </c>
      <c r="B1802" s="91" t="s">
        <v>2090</v>
      </c>
      <c r="C1802" s="91" t="s">
        <v>2091</v>
      </c>
      <c r="D1802" s="91" t="str">
        <f t="shared" si="30"/>
        <v>Namalu</v>
      </c>
      <c r="F1802" s="91">
        <v>1079</v>
      </c>
    </row>
    <row r="1803" spans="1:6">
      <c r="A1803" s="91" t="s">
        <v>2100</v>
      </c>
      <c r="B1803" s="91" t="s">
        <v>2101</v>
      </c>
      <c r="C1803" s="91" t="s">
        <v>2101</v>
      </c>
      <c r="D1803" s="91" t="str">
        <f t="shared" si="30"/>
        <v>Butalangu Town Council</v>
      </c>
      <c r="F1803" s="91">
        <v>1080</v>
      </c>
    </row>
    <row r="1804" spans="1:6">
      <c r="A1804" s="91" t="s">
        <v>2102</v>
      </c>
      <c r="B1804" s="91" t="s">
        <v>2101</v>
      </c>
      <c r="C1804" s="91" t="s">
        <v>2101</v>
      </c>
      <c r="D1804" s="91" t="str">
        <f t="shared" si="30"/>
        <v>Kapeeka</v>
      </c>
      <c r="F1804" s="91">
        <v>1081</v>
      </c>
    </row>
    <row r="1805" spans="1:6">
      <c r="A1805" s="91" t="s">
        <v>2103</v>
      </c>
      <c r="B1805" s="91" t="s">
        <v>2101</v>
      </c>
      <c r="C1805" s="91" t="s">
        <v>2101</v>
      </c>
      <c r="D1805" s="91" t="str">
        <f t="shared" si="30"/>
        <v>Kasangombe</v>
      </c>
      <c r="F1805" s="91">
        <v>1082</v>
      </c>
    </row>
    <row r="1806" spans="1:6">
      <c r="A1806" s="91" t="s">
        <v>2104</v>
      </c>
      <c r="B1806" s="91" t="s">
        <v>2101</v>
      </c>
      <c r="C1806" s="91" t="s">
        <v>2101</v>
      </c>
      <c r="D1806" s="91" t="str">
        <f t="shared" si="30"/>
        <v>Kikamulo</v>
      </c>
      <c r="F1806" s="91">
        <v>1083</v>
      </c>
    </row>
    <row r="1807" spans="1:6">
      <c r="A1807" s="91" t="s">
        <v>2105</v>
      </c>
      <c r="B1807" s="91" t="s">
        <v>2101</v>
      </c>
      <c r="C1807" s="91" t="s">
        <v>2101</v>
      </c>
      <c r="D1807" s="91" t="str">
        <f t="shared" si="30"/>
        <v>Kinoni-Nakaseke</v>
      </c>
      <c r="F1807" s="91">
        <v>1084</v>
      </c>
    </row>
    <row r="1808" spans="1:6">
      <c r="A1808" s="91" t="s">
        <v>2106</v>
      </c>
      <c r="B1808" s="91" t="s">
        <v>2101</v>
      </c>
      <c r="C1808" s="91" t="s">
        <v>2101</v>
      </c>
      <c r="D1808" s="91" t="str">
        <f t="shared" si="30"/>
        <v>Kinyogoga</v>
      </c>
      <c r="F1808" s="91">
        <v>1085</v>
      </c>
    </row>
    <row r="1809" spans="1:6">
      <c r="A1809" s="91" t="s">
        <v>2107</v>
      </c>
      <c r="B1809" s="91" t="s">
        <v>2101</v>
      </c>
      <c r="C1809" s="91" t="s">
        <v>2101</v>
      </c>
      <c r="D1809" s="91" t="str">
        <f t="shared" si="30"/>
        <v>Kito</v>
      </c>
      <c r="F1809" s="91">
        <v>1086</v>
      </c>
    </row>
    <row r="1810" spans="1:6">
      <c r="A1810" s="91" t="s">
        <v>2108</v>
      </c>
      <c r="B1810" s="91" t="s">
        <v>2101</v>
      </c>
      <c r="C1810" s="91" t="s">
        <v>2101</v>
      </c>
      <c r="D1810" s="91" t="str">
        <f t="shared" si="30"/>
        <v>Kiwoko Town Council</v>
      </c>
      <c r="F1810" s="91">
        <v>1087</v>
      </c>
    </row>
    <row r="1811" spans="1:6">
      <c r="A1811" s="91" t="s">
        <v>2101</v>
      </c>
      <c r="B1811" s="91" t="s">
        <v>2101</v>
      </c>
      <c r="C1811" s="91" t="s">
        <v>2101</v>
      </c>
      <c r="D1811" s="91" t="str">
        <f t="shared" si="30"/>
        <v>Nakaseke</v>
      </c>
      <c r="F1811" s="91">
        <v>1088</v>
      </c>
    </row>
    <row r="1812" spans="1:6">
      <c r="A1812" s="91" t="s">
        <v>2109</v>
      </c>
      <c r="B1812" s="91" t="s">
        <v>2101</v>
      </c>
      <c r="C1812" s="91" t="s">
        <v>2101</v>
      </c>
      <c r="D1812" s="91" t="str">
        <f t="shared" si="30"/>
        <v>Nakaseke Town Council</v>
      </c>
      <c r="F1812" s="91">
        <v>1089</v>
      </c>
    </row>
    <row r="1813" spans="1:6">
      <c r="A1813" s="91" t="s">
        <v>2110</v>
      </c>
      <c r="D1813" s="91" t="str">
        <f t="shared" si="30"/>
        <v>NAKASEKE TOWN</v>
      </c>
      <c r="F1813" s="91">
        <v>1089</v>
      </c>
    </row>
    <row r="1814" spans="1:6">
      <c r="A1814" s="91" t="s">
        <v>2111</v>
      </c>
      <c r="B1814" s="91" t="s">
        <v>2101</v>
      </c>
      <c r="C1814" s="91" t="s">
        <v>2101</v>
      </c>
      <c r="D1814" s="91" t="str">
        <f t="shared" si="30"/>
        <v>Ngoma Town Council</v>
      </c>
      <c r="F1814" s="91">
        <v>1090</v>
      </c>
    </row>
    <row r="1815" spans="1:6">
      <c r="A1815" s="91" t="s">
        <v>2112</v>
      </c>
      <c r="D1815" s="91" t="str">
        <f t="shared" si="30"/>
        <v>Ngoma</v>
      </c>
      <c r="F1815" s="91">
        <v>1090</v>
      </c>
    </row>
    <row r="1816" spans="1:6">
      <c r="A1816" s="91" t="s">
        <v>2113</v>
      </c>
      <c r="B1816" s="91" t="s">
        <v>2101</v>
      </c>
      <c r="C1816" s="91" t="s">
        <v>2101</v>
      </c>
      <c r="D1816" s="91" t="str">
        <f t="shared" si="30"/>
        <v>Ngoma-Nakaseke</v>
      </c>
      <c r="F1816" s="91">
        <v>1091</v>
      </c>
    </row>
    <row r="1817" spans="1:6">
      <c r="A1817" s="91" t="s">
        <v>2114</v>
      </c>
      <c r="B1817" s="91" t="s">
        <v>2101</v>
      </c>
      <c r="C1817" s="91" t="s">
        <v>2101</v>
      </c>
      <c r="D1817" s="91" t="str">
        <f t="shared" si="30"/>
        <v>Semuto</v>
      </c>
      <c r="F1817" s="91">
        <v>1092</v>
      </c>
    </row>
    <row r="1818" spans="1:6">
      <c r="A1818" s="91" t="s">
        <v>2115</v>
      </c>
      <c r="D1818" s="91" t="str">
        <f t="shared" si="30"/>
        <v>Ssomuto</v>
      </c>
      <c r="F1818" s="91">
        <v>1092</v>
      </c>
    </row>
    <row r="1819" spans="1:6">
      <c r="A1819" s="91" t="s">
        <v>2116</v>
      </c>
      <c r="D1819" s="91" t="str">
        <f t="shared" si="30"/>
        <v>KAPEKA</v>
      </c>
      <c r="F1819" s="91">
        <v>1092</v>
      </c>
    </row>
    <row r="1820" spans="1:6">
      <c r="A1820" s="91" t="s">
        <v>2117</v>
      </c>
      <c r="B1820" s="91" t="s">
        <v>2101</v>
      </c>
      <c r="C1820" s="91" t="s">
        <v>2101</v>
      </c>
      <c r="D1820" s="91" t="str">
        <f t="shared" si="30"/>
        <v>Semuto Town Council</v>
      </c>
      <c r="F1820" s="91">
        <v>1093</v>
      </c>
    </row>
    <row r="1821" spans="1:6">
      <c r="A1821" s="91" t="s">
        <v>2118</v>
      </c>
      <c r="B1821" s="91" t="s">
        <v>2101</v>
      </c>
      <c r="C1821" s="91" t="s">
        <v>2101</v>
      </c>
      <c r="D1821" s="91" t="str">
        <f t="shared" si="30"/>
        <v>Wakyato</v>
      </c>
      <c r="F1821" s="91">
        <v>1094</v>
      </c>
    </row>
    <row r="1822" spans="1:6">
      <c r="A1822" s="91" t="s">
        <v>2119</v>
      </c>
      <c r="B1822" s="91" t="s">
        <v>2120</v>
      </c>
      <c r="C1822" s="91" t="s">
        <v>1863</v>
      </c>
      <c r="D1822" s="91" t="str">
        <f t="shared" si="30"/>
        <v>Kakooge</v>
      </c>
      <c r="F1822" s="91">
        <v>1095</v>
      </c>
    </row>
    <row r="1823" spans="1:6">
      <c r="A1823" s="91" t="s">
        <v>2121</v>
      </c>
      <c r="B1823" s="91" t="s">
        <v>2120</v>
      </c>
      <c r="C1823" s="91" t="s">
        <v>1863</v>
      </c>
      <c r="D1823" s="91" t="str">
        <f t="shared" si="30"/>
        <v>Kakooge Town Council</v>
      </c>
      <c r="F1823" s="91">
        <v>1096</v>
      </c>
    </row>
    <row r="1824" spans="1:6">
      <c r="A1824" s="91" t="s">
        <v>2122</v>
      </c>
      <c r="B1824" s="91" t="s">
        <v>2120</v>
      </c>
      <c r="C1824" s="91" t="s">
        <v>1863</v>
      </c>
      <c r="D1824" s="91" t="str">
        <f t="shared" si="30"/>
        <v>Kalongo</v>
      </c>
      <c r="F1824" s="91">
        <v>1097</v>
      </c>
    </row>
    <row r="1825" spans="1:6">
      <c r="A1825" s="91" t="s">
        <v>2123</v>
      </c>
      <c r="B1825" s="91" t="s">
        <v>2120</v>
      </c>
      <c r="C1825" s="91" t="s">
        <v>1863</v>
      </c>
      <c r="D1825" s="91" t="str">
        <f t="shared" si="30"/>
        <v>Kalungi</v>
      </c>
      <c r="F1825" s="91">
        <v>1098</v>
      </c>
    </row>
    <row r="1826" spans="1:6">
      <c r="A1826" s="91" t="s">
        <v>2124</v>
      </c>
      <c r="B1826" s="91" t="s">
        <v>2120</v>
      </c>
      <c r="C1826" s="91" t="s">
        <v>1863</v>
      </c>
      <c r="D1826" s="91" t="str">
        <f t="shared" si="30"/>
        <v>Lwabiyata</v>
      </c>
      <c r="F1826" s="91">
        <v>1099</v>
      </c>
    </row>
    <row r="1827" spans="1:6">
      <c r="A1827" s="91" t="s">
        <v>2125</v>
      </c>
      <c r="B1827" s="91" t="s">
        <v>2120</v>
      </c>
      <c r="C1827" s="91" t="s">
        <v>1863</v>
      </c>
      <c r="D1827" s="91" t="str">
        <f t="shared" si="30"/>
        <v>Lwampanga</v>
      </c>
      <c r="F1827" s="91">
        <v>1100</v>
      </c>
    </row>
    <row r="1828" spans="1:6">
      <c r="A1828" s="91" t="s">
        <v>2126</v>
      </c>
      <c r="B1828" s="91" t="s">
        <v>2120</v>
      </c>
      <c r="C1828" s="91" t="s">
        <v>1863</v>
      </c>
      <c r="D1828" s="91" t="str">
        <f t="shared" si="30"/>
        <v>Migeera Town Council</v>
      </c>
      <c r="F1828" s="91">
        <v>1101</v>
      </c>
    </row>
    <row r="1829" spans="1:6">
      <c r="A1829" s="91" t="s">
        <v>2127</v>
      </c>
      <c r="B1829" s="91" t="s">
        <v>2120</v>
      </c>
      <c r="C1829" s="91" t="s">
        <v>1863</v>
      </c>
      <c r="D1829" s="91" t="str">
        <f t="shared" si="30"/>
        <v>Nabisweera</v>
      </c>
      <c r="F1829" s="91">
        <v>1102</v>
      </c>
    </row>
    <row r="1830" spans="1:6">
      <c r="A1830" s="91" t="s">
        <v>2128</v>
      </c>
      <c r="B1830" s="91" t="s">
        <v>2120</v>
      </c>
      <c r="C1830" s="91" t="s">
        <v>1863</v>
      </c>
      <c r="D1830" s="91" t="str">
        <f t="shared" si="30"/>
        <v>Nakasongola Town Council</v>
      </c>
      <c r="F1830" s="91">
        <v>1103</v>
      </c>
    </row>
    <row r="1831" spans="1:6">
      <c r="A1831" s="91" t="s">
        <v>2129</v>
      </c>
      <c r="D1831" s="91" t="str">
        <f t="shared" si="30"/>
        <v>NAKASONGOLA TOWN</v>
      </c>
      <c r="F1831" s="91">
        <v>1103</v>
      </c>
    </row>
    <row r="1832" spans="1:6">
      <c r="A1832" s="91" t="s">
        <v>2130</v>
      </c>
      <c r="D1832" s="91" t="str">
        <f t="shared" si="30"/>
        <v>NAKASONGOLA</v>
      </c>
      <c r="F1832" s="91">
        <v>1103</v>
      </c>
    </row>
    <row r="1833" spans="1:6">
      <c r="A1833" s="91" t="s">
        <v>2131</v>
      </c>
      <c r="B1833" s="91" t="s">
        <v>2120</v>
      </c>
      <c r="C1833" s="91" t="s">
        <v>1863</v>
      </c>
      <c r="D1833" s="91" t="str">
        <f t="shared" si="30"/>
        <v>Nakitoma</v>
      </c>
      <c r="F1833" s="91">
        <v>1104</v>
      </c>
    </row>
    <row r="1834" spans="1:6">
      <c r="A1834" s="91" t="s">
        <v>2132</v>
      </c>
      <c r="B1834" s="91" t="s">
        <v>2120</v>
      </c>
      <c r="C1834" s="91" t="s">
        <v>1863</v>
      </c>
      <c r="D1834" s="91" t="str">
        <f t="shared" si="30"/>
        <v>Wabinyonyi</v>
      </c>
      <c r="F1834" s="91">
        <v>1105</v>
      </c>
    </row>
    <row r="1835" spans="1:6">
      <c r="A1835" s="91" t="s">
        <v>898</v>
      </c>
      <c r="B1835" s="91" t="s">
        <v>2133</v>
      </c>
      <c r="C1835" s="91" t="s">
        <v>2134</v>
      </c>
      <c r="D1835" s="91" t="str">
        <f t="shared" si="30"/>
        <v>Banda</v>
      </c>
      <c r="F1835" s="91">
        <v>1106</v>
      </c>
    </row>
    <row r="1836" spans="1:6">
      <c r="A1836" s="91" t="s">
        <v>2135</v>
      </c>
      <c r="D1836" s="91" t="str">
        <f t="shared" si="30"/>
        <v>Banda stage</v>
      </c>
      <c r="F1836" s="91">
        <v>1106</v>
      </c>
    </row>
    <row r="1837" spans="1:6">
      <c r="A1837" s="91" t="s">
        <v>2136</v>
      </c>
      <c r="B1837" s="91" t="s">
        <v>2133</v>
      </c>
      <c r="C1837" s="91" t="s">
        <v>2134</v>
      </c>
      <c r="D1837" s="91" t="str">
        <f t="shared" si="30"/>
        <v>Buhemba</v>
      </c>
      <c r="F1837" s="91">
        <v>1107</v>
      </c>
    </row>
    <row r="1838" spans="1:6">
      <c r="A1838" s="91" t="s">
        <v>2137</v>
      </c>
      <c r="B1838" s="91" t="s">
        <v>2133</v>
      </c>
      <c r="C1838" s="91" t="s">
        <v>2134</v>
      </c>
      <c r="D1838" s="91" t="str">
        <f t="shared" si="30"/>
        <v>Bukana</v>
      </c>
      <c r="F1838" s="91">
        <v>1108</v>
      </c>
    </row>
    <row r="1839" spans="1:6">
      <c r="A1839" s="91" t="s">
        <v>2138</v>
      </c>
      <c r="B1839" s="91" t="s">
        <v>2133</v>
      </c>
      <c r="C1839" s="91" t="s">
        <v>2134</v>
      </c>
      <c r="D1839" s="91" t="str">
        <f t="shared" si="30"/>
        <v>Buswale</v>
      </c>
      <c r="F1839" s="91">
        <v>1109</v>
      </c>
    </row>
    <row r="1840" spans="1:6">
      <c r="A1840" s="91" t="s">
        <v>2139</v>
      </c>
      <c r="B1840" s="91" t="s">
        <v>2133</v>
      </c>
      <c r="C1840" s="91" t="s">
        <v>2134</v>
      </c>
      <c r="D1840" s="91" t="str">
        <f t="shared" si="30"/>
        <v>Buyinja</v>
      </c>
      <c r="F1840" s="91">
        <v>1110</v>
      </c>
    </row>
    <row r="1841" spans="1:6">
      <c r="A1841" s="91" t="s">
        <v>2140</v>
      </c>
      <c r="B1841" s="91" t="s">
        <v>2133</v>
      </c>
      <c r="C1841" s="91" t="s">
        <v>2134</v>
      </c>
      <c r="D1841" s="91" t="str">
        <f t="shared" si="30"/>
        <v>Lolwe</v>
      </c>
      <c r="F1841" s="91">
        <v>1111</v>
      </c>
    </row>
    <row r="1842" spans="1:6">
      <c r="A1842" s="91" t="s">
        <v>2141</v>
      </c>
      <c r="B1842" s="91" t="s">
        <v>2133</v>
      </c>
      <c r="C1842" s="91" t="s">
        <v>2134</v>
      </c>
      <c r="D1842" s="91" t="str">
        <f t="shared" si="30"/>
        <v>Mutumba</v>
      </c>
      <c r="F1842" s="91">
        <v>1112</v>
      </c>
    </row>
    <row r="1843" spans="1:6">
      <c r="A1843" s="91" t="s">
        <v>2142</v>
      </c>
      <c r="B1843" s="91" t="s">
        <v>2133</v>
      </c>
      <c r="C1843" s="91" t="s">
        <v>2134</v>
      </c>
      <c r="D1843" s="91" t="str">
        <f t="shared" si="30"/>
        <v>Namayingo Town Council</v>
      </c>
      <c r="F1843" s="91">
        <v>1113</v>
      </c>
    </row>
    <row r="1844" spans="1:6">
      <c r="A1844" s="91" t="s">
        <v>2143</v>
      </c>
      <c r="B1844" s="91" t="s">
        <v>2133</v>
      </c>
      <c r="C1844" s="91" t="s">
        <v>2134</v>
      </c>
      <c r="D1844" s="91" t="str">
        <f t="shared" si="30"/>
        <v>Sigulu Island</v>
      </c>
      <c r="F1844" s="91">
        <v>1114</v>
      </c>
    </row>
    <row r="1845" spans="1:6">
      <c r="A1845" s="91" t="s">
        <v>2144</v>
      </c>
      <c r="B1845" s="91" t="s">
        <v>2145</v>
      </c>
      <c r="C1845" s="91" t="s">
        <v>2145</v>
      </c>
      <c r="D1845" s="91" t="str">
        <f t="shared" si="30"/>
        <v>Bubutu</v>
      </c>
      <c r="F1845" s="91">
        <v>1115</v>
      </c>
    </row>
    <row r="1846" spans="1:6">
      <c r="A1846" s="91" t="s">
        <v>2146</v>
      </c>
      <c r="B1846" s="91" t="s">
        <v>2145</v>
      </c>
      <c r="C1846" s="91" t="s">
        <v>2145</v>
      </c>
      <c r="D1846" s="91" t="str">
        <f t="shared" si="30"/>
        <v>Bukhabusi</v>
      </c>
      <c r="F1846" s="91">
        <v>1116</v>
      </c>
    </row>
    <row r="1847" spans="1:6">
      <c r="A1847" s="91" t="s">
        <v>2147</v>
      </c>
      <c r="B1847" s="91" t="s">
        <v>2145</v>
      </c>
      <c r="C1847" s="91" t="s">
        <v>2145</v>
      </c>
      <c r="D1847" s="91" t="str">
        <f t="shared" si="30"/>
        <v>Bukhaweka</v>
      </c>
      <c r="F1847" s="91">
        <v>1117</v>
      </c>
    </row>
    <row r="1848" spans="1:6">
      <c r="A1848" s="91" t="s">
        <v>2148</v>
      </c>
      <c r="B1848" s="91" t="s">
        <v>2145</v>
      </c>
      <c r="C1848" s="91" t="s">
        <v>2145</v>
      </c>
      <c r="D1848" s="91" t="str">
        <f t="shared" si="30"/>
        <v>Bukiabi</v>
      </c>
      <c r="F1848" s="91">
        <v>1118</v>
      </c>
    </row>
    <row r="1849" spans="1:6">
      <c r="A1849" s="91" t="s">
        <v>2149</v>
      </c>
      <c r="B1849" s="91" t="s">
        <v>2145</v>
      </c>
      <c r="C1849" s="91" t="s">
        <v>2145</v>
      </c>
      <c r="D1849" s="91" t="str">
        <f t="shared" si="30"/>
        <v>Bukokho</v>
      </c>
      <c r="F1849" s="91">
        <v>1119</v>
      </c>
    </row>
    <row r="1850" spans="1:6">
      <c r="A1850" s="91" t="s">
        <v>2150</v>
      </c>
      <c r="B1850" s="91" t="s">
        <v>2145</v>
      </c>
      <c r="C1850" s="91" t="s">
        <v>2145</v>
      </c>
      <c r="D1850" s="91" t="str">
        <f t="shared" si="30"/>
        <v>Bumbo</v>
      </c>
      <c r="F1850" s="91">
        <v>1120</v>
      </c>
    </row>
    <row r="1851" spans="1:6">
      <c r="A1851" s="91" t="s">
        <v>2151</v>
      </c>
      <c r="B1851" s="91" t="s">
        <v>2145</v>
      </c>
      <c r="C1851" s="91" t="s">
        <v>2145</v>
      </c>
      <c r="D1851" s="91" t="str">
        <f t="shared" si="30"/>
        <v>Bumwoni</v>
      </c>
      <c r="F1851" s="91">
        <v>1121</v>
      </c>
    </row>
    <row r="1852" spans="1:6">
      <c r="A1852" s="91" t="s">
        <v>2152</v>
      </c>
      <c r="B1852" s="91" t="s">
        <v>2145</v>
      </c>
      <c r="C1852" s="91" t="s">
        <v>2145</v>
      </c>
      <c r="D1852" s="91" t="str">
        <f t="shared" si="30"/>
        <v>Bupoto</v>
      </c>
      <c r="F1852" s="91">
        <v>1122</v>
      </c>
    </row>
    <row r="1853" spans="1:6">
      <c r="A1853" s="91" t="s">
        <v>2153</v>
      </c>
      <c r="B1853" s="91" t="s">
        <v>2145</v>
      </c>
      <c r="C1853" s="91" t="s">
        <v>2145</v>
      </c>
      <c r="D1853" s="91" t="str">
        <f t="shared" si="30"/>
        <v>Buwabwala</v>
      </c>
      <c r="F1853" s="91">
        <v>1123</v>
      </c>
    </row>
    <row r="1854" spans="1:6">
      <c r="A1854" s="91" t="s">
        <v>2154</v>
      </c>
      <c r="B1854" s="91" t="s">
        <v>2145</v>
      </c>
      <c r="C1854" s="91" t="s">
        <v>2145</v>
      </c>
      <c r="D1854" s="91" t="str">
        <f t="shared" si="30"/>
        <v>Lwakhakha Town Council</v>
      </c>
      <c r="F1854" s="91">
        <v>1124</v>
      </c>
    </row>
    <row r="1855" spans="1:6">
      <c r="A1855" s="91" t="s">
        <v>2155</v>
      </c>
      <c r="B1855" s="91" t="s">
        <v>2145</v>
      </c>
      <c r="C1855" s="91" t="s">
        <v>2145</v>
      </c>
      <c r="D1855" s="91" t="str">
        <f t="shared" si="30"/>
        <v>Magale</v>
      </c>
      <c r="F1855" s="91">
        <v>1125</v>
      </c>
    </row>
    <row r="1856" spans="1:6">
      <c r="A1856" s="91" t="s">
        <v>2156</v>
      </c>
      <c r="B1856" s="91" t="s">
        <v>2145</v>
      </c>
      <c r="C1856" s="91" t="s">
        <v>2145</v>
      </c>
      <c r="D1856" s="91" t="str">
        <f t="shared" si="30"/>
        <v>Magale Town Council</v>
      </c>
      <c r="F1856" s="91">
        <v>1126</v>
      </c>
    </row>
    <row r="1857" spans="1:6">
      <c r="A1857" s="91" t="s">
        <v>2157</v>
      </c>
      <c r="B1857" s="91" t="s">
        <v>2145</v>
      </c>
      <c r="C1857" s="91" t="s">
        <v>2145</v>
      </c>
      <c r="D1857" s="91" t="str">
        <f t="shared" si="30"/>
        <v>Mukoto</v>
      </c>
      <c r="F1857" s="91">
        <v>1127</v>
      </c>
    </row>
    <row r="1858" spans="1:6">
      <c r="A1858" s="91" t="s">
        <v>2158</v>
      </c>
      <c r="B1858" s="91" t="s">
        <v>2145</v>
      </c>
      <c r="C1858" s="91" t="s">
        <v>2145</v>
      </c>
      <c r="D1858" s="91" t="str">
        <f t="shared" si="30"/>
        <v>Namabya</v>
      </c>
      <c r="F1858" s="91">
        <v>1128</v>
      </c>
    </row>
    <row r="1859" spans="1:6">
      <c r="A1859" s="91" t="s">
        <v>2159</v>
      </c>
      <c r="B1859" s="91" t="s">
        <v>2145</v>
      </c>
      <c r="C1859" s="91" t="s">
        <v>2145</v>
      </c>
      <c r="D1859" s="91" t="str">
        <f t="shared" ref="D1859:D1922" si="31">A1859</f>
        <v>Namboko</v>
      </c>
      <c r="F1859" s="91">
        <v>1129</v>
      </c>
    </row>
    <row r="1860" spans="1:6">
      <c r="A1860" s="91" t="s">
        <v>2160</v>
      </c>
      <c r="B1860" s="91" t="s">
        <v>2145</v>
      </c>
      <c r="C1860" s="91" t="s">
        <v>2145</v>
      </c>
      <c r="D1860" s="91" t="str">
        <f t="shared" si="31"/>
        <v>Namisindwa Town Council</v>
      </c>
      <c r="F1860" s="91">
        <v>1130</v>
      </c>
    </row>
    <row r="1861" spans="1:6">
      <c r="A1861" s="91" t="s">
        <v>2161</v>
      </c>
      <c r="B1861" s="91" t="s">
        <v>2145</v>
      </c>
      <c r="C1861" s="91" t="s">
        <v>2145</v>
      </c>
      <c r="D1861" s="91" t="str">
        <f t="shared" si="31"/>
        <v>Tsekululu</v>
      </c>
      <c r="F1861" s="91">
        <v>1131</v>
      </c>
    </row>
    <row r="1862" spans="1:6">
      <c r="A1862" s="91" t="s">
        <v>2162</v>
      </c>
      <c r="B1862" s="91" t="s">
        <v>2163</v>
      </c>
      <c r="C1862" s="91" t="s">
        <v>2164</v>
      </c>
      <c r="D1862" s="91" t="str">
        <f t="shared" si="31"/>
        <v>Bulange</v>
      </c>
      <c r="F1862" s="91">
        <v>1132</v>
      </c>
    </row>
    <row r="1863" spans="1:6">
      <c r="A1863" s="91" t="s">
        <v>2165</v>
      </c>
      <c r="B1863" s="91" t="s">
        <v>2163</v>
      </c>
      <c r="C1863" s="91" t="s">
        <v>2164</v>
      </c>
      <c r="D1863" s="91" t="str">
        <f t="shared" si="31"/>
        <v>Ivukula</v>
      </c>
      <c r="F1863" s="91">
        <v>1133</v>
      </c>
    </row>
    <row r="1864" spans="1:6">
      <c r="A1864" s="91" t="s">
        <v>1513</v>
      </c>
      <c r="B1864" s="91" t="s">
        <v>2163</v>
      </c>
      <c r="C1864" s="91" t="s">
        <v>2164</v>
      </c>
      <c r="D1864" s="91" t="str">
        <f t="shared" si="31"/>
        <v>Kibaale</v>
      </c>
      <c r="F1864" s="91">
        <v>1134</v>
      </c>
    </row>
    <row r="1865" spans="1:6">
      <c r="A1865" s="91" t="s">
        <v>2166</v>
      </c>
      <c r="B1865" s="91" t="s">
        <v>2163</v>
      </c>
      <c r="C1865" s="91" t="s">
        <v>2164</v>
      </c>
      <c r="D1865" s="91" t="str">
        <f t="shared" si="31"/>
        <v>Magada</v>
      </c>
      <c r="F1865" s="91">
        <v>1135</v>
      </c>
    </row>
    <row r="1866" spans="1:6">
      <c r="A1866" s="91" t="s">
        <v>2167</v>
      </c>
      <c r="B1866" s="91" t="s">
        <v>2163</v>
      </c>
      <c r="C1866" s="91" t="s">
        <v>2164</v>
      </c>
      <c r="D1866" s="91" t="str">
        <f t="shared" si="31"/>
        <v>Nabweyo</v>
      </c>
      <c r="F1866" s="91">
        <v>1136</v>
      </c>
    </row>
    <row r="1867" spans="1:6">
      <c r="A1867" s="91" t="s">
        <v>2163</v>
      </c>
      <c r="B1867" s="91" t="s">
        <v>2163</v>
      </c>
      <c r="C1867" s="91" t="s">
        <v>2164</v>
      </c>
      <c r="D1867" s="91" t="str">
        <f t="shared" si="31"/>
        <v>Namutumba</v>
      </c>
      <c r="F1867" s="91">
        <v>1137</v>
      </c>
    </row>
    <row r="1868" spans="1:6">
      <c r="A1868" s="91" t="s">
        <v>2168</v>
      </c>
      <c r="B1868" s="91" t="s">
        <v>2163</v>
      </c>
      <c r="C1868" s="91" t="s">
        <v>2164</v>
      </c>
      <c r="D1868" s="91" t="str">
        <f t="shared" si="31"/>
        <v>Namutumba Town Council</v>
      </c>
      <c r="F1868" s="91">
        <v>1138</v>
      </c>
    </row>
    <row r="1869" spans="1:6">
      <c r="A1869" s="91" t="s">
        <v>2169</v>
      </c>
      <c r="B1869" s="91" t="s">
        <v>2163</v>
      </c>
      <c r="C1869" s="91" t="s">
        <v>2164</v>
      </c>
      <c r="D1869" s="91" t="str">
        <f t="shared" si="31"/>
        <v>Nangonde</v>
      </c>
      <c r="F1869" s="91">
        <v>1139</v>
      </c>
    </row>
    <row r="1870" spans="1:6">
      <c r="A1870" s="91" t="s">
        <v>2170</v>
      </c>
      <c r="B1870" s="91" t="s">
        <v>2163</v>
      </c>
      <c r="C1870" s="91" t="s">
        <v>2164</v>
      </c>
      <c r="D1870" s="91" t="str">
        <f t="shared" si="31"/>
        <v>Nsinze</v>
      </c>
      <c r="F1870" s="91">
        <v>1140</v>
      </c>
    </row>
    <row r="1871" spans="1:6">
      <c r="A1871" s="91" t="s">
        <v>2171</v>
      </c>
      <c r="B1871" s="91" t="s">
        <v>2172</v>
      </c>
      <c r="C1871" s="91" t="s">
        <v>2173</v>
      </c>
      <c r="D1871" s="91" t="str">
        <f t="shared" si="31"/>
        <v>Iriiri</v>
      </c>
      <c r="F1871" s="91">
        <v>1141</v>
      </c>
    </row>
    <row r="1872" spans="1:6">
      <c r="A1872" s="91" t="s">
        <v>2174</v>
      </c>
      <c r="B1872" s="91" t="s">
        <v>2172</v>
      </c>
      <c r="C1872" s="91" t="s">
        <v>2173</v>
      </c>
      <c r="D1872" s="91" t="str">
        <f t="shared" si="31"/>
        <v>Lokopo</v>
      </c>
      <c r="F1872" s="91">
        <v>1142</v>
      </c>
    </row>
    <row r="1873" spans="1:6">
      <c r="A1873" s="91" t="s">
        <v>2175</v>
      </c>
      <c r="B1873" s="91" t="s">
        <v>2172</v>
      </c>
      <c r="C1873" s="91" t="s">
        <v>2173</v>
      </c>
      <c r="D1873" s="91" t="str">
        <f t="shared" si="31"/>
        <v>Lopeei</v>
      </c>
      <c r="F1873" s="91">
        <v>1143</v>
      </c>
    </row>
    <row r="1874" spans="1:6">
      <c r="A1874" s="91" t="s">
        <v>2176</v>
      </c>
      <c r="B1874" s="91" t="s">
        <v>2172</v>
      </c>
      <c r="C1874" s="91" t="s">
        <v>2173</v>
      </c>
      <c r="D1874" s="91" t="str">
        <f t="shared" si="31"/>
        <v>Lorengecora</v>
      </c>
      <c r="F1874" s="91">
        <v>1144</v>
      </c>
    </row>
    <row r="1875" spans="1:6">
      <c r="A1875" s="91" t="s">
        <v>2177</v>
      </c>
      <c r="B1875" s="91" t="s">
        <v>2172</v>
      </c>
      <c r="C1875" s="91" t="s">
        <v>2173</v>
      </c>
      <c r="D1875" s="91" t="str">
        <f t="shared" si="31"/>
        <v>Lotome</v>
      </c>
      <c r="F1875" s="91">
        <v>1145</v>
      </c>
    </row>
    <row r="1876" spans="1:6">
      <c r="A1876" s="91" t="s">
        <v>2178</v>
      </c>
      <c r="B1876" s="91" t="s">
        <v>2172</v>
      </c>
      <c r="C1876" s="91" t="s">
        <v>2173</v>
      </c>
      <c r="D1876" s="91" t="str">
        <f t="shared" si="31"/>
        <v>Matany</v>
      </c>
      <c r="F1876" s="91">
        <v>1146</v>
      </c>
    </row>
    <row r="1877" spans="1:6">
      <c r="A1877" s="91" t="s">
        <v>2179</v>
      </c>
      <c r="B1877" s="91" t="s">
        <v>2172</v>
      </c>
      <c r="C1877" s="91" t="s">
        <v>2173</v>
      </c>
      <c r="D1877" s="91" t="str">
        <f t="shared" si="31"/>
        <v>Napak Town Council</v>
      </c>
      <c r="F1877" s="91">
        <v>1147</v>
      </c>
    </row>
    <row r="1878" spans="1:6">
      <c r="A1878" s="91" t="s">
        <v>2180</v>
      </c>
      <c r="B1878" s="91" t="s">
        <v>2172</v>
      </c>
      <c r="C1878" s="91" t="s">
        <v>2173</v>
      </c>
      <c r="D1878" s="91" t="str">
        <f t="shared" si="31"/>
        <v>Ngoleriet</v>
      </c>
      <c r="F1878" s="91">
        <v>1148</v>
      </c>
    </row>
    <row r="1879" spans="1:6">
      <c r="A1879" s="91" t="s">
        <v>2181</v>
      </c>
      <c r="B1879" s="91" t="s">
        <v>2182</v>
      </c>
      <c r="C1879" s="91" t="s">
        <v>2183</v>
      </c>
      <c r="D1879" s="91" t="str">
        <f t="shared" si="31"/>
        <v>Akworo</v>
      </c>
      <c r="F1879" s="91">
        <v>1149</v>
      </c>
    </row>
    <row r="1880" spans="1:6">
      <c r="A1880" s="91" t="s">
        <v>2184</v>
      </c>
      <c r="B1880" s="91" t="s">
        <v>2182</v>
      </c>
      <c r="C1880" s="91" t="s">
        <v>2183</v>
      </c>
      <c r="D1880" s="91" t="str">
        <f t="shared" si="31"/>
        <v>Atego</v>
      </c>
      <c r="F1880" s="91">
        <v>1150</v>
      </c>
    </row>
    <row r="1881" spans="1:6">
      <c r="A1881" s="91" t="s">
        <v>2185</v>
      </c>
      <c r="B1881" s="91" t="s">
        <v>2182</v>
      </c>
      <c r="C1881" s="91" t="s">
        <v>2183</v>
      </c>
      <c r="D1881" s="91" t="str">
        <f t="shared" si="31"/>
        <v>Erussi</v>
      </c>
      <c r="F1881" s="91">
        <v>1151</v>
      </c>
    </row>
    <row r="1882" spans="1:6">
      <c r="A1882" s="91" t="s">
        <v>2186</v>
      </c>
      <c r="B1882" s="91" t="s">
        <v>2182</v>
      </c>
      <c r="C1882" s="91" t="s">
        <v>2183</v>
      </c>
      <c r="D1882" s="91" t="str">
        <f t="shared" si="31"/>
        <v>Kucwiny</v>
      </c>
      <c r="F1882" s="91">
        <v>1152</v>
      </c>
    </row>
    <row r="1883" spans="1:6">
      <c r="A1883" s="91" t="s">
        <v>2187</v>
      </c>
      <c r="B1883" s="91" t="s">
        <v>2182</v>
      </c>
      <c r="C1883" s="91" t="s">
        <v>2183</v>
      </c>
      <c r="D1883" s="91" t="str">
        <f t="shared" si="31"/>
        <v>Ndhew</v>
      </c>
      <c r="F1883" s="91">
        <v>1153</v>
      </c>
    </row>
    <row r="1884" spans="1:6">
      <c r="A1884" s="91" t="s">
        <v>2182</v>
      </c>
      <c r="B1884" s="91" t="s">
        <v>2182</v>
      </c>
      <c r="C1884" s="91" t="s">
        <v>2183</v>
      </c>
      <c r="D1884" s="91" t="str">
        <f t="shared" si="31"/>
        <v>Nebbi</v>
      </c>
      <c r="F1884" s="91">
        <v>1154</v>
      </c>
    </row>
    <row r="1885" spans="1:6">
      <c r="A1885" s="91" t="s">
        <v>2188</v>
      </c>
      <c r="B1885" s="91" t="s">
        <v>2182</v>
      </c>
      <c r="C1885" s="91" t="s">
        <v>2188</v>
      </c>
      <c r="D1885" s="91" t="str">
        <f t="shared" si="31"/>
        <v>Nebbi Municipality</v>
      </c>
      <c r="F1885" s="91">
        <v>1155</v>
      </c>
    </row>
    <row r="1886" spans="1:6">
      <c r="A1886" s="91" t="s">
        <v>2189</v>
      </c>
      <c r="B1886" s="91" t="s">
        <v>2182</v>
      </c>
      <c r="C1886" s="91" t="s">
        <v>2183</v>
      </c>
      <c r="D1886" s="91" t="str">
        <f t="shared" si="31"/>
        <v>Nyaravur</v>
      </c>
      <c r="F1886" s="91">
        <v>1156</v>
      </c>
    </row>
    <row r="1887" spans="1:6">
      <c r="A1887" s="91" t="s">
        <v>2190</v>
      </c>
      <c r="B1887" s="91" t="s">
        <v>2182</v>
      </c>
      <c r="C1887" s="91" t="s">
        <v>2183</v>
      </c>
      <c r="D1887" s="91" t="str">
        <f t="shared" si="31"/>
        <v>Parombo</v>
      </c>
      <c r="F1887" s="91">
        <v>1157</v>
      </c>
    </row>
    <row r="1888" spans="1:6">
      <c r="A1888" s="91" t="s">
        <v>2191</v>
      </c>
      <c r="B1888" s="91" t="s">
        <v>2192</v>
      </c>
      <c r="C1888" s="91" t="s">
        <v>2192</v>
      </c>
      <c r="D1888" s="91" t="str">
        <f t="shared" si="31"/>
        <v>Kapir</v>
      </c>
      <c r="F1888" s="91">
        <v>1158</v>
      </c>
    </row>
    <row r="1889" spans="1:6">
      <c r="A1889" s="91" t="s">
        <v>2193</v>
      </c>
      <c r="B1889" s="91" t="s">
        <v>2192</v>
      </c>
      <c r="C1889" s="91" t="s">
        <v>2192</v>
      </c>
      <c r="D1889" s="91" t="str">
        <f t="shared" si="31"/>
        <v>Kobwin</v>
      </c>
      <c r="F1889" s="91">
        <v>1159</v>
      </c>
    </row>
    <row r="1890" spans="1:6">
      <c r="A1890" s="91" t="s">
        <v>2194</v>
      </c>
      <c r="B1890" s="91" t="s">
        <v>2192</v>
      </c>
      <c r="C1890" s="91" t="s">
        <v>2192</v>
      </c>
      <c r="D1890" s="91" t="str">
        <f t="shared" si="31"/>
        <v>Mukura</v>
      </c>
      <c r="F1890" s="91">
        <v>1160</v>
      </c>
    </row>
    <row r="1891" spans="1:6">
      <c r="A1891" s="91" t="s">
        <v>2192</v>
      </c>
      <c r="B1891" s="91" t="s">
        <v>2192</v>
      </c>
      <c r="C1891" s="91" t="s">
        <v>2192</v>
      </c>
      <c r="D1891" s="91" t="str">
        <f t="shared" si="31"/>
        <v>Ngora</v>
      </c>
      <c r="F1891" s="91">
        <v>1161</v>
      </c>
    </row>
    <row r="1892" spans="1:6">
      <c r="A1892" s="91" t="s">
        <v>2195</v>
      </c>
      <c r="B1892" s="91" t="s">
        <v>2192</v>
      </c>
      <c r="C1892" s="91" t="s">
        <v>2192</v>
      </c>
      <c r="D1892" s="91" t="str">
        <f t="shared" si="31"/>
        <v>Ngora Town Council</v>
      </c>
      <c r="F1892" s="91">
        <v>1162</v>
      </c>
    </row>
    <row r="1893" spans="1:6">
      <c r="A1893" s="91" t="s">
        <v>2196</v>
      </c>
      <c r="B1893" s="91" t="s">
        <v>2197</v>
      </c>
      <c r="C1893" s="91" t="s">
        <v>2197</v>
      </c>
      <c r="D1893" s="91" t="str">
        <f t="shared" si="31"/>
        <v>Butungama</v>
      </c>
      <c r="F1893" s="91">
        <v>1163</v>
      </c>
    </row>
    <row r="1894" spans="1:6">
      <c r="A1894" s="91" t="s">
        <v>2198</v>
      </c>
      <c r="B1894" s="91" t="s">
        <v>2197</v>
      </c>
      <c r="C1894" s="91" t="s">
        <v>2197</v>
      </c>
      <c r="D1894" s="91" t="str">
        <f t="shared" si="31"/>
        <v>Bweramule</v>
      </c>
      <c r="F1894" s="91">
        <v>1164</v>
      </c>
    </row>
    <row r="1895" spans="1:6">
      <c r="A1895" s="91" t="s">
        <v>2199</v>
      </c>
      <c r="B1895" s="91" t="s">
        <v>2197</v>
      </c>
      <c r="C1895" s="91" t="s">
        <v>2197</v>
      </c>
      <c r="D1895" s="91" t="str">
        <f t="shared" si="31"/>
        <v>Kanara Town Council</v>
      </c>
      <c r="F1895" s="91">
        <v>1165</v>
      </c>
    </row>
    <row r="1896" spans="1:6">
      <c r="A1896" s="91" t="s">
        <v>2200</v>
      </c>
      <c r="B1896" s="91" t="s">
        <v>2197</v>
      </c>
      <c r="C1896" s="91" t="s">
        <v>2197</v>
      </c>
      <c r="D1896" s="91" t="str">
        <f t="shared" si="31"/>
        <v>Kanara-Ntoroko</v>
      </c>
      <c r="F1896" s="91">
        <v>1166</v>
      </c>
    </row>
    <row r="1897" spans="1:6">
      <c r="A1897" s="91" t="s">
        <v>2201</v>
      </c>
      <c r="B1897" s="91" t="s">
        <v>2197</v>
      </c>
      <c r="C1897" s="91" t="s">
        <v>2197</v>
      </c>
      <c r="D1897" s="91" t="str">
        <f t="shared" si="31"/>
        <v>Karugutu</v>
      </c>
      <c r="F1897" s="91">
        <v>1167</v>
      </c>
    </row>
    <row r="1898" spans="1:6">
      <c r="A1898" s="91" t="s">
        <v>2202</v>
      </c>
      <c r="B1898" s="91" t="s">
        <v>2197</v>
      </c>
      <c r="C1898" s="91" t="s">
        <v>2197</v>
      </c>
      <c r="D1898" s="91" t="str">
        <f t="shared" si="31"/>
        <v>Karugutu Town Council</v>
      </c>
      <c r="F1898" s="91">
        <v>1168</v>
      </c>
    </row>
    <row r="1899" spans="1:6">
      <c r="A1899" s="91" t="s">
        <v>2203</v>
      </c>
      <c r="B1899" s="91" t="s">
        <v>2197</v>
      </c>
      <c r="C1899" s="91" t="s">
        <v>2197</v>
      </c>
      <c r="D1899" s="91" t="str">
        <f t="shared" si="31"/>
        <v>Kibuuku Town Council</v>
      </c>
      <c r="F1899" s="91">
        <v>1169</v>
      </c>
    </row>
    <row r="1900" spans="1:6">
      <c r="A1900" s="91" t="s">
        <v>2204</v>
      </c>
      <c r="B1900" s="91" t="s">
        <v>2197</v>
      </c>
      <c r="C1900" s="91" t="s">
        <v>2197</v>
      </c>
      <c r="D1900" s="91" t="str">
        <f t="shared" si="31"/>
        <v>Nombe</v>
      </c>
      <c r="F1900" s="91">
        <v>1170</v>
      </c>
    </row>
    <row r="1901" spans="1:6">
      <c r="A1901" s="91" t="s">
        <v>2205</v>
      </c>
      <c r="B1901" s="91" t="s">
        <v>2197</v>
      </c>
      <c r="C1901" s="91" t="s">
        <v>2197</v>
      </c>
      <c r="D1901" s="91" t="str">
        <f t="shared" si="31"/>
        <v>Rwebisengo</v>
      </c>
      <c r="F1901" s="91">
        <v>1171</v>
      </c>
    </row>
    <row r="1902" spans="1:6">
      <c r="A1902" s="91" t="s">
        <v>2206</v>
      </c>
      <c r="B1902" s="91" t="s">
        <v>2197</v>
      </c>
      <c r="C1902" s="91" t="s">
        <v>2197</v>
      </c>
      <c r="D1902" s="91" t="str">
        <f t="shared" si="31"/>
        <v>Rwebisengo Town Council</v>
      </c>
      <c r="F1902" s="91">
        <v>1172</v>
      </c>
    </row>
    <row r="1903" spans="1:6">
      <c r="A1903" s="91" t="s">
        <v>2207</v>
      </c>
      <c r="B1903" s="91" t="s">
        <v>52</v>
      </c>
      <c r="C1903" s="91" t="s">
        <v>2208</v>
      </c>
      <c r="D1903" s="91" t="str">
        <f t="shared" si="31"/>
        <v>Bwongyera</v>
      </c>
      <c r="F1903" s="91">
        <v>1173</v>
      </c>
    </row>
    <row r="1904" spans="1:6">
      <c r="A1904" s="91" t="s">
        <v>2209</v>
      </c>
      <c r="B1904" s="91" t="s">
        <v>52</v>
      </c>
      <c r="C1904" s="91" t="s">
        <v>2208</v>
      </c>
      <c r="D1904" s="91" t="str">
        <f t="shared" si="31"/>
        <v>Ihunga</v>
      </c>
      <c r="F1904" s="91">
        <v>1174</v>
      </c>
    </row>
    <row r="1905" spans="1:6">
      <c r="A1905" s="91" t="s">
        <v>2210</v>
      </c>
      <c r="B1905" s="91" t="s">
        <v>52</v>
      </c>
      <c r="C1905" s="91" t="s">
        <v>2211</v>
      </c>
      <c r="D1905" s="91" t="str">
        <f t="shared" si="31"/>
        <v>Itojo</v>
      </c>
      <c r="F1905" s="91">
        <v>1175</v>
      </c>
    </row>
    <row r="1906" spans="1:6">
      <c r="A1906" s="91" t="s">
        <v>2212</v>
      </c>
      <c r="D1906" s="91" t="str">
        <f t="shared" si="31"/>
        <v>KASHENYI</v>
      </c>
      <c r="F1906" s="91">
        <v>1175</v>
      </c>
    </row>
    <row r="1907" spans="1:6">
      <c r="A1907" s="91" t="s">
        <v>2213</v>
      </c>
      <c r="B1907" s="91" t="s">
        <v>52</v>
      </c>
      <c r="C1907" s="91" t="s">
        <v>2208</v>
      </c>
      <c r="D1907" s="91" t="str">
        <f t="shared" si="31"/>
        <v>Kagarama Town Council</v>
      </c>
      <c r="F1907" s="91">
        <v>1176</v>
      </c>
    </row>
    <row r="1908" spans="1:6">
      <c r="A1908" s="91" t="s">
        <v>2214</v>
      </c>
      <c r="B1908" s="91" t="s">
        <v>52</v>
      </c>
      <c r="C1908" s="91" t="s">
        <v>2215</v>
      </c>
      <c r="D1908" s="91" t="str">
        <f t="shared" si="31"/>
        <v>Kayonza-Ntungamo</v>
      </c>
      <c r="F1908" s="91">
        <v>1177</v>
      </c>
    </row>
    <row r="1909" spans="1:6">
      <c r="A1909" s="91" t="s">
        <v>2216</v>
      </c>
      <c r="B1909" s="91" t="s">
        <v>52</v>
      </c>
      <c r="C1909" s="91" t="s">
        <v>2208</v>
      </c>
      <c r="D1909" s="91" t="str">
        <f t="shared" si="31"/>
        <v>Kibatsi</v>
      </c>
      <c r="F1909" s="91">
        <v>1178</v>
      </c>
    </row>
    <row r="1910" spans="1:6">
      <c r="A1910" s="91" t="s">
        <v>2217</v>
      </c>
      <c r="B1910" s="91" t="s">
        <v>52</v>
      </c>
      <c r="C1910" s="91" t="s">
        <v>2211</v>
      </c>
      <c r="D1910" s="91" t="str">
        <f t="shared" si="31"/>
        <v>Kitwe Town Council</v>
      </c>
      <c r="F1910" s="91">
        <v>1179</v>
      </c>
    </row>
    <row r="1911" spans="1:6">
      <c r="A1911" s="91" t="s">
        <v>2218</v>
      </c>
      <c r="B1911" s="91" t="s">
        <v>52</v>
      </c>
      <c r="C1911" s="91" t="s">
        <v>2215</v>
      </c>
      <c r="D1911" s="91" t="str">
        <f t="shared" si="31"/>
        <v>Ngoma-Ntungamo</v>
      </c>
      <c r="F1911" s="91">
        <v>1180</v>
      </c>
    </row>
    <row r="1912" spans="1:6">
      <c r="A1912" s="91" t="s">
        <v>52</v>
      </c>
      <c r="B1912" s="91" t="s">
        <v>52</v>
      </c>
      <c r="C1912" s="91" t="s">
        <v>2211</v>
      </c>
      <c r="D1912" s="91" t="str">
        <f t="shared" si="31"/>
        <v>Ntungamo</v>
      </c>
      <c r="F1912" s="91">
        <v>1181</v>
      </c>
    </row>
    <row r="1913" spans="1:6">
      <c r="A1913" s="91" t="s">
        <v>2219</v>
      </c>
      <c r="B1913" s="91" t="s">
        <v>52</v>
      </c>
      <c r="C1913" s="91" t="s">
        <v>2219</v>
      </c>
      <c r="D1913" s="91" t="str">
        <f t="shared" si="31"/>
        <v>Ntungamo Municipality</v>
      </c>
      <c r="F1913" s="91">
        <v>1182</v>
      </c>
    </row>
    <row r="1914" spans="1:6">
      <c r="A1914" s="91" t="s">
        <v>2220</v>
      </c>
      <c r="D1914" s="91" t="str">
        <f t="shared" si="31"/>
        <v>Ntugamo</v>
      </c>
      <c r="F1914" s="91">
        <v>1182</v>
      </c>
    </row>
    <row r="1915" spans="1:6">
      <c r="A1915" s="91" t="s">
        <v>2221</v>
      </c>
      <c r="D1915" s="91" t="str">
        <f t="shared" si="31"/>
        <v>Karegyeya</v>
      </c>
      <c r="F1915" s="91">
        <v>1182</v>
      </c>
    </row>
    <row r="1916" spans="1:6">
      <c r="A1916" s="91" t="s">
        <v>2222</v>
      </c>
      <c r="D1916" s="91" t="str">
        <f t="shared" si="31"/>
        <v>NTUNGANO</v>
      </c>
      <c r="F1916" s="91">
        <v>1182</v>
      </c>
    </row>
    <row r="1917" spans="1:6">
      <c r="A1917" s="91" t="s">
        <v>2223</v>
      </c>
      <c r="D1917" s="91" t="str">
        <f t="shared" si="31"/>
        <v>NTUNGAMO TOWN</v>
      </c>
      <c r="F1917" s="91">
        <v>1182</v>
      </c>
    </row>
    <row r="1918" spans="1:6">
      <c r="A1918" s="91" t="s">
        <v>2224</v>
      </c>
      <c r="D1918" s="91" t="str">
        <f t="shared" si="31"/>
        <v>NYAMUKANA</v>
      </c>
      <c r="F1918" s="91">
        <v>1182</v>
      </c>
    </row>
    <row r="1919" spans="1:6">
      <c r="A1919" s="91" t="s">
        <v>2225</v>
      </c>
      <c r="B1919" s="91" t="s">
        <v>52</v>
      </c>
      <c r="C1919" s="91" t="s">
        <v>2208</v>
      </c>
      <c r="D1919" s="91" t="str">
        <f t="shared" si="31"/>
        <v>Nyabihoko</v>
      </c>
      <c r="F1919" s="91">
        <v>1183</v>
      </c>
    </row>
    <row r="1920" spans="1:6">
      <c r="A1920" s="91" t="s">
        <v>2226</v>
      </c>
      <c r="B1920" s="91" t="s">
        <v>52</v>
      </c>
      <c r="C1920" s="91" t="s">
        <v>2211</v>
      </c>
      <c r="D1920" s="91" t="str">
        <f t="shared" si="31"/>
        <v>Nyakyera</v>
      </c>
      <c r="F1920" s="91">
        <v>1184</v>
      </c>
    </row>
    <row r="1921" spans="1:6">
      <c r="A1921" s="91" t="s">
        <v>66</v>
      </c>
      <c r="B1921" s="91" t="s">
        <v>52</v>
      </c>
      <c r="C1921" s="91" t="s">
        <v>2215</v>
      </c>
      <c r="D1921" s="91" t="str">
        <f t="shared" si="31"/>
        <v>Rubaare</v>
      </c>
      <c r="F1921" s="91">
        <v>1185</v>
      </c>
    </row>
    <row r="1922" spans="1:6">
      <c r="A1922" s="91" t="s">
        <v>2227</v>
      </c>
      <c r="D1922" s="91" t="str">
        <f t="shared" si="31"/>
        <v>Rubare</v>
      </c>
      <c r="F1922" s="91">
        <v>1185</v>
      </c>
    </row>
    <row r="1923" spans="1:6">
      <c r="A1923" s="91" t="s">
        <v>2228</v>
      </c>
      <c r="D1923" s="91" t="str">
        <f t="shared" ref="D1923:D1986" si="32">A1923</f>
        <v>Rubale</v>
      </c>
      <c r="F1923" s="91">
        <v>1185</v>
      </c>
    </row>
    <row r="1924" spans="1:6">
      <c r="A1924" s="91" t="s">
        <v>2229</v>
      </c>
      <c r="B1924" s="91" t="s">
        <v>52</v>
      </c>
      <c r="C1924" s="91" t="s">
        <v>2215</v>
      </c>
      <c r="D1924" s="91" t="str">
        <f t="shared" si="32"/>
        <v>Rubaare Town Council</v>
      </c>
      <c r="F1924" s="91">
        <v>1186</v>
      </c>
    </row>
    <row r="1925" spans="1:6">
      <c r="A1925" s="91" t="s">
        <v>2230</v>
      </c>
      <c r="B1925" s="91" t="s">
        <v>52</v>
      </c>
      <c r="C1925" s="91" t="s">
        <v>2215</v>
      </c>
      <c r="D1925" s="91" t="str">
        <f t="shared" si="32"/>
        <v>Rugarama-Ntungamo</v>
      </c>
      <c r="F1925" s="91">
        <v>1187</v>
      </c>
    </row>
    <row r="1926" spans="1:6">
      <c r="A1926" s="91" t="s">
        <v>2211</v>
      </c>
      <c r="B1926" s="91" t="s">
        <v>52</v>
      </c>
      <c r="C1926" s="91" t="s">
        <v>2211</v>
      </c>
      <c r="D1926" s="91" t="str">
        <f t="shared" si="32"/>
        <v>Ruhaama</v>
      </c>
      <c r="F1926" s="91">
        <v>1188</v>
      </c>
    </row>
    <row r="1927" spans="1:6">
      <c r="A1927" s="91" t="s">
        <v>2231</v>
      </c>
      <c r="B1927" s="91" t="s">
        <v>52</v>
      </c>
      <c r="C1927" s="91" t="s">
        <v>2211</v>
      </c>
      <c r="D1927" s="91" t="str">
        <f t="shared" si="32"/>
        <v>Rukoni East</v>
      </c>
      <c r="F1927" s="91">
        <v>1189</v>
      </c>
    </row>
    <row r="1928" spans="1:6">
      <c r="A1928" s="91" t="s">
        <v>2232</v>
      </c>
      <c r="B1928" s="91" t="s">
        <v>52</v>
      </c>
      <c r="C1928" s="91" t="s">
        <v>2211</v>
      </c>
      <c r="D1928" s="91" t="str">
        <f t="shared" si="32"/>
        <v>Rukoni West</v>
      </c>
      <c r="F1928" s="91">
        <v>1190</v>
      </c>
    </row>
    <row r="1929" spans="1:6">
      <c r="A1929" s="91" t="s">
        <v>2233</v>
      </c>
      <c r="D1929" s="91" t="str">
        <f t="shared" si="32"/>
        <v>Rwoho</v>
      </c>
      <c r="F1929" s="91">
        <v>1190</v>
      </c>
    </row>
    <row r="1930" spans="1:6">
      <c r="A1930" s="91" t="s">
        <v>2234</v>
      </c>
      <c r="B1930" s="91" t="s">
        <v>52</v>
      </c>
      <c r="C1930" s="91" t="s">
        <v>2208</v>
      </c>
      <c r="D1930" s="91" t="str">
        <f t="shared" si="32"/>
        <v>Rwashamaire Town Council</v>
      </c>
      <c r="F1930" s="91">
        <v>1191</v>
      </c>
    </row>
    <row r="1931" spans="1:6">
      <c r="A1931" s="91" t="s">
        <v>2235</v>
      </c>
      <c r="D1931" s="91" t="str">
        <f t="shared" si="32"/>
        <v>Rwashamire</v>
      </c>
      <c r="F1931" s="91">
        <v>1191</v>
      </c>
    </row>
    <row r="1932" spans="1:6">
      <c r="A1932" s="91" t="s">
        <v>2236</v>
      </c>
      <c r="B1932" s="91" t="s">
        <v>52</v>
      </c>
      <c r="C1932" s="91" t="s">
        <v>2211</v>
      </c>
      <c r="D1932" s="91" t="str">
        <f t="shared" si="32"/>
        <v>Rweikiniro</v>
      </c>
      <c r="F1932" s="91">
        <v>1192</v>
      </c>
    </row>
    <row r="1933" spans="1:6">
      <c r="A1933" s="91" t="s">
        <v>2237</v>
      </c>
      <c r="B1933" s="91" t="s">
        <v>2238</v>
      </c>
      <c r="C1933" s="91" t="s">
        <v>2238</v>
      </c>
      <c r="D1933" s="91" t="str">
        <f t="shared" si="32"/>
        <v>Alero</v>
      </c>
      <c r="F1933" s="91">
        <v>1193</v>
      </c>
    </row>
    <row r="1934" spans="1:6">
      <c r="A1934" s="91" t="s">
        <v>2239</v>
      </c>
      <c r="B1934" s="91" t="s">
        <v>2238</v>
      </c>
      <c r="C1934" s="91" t="s">
        <v>2238</v>
      </c>
      <c r="D1934" s="91" t="str">
        <f t="shared" si="32"/>
        <v>Anaka Payira</v>
      </c>
      <c r="F1934" s="91">
        <v>1194</v>
      </c>
    </row>
    <row r="1935" spans="1:6">
      <c r="A1935" s="91" t="s">
        <v>2240</v>
      </c>
      <c r="B1935" s="91" t="s">
        <v>2238</v>
      </c>
      <c r="C1935" s="91" t="s">
        <v>2238</v>
      </c>
      <c r="D1935" s="91" t="str">
        <f t="shared" si="32"/>
        <v>Anaka Town Council</v>
      </c>
      <c r="F1935" s="91">
        <v>1195</v>
      </c>
    </row>
    <row r="1936" spans="1:6">
      <c r="A1936" s="91" t="s">
        <v>2241</v>
      </c>
      <c r="B1936" s="91" t="s">
        <v>2238</v>
      </c>
      <c r="C1936" s="91" t="s">
        <v>2238</v>
      </c>
      <c r="D1936" s="91" t="str">
        <f t="shared" si="32"/>
        <v>Koch-Goma</v>
      </c>
      <c r="F1936" s="91">
        <v>1196</v>
      </c>
    </row>
    <row r="1937" spans="1:6">
      <c r="A1937" s="91" t="s">
        <v>2242</v>
      </c>
      <c r="B1937" s="91" t="s">
        <v>2238</v>
      </c>
      <c r="C1937" s="91" t="s">
        <v>2238</v>
      </c>
      <c r="D1937" s="91" t="str">
        <f t="shared" si="32"/>
        <v>Purongo</v>
      </c>
      <c r="F1937" s="91">
        <v>1197</v>
      </c>
    </row>
    <row r="1938" spans="1:6">
      <c r="A1938" s="91" t="s">
        <v>2243</v>
      </c>
      <c r="B1938" s="91" t="s">
        <v>287</v>
      </c>
      <c r="C1938" s="91" t="s">
        <v>287</v>
      </c>
      <c r="D1938" s="91" t="str">
        <f t="shared" si="32"/>
        <v>Bobi</v>
      </c>
      <c r="F1938" s="91">
        <v>1198</v>
      </c>
    </row>
    <row r="1939" spans="1:6">
      <c r="A1939" s="91" t="s">
        <v>2244</v>
      </c>
      <c r="B1939" s="91" t="s">
        <v>287</v>
      </c>
      <c r="C1939" s="91" t="s">
        <v>287</v>
      </c>
      <c r="D1939" s="91" t="str">
        <f t="shared" si="32"/>
        <v>Koro</v>
      </c>
      <c r="F1939" s="91">
        <v>1199</v>
      </c>
    </row>
    <row r="1940" spans="1:6">
      <c r="A1940" s="91" t="s">
        <v>2245</v>
      </c>
      <c r="B1940" s="91" t="s">
        <v>287</v>
      </c>
      <c r="C1940" s="91" t="s">
        <v>287</v>
      </c>
      <c r="D1940" s="91" t="str">
        <f t="shared" si="32"/>
        <v>Lakwana</v>
      </c>
      <c r="F1940" s="91">
        <v>1200</v>
      </c>
    </row>
    <row r="1941" spans="1:6">
      <c r="A1941" s="91" t="s">
        <v>2246</v>
      </c>
      <c r="B1941" s="91" t="s">
        <v>287</v>
      </c>
      <c r="C1941" s="91" t="s">
        <v>287</v>
      </c>
      <c r="D1941" s="91" t="str">
        <f t="shared" si="32"/>
        <v>Lalogi</v>
      </c>
      <c r="F1941" s="91">
        <v>1201</v>
      </c>
    </row>
    <row r="1942" spans="1:6">
      <c r="A1942" s="91" t="s">
        <v>2247</v>
      </c>
      <c r="B1942" s="91" t="s">
        <v>287</v>
      </c>
      <c r="C1942" s="91" t="s">
        <v>287</v>
      </c>
      <c r="D1942" s="91" t="str">
        <f t="shared" si="32"/>
        <v>Odek</v>
      </c>
      <c r="F1942" s="91">
        <v>1202</v>
      </c>
    </row>
    <row r="1943" spans="1:6">
      <c r="A1943" s="91" t="s">
        <v>2248</v>
      </c>
      <c r="B1943" s="91" t="s">
        <v>287</v>
      </c>
      <c r="C1943" s="91" t="s">
        <v>287</v>
      </c>
      <c r="D1943" s="91" t="str">
        <f t="shared" si="32"/>
        <v>Omoro Town Council</v>
      </c>
      <c r="F1943" s="91">
        <v>1203</v>
      </c>
    </row>
    <row r="1944" spans="1:6">
      <c r="A1944" s="91" t="s">
        <v>2249</v>
      </c>
      <c r="B1944" s="91" t="s">
        <v>287</v>
      </c>
      <c r="C1944" s="91" t="s">
        <v>287</v>
      </c>
      <c r="D1944" s="91" t="str">
        <f t="shared" si="32"/>
        <v>Ongako</v>
      </c>
      <c r="F1944" s="91">
        <v>1204</v>
      </c>
    </row>
    <row r="1945" spans="1:6">
      <c r="A1945" s="91" t="s">
        <v>2250</v>
      </c>
      <c r="B1945" s="91" t="s">
        <v>2251</v>
      </c>
      <c r="C1945" s="91" t="s">
        <v>2251</v>
      </c>
      <c r="D1945" s="91" t="str">
        <f t="shared" si="32"/>
        <v>Adwari</v>
      </c>
      <c r="F1945" s="91">
        <v>1205</v>
      </c>
    </row>
    <row r="1946" spans="1:6">
      <c r="A1946" s="91" t="s">
        <v>2252</v>
      </c>
      <c r="B1946" s="91" t="s">
        <v>2251</v>
      </c>
      <c r="C1946" s="91" t="s">
        <v>2251</v>
      </c>
      <c r="D1946" s="91" t="str">
        <f t="shared" si="32"/>
        <v>Alango</v>
      </c>
      <c r="F1946" s="91">
        <v>1206</v>
      </c>
    </row>
    <row r="1947" spans="1:6">
      <c r="A1947" s="91" t="s">
        <v>2253</v>
      </c>
      <c r="B1947" s="91" t="s">
        <v>2251</v>
      </c>
      <c r="C1947" s="91" t="s">
        <v>2251</v>
      </c>
      <c r="D1947" s="91" t="str">
        <f t="shared" si="32"/>
        <v>Ogor</v>
      </c>
      <c r="F1947" s="91">
        <v>1207</v>
      </c>
    </row>
    <row r="1948" spans="1:6">
      <c r="A1948" s="91" t="s">
        <v>2254</v>
      </c>
      <c r="B1948" s="91" t="s">
        <v>2251</v>
      </c>
      <c r="C1948" s="91" t="s">
        <v>2251</v>
      </c>
      <c r="D1948" s="91" t="str">
        <f t="shared" si="32"/>
        <v>Ogwette</v>
      </c>
      <c r="F1948" s="91">
        <v>1208</v>
      </c>
    </row>
    <row r="1949" spans="1:6">
      <c r="A1949" s="91" t="s">
        <v>2255</v>
      </c>
      <c r="B1949" s="91" t="s">
        <v>2251</v>
      </c>
      <c r="C1949" s="91" t="s">
        <v>2251</v>
      </c>
      <c r="D1949" s="91" t="str">
        <f t="shared" si="32"/>
        <v>Okwang</v>
      </c>
      <c r="F1949" s="91">
        <v>1209</v>
      </c>
    </row>
    <row r="1950" spans="1:6">
      <c r="A1950" s="91" t="s">
        <v>2256</v>
      </c>
      <c r="B1950" s="91" t="s">
        <v>2251</v>
      </c>
      <c r="C1950" s="91" t="s">
        <v>2251</v>
      </c>
      <c r="D1950" s="91" t="str">
        <f t="shared" si="32"/>
        <v>Olilim</v>
      </c>
      <c r="F1950" s="91">
        <v>1210</v>
      </c>
    </row>
    <row r="1951" spans="1:6">
      <c r="A1951" s="91" t="s">
        <v>2257</v>
      </c>
      <c r="B1951" s="91" t="s">
        <v>2251</v>
      </c>
      <c r="C1951" s="91" t="s">
        <v>2251</v>
      </c>
      <c r="D1951" s="91" t="str">
        <f t="shared" si="32"/>
        <v>Orum</v>
      </c>
      <c r="F1951" s="91">
        <v>1211</v>
      </c>
    </row>
    <row r="1952" spans="1:6">
      <c r="A1952" s="91" t="s">
        <v>2258</v>
      </c>
      <c r="B1952" s="91" t="s">
        <v>2251</v>
      </c>
      <c r="C1952" s="91" t="s">
        <v>2251</v>
      </c>
      <c r="D1952" s="91" t="str">
        <f t="shared" si="32"/>
        <v>Otuke Town Council</v>
      </c>
      <c r="F1952" s="91">
        <v>1212</v>
      </c>
    </row>
    <row r="1953" spans="1:6">
      <c r="A1953" s="91" t="s">
        <v>2259</v>
      </c>
      <c r="B1953" s="91" t="s">
        <v>2260</v>
      </c>
      <c r="C1953" s="91" t="s">
        <v>2260</v>
      </c>
      <c r="D1953" s="91" t="str">
        <f t="shared" si="32"/>
        <v>Aber</v>
      </c>
      <c r="F1953" s="91">
        <v>1213</v>
      </c>
    </row>
    <row r="1954" spans="1:6">
      <c r="A1954" s="91" t="s">
        <v>2261</v>
      </c>
      <c r="B1954" s="91" t="s">
        <v>2260</v>
      </c>
      <c r="C1954" s="91" t="s">
        <v>2260</v>
      </c>
      <c r="D1954" s="91" t="str">
        <f t="shared" si="32"/>
        <v>Abok</v>
      </c>
      <c r="F1954" s="91">
        <v>1214</v>
      </c>
    </row>
    <row r="1955" spans="1:6">
      <c r="A1955" s="91" t="s">
        <v>2262</v>
      </c>
      <c r="B1955" s="91" t="s">
        <v>2260</v>
      </c>
      <c r="C1955" s="91" t="s">
        <v>2260</v>
      </c>
      <c r="D1955" s="91" t="str">
        <f t="shared" si="32"/>
        <v>Acaba</v>
      </c>
      <c r="F1955" s="91">
        <v>1215</v>
      </c>
    </row>
    <row r="1956" spans="1:6">
      <c r="A1956" s="91" t="s">
        <v>219</v>
      </c>
      <c r="B1956" s="91" t="s">
        <v>2260</v>
      </c>
      <c r="C1956" s="91" t="s">
        <v>2260</v>
      </c>
      <c r="D1956" s="91" t="str">
        <f t="shared" si="32"/>
        <v>Otwe</v>
      </c>
      <c r="F1956" s="91">
        <v>1215</v>
      </c>
    </row>
    <row r="1957" spans="1:6">
      <c r="A1957" s="91" t="s">
        <v>2263</v>
      </c>
      <c r="B1957" s="91" t="s">
        <v>2260</v>
      </c>
      <c r="C1957" s="91" t="s">
        <v>2260</v>
      </c>
      <c r="D1957" s="91" t="str">
        <f t="shared" si="32"/>
        <v>Aleka</v>
      </c>
      <c r="F1957" s="91">
        <v>1216</v>
      </c>
    </row>
    <row r="1958" spans="1:6">
      <c r="A1958" s="91" t="s">
        <v>2264</v>
      </c>
      <c r="B1958" s="91" t="s">
        <v>2260</v>
      </c>
      <c r="C1958" s="91" t="s">
        <v>2260</v>
      </c>
      <c r="D1958" s="91" t="str">
        <f t="shared" si="32"/>
        <v>Iceme</v>
      </c>
      <c r="F1958" s="91">
        <v>1217</v>
      </c>
    </row>
    <row r="1959" spans="1:6">
      <c r="A1959" s="91" t="s">
        <v>2265</v>
      </c>
      <c r="B1959" s="91" t="s">
        <v>2260</v>
      </c>
      <c r="C1959" s="91" t="s">
        <v>2260</v>
      </c>
      <c r="D1959" s="91" t="str">
        <f t="shared" si="32"/>
        <v>Kamdini</v>
      </c>
      <c r="F1959" s="91">
        <v>1218</v>
      </c>
    </row>
    <row r="1960" spans="1:6">
      <c r="A1960" s="91" t="s">
        <v>2266</v>
      </c>
      <c r="D1960" s="91" t="str">
        <f t="shared" si="32"/>
        <v>Kamudini</v>
      </c>
      <c r="F1960" s="91">
        <v>1218</v>
      </c>
    </row>
    <row r="1961" spans="1:6">
      <c r="A1961" s="91" t="s">
        <v>2267</v>
      </c>
      <c r="B1961" s="91" t="s">
        <v>2260</v>
      </c>
      <c r="C1961" s="91" t="s">
        <v>2260</v>
      </c>
      <c r="D1961" s="91" t="str">
        <f t="shared" si="32"/>
        <v>Loro</v>
      </c>
      <c r="F1961" s="91">
        <v>1219</v>
      </c>
    </row>
    <row r="1962" spans="1:6">
      <c r="A1962" s="91" t="s">
        <v>2268</v>
      </c>
      <c r="B1962" s="91" t="s">
        <v>2260</v>
      </c>
      <c r="C1962" s="91" t="s">
        <v>2260</v>
      </c>
      <c r="D1962" s="91" t="str">
        <f t="shared" si="32"/>
        <v>Minakulu</v>
      </c>
      <c r="F1962" s="91">
        <v>1220</v>
      </c>
    </row>
    <row r="1963" spans="1:6">
      <c r="A1963" s="91" t="s">
        <v>2269</v>
      </c>
      <c r="B1963" s="91" t="s">
        <v>2260</v>
      </c>
      <c r="C1963" s="91" t="s">
        <v>2260</v>
      </c>
      <c r="D1963" s="91" t="str">
        <f t="shared" si="32"/>
        <v>Myene</v>
      </c>
      <c r="F1963" s="91">
        <v>1221</v>
      </c>
    </row>
    <row r="1964" spans="1:6">
      <c r="A1964" s="91" t="s">
        <v>2270</v>
      </c>
      <c r="B1964" s="91" t="s">
        <v>2260</v>
      </c>
      <c r="C1964" s="91" t="s">
        <v>2260</v>
      </c>
      <c r="D1964" s="91" t="str">
        <f t="shared" si="32"/>
        <v>Ngai</v>
      </c>
      <c r="F1964" s="91">
        <v>1222</v>
      </c>
    </row>
    <row r="1965" spans="1:6">
      <c r="A1965" s="91" t="s">
        <v>2271</v>
      </c>
      <c r="B1965" s="91" t="s">
        <v>2260</v>
      </c>
      <c r="C1965" s="91" t="s">
        <v>2260</v>
      </c>
      <c r="D1965" s="91" t="str">
        <f t="shared" si="32"/>
        <v>Otwal</v>
      </c>
      <c r="F1965" s="91">
        <v>1223</v>
      </c>
    </row>
    <row r="1966" spans="1:6">
      <c r="A1966" s="91" t="s">
        <v>2272</v>
      </c>
      <c r="B1966" s="91" t="s">
        <v>2260</v>
      </c>
      <c r="C1966" s="91" t="s">
        <v>2260</v>
      </c>
      <c r="D1966" s="91" t="str">
        <f t="shared" si="32"/>
        <v>Oyam Town Council</v>
      </c>
      <c r="F1966" s="91">
        <v>1224</v>
      </c>
    </row>
    <row r="1967" spans="1:6">
      <c r="A1967" s="91" t="s">
        <v>2260</v>
      </c>
      <c r="D1967" s="91" t="str">
        <f t="shared" si="32"/>
        <v>Oyam</v>
      </c>
      <c r="F1967" s="91">
        <v>1224</v>
      </c>
    </row>
    <row r="1968" spans="1:6">
      <c r="A1968" s="91" t="s">
        <v>2273</v>
      </c>
      <c r="B1968" s="91" t="s">
        <v>2274</v>
      </c>
      <c r="C1968" s="91" t="s">
        <v>2275</v>
      </c>
      <c r="D1968" s="91" t="str">
        <f t="shared" si="32"/>
        <v>Acholibur</v>
      </c>
      <c r="F1968" s="91">
        <v>1225</v>
      </c>
    </row>
    <row r="1969" spans="1:6">
      <c r="A1969" s="91" t="s">
        <v>2276</v>
      </c>
      <c r="B1969" s="91" t="s">
        <v>2274</v>
      </c>
      <c r="C1969" s="91" t="s">
        <v>2275</v>
      </c>
      <c r="D1969" s="91" t="str">
        <f t="shared" si="32"/>
        <v>Angagura</v>
      </c>
      <c r="F1969" s="91">
        <v>1226</v>
      </c>
    </row>
    <row r="1970" spans="1:6">
      <c r="A1970" s="91" t="s">
        <v>2277</v>
      </c>
      <c r="B1970" s="91" t="s">
        <v>2274</v>
      </c>
      <c r="C1970" s="91" t="s">
        <v>2275</v>
      </c>
      <c r="D1970" s="91" t="str">
        <f t="shared" si="32"/>
        <v>Atanga</v>
      </c>
      <c r="F1970" s="91">
        <v>1227</v>
      </c>
    </row>
    <row r="1971" spans="1:6">
      <c r="A1971" s="91" t="s">
        <v>2278</v>
      </c>
      <c r="B1971" s="91" t="s">
        <v>2274</v>
      </c>
      <c r="C1971" s="91" t="s">
        <v>2275</v>
      </c>
      <c r="D1971" s="91" t="str">
        <f t="shared" si="32"/>
        <v>Awere</v>
      </c>
      <c r="F1971" s="91">
        <v>1228</v>
      </c>
    </row>
    <row r="1972" spans="1:6">
      <c r="A1972" s="91" t="s">
        <v>2279</v>
      </c>
      <c r="B1972" s="91" t="s">
        <v>2274</v>
      </c>
      <c r="C1972" s="91" t="s">
        <v>2275</v>
      </c>
      <c r="D1972" s="91" t="str">
        <f t="shared" si="32"/>
        <v>Laguti</v>
      </c>
      <c r="F1972" s="91">
        <v>1229</v>
      </c>
    </row>
    <row r="1973" spans="1:6">
      <c r="A1973" s="91" t="s">
        <v>2280</v>
      </c>
      <c r="B1973" s="91" t="s">
        <v>2274</v>
      </c>
      <c r="C1973" s="91" t="s">
        <v>2275</v>
      </c>
      <c r="D1973" s="91" t="str">
        <f t="shared" si="32"/>
        <v>Lapul</v>
      </c>
      <c r="F1973" s="91">
        <v>1230</v>
      </c>
    </row>
    <row r="1974" spans="1:6">
      <c r="A1974" s="91" t="s">
        <v>2281</v>
      </c>
      <c r="B1974" s="91" t="s">
        <v>2274</v>
      </c>
      <c r="C1974" s="91" t="s">
        <v>2275</v>
      </c>
      <c r="D1974" s="91" t="str">
        <f t="shared" si="32"/>
        <v>Latanya</v>
      </c>
      <c r="F1974" s="91">
        <v>1231</v>
      </c>
    </row>
    <row r="1975" spans="1:6">
      <c r="A1975" s="91" t="s">
        <v>2282</v>
      </c>
      <c r="B1975" s="91" t="s">
        <v>2274</v>
      </c>
      <c r="C1975" s="91" t="s">
        <v>2275</v>
      </c>
      <c r="D1975" s="91" t="str">
        <f t="shared" si="32"/>
        <v>Ogom</v>
      </c>
      <c r="F1975" s="91">
        <v>1232</v>
      </c>
    </row>
    <row r="1976" spans="1:6">
      <c r="A1976" s="91" t="s">
        <v>2274</v>
      </c>
      <c r="B1976" s="91" t="s">
        <v>2274</v>
      </c>
      <c r="C1976" s="91" t="s">
        <v>2275</v>
      </c>
      <c r="D1976" s="91" t="str">
        <f t="shared" si="32"/>
        <v>Pader</v>
      </c>
      <c r="F1976" s="91">
        <v>1233</v>
      </c>
    </row>
    <row r="1977" spans="1:6">
      <c r="A1977" s="91" t="s">
        <v>2283</v>
      </c>
      <c r="B1977" s="91" t="s">
        <v>2274</v>
      </c>
      <c r="C1977" s="91" t="s">
        <v>2275</v>
      </c>
      <c r="D1977" s="91" t="str">
        <f t="shared" si="32"/>
        <v>Pader Town Council</v>
      </c>
      <c r="F1977" s="91">
        <v>1234</v>
      </c>
    </row>
    <row r="1978" spans="1:6">
      <c r="A1978" s="91" t="s">
        <v>2284</v>
      </c>
      <c r="B1978" s="91" t="s">
        <v>2274</v>
      </c>
      <c r="C1978" s="91" t="s">
        <v>2275</v>
      </c>
      <c r="D1978" s="91" t="str">
        <f t="shared" si="32"/>
        <v>Pajule</v>
      </c>
      <c r="F1978" s="91">
        <v>1235</v>
      </c>
    </row>
    <row r="1979" spans="1:6">
      <c r="A1979" s="91" t="s">
        <v>2285</v>
      </c>
      <c r="B1979" s="91" t="s">
        <v>2274</v>
      </c>
      <c r="C1979" s="91" t="s">
        <v>2275</v>
      </c>
      <c r="D1979" s="91" t="str">
        <f t="shared" si="32"/>
        <v>Puranga</v>
      </c>
      <c r="F1979" s="91">
        <v>1236</v>
      </c>
    </row>
    <row r="1980" spans="1:6">
      <c r="A1980" s="91" t="s">
        <v>2286</v>
      </c>
      <c r="B1980" s="91" t="s">
        <v>231</v>
      </c>
      <c r="C1980" s="91" t="s">
        <v>2287</v>
      </c>
      <c r="D1980" s="91" t="str">
        <f t="shared" si="32"/>
        <v>Alwi</v>
      </c>
      <c r="F1980" s="91">
        <v>1237</v>
      </c>
    </row>
    <row r="1981" spans="1:6">
      <c r="A1981" s="91" t="s">
        <v>231</v>
      </c>
      <c r="B1981" s="91" t="s">
        <v>231</v>
      </c>
      <c r="C1981" s="91" t="s">
        <v>2287</v>
      </c>
      <c r="D1981" s="91" t="str">
        <f t="shared" si="32"/>
        <v>Pakwach</v>
      </c>
      <c r="F1981" s="91">
        <v>1238</v>
      </c>
    </row>
    <row r="1982" spans="1:6">
      <c r="A1982" s="91" t="s">
        <v>2288</v>
      </c>
      <c r="D1982" s="91" t="str">
        <f t="shared" si="32"/>
        <v>Parkwach</v>
      </c>
      <c r="F1982" s="91">
        <v>1238</v>
      </c>
    </row>
    <row r="1983" spans="1:6">
      <c r="A1983" s="91" t="s">
        <v>2289</v>
      </c>
      <c r="B1983" s="91" t="s">
        <v>231</v>
      </c>
      <c r="C1983" s="91" t="s">
        <v>2287</v>
      </c>
      <c r="D1983" s="91" t="str">
        <f t="shared" si="32"/>
        <v>Pakwach Town Council</v>
      </c>
      <c r="F1983" s="91">
        <v>1239</v>
      </c>
    </row>
    <row r="1984" spans="1:6">
      <c r="A1984" s="91" t="s">
        <v>2290</v>
      </c>
      <c r="B1984" s="91" t="s">
        <v>231</v>
      </c>
      <c r="C1984" s="91" t="s">
        <v>2287</v>
      </c>
      <c r="D1984" s="91" t="str">
        <f t="shared" si="32"/>
        <v>Panyango</v>
      </c>
      <c r="F1984" s="91">
        <v>1240</v>
      </c>
    </row>
    <row r="1985" spans="1:6">
      <c r="A1985" s="91" t="s">
        <v>2291</v>
      </c>
      <c r="B1985" s="91" t="s">
        <v>231</v>
      </c>
      <c r="C1985" s="91" t="s">
        <v>2287</v>
      </c>
      <c r="D1985" s="91" t="str">
        <f t="shared" si="32"/>
        <v>Panyimur</v>
      </c>
      <c r="F1985" s="91">
        <v>1241</v>
      </c>
    </row>
    <row r="1986" spans="1:6">
      <c r="A1986" s="91" t="s">
        <v>2292</v>
      </c>
      <c r="B1986" s="91" t="s">
        <v>231</v>
      </c>
      <c r="C1986" s="91" t="s">
        <v>2287</v>
      </c>
      <c r="D1986" s="91" t="str">
        <f t="shared" si="32"/>
        <v>Wadelai</v>
      </c>
      <c r="F1986" s="91">
        <v>1242</v>
      </c>
    </row>
    <row r="1987" spans="1:6">
      <c r="A1987" s="91" t="s">
        <v>2293</v>
      </c>
      <c r="B1987" s="91" t="s">
        <v>2294</v>
      </c>
      <c r="C1987" s="91" t="s">
        <v>2293</v>
      </c>
      <c r="D1987" s="91" t="str">
        <f t="shared" ref="D1987:D2050" si="33">A1987</f>
        <v>Agule</v>
      </c>
      <c r="F1987" s="91">
        <v>1243</v>
      </c>
    </row>
    <row r="1988" spans="1:6">
      <c r="A1988" s="91" t="s">
        <v>2295</v>
      </c>
      <c r="B1988" s="91" t="s">
        <v>2294</v>
      </c>
      <c r="C1988" s="91" t="s">
        <v>2293</v>
      </c>
      <c r="D1988" s="91" t="str">
        <f t="shared" si="33"/>
        <v>Akisim</v>
      </c>
      <c r="F1988" s="91">
        <v>1244</v>
      </c>
    </row>
    <row r="1989" spans="1:6">
      <c r="A1989" s="91" t="s">
        <v>2296</v>
      </c>
      <c r="B1989" s="91" t="s">
        <v>2294</v>
      </c>
      <c r="C1989" s="91" t="s">
        <v>2293</v>
      </c>
      <c r="D1989" s="91" t="str">
        <f t="shared" si="33"/>
        <v>Apopong</v>
      </c>
      <c r="F1989" s="91">
        <v>1245</v>
      </c>
    </row>
    <row r="1990" spans="1:6">
      <c r="A1990" s="91" t="s">
        <v>2297</v>
      </c>
      <c r="B1990" s="91" t="s">
        <v>2294</v>
      </c>
      <c r="C1990" s="91" t="s">
        <v>2293</v>
      </c>
      <c r="D1990" s="91" t="str">
        <f t="shared" si="33"/>
        <v>Chelekura</v>
      </c>
      <c r="F1990" s="91">
        <v>1246</v>
      </c>
    </row>
    <row r="1991" spans="1:6">
      <c r="A1991" s="91" t="s">
        <v>2298</v>
      </c>
      <c r="B1991" s="91" t="s">
        <v>2294</v>
      </c>
      <c r="C1991" s="91" t="s">
        <v>2293</v>
      </c>
      <c r="D1991" s="91" t="str">
        <f t="shared" si="33"/>
        <v>Gogonyo</v>
      </c>
      <c r="F1991" s="91">
        <v>1247</v>
      </c>
    </row>
    <row r="1992" spans="1:6">
      <c r="A1992" s="91" t="s">
        <v>2299</v>
      </c>
      <c r="B1992" s="91" t="s">
        <v>2294</v>
      </c>
      <c r="C1992" s="91" t="s">
        <v>2293</v>
      </c>
      <c r="D1992" s="91" t="str">
        <f t="shared" si="33"/>
        <v>Kameke</v>
      </c>
      <c r="F1992" s="91">
        <v>1248</v>
      </c>
    </row>
    <row r="1993" spans="1:6">
      <c r="A1993" s="91" t="s">
        <v>2300</v>
      </c>
      <c r="B1993" s="91" t="s">
        <v>2294</v>
      </c>
      <c r="C1993" s="91" t="s">
        <v>2294</v>
      </c>
      <c r="D1993" s="91" t="str">
        <f t="shared" si="33"/>
        <v>Kamuge</v>
      </c>
      <c r="F1993" s="91">
        <v>1249</v>
      </c>
    </row>
    <row r="1994" spans="1:6">
      <c r="A1994" s="91" t="s">
        <v>2301</v>
      </c>
      <c r="B1994" s="91" t="s">
        <v>2294</v>
      </c>
      <c r="C1994" s="91" t="s">
        <v>2294</v>
      </c>
      <c r="D1994" s="91" t="str">
        <f t="shared" si="33"/>
        <v>Kasodo</v>
      </c>
      <c r="F1994" s="91">
        <v>1250</v>
      </c>
    </row>
    <row r="1995" spans="1:6">
      <c r="A1995" s="91" t="s">
        <v>2302</v>
      </c>
      <c r="B1995" s="91" t="s">
        <v>2294</v>
      </c>
      <c r="C1995" s="91" t="s">
        <v>2294</v>
      </c>
      <c r="D1995" s="91" t="str">
        <f t="shared" si="33"/>
        <v>Olok</v>
      </c>
      <c r="F1995" s="91">
        <v>1251</v>
      </c>
    </row>
    <row r="1996" spans="1:6">
      <c r="A1996" s="91" t="s">
        <v>2294</v>
      </c>
      <c r="B1996" s="91" t="s">
        <v>2294</v>
      </c>
      <c r="C1996" s="91" t="s">
        <v>2294</v>
      </c>
      <c r="D1996" s="91" t="str">
        <f t="shared" si="33"/>
        <v>Pallisa</v>
      </c>
      <c r="F1996" s="91">
        <v>1252</v>
      </c>
    </row>
    <row r="1997" spans="1:6">
      <c r="A1997" s="91" t="s">
        <v>2303</v>
      </c>
      <c r="B1997" s="91" t="s">
        <v>2294</v>
      </c>
      <c r="C1997" s="91" t="s">
        <v>2294</v>
      </c>
      <c r="D1997" s="91" t="str">
        <f t="shared" si="33"/>
        <v>Pallisa Town Council</v>
      </c>
      <c r="F1997" s="91">
        <v>1253</v>
      </c>
    </row>
    <row r="1998" spans="1:6">
      <c r="A1998" s="91" t="s">
        <v>2304</v>
      </c>
      <c r="B1998" s="91" t="s">
        <v>2294</v>
      </c>
      <c r="C1998" s="91" t="s">
        <v>2294</v>
      </c>
      <c r="D1998" s="91" t="str">
        <f t="shared" si="33"/>
        <v>Puti-Puti</v>
      </c>
      <c r="F1998" s="91">
        <v>1254</v>
      </c>
    </row>
    <row r="1999" spans="1:6">
      <c r="A1999" s="91" t="s">
        <v>2305</v>
      </c>
      <c r="B1999" s="91" t="s">
        <v>192</v>
      </c>
      <c r="C1999" s="91" t="s">
        <v>1733</v>
      </c>
      <c r="D1999" s="91" t="str">
        <f t="shared" si="33"/>
        <v>Byakabanda</v>
      </c>
      <c r="F1999" s="91">
        <v>1255</v>
      </c>
    </row>
    <row r="2000" spans="1:6">
      <c r="A2000" s="91" t="s">
        <v>2306</v>
      </c>
      <c r="B2000" s="91" t="s">
        <v>192</v>
      </c>
      <c r="C2000" s="91" t="s">
        <v>1733</v>
      </c>
      <c r="D2000" s="91" t="str">
        <f t="shared" si="33"/>
        <v>Ddwaniro-Rakai</v>
      </c>
      <c r="F2000" s="91">
        <v>1256</v>
      </c>
    </row>
    <row r="2001" spans="1:6">
      <c r="A2001" s="91" t="s">
        <v>2307</v>
      </c>
      <c r="B2001" s="91" t="s">
        <v>192</v>
      </c>
      <c r="C2001" s="91" t="s">
        <v>1733</v>
      </c>
      <c r="D2001" s="91" t="str">
        <f t="shared" si="33"/>
        <v>Kacheera</v>
      </c>
      <c r="F2001" s="91">
        <v>1257</v>
      </c>
    </row>
    <row r="2002" spans="1:6">
      <c r="A2002" s="91" t="s">
        <v>2308</v>
      </c>
      <c r="B2002" s="91" t="s">
        <v>192</v>
      </c>
      <c r="C2002" s="91" t="s">
        <v>1733</v>
      </c>
      <c r="D2002" s="91" t="str">
        <f t="shared" si="33"/>
        <v>Kagamba</v>
      </c>
      <c r="F2002" s="91">
        <v>1258</v>
      </c>
    </row>
    <row r="2003" spans="1:6">
      <c r="A2003" s="91" t="s">
        <v>2309</v>
      </c>
      <c r="D2003" s="91" t="str">
        <f t="shared" si="33"/>
        <v>Kahunga</v>
      </c>
      <c r="F2003" s="91">
        <v>1258</v>
      </c>
    </row>
    <row r="2004" spans="1:6">
      <c r="A2004" s="91" t="s">
        <v>2310</v>
      </c>
      <c r="B2004" s="91" t="s">
        <v>192</v>
      </c>
      <c r="C2004" s="91" t="s">
        <v>2310</v>
      </c>
      <c r="D2004" s="91" t="str">
        <f t="shared" si="33"/>
        <v>Kakuuto</v>
      </c>
      <c r="F2004" s="91">
        <v>1259</v>
      </c>
    </row>
    <row r="2005" spans="1:6">
      <c r="A2005" s="91" t="s">
        <v>2311</v>
      </c>
      <c r="D2005" s="91" t="str">
        <f t="shared" si="33"/>
        <v xml:space="preserve">Mutukula </v>
      </c>
      <c r="F2005" s="91">
        <v>1259</v>
      </c>
    </row>
    <row r="2006" spans="1:6">
      <c r="A2006" s="91" t="s">
        <v>2312</v>
      </c>
      <c r="B2006" s="91" t="s">
        <v>192</v>
      </c>
      <c r="C2006" s="91" t="s">
        <v>2310</v>
      </c>
      <c r="D2006" s="91" t="str">
        <f t="shared" si="33"/>
        <v>Kifamba</v>
      </c>
      <c r="F2006" s="91">
        <v>1260</v>
      </c>
    </row>
    <row r="2007" spans="1:6">
      <c r="A2007" s="91" t="s">
        <v>2313</v>
      </c>
      <c r="B2007" s="91" t="s">
        <v>192</v>
      </c>
      <c r="C2007" s="91" t="s">
        <v>1733</v>
      </c>
      <c r="D2007" s="91" t="str">
        <f t="shared" si="33"/>
        <v>Kiziba</v>
      </c>
      <c r="F2007" s="91">
        <v>1261</v>
      </c>
    </row>
    <row r="2008" spans="1:6">
      <c r="A2008" s="91" t="s">
        <v>2314</v>
      </c>
      <c r="B2008" s="91" t="s">
        <v>192</v>
      </c>
      <c r="C2008" s="91" t="s">
        <v>1733</v>
      </c>
      <c r="D2008" s="91" t="str">
        <f t="shared" si="33"/>
        <v>Kyalulangira</v>
      </c>
      <c r="F2008" s="91">
        <v>1262</v>
      </c>
    </row>
    <row r="2009" spans="1:6">
      <c r="A2009" s="91" t="s">
        <v>2315</v>
      </c>
      <c r="B2009" s="91" t="s">
        <v>192</v>
      </c>
      <c r="C2009" s="91" t="s">
        <v>1733</v>
      </c>
      <c r="D2009" s="91" t="str">
        <f t="shared" si="33"/>
        <v>Lwamaggwa</v>
      </c>
      <c r="F2009" s="91">
        <v>1263</v>
      </c>
    </row>
    <row r="2010" spans="1:6">
      <c r="A2010" s="91" t="s">
        <v>2316</v>
      </c>
      <c r="D2010" s="91" t="str">
        <f t="shared" si="33"/>
        <v>KYANIKA</v>
      </c>
      <c r="F2010" s="91">
        <v>1263</v>
      </c>
    </row>
    <row r="2011" spans="1:6">
      <c r="A2011" s="91" t="s">
        <v>2317</v>
      </c>
      <c r="B2011" s="91" t="s">
        <v>192</v>
      </c>
      <c r="C2011" s="91" t="s">
        <v>1733</v>
      </c>
      <c r="D2011" s="91" t="str">
        <f t="shared" si="33"/>
        <v>Lwanda</v>
      </c>
      <c r="F2011" s="91">
        <v>1264</v>
      </c>
    </row>
    <row r="2012" spans="1:6">
      <c r="A2012" s="91" t="s">
        <v>1733</v>
      </c>
      <c r="D2012" s="91" t="str">
        <f t="shared" si="33"/>
        <v>Kooki</v>
      </c>
      <c r="F2012" s="91">
        <v>1264</v>
      </c>
    </row>
    <row r="2013" spans="1:6">
      <c r="A2013" s="91" t="s">
        <v>2318</v>
      </c>
      <c r="B2013" s="91" t="s">
        <v>192</v>
      </c>
      <c r="C2013" s="91" t="s">
        <v>1733</v>
      </c>
      <c r="D2013" s="91" t="str">
        <f t="shared" si="33"/>
        <v>Rakai Town Council</v>
      </c>
      <c r="F2013" s="91">
        <v>1265</v>
      </c>
    </row>
    <row r="2014" spans="1:6">
      <c r="A2014" s="91" t="s">
        <v>191</v>
      </c>
      <c r="B2014" s="91" t="s">
        <v>192</v>
      </c>
      <c r="C2014" s="91" t="s">
        <v>1733</v>
      </c>
      <c r="D2014" s="91" t="str">
        <f t="shared" si="33"/>
        <v>Kyolulangira</v>
      </c>
      <c r="F2014" s="91">
        <v>1265</v>
      </c>
    </row>
    <row r="2015" spans="1:6">
      <c r="A2015" s="91" t="s">
        <v>2319</v>
      </c>
      <c r="D2015" s="91" t="str">
        <f t="shared" si="33"/>
        <v>RAKAI</v>
      </c>
      <c r="F2015" s="91">
        <v>1265</v>
      </c>
    </row>
    <row r="2016" spans="1:6">
      <c r="A2016" s="91" t="s">
        <v>2320</v>
      </c>
      <c r="D2016" s="91" t="str">
        <f t="shared" si="33"/>
        <v>Kiluli</v>
      </c>
      <c r="F2016" s="91">
        <v>1265</v>
      </c>
    </row>
    <row r="2017" spans="1:6">
      <c r="A2017" s="91" t="s">
        <v>2321</v>
      </c>
      <c r="D2017" s="91" t="str">
        <f t="shared" si="33"/>
        <v>Kisansa</v>
      </c>
      <c r="F2017" s="91">
        <v>1265</v>
      </c>
    </row>
    <row r="2018" spans="1:6">
      <c r="A2018" s="91" t="s">
        <v>2322</v>
      </c>
      <c r="B2018" s="91" t="s">
        <v>793</v>
      </c>
      <c r="C2018" s="91" t="s">
        <v>793</v>
      </c>
      <c r="D2018" s="91" t="str">
        <f t="shared" si="33"/>
        <v>Bubaare-Rubanda</v>
      </c>
      <c r="F2018" s="91">
        <v>1266</v>
      </c>
    </row>
    <row r="2019" spans="1:6">
      <c r="A2019" s="91" t="s">
        <v>2323</v>
      </c>
      <c r="B2019" s="91" t="s">
        <v>793</v>
      </c>
      <c r="C2019" s="91" t="s">
        <v>793</v>
      </c>
      <c r="D2019" s="91" t="str">
        <f t="shared" si="33"/>
        <v>Bufundi</v>
      </c>
      <c r="F2019" s="91">
        <v>1267</v>
      </c>
    </row>
    <row r="2020" spans="1:6">
      <c r="A2020" s="91" t="s">
        <v>2324</v>
      </c>
      <c r="B2020" s="91" t="s">
        <v>793</v>
      </c>
      <c r="C2020" s="91" t="s">
        <v>793</v>
      </c>
      <c r="D2020" s="91" t="str">
        <f t="shared" si="33"/>
        <v>Hamurwa</v>
      </c>
      <c r="F2020" s="91">
        <v>1268</v>
      </c>
    </row>
    <row r="2021" spans="1:6">
      <c r="A2021" s="91" t="s">
        <v>2325</v>
      </c>
      <c r="B2021" s="91" t="s">
        <v>793</v>
      </c>
      <c r="C2021" s="91" t="s">
        <v>793</v>
      </c>
      <c r="D2021" s="91" t="str">
        <f t="shared" si="33"/>
        <v>Hamurwa Town Council</v>
      </c>
      <c r="F2021" s="91">
        <v>1269</v>
      </c>
    </row>
    <row r="2022" spans="1:6">
      <c r="A2022" s="91" t="s">
        <v>2326</v>
      </c>
      <c r="B2022" s="91" t="s">
        <v>793</v>
      </c>
      <c r="C2022" s="91" t="s">
        <v>793</v>
      </c>
      <c r="D2022" s="91" t="str">
        <f t="shared" si="33"/>
        <v>Ikumba</v>
      </c>
      <c r="F2022" s="91">
        <v>1270</v>
      </c>
    </row>
    <row r="2023" spans="1:6">
      <c r="A2023" s="91" t="s">
        <v>2327</v>
      </c>
      <c r="B2023" s="91" t="s">
        <v>793</v>
      </c>
      <c r="C2023" s="91" t="s">
        <v>793</v>
      </c>
      <c r="D2023" s="91" t="str">
        <f t="shared" si="33"/>
        <v>Muko</v>
      </c>
      <c r="F2023" s="91">
        <v>1271</v>
      </c>
    </row>
    <row r="2024" spans="1:6">
      <c r="A2024" s="91" t="s">
        <v>2328</v>
      </c>
      <c r="B2024" s="91" t="s">
        <v>793</v>
      </c>
      <c r="C2024" s="91" t="s">
        <v>793</v>
      </c>
      <c r="D2024" s="91" t="str">
        <f t="shared" si="33"/>
        <v>Nyamweru</v>
      </c>
      <c r="F2024" s="91">
        <v>1272</v>
      </c>
    </row>
    <row r="2025" spans="1:6">
      <c r="A2025" s="91" t="s">
        <v>2329</v>
      </c>
      <c r="B2025" s="91" t="s">
        <v>793</v>
      </c>
      <c r="C2025" s="91" t="s">
        <v>793</v>
      </c>
      <c r="D2025" s="91" t="str">
        <f t="shared" si="33"/>
        <v>Rubanda Town Council</v>
      </c>
      <c r="F2025" s="91">
        <v>1273</v>
      </c>
    </row>
    <row r="2026" spans="1:6">
      <c r="A2026" s="91" t="s">
        <v>2330</v>
      </c>
      <c r="B2026" s="91" t="s">
        <v>793</v>
      </c>
      <c r="C2026" s="91" t="s">
        <v>793</v>
      </c>
      <c r="D2026" s="91" t="str">
        <f t="shared" si="33"/>
        <v>Ruhija</v>
      </c>
      <c r="F2026" s="91">
        <v>1274</v>
      </c>
    </row>
    <row r="2027" spans="1:6">
      <c r="A2027" s="91" t="s">
        <v>2331</v>
      </c>
      <c r="B2027" s="91" t="s">
        <v>2332</v>
      </c>
      <c r="C2027" s="91" t="s">
        <v>2333</v>
      </c>
      <c r="D2027" s="91" t="str">
        <f t="shared" si="33"/>
        <v>Katanda</v>
      </c>
      <c r="F2027" s="91">
        <v>1275</v>
      </c>
    </row>
    <row r="2028" spans="1:6">
      <c r="A2028" s="91" t="s">
        <v>2333</v>
      </c>
      <c r="B2028" s="91" t="s">
        <v>2332</v>
      </c>
      <c r="C2028" s="91" t="s">
        <v>2333</v>
      </c>
      <c r="D2028" s="91" t="str">
        <f t="shared" si="33"/>
        <v>Katerera</v>
      </c>
      <c r="F2028" s="91">
        <v>1276</v>
      </c>
    </row>
    <row r="2029" spans="1:6">
      <c r="A2029" s="91" t="s">
        <v>2334</v>
      </c>
      <c r="B2029" s="91" t="s">
        <v>2332</v>
      </c>
      <c r="C2029" s="91" t="s">
        <v>2333</v>
      </c>
      <c r="D2029" s="91" t="str">
        <f t="shared" si="33"/>
        <v>Katerera Town Council</v>
      </c>
      <c r="F2029" s="91">
        <v>1277</v>
      </c>
    </row>
    <row r="2030" spans="1:6">
      <c r="A2030" s="91" t="s">
        <v>2335</v>
      </c>
      <c r="B2030" s="91" t="s">
        <v>2332</v>
      </c>
      <c r="C2030" s="91" t="s">
        <v>54</v>
      </c>
      <c r="D2030" s="91" t="str">
        <f t="shared" si="33"/>
        <v>Katunguru</v>
      </c>
      <c r="F2030" s="91">
        <v>1278</v>
      </c>
    </row>
    <row r="2031" spans="1:6">
      <c r="A2031" s="91" t="s">
        <v>57</v>
      </c>
      <c r="B2031" s="91" t="s">
        <v>2332</v>
      </c>
      <c r="C2031" s="91" t="s">
        <v>54</v>
      </c>
      <c r="D2031" s="91" t="str">
        <f t="shared" si="33"/>
        <v>Kichwamba</v>
      </c>
      <c r="F2031" s="91">
        <v>1279</v>
      </c>
    </row>
    <row r="2032" spans="1:6">
      <c r="A2032" s="91" t="s">
        <v>2336</v>
      </c>
      <c r="B2032" s="91" t="s">
        <v>2332</v>
      </c>
      <c r="C2032" s="91" t="s">
        <v>2333</v>
      </c>
      <c r="D2032" s="91" t="str">
        <f t="shared" si="33"/>
        <v>Kirugu</v>
      </c>
      <c r="F2032" s="91">
        <v>1280</v>
      </c>
    </row>
    <row r="2033" spans="1:6">
      <c r="A2033" s="91" t="s">
        <v>2337</v>
      </c>
      <c r="B2033" s="91" t="s">
        <v>2332</v>
      </c>
      <c r="C2033" s="91" t="s">
        <v>2333</v>
      </c>
      <c r="D2033" s="91" t="str">
        <f t="shared" si="33"/>
        <v>Kyabakara</v>
      </c>
      <c r="F2033" s="91">
        <v>1281</v>
      </c>
    </row>
    <row r="2034" spans="1:6">
      <c r="A2034" s="91" t="s">
        <v>2338</v>
      </c>
      <c r="B2034" s="91" t="s">
        <v>2332</v>
      </c>
      <c r="C2034" s="91" t="s">
        <v>54</v>
      </c>
      <c r="D2034" s="91" t="str">
        <f t="shared" si="33"/>
        <v>Magambo</v>
      </c>
      <c r="F2034" s="91">
        <v>1282</v>
      </c>
    </row>
    <row r="2035" spans="1:6">
      <c r="A2035" s="91" t="s">
        <v>2339</v>
      </c>
      <c r="B2035" s="91" t="s">
        <v>2332</v>
      </c>
      <c r="C2035" s="91" t="s">
        <v>54</v>
      </c>
      <c r="D2035" s="91" t="str">
        <f t="shared" si="33"/>
        <v>Rubiriziri Town Council</v>
      </c>
      <c r="F2035" s="91">
        <v>1283</v>
      </c>
    </row>
    <row r="2036" spans="1:6">
      <c r="A2036" s="91" t="s">
        <v>2340</v>
      </c>
      <c r="D2036" s="91" t="str">
        <f t="shared" si="33"/>
        <v>Nyakiyanja</v>
      </c>
      <c r="F2036" s="91">
        <v>1283</v>
      </c>
    </row>
    <row r="2037" spans="1:6">
      <c r="A2037" s="91" t="s">
        <v>2332</v>
      </c>
      <c r="D2037" s="91" t="str">
        <f t="shared" si="33"/>
        <v>Rubirizi</v>
      </c>
      <c r="F2037" s="91">
        <v>1283</v>
      </c>
    </row>
    <row r="2038" spans="1:6">
      <c r="A2038" s="91" t="s">
        <v>62</v>
      </c>
      <c r="D2038" s="91" t="str">
        <f t="shared" si="33"/>
        <v>Nkugute</v>
      </c>
      <c r="F2038" s="91">
        <v>1283</v>
      </c>
    </row>
    <row r="2039" spans="1:6">
      <c r="A2039" s="91" t="s">
        <v>2341</v>
      </c>
      <c r="D2039" s="91" t="str">
        <f t="shared" si="33"/>
        <v>RUBIRIZI TOWN</v>
      </c>
      <c r="F2039" s="91">
        <v>1283</v>
      </c>
    </row>
    <row r="2040" spans="1:6">
      <c r="A2040" s="91" t="s">
        <v>45</v>
      </c>
      <c r="D2040" s="91" t="str">
        <f t="shared" si="33"/>
        <v>Nyakasharu</v>
      </c>
      <c r="F2040" s="91">
        <v>1283</v>
      </c>
    </row>
    <row r="2041" spans="1:6">
      <c r="A2041" s="91" t="s">
        <v>2342</v>
      </c>
      <c r="D2041" s="91" t="str">
        <f t="shared" si="33"/>
        <v>BUNYARUGURU</v>
      </c>
      <c r="F2041" s="91">
        <v>1283</v>
      </c>
    </row>
    <row r="2042" spans="1:6">
      <c r="A2042" s="91" t="s">
        <v>2343</v>
      </c>
      <c r="D2042" s="91" t="str">
        <f t="shared" si="33"/>
        <v>RUMBIRIZI</v>
      </c>
      <c r="F2042" s="91">
        <v>1283</v>
      </c>
    </row>
    <row r="2043" spans="1:6">
      <c r="A2043" s="91" t="s">
        <v>2344</v>
      </c>
      <c r="B2043" s="91" t="s">
        <v>2332</v>
      </c>
      <c r="C2043" s="91" t="s">
        <v>54</v>
      </c>
      <c r="D2043" s="91" t="str">
        <f t="shared" si="33"/>
        <v>Rutoto</v>
      </c>
      <c r="F2043" s="91">
        <v>1284</v>
      </c>
    </row>
    <row r="2044" spans="1:6">
      <c r="A2044" s="91" t="s">
        <v>36</v>
      </c>
      <c r="D2044" s="91" t="str">
        <f t="shared" si="33"/>
        <v>Bururuma</v>
      </c>
      <c r="F2044" s="91">
        <v>1284</v>
      </c>
    </row>
    <row r="2045" spans="1:6">
      <c r="A2045" s="91" t="s">
        <v>2345</v>
      </c>
      <c r="B2045" s="91" t="s">
        <v>2332</v>
      </c>
      <c r="C2045" s="91" t="s">
        <v>54</v>
      </c>
      <c r="D2045" s="91" t="str">
        <f t="shared" si="33"/>
        <v>Ryeru</v>
      </c>
      <c r="F2045" s="91">
        <v>1285</v>
      </c>
    </row>
    <row r="2046" spans="1:6">
      <c r="A2046" s="91" t="s">
        <v>2346</v>
      </c>
      <c r="D2046" s="91" t="str">
        <f t="shared" si="33"/>
        <v>Buzenga</v>
      </c>
      <c r="F2046" s="91">
        <v>1285</v>
      </c>
    </row>
    <row r="2047" spans="1:6">
      <c r="A2047" s="91" t="s">
        <v>2347</v>
      </c>
      <c r="D2047" s="91" t="str">
        <f t="shared" si="33"/>
        <v>Ndekye</v>
      </c>
      <c r="F2047" s="91">
        <v>1285</v>
      </c>
    </row>
    <row r="2048" spans="1:6">
      <c r="A2048" s="91" t="s">
        <v>2348</v>
      </c>
      <c r="B2048" s="91" t="s">
        <v>2349</v>
      </c>
      <c r="C2048" s="91" t="s">
        <v>2349</v>
      </c>
      <c r="D2048" s="91" t="str">
        <f t="shared" si="33"/>
        <v>Bukinda</v>
      </c>
      <c r="F2048" s="91">
        <v>1286</v>
      </c>
    </row>
    <row r="2049" spans="1:6">
      <c r="A2049" s="91" t="s">
        <v>2350</v>
      </c>
      <c r="D2049" s="91" t="str">
        <f t="shared" si="33"/>
        <v>Muhanga</v>
      </c>
      <c r="F2049" s="91">
        <v>1286</v>
      </c>
    </row>
    <row r="2050" spans="1:6">
      <c r="A2050" s="91" t="s">
        <v>2351</v>
      </c>
      <c r="B2050" s="91" t="s">
        <v>2349</v>
      </c>
      <c r="C2050" s="91" t="s">
        <v>2349</v>
      </c>
      <c r="D2050" s="91" t="str">
        <f t="shared" si="33"/>
        <v>Kamwezi</v>
      </c>
      <c r="F2050" s="91">
        <v>1287</v>
      </c>
    </row>
    <row r="2051" spans="1:6">
      <c r="A2051" s="91" t="s">
        <v>2352</v>
      </c>
      <c r="B2051" s="91" t="s">
        <v>2349</v>
      </c>
      <c r="C2051" s="91" t="s">
        <v>2349</v>
      </c>
      <c r="D2051" s="91" t="str">
        <f t="shared" ref="D2051:D2114" si="34">A2051</f>
        <v>Kashambya</v>
      </c>
      <c r="F2051" s="91">
        <v>1288</v>
      </c>
    </row>
    <row r="2052" spans="1:6">
      <c r="A2052" s="91" t="s">
        <v>2353</v>
      </c>
      <c r="D2052" s="91" t="str">
        <f t="shared" si="34"/>
        <v>KARUBANDA</v>
      </c>
      <c r="F2052" s="91">
        <v>1288</v>
      </c>
    </row>
    <row r="2053" spans="1:6">
      <c r="A2053" s="91" t="s">
        <v>2354</v>
      </c>
      <c r="B2053" s="91" t="s">
        <v>2349</v>
      </c>
      <c r="C2053" s="91" t="s">
        <v>2349</v>
      </c>
      <c r="D2053" s="91" t="str">
        <f t="shared" si="34"/>
        <v>Mparo Town Council</v>
      </c>
      <c r="F2053" s="91">
        <v>1289</v>
      </c>
    </row>
    <row r="2054" spans="1:6">
      <c r="A2054" s="91" t="s">
        <v>2349</v>
      </c>
      <c r="D2054" s="91" t="str">
        <f t="shared" si="34"/>
        <v>Rukiga</v>
      </c>
      <c r="F2054" s="91">
        <v>1289</v>
      </c>
    </row>
    <row r="2055" spans="1:6">
      <c r="A2055" s="91" t="s">
        <v>2355</v>
      </c>
      <c r="B2055" s="91" t="s">
        <v>2349</v>
      </c>
      <c r="C2055" s="91" t="s">
        <v>2349</v>
      </c>
      <c r="D2055" s="91" t="str">
        <f t="shared" si="34"/>
        <v>Muhanga Town Council</v>
      </c>
      <c r="F2055" s="91">
        <v>1290</v>
      </c>
    </row>
    <row r="2056" spans="1:6">
      <c r="A2056" s="91" t="s">
        <v>2356</v>
      </c>
      <c r="B2056" s="91" t="s">
        <v>2349</v>
      </c>
      <c r="C2056" s="91" t="s">
        <v>2349</v>
      </c>
      <c r="D2056" s="91" t="str">
        <f t="shared" si="34"/>
        <v>Rwamucucu</v>
      </c>
      <c r="F2056" s="91">
        <v>1291</v>
      </c>
    </row>
    <row r="2057" spans="1:6">
      <c r="A2057" s="91" t="s">
        <v>2357</v>
      </c>
      <c r="D2057" s="91" t="str">
        <f t="shared" si="34"/>
        <v xml:space="preserve">RUTOMA </v>
      </c>
      <c r="F2057" s="91">
        <v>1291</v>
      </c>
    </row>
    <row r="2058" spans="1:6">
      <c r="A2058" s="91" t="s">
        <v>2358</v>
      </c>
      <c r="B2058" s="91" t="s">
        <v>41</v>
      </c>
      <c r="C2058" s="91" t="s">
        <v>2359</v>
      </c>
      <c r="D2058" s="91" t="str">
        <f t="shared" si="34"/>
        <v>Bugangari</v>
      </c>
      <c r="F2058" s="91">
        <v>1292</v>
      </c>
    </row>
    <row r="2059" spans="1:6">
      <c r="A2059" s="91" t="s">
        <v>2360</v>
      </c>
      <c r="D2059" s="91" t="str">
        <f t="shared" si="34"/>
        <v>Kagati</v>
      </c>
      <c r="F2059" s="91">
        <v>1292</v>
      </c>
    </row>
    <row r="2060" spans="1:6">
      <c r="A2060" s="91" t="s">
        <v>2361</v>
      </c>
      <c r="D2060" s="91" t="str">
        <f t="shared" si="34"/>
        <v>Kagiti</v>
      </c>
      <c r="F2060" s="91">
        <v>1292</v>
      </c>
    </row>
    <row r="2061" spans="1:6">
      <c r="A2061" s="91" t="s">
        <v>2362</v>
      </c>
      <c r="B2061" s="91" t="s">
        <v>41</v>
      </c>
      <c r="C2061" s="91" t="s">
        <v>2359</v>
      </c>
      <c r="D2061" s="91" t="str">
        <f t="shared" si="34"/>
        <v>Buhunga</v>
      </c>
      <c r="F2061" s="91">
        <v>1293</v>
      </c>
    </row>
    <row r="2062" spans="1:6">
      <c r="A2062" s="91" t="s">
        <v>2363</v>
      </c>
      <c r="D2062" s="91" t="str">
        <f t="shared" si="34"/>
        <v>RUSHESHE</v>
      </c>
      <c r="F2062" s="91">
        <v>1293</v>
      </c>
    </row>
    <row r="2063" spans="1:6">
      <c r="A2063" s="91" t="s">
        <v>1514</v>
      </c>
      <c r="B2063" s="91" t="s">
        <v>41</v>
      </c>
      <c r="C2063" s="91" t="s">
        <v>2364</v>
      </c>
      <c r="D2063" s="91" t="str">
        <f t="shared" si="34"/>
        <v>Buyanja</v>
      </c>
      <c r="F2063" s="91">
        <v>1294</v>
      </c>
    </row>
    <row r="2064" spans="1:6">
      <c r="A2064" s="91" t="s">
        <v>2365</v>
      </c>
      <c r="B2064" s="91" t="s">
        <v>41</v>
      </c>
      <c r="C2064" s="91" t="s">
        <v>2364</v>
      </c>
      <c r="D2064" s="91" t="str">
        <f t="shared" si="34"/>
        <v>Buyanja Town Council</v>
      </c>
      <c r="F2064" s="91">
        <v>1295</v>
      </c>
    </row>
    <row r="2065" spans="1:6">
      <c r="A2065" s="91" t="s">
        <v>2366</v>
      </c>
      <c r="B2065" s="91" t="s">
        <v>41</v>
      </c>
      <c r="C2065" s="91" t="s">
        <v>2359</v>
      </c>
      <c r="D2065" s="91" t="str">
        <f t="shared" si="34"/>
        <v>Bwambara</v>
      </c>
      <c r="F2065" s="91">
        <v>1296</v>
      </c>
    </row>
    <row r="2066" spans="1:6">
      <c r="A2066" s="91" t="s">
        <v>2367</v>
      </c>
      <c r="B2066" s="91" t="s">
        <v>41</v>
      </c>
      <c r="C2066" s="91" t="s">
        <v>2364</v>
      </c>
      <c r="D2066" s="91" t="str">
        <f t="shared" si="34"/>
        <v>Kebisoni</v>
      </c>
      <c r="F2066" s="91">
        <v>1297</v>
      </c>
    </row>
    <row r="2067" spans="1:6">
      <c r="A2067" s="91" t="s">
        <v>2368</v>
      </c>
      <c r="B2067" s="91" t="s">
        <v>41</v>
      </c>
      <c r="C2067" s="91" t="s">
        <v>2364</v>
      </c>
      <c r="D2067" s="91" t="str">
        <f t="shared" si="34"/>
        <v>Kebisoni Town Council</v>
      </c>
      <c r="F2067" s="91">
        <v>1298</v>
      </c>
    </row>
    <row r="2068" spans="1:6">
      <c r="A2068" s="91" t="s">
        <v>2369</v>
      </c>
      <c r="B2068" s="91" t="s">
        <v>41</v>
      </c>
      <c r="C2068" s="91" t="s">
        <v>2359</v>
      </c>
      <c r="D2068" s="91" t="str">
        <f t="shared" si="34"/>
        <v>Nyakagyeme</v>
      </c>
      <c r="F2068" s="91">
        <v>1299</v>
      </c>
    </row>
    <row r="2069" spans="1:6">
      <c r="A2069" s="91" t="s">
        <v>2370</v>
      </c>
      <c r="B2069" s="91" t="s">
        <v>41</v>
      </c>
      <c r="C2069" s="91" t="s">
        <v>2364</v>
      </c>
      <c r="D2069" s="91" t="str">
        <f t="shared" si="34"/>
        <v>Nyakishenyi</v>
      </c>
      <c r="F2069" s="91">
        <v>1300</v>
      </c>
    </row>
    <row r="2070" spans="1:6">
      <c r="A2070" s="91" t="s">
        <v>2371</v>
      </c>
      <c r="B2070" s="91" t="s">
        <v>41</v>
      </c>
      <c r="C2070" s="91" t="s">
        <v>2364</v>
      </c>
      <c r="D2070" s="91" t="str">
        <f t="shared" si="34"/>
        <v>Nyarushanje</v>
      </c>
      <c r="F2070" s="91">
        <v>1301</v>
      </c>
    </row>
    <row r="2071" spans="1:6">
      <c r="A2071" s="91" t="s">
        <v>1956</v>
      </c>
      <c r="B2071" s="91" t="s">
        <v>41</v>
      </c>
      <c r="C2071" s="91" t="s">
        <v>2359</v>
      </c>
      <c r="D2071" s="91" t="str">
        <f t="shared" si="34"/>
        <v>Ruhinda</v>
      </c>
      <c r="F2071" s="91">
        <v>1302</v>
      </c>
    </row>
    <row r="2072" spans="1:6">
      <c r="A2072" s="91" t="s">
        <v>2372</v>
      </c>
      <c r="D2072" s="91" t="str">
        <f t="shared" si="34"/>
        <v>RUHINDI</v>
      </c>
      <c r="F2072" s="91">
        <v>1302</v>
      </c>
    </row>
    <row r="2073" spans="1:6">
      <c r="A2073" s="91" t="s">
        <v>2373</v>
      </c>
      <c r="B2073" s="91" t="s">
        <v>41</v>
      </c>
      <c r="C2073" s="91" t="s">
        <v>2373</v>
      </c>
      <c r="D2073" s="91" t="str">
        <f t="shared" si="34"/>
        <v>Rukungiri Municipality</v>
      </c>
      <c r="F2073" s="91">
        <v>1303</v>
      </c>
    </row>
    <row r="2074" spans="1:6">
      <c r="A2074" s="91" t="s">
        <v>41</v>
      </c>
      <c r="D2074" s="91" t="str">
        <f t="shared" si="34"/>
        <v>Rukungiri</v>
      </c>
      <c r="F2074" s="91">
        <v>1303</v>
      </c>
    </row>
    <row r="2075" spans="1:6">
      <c r="A2075" s="91" t="s">
        <v>2374</v>
      </c>
      <c r="D2075" s="91" t="str">
        <f t="shared" si="34"/>
        <v>Kisizi</v>
      </c>
      <c r="F2075" s="91">
        <v>1303</v>
      </c>
    </row>
    <row r="2076" spans="1:6">
      <c r="A2076" s="91" t="s">
        <v>2375</v>
      </c>
      <c r="D2076" s="91" t="str">
        <f t="shared" si="34"/>
        <v>RUKUNGIRI TOWN</v>
      </c>
      <c r="F2076" s="91">
        <v>1303</v>
      </c>
    </row>
    <row r="2077" spans="1:6">
      <c r="A2077" s="91" t="s">
        <v>2376</v>
      </c>
      <c r="B2077" s="91" t="s">
        <v>2377</v>
      </c>
      <c r="C2077" s="91" t="s">
        <v>2377</v>
      </c>
      <c r="D2077" s="91" t="str">
        <f t="shared" si="34"/>
        <v>Atiira</v>
      </c>
      <c r="F2077" s="91">
        <v>1304</v>
      </c>
    </row>
    <row r="2078" spans="1:6">
      <c r="A2078" s="91" t="s">
        <v>2378</v>
      </c>
      <c r="B2078" s="91" t="s">
        <v>2377</v>
      </c>
      <c r="C2078" s="91" t="s">
        <v>2379</v>
      </c>
      <c r="D2078" s="91" t="str">
        <f t="shared" si="34"/>
        <v>Bugondo</v>
      </c>
      <c r="F2078" s="91">
        <v>1305</v>
      </c>
    </row>
    <row r="2079" spans="1:6">
      <c r="A2079" s="91" t="s">
        <v>2380</v>
      </c>
      <c r="B2079" s="91" t="s">
        <v>2377</v>
      </c>
      <c r="C2079" s="91" t="s">
        <v>2379</v>
      </c>
      <c r="D2079" s="91" t="str">
        <f t="shared" si="34"/>
        <v>Kadungulu</v>
      </c>
      <c r="F2079" s="91">
        <v>1306</v>
      </c>
    </row>
    <row r="2080" spans="1:6">
      <c r="A2080" s="91" t="s">
        <v>2381</v>
      </c>
      <c r="B2080" s="91" t="s">
        <v>2377</v>
      </c>
      <c r="C2080" s="91" t="s">
        <v>2379</v>
      </c>
      <c r="D2080" s="91" t="str">
        <f t="shared" si="34"/>
        <v>Kasilo Town Council</v>
      </c>
      <c r="F2080" s="91">
        <v>1307</v>
      </c>
    </row>
    <row r="2081" spans="1:6">
      <c r="A2081" s="91" t="s">
        <v>2382</v>
      </c>
      <c r="B2081" s="91" t="s">
        <v>2377</v>
      </c>
      <c r="C2081" s="91" t="s">
        <v>2377</v>
      </c>
      <c r="D2081" s="91" t="str">
        <f t="shared" si="34"/>
        <v>Kateta</v>
      </c>
      <c r="F2081" s="91">
        <v>1308</v>
      </c>
    </row>
    <row r="2082" spans="1:6">
      <c r="A2082" s="91" t="s">
        <v>2383</v>
      </c>
      <c r="B2082" s="91" t="s">
        <v>2377</v>
      </c>
      <c r="C2082" s="91" t="s">
        <v>2377</v>
      </c>
      <c r="D2082" s="91" t="str">
        <f t="shared" si="34"/>
        <v>Kyere</v>
      </c>
      <c r="F2082" s="91">
        <v>1309</v>
      </c>
    </row>
    <row r="2083" spans="1:6">
      <c r="A2083" s="91" t="s">
        <v>2384</v>
      </c>
      <c r="B2083" s="91" t="s">
        <v>2377</v>
      </c>
      <c r="C2083" s="91" t="s">
        <v>2379</v>
      </c>
      <c r="D2083" s="91" t="str">
        <f t="shared" si="34"/>
        <v>Labori</v>
      </c>
      <c r="F2083" s="91">
        <v>1310</v>
      </c>
    </row>
    <row r="2084" spans="1:6">
      <c r="A2084" s="91" t="s">
        <v>2385</v>
      </c>
      <c r="B2084" s="91" t="s">
        <v>2377</v>
      </c>
      <c r="C2084" s="91" t="s">
        <v>2377</v>
      </c>
      <c r="D2084" s="91" t="str">
        <f t="shared" si="34"/>
        <v>Olio</v>
      </c>
      <c r="F2084" s="91">
        <v>1311</v>
      </c>
    </row>
    <row r="2085" spans="1:6">
      <c r="A2085" s="91" t="s">
        <v>2386</v>
      </c>
      <c r="B2085" s="91" t="s">
        <v>2377</v>
      </c>
      <c r="C2085" s="91" t="s">
        <v>2379</v>
      </c>
      <c r="D2085" s="91" t="str">
        <f t="shared" si="34"/>
        <v>Pingire</v>
      </c>
      <c r="F2085" s="91">
        <v>1312</v>
      </c>
    </row>
    <row r="2086" spans="1:6">
      <c r="A2086" s="91" t="s">
        <v>2387</v>
      </c>
      <c r="B2086" s="91" t="s">
        <v>2377</v>
      </c>
      <c r="C2086" s="91" t="s">
        <v>2377</v>
      </c>
      <c r="D2086" s="91" t="str">
        <f t="shared" si="34"/>
        <v>Serere Town Council</v>
      </c>
      <c r="F2086" s="91">
        <v>1313</v>
      </c>
    </row>
    <row r="2087" spans="1:6">
      <c r="A2087" s="91" t="s">
        <v>2388</v>
      </c>
      <c r="B2087" s="91" t="s">
        <v>42</v>
      </c>
      <c r="C2087" s="91" t="s">
        <v>42</v>
      </c>
      <c r="D2087" s="91" t="str">
        <f t="shared" si="34"/>
        <v>Bugongi Town Council</v>
      </c>
      <c r="F2087" s="91">
        <v>1314</v>
      </c>
    </row>
    <row r="2088" spans="1:6">
      <c r="A2088" s="91" t="s">
        <v>2389</v>
      </c>
      <c r="B2088" s="91" t="s">
        <v>42</v>
      </c>
      <c r="C2088" s="91" t="s">
        <v>2390</v>
      </c>
      <c r="D2088" s="91" t="str">
        <f t="shared" si="34"/>
        <v>Kagango Division-Sheema</v>
      </c>
      <c r="F2088" s="91">
        <v>1315</v>
      </c>
    </row>
    <row r="2089" spans="1:6">
      <c r="A2089" s="91" t="s">
        <v>2391</v>
      </c>
      <c r="D2089" s="91" t="str">
        <f t="shared" si="34"/>
        <v>KIHUNDA</v>
      </c>
      <c r="F2089" s="91">
        <v>1315</v>
      </c>
    </row>
    <row r="2090" spans="1:6">
      <c r="A2090" s="91" t="s">
        <v>2392</v>
      </c>
      <c r="B2090" s="91" t="s">
        <v>42</v>
      </c>
      <c r="C2090" s="91" t="s">
        <v>42</v>
      </c>
      <c r="D2090" s="91" t="str">
        <f t="shared" si="34"/>
        <v>Kakindo Town Council</v>
      </c>
      <c r="F2090" s="91">
        <v>1316</v>
      </c>
    </row>
    <row r="2091" spans="1:6">
      <c r="A2091" s="91" t="s">
        <v>2393</v>
      </c>
      <c r="D2091" s="91" t="str">
        <f t="shared" si="34"/>
        <v>Kabwohe</v>
      </c>
      <c r="F2091" s="91">
        <v>1316</v>
      </c>
    </row>
    <row r="2092" spans="1:6">
      <c r="A2092" s="91" t="s">
        <v>2394</v>
      </c>
      <c r="D2092" s="91" t="str">
        <f t="shared" si="34"/>
        <v>KIBINGO</v>
      </c>
      <c r="F2092" s="91">
        <v>1316</v>
      </c>
    </row>
    <row r="2093" spans="1:6">
      <c r="A2093" s="91" t="s">
        <v>2395</v>
      </c>
      <c r="D2093" s="91" t="str">
        <f t="shared" si="34"/>
        <v>MUSHANGA</v>
      </c>
      <c r="F2093" s="91">
        <v>1316</v>
      </c>
    </row>
    <row r="2094" spans="1:6">
      <c r="A2094" s="91" t="s">
        <v>2396</v>
      </c>
      <c r="D2094" s="91" t="str">
        <f t="shared" si="34"/>
        <v>ITENDERO</v>
      </c>
      <c r="F2094" s="91">
        <v>1316</v>
      </c>
    </row>
    <row r="2095" spans="1:6">
      <c r="A2095" s="91" t="s">
        <v>2397</v>
      </c>
      <c r="B2095" s="91" t="s">
        <v>42</v>
      </c>
      <c r="C2095" s="91" t="s">
        <v>42</v>
      </c>
      <c r="D2095" s="91" t="str">
        <f t="shared" si="34"/>
        <v>Kasaana</v>
      </c>
      <c r="F2095" s="91">
        <v>1317</v>
      </c>
    </row>
    <row r="2096" spans="1:6">
      <c r="A2096" s="91" t="s">
        <v>2398</v>
      </c>
      <c r="B2096" s="91" t="s">
        <v>42</v>
      </c>
      <c r="C2096" s="91" t="s">
        <v>42</v>
      </c>
      <c r="D2096" s="91" t="str">
        <f t="shared" si="34"/>
        <v>Kigarama</v>
      </c>
      <c r="F2096" s="91">
        <v>1318</v>
      </c>
    </row>
    <row r="2097" spans="1:6">
      <c r="A2097" s="91" t="s">
        <v>2399</v>
      </c>
      <c r="B2097" s="91" t="s">
        <v>42</v>
      </c>
      <c r="C2097" s="91" t="s">
        <v>42</v>
      </c>
      <c r="D2097" s="91" t="str">
        <f t="shared" si="34"/>
        <v>Kitagata</v>
      </c>
      <c r="F2097" s="91">
        <v>1319</v>
      </c>
    </row>
    <row r="2098" spans="1:6">
      <c r="A2098" s="91" t="s">
        <v>2400</v>
      </c>
      <c r="D2098" s="91" t="str">
        <f t="shared" si="34"/>
        <v>Kasinga</v>
      </c>
      <c r="F2098" s="91">
        <v>1319</v>
      </c>
    </row>
    <row r="2099" spans="1:6">
      <c r="A2099" s="91" t="s">
        <v>2401</v>
      </c>
      <c r="B2099" s="91" t="s">
        <v>42</v>
      </c>
      <c r="C2099" s="91" t="s">
        <v>42</v>
      </c>
      <c r="D2099" s="91" t="str">
        <f t="shared" si="34"/>
        <v>Kyangyenyi</v>
      </c>
      <c r="F2099" s="91">
        <v>1320</v>
      </c>
    </row>
    <row r="2100" spans="1:6">
      <c r="A2100" s="91" t="s">
        <v>2402</v>
      </c>
      <c r="B2100" s="91" t="s">
        <v>42</v>
      </c>
      <c r="C2100" s="91" t="s">
        <v>42</v>
      </c>
      <c r="D2100" s="91" t="str">
        <f t="shared" si="34"/>
        <v>Masheruka</v>
      </c>
      <c r="F2100" s="91">
        <v>1321</v>
      </c>
    </row>
    <row r="2101" spans="1:6">
      <c r="A2101" s="91" t="s">
        <v>2403</v>
      </c>
      <c r="B2101" s="91" t="s">
        <v>42</v>
      </c>
      <c r="C2101" s="91" t="s">
        <v>42</v>
      </c>
      <c r="D2101" s="91" t="str">
        <f t="shared" si="34"/>
        <v>Rugarama-Sheema</v>
      </c>
      <c r="F2101" s="91">
        <v>1322</v>
      </c>
    </row>
    <row r="2102" spans="1:6">
      <c r="A2102" s="91" t="s">
        <v>2390</v>
      </c>
      <c r="B2102" s="91" t="s">
        <v>42</v>
      </c>
      <c r="C2102" s="91" t="s">
        <v>2390</v>
      </c>
      <c r="D2102" s="91" t="str">
        <f t="shared" si="34"/>
        <v>Sheema Municipality</v>
      </c>
      <c r="F2102" s="91">
        <v>1323</v>
      </c>
    </row>
    <row r="2103" spans="1:6">
      <c r="A2103" s="91" t="s">
        <v>2404</v>
      </c>
      <c r="D2103" s="91" t="str">
        <f t="shared" si="34"/>
        <v>SHEEMA</v>
      </c>
      <c r="F2103" s="91">
        <v>1323</v>
      </c>
    </row>
    <row r="2104" spans="1:6">
      <c r="A2104" s="91" t="s">
        <v>2405</v>
      </c>
      <c r="D2104" s="91" t="str">
        <f t="shared" si="34"/>
        <v>Shema</v>
      </c>
      <c r="F2104" s="91">
        <v>1323</v>
      </c>
    </row>
    <row r="2105" spans="1:6">
      <c r="A2105" s="91" t="s">
        <v>2406</v>
      </c>
      <c r="D2105" s="91" t="str">
        <f t="shared" si="34"/>
        <v>SHEEMA TOWN</v>
      </c>
      <c r="F2105" s="91">
        <v>1323</v>
      </c>
    </row>
    <row r="2106" spans="1:6">
      <c r="A2106" s="91" t="s">
        <v>2407</v>
      </c>
      <c r="B2106" s="91" t="s">
        <v>42</v>
      </c>
      <c r="C2106" s="91" t="s">
        <v>42</v>
      </c>
      <c r="D2106" s="91" t="str">
        <f t="shared" si="34"/>
        <v>Shuuku</v>
      </c>
      <c r="F2106" s="91">
        <v>1324</v>
      </c>
    </row>
    <row r="2107" spans="1:6">
      <c r="A2107" s="91" t="s">
        <v>2408</v>
      </c>
      <c r="B2107" s="91" t="s">
        <v>42</v>
      </c>
      <c r="C2107" s="91" t="s">
        <v>42</v>
      </c>
      <c r="D2107" s="91" t="str">
        <f t="shared" si="34"/>
        <v>Shuuku Town Council</v>
      </c>
      <c r="F2107" s="91">
        <v>1325</v>
      </c>
    </row>
    <row r="2108" spans="1:6">
      <c r="A2108" s="91" t="s">
        <v>2409</v>
      </c>
      <c r="B2108" s="91" t="s">
        <v>2410</v>
      </c>
      <c r="C2108" s="91" t="s">
        <v>2411</v>
      </c>
      <c r="D2108" s="91" t="str">
        <f t="shared" si="34"/>
        <v>Budadiri Town Council</v>
      </c>
      <c r="F2108" s="91">
        <v>1326</v>
      </c>
    </row>
    <row r="2109" spans="1:6">
      <c r="A2109" s="91" t="s">
        <v>2412</v>
      </c>
      <c r="B2109" s="91" t="s">
        <v>2410</v>
      </c>
      <c r="C2109" s="91" t="s">
        <v>2411</v>
      </c>
      <c r="D2109" s="91" t="str">
        <f t="shared" si="34"/>
        <v>Bugitimwa</v>
      </c>
      <c r="F2109" s="91">
        <v>1327</v>
      </c>
    </row>
    <row r="2110" spans="1:6">
      <c r="A2110" s="91" t="s">
        <v>2413</v>
      </c>
      <c r="B2110" s="91" t="s">
        <v>2410</v>
      </c>
      <c r="C2110" s="91" t="s">
        <v>2411</v>
      </c>
      <c r="D2110" s="91" t="str">
        <f t="shared" si="34"/>
        <v>Buhugu</v>
      </c>
      <c r="F2110" s="91">
        <v>1328</v>
      </c>
    </row>
    <row r="2111" spans="1:6">
      <c r="A2111" s="91" t="s">
        <v>2414</v>
      </c>
      <c r="B2111" s="91" t="s">
        <v>2410</v>
      </c>
      <c r="C2111" s="91" t="s">
        <v>2411</v>
      </c>
      <c r="D2111" s="91" t="str">
        <f t="shared" si="34"/>
        <v>Bukhulo</v>
      </c>
      <c r="F2111" s="91">
        <v>1329</v>
      </c>
    </row>
    <row r="2112" spans="1:6">
      <c r="A2112" s="91" t="s">
        <v>2415</v>
      </c>
      <c r="B2112" s="91" t="s">
        <v>2410</v>
      </c>
      <c r="C2112" s="91" t="s">
        <v>2411</v>
      </c>
      <c r="D2112" s="91" t="str">
        <f t="shared" si="34"/>
        <v>Bukiise</v>
      </c>
      <c r="F2112" s="91">
        <v>1330</v>
      </c>
    </row>
    <row r="2113" spans="1:6">
      <c r="A2113" s="91" t="s">
        <v>2416</v>
      </c>
      <c r="B2113" s="91" t="s">
        <v>2410</v>
      </c>
      <c r="C2113" s="91" t="s">
        <v>2411</v>
      </c>
      <c r="D2113" s="91" t="str">
        <f t="shared" si="34"/>
        <v>Bukiyi</v>
      </c>
      <c r="F2113" s="91">
        <v>1331</v>
      </c>
    </row>
    <row r="2114" spans="1:6">
      <c r="A2114" s="91" t="s">
        <v>2417</v>
      </c>
      <c r="B2114" s="91" t="s">
        <v>2410</v>
      </c>
      <c r="C2114" s="91" t="s">
        <v>2411</v>
      </c>
      <c r="D2114" s="91" t="str">
        <f t="shared" si="34"/>
        <v>Bukyabo</v>
      </c>
      <c r="F2114" s="91">
        <v>1332</v>
      </c>
    </row>
    <row r="2115" spans="1:6">
      <c r="A2115" s="91" t="s">
        <v>2418</v>
      </c>
      <c r="B2115" s="91" t="s">
        <v>2410</v>
      </c>
      <c r="C2115" s="91" t="s">
        <v>2411</v>
      </c>
      <c r="D2115" s="91" t="str">
        <f t="shared" ref="D2115:D2178" si="35">A2115</f>
        <v>Bukyambi</v>
      </c>
      <c r="F2115" s="91">
        <v>1333</v>
      </c>
    </row>
    <row r="2116" spans="1:6">
      <c r="A2116" s="91" t="s">
        <v>2419</v>
      </c>
      <c r="B2116" s="91" t="s">
        <v>2410</v>
      </c>
      <c r="C2116" s="91" t="s">
        <v>2411</v>
      </c>
      <c r="D2116" s="91" t="str">
        <f t="shared" si="35"/>
        <v>Bumalimba</v>
      </c>
      <c r="F2116" s="91">
        <v>1334</v>
      </c>
    </row>
    <row r="2117" spans="1:6">
      <c r="A2117" s="91" t="s">
        <v>2420</v>
      </c>
      <c r="B2117" s="91" t="s">
        <v>2410</v>
      </c>
      <c r="C2117" s="91" t="s">
        <v>2411</v>
      </c>
      <c r="D2117" s="91" t="str">
        <f t="shared" si="35"/>
        <v>Bumasifwa</v>
      </c>
      <c r="F2117" s="91">
        <v>1335</v>
      </c>
    </row>
    <row r="2118" spans="1:6">
      <c r="A2118" s="91" t="s">
        <v>2421</v>
      </c>
      <c r="B2118" s="91" t="s">
        <v>2410</v>
      </c>
      <c r="C2118" s="91" t="s">
        <v>2411</v>
      </c>
      <c r="D2118" s="91" t="str">
        <f t="shared" si="35"/>
        <v>Bunyafa</v>
      </c>
      <c r="F2118" s="91">
        <v>1336</v>
      </c>
    </row>
    <row r="2119" spans="1:6">
      <c r="A2119" s="91" t="s">
        <v>2422</v>
      </c>
      <c r="B2119" s="91" t="s">
        <v>2410</v>
      </c>
      <c r="C2119" s="91" t="s">
        <v>2411</v>
      </c>
      <c r="D2119" s="91" t="str">
        <f t="shared" si="35"/>
        <v>Busulani</v>
      </c>
      <c r="F2119" s="91">
        <v>1337</v>
      </c>
    </row>
    <row r="2120" spans="1:6">
      <c r="A2120" s="91" t="s">
        <v>2423</v>
      </c>
      <c r="B2120" s="91" t="s">
        <v>2410</v>
      </c>
      <c r="C2120" s="91" t="s">
        <v>2411</v>
      </c>
      <c r="D2120" s="91" t="str">
        <f t="shared" si="35"/>
        <v>Butandiga</v>
      </c>
      <c r="F2120" s="91">
        <v>1338</v>
      </c>
    </row>
    <row r="2121" spans="1:6">
      <c r="A2121" s="91" t="s">
        <v>2424</v>
      </c>
      <c r="B2121" s="91" t="s">
        <v>2410</v>
      </c>
      <c r="C2121" s="91" t="s">
        <v>2411</v>
      </c>
      <c r="D2121" s="91" t="str">
        <f t="shared" si="35"/>
        <v>Buteza</v>
      </c>
      <c r="F2121" s="91">
        <v>1339</v>
      </c>
    </row>
    <row r="2122" spans="1:6">
      <c r="A2122" s="91" t="s">
        <v>2425</v>
      </c>
      <c r="B2122" s="91" t="s">
        <v>2410</v>
      </c>
      <c r="C2122" s="91" t="s">
        <v>2411</v>
      </c>
      <c r="D2122" s="91" t="str">
        <f t="shared" si="35"/>
        <v>Buwalasi</v>
      </c>
      <c r="F2122" s="91">
        <v>1340</v>
      </c>
    </row>
    <row r="2123" spans="1:6">
      <c r="A2123" s="91" t="s">
        <v>2426</v>
      </c>
      <c r="B2123" s="91" t="s">
        <v>2410</v>
      </c>
      <c r="C2123" s="91" t="s">
        <v>2411</v>
      </c>
      <c r="D2123" s="91" t="str">
        <f t="shared" si="35"/>
        <v>Buwasa</v>
      </c>
      <c r="F2123" s="91">
        <v>1341</v>
      </c>
    </row>
    <row r="2124" spans="1:6">
      <c r="A2124" s="91" t="s">
        <v>2427</v>
      </c>
      <c r="B2124" s="91" t="s">
        <v>2410</v>
      </c>
      <c r="C2124" s="91" t="s">
        <v>2411</v>
      </c>
      <c r="D2124" s="91" t="str">
        <f t="shared" si="35"/>
        <v>Buyobo</v>
      </c>
      <c r="F2124" s="91">
        <v>1342</v>
      </c>
    </row>
    <row r="2125" spans="1:6">
      <c r="A2125" s="91" t="s">
        <v>2428</v>
      </c>
      <c r="B2125" s="91" t="s">
        <v>2410</v>
      </c>
      <c r="C2125" s="91" t="s">
        <v>2411</v>
      </c>
      <c r="D2125" s="91" t="str">
        <f t="shared" si="35"/>
        <v>Masaba-Sironko</v>
      </c>
      <c r="F2125" s="91">
        <v>1343</v>
      </c>
    </row>
    <row r="2126" spans="1:6">
      <c r="A2126" s="91" t="s">
        <v>2429</v>
      </c>
      <c r="B2126" s="91" t="s">
        <v>2410</v>
      </c>
      <c r="C2126" s="91" t="s">
        <v>2411</v>
      </c>
      <c r="D2126" s="91" t="str">
        <f t="shared" si="35"/>
        <v>Nalusala</v>
      </c>
      <c r="F2126" s="91">
        <v>1344</v>
      </c>
    </row>
    <row r="2127" spans="1:6">
      <c r="A2127" s="91" t="s">
        <v>2430</v>
      </c>
      <c r="B2127" s="91" t="s">
        <v>2410</v>
      </c>
      <c r="C2127" s="91" t="s">
        <v>2411</v>
      </c>
      <c r="D2127" s="91" t="str">
        <f t="shared" si="35"/>
        <v>Sironko Town Council</v>
      </c>
      <c r="F2127" s="91">
        <v>1345</v>
      </c>
    </row>
    <row r="2128" spans="1:6">
      <c r="A2128" s="91" t="s">
        <v>2431</v>
      </c>
      <c r="B2128" s="91" t="s">
        <v>2410</v>
      </c>
      <c r="C2128" s="91" t="s">
        <v>2411</v>
      </c>
      <c r="D2128" s="91" t="str">
        <f t="shared" si="35"/>
        <v>Zesui</v>
      </c>
      <c r="F2128" s="91">
        <v>1346</v>
      </c>
    </row>
    <row r="2129" spans="1:6">
      <c r="A2129" s="91" t="s">
        <v>2432</v>
      </c>
      <c r="B2129" s="91" t="s">
        <v>2433</v>
      </c>
      <c r="C2129" s="91" t="s">
        <v>2433</v>
      </c>
      <c r="D2129" s="91" t="str">
        <f t="shared" si="35"/>
        <v>Arapai</v>
      </c>
      <c r="F2129" s="91">
        <v>1347</v>
      </c>
    </row>
    <row r="2130" spans="1:6">
      <c r="A2130" s="91" t="s">
        <v>2434</v>
      </c>
      <c r="B2130" s="91" t="s">
        <v>2433</v>
      </c>
      <c r="C2130" s="91" t="s">
        <v>2433</v>
      </c>
      <c r="D2130" s="91" t="str">
        <f t="shared" si="35"/>
        <v>Asuret</v>
      </c>
      <c r="F2130" s="91">
        <v>1348</v>
      </c>
    </row>
    <row r="2131" spans="1:6">
      <c r="A2131" s="91" t="s">
        <v>2435</v>
      </c>
      <c r="B2131" s="91" t="s">
        <v>2433</v>
      </c>
      <c r="C2131" s="91" t="s">
        <v>2433</v>
      </c>
      <c r="D2131" s="91" t="str">
        <f t="shared" si="35"/>
        <v>Gweri</v>
      </c>
      <c r="F2131" s="91">
        <v>1349</v>
      </c>
    </row>
    <row r="2132" spans="1:6">
      <c r="A2132" s="91" t="s">
        <v>2436</v>
      </c>
      <c r="B2132" s="91" t="s">
        <v>2433</v>
      </c>
      <c r="C2132" s="91" t="s">
        <v>2433</v>
      </c>
      <c r="D2132" s="91" t="str">
        <f t="shared" si="35"/>
        <v>Kamuda</v>
      </c>
      <c r="F2132" s="91">
        <v>1350</v>
      </c>
    </row>
    <row r="2133" spans="1:6">
      <c r="A2133" s="91" t="s">
        <v>2437</v>
      </c>
      <c r="B2133" s="91" t="s">
        <v>2433</v>
      </c>
      <c r="C2133" s="91" t="s">
        <v>2433</v>
      </c>
      <c r="D2133" s="91" t="str">
        <f t="shared" si="35"/>
        <v>Katine</v>
      </c>
      <c r="F2133" s="91">
        <v>1351</v>
      </c>
    </row>
    <row r="2134" spans="1:6">
      <c r="A2134" s="91" t="s">
        <v>2433</v>
      </c>
      <c r="B2134" s="91" t="s">
        <v>2433</v>
      </c>
      <c r="C2134" s="91" t="s">
        <v>2433</v>
      </c>
      <c r="D2134" s="91" t="str">
        <f t="shared" si="35"/>
        <v>Soroti</v>
      </c>
      <c r="F2134" s="91">
        <v>1352</v>
      </c>
    </row>
    <row r="2135" spans="1:6">
      <c r="A2135" s="91" t="s">
        <v>2438</v>
      </c>
      <c r="B2135" s="91" t="s">
        <v>2433</v>
      </c>
      <c r="C2135" s="91" t="s">
        <v>2438</v>
      </c>
      <c r="D2135" s="91" t="str">
        <f t="shared" si="35"/>
        <v>Soroti Municipality</v>
      </c>
      <c r="F2135" s="91">
        <v>1353</v>
      </c>
    </row>
    <row r="2136" spans="1:6">
      <c r="A2136" s="91" t="s">
        <v>2439</v>
      </c>
      <c r="D2136" s="91" t="str">
        <f t="shared" si="35"/>
        <v>Soroti town</v>
      </c>
      <c r="F2136" s="91">
        <v>1353</v>
      </c>
    </row>
    <row r="2137" spans="1:6">
      <c r="A2137" s="91" t="s">
        <v>2440</v>
      </c>
      <c r="B2137" s="91" t="s">
        <v>2433</v>
      </c>
      <c r="C2137" s="91" t="s">
        <v>2433</v>
      </c>
      <c r="D2137" s="91" t="str">
        <f t="shared" si="35"/>
        <v>Tubur</v>
      </c>
      <c r="F2137" s="91">
        <v>1354</v>
      </c>
    </row>
    <row r="2138" spans="1:6">
      <c r="A2138" s="91" t="s">
        <v>2441</v>
      </c>
      <c r="B2138" s="91" t="s">
        <v>2442</v>
      </c>
      <c r="C2138" s="91" t="s">
        <v>2443</v>
      </c>
      <c r="D2138" s="91" t="str">
        <f t="shared" si="35"/>
        <v>Lugusulu</v>
      </c>
      <c r="F2138" s="91">
        <v>1355</v>
      </c>
    </row>
    <row r="2139" spans="1:6">
      <c r="A2139" s="91" t="s">
        <v>2444</v>
      </c>
      <c r="B2139" s="91" t="s">
        <v>2442</v>
      </c>
      <c r="C2139" s="91" t="s">
        <v>2443</v>
      </c>
      <c r="D2139" s="91" t="str">
        <f t="shared" si="35"/>
        <v>Lwebitakuli</v>
      </c>
      <c r="F2139" s="91">
        <v>1356</v>
      </c>
    </row>
    <row r="2140" spans="1:6">
      <c r="A2140" s="91" t="s">
        <v>2445</v>
      </c>
      <c r="B2140" s="91" t="s">
        <v>2442</v>
      </c>
      <c r="C2140" s="91" t="s">
        <v>2445</v>
      </c>
      <c r="D2140" s="91" t="str">
        <f t="shared" si="35"/>
        <v>Lwemiyaga</v>
      </c>
      <c r="F2140" s="91">
        <v>1357</v>
      </c>
    </row>
    <row r="2141" spans="1:6">
      <c r="A2141" s="91" t="s">
        <v>2446</v>
      </c>
      <c r="B2141" s="91" t="s">
        <v>2442</v>
      </c>
      <c r="C2141" s="91" t="s">
        <v>2443</v>
      </c>
      <c r="D2141" s="91" t="str">
        <f t="shared" si="35"/>
        <v>Mateete</v>
      </c>
      <c r="F2141" s="91">
        <v>1358</v>
      </c>
    </row>
    <row r="2142" spans="1:6">
      <c r="A2142" s="91" t="s">
        <v>2447</v>
      </c>
      <c r="B2142" s="91" t="s">
        <v>2442</v>
      </c>
      <c r="C2142" s="91" t="s">
        <v>2443</v>
      </c>
      <c r="D2142" s="91" t="str">
        <f t="shared" si="35"/>
        <v>Mateete Town Council</v>
      </c>
      <c r="F2142" s="91">
        <v>1359</v>
      </c>
    </row>
    <row r="2143" spans="1:6">
      <c r="A2143" s="91" t="s">
        <v>2448</v>
      </c>
      <c r="B2143" s="91" t="s">
        <v>2442</v>
      </c>
      <c r="C2143" s="91" t="s">
        <v>2443</v>
      </c>
      <c r="D2143" s="91" t="str">
        <f t="shared" si="35"/>
        <v>Mijwala</v>
      </c>
      <c r="F2143" s="91">
        <v>1360</v>
      </c>
    </row>
    <row r="2144" spans="1:6">
      <c r="A2144" s="91" t="s">
        <v>2449</v>
      </c>
      <c r="B2144" s="91" t="s">
        <v>2442</v>
      </c>
      <c r="C2144" s="91" t="s">
        <v>2445</v>
      </c>
      <c r="D2144" s="91" t="str">
        <f t="shared" si="35"/>
        <v>Ntuusi</v>
      </c>
      <c r="F2144" s="91">
        <v>1361</v>
      </c>
    </row>
    <row r="2145" spans="1:6">
      <c r="A2145" s="91" t="s">
        <v>2450</v>
      </c>
      <c r="B2145" s="91" t="s">
        <v>2442</v>
      </c>
      <c r="C2145" s="91" t="s">
        <v>2443</v>
      </c>
      <c r="D2145" s="91" t="str">
        <f t="shared" si="35"/>
        <v>Sembabule Town Council</v>
      </c>
      <c r="F2145" s="91">
        <v>1362</v>
      </c>
    </row>
    <row r="2146" spans="1:6">
      <c r="A2146" s="91" t="s">
        <v>2442</v>
      </c>
      <c r="D2146" s="91" t="str">
        <f t="shared" si="35"/>
        <v>Ssembabule</v>
      </c>
      <c r="F2146" s="91">
        <v>1362</v>
      </c>
    </row>
    <row r="2147" spans="1:6">
      <c r="A2147" s="91" t="s">
        <v>2451</v>
      </c>
      <c r="D2147" s="91" t="str">
        <f t="shared" si="35"/>
        <v>Sembabule</v>
      </c>
      <c r="F2147" s="91">
        <v>1362</v>
      </c>
    </row>
    <row r="2148" spans="1:6">
      <c r="A2148" s="91" t="s">
        <v>2452</v>
      </c>
      <c r="D2148" s="91" t="str">
        <f t="shared" si="35"/>
        <v>Ganda</v>
      </c>
      <c r="F2148" s="91">
        <v>1362</v>
      </c>
    </row>
    <row r="2149" spans="1:6">
      <c r="A2149" s="91" t="s">
        <v>2453</v>
      </c>
      <c r="D2149" s="91" t="str">
        <f t="shared" si="35"/>
        <v>Gganda</v>
      </c>
      <c r="F2149" s="91">
        <v>1362</v>
      </c>
    </row>
    <row r="2150" spans="1:6">
      <c r="A2150" s="91" t="s">
        <v>2454</v>
      </c>
      <c r="B2150" s="91" t="s">
        <v>201</v>
      </c>
      <c r="C2150" s="91" t="s">
        <v>2455</v>
      </c>
      <c r="D2150" s="91" t="str">
        <f t="shared" si="35"/>
        <v>Iyolwa</v>
      </c>
      <c r="F2150" s="91">
        <v>1363</v>
      </c>
    </row>
    <row r="2151" spans="1:6">
      <c r="A2151" s="91" t="s">
        <v>2456</v>
      </c>
      <c r="B2151" s="91" t="s">
        <v>201</v>
      </c>
      <c r="C2151" s="91" t="s">
        <v>2455</v>
      </c>
      <c r="D2151" s="91" t="str">
        <f t="shared" si="35"/>
        <v>Kirewa</v>
      </c>
      <c r="F2151" s="91">
        <v>1364</v>
      </c>
    </row>
    <row r="2152" spans="1:6">
      <c r="A2152" s="91" t="s">
        <v>2457</v>
      </c>
      <c r="B2152" s="91" t="s">
        <v>201</v>
      </c>
      <c r="C2152" s="91" t="s">
        <v>2455</v>
      </c>
      <c r="D2152" s="91" t="str">
        <f t="shared" si="35"/>
        <v>Kisoko</v>
      </c>
      <c r="F2152" s="91">
        <v>1365</v>
      </c>
    </row>
    <row r="2153" spans="1:6">
      <c r="A2153" s="91" t="s">
        <v>2458</v>
      </c>
      <c r="B2153" s="91" t="s">
        <v>201</v>
      </c>
      <c r="C2153" s="91" t="s">
        <v>201</v>
      </c>
      <c r="D2153" s="91" t="str">
        <f t="shared" si="35"/>
        <v>Kwapa</v>
      </c>
      <c r="F2153" s="91">
        <v>1366</v>
      </c>
    </row>
    <row r="2154" spans="1:6">
      <c r="A2154" s="91" t="s">
        <v>2459</v>
      </c>
      <c r="B2154" s="91" t="s">
        <v>201</v>
      </c>
      <c r="C2154" s="91" t="s">
        <v>2455</v>
      </c>
      <c r="D2154" s="91" t="str">
        <f t="shared" si="35"/>
        <v>Magola</v>
      </c>
      <c r="F2154" s="91">
        <v>1367</v>
      </c>
    </row>
    <row r="2155" spans="1:6">
      <c r="A2155" s="91" t="s">
        <v>2460</v>
      </c>
      <c r="B2155" s="91" t="s">
        <v>201</v>
      </c>
      <c r="C2155" s="91" t="s">
        <v>201</v>
      </c>
      <c r="D2155" s="91" t="str">
        <f t="shared" si="35"/>
        <v>Malaba Town Council</v>
      </c>
      <c r="F2155" s="91">
        <v>1368</v>
      </c>
    </row>
    <row r="2156" spans="1:6">
      <c r="A2156" s="91" t="s">
        <v>2461</v>
      </c>
      <c r="B2156" s="91" t="s">
        <v>201</v>
      </c>
      <c r="C2156" s="91" t="s">
        <v>201</v>
      </c>
      <c r="D2156" s="91" t="str">
        <f t="shared" si="35"/>
        <v>Mella</v>
      </c>
      <c r="F2156" s="91">
        <v>1369</v>
      </c>
    </row>
    <row r="2157" spans="1:6">
      <c r="A2157" s="91" t="s">
        <v>2462</v>
      </c>
      <c r="B2157" s="91" t="s">
        <v>201</v>
      </c>
      <c r="C2157" s="91" t="s">
        <v>201</v>
      </c>
      <c r="D2157" s="91" t="str">
        <f t="shared" si="35"/>
        <v>Merikit</v>
      </c>
      <c r="F2157" s="91">
        <v>1370</v>
      </c>
    </row>
    <row r="2158" spans="1:6">
      <c r="A2158" s="91" t="s">
        <v>2463</v>
      </c>
      <c r="B2158" s="91" t="s">
        <v>201</v>
      </c>
      <c r="C2158" s="91" t="s">
        <v>201</v>
      </c>
      <c r="D2158" s="91" t="str">
        <f t="shared" si="35"/>
        <v>Molo</v>
      </c>
      <c r="F2158" s="91">
        <v>1371</v>
      </c>
    </row>
    <row r="2159" spans="1:6">
      <c r="A2159" s="91" t="s">
        <v>2464</v>
      </c>
      <c r="B2159" s="91" t="s">
        <v>201</v>
      </c>
      <c r="C2159" s="91" t="s">
        <v>201</v>
      </c>
      <c r="D2159" s="91" t="str">
        <f t="shared" si="35"/>
        <v>Mukuju</v>
      </c>
      <c r="F2159" s="91">
        <v>1372</v>
      </c>
    </row>
    <row r="2160" spans="1:6">
      <c r="A2160" s="91" t="s">
        <v>2465</v>
      </c>
      <c r="B2160" s="91" t="s">
        <v>201</v>
      </c>
      <c r="C2160" s="91" t="s">
        <v>2455</v>
      </c>
      <c r="D2160" s="91" t="str">
        <f t="shared" si="35"/>
        <v>Mulanda</v>
      </c>
      <c r="F2160" s="91">
        <v>1373</v>
      </c>
    </row>
    <row r="2161" spans="1:6">
      <c r="A2161" s="91" t="s">
        <v>2466</v>
      </c>
      <c r="B2161" s="91" t="s">
        <v>201</v>
      </c>
      <c r="C2161" s="91" t="s">
        <v>2455</v>
      </c>
      <c r="D2161" s="91" t="str">
        <f t="shared" si="35"/>
        <v>Nabuyoga</v>
      </c>
      <c r="F2161" s="91">
        <v>1374</v>
      </c>
    </row>
    <row r="2162" spans="1:6">
      <c r="A2162" s="91" t="s">
        <v>2467</v>
      </c>
      <c r="B2162" s="91" t="s">
        <v>201</v>
      </c>
      <c r="C2162" s="91" t="s">
        <v>2455</v>
      </c>
      <c r="D2162" s="91" t="str">
        <f t="shared" si="35"/>
        <v>Nagongera</v>
      </c>
      <c r="F2162" s="91">
        <v>1375</v>
      </c>
    </row>
    <row r="2163" spans="1:6">
      <c r="A2163" s="91" t="s">
        <v>2468</v>
      </c>
      <c r="B2163" s="91" t="s">
        <v>201</v>
      </c>
      <c r="C2163" s="91" t="s">
        <v>2455</v>
      </c>
      <c r="D2163" s="91" t="str">
        <f t="shared" si="35"/>
        <v>Nagongera Town Council</v>
      </c>
      <c r="F2163" s="91">
        <v>1376</v>
      </c>
    </row>
    <row r="2164" spans="1:6">
      <c r="A2164" s="91" t="s">
        <v>2469</v>
      </c>
      <c r="B2164" s="91" t="s">
        <v>201</v>
      </c>
      <c r="C2164" s="91" t="s">
        <v>201</v>
      </c>
      <c r="D2164" s="91" t="str">
        <f t="shared" si="35"/>
        <v>Osukuru</v>
      </c>
      <c r="F2164" s="91">
        <v>1377</v>
      </c>
    </row>
    <row r="2165" spans="1:6">
      <c r="A2165" s="91" t="s">
        <v>2470</v>
      </c>
      <c r="B2165" s="91" t="s">
        <v>201</v>
      </c>
      <c r="C2165" s="91" t="s">
        <v>2455</v>
      </c>
      <c r="D2165" s="91" t="str">
        <f t="shared" si="35"/>
        <v>Paya</v>
      </c>
      <c r="F2165" s="91">
        <v>1378</v>
      </c>
    </row>
    <row r="2166" spans="1:6">
      <c r="A2166" s="91" t="s">
        <v>2471</v>
      </c>
      <c r="B2166" s="91" t="s">
        <v>201</v>
      </c>
      <c r="C2166" s="91" t="s">
        <v>2455</v>
      </c>
      <c r="D2166" s="91" t="str">
        <f t="shared" si="35"/>
        <v>Petta</v>
      </c>
      <c r="F2166" s="91">
        <v>1379</v>
      </c>
    </row>
    <row r="2167" spans="1:6">
      <c r="A2167" s="91" t="s">
        <v>2472</v>
      </c>
      <c r="B2167" s="91" t="s">
        <v>201</v>
      </c>
      <c r="C2167" s="91" t="s">
        <v>2455</v>
      </c>
      <c r="D2167" s="91" t="str">
        <f t="shared" si="35"/>
        <v>Rubongi</v>
      </c>
      <c r="F2167" s="91">
        <v>1380</v>
      </c>
    </row>
    <row r="2168" spans="1:6">
      <c r="A2168" s="91" t="s">
        <v>2473</v>
      </c>
      <c r="B2168" s="91" t="s">
        <v>201</v>
      </c>
      <c r="C2168" s="91" t="s">
        <v>2455</v>
      </c>
      <c r="D2168" s="91" t="str">
        <f t="shared" si="35"/>
        <v>Sop-Sop</v>
      </c>
      <c r="F2168" s="91">
        <v>1381</v>
      </c>
    </row>
    <row r="2169" spans="1:6">
      <c r="A2169" s="91" t="s">
        <v>2474</v>
      </c>
      <c r="B2169" s="91" t="s">
        <v>201</v>
      </c>
      <c r="C2169" s="91" t="s">
        <v>2474</v>
      </c>
      <c r="D2169" s="91" t="str">
        <f t="shared" si="35"/>
        <v>Tororo Municipality</v>
      </c>
      <c r="F2169" s="91">
        <v>1382</v>
      </c>
    </row>
    <row r="2170" spans="1:6">
      <c r="A2170" s="91" t="s">
        <v>2475</v>
      </c>
      <c r="D2170" s="91" t="str">
        <f t="shared" si="35"/>
        <v>Tororo town</v>
      </c>
      <c r="F2170" s="91">
        <v>1382</v>
      </c>
    </row>
    <row r="2171" spans="1:6">
      <c r="A2171" s="91" t="s">
        <v>201</v>
      </c>
      <c r="D2171" s="91" t="str">
        <f t="shared" si="35"/>
        <v>Tororo</v>
      </c>
      <c r="F2171" s="91">
        <v>1382</v>
      </c>
    </row>
    <row r="2172" spans="1:6">
      <c r="A2172" s="91" t="s">
        <v>2476</v>
      </c>
      <c r="B2172" s="91" t="s">
        <v>2477</v>
      </c>
      <c r="C2172" s="91" t="s">
        <v>2478</v>
      </c>
      <c r="D2172" s="91" t="str">
        <f t="shared" si="35"/>
        <v>Bunamwaya</v>
      </c>
      <c r="F2172" s="91">
        <v>1383</v>
      </c>
    </row>
    <row r="2173" spans="1:6">
      <c r="A2173" s="91" t="s">
        <v>2479</v>
      </c>
      <c r="D2173" s="91" t="str">
        <f t="shared" si="35"/>
        <v>KINAAWA</v>
      </c>
      <c r="F2173" s="91">
        <v>1383</v>
      </c>
    </row>
    <row r="2174" spans="1:6">
      <c r="A2174" s="91" t="s">
        <v>2480</v>
      </c>
      <c r="B2174" s="91" t="s">
        <v>2477</v>
      </c>
      <c r="C2174" s="91" t="s">
        <v>2481</v>
      </c>
      <c r="D2174" s="91" t="str">
        <f t="shared" si="35"/>
        <v>Bussi</v>
      </c>
      <c r="F2174" s="91">
        <v>1384</v>
      </c>
    </row>
    <row r="2175" spans="1:6">
      <c r="A2175" s="91" t="s">
        <v>2482</v>
      </c>
      <c r="B2175" s="91" t="s">
        <v>2477</v>
      </c>
      <c r="C2175" s="91" t="s">
        <v>2483</v>
      </c>
      <c r="D2175" s="91" t="str">
        <f t="shared" si="35"/>
        <v>Busukuma</v>
      </c>
      <c r="F2175" s="91">
        <v>1385</v>
      </c>
    </row>
    <row r="2176" spans="1:6">
      <c r="A2176" s="91" t="s">
        <v>2484</v>
      </c>
      <c r="D2176" s="91" t="str">
        <f t="shared" si="35"/>
        <v>magigye</v>
      </c>
      <c r="F2176" s="91">
        <v>1385</v>
      </c>
    </row>
    <row r="2177" spans="1:6">
      <c r="A2177" s="91" t="s">
        <v>28</v>
      </c>
      <c r="B2177" s="91" t="s">
        <v>2477</v>
      </c>
      <c r="C2177" s="91" t="s">
        <v>2485</v>
      </c>
      <c r="D2177" s="91" t="str">
        <f t="shared" si="35"/>
        <v>Bweyogerere</v>
      </c>
      <c r="F2177" s="91">
        <v>1386</v>
      </c>
    </row>
    <row r="2178" spans="1:6">
      <c r="A2178" s="91" t="s">
        <v>2486</v>
      </c>
      <c r="D2178" s="91" t="str">
        <f t="shared" si="35"/>
        <v xml:space="preserve"> BWEYOGERERE</v>
      </c>
      <c r="F2178" s="91">
        <v>1386</v>
      </c>
    </row>
    <row r="2179" spans="1:6">
      <c r="A2179" s="91" t="s">
        <v>2487</v>
      </c>
      <c r="D2179" s="91" t="str">
        <f t="shared" ref="D2179:D2242" si="36">A2179</f>
        <v>BWEYOGERER</v>
      </c>
      <c r="F2179" s="91">
        <v>1386</v>
      </c>
    </row>
    <row r="2180" spans="1:6">
      <c r="A2180" s="91" t="s">
        <v>2488</v>
      </c>
      <c r="D2180" s="91" t="str">
        <f t="shared" si="36"/>
        <v>BYWOGERERE</v>
      </c>
      <c r="F2180" s="91">
        <v>1386</v>
      </c>
    </row>
    <row r="2181" spans="1:6">
      <c r="A2181" s="91" t="s">
        <v>2489</v>
      </c>
      <c r="D2181" s="91" t="str">
        <f t="shared" si="36"/>
        <v>BWEYOGERE</v>
      </c>
      <c r="F2181" s="91">
        <v>1386</v>
      </c>
    </row>
    <row r="2182" spans="1:6">
      <c r="A2182" s="91" t="s">
        <v>2490</v>
      </c>
      <c r="D2182" s="91" t="str">
        <f t="shared" si="36"/>
        <v>KIRINYA</v>
      </c>
      <c r="F2182" s="91">
        <v>1386</v>
      </c>
    </row>
    <row r="2183" spans="1:6">
      <c r="A2183" s="91" t="s">
        <v>2491</v>
      </c>
      <c r="D2183" s="91" t="str">
        <f t="shared" si="36"/>
        <v>Nambole</v>
      </c>
      <c r="F2183" s="91">
        <v>1386</v>
      </c>
    </row>
    <row r="2184" spans="1:6">
      <c r="A2184" s="91" t="s">
        <v>2492</v>
      </c>
      <c r="D2184" s="91" t="str">
        <f t="shared" si="36"/>
        <v>Nanboole</v>
      </c>
      <c r="F2184" s="91">
        <v>1386</v>
      </c>
    </row>
    <row r="2185" spans="1:6">
      <c r="A2185" s="91" t="s">
        <v>218</v>
      </c>
      <c r="D2185" s="91" t="str">
        <f t="shared" si="36"/>
        <v>Namboole</v>
      </c>
      <c r="F2185" s="91">
        <v>1386</v>
      </c>
    </row>
    <row r="2186" spans="1:6">
      <c r="A2186" s="91" t="s">
        <v>2493</v>
      </c>
      <c r="B2186" s="91" t="s">
        <v>2477</v>
      </c>
      <c r="C2186" s="91" t="s">
        <v>2494</v>
      </c>
      <c r="D2186" s="91" t="str">
        <f t="shared" si="36"/>
        <v>Entebbe Airport</v>
      </c>
      <c r="F2186" s="91">
        <v>1387</v>
      </c>
    </row>
    <row r="2187" spans="1:6">
      <c r="A2187" s="91" t="s">
        <v>2495</v>
      </c>
      <c r="D2187" s="91" t="str">
        <f t="shared" si="36"/>
        <v>Airport</v>
      </c>
      <c r="F2187" s="91">
        <v>1387</v>
      </c>
    </row>
    <row r="2188" spans="1:6">
      <c r="A2188" s="91" t="s">
        <v>2496</v>
      </c>
      <c r="D2188" s="91" t="str">
        <f t="shared" si="36"/>
        <v>ENTEBBE</v>
      </c>
      <c r="F2188" s="91">
        <v>1387</v>
      </c>
    </row>
    <row r="2189" spans="1:6">
      <c r="A2189" s="91" t="s">
        <v>2497</v>
      </c>
      <c r="D2189" s="91" t="str">
        <f t="shared" si="36"/>
        <v>ENTEBBE TOWN</v>
      </c>
      <c r="F2189" s="91">
        <v>1387</v>
      </c>
    </row>
    <row r="2190" spans="1:6">
      <c r="A2190" s="91" t="s">
        <v>2498</v>
      </c>
      <c r="D2190" s="91" t="str">
        <f t="shared" si="36"/>
        <v>Entebba</v>
      </c>
      <c r="F2190" s="91">
        <v>1387</v>
      </c>
    </row>
    <row r="2191" spans="1:6">
      <c r="A2191" s="91" t="s">
        <v>2499</v>
      </c>
      <c r="D2191" s="91" t="str">
        <f t="shared" si="36"/>
        <v xml:space="preserve">Entebbe </v>
      </c>
      <c r="F2191" s="91">
        <v>1387</v>
      </c>
    </row>
    <row r="2192" spans="1:6">
      <c r="A2192" s="91" t="s">
        <v>2500</v>
      </c>
      <c r="D2192" s="91" t="str">
        <f t="shared" si="36"/>
        <v xml:space="preserve">ENTEBE </v>
      </c>
      <c r="F2192" s="91">
        <v>1387</v>
      </c>
    </row>
    <row r="2193" spans="1:6">
      <c r="A2193" s="91" t="s">
        <v>2501</v>
      </c>
      <c r="D2193" s="91" t="str">
        <f t="shared" si="36"/>
        <v>NTEBBE</v>
      </c>
      <c r="F2193" s="91">
        <v>1387</v>
      </c>
    </row>
    <row r="2194" spans="1:6">
      <c r="A2194" s="91" t="s">
        <v>2502</v>
      </c>
      <c r="D2194" s="91" t="str">
        <f t="shared" si="36"/>
        <v>Enttebe</v>
      </c>
      <c r="F2194" s="91">
        <v>1387</v>
      </c>
    </row>
    <row r="2195" spans="1:6">
      <c r="A2195" s="91" t="s">
        <v>2503</v>
      </c>
      <c r="D2195" s="91" t="str">
        <f t="shared" si="36"/>
        <v>Kitoro</v>
      </c>
      <c r="F2195" s="91">
        <v>1387</v>
      </c>
    </row>
    <row r="2196" spans="1:6">
      <c r="A2196" s="91" t="s">
        <v>2504</v>
      </c>
      <c r="D2196" s="91" t="str">
        <f t="shared" si="36"/>
        <v>Kitooro</v>
      </c>
      <c r="F2196" s="91">
        <v>1387</v>
      </c>
    </row>
    <row r="2197" spans="1:6">
      <c r="A2197" s="91" t="s">
        <v>2505</v>
      </c>
      <c r="D2197" s="91" t="str">
        <f t="shared" si="36"/>
        <v>Kawuku</v>
      </c>
      <c r="F2197" s="91">
        <v>1387</v>
      </c>
    </row>
    <row r="2198" spans="1:6">
      <c r="A2198" s="91" t="s">
        <v>2506</v>
      </c>
      <c r="D2198" s="91" t="str">
        <f t="shared" si="36"/>
        <v>Kawuka</v>
      </c>
      <c r="F2198" s="91">
        <v>1387</v>
      </c>
    </row>
    <row r="2199" spans="1:6">
      <c r="A2199" s="91" t="s">
        <v>2507</v>
      </c>
      <c r="D2199" s="91" t="str">
        <f t="shared" si="36"/>
        <v>Namulanda</v>
      </c>
      <c r="F2199" s="91">
        <v>1387</v>
      </c>
    </row>
    <row r="2200" spans="1:6">
      <c r="A2200" s="91" t="s">
        <v>30</v>
      </c>
      <c r="D2200" s="91" t="str">
        <f t="shared" si="36"/>
        <v>Entebbe</v>
      </c>
      <c r="F2200" s="91">
        <v>1387</v>
      </c>
    </row>
    <row r="2201" spans="1:6">
      <c r="A2201" s="91" t="s">
        <v>2494</v>
      </c>
      <c r="B2201" s="91" t="s">
        <v>2477</v>
      </c>
      <c r="C2201" s="91" t="s">
        <v>2494</v>
      </c>
      <c r="D2201" s="91" t="str">
        <f t="shared" si="36"/>
        <v>Entebbe Municipality</v>
      </c>
      <c r="F2201" s="91">
        <v>1388</v>
      </c>
    </row>
    <row r="2202" spans="1:6">
      <c r="A2202" s="91" t="s">
        <v>2508</v>
      </c>
      <c r="B2202" s="91" t="s">
        <v>2477</v>
      </c>
      <c r="C2202" s="91" t="s">
        <v>2483</v>
      </c>
      <c r="D2202" s="91" t="str">
        <f t="shared" si="36"/>
        <v>Gombe</v>
      </c>
      <c r="F2202" s="91">
        <v>1389</v>
      </c>
    </row>
    <row r="2203" spans="1:6">
      <c r="A2203" s="91" t="s">
        <v>2509</v>
      </c>
      <c r="B2203" s="91" t="s">
        <v>2477</v>
      </c>
      <c r="C2203" s="91" t="s">
        <v>2481</v>
      </c>
      <c r="D2203" s="91" t="str">
        <f t="shared" si="36"/>
        <v>Kajjansi Town Council</v>
      </c>
      <c r="F2203" s="91">
        <v>1390</v>
      </c>
    </row>
    <row r="2204" spans="1:6">
      <c r="A2204" s="91" t="s">
        <v>2510</v>
      </c>
      <c r="D2204" s="91" t="str">
        <f t="shared" si="36"/>
        <v xml:space="preserve">Kajjansi  </v>
      </c>
      <c r="F2204" s="91">
        <v>1390</v>
      </c>
    </row>
    <row r="2205" spans="1:6">
      <c r="A2205" s="91" t="s">
        <v>2511</v>
      </c>
      <c r="D2205" s="91" t="str">
        <f t="shared" si="36"/>
        <v>KAJANSI</v>
      </c>
      <c r="F2205" s="91">
        <v>1390</v>
      </c>
    </row>
    <row r="2206" spans="1:6">
      <c r="A2206" s="91" t="s">
        <v>2512</v>
      </c>
      <c r="D2206" s="91" t="str">
        <f t="shared" si="36"/>
        <v>Kajjasi</v>
      </c>
      <c r="F2206" s="91">
        <v>1390</v>
      </c>
    </row>
    <row r="2207" spans="1:6">
      <c r="A2207" s="91" t="s">
        <v>2513</v>
      </c>
      <c r="D2207" s="91" t="str">
        <f t="shared" si="36"/>
        <v>KANJJASI</v>
      </c>
      <c r="F2207" s="91">
        <v>1390</v>
      </c>
    </row>
    <row r="2208" spans="1:6">
      <c r="A2208" s="91" t="s">
        <v>2514</v>
      </c>
      <c r="D2208" s="91" t="str">
        <f t="shared" si="36"/>
        <v>Muwana</v>
      </c>
      <c r="F2208" s="91">
        <v>1390</v>
      </c>
    </row>
    <row r="2209" spans="1:6">
      <c r="A2209" s="91" t="s">
        <v>2515</v>
      </c>
      <c r="D2209" s="91" t="str">
        <f t="shared" si="36"/>
        <v>Sseguku</v>
      </c>
      <c r="F2209" s="91">
        <v>1390</v>
      </c>
    </row>
    <row r="2210" spans="1:6">
      <c r="A2210" s="91" t="s">
        <v>2516</v>
      </c>
      <c r="D2210" s="91" t="str">
        <f t="shared" si="36"/>
        <v>SEGGUKU</v>
      </c>
      <c r="F2210" s="91">
        <v>1390</v>
      </c>
    </row>
    <row r="2211" spans="1:6">
      <c r="A2211" s="91" t="s">
        <v>2517</v>
      </c>
      <c r="D2211" s="91" t="str">
        <f t="shared" si="36"/>
        <v>Lunya</v>
      </c>
      <c r="F2211" s="91">
        <v>1390</v>
      </c>
    </row>
    <row r="2212" spans="1:6">
      <c r="A2212" s="91" t="s">
        <v>2518</v>
      </c>
      <c r="D2212" s="91" t="str">
        <f t="shared" si="36"/>
        <v>Bwebajja</v>
      </c>
      <c r="F2212" s="91">
        <v>1390</v>
      </c>
    </row>
    <row r="2213" spans="1:6">
      <c r="A2213" s="91" t="s">
        <v>2519</v>
      </c>
      <c r="D2213" s="91" t="str">
        <f t="shared" si="36"/>
        <v>BWEBAJA</v>
      </c>
      <c r="F2213" s="91">
        <v>1390</v>
      </c>
    </row>
    <row r="2214" spans="1:6">
      <c r="A2214" s="91" t="s">
        <v>2520</v>
      </c>
      <c r="D2214" s="91" t="str">
        <f t="shared" si="36"/>
        <v>Dewe</v>
      </c>
      <c r="F2214" s="91">
        <v>1390</v>
      </c>
    </row>
    <row r="2215" spans="1:6">
      <c r="A2215" s="91" t="s">
        <v>2521</v>
      </c>
      <c r="D2215" s="91" t="str">
        <f t="shared" si="36"/>
        <v>Lweza</v>
      </c>
      <c r="F2215" s="91">
        <v>1390</v>
      </c>
    </row>
    <row r="2216" spans="1:6">
      <c r="A2216" s="91" t="s">
        <v>2522</v>
      </c>
      <c r="D2216" s="91" t="str">
        <f t="shared" si="36"/>
        <v>Lweeza</v>
      </c>
      <c r="F2216" s="91">
        <v>1390</v>
      </c>
    </row>
    <row r="2217" spans="1:6">
      <c r="A2217" s="91" t="s">
        <v>2523</v>
      </c>
      <c r="D2217" s="91" t="str">
        <f t="shared" si="36"/>
        <v>Lwera</v>
      </c>
      <c r="F2217" s="91">
        <v>1390</v>
      </c>
    </row>
    <row r="2218" spans="1:6">
      <c r="A2218" s="91" t="s">
        <v>2524</v>
      </c>
      <c r="D2218" s="91" t="str">
        <f t="shared" si="36"/>
        <v>LWERE</v>
      </c>
      <c r="F2218" s="91">
        <v>1390</v>
      </c>
    </row>
    <row r="2219" spans="1:6">
      <c r="A2219" s="91" t="s">
        <v>2525</v>
      </c>
      <c r="D2219" s="91" t="str">
        <f t="shared" si="36"/>
        <v>Kasana</v>
      </c>
      <c r="F2219" s="91">
        <v>1390</v>
      </c>
    </row>
    <row r="2220" spans="1:6">
      <c r="A2220" s="91" t="s">
        <v>2526</v>
      </c>
      <c r="D2220" s="91" t="str">
        <f t="shared" si="36"/>
        <v>KAJJANSI</v>
      </c>
      <c r="F2220" s="91">
        <v>1390</v>
      </c>
    </row>
    <row r="2221" spans="1:6">
      <c r="A2221" s="91" t="s">
        <v>2527</v>
      </c>
      <c r="D2221" s="91" t="str">
        <f t="shared" si="36"/>
        <v>Kitende</v>
      </c>
      <c r="F2221" s="91">
        <v>1390</v>
      </c>
    </row>
    <row r="2222" spans="1:6">
      <c r="A2222" s="91" t="s">
        <v>2528</v>
      </c>
      <c r="D2222" s="91" t="str">
        <f t="shared" si="36"/>
        <v xml:space="preserve">KITENDE </v>
      </c>
      <c r="F2222" s="91">
        <v>1390</v>
      </c>
    </row>
    <row r="2223" spans="1:6">
      <c r="A2223" s="91" t="s">
        <v>2529</v>
      </c>
      <c r="B2223" s="91" t="s">
        <v>2477</v>
      </c>
      <c r="C2223" s="91" t="s">
        <v>2481</v>
      </c>
      <c r="D2223" s="91" t="str">
        <f t="shared" si="36"/>
        <v>Kakiri</v>
      </c>
      <c r="F2223" s="91">
        <v>1391</v>
      </c>
    </row>
    <row r="2224" spans="1:6">
      <c r="A2224" s="91" t="s">
        <v>2530</v>
      </c>
      <c r="D2224" s="91" t="str">
        <f t="shared" si="36"/>
        <v>BUKALANGO</v>
      </c>
      <c r="F2224" s="91">
        <v>1391</v>
      </c>
    </row>
    <row r="2225" spans="1:6">
      <c r="A2225" s="91" t="s">
        <v>2531</v>
      </c>
      <c r="D2225" s="91" t="str">
        <f t="shared" si="36"/>
        <v>Nkowe</v>
      </c>
      <c r="F2225" s="91">
        <v>1391</v>
      </c>
    </row>
    <row r="2226" spans="1:6">
      <c r="A2226" s="91" t="s">
        <v>2532</v>
      </c>
      <c r="D2226" s="91" t="str">
        <f t="shared" si="36"/>
        <v>Sentema</v>
      </c>
      <c r="F2226" s="91">
        <v>1391</v>
      </c>
    </row>
    <row r="2227" spans="1:6">
      <c r="A2227" s="91" t="s">
        <v>2533</v>
      </c>
      <c r="D2227" s="91" t="str">
        <f t="shared" si="36"/>
        <v>Ssentema</v>
      </c>
      <c r="F2227" s="91">
        <v>1391</v>
      </c>
    </row>
    <row r="2228" spans="1:6">
      <c r="A2228" s="91" t="s">
        <v>2534</v>
      </c>
      <c r="B2228" s="91" t="s">
        <v>2477</v>
      </c>
      <c r="C2228" s="91" t="s">
        <v>2481</v>
      </c>
      <c r="D2228" s="91" t="str">
        <f t="shared" si="36"/>
        <v>Kakiri Town Council</v>
      </c>
      <c r="F2228" s="91">
        <v>1392</v>
      </c>
    </row>
    <row r="2229" spans="1:6">
      <c r="A2229" s="91" t="s">
        <v>2535</v>
      </c>
      <c r="B2229" s="91" t="s">
        <v>2477</v>
      </c>
      <c r="C2229" s="91" t="s">
        <v>1185</v>
      </c>
      <c r="D2229" s="91" t="str">
        <f t="shared" si="36"/>
        <v>Kasangati Town Council</v>
      </c>
      <c r="F2229" s="91">
        <v>1393</v>
      </c>
    </row>
    <row r="2230" spans="1:6">
      <c r="A2230" s="91" t="s">
        <v>2536</v>
      </c>
      <c r="D2230" s="91" t="str">
        <f t="shared" si="36"/>
        <v>Kasangatu</v>
      </c>
      <c r="F2230" s="91">
        <v>1393</v>
      </c>
    </row>
    <row r="2231" spans="1:6">
      <c r="A2231" s="91" t="s">
        <v>2537</v>
      </c>
      <c r="D2231" s="91" t="str">
        <f t="shared" si="36"/>
        <v>KASANGATTI</v>
      </c>
      <c r="F2231" s="91">
        <v>1393</v>
      </c>
    </row>
    <row r="2232" spans="1:6">
      <c r="A2232" s="91" t="s">
        <v>2538</v>
      </c>
      <c r="D2232" s="91" t="str">
        <f t="shared" si="36"/>
        <v>Miles</v>
      </c>
      <c r="F2232" s="91">
        <v>1393</v>
      </c>
    </row>
    <row r="2233" spans="1:6">
      <c r="A2233" s="91" t="s">
        <v>2539</v>
      </c>
      <c r="D2233" s="91" t="str">
        <f t="shared" si="36"/>
        <v>Kyankima</v>
      </c>
      <c r="F2233" s="91">
        <v>1393</v>
      </c>
    </row>
    <row r="2234" spans="1:6">
      <c r="A2234" s="91" t="s">
        <v>2540</v>
      </c>
      <c r="D2234" s="91" t="str">
        <f t="shared" si="36"/>
        <v>BULAMU</v>
      </c>
      <c r="F2234" s="91">
        <v>1393</v>
      </c>
    </row>
    <row r="2235" spans="1:6">
      <c r="A2235" s="91" t="s">
        <v>2541</v>
      </c>
      <c r="D2235" s="91" t="str">
        <f t="shared" si="36"/>
        <v>KITEGOMBA</v>
      </c>
      <c r="F2235" s="91">
        <v>1393</v>
      </c>
    </row>
    <row r="2236" spans="1:6">
      <c r="A2236" s="91" t="s">
        <v>2542</v>
      </c>
      <c r="D2236" s="91" t="str">
        <f t="shared" si="36"/>
        <v>KITEGOMBWA</v>
      </c>
      <c r="F2236" s="91">
        <v>1393</v>
      </c>
    </row>
    <row r="2237" spans="1:6">
      <c r="A2237" s="91" t="s">
        <v>2543</v>
      </c>
      <c r="D2237" s="91" t="str">
        <f t="shared" si="36"/>
        <v>GITTA</v>
      </c>
      <c r="F2237" s="91">
        <v>1393</v>
      </c>
    </row>
    <row r="2238" spans="1:6">
      <c r="A2238" s="91" t="s">
        <v>2544</v>
      </c>
      <c r="D2238" s="91" t="str">
        <f t="shared" si="36"/>
        <v>GIITA</v>
      </c>
      <c r="F2238" s="91">
        <v>1393</v>
      </c>
    </row>
    <row r="2239" spans="1:6">
      <c r="A2239" s="91" t="s">
        <v>2545</v>
      </c>
      <c r="D2239" s="91" t="str">
        <f t="shared" si="36"/>
        <v>NANGABO</v>
      </c>
      <c r="F2239" s="91">
        <v>1393</v>
      </c>
    </row>
    <row r="2240" spans="1:6">
      <c r="A2240" s="91" t="s">
        <v>2546</v>
      </c>
      <c r="D2240" s="91" t="str">
        <f t="shared" si="36"/>
        <v>NANGBO</v>
      </c>
      <c r="F2240" s="91">
        <v>1393</v>
      </c>
    </row>
    <row r="2241" spans="1:6">
      <c r="A2241" s="91" t="s">
        <v>2547</v>
      </c>
      <c r="D2241" s="91" t="str">
        <f t="shared" si="36"/>
        <v>MAWULE</v>
      </c>
      <c r="F2241" s="91">
        <v>1393</v>
      </c>
    </row>
    <row r="2242" spans="1:6">
      <c r="A2242" s="91" t="s">
        <v>2548</v>
      </c>
      <c r="D2242" s="91" t="str">
        <f t="shared" si="36"/>
        <v>Busiika</v>
      </c>
      <c r="F2242" s="91">
        <v>1393</v>
      </c>
    </row>
    <row r="2243" spans="1:6">
      <c r="A2243" s="91" t="s">
        <v>2549</v>
      </c>
      <c r="D2243" s="91" t="str">
        <f t="shared" ref="D2243:D2306" si="37">A2243</f>
        <v>Busika</v>
      </c>
      <c r="F2243" s="91">
        <v>1393</v>
      </c>
    </row>
    <row r="2244" spans="1:6">
      <c r="A2244" s="91" t="s">
        <v>2550</v>
      </c>
      <c r="D2244" s="91" t="str">
        <f t="shared" si="37"/>
        <v>KASANGATI</v>
      </c>
      <c r="F2244" s="91">
        <v>1393</v>
      </c>
    </row>
    <row r="2245" spans="1:6">
      <c r="A2245" s="91" t="s">
        <v>2551</v>
      </c>
      <c r="D2245" s="91" t="str">
        <f t="shared" si="37"/>
        <v>Kansangati</v>
      </c>
      <c r="F2245" s="91">
        <v>1393</v>
      </c>
    </row>
    <row r="2246" spans="1:6">
      <c r="A2246" s="91" t="s">
        <v>2552</v>
      </c>
      <c r="B2246" s="91" t="s">
        <v>2477</v>
      </c>
      <c r="C2246" s="91" t="s">
        <v>2481</v>
      </c>
      <c r="D2246" s="91" t="str">
        <f t="shared" si="37"/>
        <v>Kasanje</v>
      </c>
      <c r="F2246" s="91">
        <v>1394</v>
      </c>
    </row>
    <row r="2247" spans="1:6">
      <c r="A2247" s="91" t="s">
        <v>2553</v>
      </c>
      <c r="D2247" s="91" t="str">
        <f t="shared" si="37"/>
        <v>Kawoko</v>
      </c>
      <c r="F2247" s="91">
        <v>1394</v>
      </c>
    </row>
    <row r="2248" spans="1:6">
      <c r="A2248" s="91" t="s">
        <v>2554</v>
      </c>
      <c r="B2248" s="91" t="s">
        <v>2477</v>
      </c>
      <c r="C2248" s="91" t="s">
        <v>2481</v>
      </c>
      <c r="D2248" s="91" t="str">
        <f t="shared" si="37"/>
        <v>Katabi Town Council</v>
      </c>
      <c r="F2248" s="91">
        <v>1395</v>
      </c>
    </row>
    <row r="2249" spans="1:6">
      <c r="A2249" s="91" t="s">
        <v>2555</v>
      </c>
      <c r="D2249" s="91" t="str">
        <f t="shared" si="37"/>
        <v>Gombolola</v>
      </c>
      <c r="F2249" s="91">
        <v>1395</v>
      </c>
    </row>
    <row r="2250" spans="1:6">
      <c r="A2250" s="91" t="s">
        <v>2556</v>
      </c>
      <c r="B2250" s="91" t="s">
        <v>2477</v>
      </c>
      <c r="C2250" s="91" t="s">
        <v>2485</v>
      </c>
      <c r="D2250" s="91" t="str">
        <f t="shared" si="37"/>
        <v>Kira</v>
      </c>
      <c r="F2250" s="91">
        <v>1396</v>
      </c>
    </row>
    <row r="2251" spans="1:6">
      <c r="A2251" s="91" t="s">
        <v>2557</v>
      </c>
      <c r="D2251" s="91" t="str">
        <f t="shared" si="37"/>
        <v xml:space="preserve">KIIRA </v>
      </c>
      <c r="F2251" s="91">
        <v>1396</v>
      </c>
    </row>
    <row r="2252" spans="1:6">
      <c r="A2252" s="91" t="s">
        <v>2558</v>
      </c>
      <c r="D2252" s="91" t="str">
        <f t="shared" si="37"/>
        <v>Kijabijo</v>
      </c>
      <c r="F2252" s="91">
        <v>1396</v>
      </c>
    </row>
    <row r="2253" spans="1:6">
      <c r="A2253" s="91" t="s">
        <v>2559</v>
      </c>
      <c r="D2253" s="91" t="str">
        <f t="shared" si="37"/>
        <v>KIRA MUNICIPAL</v>
      </c>
      <c r="F2253" s="91">
        <v>1396</v>
      </c>
    </row>
    <row r="2254" spans="1:6">
      <c r="A2254" s="91" t="s">
        <v>2560</v>
      </c>
      <c r="D2254" s="91" t="str">
        <f t="shared" si="37"/>
        <v>Mulawa</v>
      </c>
      <c r="F2254" s="91">
        <v>1396</v>
      </c>
    </row>
    <row r="2255" spans="1:6">
      <c r="A2255" s="91" t="s">
        <v>2561</v>
      </c>
      <c r="D2255" s="91" t="str">
        <f t="shared" si="37"/>
        <v>Kireka</v>
      </c>
      <c r="F2255" s="91">
        <v>1396</v>
      </c>
    </row>
    <row r="2256" spans="1:6">
      <c r="A2256" s="91" t="s">
        <v>2562</v>
      </c>
      <c r="D2256" s="91" t="str">
        <f t="shared" si="37"/>
        <v>Garage</v>
      </c>
      <c r="F2256" s="91">
        <v>1396</v>
      </c>
    </row>
    <row r="2257" spans="1:6">
      <c r="A2257" s="91" t="s">
        <v>2563</v>
      </c>
      <c r="D2257" s="91" t="str">
        <f t="shared" si="37"/>
        <v>KAMULI A ZONE</v>
      </c>
      <c r="F2257" s="91">
        <v>1396</v>
      </c>
    </row>
    <row r="2258" spans="1:6">
      <c r="A2258" s="91" t="s">
        <v>2564</v>
      </c>
      <c r="D2258" s="91" t="str">
        <f t="shared" si="37"/>
        <v>Kamuli rd</v>
      </c>
      <c r="F2258" s="91">
        <v>1396</v>
      </c>
    </row>
    <row r="2259" spans="1:6">
      <c r="A2259" s="91" t="s">
        <v>1376</v>
      </c>
      <c r="D2259" s="91" t="str">
        <f t="shared" si="37"/>
        <v>Kamuli</v>
      </c>
      <c r="F2259" s="91">
        <v>1396</v>
      </c>
    </row>
    <row r="2260" spans="1:6">
      <c r="A2260" s="91" t="s">
        <v>2565</v>
      </c>
      <c r="D2260" s="91" t="str">
        <f t="shared" si="37"/>
        <v>Agenda</v>
      </c>
      <c r="F2260" s="91">
        <v>1396</v>
      </c>
    </row>
    <row r="2261" spans="1:6">
      <c r="A2261" s="91" t="s">
        <v>2566</v>
      </c>
      <c r="D2261" s="91" t="str">
        <f t="shared" si="37"/>
        <v>Kiira</v>
      </c>
      <c r="F2261" s="91">
        <v>1396</v>
      </c>
    </row>
    <row r="2262" spans="1:6">
      <c r="A2262" s="91" t="s">
        <v>2567</v>
      </c>
      <c r="D2262" s="91" t="str">
        <f t="shared" si="37"/>
        <v>Bulindo</v>
      </c>
      <c r="F2262" s="91">
        <v>1396</v>
      </c>
    </row>
    <row r="2263" spans="1:6">
      <c r="A2263" s="91" t="s">
        <v>2568</v>
      </c>
      <c r="D2263" s="91" t="str">
        <f t="shared" si="37"/>
        <v>KITIKUTWE</v>
      </c>
      <c r="F2263" s="91">
        <v>1396</v>
      </c>
    </row>
    <row r="2264" spans="1:6">
      <c r="A2264" s="91" t="s">
        <v>2569</v>
      </c>
      <c r="D2264" s="91" t="str">
        <f t="shared" si="37"/>
        <v xml:space="preserve">BULINDO </v>
      </c>
      <c r="F2264" s="91">
        <v>1396</v>
      </c>
    </row>
    <row r="2265" spans="1:6">
      <c r="A2265" s="91" t="s">
        <v>2570</v>
      </c>
      <c r="D2265" s="91" t="str">
        <f t="shared" si="37"/>
        <v>Nsasa</v>
      </c>
      <c r="F2265" s="91">
        <v>1396</v>
      </c>
    </row>
    <row r="2266" spans="1:6">
      <c r="A2266" s="91" t="s">
        <v>2571</v>
      </c>
      <c r="D2266" s="91" t="str">
        <f t="shared" si="37"/>
        <v>NABUSAGWE</v>
      </c>
      <c r="F2266" s="91">
        <v>1396</v>
      </c>
    </row>
    <row r="2267" spans="1:6">
      <c r="A2267" s="91" t="s">
        <v>2572</v>
      </c>
      <c r="D2267" s="91" t="str">
        <f t="shared" si="37"/>
        <v>KITUKUTWE</v>
      </c>
      <c r="F2267" s="91">
        <v>1396</v>
      </c>
    </row>
    <row r="2268" spans="1:6">
      <c r="A2268" s="91" t="s">
        <v>2573</v>
      </c>
      <c r="D2268" s="91" t="str">
        <f t="shared" si="37"/>
        <v>KIWOLOGOMA</v>
      </c>
      <c r="F2268" s="91">
        <v>1396</v>
      </c>
    </row>
    <row r="2269" spans="1:6">
      <c r="A2269" s="91" t="s">
        <v>2574</v>
      </c>
      <c r="B2269" s="91" t="s">
        <v>2477</v>
      </c>
      <c r="C2269" s="91" t="s">
        <v>2481</v>
      </c>
      <c r="D2269" s="91" t="str">
        <f t="shared" si="37"/>
        <v>Kyengera Town Council</v>
      </c>
      <c r="F2269" s="91">
        <v>1397</v>
      </c>
    </row>
    <row r="2270" spans="1:6">
      <c r="A2270" s="91" t="s">
        <v>2575</v>
      </c>
      <c r="B2270" s="91" t="s">
        <v>2477</v>
      </c>
      <c r="D2270" s="91" t="str">
        <f t="shared" si="37"/>
        <v>KYENGERA</v>
      </c>
      <c r="F2270" s="91">
        <v>1397</v>
      </c>
    </row>
    <row r="2271" spans="1:6">
      <c r="A2271" s="91" t="s">
        <v>2576</v>
      </c>
      <c r="B2271" s="91" t="s">
        <v>2477</v>
      </c>
      <c r="D2271" s="91" t="str">
        <f t="shared" si="37"/>
        <v>NABINGO</v>
      </c>
      <c r="F2271" s="91">
        <v>1397</v>
      </c>
    </row>
    <row r="2272" spans="1:6">
      <c r="A2272" s="91" t="s">
        <v>2577</v>
      </c>
      <c r="D2272" s="91" t="str">
        <f t="shared" si="37"/>
        <v>Namagoma</v>
      </c>
      <c r="F2272" s="91">
        <v>1397</v>
      </c>
    </row>
    <row r="2273" spans="1:6">
      <c r="A2273" s="91" t="s">
        <v>2578</v>
      </c>
      <c r="D2273" s="91" t="str">
        <f t="shared" si="37"/>
        <v>Nsangi</v>
      </c>
      <c r="F2273" s="91">
        <v>1397</v>
      </c>
    </row>
    <row r="2274" spans="1:6">
      <c r="A2274" s="91" t="s">
        <v>2579</v>
      </c>
      <c r="D2274" s="91" t="str">
        <f t="shared" si="37"/>
        <v>Buddo</v>
      </c>
      <c r="F2274" s="91">
        <v>1397</v>
      </c>
    </row>
    <row r="2275" spans="1:6">
      <c r="A2275" s="91" t="s">
        <v>2580</v>
      </c>
      <c r="D2275" s="91" t="str">
        <f t="shared" si="37"/>
        <v>Nsanji</v>
      </c>
      <c r="F2275" s="91">
        <v>1397</v>
      </c>
    </row>
    <row r="2276" spans="1:6">
      <c r="A2276" s="91" t="s">
        <v>2581</v>
      </c>
      <c r="D2276" s="91" t="str">
        <f t="shared" si="37"/>
        <v>Kitaala</v>
      </c>
      <c r="F2276" s="91">
        <v>1397</v>
      </c>
    </row>
    <row r="2277" spans="1:6">
      <c r="A2277" s="91" t="s">
        <v>229</v>
      </c>
      <c r="D2277" s="91" t="str">
        <f t="shared" si="37"/>
        <v>Kasenge</v>
      </c>
      <c r="F2277" s="91">
        <v>1397</v>
      </c>
    </row>
    <row r="2278" spans="1:6">
      <c r="A2278" s="91" t="s">
        <v>2582</v>
      </c>
      <c r="D2278" s="91" t="str">
        <f t="shared" si="37"/>
        <v>Kayembe</v>
      </c>
      <c r="F2278" s="91">
        <v>1397</v>
      </c>
    </row>
    <row r="2279" spans="1:6">
      <c r="A2279" s="91" t="s">
        <v>2583</v>
      </c>
      <c r="B2279" s="91" t="s">
        <v>2477</v>
      </c>
      <c r="C2279" s="91" t="s">
        <v>2478</v>
      </c>
      <c r="D2279" s="91" t="str">
        <f t="shared" si="37"/>
        <v>Masajja</v>
      </c>
      <c r="F2279" s="91">
        <v>1398</v>
      </c>
    </row>
    <row r="2280" spans="1:6">
      <c r="A2280" s="91" t="s">
        <v>2584</v>
      </c>
      <c r="D2280" s="91" t="str">
        <f t="shared" si="37"/>
        <v>Masjja</v>
      </c>
      <c r="F2280" s="91">
        <v>1398</v>
      </c>
    </row>
    <row r="2281" spans="1:6">
      <c r="A2281" s="91" t="s">
        <v>2585</v>
      </c>
      <c r="D2281" s="91" t="str">
        <f t="shared" si="37"/>
        <v>Massajja</v>
      </c>
      <c r="F2281" s="91">
        <v>1398</v>
      </c>
    </row>
    <row r="2282" spans="1:6">
      <c r="A2282" s="91" t="s">
        <v>2586</v>
      </c>
      <c r="D2282" s="91" t="str">
        <f t="shared" si="37"/>
        <v>KIBUTIKA</v>
      </c>
      <c r="F2282" s="91">
        <v>1398</v>
      </c>
    </row>
    <row r="2283" spans="1:6">
      <c r="A2283" s="91" t="s">
        <v>2587</v>
      </c>
      <c r="B2283" s="91" t="s">
        <v>2477</v>
      </c>
      <c r="C2283" s="91" t="s">
        <v>2481</v>
      </c>
      <c r="D2283" s="91" t="str">
        <f t="shared" si="37"/>
        <v>Masuliita</v>
      </c>
      <c r="F2283" s="91">
        <v>1399</v>
      </c>
    </row>
    <row r="2284" spans="1:6">
      <c r="A2284" s="91" t="s">
        <v>2588</v>
      </c>
      <c r="B2284" s="91" t="s">
        <v>2477</v>
      </c>
      <c r="C2284" s="91" t="s">
        <v>2481</v>
      </c>
      <c r="D2284" s="91" t="str">
        <f t="shared" si="37"/>
        <v>Masulita Town Council</v>
      </c>
      <c r="F2284" s="91">
        <v>1400</v>
      </c>
    </row>
    <row r="2285" spans="1:6">
      <c r="A2285" s="91" t="s">
        <v>2589</v>
      </c>
      <c r="B2285" s="91" t="s">
        <v>2477</v>
      </c>
      <c r="C2285" s="91" t="s">
        <v>2481</v>
      </c>
      <c r="D2285" s="91" t="str">
        <f t="shared" si="37"/>
        <v>Mende</v>
      </c>
      <c r="F2285" s="91">
        <v>1401</v>
      </c>
    </row>
    <row r="2286" spans="1:6">
      <c r="A2286" s="91" t="s">
        <v>2590</v>
      </c>
      <c r="B2286" s="91" t="s">
        <v>2477</v>
      </c>
      <c r="C2286" s="91" t="s">
        <v>2483</v>
      </c>
      <c r="D2286" s="91" t="str">
        <f t="shared" si="37"/>
        <v>Nabweru</v>
      </c>
      <c r="F2286" s="91">
        <v>1402</v>
      </c>
    </row>
    <row r="2287" spans="1:6">
      <c r="A2287" s="91" t="s">
        <v>2591</v>
      </c>
      <c r="D2287" s="91" t="str">
        <f t="shared" si="37"/>
        <v>Nabwero</v>
      </c>
      <c r="F2287" s="91">
        <v>1402</v>
      </c>
    </row>
    <row r="2288" spans="1:6">
      <c r="A2288" s="91" t="s">
        <v>2592</v>
      </c>
      <c r="D2288" s="91" t="str">
        <f t="shared" si="37"/>
        <v>Mabwero</v>
      </c>
      <c r="F2288" s="91">
        <v>1402</v>
      </c>
    </row>
    <row r="2289" spans="1:6">
      <c r="A2289" s="91" t="s">
        <v>2593</v>
      </c>
      <c r="D2289" s="91" t="str">
        <f t="shared" si="37"/>
        <v>Nabwera</v>
      </c>
      <c r="F2289" s="91">
        <v>1402</v>
      </c>
    </row>
    <row r="2290" spans="1:6">
      <c r="A2290" s="91" t="s">
        <v>2594</v>
      </c>
      <c r="D2290" s="91" t="str">
        <f t="shared" si="37"/>
        <v>NABWERU ROAD</v>
      </c>
      <c r="F2290" s="91">
        <v>1402</v>
      </c>
    </row>
    <row r="2291" spans="1:6">
      <c r="A2291" s="91" t="s">
        <v>2595</v>
      </c>
      <c r="D2291" s="91" t="str">
        <f t="shared" si="37"/>
        <v>Lubigi</v>
      </c>
      <c r="F2291" s="91">
        <v>1402</v>
      </c>
    </row>
    <row r="2292" spans="1:6">
      <c r="A2292" s="91" t="s">
        <v>2596</v>
      </c>
      <c r="D2292" s="91" t="str">
        <f t="shared" si="37"/>
        <v>Rubigi town</v>
      </c>
      <c r="F2292" s="91">
        <v>1402</v>
      </c>
    </row>
    <row r="2293" spans="1:6">
      <c r="A2293" s="91" t="s">
        <v>2597</v>
      </c>
      <c r="D2293" s="91" t="str">
        <f t="shared" si="37"/>
        <v>LIBINGI</v>
      </c>
      <c r="F2293" s="91">
        <v>1402</v>
      </c>
    </row>
    <row r="2294" spans="1:6">
      <c r="A2294" s="91" t="s">
        <v>2598</v>
      </c>
      <c r="D2294" s="91" t="str">
        <f t="shared" si="37"/>
        <v>Rubigi</v>
      </c>
      <c r="F2294" s="91">
        <v>1402</v>
      </c>
    </row>
    <row r="2295" spans="1:6">
      <c r="A2295" s="91" t="s">
        <v>2599</v>
      </c>
      <c r="D2295" s="91" t="str">
        <f t="shared" si="37"/>
        <v>Kawanda</v>
      </c>
      <c r="F2295" s="91">
        <v>1402</v>
      </c>
    </row>
    <row r="2296" spans="1:6">
      <c r="A2296" s="91" t="s">
        <v>2600</v>
      </c>
      <c r="D2296" s="91" t="str">
        <f t="shared" si="37"/>
        <v>Namarere</v>
      </c>
      <c r="F2296" s="91">
        <v>1402</v>
      </c>
    </row>
    <row r="2297" spans="1:6">
      <c r="A2297" s="91" t="s">
        <v>2601</v>
      </c>
      <c r="D2297" s="91" t="str">
        <f t="shared" si="37"/>
        <v>Maganjo</v>
      </c>
      <c r="F2297" s="91">
        <v>1402</v>
      </c>
    </row>
    <row r="2298" spans="1:6">
      <c r="A2298" s="91" t="s">
        <v>2602</v>
      </c>
      <c r="D2298" s="91" t="str">
        <f t="shared" si="37"/>
        <v>Senge</v>
      </c>
      <c r="F2298" s="91">
        <v>1402</v>
      </c>
    </row>
    <row r="2299" spans="1:6">
      <c r="A2299" s="91" t="s">
        <v>2603</v>
      </c>
      <c r="D2299" s="91" t="str">
        <f t="shared" si="37"/>
        <v>Matugo</v>
      </c>
      <c r="F2299" s="91">
        <v>1402</v>
      </c>
    </row>
    <row r="2300" spans="1:6">
      <c r="A2300" s="91" t="s">
        <v>2604</v>
      </c>
      <c r="D2300" s="91" t="str">
        <f t="shared" si="37"/>
        <v>Matugga</v>
      </c>
      <c r="F2300" s="91">
        <v>1402</v>
      </c>
    </row>
    <row r="2301" spans="1:6">
      <c r="A2301" s="91" t="s">
        <v>2605</v>
      </c>
      <c r="D2301" s="91" t="str">
        <f t="shared" si="37"/>
        <v>Kabunza</v>
      </c>
      <c r="F2301" s="91">
        <v>1402</v>
      </c>
    </row>
    <row r="2302" spans="1:6">
      <c r="A2302" s="91" t="s">
        <v>2606</v>
      </c>
      <c r="D2302" s="91" t="str">
        <f t="shared" si="37"/>
        <v>Kigogwa</v>
      </c>
      <c r="F2302" s="91">
        <v>1402</v>
      </c>
    </row>
    <row r="2303" spans="1:6">
      <c r="A2303" s="91" t="s">
        <v>2607</v>
      </c>
      <c r="D2303" s="91" t="str">
        <f t="shared" si="37"/>
        <v>Kiggogwa</v>
      </c>
      <c r="F2303" s="91">
        <v>1402</v>
      </c>
    </row>
    <row r="2304" spans="1:6">
      <c r="A2304" s="91" t="s">
        <v>2608</v>
      </c>
      <c r="D2304" s="91" t="str">
        <f t="shared" si="37"/>
        <v>Kikgogwa</v>
      </c>
      <c r="F2304" s="91">
        <v>1402</v>
      </c>
    </row>
    <row r="2305" spans="1:6">
      <c r="A2305" s="91" t="s">
        <v>2609</v>
      </c>
      <c r="D2305" s="91" t="str">
        <f t="shared" si="37"/>
        <v>Buwambo</v>
      </c>
      <c r="F2305" s="91">
        <v>1402</v>
      </c>
    </row>
    <row r="2306" spans="1:6">
      <c r="A2306" s="91" t="s">
        <v>2610</v>
      </c>
      <c r="D2306" s="91" t="str">
        <f t="shared" si="37"/>
        <v>BUYERA</v>
      </c>
      <c r="F2306" s="91">
        <v>1402</v>
      </c>
    </row>
    <row r="2307" spans="1:6">
      <c r="A2307" s="91" t="s">
        <v>2611</v>
      </c>
      <c r="D2307" s="91" t="str">
        <f t="shared" ref="D2307:D2370" si="38">A2307</f>
        <v>KITTI</v>
      </c>
      <c r="F2307" s="91">
        <v>1402</v>
      </c>
    </row>
    <row r="2308" spans="1:6">
      <c r="A2308" s="91" t="s">
        <v>2612</v>
      </c>
      <c r="D2308" s="91" t="str">
        <f t="shared" si="38"/>
        <v>KITI</v>
      </c>
      <c r="F2308" s="91">
        <v>1402</v>
      </c>
    </row>
    <row r="2309" spans="1:6">
      <c r="A2309" s="91" t="s">
        <v>2613</v>
      </c>
      <c r="D2309" s="91" t="str">
        <f t="shared" si="38"/>
        <v>Kasengejje</v>
      </c>
      <c r="F2309" s="91">
        <v>1402</v>
      </c>
    </row>
    <row r="2310" spans="1:6">
      <c r="A2310" s="91" t="s">
        <v>2614</v>
      </c>
      <c r="D2310" s="91" t="str">
        <f t="shared" si="38"/>
        <v>KASEGEJJE</v>
      </c>
      <c r="F2310" s="91">
        <v>1402</v>
      </c>
    </row>
    <row r="2311" spans="1:6">
      <c r="A2311" s="91" t="s">
        <v>2615</v>
      </c>
      <c r="D2311" s="91" t="str">
        <f t="shared" si="38"/>
        <v>Kasengeje</v>
      </c>
      <c r="F2311" s="91">
        <v>1402</v>
      </c>
    </row>
    <row r="2312" spans="1:6">
      <c r="A2312" s="91" t="s">
        <v>2616</v>
      </c>
      <c r="D2312" s="91" t="str">
        <f t="shared" si="38"/>
        <v>KIMANYA</v>
      </c>
      <c r="F2312" s="91">
        <v>1402</v>
      </c>
    </row>
    <row r="2313" spans="1:6">
      <c r="A2313" s="91" t="s">
        <v>2617</v>
      </c>
      <c r="D2313" s="91" t="str">
        <f t="shared" si="38"/>
        <v>Matuga</v>
      </c>
      <c r="F2313" s="91">
        <v>1402</v>
      </c>
    </row>
    <row r="2314" spans="1:6">
      <c r="A2314" s="91" t="s">
        <v>2618</v>
      </c>
      <c r="D2314" s="91" t="str">
        <f t="shared" si="38"/>
        <v>Mayirikiti</v>
      </c>
      <c r="F2314" s="91">
        <v>1402</v>
      </c>
    </row>
    <row r="2315" spans="1:6">
      <c r="A2315" s="91" t="s">
        <v>2619</v>
      </c>
      <c r="D2315" s="91" t="str">
        <f t="shared" si="38"/>
        <v>Kiryagonja</v>
      </c>
      <c r="F2315" s="91">
        <v>1402</v>
      </c>
    </row>
    <row r="2316" spans="1:6">
      <c r="A2316" s="91" t="s">
        <v>2620</v>
      </c>
      <c r="D2316" s="91" t="str">
        <f t="shared" si="38"/>
        <v>Watindo</v>
      </c>
      <c r="F2316" s="91">
        <v>1402</v>
      </c>
    </row>
    <row r="2317" spans="1:6">
      <c r="A2317" s="91" t="s">
        <v>2621</v>
      </c>
      <c r="D2317" s="91" t="str">
        <f t="shared" si="38"/>
        <v>Ssemuto</v>
      </c>
      <c r="F2317" s="91">
        <v>1402</v>
      </c>
    </row>
    <row r="2318" spans="1:6">
      <c r="A2318" s="91" t="s">
        <v>2622</v>
      </c>
      <c r="D2318" s="91" t="str">
        <f t="shared" si="38"/>
        <v>Ssemutto</v>
      </c>
      <c r="F2318" s="91">
        <v>1402</v>
      </c>
    </row>
    <row r="2319" spans="1:6">
      <c r="A2319" s="91" t="s">
        <v>2623</v>
      </c>
      <c r="D2319" s="91" t="str">
        <f t="shared" si="38"/>
        <v>Namengo</v>
      </c>
      <c r="F2319" s="91">
        <v>1402</v>
      </c>
    </row>
    <row r="2320" spans="1:6">
      <c r="A2320" s="91" t="s">
        <v>2624</v>
      </c>
      <c r="D2320" s="91" t="str">
        <f t="shared" si="38"/>
        <v>Green valley</v>
      </c>
      <c r="F2320" s="91">
        <v>1402</v>
      </c>
    </row>
    <row r="2321" spans="1:6">
      <c r="A2321" s="91" t="s">
        <v>2625</v>
      </c>
      <c r="B2321" s="91" t="s">
        <v>2477</v>
      </c>
      <c r="C2321" s="91" t="s">
        <v>2481</v>
      </c>
      <c r="D2321" s="91" t="str">
        <f t="shared" si="38"/>
        <v>Namayumba</v>
      </c>
      <c r="F2321" s="91">
        <v>1403</v>
      </c>
    </row>
    <row r="2322" spans="1:6">
      <c r="A2322" s="91" t="s">
        <v>2626</v>
      </c>
      <c r="B2322" s="91" t="s">
        <v>2477</v>
      </c>
      <c r="C2322" s="91" t="s">
        <v>2481</v>
      </c>
      <c r="D2322" s="91" t="str">
        <f t="shared" si="38"/>
        <v>Namayumba Town Council</v>
      </c>
      <c r="F2322" s="91">
        <v>1404</v>
      </c>
    </row>
    <row r="2323" spans="1:6">
      <c r="A2323" s="91" t="s">
        <v>2627</v>
      </c>
      <c r="B2323" s="91" t="s">
        <v>2477</v>
      </c>
      <c r="C2323" s="91" t="s">
        <v>2485</v>
      </c>
      <c r="D2323" s="91" t="str">
        <f t="shared" si="38"/>
        <v>Namugongo</v>
      </c>
      <c r="F2323" s="91">
        <v>1405</v>
      </c>
    </row>
    <row r="2324" spans="1:6">
      <c r="A2324" s="91" t="s">
        <v>2628</v>
      </c>
      <c r="D2324" s="91" t="str">
        <f t="shared" si="38"/>
        <v>NUGONGO</v>
      </c>
      <c r="F2324" s="91">
        <v>1405</v>
      </c>
    </row>
    <row r="2325" spans="1:6">
      <c r="A2325" s="91" t="s">
        <v>2629</v>
      </c>
      <c r="D2325" s="91" t="str">
        <f t="shared" si="38"/>
        <v>ssonde</v>
      </c>
      <c r="F2325" s="91">
        <v>1405</v>
      </c>
    </row>
    <row r="2326" spans="1:6">
      <c r="A2326" s="91" t="s">
        <v>2630</v>
      </c>
      <c r="D2326" s="91" t="str">
        <f t="shared" si="38"/>
        <v>NAMUGONGO SHRINE</v>
      </c>
      <c r="F2326" s="91">
        <v>1405</v>
      </c>
    </row>
    <row r="2327" spans="1:6">
      <c r="A2327" s="91" t="s">
        <v>2631</v>
      </c>
      <c r="D2327" s="91" t="str">
        <f t="shared" si="38"/>
        <v>Sonde</v>
      </c>
      <c r="F2327" s="91">
        <v>1405</v>
      </c>
    </row>
    <row r="2328" spans="1:6">
      <c r="A2328" s="91" t="s">
        <v>2632</v>
      </c>
      <c r="D2328" s="91" t="str">
        <f t="shared" si="38"/>
        <v>Naalya</v>
      </c>
      <c r="F2328" s="91">
        <v>1405</v>
      </c>
    </row>
    <row r="2329" spans="1:6">
      <c r="A2329" s="91" t="s">
        <v>2633</v>
      </c>
      <c r="D2329" s="91" t="str">
        <f t="shared" si="38"/>
        <v>MBALWA</v>
      </c>
      <c r="F2329" s="91">
        <v>1405</v>
      </c>
    </row>
    <row r="2330" spans="1:6">
      <c r="A2330" s="91" t="s">
        <v>2634</v>
      </c>
      <c r="D2330" s="91" t="str">
        <f t="shared" si="38"/>
        <v>Nalya</v>
      </c>
      <c r="F2330" s="91">
        <v>1405</v>
      </c>
    </row>
    <row r="2331" spans="1:6">
      <c r="A2331" s="91" t="s">
        <v>2635</v>
      </c>
      <c r="D2331" s="91" t="str">
        <f t="shared" si="38"/>
        <v>Kyaliwajala</v>
      </c>
      <c r="F2331" s="91">
        <v>1405</v>
      </c>
    </row>
    <row r="2332" spans="1:6">
      <c r="A2332" s="91" t="s">
        <v>2636</v>
      </c>
      <c r="D2332" s="91" t="str">
        <f t="shared" si="38"/>
        <v>KYALIWAJALA ROAD</v>
      </c>
      <c r="F2332" s="91">
        <v>1405</v>
      </c>
    </row>
    <row r="2333" spans="1:6">
      <c r="A2333" s="91" t="s">
        <v>2637</v>
      </c>
      <c r="D2333" s="91" t="str">
        <f t="shared" si="38"/>
        <v>KYALUWAJALA</v>
      </c>
      <c r="F2333" s="91">
        <v>1405</v>
      </c>
    </row>
    <row r="2334" spans="1:6">
      <c r="A2334" s="91" t="s">
        <v>2638</v>
      </c>
      <c r="D2334" s="91" t="str">
        <f t="shared" si="38"/>
        <v>KYALIWAJJALA</v>
      </c>
      <c r="F2334" s="91">
        <v>1405</v>
      </c>
    </row>
    <row r="2335" spans="1:6">
      <c r="A2335" s="91" t="s">
        <v>2639</v>
      </c>
      <c r="D2335" s="91" t="str">
        <f t="shared" si="38"/>
        <v>KYALIWAJARA</v>
      </c>
      <c r="F2335" s="91">
        <v>1405</v>
      </c>
    </row>
    <row r="2336" spans="1:6">
      <c r="A2336" s="91" t="s">
        <v>2640</v>
      </c>
      <c r="D2336" s="91" t="str">
        <f t="shared" si="38"/>
        <v>KALIWAJJALA</v>
      </c>
      <c r="F2336" s="91">
        <v>1405</v>
      </c>
    </row>
    <row r="2337" spans="1:6">
      <c r="A2337" s="91" t="s">
        <v>2641</v>
      </c>
      <c r="D2337" s="91" t="str">
        <f t="shared" si="38"/>
        <v>Najera</v>
      </c>
      <c r="F2337" s="91">
        <v>1405</v>
      </c>
    </row>
    <row r="2338" spans="1:6">
      <c r="A2338" s="91" t="s">
        <v>2642</v>
      </c>
      <c r="D2338" s="91" t="str">
        <f t="shared" si="38"/>
        <v>Najjera</v>
      </c>
      <c r="F2338" s="91">
        <v>1405</v>
      </c>
    </row>
    <row r="2339" spans="1:6">
      <c r="A2339" s="91" t="s">
        <v>2643</v>
      </c>
      <c r="D2339" s="91" t="str">
        <f t="shared" si="38"/>
        <v>Nagyera</v>
      </c>
      <c r="F2339" s="91">
        <v>1405</v>
      </c>
    </row>
    <row r="2340" spans="1:6">
      <c r="A2340" s="91" t="s">
        <v>2644</v>
      </c>
      <c r="D2340" s="91" t="str">
        <f t="shared" si="38"/>
        <v>Najeera</v>
      </c>
      <c r="F2340" s="91">
        <v>1405</v>
      </c>
    </row>
    <row r="2341" spans="1:6">
      <c r="A2341" s="91" t="s">
        <v>2645</v>
      </c>
      <c r="D2341" s="91" t="str">
        <f t="shared" si="38"/>
        <v>Najeera 1</v>
      </c>
      <c r="F2341" s="91">
        <v>1405</v>
      </c>
    </row>
    <row r="2342" spans="1:6">
      <c r="A2342" s="91" t="s">
        <v>2646</v>
      </c>
      <c r="D2342" s="91" t="str">
        <f t="shared" si="38"/>
        <v>Najeera 2</v>
      </c>
      <c r="F2342" s="91">
        <v>1405</v>
      </c>
    </row>
    <row r="2343" spans="1:6">
      <c r="A2343" s="91" t="s">
        <v>2647</v>
      </c>
      <c r="D2343" s="91" t="str">
        <f t="shared" si="38"/>
        <v xml:space="preserve">NAJEERA </v>
      </c>
      <c r="F2343" s="91">
        <v>1405</v>
      </c>
    </row>
    <row r="2344" spans="1:6">
      <c r="A2344" s="91" t="s">
        <v>2648</v>
      </c>
      <c r="D2344" s="91" t="str">
        <f t="shared" si="38"/>
        <v>NAJJEERA</v>
      </c>
      <c r="F2344" s="91">
        <v>1405</v>
      </c>
    </row>
    <row r="2345" spans="1:6">
      <c r="A2345" s="91" t="s">
        <v>2649</v>
      </c>
      <c r="D2345" s="91" t="str">
        <f t="shared" si="38"/>
        <v>PK SUPERMARKET</v>
      </c>
      <c r="F2345" s="91">
        <v>1405</v>
      </c>
    </row>
    <row r="2346" spans="1:6">
      <c r="A2346" s="91" t="s">
        <v>2650</v>
      </c>
      <c r="D2346" s="91" t="str">
        <f t="shared" si="38"/>
        <v>BULABIRA</v>
      </c>
      <c r="F2346" s="91">
        <v>1405</v>
      </c>
    </row>
    <row r="2347" spans="1:6">
      <c r="A2347" s="91" t="s">
        <v>2651</v>
      </c>
      <c r="D2347" s="91" t="str">
        <f t="shared" si="38"/>
        <v>Buwate</v>
      </c>
      <c r="F2347" s="91">
        <v>1405</v>
      </c>
    </row>
    <row r="2348" spans="1:6">
      <c r="A2348" s="91" t="s">
        <v>2652</v>
      </c>
      <c r="D2348" s="91" t="str">
        <f t="shared" si="38"/>
        <v>Buwaate</v>
      </c>
      <c r="F2348" s="91">
        <v>1405</v>
      </c>
    </row>
    <row r="2349" spans="1:6">
      <c r="A2349" s="91" t="s">
        <v>2653</v>
      </c>
      <c r="D2349" s="91" t="str">
        <f t="shared" si="38"/>
        <v>Bwate</v>
      </c>
      <c r="F2349" s="91">
        <v>1405</v>
      </c>
    </row>
    <row r="2350" spans="1:6">
      <c r="A2350" s="91" t="s">
        <v>2654</v>
      </c>
      <c r="D2350" s="91" t="str">
        <f t="shared" si="38"/>
        <v>BUWATTE</v>
      </c>
      <c r="F2350" s="91">
        <v>1405</v>
      </c>
    </row>
    <row r="2351" spans="1:6">
      <c r="A2351" s="91" t="s">
        <v>2655</v>
      </c>
      <c r="D2351" s="91" t="str">
        <f t="shared" si="38"/>
        <v>Green hill</v>
      </c>
      <c r="F2351" s="91">
        <v>1405</v>
      </c>
    </row>
    <row r="2352" spans="1:6">
      <c r="A2352" s="91" t="s">
        <v>2656</v>
      </c>
      <c r="D2352" s="91" t="str">
        <f t="shared" si="38"/>
        <v>KIBIRA</v>
      </c>
      <c r="F2352" s="91">
        <v>1405</v>
      </c>
    </row>
    <row r="2353" spans="1:6">
      <c r="A2353" s="91" t="s">
        <v>2657</v>
      </c>
      <c r="B2353" s="91" t="s">
        <v>2477</v>
      </c>
      <c r="C2353" s="91" t="s">
        <v>2483</v>
      </c>
      <c r="D2353" s="91" t="str">
        <f t="shared" si="38"/>
        <v>Nansana</v>
      </c>
      <c r="F2353" s="91">
        <v>1406</v>
      </c>
    </row>
    <row r="2354" spans="1:6">
      <c r="A2354" s="91" t="s">
        <v>2658</v>
      </c>
      <c r="D2354" s="91" t="str">
        <f t="shared" si="38"/>
        <v>NANSANA STORES</v>
      </c>
      <c r="F2354" s="91">
        <v>1406</v>
      </c>
    </row>
    <row r="2355" spans="1:6">
      <c r="A2355" s="91" t="s">
        <v>2659</v>
      </c>
      <c r="D2355" s="91" t="str">
        <f t="shared" si="38"/>
        <v>KAZINGA</v>
      </c>
      <c r="F2355" s="91">
        <v>1406</v>
      </c>
    </row>
    <row r="2356" spans="1:6">
      <c r="A2356" s="91" t="s">
        <v>2660</v>
      </c>
      <c r="D2356" s="91" t="str">
        <f t="shared" si="38"/>
        <v>Kaziga</v>
      </c>
      <c r="F2356" s="91">
        <v>1406</v>
      </c>
    </row>
    <row r="2357" spans="1:6">
      <c r="A2357" s="91" t="s">
        <v>2661</v>
      </c>
      <c r="D2357" s="91" t="str">
        <f t="shared" si="38"/>
        <v>WORSHIP HOUSE</v>
      </c>
      <c r="F2357" s="91">
        <v>1406</v>
      </c>
    </row>
    <row r="2358" spans="1:6">
      <c r="A2358" s="91" t="s">
        <v>2662</v>
      </c>
      <c r="D2358" s="91" t="str">
        <f t="shared" si="38"/>
        <v>MASITOWA</v>
      </c>
      <c r="F2358" s="91">
        <v>1406</v>
      </c>
    </row>
    <row r="2359" spans="1:6">
      <c r="A2359" s="91" t="s">
        <v>2663</v>
      </c>
      <c r="D2359" s="91" t="str">
        <f t="shared" si="38"/>
        <v>Kabumbi</v>
      </c>
      <c r="F2359" s="91">
        <v>1406</v>
      </c>
    </row>
    <row r="2360" spans="1:6">
      <c r="A2360" s="91" t="s">
        <v>2664</v>
      </c>
      <c r="D2360" s="91" t="str">
        <f t="shared" si="38"/>
        <v>Kabulenga</v>
      </c>
      <c r="F2360" s="91">
        <v>1406</v>
      </c>
    </row>
    <row r="2361" spans="1:6">
      <c r="A2361" s="91" t="s">
        <v>2665</v>
      </c>
      <c r="D2361" s="91" t="str">
        <f t="shared" si="38"/>
        <v>Kabulengwa</v>
      </c>
      <c r="F2361" s="91">
        <v>1406</v>
      </c>
    </row>
    <row r="2362" spans="1:6">
      <c r="A2362" s="91" t="s">
        <v>2666</v>
      </c>
      <c r="D2362" s="91" t="str">
        <f t="shared" si="38"/>
        <v>Naluvule</v>
      </c>
      <c r="F2362" s="91">
        <v>1406</v>
      </c>
    </row>
    <row r="2363" spans="1:6">
      <c r="A2363" s="91" t="s">
        <v>2667</v>
      </c>
      <c r="D2363" s="91" t="str">
        <f t="shared" si="38"/>
        <v>Yesu amala</v>
      </c>
      <c r="F2363" s="91">
        <v>1406</v>
      </c>
    </row>
    <row r="2364" spans="1:6">
      <c r="A2364" s="91" t="s">
        <v>2668</v>
      </c>
      <c r="D2364" s="91" t="str">
        <f t="shared" si="38"/>
        <v>Namuseera</v>
      </c>
      <c r="F2364" s="91">
        <v>1406</v>
      </c>
    </row>
    <row r="2365" spans="1:6">
      <c r="A2365" s="91" t="s">
        <v>2669</v>
      </c>
      <c r="D2365" s="91" t="str">
        <f t="shared" si="38"/>
        <v>YESSU AMALA</v>
      </c>
      <c r="F2365" s="91">
        <v>1406</v>
      </c>
    </row>
    <row r="2366" spans="1:6">
      <c r="A2366" s="91" t="s">
        <v>2670</v>
      </c>
      <c r="D2366" s="91" t="str">
        <f t="shared" si="38"/>
        <v>Ssemakula</v>
      </c>
      <c r="F2366" s="91">
        <v>1406</v>
      </c>
    </row>
    <row r="2367" spans="1:6">
      <c r="A2367" s="91" t="s">
        <v>2671</v>
      </c>
      <c r="D2367" s="91" t="str">
        <f t="shared" si="38"/>
        <v>MAGERE</v>
      </c>
      <c r="F2367" s="91">
        <v>1406</v>
      </c>
    </row>
    <row r="2368" spans="1:6">
      <c r="A2368" s="91" t="s">
        <v>2672</v>
      </c>
      <c r="D2368" s="91" t="str">
        <f t="shared" si="38"/>
        <v>Nasana</v>
      </c>
      <c r="F2368" s="91">
        <v>1406</v>
      </c>
    </row>
    <row r="2369" spans="1:6">
      <c r="A2369" s="91" t="s">
        <v>2673</v>
      </c>
      <c r="B2369" s="91" t="s">
        <v>2477</v>
      </c>
      <c r="C2369" s="91" t="s">
        <v>2478</v>
      </c>
      <c r="D2369" s="91" t="str">
        <f t="shared" si="38"/>
        <v>Ndejje</v>
      </c>
      <c r="F2369" s="91">
        <v>1407</v>
      </c>
    </row>
    <row r="2370" spans="1:6">
      <c r="A2370" s="91" t="s">
        <v>2674</v>
      </c>
      <c r="D2370" s="91" t="str">
        <f t="shared" si="38"/>
        <v>Zanta</v>
      </c>
      <c r="F2370" s="91">
        <v>1407</v>
      </c>
    </row>
    <row r="2371" spans="1:6">
      <c r="A2371" s="91" t="s">
        <v>2675</v>
      </c>
      <c r="D2371" s="91" t="str">
        <f t="shared" ref="D2371:D2434" si="39">A2371</f>
        <v>Ndejja</v>
      </c>
      <c r="F2371" s="91">
        <v>1407</v>
      </c>
    </row>
    <row r="2372" spans="1:6">
      <c r="A2372" s="91" t="s">
        <v>2477</v>
      </c>
      <c r="B2372" s="91" t="s">
        <v>2477</v>
      </c>
      <c r="C2372" s="91" t="s">
        <v>2481</v>
      </c>
      <c r="D2372" s="91" t="str">
        <f t="shared" si="39"/>
        <v>Wakiso</v>
      </c>
      <c r="F2372" s="91">
        <v>1408</v>
      </c>
    </row>
    <row r="2373" spans="1:6">
      <c r="A2373" s="91" t="s">
        <v>2676</v>
      </c>
      <c r="D2373" s="91" t="str">
        <f t="shared" si="39"/>
        <v>Wakiso town</v>
      </c>
      <c r="F2373" s="91">
        <v>1408</v>
      </c>
    </row>
    <row r="2374" spans="1:6">
      <c r="A2374" s="91" t="s">
        <v>2677</v>
      </c>
      <c r="D2374" s="91" t="str">
        <f t="shared" si="39"/>
        <v>KITALYA</v>
      </c>
      <c r="F2374" s="91">
        <v>1408</v>
      </c>
    </row>
    <row r="2375" spans="1:6">
      <c r="A2375" s="91" t="s">
        <v>2678</v>
      </c>
      <c r="D2375" s="91" t="str">
        <f t="shared" si="39"/>
        <v>Wakiso road</v>
      </c>
      <c r="F2375" s="91">
        <v>1408</v>
      </c>
    </row>
    <row r="2376" spans="1:6">
      <c r="A2376" s="91" t="s">
        <v>2679</v>
      </c>
      <c r="D2376" s="91" t="str">
        <f t="shared" si="39"/>
        <v>kavumba</v>
      </c>
      <c r="F2376" s="91">
        <v>1408</v>
      </c>
    </row>
    <row r="2377" spans="1:6">
      <c r="A2377" s="91" t="s">
        <v>2680</v>
      </c>
      <c r="D2377" s="91" t="str">
        <f t="shared" si="39"/>
        <v>Watuba</v>
      </c>
      <c r="F2377" s="91">
        <v>1408</v>
      </c>
    </row>
    <row r="2378" spans="1:6">
      <c r="A2378" s="91" t="s">
        <v>2681</v>
      </c>
      <c r="D2378" s="91" t="str">
        <f t="shared" si="39"/>
        <v>Kitagobwa</v>
      </c>
      <c r="F2378" s="91">
        <v>1408</v>
      </c>
    </row>
    <row r="2379" spans="1:6">
      <c r="A2379" s="91" t="s">
        <v>2682</v>
      </c>
      <c r="D2379" s="91" t="str">
        <f t="shared" si="39"/>
        <v>NAKANAKU</v>
      </c>
      <c r="F2379" s="91">
        <v>1408</v>
      </c>
    </row>
    <row r="2380" spans="1:6">
      <c r="A2380" s="91" t="s">
        <v>2683</v>
      </c>
      <c r="D2380" s="91" t="str">
        <f t="shared" si="39"/>
        <v>KITEGOBWA</v>
      </c>
      <c r="F2380" s="91">
        <v>1408</v>
      </c>
    </row>
    <row r="2381" spans="1:6">
      <c r="A2381" s="91" t="s">
        <v>2684</v>
      </c>
      <c r="D2381" s="91" t="str">
        <f t="shared" si="39"/>
        <v>KITEGOMWA</v>
      </c>
      <c r="F2381" s="91">
        <v>1408</v>
      </c>
    </row>
    <row r="2382" spans="1:6">
      <c r="A2382" s="91" t="s">
        <v>2685</v>
      </c>
      <c r="D2382" s="91" t="str">
        <f t="shared" si="39"/>
        <v>KITEGAMBA</v>
      </c>
      <c r="F2382" s="91">
        <v>1408</v>
      </c>
    </row>
    <row r="2383" spans="1:6">
      <c r="A2383" s="91" t="s">
        <v>2686</v>
      </c>
      <c r="D2383" s="91" t="str">
        <f t="shared" si="39"/>
        <v>KITEGOMA</v>
      </c>
      <c r="F2383" s="91">
        <v>1408</v>
      </c>
    </row>
    <row r="2384" spans="1:6">
      <c r="A2384" s="91" t="s">
        <v>2687</v>
      </c>
      <c r="D2384" s="91" t="str">
        <f t="shared" si="39"/>
        <v>MPUNGA</v>
      </c>
      <c r="F2384" s="91">
        <v>1408</v>
      </c>
    </row>
    <row r="2385" spans="1:6">
      <c r="A2385" s="91" t="s">
        <v>2688</v>
      </c>
      <c r="D2385" s="91" t="str">
        <f t="shared" si="39"/>
        <v>KISIMBIRI</v>
      </c>
      <c r="F2385" s="91">
        <v>1408</v>
      </c>
    </row>
    <row r="2386" spans="1:6">
      <c r="A2386" s="91" t="s">
        <v>2689</v>
      </c>
      <c r="D2386" s="91" t="str">
        <f t="shared" si="39"/>
        <v>Mbuga</v>
      </c>
      <c r="F2386" s="91">
        <v>1408</v>
      </c>
    </row>
    <row r="2387" spans="1:6">
      <c r="A2387" s="91" t="s">
        <v>2690</v>
      </c>
      <c r="D2387" s="91" t="str">
        <f t="shared" si="39"/>
        <v>NAMUSERA</v>
      </c>
      <c r="F2387" s="91">
        <v>1408</v>
      </c>
    </row>
    <row r="2388" spans="1:6">
      <c r="A2388" s="91" t="s">
        <v>2691</v>
      </c>
      <c r="D2388" s="91" t="str">
        <f t="shared" si="39"/>
        <v>NKOOWE</v>
      </c>
      <c r="F2388" s="91">
        <v>1408</v>
      </c>
    </row>
    <row r="2389" spans="1:6">
      <c r="A2389" s="91" t="s">
        <v>2692</v>
      </c>
      <c r="D2389" s="91" t="str">
        <f t="shared" si="39"/>
        <v>Entebbe road</v>
      </c>
      <c r="F2389" s="91">
        <v>1408</v>
      </c>
    </row>
    <row r="2390" spans="1:6">
      <c r="A2390" s="91" t="s">
        <v>2693</v>
      </c>
      <c r="B2390" s="91" t="s">
        <v>2477</v>
      </c>
      <c r="C2390" s="91" t="s">
        <v>2481</v>
      </c>
      <c r="D2390" s="91" t="str">
        <f t="shared" si="39"/>
        <v>Bulenga</v>
      </c>
      <c r="F2390" s="91">
        <v>1408</v>
      </c>
    </row>
    <row r="2391" spans="1:6">
      <c r="A2391" s="91" t="s">
        <v>2694</v>
      </c>
      <c r="D2391" s="91" t="str">
        <f t="shared" si="39"/>
        <v>Nankuwadde</v>
      </c>
      <c r="F2391" s="91">
        <v>1408</v>
      </c>
    </row>
    <row r="2392" spans="1:6">
      <c r="A2392" s="91" t="s">
        <v>2695</v>
      </c>
      <c r="D2392" s="91" t="str">
        <f t="shared" si="39"/>
        <v>NANKUWADE</v>
      </c>
      <c r="F2392" s="91">
        <v>1408</v>
      </c>
    </row>
    <row r="2393" spans="1:6">
      <c r="A2393" s="91" t="s">
        <v>2696</v>
      </c>
      <c r="D2393" s="91" t="str">
        <f t="shared" si="39"/>
        <v>NAKUWADDE</v>
      </c>
      <c r="F2393" s="91">
        <v>1408</v>
      </c>
    </row>
    <row r="2394" spans="1:6">
      <c r="A2394" s="91" t="s">
        <v>2697</v>
      </c>
      <c r="D2394" s="91" t="str">
        <f t="shared" si="39"/>
        <v>Nakuwade</v>
      </c>
      <c r="F2394" s="91">
        <v>1408</v>
      </c>
    </row>
    <row r="2395" spans="1:6">
      <c r="A2395" s="91" t="s">
        <v>2698</v>
      </c>
      <c r="D2395" s="91" t="str">
        <f t="shared" si="39"/>
        <v>Bira</v>
      </c>
      <c r="F2395" s="91">
        <v>1408</v>
      </c>
    </row>
    <row r="2396" spans="1:6">
      <c r="A2396" s="91" t="s">
        <v>2699</v>
      </c>
      <c r="D2396" s="91" t="str">
        <f t="shared" si="39"/>
        <v>Mbira</v>
      </c>
      <c r="F2396" s="91">
        <v>1408</v>
      </c>
    </row>
    <row r="2397" spans="1:6">
      <c r="A2397" s="91" t="s">
        <v>2700</v>
      </c>
      <c r="D2397" s="91" t="str">
        <f t="shared" si="39"/>
        <v>Bbira</v>
      </c>
      <c r="F2397" s="91">
        <v>1408</v>
      </c>
    </row>
    <row r="2398" spans="1:6">
      <c r="A2398" s="91" t="s">
        <v>2701</v>
      </c>
      <c r="D2398" s="91" t="str">
        <f t="shared" si="39"/>
        <v>Biira</v>
      </c>
      <c r="F2398" s="91">
        <v>1408</v>
      </c>
    </row>
    <row r="2399" spans="1:6">
      <c r="A2399" s="91" t="s">
        <v>2702</v>
      </c>
      <c r="B2399" s="91" t="s">
        <v>2477</v>
      </c>
      <c r="C2399" s="91" t="s">
        <v>2481</v>
      </c>
      <c r="D2399" s="91" t="str">
        <f t="shared" si="39"/>
        <v>Buloba</v>
      </c>
      <c r="F2399" s="91">
        <v>1408</v>
      </c>
    </row>
    <row r="2400" spans="1:6">
      <c r="A2400" s="91" t="s">
        <v>2703</v>
      </c>
      <c r="D2400" s="91" t="str">
        <f t="shared" si="39"/>
        <v xml:space="preserve">BULOBA </v>
      </c>
      <c r="F2400" s="91">
        <v>1408</v>
      </c>
    </row>
    <row r="2401" spans="1:6">
      <c r="A2401" s="91" t="s">
        <v>2704</v>
      </c>
      <c r="D2401" s="91" t="str">
        <f t="shared" si="39"/>
        <v>Bujuko</v>
      </c>
      <c r="F2401" s="91">
        <v>1408</v>
      </c>
    </row>
    <row r="2402" spans="1:6">
      <c r="A2402" s="91" t="s">
        <v>2705</v>
      </c>
      <c r="D2402" s="91" t="str">
        <f t="shared" si="39"/>
        <v>Bujuuko</v>
      </c>
      <c r="F2402" s="91">
        <v>1408</v>
      </c>
    </row>
    <row r="2403" spans="1:6">
      <c r="A2403" s="91" t="s">
        <v>2706</v>
      </c>
      <c r="D2403" s="91" t="str">
        <f t="shared" si="39"/>
        <v>BUJJUKO</v>
      </c>
      <c r="F2403" s="91">
        <v>1408</v>
      </c>
    </row>
    <row r="2404" spans="1:6">
      <c r="A2404" s="91" t="s">
        <v>2707</v>
      </c>
      <c r="D2404" s="91" t="str">
        <f t="shared" si="39"/>
        <v>Kisamula</v>
      </c>
      <c r="F2404" s="91">
        <v>1408</v>
      </c>
    </row>
    <row r="2405" spans="1:6">
      <c r="A2405" s="91" t="s">
        <v>2708</v>
      </c>
      <c r="B2405" s="91" t="s">
        <v>2477</v>
      </c>
      <c r="C2405" s="91" t="s">
        <v>2481</v>
      </c>
      <c r="D2405" s="91" t="str">
        <f t="shared" si="39"/>
        <v>Wakiso Town Council</v>
      </c>
      <c r="F2405" s="91">
        <v>1409</v>
      </c>
    </row>
    <row r="2406" spans="1:6">
      <c r="A2406" s="91" t="s">
        <v>2709</v>
      </c>
      <c r="D2406" s="91" t="str">
        <f t="shared" si="39"/>
        <v xml:space="preserve">Wakiso town  </v>
      </c>
      <c r="F2406" s="91">
        <v>1409</v>
      </c>
    </row>
    <row r="2407" spans="1:6">
      <c r="A2407" s="91" t="s">
        <v>2710</v>
      </c>
      <c r="B2407" s="91" t="s">
        <v>2711</v>
      </c>
      <c r="C2407" s="91" t="s">
        <v>2712</v>
      </c>
      <c r="D2407" s="91" t="str">
        <f t="shared" si="39"/>
        <v>Apo</v>
      </c>
      <c r="F2407" s="91">
        <v>1410</v>
      </c>
    </row>
    <row r="2408" spans="1:6">
      <c r="A2408" s="91" t="s">
        <v>2713</v>
      </c>
      <c r="B2408" s="91" t="s">
        <v>2711</v>
      </c>
      <c r="C2408" s="91" t="s">
        <v>2712</v>
      </c>
      <c r="D2408" s="91" t="str">
        <f t="shared" si="39"/>
        <v>Ariwa</v>
      </c>
      <c r="F2408" s="91">
        <v>1411</v>
      </c>
    </row>
    <row r="2409" spans="1:6">
      <c r="A2409" s="91" t="s">
        <v>2714</v>
      </c>
      <c r="B2409" s="91" t="s">
        <v>2711</v>
      </c>
      <c r="C2409" s="91" t="s">
        <v>2712</v>
      </c>
      <c r="D2409" s="91" t="str">
        <f t="shared" si="39"/>
        <v>Drajini</v>
      </c>
      <c r="F2409" s="91">
        <v>1412</v>
      </c>
    </row>
    <row r="2410" spans="1:6">
      <c r="A2410" s="91" t="s">
        <v>2715</v>
      </c>
      <c r="B2410" s="91" t="s">
        <v>2711</v>
      </c>
      <c r="C2410" s="91" t="s">
        <v>2712</v>
      </c>
      <c r="D2410" s="91" t="str">
        <f t="shared" si="39"/>
        <v>Kei</v>
      </c>
      <c r="F2410" s="91">
        <v>1413</v>
      </c>
    </row>
    <row r="2411" spans="1:6">
      <c r="A2411" s="91" t="s">
        <v>2716</v>
      </c>
      <c r="B2411" s="91" t="s">
        <v>2711</v>
      </c>
      <c r="C2411" s="91" t="s">
        <v>2712</v>
      </c>
      <c r="D2411" s="91" t="str">
        <f t="shared" si="39"/>
        <v>Kerwa</v>
      </c>
      <c r="F2411" s="91">
        <v>1414</v>
      </c>
    </row>
    <row r="2412" spans="1:6">
      <c r="A2412" s="91" t="s">
        <v>2717</v>
      </c>
      <c r="B2412" s="91" t="s">
        <v>2711</v>
      </c>
      <c r="C2412" s="91" t="s">
        <v>2712</v>
      </c>
      <c r="D2412" s="91" t="str">
        <f t="shared" si="39"/>
        <v>Kochi</v>
      </c>
      <c r="F2412" s="91">
        <v>1415</v>
      </c>
    </row>
    <row r="2413" spans="1:6">
      <c r="A2413" s="91" t="s">
        <v>2718</v>
      </c>
      <c r="B2413" s="91" t="s">
        <v>2711</v>
      </c>
      <c r="C2413" s="91" t="s">
        <v>2712</v>
      </c>
      <c r="D2413" s="91" t="str">
        <f t="shared" si="39"/>
        <v>Kululu</v>
      </c>
      <c r="F2413" s="91">
        <v>1416</v>
      </c>
    </row>
    <row r="2414" spans="1:6">
      <c r="A2414" s="91" t="s">
        <v>2719</v>
      </c>
      <c r="B2414" s="91" t="s">
        <v>2711</v>
      </c>
      <c r="C2414" s="91" t="s">
        <v>2712</v>
      </c>
      <c r="D2414" s="91" t="str">
        <f t="shared" si="39"/>
        <v>Kuru</v>
      </c>
      <c r="F2414" s="91">
        <v>1417</v>
      </c>
    </row>
    <row r="2415" spans="1:6">
      <c r="A2415" s="91" t="s">
        <v>2720</v>
      </c>
      <c r="B2415" s="91" t="s">
        <v>2711</v>
      </c>
      <c r="C2415" s="91" t="s">
        <v>2712</v>
      </c>
      <c r="D2415" s="91" t="str">
        <f t="shared" si="39"/>
        <v>Lodonga</v>
      </c>
      <c r="F2415" s="91">
        <v>1418</v>
      </c>
    </row>
    <row r="2416" spans="1:6">
      <c r="A2416" s="91" t="s">
        <v>2721</v>
      </c>
      <c r="B2416" s="91" t="s">
        <v>2711</v>
      </c>
      <c r="C2416" s="91" t="s">
        <v>2712</v>
      </c>
      <c r="D2416" s="91" t="str">
        <f t="shared" si="39"/>
        <v>Midigo</v>
      </c>
      <c r="F2416" s="91">
        <v>1419</v>
      </c>
    </row>
    <row r="2417" spans="1:6">
      <c r="A2417" s="91" t="s">
        <v>2722</v>
      </c>
      <c r="B2417" s="91" t="s">
        <v>2711</v>
      </c>
      <c r="C2417" s="91" t="s">
        <v>2712</v>
      </c>
      <c r="D2417" s="91" t="str">
        <f t="shared" si="39"/>
        <v>Odravu</v>
      </c>
      <c r="F2417" s="91">
        <v>1420</v>
      </c>
    </row>
    <row r="2418" spans="1:6">
      <c r="A2418" s="91" t="s">
        <v>2723</v>
      </c>
      <c r="B2418" s="91" t="s">
        <v>2711</v>
      </c>
      <c r="C2418" s="91" t="s">
        <v>2712</v>
      </c>
      <c r="D2418" s="91" t="str">
        <f t="shared" si="39"/>
        <v>Romogi</v>
      </c>
      <c r="F2418" s="91">
        <v>1421</v>
      </c>
    </row>
    <row r="2419" spans="1:6">
      <c r="A2419" s="91" t="s">
        <v>2724</v>
      </c>
      <c r="B2419" s="91" t="s">
        <v>2711</v>
      </c>
      <c r="C2419" s="91" t="s">
        <v>2712</v>
      </c>
      <c r="D2419" s="91" t="str">
        <f t="shared" si="39"/>
        <v>Yumbe Town Council</v>
      </c>
      <c r="F2419" s="91">
        <v>1422</v>
      </c>
    </row>
    <row r="2420" spans="1:6">
      <c r="A2420" s="91" t="s">
        <v>2711</v>
      </c>
      <c r="D2420" s="91" t="str">
        <f t="shared" si="39"/>
        <v>Yumbe</v>
      </c>
      <c r="F2420" s="91">
        <v>1422</v>
      </c>
    </row>
    <row r="2421" spans="1:6">
      <c r="A2421" s="91" t="s">
        <v>2725</v>
      </c>
      <c r="B2421" s="91" t="s">
        <v>2726</v>
      </c>
      <c r="C2421" s="91" t="s">
        <v>2727</v>
      </c>
      <c r="D2421" s="91" t="str">
        <f t="shared" si="39"/>
        <v>Abanga</v>
      </c>
      <c r="F2421" s="91">
        <v>1423</v>
      </c>
    </row>
    <row r="2422" spans="1:6">
      <c r="A2422" s="91" t="s">
        <v>2728</v>
      </c>
      <c r="B2422" s="91" t="s">
        <v>2726</v>
      </c>
      <c r="C2422" s="91" t="s">
        <v>2727</v>
      </c>
      <c r="D2422" s="91" t="str">
        <f t="shared" si="39"/>
        <v>Atyak</v>
      </c>
      <c r="F2422" s="91">
        <v>1424</v>
      </c>
    </row>
    <row r="2423" spans="1:6">
      <c r="A2423" s="91" t="s">
        <v>2729</v>
      </c>
      <c r="B2423" s="91" t="s">
        <v>2726</v>
      </c>
      <c r="C2423" s="91" t="s">
        <v>2727</v>
      </c>
      <c r="D2423" s="91" t="str">
        <f t="shared" si="39"/>
        <v>Jangokoro</v>
      </c>
      <c r="F2423" s="91">
        <v>1425</v>
      </c>
    </row>
    <row r="2424" spans="1:6">
      <c r="A2424" s="91" t="s">
        <v>2730</v>
      </c>
      <c r="B2424" s="91" t="s">
        <v>2726</v>
      </c>
      <c r="C2424" s="91" t="s">
        <v>2727</v>
      </c>
      <c r="D2424" s="91" t="str">
        <f t="shared" si="39"/>
        <v>Kango</v>
      </c>
      <c r="F2424" s="91">
        <v>1426</v>
      </c>
    </row>
    <row r="2425" spans="1:6">
      <c r="A2425" s="91" t="s">
        <v>2731</v>
      </c>
      <c r="B2425" s="91" t="s">
        <v>2726</v>
      </c>
      <c r="C2425" s="91" t="s">
        <v>2727</v>
      </c>
      <c r="D2425" s="91" t="str">
        <f t="shared" si="39"/>
        <v>Nyapea</v>
      </c>
      <c r="F2425" s="91">
        <v>1427</v>
      </c>
    </row>
    <row r="2426" spans="1:6">
      <c r="A2426" s="91" t="s">
        <v>2732</v>
      </c>
      <c r="B2426" s="91" t="s">
        <v>2726</v>
      </c>
      <c r="C2426" s="91" t="s">
        <v>2727</v>
      </c>
      <c r="D2426" s="91" t="str">
        <f t="shared" si="39"/>
        <v>Paidha</v>
      </c>
      <c r="F2426" s="91">
        <v>1428</v>
      </c>
    </row>
    <row r="2427" spans="1:6">
      <c r="A2427" s="91" t="s">
        <v>2733</v>
      </c>
      <c r="B2427" s="91" t="s">
        <v>2726</v>
      </c>
      <c r="C2427" s="91" t="s">
        <v>2727</v>
      </c>
      <c r="D2427" s="91" t="str">
        <f t="shared" si="39"/>
        <v>Paidha Town Council</v>
      </c>
      <c r="F2427" s="91">
        <v>1429</v>
      </c>
    </row>
    <row r="2428" spans="1:6">
      <c r="A2428" s="91" t="s">
        <v>2734</v>
      </c>
      <c r="B2428" s="91" t="s">
        <v>2726</v>
      </c>
      <c r="C2428" s="91" t="s">
        <v>2727</v>
      </c>
      <c r="D2428" s="91" t="str">
        <f t="shared" si="39"/>
        <v>Warr</v>
      </c>
      <c r="F2428" s="91">
        <v>1430</v>
      </c>
    </row>
    <row r="2429" spans="1:6">
      <c r="A2429" s="91" t="s">
        <v>2735</v>
      </c>
      <c r="B2429" s="91" t="s">
        <v>2726</v>
      </c>
      <c r="C2429" s="91" t="s">
        <v>2727</v>
      </c>
      <c r="D2429" s="91" t="str">
        <f t="shared" si="39"/>
        <v>Zeu</v>
      </c>
      <c r="F2429" s="91">
        <v>1431</v>
      </c>
    </row>
    <row r="2430" spans="1:6">
      <c r="A2430" s="91" t="s">
        <v>2736</v>
      </c>
      <c r="B2430" s="91" t="s">
        <v>2726</v>
      </c>
      <c r="C2430" s="91" t="s">
        <v>2727</v>
      </c>
      <c r="D2430" s="91" t="str">
        <f t="shared" si="39"/>
        <v>Zombo Town Council</v>
      </c>
      <c r="F2430" s="91">
        <v>1432</v>
      </c>
    </row>
    <row r="2431" spans="1:6" s="92" customFormat="1">
      <c r="A2431" s="93" t="s">
        <v>2737</v>
      </c>
      <c r="B2431" s="93"/>
      <c r="C2431" s="93"/>
      <c r="D2431" s="93"/>
      <c r="E2431" s="93"/>
      <c r="F2431" s="93"/>
    </row>
    <row r="2432" spans="1:6">
      <c r="A2432" s="91" t="s">
        <v>2738</v>
      </c>
      <c r="B2432" s="91" t="s">
        <v>55</v>
      </c>
      <c r="C2432" s="91" t="s">
        <v>201</v>
      </c>
      <c r="D2432" s="91" t="str">
        <f t="shared" si="39"/>
        <v xml:space="preserve">Malaba </v>
      </c>
      <c r="F2432" s="91">
        <v>1433</v>
      </c>
    </row>
    <row r="2433" spans="1:6">
      <c r="A2433" s="91" t="s">
        <v>55</v>
      </c>
      <c r="D2433" s="91" t="str">
        <f t="shared" si="39"/>
        <v>Kenya</v>
      </c>
      <c r="F2433" s="91">
        <v>1433</v>
      </c>
    </row>
    <row r="2434" spans="1:6">
      <c r="A2434" s="91" t="s">
        <v>555</v>
      </c>
      <c r="B2434" s="91" t="s">
        <v>55</v>
      </c>
      <c r="C2434" s="91" t="s">
        <v>555</v>
      </c>
      <c r="D2434" s="91" t="str">
        <f t="shared" si="39"/>
        <v>Busia</v>
      </c>
      <c r="F2434" s="91">
        <v>1434</v>
      </c>
    </row>
    <row r="2435" spans="1:6">
      <c r="A2435" s="91" t="s">
        <v>233</v>
      </c>
      <c r="D2435" s="91" t="str">
        <f t="shared" ref="D2435:D2481" si="40">A2435</f>
        <v>Nakuru</v>
      </c>
      <c r="F2435" s="91">
        <v>1434</v>
      </c>
    </row>
    <row r="2436" spans="1:6">
      <c r="A2436" s="91" t="s">
        <v>2739</v>
      </c>
      <c r="D2436" s="91" t="str">
        <f t="shared" si="40"/>
        <v>Kakunga</v>
      </c>
      <c r="F2436" s="91">
        <v>1434</v>
      </c>
    </row>
    <row r="2437" spans="1:6">
      <c r="A2437" s="91" t="s">
        <v>190</v>
      </c>
      <c r="D2437" s="91" t="str">
        <f t="shared" si="40"/>
        <v>Nairobi</v>
      </c>
      <c r="F2437" s="91">
        <v>1434</v>
      </c>
    </row>
    <row r="2438" spans="1:6">
      <c r="A2438" s="91" t="s">
        <v>189</v>
      </c>
      <c r="D2438" s="91" t="str">
        <f t="shared" si="40"/>
        <v>Eldoret</v>
      </c>
      <c r="F2438" s="91">
        <v>1434</v>
      </c>
    </row>
    <row r="2439" spans="1:6">
      <c r="A2439" s="91" t="s">
        <v>215</v>
      </c>
      <c r="D2439" s="91" t="str">
        <f t="shared" si="40"/>
        <v>Eldort</v>
      </c>
      <c r="F2439" s="91">
        <v>1434</v>
      </c>
    </row>
    <row r="2440" spans="1:6">
      <c r="A2440" s="91" t="s">
        <v>184</v>
      </c>
      <c r="D2440" s="91" t="str">
        <f t="shared" si="40"/>
        <v>Mombasa</v>
      </c>
      <c r="F2440" s="91">
        <v>1434</v>
      </c>
    </row>
    <row r="2441" spans="1:6">
      <c r="A2441" s="91" t="s">
        <v>2740</v>
      </c>
      <c r="B2441" s="91" t="s">
        <v>58</v>
      </c>
      <c r="C2441" s="91" t="s">
        <v>1729</v>
      </c>
      <c r="D2441" s="91" t="str">
        <f t="shared" si="40"/>
        <v>Mutukula</v>
      </c>
      <c r="F2441" s="91">
        <v>1435</v>
      </c>
    </row>
    <row r="2442" spans="1:6">
      <c r="A2442" s="91" t="s">
        <v>2741</v>
      </c>
      <c r="D2442" s="91" t="str">
        <f t="shared" si="40"/>
        <v>Kigoma</v>
      </c>
      <c r="F2442" s="91">
        <v>1435</v>
      </c>
    </row>
    <row r="2443" spans="1:6">
      <c r="A2443" s="91" t="s">
        <v>2742</v>
      </c>
      <c r="D2443" s="91" t="str">
        <f t="shared" si="40"/>
        <v>Buruma</v>
      </c>
      <c r="F2443" s="91">
        <v>1435</v>
      </c>
    </row>
    <row r="2444" spans="1:6">
      <c r="A2444" s="91" t="s">
        <v>60</v>
      </c>
      <c r="D2444" s="91" t="str">
        <f t="shared" si="40"/>
        <v>Dar-el-salama</v>
      </c>
      <c r="F2444" s="91">
        <v>1435</v>
      </c>
    </row>
    <row r="2445" spans="1:6">
      <c r="A2445" s="91" t="s">
        <v>58</v>
      </c>
      <c r="D2445" s="91" t="str">
        <f t="shared" si="40"/>
        <v>Tanzania</v>
      </c>
      <c r="F2445" s="91">
        <v>1435</v>
      </c>
    </row>
    <row r="2446" spans="1:6">
      <c r="A2446" s="91" t="s">
        <v>2743</v>
      </c>
      <c r="D2446" s="91" t="str">
        <f t="shared" si="40"/>
        <v>TANZANIA TOWN</v>
      </c>
      <c r="F2446" s="91">
        <v>1435</v>
      </c>
    </row>
    <row r="2447" spans="1:6">
      <c r="A2447" s="91" t="s">
        <v>2744</v>
      </c>
      <c r="D2447" s="91" t="str">
        <f t="shared" si="40"/>
        <v>KYERWA TOWN</v>
      </c>
      <c r="F2447" s="91">
        <v>1435</v>
      </c>
    </row>
    <row r="2448" spans="1:6">
      <c r="A2448" s="91" t="s">
        <v>2745</v>
      </c>
      <c r="D2448" s="91" t="str">
        <f t="shared" si="40"/>
        <v>Karegwe</v>
      </c>
      <c r="F2448" s="91">
        <v>1435</v>
      </c>
    </row>
    <row r="2449" spans="1:6">
      <c r="A2449" s="91" t="s">
        <v>2746</v>
      </c>
      <c r="B2449" s="91" t="s">
        <v>43</v>
      </c>
      <c r="C2449" s="91" t="s">
        <v>786</v>
      </c>
      <c r="D2449" s="91" t="str">
        <f t="shared" si="40"/>
        <v>Katuna</v>
      </c>
      <c r="F2449" s="91">
        <v>1436</v>
      </c>
    </row>
    <row r="2450" spans="1:6">
      <c r="A2450" s="91" t="s">
        <v>43</v>
      </c>
      <c r="D2450" s="91" t="str">
        <f t="shared" si="40"/>
        <v>Rwanda</v>
      </c>
      <c r="F2450" s="91">
        <v>1436</v>
      </c>
    </row>
    <row r="2451" spans="1:6">
      <c r="A2451" s="91" t="s">
        <v>2747</v>
      </c>
      <c r="D2451" s="91" t="str">
        <f t="shared" si="40"/>
        <v>Nyaruguru</v>
      </c>
      <c r="F2451" s="91">
        <v>1436</v>
      </c>
    </row>
    <row r="2452" spans="1:6">
      <c r="A2452" s="91" t="s">
        <v>2748</v>
      </c>
      <c r="D2452" s="91" t="str">
        <f t="shared" si="40"/>
        <v>Rwahi</v>
      </c>
      <c r="F2452" s="91">
        <v>1436</v>
      </c>
    </row>
    <row r="2453" spans="1:6">
      <c r="A2453" s="91" t="s">
        <v>2749</v>
      </c>
      <c r="D2453" s="91" t="str">
        <f t="shared" si="40"/>
        <v>Manzi</v>
      </c>
      <c r="F2453" s="91">
        <v>1436</v>
      </c>
    </row>
    <row r="2454" spans="1:6">
      <c r="A2454" s="91" t="s">
        <v>2750</v>
      </c>
      <c r="B2454" s="91" t="s">
        <v>43</v>
      </c>
      <c r="C2454" s="91" t="s">
        <v>1593</v>
      </c>
      <c r="D2454" s="91" t="str">
        <f t="shared" si="40"/>
        <v>Cyanika</v>
      </c>
      <c r="F2454" s="91">
        <v>1437</v>
      </c>
    </row>
    <row r="2455" spans="1:6">
      <c r="A2455" s="91" t="s">
        <v>2751</v>
      </c>
      <c r="D2455" s="91" t="str">
        <f t="shared" si="40"/>
        <v>MUHORORO</v>
      </c>
      <c r="F2455" s="91">
        <v>1437</v>
      </c>
    </row>
    <row r="2456" spans="1:6">
      <c r="A2456" s="91" t="s">
        <v>46</v>
      </c>
      <c r="D2456" s="91" t="str">
        <f t="shared" si="40"/>
        <v>Kigali</v>
      </c>
      <c r="F2456" s="91">
        <v>1437</v>
      </c>
    </row>
    <row r="2457" spans="1:6">
      <c r="A2457" s="91" t="s">
        <v>2752</v>
      </c>
      <c r="B2457" s="91" t="s">
        <v>2753</v>
      </c>
      <c r="C2457" s="91" t="s">
        <v>1593</v>
      </c>
      <c r="D2457" s="91" t="str">
        <f t="shared" si="40"/>
        <v>Bunagana</v>
      </c>
      <c r="F2457" s="91">
        <v>1438</v>
      </c>
    </row>
    <row r="2458" spans="1:6">
      <c r="A2458" s="91" t="s">
        <v>47</v>
      </c>
      <c r="D2458" s="91" t="str">
        <f t="shared" si="40"/>
        <v>Congo</v>
      </c>
      <c r="F2458" s="91">
        <v>1438</v>
      </c>
    </row>
    <row r="2459" spans="1:6">
      <c r="A2459" s="91" t="s">
        <v>2754</v>
      </c>
      <c r="D2459" s="91" t="str">
        <f t="shared" si="40"/>
        <v>Goma</v>
      </c>
      <c r="F2459" s="91">
        <v>1438</v>
      </c>
    </row>
    <row r="2460" spans="1:6">
      <c r="A2460" s="91" t="s">
        <v>65</v>
      </c>
      <c r="B2460" s="91" t="s">
        <v>2753</v>
      </c>
      <c r="C2460" s="91" t="s">
        <v>1418</v>
      </c>
      <c r="D2460" s="91" t="str">
        <f t="shared" si="40"/>
        <v>Ishasha</v>
      </c>
      <c r="F2460" s="91">
        <v>1439</v>
      </c>
    </row>
    <row r="2461" spans="1:6">
      <c r="A2461" s="91" t="s">
        <v>2755</v>
      </c>
      <c r="D2461" s="91" t="str">
        <f t="shared" si="40"/>
        <v>RWENZIRINGIRO</v>
      </c>
      <c r="F2461" s="91">
        <v>1439</v>
      </c>
    </row>
    <row r="2462" spans="1:6">
      <c r="A2462" s="91" t="s">
        <v>2756</v>
      </c>
      <c r="D2462" s="91" t="str">
        <f t="shared" si="40"/>
        <v>Busumba</v>
      </c>
      <c r="F2462" s="91">
        <v>1439</v>
      </c>
    </row>
    <row r="2463" spans="1:6">
      <c r="A2463" s="91" t="s">
        <v>2757</v>
      </c>
      <c r="B2463" s="91" t="s">
        <v>2753</v>
      </c>
      <c r="C2463" s="91" t="s">
        <v>2758</v>
      </c>
      <c r="D2463" s="91" t="str">
        <f t="shared" si="40"/>
        <v>Mpondwe</v>
      </c>
      <c r="F2463" s="91">
        <v>1440</v>
      </c>
    </row>
    <row r="2464" spans="1:6">
      <c r="A2464" s="91" t="s">
        <v>2759</v>
      </c>
      <c r="B2464" s="91" t="s">
        <v>2753</v>
      </c>
      <c r="C2464" s="91" t="s">
        <v>2760</v>
      </c>
      <c r="D2464" s="91" t="str">
        <f t="shared" si="40"/>
        <v>Goli</v>
      </c>
      <c r="F2464" s="91">
        <v>1441</v>
      </c>
    </row>
    <row r="2465" spans="1:6">
      <c r="A2465" s="91" t="s">
        <v>469</v>
      </c>
      <c r="B2465" s="91" t="s">
        <v>55</v>
      </c>
      <c r="C2465" s="91" t="s">
        <v>458</v>
      </c>
      <c r="D2465" s="91" t="str">
        <f t="shared" si="40"/>
        <v>Suam</v>
      </c>
      <c r="F2465" s="91">
        <v>1442</v>
      </c>
    </row>
    <row r="2466" spans="1:6">
      <c r="A2466" s="91" t="s">
        <v>178</v>
      </c>
      <c r="B2466" s="91" t="s">
        <v>209</v>
      </c>
      <c r="C2466" s="91" t="s">
        <v>171</v>
      </c>
      <c r="D2466" s="91" t="str">
        <f t="shared" si="40"/>
        <v>Bibio</v>
      </c>
      <c r="F2466" s="91">
        <v>1443</v>
      </c>
    </row>
    <row r="2467" spans="1:6">
      <c r="A2467" s="91" t="s">
        <v>170</v>
      </c>
      <c r="B2467" s="91" t="s">
        <v>209</v>
      </c>
      <c r="C2467" s="91" t="s">
        <v>171</v>
      </c>
      <c r="D2467" s="91" t="str">
        <f t="shared" si="40"/>
        <v>Elegu</v>
      </c>
      <c r="F2467" s="91">
        <v>1443</v>
      </c>
    </row>
    <row r="2468" spans="1:6">
      <c r="A2468" s="91" t="s">
        <v>177</v>
      </c>
      <c r="B2468" s="91" t="s">
        <v>209</v>
      </c>
      <c r="C2468" s="91" t="s">
        <v>171</v>
      </c>
      <c r="D2468" s="91" t="str">
        <f t="shared" si="40"/>
        <v>Lego</v>
      </c>
      <c r="F2468" s="91">
        <v>1443</v>
      </c>
    </row>
    <row r="2469" spans="1:6">
      <c r="A2469" s="91" t="s">
        <v>187</v>
      </c>
      <c r="B2469" s="91" t="s">
        <v>209</v>
      </c>
      <c r="C2469" s="91" t="s">
        <v>171</v>
      </c>
      <c r="D2469" s="91" t="str">
        <f t="shared" si="40"/>
        <v>Molole</v>
      </c>
      <c r="F2469" s="91">
        <v>1443</v>
      </c>
    </row>
    <row r="2470" spans="1:6">
      <c r="A2470" s="91" t="s">
        <v>175</v>
      </c>
      <c r="B2470" s="91" t="s">
        <v>209</v>
      </c>
      <c r="C2470" s="91" t="s">
        <v>171</v>
      </c>
      <c r="D2470" s="91" t="str">
        <f t="shared" si="40"/>
        <v>Mayeri</v>
      </c>
      <c r="F2470" s="91">
        <v>1443</v>
      </c>
    </row>
    <row r="2471" spans="1:6">
      <c r="A2471" s="91" t="s">
        <v>176</v>
      </c>
      <c r="B2471" s="91" t="s">
        <v>209</v>
      </c>
      <c r="C2471" s="91" t="s">
        <v>171</v>
      </c>
      <c r="D2471" s="91" t="str">
        <f t="shared" si="40"/>
        <v>Abolokodi</v>
      </c>
      <c r="F2471" s="91">
        <v>1443</v>
      </c>
    </row>
    <row r="2472" spans="1:6">
      <c r="A2472" s="91" t="s">
        <v>210</v>
      </c>
      <c r="D2472" s="91" t="str">
        <f t="shared" si="40"/>
        <v>Iregu</v>
      </c>
      <c r="F2472" s="91">
        <v>1443</v>
      </c>
    </row>
    <row r="2473" spans="1:6">
      <c r="A2473" s="91" t="s">
        <v>173</v>
      </c>
      <c r="D2473" s="91" t="str">
        <f t="shared" si="40"/>
        <v>Juba</v>
      </c>
      <c r="F2473" s="91">
        <v>1443</v>
      </c>
    </row>
    <row r="2474" spans="1:6">
      <c r="A2474" s="91" t="s">
        <v>2761</v>
      </c>
      <c r="D2474" s="91" t="str">
        <f t="shared" si="40"/>
        <v>Sudan</v>
      </c>
      <c r="F2474" s="91">
        <v>1443</v>
      </c>
    </row>
    <row r="2475" spans="1:6">
      <c r="A2475" s="91" t="s">
        <v>167</v>
      </c>
      <c r="B2475" s="91" t="s">
        <v>209</v>
      </c>
      <c r="C2475" s="91" t="s">
        <v>171</v>
      </c>
      <c r="D2475" s="91" t="str">
        <f t="shared" si="40"/>
        <v>Nimule</v>
      </c>
      <c r="F2475" s="91">
        <v>1443</v>
      </c>
    </row>
    <row r="2476" spans="1:6">
      <c r="A2476" s="91" t="s">
        <v>2921</v>
      </c>
      <c r="D2476" s="91" t="str">
        <f t="shared" si="40"/>
        <v>South sudan</v>
      </c>
      <c r="F2476" s="91">
        <v>1443</v>
      </c>
    </row>
    <row r="2477" spans="1:6">
      <c r="A2477" s="91" t="s">
        <v>2762</v>
      </c>
      <c r="B2477" s="91" t="s">
        <v>43</v>
      </c>
      <c r="C2477" s="91" t="s">
        <v>2763</v>
      </c>
      <c r="D2477" s="91" t="str">
        <f t="shared" si="40"/>
        <v>Mirama Hills</v>
      </c>
      <c r="F2477" s="91">
        <v>1444</v>
      </c>
    </row>
    <row r="2478" spans="1:6">
      <c r="A2478" s="91" t="s">
        <v>2764</v>
      </c>
      <c r="D2478" s="91" t="str">
        <f t="shared" si="40"/>
        <v>Mirama</v>
      </c>
      <c r="F2478" s="91">
        <v>1444</v>
      </c>
    </row>
    <row r="2479" spans="1:6">
      <c r="A2479" s="91" t="s">
        <v>2765</v>
      </c>
      <c r="B2479" s="91" t="s">
        <v>209</v>
      </c>
      <c r="C2479" s="91" t="s">
        <v>1622</v>
      </c>
      <c r="D2479" s="91" t="str">
        <f t="shared" si="40"/>
        <v>Oraba</v>
      </c>
      <c r="F2479" s="91">
        <v>1445</v>
      </c>
    </row>
    <row r="2480" spans="1:6">
      <c r="A2480" s="91" t="s">
        <v>2766</v>
      </c>
      <c r="B2480" s="91" t="s">
        <v>2753</v>
      </c>
      <c r="C2480" s="91" t="s">
        <v>2726</v>
      </c>
      <c r="D2480" s="91" t="str">
        <f t="shared" si="40"/>
        <v>Padea</v>
      </c>
      <c r="F2480" s="91">
        <v>1446</v>
      </c>
    </row>
    <row r="2481" spans="1:6">
      <c r="A2481" s="91" t="s">
        <v>349</v>
      </c>
      <c r="B2481" s="91" t="s">
        <v>2753</v>
      </c>
      <c r="C2481" s="91" t="s">
        <v>344</v>
      </c>
      <c r="D2481" s="91" t="str">
        <f t="shared" si="40"/>
        <v>Vurra</v>
      </c>
      <c r="F2481" s="91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32"/>
  <sheetViews>
    <sheetView topLeftCell="A410" workbookViewId="0">
      <selection activeCell="C421" sqref="C421"/>
    </sheetView>
  </sheetViews>
  <sheetFormatPr defaultRowHeight="15"/>
  <cols>
    <col min="1" max="1" width="6.5703125" style="87" customWidth="1"/>
    <col min="2" max="2" width="17.42578125" style="88" customWidth="1"/>
    <col min="3" max="3" width="16.42578125" style="88" customWidth="1"/>
    <col min="4" max="4" width="25.140625" style="88" customWidth="1"/>
    <col min="5" max="5" width="17" style="88" customWidth="1"/>
    <col min="6" max="7" width="23.28515625" style="71" customWidth="1"/>
    <col min="8" max="8" width="25.140625" style="88" customWidth="1"/>
    <col min="9" max="16384" width="9.140625" style="71"/>
  </cols>
  <sheetData>
    <row r="1" spans="1:8" ht="16.5" thickTop="1" thickBot="1">
      <c r="A1" s="73" t="s">
        <v>2767</v>
      </c>
      <c r="B1" s="74" t="s">
        <v>68</v>
      </c>
      <c r="C1" s="74" t="s">
        <v>2768</v>
      </c>
      <c r="D1" s="74" t="s">
        <v>2769</v>
      </c>
      <c r="E1" s="74" t="s">
        <v>239</v>
      </c>
      <c r="F1" s="69" t="s">
        <v>2770</v>
      </c>
      <c r="G1" s="70" t="s">
        <v>236</v>
      </c>
      <c r="H1" s="74" t="s">
        <v>2769</v>
      </c>
    </row>
    <row r="2" spans="1:8" ht="15.75" thickTop="1">
      <c r="A2" s="75">
        <v>243</v>
      </c>
      <c r="B2" s="76" t="s">
        <v>278</v>
      </c>
      <c r="C2" s="76" t="s">
        <v>279</v>
      </c>
      <c r="D2" s="76" t="s">
        <v>277</v>
      </c>
      <c r="E2" s="76"/>
      <c r="F2" s="71" t="str">
        <f>D2</f>
        <v>Abako</v>
      </c>
      <c r="G2" s="71" t="str">
        <f>B2</f>
        <v>Alebtong</v>
      </c>
      <c r="H2" s="76" t="s">
        <v>277</v>
      </c>
    </row>
    <row r="3" spans="1:8">
      <c r="A3" s="77">
        <v>295</v>
      </c>
      <c r="B3" s="78" t="s">
        <v>2726</v>
      </c>
      <c r="C3" s="78" t="s">
        <v>2727</v>
      </c>
      <c r="D3" s="78" t="s">
        <v>2725</v>
      </c>
      <c r="E3" s="78"/>
      <c r="F3" s="71" t="str">
        <f t="shared" ref="F3:F66" si="0">D3</f>
        <v>Abanga</v>
      </c>
      <c r="G3" s="71" t="str">
        <f t="shared" ref="G3:G66" si="1">B3</f>
        <v>Zombo</v>
      </c>
      <c r="H3" s="78" t="s">
        <v>2725</v>
      </c>
    </row>
    <row r="4" spans="1:8">
      <c r="A4" s="77">
        <v>886</v>
      </c>
      <c r="B4" s="78" t="s">
        <v>307</v>
      </c>
      <c r="C4" s="78" t="s">
        <v>307</v>
      </c>
      <c r="D4" s="78" t="s">
        <v>306</v>
      </c>
      <c r="E4" s="78"/>
      <c r="F4" s="71" t="str">
        <f t="shared" si="0"/>
        <v>Abarilela</v>
      </c>
      <c r="G4" s="71" t="str">
        <f t="shared" si="1"/>
        <v>Amuria</v>
      </c>
      <c r="H4" s="78" t="s">
        <v>306</v>
      </c>
    </row>
    <row r="5" spans="1:8">
      <c r="A5" s="77">
        <v>215</v>
      </c>
      <c r="B5" s="78" t="s">
        <v>2260</v>
      </c>
      <c r="C5" s="78" t="s">
        <v>2260</v>
      </c>
      <c r="D5" s="78" t="s">
        <v>2259</v>
      </c>
      <c r="E5" s="78"/>
      <c r="F5" s="71" t="str">
        <f t="shared" si="0"/>
        <v>Aber</v>
      </c>
      <c r="G5" s="71" t="str">
        <f t="shared" si="1"/>
        <v>Oyam</v>
      </c>
      <c r="H5" s="78" t="s">
        <v>2259</v>
      </c>
    </row>
    <row r="6" spans="1:8">
      <c r="A6" s="77">
        <v>244</v>
      </c>
      <c r="B6" s="78" t="s">
        <v>278</v>
      </c>
      <c r="C6" s="78" t="s">
        <v>279</v>
      </c>
      <c r="D6" s="78" t="s">
        <v>280</v>
      </c>
      <c r="E6" s="78"/>
      <c r="F6" s="71" t="str">
        <f t="shared" si="0"/>
        <v>Abia</v>
      </c>
      <c r="G6" s="71" t="str">
        <f t="shared" si="1"/>
        <v>Alebtong</v>
      </c>
      <c r="H6" s="78" t="s">
        <v>280</v>
      </c>
    </row>
    <row r="7" spans="1:8">
      <c r="A7" s="77">
        <v>151</v>
      </c>
      <c r="B7" s="78" t="s">
        <v>241</v>
      </c>
      <c r="C7" s="78" t="s">
        <v>242</v>
      </c>
      <c r="D7" s="78" t="s">
        <v>241</v>
      </c>
      <c r="E7" s="78"/>
      <c r="F7" s="71" t="str">
        <f t="shared" si="0"/>
        <v>Abim</v>
      </c>
      <c r="G7" s="71" t="str">
        <f t="shared" si="1"/>
        <v>Abim</v>
      </c>
      <c r="H7" s="78" t="s">
        <v>241</v>
      </c>
    </row>
    <row r="8" spans="1:8">
      <c r="A8" s="77">
        <v>152</v>
      </c>
      <c r="B8" s="78" t="s">
        <v>241</v>
      </c>
      <c r="C8" s="78" t="s">
        <v>242</v>
      </c>
      <c r="D8" s="78" t="s">
        <v>243</v>
      </c>
      <c r="E8" s="78"/>
      <c r="F8" s="71" t="str">
        <f t="shared" si="0"/>
        <v>Abim Town Council</v>
      </c>
      <c r="G8" s="71" t="str">
        <f t="shared" si="1"/>
        <v>Abim</v>
      </c>
      <c r="H8" s="78" t="s">
        <v>243</v>
      </c>
    </row>
    <row r="9" spans="1:8">
      <c r="A9" s="77">
        <v>107</v>
      </c>
      <c r="B9" s="78" t="s">
        <v>2182</v>
      </c>
      <c r="C9" s="79" t="s">
        <v>2188</v>
      </c>
      <c r="D9" s="78" t="s">
        <v>2771</v>
      </c>
      <c r="E9" s="78"/>
      <c r="F9" s="72" t="str">
        <f>VLOOKUP(C9,[2]Municipalities!$C$9:$F$1522,4,FALSE)</f>
        <v>Nebbi Municipality</v>
      </c>
      <c r="G9" s="71" t="str">
        <f t="shared" si="1"/>
        <v>Nebbi</v>
      </c>
      <c r="H9" s="78" t="s">
        <v>2771</v>
      </c>
    </row>
    <row r="10" spans="1:8">
      <c r="A10" s="77">
        <v>216</v>
      </c>
      <c r="B10" s="78" t="s">
        <v>2260</v>
      </c>
      <c r="C10" s="78" t="s">
        <v>2260</v>
      </c>
      <c r="D10" s="78" t="s">
        <v>2261</v>
      </c>
      <c r="E10" s="78"/>
      <c r="F10" s="71" t="str">
        <f t="shared" si="0"/>
        <v>Abok</v>
      </c>
      <c r="G10" s="71" t="str">
        <f t="shared" si="1"/>
        <v>Oyam</v>
      </c>
      <c r="H10" s="78" t="s">
        <v>2261</v>
      </c>
    </row>
    <row r="11" spans="1:8">
      <c r="A11" s="77">
        <v>256</v>
      </c>
      <c r="B11" s="78" t="s">
        <v>1629</v>
      </c>
      <c r="C11" s="78" t="s">
        <v>1629</v>
      </c>
      <c r="D11" s="78" t="s">
        <v>194</v>
      </c>
      <c r="E11" s="78"/>
      <c r="F11" s="71" t="str">
        <f t="shared" si="0"/>
        <v>Aboke</v>
      </c>
      <c r="G11" s="71" t="str">
        <f t="shared" si="1"/>
        <v>Kole</v>
      </c>
      <c r="H11" s="78" t="s">
        <v>194</v>
      </c>
    </row>
    <row r="12" spans="1:8">
      <c r="A12" s="77">
        <v>11</v>
      </c>
      <c r="B12" s="78" t="s">
        <v>330</v>
      </c>
      <c r="C12" s="78" t="s">
        <v>331</v>
      </c>
      <c r="D12" s="78" t="s">
        <v>2772</v>
      </c>
      <c r="E12" s="78"/>
      <c r="F12" s="71" t="str">
        <f t="shared" si="0"/>
        <v>Abongomola</v>
      </c>
      <c r="G12" s="71" t="str">
        <f t="shared" si="1"/>
        <v>Apac</v>
      </c>
      <c r="H12" s="78" t="s">
        <v>2772</v>
      </c>
    </row>
    <row r="13" spans="1:8">
      <c r="A13" s="77">
        <v>198</v>
      </c>
      <c r="B13" s="78" t="s">
        <v>1622</v>
      </c>
      <c r="C13" s="78" t="s">
        <v>1622</v>
      </c>
      <c r="D13" s="78" t="s">
        <v>1621</v>
      </c>
      <c r="E13" s="78"/>
      <c r="F13" s="71" t="str">
        <f t="shared" si="0"/>
        <v>Abuku</v>
      </c>
      <c r="G13" s="71" t="str">
        <f t="shared" si="1"/>
        <v>Koboko</v>
      </c>
      <c r="H13" s="78" t="s">
        <v>1621</v>
      </c>
    </row>
    <row r="14" spans="1:8">
      <c r="A14" s="77">
        <v>217</v>
      </c>
      <c r="B14" s="78" t="s">
        <v>2260</v>
      </c>
      <c r="C14" s="78" t="s">
        <v>2260</v>
      </c>
      <c r="D14" s="78" t="s">
        <v>2262</v>
      </c>
      <c r="E14" s="78"/>
      <c r="F14" s="71" t="str">
        <f t="shared" si="0"/>
        <v>Acaba</v>
      </c>
      <c r="G14" s="71" t="str">
        <f t="shared" si="1"/>
        <v>Oyam</v>
      </c>
      <c r="H14" s="78" t="s">
        <v>2262</v>
      </c>
    </row>
    <row r="15" spans="1:8">
      <c r="A15" s="77">
        <v>126</v>
      </c>
      <c r="B15" s="78" t="s">
        <v>2274</v>
      </c>
      <c r="C15" s="78" t="s">
        <v>2275</v>
      </c>
      <c r="D15" s="78" t="s">
        <v>2273</v>
      </c>
      <c r="E15" s="78"/>
      <c r="F15" s="71" t="str">
        <f t="shared" si="0"/>
        <v>Acholibur</v>
      </c>
      <c r="G15" s="71" t="str">
        <f t="shared" si="1"/>
        <v>Pader</v>
      </c>
      <c r="H15" s="78" t="s">
        <v>2273</v>
      </c>
    </row>
    <row r="16" spans="1:8">
      <c r="A16" s="77">
        <v>897</v>
      </c>
      <c r="B16" s="78" t="s">
        <v>307</v>
      </c>
      <c r="C16" s="78" t="s">
        <v>309</v>
      </c>
      <c r="D16" s="78" t="s">
        <v>308</v>
      </c>
      <c r="E16" s="78"/>
      <c r="F16" s="71" t="str">
        <f t="shared" si="0"/>
        <v>Acowa</v>
      </c>
      <c r="G16" s="71" t="str">
        <f t="shared" si="1"/>
        <v>Amuria</v>
      </c>
      <c r="H16" s="78" t="s">
        <v>308</v>
      </c>
    </row>
    <row r="17" spans="1:8">
      <c r="A17" s="77">
        <v>173</v>
      </c>
      <c r="B17" s="78" t="s">
        <v>623</v>
      </c>
      <c r="C17" s="78" t="s">
        <v>623</v>
      </c>
      <c r="D17" s="78" t="s">
        <v>622</v>
      </c>
      <c r="E17" s="78"/>
      <c r="F17" s="71" t="str">
        <f t="shared" si="0"/>
        <v>Adeknino</v>
      </c>
      <c r="G17" s="71" t="str">
        <f t="shared" si="1"/>
        <v>Dokolo</v>
      </c>
      <c r="H17" s="78" t="s">
        <v>622</v>
      </c>
    </row>
    <row r="18" spans="1:8">
      <c r="A18" s="77">
        <v>79</v>
      </c>
      <c r="B18" s="78" t="s">
        <v>213</v>
      </c>
      <c r="C18" s="78" t="s">
        <v>1750</v>
      </c>
      <c r="D18" s="78" t="s">
        <v>1749</v>
      </c>
      <c r="E18" s="78"/>
      <c r="F18" s="71" t="str">
        <f t="shared" si="0"/>
        <v>Adekokwok</v>
      </c>
      <c r="G18" s="71" t="str">
        <f t="shared" si="1"/>
        <v>Lira</v>
      </c>
      <c r="H18" s="78" t="s">
        <v>1749</v>
      </c>
    </row>
    <row r="19" spans="1:8">
      <c r="A19" s="77">
        <v>227</v>
      </c>
      <c r="B19" s="78" t="s">
        <v>261</v>
      </c>
      <c r="C19" s="78" t="s">
        <v>261</v>
      </c>
      <c r="D19" s="78" t="s">
        <v>260</v>
      </c>
      <c r="E19" s="78"/>
      <c r="F19" s="71" t="str">
        <f t="shared" si="0"/>
        <v>Adilang</v>
      </c>
      <c r="G19" s="71" t="str">
        <f t="shared" si="1"/>
        <v>Agago</v>
      </c>
      <c r="H19" s="78" t="s">
        <v>260</v>
      </c>
    </row>
    <row r="20" spans="1:8">
      <c r="A20" s="77">
        <v>1</v>
      </c>
      <c r="B20" s="78" t="s">
        <v>249</v>
      </c>
      <c r="C20" s="78" t="s">
        <v>250</v>
      </c>
      <c r="D20" s="78" t="s">
        <v>248</v>
      </c>
      <c r="E20" s="78"/>
      <c r="F20" s="71" t="str">
        <f t="shared" si="0"/>
        <v>Adjumani Town Council</v>
      </c>
      <c r="G20" s="71" t="str">
        <f t="shared" si="1"/>
        <v>Adjumani</v>
      </c>
      <c r="H20" s="78" t="s">
        <v>248</v>
      </c>
    </row>
    <row r="21" spans="1:8">
      <c r="A21" s="77">
        <v>174</v>
      </c>
      <c r="B21" s="78" t="s">
        <v>623</v>
      </c>
      <c r="C21" s="78" t="s">
        <v>623</v>
      </c>
      <c r="D21" s="78" t="s">
        <v>624</v>
      </c>
      <c r="E21" s="78"/>
      <c r="F21" s="71" t="str">
        <f t="shared" si="0"/>
        <v>Adok</v>
      </c>
      <c r="G21" s="71" t="str">
        <f t="shared" si="1"/>
        <v>Dokolo</v>
      </c>
      <c r="H21" s="78" t="s">
        <v>624</v>
      </c>
    </row>
    <row r="22" spans="1:8">
      <c r="A22" s="77">
        <v>2</v>
      </c>
      <c r="B22" s="78" t="s">
        <v>249</v>
      </c>
      <c r="C22" s="78" t="s">
        <v>250</v>
      </c>
      <c r="D22" s="78" t="s">
        <v>251</v>
      </c>
      <c r="E22" s="78"/>
      <c r="F22" s="71" t="str">
        <f t="shared" si="0"/>
        <v>Adropi</v>
      </c>
      <c r="G22" s="71" t="str">
        <f t="shared" si="1"/>
        <v>Adjumani</v>
      </c>
      <c r="H22" s="78" t="s">
        <v>251</v>
      </c>
    </row>
    <row r="23" spans="1:8">
      <c r="A23" s="77">
        <v>12</v>
      </c>
      <c r="B23" s="78" t="s">
        <v>330</v>
      </c>
      <c r="C23" s="78" t="s">
        <v>331</v>
      </c>
      <c r="D23" s="78" t="s">
        <v>332</v>
      </c>
      <c r="E23" s="78"/>
      <c r="F23" s="71" t="str">
        <f t="shared" si="0"/>
        <v>Aduku</v>
      </c>
      <c r="G23" s="71" t="str">
        <f t="shared" si="1"/>
        <v>Apac</v>
      </c>
      <c r="H23" s="78" t="s">
        <v>332</v>
      </c>
    </row>
    <row r="24" spans="1:8">
      <c r="A24" s="77">
        <v>13</v>
      </c>
      <c r="B24" s="78" t="s">
        <v>330</v>
      </c>
      <c r="C24" s="78" t="s">
        <v>331</v>
      </c>
      <c r="D24" s="78" t="s">
        <v>333</v>
      </c>
      <c r="E24" s="78"/>
      <c r="F24" s="71" t="str">
        <f t="shared" si="0"/>
        <v>Aduku Town Council</v>
      </c>
      <c r="G24" s="71" t="str">
        <f t="shared" si="1"/>
        <v>Apac</v>
      </c>
      <c r="H24" s="78" t="s">
        <v>333</v>
      </c>
    </row>
    <row r="25" spans="1:8">
      <c r="A25" s="77">
        <v>24</v>
      </c>
      <c r="B25" s="78" t="s">
        <v>344</v>
      </c>
      <c r="C25" s="78" t="s">
        <v>345</v>
      </c>
      <c r="D25" s="78" t="s">
        <v>343</v>
      </c>
      <c r="E25" s="78"/>
      <c r="F25" s="71" t="str">
        <f t="shared" si="0"/>
        <v>Adumi</v>
      </c>
      <c r="G25" s="71" t="str">
        <f t="shared" si="1"/>
        <v>Arua</v>
      </c>
      <c r="H25" s="78" t="s">
        <v>343</v>
      </c>
    </row>
    <row r="26" spans="1:8">
      <c r="A26" s="77">
        <v>287</v>
      </c>
      <c r="B26" s="78" t="s">
        <v>2251</v>
      </c>
      <c r="C26" s="78" t="s">
        <v>2251</v>
      </c>
      <c r="D26" s="78" t="s">
        <v>2250</v>
      </c>
      <c r="E26" s="78"/>
      <c r="F26" s="71" t="str">
        <f t="shared" si="0"/>
        <v>Adwari</v>
      </c>
      <c r="G26" s="71" t="str">
        <f t="shared" si="1"/>
        <v>Otuke</v>
      </c>
      <c r="H26" s="78" t="s">
        <v>2250</v>
      </c>
    </row>
    <row r="27" spans="1:8">
      <c r="A27" s="77">
        <v>88</v>
      </c>
      <c r="B27" s="78" t="s">
        <v>213</v>
      </c>
      <c r="C27" s="79" t="s">
        <v>1756</v>
      </c>
      <c r="D27" s="78" t="s">
        <v>2773</v>
      </c>
      <c r="E27" s="78"/>
      <c r="F27" s="72" t="str">
        <f>VLOOKUP(C27,[2]Municipalities!$C$9:$F$1522,4,FALSE)</f>
        <v>Lira Municipality</v>
      </c>
      <c r="G27" s="71" t="str">
        <f t="shared" si="1"/>
        <v>Lira</v>
      </c>
      <c r="H27" s="78" t="s">
        <v>2773</v>
      </c>
    </row>
    <row r="28" spans="1:8">
      <c r="A28" s="77">
        <v>228</v>
      </c>
      <c r="B28" s="78" t="s">
        <v>261</v>
      </c>
      <c r="C28" s="78" t="s">
        <v>261</v>
      </c>
      <c r="D28" s="78" t="s">
        <v>262</v>
      </c>
      <c r="E28" s="78"/>
      <c r="F28" s="71" t="str">
        <f t="shared" si="0"/>
        <v>Agago Town Council</v>
      </c>
      <c r="G28" s="71" t="str">
        <f t="shared" si="1"/>
        <v>Agago</v>
      </c>
      <c r="H28" s="78" t="s">
        <v>262</v>
      </c>
    </row>
    <row r="29" spans="1:8">
      <c r="A29" s="77">
        <v>80</v>
      </c>
      <c r="B29" s="78" t="s">
        <v>213</v>
      </c>
      <c r="C29" s="78" t="s">
        <v>1750</v>
      </c>
      <c r="D29" s="78" t="s">
        <v>1751</v>
      </c>
      <c r="E29" s="78"/>
      <c r="F29" s="71" t="str">
        <f t="shared" si="0"/>
        <v>Agali</v>
      </c>
      <c r="G29" s="71" t="str">
        <f t="shared" si="1"/>
        <v>Lira</v>
      </c>
      <c r="H29" s="78" t="s">
        <v>1751</v>
      </c>
    </row>
    <row r="30" spans="1:8">
      <c r="A30" s="77">
        <v>157</v>
      </c>
      <c r="B30" s="78" t="s">
        <v>289</v>
      </c>
      <c r="C30" s="78" t="s">
        <v>290</v>
      </c>
      <c r="D30" s="78" t="s">
        <v>288</v>
      </c>
      <c r="E30" s="78"/>
      <c r="F30" s="71" t="str">
        <f t="shared" si="0"/>
        <v>Agikdak</v>
      </c>
      <c r="G30" s="71" t="str">
        <f t="shared" si="1"/>
        <v>Amolatar</v>
      </c>
      <c r="H30" s="78" t="s">
        <v>288</v>
      </c>
    </row>
    <row r="31" spans="1:8">
      <c r="A31" s="77">
        <v>263</v>
      </c>
      <c r="B31" s="78" t="s">
        <v>222</v>
      </c>
      <c r="C31" s="78" t="s">
        <v>222</v>
      </c>
      <c r="D31" s="78" t="s">
        <v>1742</v>
      </c>
      <c r="E31" s="78"/>
      <c r="F31" s="71" t="str">
        <f t="shared" si="0"/>
        <v>Agoro</v>
      </c>
      <c r="G31" s="71" t="str">
        <f t="shared" si="1"/>
        <v>Lamwo</v>
      </c>
      <c r="H31" s="78" t="s">
        <v>1742</v>
      </c>
    </row>
    <row r="32" spans="1:8">
      <c r="A32" s="77">
        <v>802</v>
      </c>
      <c r="B32" s="78" t="s">
        <v>2294</v>
      </c>
      <c r="C32" s="78" t="s">
        <v>2293</v>
      </c>
      <c r="D32" s="78" t="s">
        <v>2293</v>
      </c>
      <c r="E32" s="78"/>
      <c r="F32" s="71" t="str">
        <f t="shared" si="0"/>
        <v>Agule</v>
      </c>
      <c r="G32" s="71" t="str">
        <f t="shared" si="1"/>
        <v>Pallisa</v>
      </c>
      <c r="H32" s="78" t="s">
        <v>2293</v>
      </c>
    </row>
    <row r="33" spans="1:8">
      <c r="A33" s="77">
        <v>175</v>
      </c>
      <c r="B33" s="78" t="s">
        <v>623</v>
      </c>
      <c r="C33" s="78" t="s">
        <v>623</v>
      </c>
      <c r="D33" s="78" t="s">
        <v>625</v>
      </c>
      <c r="E33" s="78"/>
      <c r="F33" s="71" t="str">
        <f t="shared" si="0"/>
        <v>Agwata</v>
      </c>
      <c r="G33" s="71" t="str">
        <f t="shared" si="1"/>
        <v>Dokolo</v>
      </c>
      <c r="H33" s="78" t="s">
        <v>625</v>
      </c>
    </row>
    <row r="34" spans="1:8">
      <c r="A34" s="77">
        <v>81</v>
      </c>
      <c r="B34" s="78" t="s">
        <v>213</v>
      </c>
      <c r="C34" s="78" t="s">
        <v>1750</v>
      </c>
      <c r="D34" s="78" t="s">
        <v>1752</v>
      </c>
      <c r="E34" s="78"/>
      <c r="F34" s="71" t="str">
        <f t="shared" si="0"/>
        <v>Agweng</v>
      </c>
      <c r="G34" s="71" t="str">
        <f t="shared" si="1"/>
        <v>Lira</v>
      </c>
      <c r="H34" s="78" t="s">
        <v>1752</v>
      </c>
    </row>
    <row r="35" spans="1:8">
      <c r="A35" s="77">
        <v>158</v>
      </c>
      <c r="B35" s="78" t="s">
        <v>289</v>
      </c>
      <c r="C35" s="78" t="s">
        <v>290</v>
      </c>
      <c r="D35" s="78" t="s">
        <v>291</v>
      </c>
      <c r="E35" s="78"/>
      <c r="F35" s="71" t="str">
        <f t="shared" si="0"/>
        <v>Agwingiri</v>
      </c>
      <c r="G35" s="71" t="str">
        <f t="shared" si="1"/>
        <v>Amolatar</v>
      </c>
      <c r="H35" s="78" t="s">
        <v>291</v>
      </c>
    </row>
    <row r="36" spans="1:8">
      <c r="A36" s="77">
        <v>40</v>
      </c>
      <c r="B36" s="78" t="s">
        <v>344</v>
      </c>
      <c r="C36" s="78" t="s">
        <v>347</v>
      </c>
      <c r="D36" s="78" t="s">
        <v>346</v>
      </c>
      <c r="E36" s="78"/>
      <c r="F36" s="71" t="str">
        <f t="shared" si="0"/>
        <v>Aii-Vu</v>
      </c>
      <c r="G36" s="71" t="str">
        <f t="shared" si="1"/>
        <v>Arua</v>
      </c>
      <c r="H36" s="78" t="s">
        <v>346</v>
      </c>
    </row>
    <row r="37" spans="1:8">
      <c r="A37" s="77">
        <v>46</v>
      </c>
      <c r="B37" s="78" t="s">
        <v>344</v>
      </c>
      <c r="C37" s="78" t="s">
        <v>349</v>
      </c>
      <c r="D37" s="78" t="s">
        <v>348</v>
      </c>
      <c r="E37" s="78"/>
      <c r="F37" s="71" t="str">
        <f t="shared" si="0"/>
        <v>Ajia</v>
      </c>
      <c r="G37" s="71" t="str">
        <f t="shared" si="1"/>
        <v>Arua</v>
      </c>
      <c r="H37" s="78" t="s">
        <v>348</v>
      </c>
    </row>
    <row r="38" spans="1:8">
      <c r="A38" s="77">
        <v>257</v>
      </c>
      <c r="B38" s="78" t="s">
        <v>1629</v>
      </c>
      <c r="C38" s="78" t="s">
        <v>1629</v>
      </c>
      <c r="D38" s="78" t="s">
        <v>1630</v>
      </c>
      <c r="E38" s="78"/>
      <c r="F38" s="71" t="str">
        <f t="shared" si="0"/>
        <v>Akalo</v>
      </c>
      <c r="G38" s="71" t="str">
        <f t="shared" si="1"/>
        <v>Kole</v>
      </c>
      <c r="H38" s="78" t="s">
        <v>1630</v>
      </c>
    </row>
    <row r="39" spans="1:8">
      <c r="A39" s="77">
        <v>887</v>
      </c>
      <c r="B39" s="78" t="s">
        <v>307</v>
      </c>
      <c r="C39" s="78" t="s">
        <v>307</v>
      </c>
      <c r="D39" s="78" t="s">
        <v>310</v>
      </c>
      <c r="E39" s="78"/>
      <c r="F39" s="71" t="str">
        <f t="shared" si="0"/>
        <v>Akeriau</v>
      </c>
      <c r="G39" s="71" t="str">
        <f t="shared" si="1"/>
        <v>Amuria</v>
      </c>
      <c r="H39" s="78" t="s">
        <v>310</v>
      </c>
    </row>
    <row r="40" spans="1:8">
      <c r="A40" s="77">
        <v>803</v>
      </c>
      <c r="B40" s="78" t="s">
        <v>2294</v>
      </c>
      <c r="C40" s="78" t="s">
        <v>2293</v>
      </c>
      <c r="D40" s="78" t="s">
        <v>2295</v>
      </c>
      <c r="E40" s="78"/>
      <c r="F40" s="71" t="str">
        <f t="shared" si="0"/>
        <v>Akisim</v>
      </c>
      <c r="G40" s="71" t="str">
        <f t="shared" si="1"/>
        <v>Pallisa</v>
      </c>
      <c r="H40" s="78" t="s">
        <v>2295</v>
      </c>
    </row>
    <row r="41" spans="1:8">
      <c r="A41" s="77">
        <v>17</v>
      </c>
      <c r="B41" s="78" t="s">
        <v>330</v>
      </c>
      <c r="C41" s="78" t="s">
        <v>335</v>
      </c>
      <c r="D41" s="78" t="s">
        <v>334</v>
      </c>
      <c r="E41" s="78"/>
      <c r="F41" s="71" t="str">
        <f t="shared" si="0"/>
        <v>Akokoro</v>
      </c>
      <c r="G41" s="71" t="str">
        <f t="shared" si="1"/>
        <v>Apac</v>
      </c>
      <c r="H41" s="78" t="s">
        <v>334</v>
      </c>
    </row>
    <row r="42" spans="1:8">
      <c r="A42" s="77">
        <v>898</v>
      </c>
      <c r="B42" s="78" t="s">
        <v>307</v>
      </c>
      <c r="C42" s="78" t="s">
        <v>309</v>
      </c>
      <c r="D42" s="78" t="s">
        <v>311</v>
      </c>
      <c r="E42" s="78"/>
      <c r="F42" s="71" t="str">
        <f t="shared" si="0"/>
        <v>Akoromit</v>
      </c>
      <c r="G42" s="71" t="str">
        <f t="shared" si="1"/>
        <v>Amuria</v>
      </c>
      <c r="H42" s="78" t="s">
        <v>311</v>
      </c>
    </row>
    <row r="43" spans="1:8">
      <c r="A43" s="77">
        <v>245</v>
      </c>
      <c r="B43" s="78" t="s">
        <v>278</v>
      </c>
      <c r="C43" s="78" t="s">
        <v>279</v>
      </c>
      <c r="D43" s="78" t="s">
        <v>281</v>
      </c>
      <c r="E43" s="78"/>
      <c r="F43" s="71" t="str">
        <f t="shared" si="0"/>
        <v>Akura</v>
      </c>
      <c r="G43" s="71" t="str">
        <f t="shared" si="1"/>
        <v>Alebtong</v>
      </c>
      <c r="H43" s="78" t="s">
        <v>281</v>
      </c>
    </row>
    <row r="44" spans="1:8">
      <c r="A44" s="77">
        <v>159</v>
      </c>
      <c r="B44" s="78" t="s">
        <v>289</v>
      </c>
      <c r="C44" s="78" t="s">
        <v>290</v>
      </c>
      <c r="D44" s="78" t="s">
        <v>292</v>
      </c>
      <c r="E44" s="78"/>
      <c r="F44" s="71" t="str">
        <f t="shared" si="0"/>
        <v>Akwon</v>
      </c>
      <c r="G44" s="71" t="str">
        <f t="shared" si="1"/>
        <v>Amolatar</v>
      </c>
      <c r="H44" s="78" t="s">
        <v>292</v>
      </c>
    </row>
    <row r="45" spans="1:8">
      <c r="A45" s="77">
        <v>110</v>
      </c>
      <c r="B45" s="78" t="s">
        <v>2182</v>
      </c>
      <c r="C45" s="78" t="s">
        <v>2183</v>
      </c>
      <c r="D45" s="78" t="s">
        <v>2181</v>
      </c>
      <c r="E45" s="78"/>
      <c r="F45" s="71" t="str">
        <f t="shared" si="0"/>
        <v>Akworo</v>
      </c>
      <c r="G45" s="71" t="str">
        <f t="shared" si="1"/>
        <v>Nebbi</v>
      </c>
      <c r="H45" s="78" t="s">
        <v>2181</v>
      </c>
    </row>
    <row r="46" spans="1:8">
      <c r="A46" s="77">
        <v>288</v>
      </c>
      <c r="B46" s="78" t="s">
        <v>2251</v>
      </c>
      <c r="C46" s="78" t="s">
        <v>2251</v>
      </c>
      <c r="D46" s="78" t="s">
        <v>2252</v>
      </c>
      <c r="E46" s="78"/>
      <c r="F46" s="71" t="str">
        <f t="shared" si="0"/>
        <v>Alango</v>
      </c>
      <c r="G46" s="71" t="str">
        <f t="shared" si="1"/>
        <v>Otuke</v>
      </c>
      <c r="H46" s="78" t="s">
        <v>2252</v>
      </c>
    </row>
    <row r="47" spans="1:8">
      <c r="A47" s="77">
        <v>246</v>
      </c>
      <c r="B47" s="78" t="s">
        <v>278</v>
      </c>
      <c r="C47" s="78" t="s">
        <v>279</v>
      </c>
      <c r="D47" s="78" t="s">
        <v>282</v>
      </c>
      <c r="E47" s="78"/>
      <c r="F47" s="71" t="str">
        <f t="shared" si="0"/>
        <v>Alebtong Town Council</v>
      </c>
      <c r="G47" s="71" t="str">
        <f t="shared" si="1"/>
        <v>Alebtong</v>
      </c>
      <c r="H47" s="78" t="s">
        <v>282</v>
      </c>
    </row>
    <row r="48" spans="1:8">
      <c r="A48" s="77">
        <v>218</v>
      </c>
      <c r="B48" s="78" t="s">
        <v>2260</v>
      </c>
      <c r="C48" s="78" t="s">
        <v>2260</v>
      </c>
      <c r="D48" s="78" t="s">
        <v>2263</v>
      </c>
      <c r="E48" s="78"/>
      <c r="F48" s="71" t="str">
        <f t="shared" si="0"/>
        <v>Aleka</v>
      </c>
      <c r="G48" s="71" t="str">
        <f t="shared" si="1"/>
        <v>Oyam</v>
      </c>
      <c r="H48" s="78" t="s">
        <v>2263</v>
      </c>
    </row>
    <row r="49" spans="1:8">
      <c r="A49" s="77">
        <v>153</v>
      </c>
      <c r="B49" s="78" t="s">
        <v>241</v>
      </c>
      <c r="C49" s="78" t="s">
        <v>242</v>
      </c>
      <c r="D49" s="78" t="s">
        <v>244</v>
      </c>
      <c r="E49" s="78"/>
      <c r="F49" s="71" t="str">
        <f t="shared" si="0"/>
        <v>Alerek</v>
      </c>
      <c r="G49" s="71" t="str">
        <f t="shared" si="1"/>
        <v>Abim</v>
      </c>
      <c r="H49" s="78" t="s">
        <v>244</v>
      </c>
    </row>
    <row r="50" spans="1:8">
      <c r="A50" s="77">
        <v>282</v>
      </c>
      <c r="B50" s="78" t="s">
        <v>2238</v>
      </c>
      <c r="C50" s="78" t="s">
        <v>2238</v>
      </c>
      <c r="D50" s="78" t="s">
        <v>2237</v>
      </c>
      <c r="E50" s="78"/>
      <c r="F50" s="71" t="str">
        <f t="shared" si="0"/>
        <v>Alero</v>
      </c>
      <c r="G50" s="71" t="str">
        <f t="shared" si="1"/>
        <v>Nwoya</v>
      </c>
      <c r="H50" s="78" t="s">
        <v>2237</v>
      </c>
    </row>
    <row r="51" spans="1:8">
      <c r="A51" s="77">
        <v>98</v>
      </c>
      <c r="B51" s="78" t="s">
        <v>2001</v>
      </c>
      <c r="C51" s="78" t="s">
        <v>2002</v>
      </c>
      <c r="D51" s="78" t="s">
        <v>2000</v>
      </c>
      <c r="E51" s="78"/>
      <c r="F51" s="71" t="str">
        <f t="shared" si="0"/>
        <v>Aliba</v>
      </c>
      <c r="G51" s="71" t="str">
        <f t="shared" si="1"/>
        <v>Moyo</v>
      </c>
      <c r="H51" s="78" t="s">
        <v>2000</v>
      </c>
    </row>
    <row r="52" spans="1:8">
      <c r="A52" s="77">
        <v>258</v>
      </c>
      <c r="B52" s="78" t="s">
        <v>1629</v>
      </c>
      <c r="C52" s="78" t="s">
        <v>1629</v>
      </c>
      <c r="D52" s="78" t="s">
        <v>1631</v>
      </c>
      <c r="E52" s="78"/>
      <c r="F52" s="71" t="str">
        <f t="shared" si="0"/>
        <v>Alito</v>
      </c>
      <c r="G52" s="71" t="str">
        <f t="shared" si="1"/>
        <v>Kole</v>
      </c>
      <c r="H52" s="78" t="s">
        <v>1631</v>
      </c>
    </row>
    <row r="53" spans="1:8">
      <c r="A53" s="77">
        <v>247</v>
      </c>
      <c r="B53" s="78" t="s">
        <v>278</v>
      </c>
      <c r="C53" s="78" t="s">
        <v>279</v>
      </c>
      <c r="D53" s="78" t="s">
        <v>283</v>
      </c>
      <c r="E53" s="78"/>
      <c r="F53" s="71" t="str">
        <f t="shared" si="0"/>
        <v>Aloi</v>
      </c>
      <c r="G53" s="71" t="str">
        <f t="shared" si="1"/>
        <v>Alebtong</v>
      </c>
      <c r="H53" s="78" t="s">
        <v>283</v>
      </c>
    </row>
    <row r="54" spans="1:8">
      <c r="A54" s="77">
        <v>839</v>
      </c>
      <c r="B54" s="78" t="s">
        <v>825</v>
      </c>
      <c r="C54" s="78" t="s">
        <v>825</v>
      </c>
      <c r="D54" s="78" t="s">
        <v>824</v>
      </c>
      <c r="E54" s="78"/>
      <c r="F54" s="71" t="str">
        <f t="shared" si="0"/>
        <v>Alwa</v>
      </c>
      <c r="G54" s="71" t="str">
        <f t="shared" si="1"/>
        <v>Kaberamaido</v>
      </c>
      <c r="H54" s="78" t="s">
        <v>824</v>
      </c>
    </row>
    <row r="55" spans="1:8">
      <c r="A55" s="77">
        <v>312</v>
      </c>
      <c r="B55" s="78" t="s">
        <v>231</v>
      </c>
      <c r="C55" s="78" t="s">
        <v>2287</v>
      </c>
      <c r="D55" s="78" t="s">
        <v>2286</v>
      </c>
      <c r="E55" s="78"/>
      <c r="F55" s="71" t="str">
        <f t="shared" si="0"/>
        <v>Alwi</v>
      </c>
      <c r="G55" s="71" t="str">
        <f t="shared" si="1"/>
        <v>Pakwach</v>
      </c>
      <c r="H55" s="78" t="s">
        <v>2286</v>
      </c>
    </row>
    <row r="56" spans="1:8">
      <c r="A56" s="77">
        <v>82</v>
      </c>
      <c r="B56" s="78" t="s">
        <v>213</v>
      </c>
      <c r="C56" s="78" t="s">
        <v>1750</v>
      </c>
      <c r="D56" s="78" t="s">
        <v>1753</v>
      </c>
      <c r="E56" s="78"/>
      <c r="F56" s="71" t="str">
        <f t="shared" si="0"/>
        <v>Amach</v>
      </c>
      <c r="G56" s="71" t="str">
        <f t="shared" si="1"/>
        <v>Lira</v>
      </c>
      <c r="H56" s="78" t="s">
        <v>1753</v>
      </c>
    </row>
    <row r="57" spans="1:8">
      <c r="A57" s="77">
        <v>160</v>
      </c>
      <c r="B57" s="78" t="s">
        <v>289</v>
      </c>
      <c r="C57" s="78" t="s">
        <v>290</v>
      </c>
      <c r="D57" s="78" t="s">
        <v>293</v>
      </c>
      <c r="E57" s="78"/>
      <c r="F57" s="71" t="str">
        <f t="shared" si="0"/>
        <v>Amolatar Town Council</v>
      </c>
      <c r="G57" s="71" t="str">
        <f t="shared" si="1"/>
        <v>Amolatar</v>
      </c>
      <c r="H57" s="78" t="s">
        <v>293</v>
      </c>
    </row>
    <row r="58" spans="1:8">
      <c r="A58" s="77">
        <v>252</v>
      </c>
      <c r="B58" s="78" t="s">
        <v>301</v>
      </c>
      <c r="C58" s="78" t="s">
        <v>302</v>
      </c>
      <c r="D58" s="78" t="s">
        <v>301</v>
      </c>
      <c r="E58" s="78"/>
      <c r="F58" s="71" t="str">
        <f t="shared" si="0"/>
        <v>Amudat</v>
      </c>
      <c r="G58" s="71" t="str">
        <f t="shared" si="1"/>
        <v>Amudat</v>
      </c>
      <c r="H58" s="78" t="s">
        <v>301</v>
      </c>
    </row>
    <row r="59" spans="1:8">
      <c r="A59" s="77">
        <v>253</v>
      </c>
      <c r="B59" s="78" t="s">
        <v>301</v>
      </c>
      <c r="C59" s="78" t="s">
        <v>302</v>
      </c>
      <c r="D59" s="78" t="s">
        <v>303</v>
      </c>
      <c r="E59" s="78"/>
      <c r="F59" s="71" t="str">
        <f t="shared" si="0"/>
        <v>Amudat Town Council</v>
      </c>
      <c r="G59" s="71" t="str">
        <f t="shared" si="1"/>
        <v>Amudat</v>
      </c>
      <c r="H59" s="78" t="s">
        <v>303</v>
      </c>
    </row>
    <row r="60" spans="1:8">
      <c r="A60" s="77">
        <v>248</v>
      </c>
      <c r="B60" s="78" t="s">
        <v>278</v>
      </c>
      <c r="C60" s="78" t="s">
        <v>279</v>
      </c>
      <c r="D60" s="78" t="s">
        <v>284</v>
      </c>
      <c r="E60" s="78"/>
      <c r="F60" s="71" t="str">
        <f t="shared" si="0"/>
        <v>Amugu</v>
      </c>
      <c r="G60" s="71" t="str">
        <f t="shared" si="1"/>
        <v>Alebtong</v>
      </c>
      <c r="H60" s="78" t="s">
        <v>284</v>
      </c>
    </row>
    <row r="61" spans="1:8">
      <c r="A61" s="77">
        <v>739</v>
      </c>
      <c r="B61" s="78" t="s">
        <v>1438</v>
      </c>
      <c r="C61" s="78" t="s">
        <v>1439</v>
      </c>
      <c r="D61" s="78" t="s">
        <v>1437</v>
      </c>
      <c r="E61" s="78"/>
      <c r="F61" s="71" t="str">
        <f t="shared" si="0"/>
        <v>Amukol</v>
      </c>
      <c r="G61" s="71" t="str">
        <f t="shared" si="1"/>
        <v>Kapchorwa</v>
      </c>
      <c r="H61" s="78" t="s">
        <v>1437</v>
      </c>
    </row>
    <row r="62" spans="1:8">
      <c r="A62" s="77">
        <v>888</v>
      </c>
      <c r="B62" s="78" t="s">
        <v>307</v>
      </c>
      <c r="C62" s="78" t="s">
        <v>307</v>
      </c>
      <c r="D62" s="78" t="s">
        <v>312</v>
      </c>
      <c r="E62" s="78"/>
      <c r="F62" s="71" t="str">
        <f t="shared" si="0"/>
        <v>Amuria Town Council</v>
      </c>
      <c r="G62" s="71" t="str">
        <f t="shared" si="1"/>
        <v>Amuria</v>
      </c>
      <c r="H62" s="78" t="s">
        <v>312</v>
      </c>
    </row>
    <row r="63" spans="1:8">
      <c r="A63" s="77">
        <v>168</v>
      </c>
      <c r="B63" s="78" t="s">
        <v>171</v>
      </c>
      <c r="C63" s="78" t="s">
        <v>323</v>
      </c>
      <c r="D63" s="78" t="s">
        <v>171</v>
      </c>
      <c r="E63" s="78"/>
      <c r="F63" s="71" t="str">
        <f t="shared" si="0"/>
        <v>Amuru</v>
      </c>
      <c r="G63" s="71" t="str">
        <f t="shared" si="1"/>
        <v>Amuru</v>
      </c>
      <c r="H63" s="78" t="s">
        <v>171</v>
      </c>
    </row>
    <row r="64" spans="1:8">
      <c r="A64" s="77">
        <v>169</v>
      </c>
      <c r="B64" s="78" t="s">
        <v>171</v>
      </c>
      <c r="C64" s="78" t="s">
        <v>323</v>
      </c>
      <c r="D64" s="78" t="s">
        <v>324</v>
      </c>
      <c r="E64" s="78"/>
      <c r="F64" s="71" t="str">
        <f t="shared" si="0"/>
        <v>Amuru Town Council</v>
      </c>
      <c r="G64" s="71" t="str">
        <f t="shared" si="1"/>
        <v>Amuru</v>
      </c>
      <c r="H64" s="78" t="s">
        <v>324</v>
      </c>
    </row>
    <row r="65" spans="1:8">
      <c r="A65" s="77">
        <v>176</v>
      </c>
      <c r="B65" s="78" t="s">
        <v>623</v>
      </c>
      <c r="C65" s="78" t="s">
        <v>623</v>
      </c>
      <c r="D65" s="78" t="s">
        <v>626</v>
      </c>
      <c r="E65" s="78"/>
      <c r="F65" s="71" t="str">
        <f t="shared" si="0"/>
        <v>Amwoma</v>
      </c>
      <c r="G65" s="71" t="str">
        <f t="shared" si="1"/>
        <v>Dokolo</v>
      </c>
      <c r="H65" s="78" t="s">
        <v>626</v>
      </c>
    </row>
    <row r="66" spans="1:8">
      <c r="A66" s="77">
        <v>283</v>
      </c>
      <c r="B66" s="78" t="s">
        <v>2238</v>
      </c>
      <c r="C66" s="78" t="s">
        <v>2238</v>
      </c>
      <c r="D66" s="78" t="s">
        <v>2239</v>
      </c>
      <c r="E66" s="78"/>
      <c r="F66" s="71" t="str">
        <f t="shared" si="0"/>
        <v>Anaka Payira</v>
      </c>
      <c r="G66" s="71" t="str">
        <f t="shared" si="1"/>
        <v>Nwoya</v>
      </c>
      <c r="H66" s="78" t="s">
        <v>2239</v>
      </c>
    </row>
    <row r="67" spans="1:8">
      <c r="A67" s="77">
        <v>285</v>
      </c>
      <c r="B67" s="78" t="s">
        <v>2238</v>
      </c>
      <c r="C67" s="78" t="s">
        <v>2238</v>
      </c>
      <c r="D67" s="78" t="s">
        <v>2240</v>
      </c>
      <c r="E67" s="78"/>
      <c r="F67" s="71" t="str">
        <f t="shared" ref="F67:F117" si="2">D67</f>
        <v>Anaka Town Council</v>
      </c>
      <c r="G67" s="71" t="str">
        <f t="shared" ref="G67:G72" si="3">B67</f>
        <v>Nwoya</v>
      </c>
      <c r="H67" s="78" t="s">
        <v>2240</v>
      </c>
    </row>
    <row r="68" spans="1:8">
      <c r="A68" s="77">
        <v>127</v>
      </c>
      <c r="B68" s="78" t="s">
        <v>2274</v>
      </c>
      <c r="C68" s="78" t="s">
        <v>2275</v>
      </c>
      <c r="D68" s="78" t="s">
        <v>2276</v>
      </c>
      <c r="E68" s="78"/>
      <c r="F68" s="71" t="str">
        <f t="shared" si="2"/>
        <v>Angagura</v>
      </c>
      <c r="G68" s="71" t="str">
        <f t="shared" si="3"/>
        <v>Pader</v>
      </c>
      <c r="H68" s="78" t="s">
        <v>2276</v>
      </c>
    </row>
    <row r="69" spans="1:8">
      <c r="A69" s="77">
        <v>845</v>
      </c>
      <c r="B69" s="78" t="s">
        <v>825</v>
      </c>
      <c r="C69" s="78" t="s">
        <v>827</v>
      </c>
      <c r="D69" s="78" t="s">
        <v>826</v>
      </c>
      <c r="E69" s="78"/>
      <c r="F69" s="71" t="str">
        <f t="shared" si="2"/>
        <v>Anyara</v>
      </c>
      <c r="G69" s="71" t="str">
        <f t="shared" si="3"/>
        <v>Kaberamaido</v>
      </c>
      <c r="H69" s="78" t="s">
        <v>826</v>
      </c>
    </row>
    <row r="70" spans="1:8">
      <c r="A70" s="77">
        <v>31</v>
      </c>
      <c r="B70" s="78" t="s">
        <v>344</v>
      </c>
      <c r="C70" s="78" t="s">
        <v>351</v>
      </c>
      <c r="D70" s="78" t="s">
        <v>350</v>
      </c>
      <c r="E70" s="78"/>
      <c r="F70" s="71" t="str">
        <f t="shared" si="2"/>
        <v>Anyiribu</v>
      </c>
      <c r="G70" s="71" t="str">
        <f t="shared" si="3"/>
        <v>Arua</v>
      </c>
      <c r="H70" s="78" t="s">
        <v>350</v>
      </c>
    </row>
    <row r="71" spans="1:8">
      <c r="A71" s="77">
        <v>20</v>
      </c>
      <c r="B71" s="80" t="s">
        <v>330</v>
      </c>
      <c r="C71" s="81" t="s">
        <v>337</v>
      </c>
      <c r="D71" s="80" t="s">
        <v>330</v>
      </c>
      <c r="E71" s="80"/>
      <c r="F71" s="72" t="str">
        <f>VLOOKUP(C71,[2]Municipalities!$C$9:$F$1522,4,FALSE)</f>
        <v>Apac Muicipality</v>
      </c>
      <c r="G71" s="71" t="str">
        <f t="shared" si="3"/>
        <v>Apac</v>
      </c>
      <c r="H71" s="80" t="s">
        <v>330</v>
      </c>
    </row>
    <row r="72" spans="1:8">
      <c r="A72" s="77">
        <v>21</v>
      </c>
      <c r="B72" s="80" t="s">
        <v>330</v>
      </c>
      <c r="C72" s="81" t="s">
        <v>337</v>
      </c>
      <c r="D72" s="80" t="s">
        <v>2774</v>
      </c>
      <c r="E72" s="80"/>
      <c r="F72" s="72" t="str">
        <f>VLOOKUP(C72,[2]Municipalities!$C$9:$F$1522,4,FALSE)</f>
        <v>Apac Muicipality</v>
      </c>
      <c r="G72" s="71" t="str">
        <f t="shared" si="3"/>
        <v>Apac</v>
      </c>
      <c r="H72" s="80" t="s">
        <v>2774</v>
      </c>
    </row>
    <row r="73" spans="1:8">
      <c r="A73" s="77">
        <v>249</v>
      </c>
      <c r="B73" s="78" t="s">
        <v>278</v>
      </c>
      <c r="C73" s="78" t="s">
        <v>279</v>
      </c>
      <c r="D73" s="78" t="s">
        <v>285</v>
      </c>
      <c r="E73" s="78"/>
      <c r="F73" s="71" t="str">
        <f t="shared" si="2"/>
        <v>Apala</v>
      </c>
      <c r="G73" s="71" t="str">
        <f>B73</f>
        <v>Alebtong</v>
      </c>
      <c r="H73" s="78" t="s">
        <v>285</v>
      </c>
    </row>
    <row r="74" spans="1:8">
      <c r="A74" s="77">
        <v>846</v>
      </c>
      <c r="B74" s="78" t="s">
        <v>825</v>
      </c>
      <c r="C74" s="78" t="s">
        <v>827</v>
      </c>
      <c r="D74" s="78" t="s">
        <v>828</v>
      </c>
      <c r="E74" s="78"/>
      <c r="F74" s="71" t="str">
        <f t="shared" si="2"/>
        <v>Apapai</v>
      </c>
      <c r="G74" s="71" t="str">
        <f t="shared" ref="G74:G137" si="4">B74</f>
        <v>Kaberamaido</v>
      </c>
      <c r="H74" s="78" t="s">
        <v>828</v>
      </c>
    </row>
    <row r="75" spans="1:8">
      <c r="A75" s="77">
        <v>889</v>
      </c>
      <c r="B75" s="78" t="s">
        <v>307</v>
      </c>
      <c r="C75" s="78" t="s">
        <v>307</v>
      </c>
      <c r="D75" s="78" t="s">
        <v>313</v>
      </c>
      <c r="E75" s="78"/>
      <c r="F75" s="71" t="str">
        <f t="shared" si="2"/>
        <v>Apeduru</v>
      </c>
      <c r="G75" s="71" t="str">
        <f t="shared" si="4"/>
        <v>Amuria</v>
      </c>
      <c r="H75" s="78" t="s">
        <v>313</v>
      </c>
    </row>
    <row r="76" spans="1:8">
      <c r="A76" s="77">
        <v>840</v>
      </c>
      <c r="B76" s="78" t="s">
        <v>825</v>
      </c>
      <c r="C76" s="78" t="s">
        <v>825</v>
      </c>
      <c r="D76" s="78" t="s">
        <v>829</v>
      </c>
      <c r="E76" s="78"/>
      <c r="F76" s="71" t="str">
        <f t="shared" si="2"/>
        <v>Aperkira</v>
      </c>
      <c r="G76" s="71" t="str">
        <f t="shared" si="4"/>
        <v>Kaberamaido</v>
      </c>
      <c r="H76" s="78" t="s">
        <v>829</v>
      </c>
    </row>
    <row r="77" spans="1:8">
      <c r="A77" s="77">
        <v>138</v>
      </c>
      <c r="B77" s="78" t="s">
        <v>2711</v>
      </c>
      <c r="C77" s="78" t="s">
        <v>2712</v>
      </c>
      <c r="D77" s="78" t="s">
        <v>2710</v>
      </c>
      <c r="E77" s="78"/>
      <c r="F77" s="71" t="str">
        <f t="shared" si="2"/>
        <v>Apo</v>
      </c>
      <c r="G77" s="71" t="str">
        <f t="shared" si="4"/>
        <v>Yumbe</v>
      </c>
      <c r="H77" s="78" t="s">
        <v>2710</v>
      </c>
    </row>
    <row r="78" spans="1:8">
      <c r="A78" s="77">
        <v>804</v>
      </c>
      <c r="B78" s="78" t="s">
        <v>2294</v>
      </c>
      <c r="C78" s="78" t="s">
        <v>2293</v>
      </c>
      <c r="D78" s="78" t="s">
        <v>2296</v>
      </c>
      <c r="E78" s="78"/>
      <c r="F78" s="71" t="str">
        <f t="shared" si="2"/>
        <v>Apopong</v>
      </c>
      <c r="G78" s="71" t="str">
        <f t="shared" si="4"/>
        <v>Pallisa</v>
      </c>
      <c r="H78" s="78" t="s">
        <v>2296</v>
      </c>
    </row>
    <row r="79" spans="1:8">
      <c r="A79" s="77">
        <v>161</v>
      </c>
      <c r="B79" s="78" t="s">
        <v>289</v>
      </c>
      <c r="C79" s="78" t="s">
        <v>290</v>
      </c>
      <c r="D79" s="78" t="s">
        <v>294</v>
      </c>
      <c r="E79" s="78"/>
      <c r="F79" s="71" t="str">
        <f t="shared" si="2"/>
        <v>Aputi</v>
      </c>
      <c r="G79" s="71" t="str">
        <f t="shared" si="4"/>
        <v>Amolatar</v>
      </c>
      <c r="H79" s="78" t="s">
        <v>294</v>
      </c>
    </row>
    <row r="80" spans="1:8">
      <c r="A80" s="77">
        <v>813</v>
      </c>
      <c r="B80" s="78" t="s">
        <v>2433</v>
      </c>
      <c r="C80" s="78" t="s">
        <v>2433</v>
      </c>
      <c r="D80" s="78" t="s">
        <v>2432</v>
      </c>
      <c r="E80" s="78"/>
      <c r="F80" s="71" t="str">
        <f t="shared" si="2"/>
        <v>Arapai</v>
      </c>
      <c r="G80" s="71" t="str">
        <f t="shared" si="4"/>
        <v>Soroti</v>
      </c>
      <c r="H80" s="78" t="s">
        <v>2432</v>
      </c>
    </row>
    <row r="81" spans="1:8">
      <c r="A81" s="77">
        <v>3</v>
      </c>
      <c r="B81" s="78" t="s">
        <v>249</v>
      </c>
      <c r="C81" s="78" t="s">
        <v>250</v>
      </c>
      <c r="D81" s="78" t="s">
        <v>252</v>
      </c>
      <c r="E81" s="78"/>
      <c r="F81" s="71" t="str">
        <f t="shared" si="2"/>
        <v>Arinyapi</v>
      </c>
      <c r="G81" s="71" t="str">
        <f t="shared" si="4"/>
        <v>Adjumani</v>
      </c>
      <c r="H81" s="78" t="s">
        <v>252</v>
      </c>
    </row>
    <row r="82" spans="1:8">
      <c r="A82" s="77">
        <v>47</v>
      </c>
      <c r="B82" s="78" t="s">
        <v>344</v>
      </c>
      <c r="C82" s="78" t="s">
        <v>349</v>
      </c>
      <c r="D82" s="78" t="s">
        <v>352</v>
      </c>
      <c r="E82" s="78"/>
      <c r="F82" s="71" t="str">
        <f t="shared" si="2"/>
        <v>Arivu</v>
      </c>
      <c r="G82" s="71" t="str">
        <f t="shared" si="4"/>
        <v>Arua</v>
      </c>
      <c r="H82" s="78" t="s">
        <v>352</v>
      </c>
    </row>
    <row r="83" spans="1:8">
      <c r="A83" s="77">
        <v>139</v>
      </c>
      <c r="B83" s="78" t="s">
        <v>2711</v>
      </c>
      <c r="C83" s="78" t="s">
        <v>2712</v>
      </c>
      <c r="D83" s="78" t="s">
        <v>2713</v>
      </c>
      <c r="E83" s="78"/>
      <c r="F83" s="71" t="str">
        <f t="shared" si="2"/>
        <v>Ariwa</v>
      </c>
      <c r="G83" s="71" t="str">
        <f t="shared" si="4"/>
        <v>Yumbe</v>
      </c>
      <c r="H83" s="78" t="s">
        <v>2713</v>
      </c>
    </row>
    <row r="84" spans="1:8">
      <c r="A84" s="77">
        <v>25</v>
      </c>
      <c r="B84" s="78" t="s">
        <v>344</v>
      </c>
      <c r="C84" s="78" t="s">
        <v>345</v>
      </c>
      <c r="D84" s="78" t="s">
        <v>353</v>
      </c>
      <c r="E84" s="78"/>
      <c r="F84" s="71" t="str">
        <f t="shared" si="2"/>
        <v>Aroi</v>
      </c>
      <c r="G84" s="71" t="str">
        <f t="shared" si="4"/>
        <v>Arua</v>
      </c>
      <c r="H84" s="78" t="s">
        <v>353</v>
      </c>
    </row>
    <row r="85" spans="1:8">
      <c r="A85" s="77">
        <v>83</v>
      </c>
      <c r="B85" s="78" t="s">
        <v>213</v>
      </c>
      <c r="C85" s="78" t="s">
        <v>1750</v>
      </c>
      <c r="D85" s="78" t="s">
        <v>1754</v>
      </c>
      <c r="E85" s="78"/>
      <c r="F85" s="71" t="str">
        <f t="shared" si="2"/>
        <v>Aromo</v>
      </c>
      <c r="G85" s="71" t="str">
        <f t="shared" si="4"/>
        <v>Lira</v>
      </c>
      <c r="H85" s="78" t="s">
        <v>1754</v>
      </c>
    </row>
    <row r="86" spans="1:8">
      <c r="A86" s="77">
        <v>22</v>
      </c>
      <c r="B86" s="80" t="s">
        <v>344</v>
      </c>
      <c r="C86" s="81" t="s">
        <v>354</v>
      </c>
      <c r="D86" s="80" t="s">
        <v>2775</v>
      </c>
      <c r="E86" s="80"/>
      <c r="F86" s="72" t="str">
        <f>VLOOKUP(C86,[2]Municipalities!$C$9:$F$1522,4,FALSE)</f>
        <v>Arua Municipality</v>
      </c>
      <c r="G86" s="71" t="str">
        <f t="shared" si="4"/>
        <v>Arua</v>
      </c>
      <c r="H86" s="80" t="s">
        <v>2775</v>
      </c>
    </row>
    <row r="87" spans="1:8">
      <c r="A87" s="77">
        <v>229</v>
      </c>
      <c r="B87" s="78" t="s">
        <v>261</v>
      </c>
      <c r="C87" s="78" t="s">
        <v>261</v>
      </c>
      <c r="D87" s="78" t="s">
        <v>263</v>
      </c>
      <c r="E87" s="78"/>
      <c r="F87" s="71" t="str">
        <f t="shared" si="2"/>
        <v>Arum</v>
      </c>
      <c r="G87" s="71" t="str">
        <f t="shared" si="4"/>
        <v>Agago</v>
      </c>
      <c r="H87" s="78" t="s">
        <v>263</v>
      </c>
    </row>
    <row r="88" spans="1:8">
      <c r="A88" s="77">
        <v>162</v>
      </c>
      <c r="B88" s="78" t="s">
        <v>289</v>
      </c>
      <c r="C88" s="78" t="s">
        <v>290</v>
      </c>
      <c r="D88" s="78" t="s">
        <v>295</v>
      </c>
      <c r="E88" s="78"/>
      <c r="F88" s="71" t="str">
        <f t="shared" si="2"/>
        <v>Arwotcek</v>
      </c>
      <c r="G88" s="71" t="str">
        <f t="shared" si="4"/>
        <v>Amolatar</v>
      </c>
      <c r="H88" s="78" t="s">
        <v>295</v>
      </c>
    </row>
    <row r="89" spans="1:8">
      <c r="A89" s="77">
        <v>890</v>
      </c>
      <c r="B89" s="78" t="s">
        <v>307</v>
      </c>
      <c r="C89" s="78" t="s">
        <v>307</v>
      </c>
      <c r="D89" s="78" t="s">
        <v>314</v>
      </c>
      <c r="E89" s="78"/>
      <c r="F89" s="71" t="str">
        <f t="shared" si="2"/>
        <v>Asamuk</v>
      </c>
      <c r="G89" s="71" t="str">
        <f t="shared" si="4"/>
        <v>Amuria</v>
      </c>
      <c r="H89" s="78" t="s">
        <v>314</v>
      </c>
    </row>
    <row r="90" spans="1:8">
      <c r="A90" s="77">
        <v>810</v>
      </c>
      <c r="B90" s="78" t="s">
        <v>2433</v>
      </c>
      <c r="C90" s="78" t="s">
        <v>2433</v>
      </c>
      <c r="D90" s="78" t="s">
        <v>2434</v>
      </c>
      <c r="E90" s="78"/>
      <c r="F90" s="71" t="str">
        <f t="shared" si="2"/>
        <v>Asuret</v>
      </c>
      <c r="G90" s="71" t="str">
        <f t="shared" si="4"/>
        <v>Soroti</v>
      </c>
      <c r="H90" s="78" t="s">
        <v>2434</v>
      </c>
    </row>
    <row r="91" spans="1:8">
      <c r="A91" s="77">
        <v>128</v>
      </c>
      <c r="B91" s="78" t="s">
        <v>2274</v>
      </c>
      <c r="C91" s="78" t="s">
        <v>2275</v>
      </c>
      <c r="D91" s="78" t="s">
        <v>2277</v>
      </c>
      <c r="E91" s="78"/>
      <c r="F91" s="71" t="str">
        <f t="shared" si="2"/>
        <v>Atanga</v>
      </c>
      <c r="G91" s="71" t="str">
        <f t="shared" si="4"/>
        <v>Pader</v>
      </c>
      <c r="H91" s="78" t="s">
        <v>2277</v>
      </c>
    </row>
    <row r="92" spans="1:8">
      <c r="A92" s="77">
        <v>111</v>
      </c>
      <c r="B92" s="78" t="s">
        <v>2182</v>
      </c>
      <c r="C92" s="78" t="s">
        <v>2183</v>
      </c>
      <c r="D92" s="78" t="s">
        <v>2184</v>
      </c>
      <c r="E92" s="78"/>
      <c r="F92" s="71" t="str">
        <f t="shared" si="2"/>
        <v>Atego</v>
      </c>
      <c r="G92" s="71" t="str">
        <f t="shared" si="4"/>
        <v>Nebbi</v>
      </c>
      <c r="H92" s="78" t="s">
        <v>2184</v>
      </c>
    </row>
    <row r="93" spans="1:8">
      <c r="A93" s="77">
        <v>1073</v>
      </c>
      <c r="B93" s="78" t="s">
        <v>2377</v>
      </c>
      <c r="C93" s="78" t="s">
        <v>2377</v>
      </c>
      <c r="D93" s="78" t="s">
        <v>2376</v>
      </c>
      <c r="E93" s="78"/>
      <c r="F93" s="71" t="str">
        <f t="shared" si="2"/>
        <v>Atiira</v>
      </c>
      <c r="G93" s="71" t="str">
        <f t="shared" si="4"/>
        <v>Serere</v>
      </c>
      <c r="H93" s="78" t="s">
        <v>2376</v>
      </c>
    </row>
    <row r="94" spans="1:8">
      <c r="A94" s="77">
        <v>170</v>
      </c>
      <c r="B94" s="78" t="s">
        <v>171</v>
      </c>
      <c r="C94" s="78" t="s">
        <v>323</v>
      </c>
      <c r="D94" s="78" t="s">
        <v>326</v>
      </c>
      <c r="E94" s="78"/>
      <c r="F94" s="71" t="str">
        <f t="shared" si="2"/>
        <v>Attiak</v>
      </c>
      <c r="G94" s="71" t="str">
        <f t="shared" si="4"/>
        <v>Amuru</v>
      </c>
      <c r="H94" s="78" t="s">
        <v>326</v>
      </c>
    </row>
    <row r="95" spans="1:8">
      <c r="A95" s="77">
        <v>763</v>
      </c>
      <c r="B95" s="78" t="s">
        <v>1644</v>
      </c>
      <c r="C95" s="78" t="s">
        <v>1644</v>
      </c>
      <c r="D95" s="78" t="s">
        <v>1643</v>
      </c>
      <c r="E95" s="78"/>
      <c r="F95" s="71" t="str">
        <f t="shared" si="2"/>
        <v>Atutur</v>
      </c>
      <c r="G95" s="71" t="str">
        <f t="shared" si="4"/>
        <v>Kumi</v>
      </c>
      <c r="H95" s="78" t="s">
        <v>1643</v>
      </c>
    </row>
    <row r="96" spans="1:8">
      <c r="A96" s="77">
        <v>296</v>
      </c>
      <c r="B96" s="78" t="s">
        <v>2726</v>
      </c>
      <c r="C96" s="78" t="s">
        <v>2727</v>
      </c>
      <c r="D96" s="78" t="s">
        <v>2728</v>
      </c>
      <c r="E96" s="78"/>
      <c r="F96" s="71" t="str">
        <f t="shared" si="2"/>
        <v>Atyak</v>
      </c>
      <c r="G96" s="71" t="str">
        <f t="shared" si="4"/>
        <v>Zombo</v>
      </c>
      <c r="H96" s="78" t="s">
        <v>2728</v>
      </c>
    </row>
    <row r="97" spans="1:8">
      <c r="A97" s="77">
        <v>50</v>
      </c>
      <c r="B97" s="78" t="s">
        <v>172</v>
      </c>
      <c r="C97" s="78" t="s">
        <v>640</v>
      </c>
      <c r="D97" s="78" t="s">
        <v>639</v>
      </c>
      <c r="E97" s="78"/>
      <c r="F97" s="71" t="str">
        <f t="shared" si="2"/>
        <v>Awach</v>
      </c>
      <c r="G97" s="71" t="str">
        <f t="shared" si="4"/>
        <v>Gulu</v>
      </c>
      <c r="H97" s="78" t="s">
        <v>639</v>
      </c>
    </row>
    <row r="98" spans="1:8">
      <c r="A98" s="77">
        <v>250</v>
      </c>
      <c r="B98" s="78" t="s">
        <v>278</v>
      </c>
      <c r="C98" s="78" t="s">
        <v>279</v>
      </c>
      <c r="D98" s="78" t="s">
        <v>286</v>
      </c>
      <c r="E98" s="78"/>
      <c r="F98" s="71" t="str">
        <f t="shared" si="2"/>
        <v>Awei</v>
      </c>
      <c r="G98" s="71" t="str">
        <f t="shared" si="4"/>
        <v>Alebtong</v>
      </c>
      <c r="H98" s="78" t="s">
        <v>286</v>
      </c>
    </row>
    <row r="99" spans="1:8">
      <c r="A99" s="77">
        <v>163</v>
      </c>
      <c r="B99" s="78" t="s">
        <v>289</v>
      </c>
      <c r="C99" s="78" t="s">
        <v>290</v>
      </c>
      <c r="D99" s="78" t="s">
        <v>296</v>
      </c>
      <c r="E99" s="78"/>
      <c r="F99" s="71" t="str">
        <f t="shared" si="2"/>
        <v>Awelo</v>
      </c>
      <c r="G99" s="71" t="str">
        <f t="shared" si="4"/>
        <v>Amolatar</v>
      </c>
      <c r="H99" s="78" t="s">
        <v>296</v>
      </c>
    </row>
    <row r="100" spans="1:8">
      <c r="A100" s="77">
        <v>129</v>
      </c>
      <c r="B100" s="78" t="s">
        <v>2274</v>
      </c>
      <c r="C100" s="78" t="s">
        <v>2275</v>
      </c>
      <c r="D100" s="78" t="s">
        <v>2278</v>
      </c>
      <c r="E100" s="78"/>
      <c r="F100" s="71" t="str">
        <f t="shared" si="2"/>
        <v>Awere</v>
      </c>
      <c r="G100" s="71" t="str">
        <f t="shared" si="4"/>
        <v>Pader</v>
      </c>
      <c r="H100" s="78" t="s">
        <v>2278</v>
      </c>
    </row>
    <row r="101" spans="1:8">
      <c r="A101" s="77">
        <v>259</v>
      </c>
      <c r="B101" s="78" t="s">
        <v>1629</v>
      </c>
      <c r="C101" s="78" t="s">
        <v>1629</v>
      </c>
      <c r="D101" s="78" t="s">
        <v>1632</v>
      </c>
      <c r="E101" s="78"/>
      <c r="F101" s="71" t="str">
        <f t="shared" si="2"/>
        <v>Ayer</v>
      </c>
      <c r="G101" s="71" t="str">
        <f t="shared" si="4"/>
        <v>Kole</v>
      </c>
      <c r="H101" s="78" t="s">
        <v>1632</v>
      </c>
    </row>
    <row r="102" spans="1:8">
      <c r="A102" s="77">
        <v>26</v>
      </c>
      <c r="B102" s="78" t="s">
        <v>344</v>
      </c>
      <c r="C102" s="78" t="s">
        <v>345</v>
      </c>
      <c r="D102" s="78" t="s">
        <v>355</v>
      </c>
      <c r="E102" s="78"/>
      <c r="F102" s="71" t="str">
        <f t="shared" si="2"/>
        <v>Ayivuni</v>
      </c>
      <c r="G102" s="71" t="str">
        <f t="shared" si="4"/>
        <v>Arua</v>
      </c>
      <c r="H102" s="78" t="s">
        <v>355</v>
      </c>
    </row>
    <row r="103" spans="1:8">
      <c r="A103" s="77">
        <v>462</v>
      </c>
      <c r="B103" s="78" t="s">
        <v>2026</v>
      </c>
      <c r="C103" s="78" t="s">
        <v>2027</v>
      </c>
      <c r="D103" s="78" t="s">
        <v>2025</v>
      </c>
      <c r="E103" s="78"/>
      <c r="F103" s="71" t="str">
        <f t="shared" si="2"/>
        <v>Bagezza</v>
      </c>
      <c r="G103" s="71" t="str">
        <f t="shared" si="4"/>
        <v>Mubende</v>
      </c>
      <c r="H103" s="78" t="s">
        <v>2025</v>
      </c>
    </row>
    <row r="104" spans="1:8">
      <c r="A104" s="77">
        <v>851</v>
      </c>
      <c r="B104" s="78" t="s">
        <v>1869</v>
      </c>
      <c r="C104" s="78" t="s">
        <v>1870</v>
      </c>
      <c r="D104" s="78" t="s">
        <v>1868</v>
      </c>
      <c r="E104" s="78"/>
      <c r="F104" s="71" t="str">
        <f t="shared" si="2"/>
        <v>Baitambogwe</v>
      </c>
      <c r="G104" s="71" t="str">
        <f t="shared" si="4"/>
        <v>Mayuge</v>
      </c>
      <c r="H104" s="78" t="s">
        <v>1868</v>
      </c>
    </row>
    <row r="105" spans="1:8">
      <c r="A105" s="77">
        <v>260</v>
      </c>
      <c r="B105" s="78" t="s">
        <v>1629</v>
      </c>
      <c r="C105" s="78" t="s">
        <v>1629</v>
      </c>
      <c r="D105" s="78" t="s">
        <v>1633</v>
      </c>
      <c r="E105" s="78"/>
      <c r="F105" s="71" t="str">
        <f t="shared" si="2"/>
        <v>Bala</v>
      </c>
      <c r="G105" s="71" t="str">
        <f t="shared" si="4"/>
        <v>Kole</v>
      </c>
      <c r="H105" s="78" t="s">
        <v>1633</v>
      </c>
    </row>
    <row r="106" spans="1:8">
      <c r="A106" s="77">
        <v>725</v>
      </c>
      <c r="B106" s="78" t="s">
        <v>1376</v>
      </c>
      <c r="C106" s="78" t="s">
        <v>1377</v>
      </c>
      <c r="D106" s="78" t="s">
        <v>1375</v>
      </c>
      <c r="E106" s="78"/>
      <c r="F106" s="71" t="str">
        <f t="shared" si="2"/>
        <v>Balawoli</v>
      </c>
      <c r="G106" s="71" t="str">
        <f t="shared" si="4"/>
        <v>Kamuli</v>
      </c>
      <c r="H106" s="78" t="s">
        <v>1375</v>
      </c>
    </row>
    <row r="107" spans="1:8">
      <c r="A107" s="77">
        <v>429</v>
      </c>
      <c r="B107" s="78" t="s">
        <v>1768</v>
      </c>
      <c r="C107" s="78" t="s">
        <v>1767</v>
      </c>
      <c r="D107" s="78" t="s">
        <v>1767</v>
      </c>
      <c r="E107" s="78"/>
      <c r="F107" s="71" t="str">
        <f t="shared" si="2"/>
        <v>Bamunanika</v>
      </c>
      <c r="G107" s="71" t="str">
        <f t="shared" si="4"/>
        <v>Luwero</v>
      </c>
      <c r="H107" s="78" t="s">
        <v>1767</v>
      </c>
    </row>
    <row r="108" spans="1:8">
      <c r="A108" s="77">
        <v>638</v>
      </c>
      <c r="B108" s="78" t="s">
        <v>1664</v>
      </c>
      <c r="C108" s="78" t="s">
        <v>1525</v>
      </c>
      <c r="D108" s="78" t="s">
        <v>1663</v>
      </c>
      <c r="E108" s="78"/>
      <c r="F108" s="71" t="str">
        <f t="shared" si="2"/>
        <v>Bananywa</v>
      </c>
      <c r="G108" s="71" t="str">
        <f t="shared" si="4"/>
        <v>Kyankwanzi</v>
      </c>
      <c r="H108" s="78" t="s">
        <v>1663</v>
      </c>
    </row>
    <row r="109" spans="1:8">
      <c r="A109" s="77">
        <v>1054</v>
      </c>
      <c r="B109" s="78" t="s">
        <v>2133</v>
      </c>
      <c r="C109" s="78" t="s">
        <v>2134</v>
      </c>
      <c r="D109" s="78" t="s">
        <v>898</v>
      </c>
      <c r="E109" s="78"/>
      <c r="F109" s="71" t="str">
        <f t="shared" si="2"/>
        <v>Banda</v>
      </c>
      <c r="G109" s="71" t="str">
        <f t="shared" si="4"/>
        <v>Namayingo</v>
      </c>
      <c r="H109" s="78" t="s">
        <v>898</v>
      </c>
    </row>
    <row r="110" spans="1:8">
      <c r="A110" s="77">
        <v>54</v>
      </c>
      <c r="B110" s="78" t="s">
        <v>172</v>
      </c>
      <c r="C110" s="79" t="s">
        <v>642</v>
      </c>
      <c r="D110" s="78" t="s">
        <v>2776</v>
      </c>
      <c r="E110" s="78"/>
      <c r="F110" s="72" t="str">
        <f>VLOOKUP(C110,[2]Municipalities!$C$9:$F$1522,4,FALSE)</f>
        <v>Gulu Municipality</v>
      </c>
      <c r="G110" s="71" t="str">
        <f t="shared" si="4"/>
        <v>Gulu</v>
      </c>
      <c r="H110" s="78" t="s">
        <v>2776</v>
      </c>
    </row>
    <row r="111" spans="1:8">
      <c r="A111" s="77">
        <v>84</v>
      </c>
      <c r="B111" s="78" t="s">
        <v>213</v>
      </c>
      <c r="C111" s="78" t="s">
        <v>1750</v>
      </c>
      <c r="D111" s="78" t="s">
        <v>1755</v>
      </c>
      <c r="E111" s="78"/>
      <c r="F111" s="71" t="str">
        <f t="shared" si="2"/>
        <v>Barr</v>
      </c>
      <c r="G111" s="71" t="str">
        <f t="shared" si="4"/>
        <v>Lira</v>
      </c>
      <c r="H111" s="78" t="s">
        <v>1755</v>
      </c>
    </row>
    <row r="112" spans="1:8">
      <c r="A112" s="77">
        <v>177</v>
      </c>
      <c r="B112" s="78" t="s">
        <v>623</v>
      </c>
      <c r="C112" s="78" t="s">
        <v>623</v>
      </c>
      <c r="D112" s="78" t="s">
        <v>627</v>
      </c>
      <c r="E112" s="78"/>
      <c r="F112" s="71" t="str">
        <f t="shared" si="2"/>
        <v>Batta</v>
      </c>
      <c r="G112" s="71" t="str">
        <f t="shared" si="4"/>
        <v>Dokolo</v>
      </c>
      <c r="H112" s="78" t="s">
        <v>627</v>
      </c>
    </row>
    <row r="113" spans="1:8">
      <c r="A113" s="77">
        <v>523</v>
      </c>
      <c r="B113" s="78" t="s">
        <v>217</v>
      </c>
      <c r="C113" s="78" t="s">
        <v>1497</v>
      </c>
      <c r="D113" s="78" t="s">
        <v>1497</v>
      </c>
      <c r="E113" s="78"/>
      <c r="F113" s="71" t="str">
        <f t="shared" si="2"/>
        <v>Bbaale</v>
      </c>
      <c r="G113" s="71" t="str">
        <f t="shared" si="4"/>
        <v>Kayunga</v>
      </c>
      <c r="H113" s="78" t="s">
        <v>1497</v>
      </c>
    </row>
    <row r="114" spans="1:8">
      <c r="A114" s="77">
        <v>565</v>
      </c>
      <c r="B114" s="78" t="s">
        <v>1968</v>
      </c>
      <c r="C114" s="78" t="s">
        <v>1969</v>
      </c>
      <c r="D114" s="78" t="s">
        <v>1967</v>
      </c>
      <c r="E114" s="78"/>
      <c r="F114" s="71" t="str">
        <f t="shared" si="2"/>
        <v>Bbanda</v>
      </c>
      <c r="G114" s="71" t="str">
        <f t="shared" si="4"/>
        <v>Mityana</v>
      </c>
      <c r="H114" s="78" t="s">
        <v>1967</v>
      </c>
    </row>
    <row r="115" spans="1:8">
      <c r="A115" s="77">
        <v>1034</v>
      </c>
      <c r="B115" s="78" t="s">
        <v>1651</v>
      </c>
      <c r="C115" s="78" t="s">
        <v>1651</v>
      </c>
      <c r="D115" s="78" t="s">
        <v>1650</v>
      </c>
      <c r="E115" s="78"/>
      <c r="F115" s="71" t="str">
        <f t="shared" si="2"/>
        <v>Benet</v>
      </c>
      <c r="G115" s="71" t="str">
        <f t="shared" si="4"/>
        <v>Kween</v>
      </c>
      <c r="H115" s="78" t="s">
        <v>1650</v>
      </c>
    </row>
    <row r="116" spans="1:8">
      <c r="A116" s="77">
        <v>606</v>
      </c>
      <c r="B116" s="78" t="s">
        <v>453</v>
      </c>
      <c r="C116" s="78" t="s">
        <v>453</v>
      </c>
      <c r="D116" s="78" t="s">
        <v>452</v>
      </c>
      <c r="E116" s="78"/>
      <c r="F116" s="71" t="str">
        <f t="shared" si="2"/>
        <v>Bigasa</v>
      </c>
      <c r="G116" s="71" t="str">
        <f t="shared" si="4"/>
        <v>Bukomansimbi</v>
      </c>
      <c r="H116" s="78" t="s">
        <v>452</v>
      </c>
    </row>
    <row r="117" spans="1:8">
      <c r="A117" s="77">
        <v>1297</v>
      </c>
      <c r="B117" s="78" t="s">
        <v>50</v>
      </c>
      <c r="C117" s="78" t="s">
        <v>598</v>
      </c>
      <c r="D117" s="78" t="s">
        <v>1391</v>
      </c>
      <c r="E117" s="78"/>
      <c r="F117" s="71" t="str">
        <f t="shared" si="2"/>
        <v>Biguli</v>
      </c>
      <c r="G117" s="71" t="str">
        <f t="shared" si="4"/>
        <v>Kamwenge</v>
      </c>
      <c r="H117" s="78" t="s">
        <v>1391</v>
      </c>
    </row>
    <row r="118" spans="1:8">
      <c r="A118" s="77">
        <v>1304</v>
      </c>
      <c r="B118" s="78" t="s">
        <v>50</v>
      </c>
      <c r="C118" s="78" t="s">
        <v>598</v>
      </c>
      <c r="D118" s="82" t="s">
        <v>2777</v>
      </c>
      <c r="E118" s="78"/>
      <c r="F118" s="71" t="str">
        <f>D118&amp;"-"&amp;B118</f>
        <v>Bihanga-Kamwenge</v>
      </c>
      <c r="G118" s="71" t="str">
        <f t="shared" si="4"/>
        <v>Kamwenge</v>
      </c>
      <c r="H118" s="82" t="s">
        <v>2777</v>
      </c>
    </row>
    <row r="119" spans="1:8">
      <c r="A119" s="77">
        <v>1405</v>
      </c>
      <c r="B119" s="78" t="s">
        <v>418</v>
      </c>
      <c r="C119" s="78" t="s">
        <v>418</v>
      </c>
      <c r="D119" s="82" t="s">
        <v>2777</v>
      </c>
      <c r="E119" s="78"/>
      <c r="F119" s="71" t="str">
        <f>D119&amp;"-"&amp;B119</f>
        <v>Bihanga-Buhweju</v>
      </c>
      <c r="G119" s="71" t="str">
        <f t="shared" si="4"/>
        <v>Buhweju</v>
      </c>
      <c r="H119" s="82" t="s">
        <v>2777</v>
      </c>
    </row>
    <row r="120" spans="1:8" ht="25.5">
      <c r="A120" s="77">
        <v>1254</v>
      </c>
      <c r="B120" s="78" t="s">
        <v>230</v>
      </c>
      <c r="C120" s="79" t="s">
        <v>1921</v>
      </c>
      <c r="D120" s="78" t="s">
        <v>2778</v>
      </c>
      <c r="E120" s="78"/>
      <c r="F120" s="72" t="str">
        <f>VLOOKUP(C120,[2]Municipalities!$C$9:$F$1522,4,FALSE)</f>
        <v>Mbarara Municipality</v>
      </c>
      <c r="G120" s="71" t="str">
        <f t="shared" si="4"/>
        <v>Mbarara</v>
      </c>
      <c r="H120" s="78" t="s">
        <v>2778</v>
      </c>
    </row>
    <row r="121" spans="1:8">
      <c r="A121" s="77">
        <v>1346</v>
      </c>
      <c r="B121" s="78" t="s">
        <v>492</v>
      </c>
      <c r="C121" s="78" t="s">
        <v>492</v>
      </c>
      <c r="D121" s="78" t="s">
        <v>491</v>
      </c>
      <c r="E121" s="78"/>
      <c r="F121" s="71" t="str">
        <f t="shared" ref="F121:F132" si="5">D121</f>
        <v>Biiso</v>
      </c>
      <c r="G121" s="71" t="str">
        <f t="shared" si="4"/>
        <v>Buliisa</v>
      </c>
      <c r="H121" s="78" t="s">
        <v>491</v>
      </c>
    </row>
    <row r="122" spans="1:8">
      <c r="A122" s="77">
        <v>41</v>
      </c>
      <c r="B122" s="78" t="s">
        <v>344</v>
      </c>
      <c r="C122" s="78" t="s">
        <v>347</v>
      </c>
      <c r="D122" s="78" t="s">
        <v>356</v>
      </c>
      <c r="E122" s="78"/>
      <c r="F122" s="71" t="str">
        <f t="shared" si="5"/>
        <v>Bileafe</v>
      </c>
      <c r="G122" s="71" t="str">
        <f t="shared" si="4"/>
        <v>Arua</v>
      </c>
      <c r="H122" s="78" t="s">
        <v>356</v>
      </c>
    </row>
    <row r="123" spans="1:8">
      <c r="A123" s="77">
        <v>1035</v>
      </c>
      <c r="B123" s="78" t="s">
        <v>1651</v>
      </c>
      <c r="C123" s="78" t="s">
        <v>1651</v>
      </c>
      <c r="D123" s="78" t="s">
        <v>1652</v>
      </c>
      <c r="E123" s="78"/>
      <c r="F123" s="71" t="str">
        <f t="shared" si="5"/>
        <v>Binyiny</v>
      </c>
      <c r="G123" s="71" t="str">
        <f t="shared" si="4"/>
        <v>Kween</v>
      </c>
      <c r="H123" s="78" t="s">
        <v>1652</v>
      </c>
    </row>
    <row r="124" spans="1:8">
      <c r="A124" s="77">
        <v>1036</v>
      </c>
      <c r="B124" s="78" t="s">
        <v>1651</v>
      </c>
      <c r="C124" s="78" t="s">
        <v>1651</v>
      </c>
      <c r="D124" s="78" t="s">
        <v>1653</v>
      </c>
      <c r="E124" s="78"/>
      <c r="F124" s="71" t="str">
        <f t="shared" si="5"/>
        <v>Binyiny Town Council</v>
      </c>
      <c r="G124" s="71" t="str">
        <f t="shared" si="4"/>
        <v>Kween</v>
      </c>
      <c r="H124" s="78" t="s">
        <v>1653</v>
      </c>
    </row>
    <row r="125" spans="1:8">
      <c r="A125" s="77">
        <v>1495</v>
      </c>
      <c r="B125" s="78" t="s">
        <v>856</v>
      </c>
      <c r="C125" s="78" t="s">
        <v>857</v>
      </c>
      <c r="D125" s="78" t="s">
        <v>855</v>
      </c>
      <c r="E125" s="78"/>
      <c r="F125" s="71" t="str">
        <f t="shared" si="5"/>
        <v>Birembo</v>
      </c>
      <c r="G125" s="71" t="str">
        <f t="shared" si="4"/>
        <v>Kakumiro</v>
      </c>
      <c r="H125" s="78" t="s">
        <v>855</v>
      </c>
    </row>
    <row r="126" spans="1:8">
      <c r="A126" s="77">
        <v>1375</v>
      </c>
      <c r="B126" s="78" t="s">
        <v>53</v>
      </c>
      <c r="C126" s="78" t="s">
        <v>53</v>
      </c>
      <c r="D126" s="78" t="s">
        <v>707</v>
      </c>
      <c r="E126" s="78"/>
      <c r="F126" s="71" t="str">
        <f t="shared" si="5"/>
        <v>Birere</v>
      </c>
      <c r="G126" s="71" t="str">
        <f t="shared" si="4"/>
        <v>Isingiro</v>
      </c>
      <c r="H126" s="78" t="s">
        <v>707</v>
      </c>
    </row>
    <row r="127" spans="1:8" ht="25.5">
      <c r="A127" s="77">
        <v>1363</v>
      </c>
      <c r="B127" s="78" t="s">
        <v>44</v>
      </c>
      <c r="C127" s="79" t="s">
        <v>666</v>
      </c>
      <c r="D127" s="78" t="s">
        <v>2779</v>
      </c>
      <c r="E127" s="78"/>
      <c r="F127" s="72" t="str">
        <f>VLOOKUP(C127,[2]Municipalities!$C$9:$F$1522,4,FALSE)</f>
        <v>Ibanda Municipality</v>
      </c>
      <c r="G127" s="71" t="str">
        <f t="shared" si="4"/>
        <v>Ibanda</v>
      </c>
      <c r="H127" s="78" t="s">
        <v>2779</v>
      </c>
    </row>
    <row r="128" spans="1:8">
      <c r="A128" s="77">
        <v>1430</v>
      </c>
      <c r="B128" s="78" t="s">
        <v>51</v>
      </c>
      <c r="C128" s="78" t="s">
        <v>1956</v>
      </c>
      <c r="D128" s="78" t="s">
        <v>1955</v>
      </c>
      <c r="E128" s="78"/>
      <c r="F128" s="71" t="str">
        <f t="shared" si="5"/>
        <v>Bitereko</v>
      </c>
      <c r="G128" s="71" t="str">
        <f t="shared" si="4"/>
        <v>Mitooma</v>
      </c>
      <c r="H128" s="78" t="s">
        <v>1955</v>
      </c>
    </row>
    <row r="129" spans="1:8">
      <c r="A129" s="77">
        <v>1125</v>
      </c>
      <c r="B129" s="78" t="s">
        <v>39</v>
      </c>
      <c r="C129" s="78" t="s">
        <v>535</v>
      </c>
      <c r="D129" s="78" t="s">
        <v>534</v>
      </c>
      <c r="E129" s="78"/>
      <c r="F129" s="71" t="str">
        <f t="shared" si="5"/>
        <v>Bitooma</v>
      </c>
      <c r="G129" s="71" t="str">
        <f t="shared" si="4"/>
        <v>Bushenyi</v>
      </c>
      <c r="H129" s="78" t="s">
        <v>534</v>
      </c>
    </row>
    <row r="130" spans="1:8">
      <c r="A130" s="77">
        <v>1406</v>
      </c>
      <c r="B130" s="78" t="s">
        <v>418</v>
      </c>
      <c r="C130" s="78" t="s">
        <v>418</v>
      </c>
      <c r="D130" s="78" t="s">
        <v>420</v>
      </c>
      <c r="E130" s="78"/>
      <c r="F130" s="71" t="str">
        <f t="shared" si="5"/>
        <v>Bitsya</v>
      </c>
      <c r="G130" s="71" t="str">
        <f t="shared" si="4"/>
        <v>Buhweju</v>
      </c>
      <c r="H130" s="78" t="s">
        <v>420</v>
      </c>
    </row>
    <row r="131" spans="1:8">
      <c r="A131" s="77">
        <v>305</v>
      </c>
      <c r="B131" s="78" t="s">
        <v>287</v>
      </c>
      <c r="C131" s="78" t="s">
        <v>287</v>
      </c>
      <c r="D131" s="78" t="s">
        <v>2243</v>
      </c>
      <c r="E131" s="78"/>
      <c r="F131" s="71" t="str">
        <f t="shared" si="5"/>
        <v>Bobi</v>
      </c>
      <c r="G131" s="71" t="str">
        <f t="shared" si="4"/>
        <v>Omoro</v>
      </c>
      <c r="H131" s="78" t="s">
        <v>2243</v>
      </c>
    </row>
    <row r="132" spans="1:8">
      <c r="A132" s="77">
        <v>434</v>
      </c>
      <c r="B132" s="78" t="s">
        <v>1768</v>
      </c>
      <c r="C132" s="78" t="s">
        <v>1770</v>
      </c>
      <c r="D132" s="78" t="s">
        <v>1769</v>
      </c>
      <c r="E132" s="78"/>
      <c r="F132" s="71" t="str">
        <f t="shared" si="5"/>
        <v>Bombo Town Council</v>
      </c>
      <c r="G132" s="71" t="str">
        <f t="shared" si="4"/>
        <v>Luwero</v>
      </c>
      <c r="H132" s="78" t="s">
        <v>1769</v>
      </c>
    </row>
    <row r="133" spans="1:8">
      <c r="A133" s="77">
        <v>1244</v>
      </c>
      <c r="B133" s="78" t="s">
        <v>230</v>
      </c>
      <c r="C133" s="78" t="s">
        <v>1911</v>
      </c>
      <c r="D133" s="82" t="s">
        <v>2780</v>
      </c>
      <c r="E133" s="78"/>
      <c r="F133" s="71" t="str">
        <f t="shared" ref="F133:F134" si="6">D133&amp;"-"&amp;B133</f>
        <v>Bubaare-Mbarara</v>
      </c>
      <c r="G133" s="71" t="str">
        <f t="shared" si="4"/>
        <v>Mbarara</v>
      </c>
      <c r="H133" s="82" t="s">
        <v>2780</v>
      </c>
    </row>
    <row r="134" spans="1:8">
      <c r="A134" s="77">
        <v>1506</v>
      </c>
      <c r="B134" s="78" t="s">
        <v>793</v>
      </c>
      <c r="C134" s="78" t="s">
        <v>793</v>
      </c>
      <c r="D134" s="82" t="s">
        <v>2780</v>
      </c>
      <c r="E134" s="78"/>
      <c r="F134" s="71" t="str">
        <f t="shared" si="6"/>
        <v>Bubaare-Rubanda</v>
      </c>
      <c r="G134" s="71" t="str">
        <f t="shared" si="4"/>
        <v>Rubanda</v>
      </c>
      <c r="H134" s="82" t="s">
        <v>2780</v>
      </c>
    </row>
    <row r="135" spans="1:8">
      <c r="A135" s="77">
        <v>1112</v>
      </c>
      <c r="B135" s="78" t="s">
        <v>499</v>
      </c>
      <c r="C135" s="78" t="s">
        <v>500</v>
      </c>
      <c r="D135" s="78" t="s">
        <v>498</v>
      </c>
      <c r="E135" s="78"/>
      <c r="F135" s="71" t="str">
        <f t="shared" ref="F135:F162" si="7">D135</f>
        <v>Bubandi</v>
      </c>
      <c r="G135" s="71" t="str">
        <f t="shared" si="4"/>
        <v>Bundibugyo</v>
      </c>
      <c r="H135" s="78" t="s">
        <v>498</v>
      </c>
    </row>
    <row r="136" spans="1:8">
      <c r="A136" s="77">
        <v>1208</v>
      </c>
      <c r="B136" s="78" t="s">
        <v>1513</v>
      </c>
      <c r="C136" s="78" t="s">
        <v>1514</v>
      </c>
      <c r="D136" s="78" t="s">
        <v>1512</v>
      </c>
      <c r="E136" s="78"/>
      <c r="F136" s="71" t="str">
        <f t="shared" si="7"/>
        <v>Bubango</v>
      </c>
      <c r="G136" s="71" t="str">
        <f t="shared" si="4"/>
        <v>Kibaale</v>
      </c>
      <c r="H136" s="78" t="s">
        <v>1512</v>
      </c>
    </row>
    <row r="137" spans="1:8">
      <c r="A137" s="77">
        <v>321</v>
      </c>
      <c r="B137" s="78" t="s">
        <v>870</v>
      </c>
      <c r="C137" s="78" t="s">
        <v>871</v>
      </c>
      <c r="D137" s="78" t="s">
        <v>869</v>
      </c>
      <c r="E137" s="78"/>
      <c r="F137" s="71" t="str">
        <f t="shared" si="7"/>
        <v>Bubeke</v>
      </c>
      <c r="G137" s="71" t="str">
        <f t="shared" si="4"/>
        <v>Kalangala</v>
      </c>
      <c r="H137" s="78" t="s">
        <v>869</v>
      </c>
    </row>
    <row r="138" spans="1:8">
      <c r="A138" s="77">
        <v>915</v>
      </c>
      <c r="B138" s="78" t="s">
        <v>388</v>
      </c>
      <c r="C138" s="78" t="s">
        <v>389</v>
      </c>
      <c r="D138" s="78" t="s">
        <v>387</v>
      </c>
      <c r="E138" s="78"/>
      <c r="F138" s="71" t="str">
        <f t="shared" si="7"/>
        <v>Bubiita</v>
      </c>
      <c r="G138" s="71" t="str">
        <f t="shared" ref="G138:G201" si="8">B138</f>
        <v>Bududa</v>
      </c>
      <c r="H138" s="78" t="s">
        <v>387</v>
      </c>
    </row>
    <row r="139" spans="1:8">
      <c r="A139" s="77">
        <v>1113</v>
      </c>
      <c r="B139" s="78" t="s">
        <v>499</v>
      </c>
      <c r="C139" s="78" t="s">
        <v>500</v>
      </c>
      <c r="D139" s="78" t="s">
        <v>501</v>
      </c>
      <c r="E139" s="78"/>
      <c r="F139" s="71" t="str">
        <f t="shared" si="7"/>
        <v>Bubukwanga</v>
      </c>
      <c r="G139" s="71" t="str">
        <f t="shared" si="8"/>
        <v>Bundibugyo</v>
      </c>
      <c r="H139" s="78" t="s">
        <v>501</v>
      </c>
    </row>
    <row r="140" spans="1:8">
      <c r="A140" s="77">
        <v>1085</v>
      </c>
      <c r="B140" s="78" t="s">
        <v>2145</v>
      </c>
      <c r="C140" s="78" t="s">
        <v>2145</v>
      </c>
      <c r="D140" s="78" t="s">
        <v>2144</v>
      </c>
      <c r="E140" s="78"/>
      <c r="F140" s="71" t="str">
        <f t="shared" si="7"/>
        <v>Bubutu</v>
      </c>
      <c r="G140" s="71" t="str">
        <f t="shared" si="8"/>
        <v>Namisindwa</v>
      </c>
      <c r="H140" s="78" t="s">
        <v>2144</v>
      </c>
    </row>
    <row r="141" spans="1:8">
      <c r="A141" s="77">
        <v>771</v>
      </c>
      <c r="B141" s="78" t="s">
        <v>228</v>
      </c>
      <c r="C141" s="78" t="s">
        <v>1886</v>
      </c>
      <c r="D141" s="78" t="s">
        <v>1885</v>
      </c>
      <c r="E141" s="78"/>
      <c r="F141" s="71" t="str">
        <f t="shared" si="7"/>
        <v>Bubyangu</v>
      </c>
      <c r="G141" s="71" t="str">
        <f t="shared" si="8"/>
        <v>Mbale</v>
      </c>
      <c r="H141" s="78" t="s">
        <v>1885</v>
      </c>
    </row>
    <row r="142" spans="1:8">
      <c r="A142" s="77">
        <v>865</v>
      </c>
      <c r="B142" s="78" t="s">
        <v>2410</v>
      </c>
      <c r="C142" s="78" t="s">
        <v>2411</v>
      </c>
      <c r="D142" s="78" t="s">
        <v>2409</v>
      </c>
      <c r="E142" s="78"/>
      <c r="F142" s="71" t="str">
        <f t="shared" si="7"/>
        <v>Budadiri Town Council</v>
      </c>
      <c r="G142" s="71" t="str">
        <f t="shared" si="8"/>
        <v>Sironko</v>
      </c>
      <c r="H142" s="78" t="s">
        <v>2409</v>
      </c>
    </row>
    <row r="143" spans="1:8">
      <c r="A143" s="77">
        <v>902</v>
      </c>
      <c r="B143" s="78" t="s">
        <v>374</v>
      </c>
      <c r="C143" s="78" t="s">
        <v>374</v>
      </c>
      <c r="D143" s="78" t="s">
        <v>374</v>
      </c>
      <c r="E143" s="78"/>
      <c r="F143" s="71" t="str">
        <f t="shared" si="7"/>
        <v>Budaka</v>
      </c>
      <c r="G143" s="71" t="str">
        <f t="shared" si="8"/>
        <v>Budaka</v>
      </c>
      <c r="H143" s="78" t="s">
        <v>374</v>
      </c>
    </row>
    <row r="144" spans="1:8">
      <c r="A144" s="77">
        <v>903</v>
      </c>
      <c r="B144" s="78" t="s">
        <v>374</v>
      </c>
      <c r="C144" s="78" t="s">
        <v>374</v>
      </c>
      <c r="D144" s="78" t="s">
        <v>375</v>
      </c>
      <c r="E144" s="78"/>
      <c r="F144" s="71" t="str">
        <f t="shared" si="7"/>
        <v>Budaka Town Council</v>
      </c>
      <c r="G144" s="71" t="str">
        <f t="shared" si="8"/>
        <v>Budaka</v>
      </c>
      <c r="H144" s="78" t="s">
        <v>375</v>
      </c>
    </row>
    <row r="145" spans="1:8">
      <c r="A145" s="77">
        <v>611</v>
      </c>
      <c r="B145" s="78" t="s">
        <v>586</v>
      </c>
      <c r="C145" s="78" t="s">
        <v>586</v>
      </c>
      <c r="D145" s="78" t="s">
        <v>585</v>
      </c>
      <c r="E145" s="78"/>
      <c r="F145" s="71" t="str">
        <f t="shared" si="7"/>
        <v>Budde</v>
      </c>
      <c r="G145" s="71" t="str">
        <f t="shared" si="8"/>
        <v>Butambala</v>
      </c>
      <c r="H145" s="78" t="s">
        <v>585</v>
      </c>
    </row>
    <row r="146" spans="1:8">
      <c r="A146" s="77">
        <v>671</v>
      </c>
      <c r="B146" s="78" t="s">
        <v>405</v>
      </c>
      <c r="C146" s="78" t="s">
        <v>406</v>
      </c>
      <c r="D146" s="78" t="s">
        <v>404</v>
      </c>
      <c r="E146" s="78"/>
      <c r="F146" s="71" t="str">
        <f t="shared" si="7"/>
        <v>Budhaya</v>
      </c>
      <c r="G146" s="71" t="str">
        <f t="shared" si="8"/>
        <v>Bugiri</v>
      </c>
      <c r="H146" s="78" t="s">
        <v>404</v>
      </c>
    </row>
    <row r="147" spans="1:8">
      <c r="A147" s="77">
        <v>961</v>
      </c>
      <c r="B147" s="78" t="s">
        <v>878</v>
      </c>
      <c r="C147" s="78" t="s">
        <v>687</v>
      </c>
      <c r="D147" s="78" t="s">
        <v>877</v>
      </c>
      <c r="E147" s="78"/>
      <c r="F147" s="71" t="str">
        <f t="shared" si="7"/>
        <v>Budomero</v>
      </c>
      <c r="G147" s="71" t="str">
        <f t="shared" si="8"/>
        <v>Kaliro</v>
      </c>
      <c r="H147" s="78" t="s">
        <v>877</v>
      </c>
    </row>
    <row r="148" spans="1:8">
      <c r="A148" s="77">
        <v>720</v>
      </c>
      <c r="B148" s="78" t="s">
        <v>186</v>
      </c>
      <c r="C148" s="78" t="s">
        <v>753</v>
      </c>
      <c r="D148" s="78" t="s">
        <v>752</v>
      </c>
      <c r="E148" s="78"/>
      <c r="F148" s="71" t="str">
        <f t="shared" si="7"/>
        <v>Budondo</v>
      </c>
      <c r="G148" s="71" t="str">
        <f t="shared" si="8"/>
        <v>Jinja</v>
      </c>
      <c r="H148" s="78" t="s">
        <v>752</v>
      </c>
    </row>
    <row r="149" spans="1:8">
      <c r="A149" s="77">
        <v>1235</v>
      </c>
      <c r="B149" s="78" t="s">
        <v>1859</v>
      </c>
      <c r="C149" s="78" t="s">
        <v>1860</v>
      </c>
      <c r="D149" s="78" t="s">
        <v>1858</v>
      </c>
      <c r="E149" s="78"/>
      <c r="F149" s="71" t="str">
        <f t="shared" si="7"/>
        <v>Budongo</v>
      </c>
      <c r="G149" s="71" t="str">
        <f t="shared" si="8"/>
        <v>Masindi</v>
      </c>
      <c r="H149" s="78" t="s">
        <v>1858</v>
      </c>
    </row>
    <row r="150" spans="1:8">
      <c r="A150" s="77">
        <v>917</v>
      </c>
      <c r="B150" s="78" t="s">
        <v>388</v>
      </c>
      <c r="C150" s="78" t="s">
        <v>389</v>
      </c>
      <c r="D150" s="78" t="s">
        <v>388</v>
      </c>
      <c r="E150" s="78"/>
      <c r="F150" s="71" t="str">
        <f t="shared" si="7"/>
        <v>Bududa</v>
      </c>
      <c r="G150" s="71" t="str">
        <f t="shared" si="8"/>
        <v>Bududa</v>
      </c>
      <c r="H150" s="78" t="s">
        <v>388</v>
      </c>
    </row>
    <row r="151" spans="1:8">
      <c r="A151" s="77">
        <v>916</v>
      </c>
      <c r="B151" s="78" t="s">
        <v>388</v>
      </c>
      <c r="C151" s="78" t="s">
        <v>389</v>
      </c>
      <c r="D151" s="78" t="s">
        <v>390</v>
      </c>
      <c r="E151" s="78"/>
      <c r="F151" s="71" t="str">
        <f t="shared" si="7"/>
        <v>Bududa Town Council</v>
      </c>
      <c r="G151" s="71" t="str">
        <f t="shared" si="8"/>
        <v>Bududa</v>
      </c>
      <c r="H151" s="78" t="s">
        <v>390</v>
      </c>
    </row>
    <row r="152" spans="1:8">
      <c r="A152" s="77">
        <v>949</v>
      </c>
      <c r="B152" s="78" t="s">
        <v>573</v>
      </c>
      <c r="C152" s="78" t="s">
        <v>574</v>
      </c>
      <c r="D152" s="78" t="s">
        <v>572</v>
      </c>
      <c r="E152" s="78"/>
      <c r="F152" s="71" t="str">
        <f t="shared" si="7"/>
        <v>Budumba</v>
      </c>
      <c r="G152" s="71" t="str">
        <f t="shared" si="8"/>
        <v>Butaleja</v>
      </c>
      <c r="H152" s="78" t="s">
        <v>572</v>
      </c>
    </row>
    <row r="153" spans="1:8">
      <c r="A153" s="77">
        <v>772</v>
      </c>
      <c r="B153" s="78" t="s">
        <v>228</v>
      </c>
      <c r="C153" s="78" t="s">
        <v>1886</v>
      </c>
      <c r="D153" s="78" t="s">
        <v>1887</v>
      </c>
      <c r="E153" s="78"/>
      <c r="F153" s="71" t="str">
        <f t="shared" si="7"/>
        <v>Budwale</v>
      </c>
      <c r="G153" s="71" t="str">
        <f t="shared" si="8"/>
        <v>Mbale</v>
      </c>
      <c r="H153" s="78" t="s">
        <v>1887</v>
      </c>
    </row>
    <row r="154" spans="1:8">
      <c r="A154" s="77">
        <v>773</v>
      </c>
      <c r="B154" s="78" t="s">
        <v>228</v>
      </c>
      <c r="C154" s="78" t="s">
        <v>1886</v>
      </c>
      <c r="D154" s="78" t="s">
        <v>1888</v>
      </c>
      <c r="E154" s="78"/>
      <c r="F154" s="71" t="str">
        <f t="shared" si="7"/>
        <v>Bufumbo</v>
      </c>
      <c r="G154" s="71" t="str">
        <f t="shared" si="8"/>
        <v>Mbale</v>
      </c>
      <c r="H154" s="78" t="s">
        <v>1888</v>
      </c>
    </row>
    <row r="155" spans="1:8">
      <c r="A155" s="77">
        <v>322</v>
      </c>
      <c r="B155" s="78" t="s">
        <v>870</v>
      </c>
      <c r="C155" s="78" t="s">
        <v>871</v>
      </c>
      <c r="D155" s="78" t="s">
        <v>872</v>
      </c>
      <c r="E155" s="78"/>
      <c r="F155" s="71" t="str">
        <f t="shared" si="7"/>
        <v>Bufumira</v>
      </c>
      <c r="G155" s="71" t="str">
        <f t="shared" si="8"/>
        <v>Kalangala</v>
      </c>
      <c r="H155" s="78" t="s">
        <v>872</v>
      </c>
    </row>
    <row r="156" spans="1:8" ht="25.5">
      <c r="A156" s="77">
        <v>1364</v>
      </c>
      <c r="B156" s="78" t="s">
        <v>44</v>
      </c>
      <c r="C156" s="79" t="s">
        <v>666</v>
      </c>
      <c r="D156" s="78" t="s">
        <v>2781</v>
      </c>
      <c r="E156" s="78"/>
      <c r="F156" s="72" t="str">
        <f>VLOOKUP(C156,[2]Municipalities!$C$9:$F$1522,4,FALSE)</f>
        <v>Ibanda Municipality</v>
      </c>
      <c r="G156" s="71" t="str">
        <f t="shared" si="8"/>
        <v>Ibanda</v>
      </c>
      <c r="H156" s="78" t="s">
        <v>2781</v>
      </c>
    </row>
    <row r="157" spans="1:8">
      <c r="A157" s="77">
        <v>1507</v>
      </c>
      <c r="B157" s="78" t="s">
        <v>793</v>
      </c>
      <c r="C157" s="78" t="s">
        <v>793</v>
      </c>
      <c r="D157" s="78" t="s">
        <v>2323</v>
      </c>
      <c r="E157" s="78"/>
      <c r="F157" s="71" t="str">
        <f t="shared" si="7"/>
        <v>Bufundi</v>
      </c>
      <c r="G157" s="71" t="str">
        <f t="shared" si="8"/>
        <v>Rubanda</v>
      </c>
      <c r="H157" s="78" t="s">
        <v>2323</v>
      </c>
    </row>
    <row r="158" spans="1:8">
      <c r="A158" s="77">
        <v>1330</v>
      </c>
      <c r="B158" s="78" t="s">
        <v>1709</v>
      </c>
      <c r="C158" s="78" t="s">
        <v>1710</v>
      </c>
      <c r="D158" s="78" t="s">
        <v>1708</v>
      </c>
      <c r="E158" s="78"/>
      <c r="F158" s="71" t="str">
        <f t="shared" si="7"/>
        <v>Bufunjo</v>
      </c>
      <c r="G158" s="71" t="str">
        <f t="shared" si="8"/>
        <v>Kyenjojo</v>
      </c>
      <c r="H158" s="78" t="s">
        <v>1708</v>
      </c>
    </row>
    <row r="159" spans="1:8">
      <c r="A159" s="77">
        <v>1331</v>
      </c>
      <c r="B159" s="78" t="s">
        <v>1709</v>
      </c>
      <c r="C159" s="78" t="s">
        <v>1710</v>
      </c>
      <c r="D159" s="78" t="s">
        <v>1712</v>
      </c>
      <c r="E159" s="78"/>
      <c r="F159" s="71" t="str">
        <f t="shared" si="7"/>
        <v>Bugaaki</v>
      </c>
      <c r="G159" s="71" t="str">
        <f t="shared" si="8"/>
        <v>Kyenjojo</v>
      </c>
      <c r="H159" s="78" t="s">
        <v>1712</v>
      </c>
    </row>
    <row r="160" spans="1:8">
      <c r="A160" s="77">
        <v>1257</v>
      </c>
      <c r="B160" s="78" t="s">
        <v>230</v>
      </c>
      <c r="C160" s="78" t="s">
        <v>1913</v>
      </c>
      <c r="D160" s="78" t="s">
        <v>1912</v>
      </c>
      <c r="E160" s="78"/>
      <c r="F160" s="71" t="str">
        <f t="shared" si="7"/>
        <v>Bugamba</v>
      </c>
      <c r="G160" s="71" t="str">
        <f t="shared" si="8"/>
        <v>Mbarara</v>
      </c>
      <c r="H160" s="78" t="s">
        <v>1912</v>
      </c>
    </row>
    <row r="161" spans="1:8">
      <c r="A161" s="77">
        <v>1140</v>
      </c>
      <c r="B161" s="78" t="s">
        <v>648</v>
      </c>
      <c r="C161" s="78" t="s">
        <v>649</v>
      </c>
      <c r="D161" s="78" t="s">
        <v>647</v>
      </c>
      <c r="E161" s="78"/>
      <c r="F161" s="71" t="str">
        <f t="shared" si="7"/>
        <v>Bugambe</v>
      </c>
      <c r="G161" s="71" t="str">
        <f t="shared" si="8"/>
        <v>Hoima</v>
      </c>
      <c r="H161" s="78" t="s">
        <v>647</v>
      </c>
    </row>
    <row r="162" spans="1:8">
      <c r="A162" s="77">
        <v>1289</v>
      </c>
      <c r="B162" s="78" t="s">
        <v>41</v>
      </c>
      <c r="C162" s="78" t="s">
        <v>2359</v>
      </c>
      <c r="D162" s="78" t="s">
        <v>2358</v>
      </c>
      <c r="E162" s="78"/>
      <c r="F162" s="71" t="str">
        <f t="shared" si="7"/>
        <v>Bugangari</v>
      </c>
      <c r="G162" s="71" t="str">
        <f t="shared" si="8"/>
        <v>Rukungiri</v>
      </c>
      <c r="H162" s="78" t="s">
        <v>2358</v>
      </c>
    </row>
    <row r="163" spans="1:8">
      <c r="A163" s="77">
        <v>617</v>
      </c>
      <c r="B163" s="78" t="s">
        <v>604</v>
      </c>
      <c r="C163" s="78" t="s">
        <v>605</v>
      </c>
      <c r="D163" s="82" t="s">
        <v>2782</v>
      </c>
      <c r="E163" s="78"/>
      <c r="F163" s="71" t="str">
        <f t="shared" ref="F163:F164" si="9">D163&amp;"-"&amp;B163</f>
        <v>Bugaya-Buvuma</v>
      </c>
      <c r="G163" s="71" t="str">
        <f t="shared" si="8"/>
        <v>Buvuma</v>
      </c>
      <c r="H163" s="82" t="s">
        <v>2782</v>
      </c>
    </row>
    <row r="164" spans="1:8">
      <c r="A164" s="77">
        <v>1018</v>
      </c>
      <c r="B164" s="78" t="s">
        <v>616</v>
      </c>
      <c r="C164" s="78" t="s">
        <v>617</v>
      </c>
      <c r="D164" s="82" t="s">
        <v>2782</v>
      </c>
      <c r="E164" s="78"/>
      <c r="F164" s="71" t="str">
        <f t="shared" si="9"/>
        <v>Bugaya-Buyende</v>
      </c>
      <c r="G164" s="71" t="str">
        <f t="shared" si="8"/>
        <v>Buyende</v>
      </c>
      <c r="H164" s="82" t="s">
        <v>2782</v>
      </c>
    </row>
    <row r="165" spans="1:8">
      <c r="A165" s="77">
        <v>713</v>
      </c>
      <c r="B165" s="78" t="s">
        <v>186</v>
      </c>
      <c r="C165" s="78" t="s">
        <v>755</v>
      </c>
      <c r="D165" s="78" t="s">
        <v>754</v>
      </c>
      <c r="E165" s="78"/>
      <c r="F165" s="71" t="str">
        <f t="shared" ref="F165:F228" si="10">D165</f>
        <v>Bugembe Town Council</v>
      </c>
      <c r="G165" s="71" t="str">
        <f t="shared" si="8"/>
        <v>Jinja</v>
      </c>
      <c r="H165" s="78" t="s">
        <v>754</v>
      </c>
    </row>
    <row r="166" spans="1:8">
      <c r="A166" s="77">
        <v>999</v>
      </c>
      <c r="B166" s="78" t="s">
        <v>472</v>
      </c>
      <c r="C166" s="78" t="s">
        <v>472</v>
      </c>
      <c r="D166" s="78" t="s">
        <v>471</v>
      </c>
      <c r="E166" s="78"/>
      <c r="F166" s="71" t="str">
        <f t="shared" si="10"/>
        <v>Buginyanya</v>
      </c>
      <c r="G166" s="71" t="str">
        <f t="shared" si="8"/>
        <v>Bulambuli</v>
      </c>
      <c r="H166" s="78" t="s">
        <v>471</v>
      </c>
    </row>
    <row r="167" spans="1:8">
      <c r="A167" s="77">
        <v>866</v>
      </c>
      <c r="B167" s="78" t="s">
        <v>2410</v>
      </c>
      <c r="C167" s="78" t="s">
        <v>2411</v>
      </c>
      <c r="D167" s="78" t="s">
        <v>2412</v>
      </c>
      <c r="E167" s="78"/>
      <c r="F167" s="71" t="str">
        <f t="shared" si="10"/>
        <v>Bugitimwa</v>
      </c>
      <c r="G167" s="71" t="str">
        <f t="shared" si="8"/>
        <v>Sironko</v>
      </c>
      <c r="H167" s="78" t="s">
        <v>2412</v>
      </c>
    </row>
    <row r="168" spans="1:8">
      <c r="A168" s="77">
        <v>973</v>
      </c>
      <c r="B168" s="78" t="s">
        <v>1815</v>
      </c>
      <c r="C168" s="78" t="s">
        <v>1816</v>
      </c>
      <c r="D168" s="78" t="s">
        <v>1814</v>
      </c>
      <c r="E168" s="78"/>
      <c r="F168" s="71" t="str">
        <f t="shared" si="10"/>
        <v>Bugobero</v>
      </c>
      <c r="G168" s="71" t="str">
        <f t="shared" si="8"/>
        <v>Manafwa</v>
      </c>
      <c r="H168" s="78" t="s">
        <v>1814</v>
      </c>
    </row>
    <row r="169" spans="1:8">
      <c r="A169" s="77">
        <v>1068</v>
      </c>
      <c r="B169" s="78" t="s">
        <v>2377</v>
      </c>
      <c r="C169" s="78" t="s">
        <v>2379</v>
      </c>
      <c r="D169" s="78" t="s">
        <v>2378</v>
      </c>
      <c r="E169" s="78"/>
      <c r="F169" s="71" t="str">
        <f t="shared" si="10"/>
        <v>Bugondo</v>
      </c>
      <c r="G169" s="71" t="str">
        <f t="shared" si="8"/>
        <v>Serere</v>
      </c>
      <c r="H169" s="78" t="s">
        <v>2378</v>
      </c>
    </row>
    <row r="170" spans="1:8">
      <c r="A170" s="77">
        <v>1463</v>
      </c>
      <c r="B170" s="78" t="s">
        <v>42</v>
      </c>
      <c r="C170" s="78" t="s">
        <v>42</v>
      </c>
      <c r="D170" s="78" t="s">
        <v>2388</v>
      </c>
      <c r="E170" s="78"/>
      <c r="F170" s="71" t="str">
        <f t="shared" si="10"/>
        <v>Bugongi Town Council</v>
      </c>
      <c r="G170" s="71" t="str">
        <f t="shared" si="8"/>
        <v>Sheema</v>
      </c>
      <c r="H170" s="78" t="s">
        <v>2388</v>
      </c>
    </row>
    <row r="171" spans="1:8">
      <c r="A171" s="77">
        <v>1192</v>
      </c>
      <c r="B171" s="78" t="s">
        <v>37</v>
      </c>
      <c r="C171" s="78" t="s">
        <v>1452</v>
      </c>
      <c r="D171" s="78" t="s">
        <v>1451</v>
      </c>
      <c r="E171" s="78"/>
      <c r="F171" s="71" t="str">
        <f t="shared" si="10"/>
        <v>Bugoye</v>
      </c>
      <c r="G171" s="71" t="str">
        <f t="shared" si="8"/>
        <v>Kasese</v>
      </c>
      <c r="H171" s="78" t="s">
        <v>1451</v>
      </c>
    </row>
    <row r="172" spans="1:8">
      <c r="A172" s="77">
        <v>732</v>
      </c>
      <c r="B172" s="78" t="s">
        <v>1376</v>
      </c>
      <c r="C172" s="78" t="s">
        <v>1379</v>
      </c>
      <c r="D172" s="78" t="s">
        <v>1378</v>
      </c>
      <c r="E172" s="78"/>
      <c r="F172" s="71" t="str">
        <f t="shared" si="10"/>
        <v>Bugulumbya</v>
      </c>
      <c r="G172" s="71" t="str">
        <f t="shared" si="8"/>
        <v>Kamuli</v>
      </c>
      <c r="H172" s="78" t="s">
        <v>1378</v>
      </c>
    </row>
    <row r="173" spans="1:8">
      <c r="A173" s="77">
        <v>1307</v>
      </c>
      <c r="B173" s="78" t="s">
        <v>50</v>
      </c>
      <c r="C173" s="78" t="s">
        <v>1394</v>
      </c>
      <c r="D173" s="78" t="s">
        <v>1393</v>
      </c>
      <c r="E173" s="78"/>
      <c r="F173" s="71" t="str">
        <f t="shared" si="10"/>
        <v>Buhanda</v>
      </c>
      <c r="G173" s="71" t="str">
        <f t="shared" si="8"/>
        <v>Kamwenge</v>
      </c>
      <c r="H173" s="78" t="s">
        <v>1393</v>
      </c>
    </row>
    <row r="174" spans="1:8">
      <c r="A174" s="77">
        <v>1135</v>
      </c>
      <c r="B174" s="78" t="s">
        <v>648</v>
      </c>
      <c r="C174" s="78" t="s">
        <v>652</v>
      </c>
      <c r="D174" s="78" t="s">
        <v>651</v>
      </c>
      <c r="E174" s="78"/>
      <c r="F174" s="71" t="str">
        <f t="shared" si="10"/>
        <v>Buhanika</v>
      </c>
      <c r="G174" s="71" t="str">
        <f t="shared" si="8"/>
        <v>Hoima</v>
      </c>
      <c r="H174" s="78" t="s">
        <v>651</v>
      </c>
    </row>
    <row r="175" spans="1:8">
      <c r="A175" s="77">
        <v>1152</v>
      </c>
      <c r="B175" s="78" t="s">
        <v>786</v>
      </c>
      <c r="C175" s="78" t="s">
        <v>787</v>
      </c>
      <c r="D175" s="78" t="s">
        <v>785</v>
      </c>
      <c r="E175" s="78"/>
      <c r="F175" s="71" t="str">
        <f t="shared" si="10"/>
        <v>Buhara</v>
      </c>
      <c r="G175" s="71" t="str">
        <f t="shared" si="8"/>
        <v>Kabale</v>
      </c>
      <c r="H175" s="78" t="s">
        <v>785</v>
      </c>
    </row>
    <row r="176" spans="1:8">
      <c r="A176" s="77">
        <v>1515</v>
      </c>
      <c r="B176" s="78" t="s">
        <v>523</v>
      </c>
      <c r="C176" s="78" t="s">
        <v>523</v>
      </c>
      <c r="D176" s="78" t="s">
        <v>522</v>
      </c>
      <c r="E176" s="78"/>
      <c r="F176" s="71" t="str">
        <f t="shared" si="10"/>
        <v>Buheesi</v>
      </c>
      <c r="G176" s="71" t="str">
        <f t="shared" si="8"/>
        <v>Bunyangabu</v>
      </c>
      <c r="H176" s="78" t="s">
        <v>522</v>
      </c>
    </row>
    <row r="177" spans="1:8">
      <c r="A177" s="77">
        <v>1524</v>
      </c>
      <c r="B177" s="78" t="s">
        <v>523</v>
      </c>
      <c r="C177" s="78" t="s">
        <v>523</v>
      </c>
      <c r="D177" s="78" t="s">
        <v>524</v>
      </c>
      <c r="E177" s="78"/>
      <c r="F177" s="71" t="str">
        <f t="shared" si="10"/>
        <v>Buheesi Town Council</v>
      </c>
      <c r="G177" s="71" t="str">
        <f t="shared" si="8"/>
        <v>Bunyangabu</v>
      </c>
      <c r="H177" s="78" t="s">
        <v>524</v>
      </c>
    </row>
    <row r="178" spans="1:8">
      <c r="A178" s="77">
        <v>683</v>
      </c>
      <c r="B178" s="78" t="s">
        <v>555</v>
      </c>
      <c r="C178" s="78" t="s">
        <v>556</v>
      </c>
      <c r="D178" s="78" t="s">
        <v>554</v>
      </c>
      <c r="E178" s="78"/>
      <c r="F178" s="71" t="str">
        <f t="shared" si="10"/>
        <v>Buhehe</v>
      </c>
      <c r="G178" s="71" t="str">
        <f t="shared" si="8"/>
        <v>Busia</v>
      </c>
      <c r="H178" s="78" t="s">
        <v>554</v>
      </c>
    </row>
    <row r="179" spans="1:8">
      <c r="A179" s="77">
        <v>1056</v>
      </c>
      <c r="B179" s="78" t="s">
        <v>2133</v>
      </c>
      <c r="C179" s="78" t="s">
        <v>2134</v>
      </c>
      <c r="D179" s="78" t="s">
        <v>2136</v>
      </c>
      <c r="E179" s="78"/>
      <c r="F179" s="71" t="str">
        <f t="shared" si="10"/>
        <v>Buhemba</v>
      </c>
      <c r="G179" s="71" t="str">
        <f t="shared" si="8"/>
        <v>Namayingo</v>
      </c>
      <c r="H179" s="78" t="s">
        <v>2136</v>
      </c>
    </row>
    <row r="180" spans="1:8">
      <c r="A180" s="77">
        <v>1141</v>
      </c>
      <c r="B180" s="78" t="s">
        <v>648</v>
      </c>
      <c r="C180" s="78" t="s">
        <v>649</v>
      </c>
      <c r="D180" s="78" t="s">
        <v>653</v>
      </c>
      <c r="E180" s="78"/>
      <c r="F180" s="71" t="str">
        <f t="shared" si="10"/>
        <v>Buhimba</v>
      </c>
      <c r="G180" s="71" t="str">
        <f t="shared" si="8"/>
        <v>Hoima</v>
      </c>
      <c r="H180" s="78" t="s">
        <v>653</v>
      </c>
    </row>
    <row r="181" spans="1:8">
      <c r="A181" s="77">
        <v>867</v>
      </c>
      <c r="B181" s="78" t="s">
        <v>2410</v>
      </c>
      <c r="C181" s="78" t="s">
        <v>2411</v>
      </c>
      <c r="D181" s="78" t="s">
        <v>2413</v>
      </c>
      <c r="E181" s="78"/>
      <c r="F181" s="71" t="str">
        <f t="shared" si="10"/>
        <v>Buhugu</v>
      </c>
      <c r="G181" s="71" t="str">
        <f t="shared" si="8"/>
        <v>Sironko</v>
      </c>
      <c r="H181" s="78" t="s">
        <v>2413</v>
      </c>
    </row>
    <row r="182" spans="1:8">
      <c r="A182" s="77">
        <v>1193</v>
      </c>
      <c r="B182" s="78" t="s">
        <v>37</v>
      </c>
      <c r="C182" s="78" t="s">
        <v>1452</v>
      </c>
      <c r="D182" s="78" t="s">
        <v>1453</v>
      </c>
      <c r="E182" s="78"/>
      <c r="F182" s="71" t="str">
        <f t="shared" si="10"/>
        <v>Buhuhira</v>
      </c>
      <c r="G182" s="71" t="str">
        <f t="shared" si="8"/>
        <v>Kasese</v>
      </c>
      <c r="H182" s="78" t="s">
        <v>1453</v>
      </c>
    </row>
    <row r="183" spans="1:8">
      <c r="A183" s="77">
        <v>1290</v>
      </c>
      <c r="B183" s="78" t="s">
        <v>41</v>
      </c>
      <c r="C183" s="78" t="s">
        <v>2359</v>
      </c>
      <c r="D183" s="78" t="s">
        <v>2362</v>
      </c>
      <c r="E183" s="78"/>
      <c r="F183" s="71" t="str">
        <f t="shared" si="10"/>
        <v>Buhunga</v>
      </c>
      <c r="G183" s="71" t="str">
        <f t="shared" si="8"/>
        <v>Rukungiri</v>
      </c>
      <c r="H183" s="78" t="s">
        <v>2362</v>
      </c>
    </row>
    <row r="184" spans="1:8">
      <c r="A184" s="77">
        <v>594</v>
      </c>
      <c r="B184" s="78" t="s">
        <v>429</v>
      </c>
      <c r="C184" s="78" t="s">
        <v>429</v>
      </c>
      <c r="D184" s="78" t="s">
        <v>429</v>
      </c>
      <c r="E184" s="78"/>
      <c r="F184" s="71" t="str">
        <f t="shared" si="10"/>
        <v>Buikwe</v>
      </c>
      <c r="G184" s="71" t="str">
        <f t="shared" si="8"/>
        <v>Buikwe</v>
      </c>
      <c r="H184" s="78" t="s">
        <v>429</v>
      </c>
    </row>
    <row r="185" spans="1:8">
      <c r="A185" s="77">
        <v>595</v>
      </c>
      <c r="B185" s="78" t="s">
        <v>429</v>
      </c>
      <c r="C185" s="78" t="s">
        <v>429</v>
      </c>
      <c r="D185" s="78" t="s">
        <v>433</v>
      </c>
      <c r="E185" s="78"/>
      <c r="F185" s="71" t="str">
        <f t="shared" si="10"/>
        <v>Buikwe Town Council</v>
      </c>
      <c r="G185" s="71" t="str">
        <f t="shared" si="8"/>
        <v>Buikwe</v>
      </c>
      <c r="H185" s="78" t="s">
        <v>433</v>
      </c>
    </row>
    <row r="186" spans="1:8">
      <c r="A186" s="77">
        <v>318</v>
      </c>
      <c r="B186" s="78" t="s">
        <v>870</v>
      </c>
      <c r="C186" s="78" t="s">
        <v>873</v>
      </c>
      <c r="D186" s="78" t="s">
        <v>873</v>
      </c>
      <c r="E186" s="78"/>
      <c r="F186" s="71" t="str">
        <f t="shared" si="10"/>
        <v>Bujumba</v>
      </c>
      <c r="G186" s="71" t="str">
        <f t="shared" si="8"/>
        <v>Kalangala</v>
      </c>
      <c r="H186" s="78" t="s">
        <v>873</v>
      </c>
    </row>
    <row r="187" spans="1:8" ht="16.5" customHeight="1">
      <c r="A187" s="77">
        <v>1145</v>
      </c>
      <c r="B187" s="80" t="s">
        <v>648</v>
      </c>
      <c r="C187" s="81" t="s">
        <v>654</v>
      </c>
      <c r="D187" s="80" t="s">
        <v>2783</v>
      </c>
      <c r="E187" s="80"/>
      <c r="F187" s="72" t="str">
        <f>VLOOKUP(C187,[2]Municipalities!$C$9:$F$1522,4,FALSE)</f>
        <v>Hoima Municipality</v>
      </c>
      <c r="G187" s="71" t="str">
        <f t="shared" si="8"/>
        <v>Hoima</v>
      </c>
      <c r="H187" s="80" t="s">
        <v>2783</v>
      </c>
    </row>
    <row r="188" spans="1:8">
      <c r="A188" s="77">
        <v>852</v>
      </c>
      <c r="B188" s="78" t="s">
        <v>1869</v>
      </c>
      <c r="C188" s="78" t="s">
        <v>1870</v>
      </c>
      <c r="D188" s="78" t="s">
        <v>1872</v>
      </c>
      <c r="E188" s="78"/>
      <c r="F188" s="71" t="str">
        <f t="shared" si="10"/>
        <v>Bukabooli</v>
      </c>
      <c r="G188" s="71" t="str">
        <f t="shared" si="8"/>
        <v>Mayuge</v>
      </c>
      <c r="H188" s="78" t="s">
        <v>1872</v>
      </c>
    </row>
    <row r="189" spans="1:8">
      <c r="A189" s="77">
        <v>442</v>
      </c>
      <c r="B189" s="78" t="s">
        <v>40</v>
      </c>
      <c r="C189" s="78" t="s">
        <v>23</v>
      </c>
      <c r="D189" s="78" t="s">
        <v>1842</v>
      </c>
      <c r="E189" s="78"/>
      <c r="F189" s="71" t="str">
        <f t="shared" si="10"/>
        <v>Bukakata</v>
      </c>
      <c r="G189" s="71" t="str">
        <f t="shared" si="8"/>
        <v>Masaka</v>
      </c>
      <c r="H189" s="78" t="s">
        <v>1842</v>
      </c>
    </row>
    <row r="190" spans="1:8">
      <c r="A190" s="77">
        <v>918</v>
      </c>
      <c r="B190" s="78" t="s">
        <v>388</v>
      </c>
      <c r="C190" s="78" t="s">
        <v>389</v>
      </c>
      <c r="D190" s="78" t="s">
        <v>391</v>
      </c>
      <c r="E190" s="78"/>
      <c r="F190" s="71" t="str">
        <f t="shared" si="10"/>
        <v>Bukalasi</v>
      </c>
      <c r="G190" s="71" t="str">
        <f t="shared" si="8"/>
        <v>Bududa</v>
      </c>
      <c r="H190" s="78" t="s">
        <v>391</v>
      </c>
    </row>
    <row r="191" spans="1:8">
      <c r="A191" s="77">
        <v>962</v>
      </c>
      <c r="B191" s="78" t="s">
        <v>878</v>
      </c>
      <c r="C191" s="78" t="s">
        <v>687</v>
      </c>
      <c r="D191" s="78" t="s">
        <v>879</v>
      </c>
      <c r="E191" s="78"/>
      <c r="F191" s="71" t="str">
        <f t="shared" si="10"/>
        <v>Bukamba</v>
      </c>
      <c r="G191" s="71" t="str">
        <f t="shared" si="8"/>
        <v>Kaliro</v>
      </c>
      <c r="H191" s="78" t="s">
        <v>879</v>
      </c>
    </row>
    <row r="192" spans="1:8">
      <c r="A192" s="77">
        <v>1055</v>
      </c>
      <c r="B192" s="78" t="s">
        <v>2133</v>
      </c>
      <c r="C192" s="78" t="s">
        <v>2134</v>
      </c>
      <c r="D192" s="78" t="s">
        <v>2137</v>
      </c>
      <c r="E192" s="78"/>
      <c r="F192" s="71" t="str">
        <f t="shared" si="10"/>
        <v>Bukana</v>
      </c>
      <c r="G192" s="71" t="str">
        <f t="shared" si="8"/>
        <v>Namayingo</v>
      </c>
      <c r="H192" s="78" t="s">
        <v>2137</v>
      </c>
    </row>
    <row r="193" spans="1:8">
      <c r="A193" s="77">
        <v>1046</v>
      </c>
      <c r="B193" s="78" t="s">
        <v>1759</v>
      </c>
      <c r="C193" s="78" t="s">
        <v>1759</v>
      </c>
      <c r="D193" s="78" t="s">
        <v>715</v>
      </c>
      <c r="E193" s="78"/>
      <c r="F193" s="71" t="str">
        <f t="shared" si="10"/>
        <v>Bukanga</v>
      </c>
      <c r="G193" s="71" t="str">
        <f t="shared" si="8"/>
        <v>Luuka</v>
      </c>
      <c r="H193" s="78" t="s">
        <v>715</v>
      </c>
    </row>
    <row r="194" spans="1:8">
      <c r="A194" s="77">
        <v>774</v>
      </c>
      <c r="B194" s="78" t="s">
        <v>228</v>
      </c>
      <c r="C194" s="78" t="s">
        <v>1886</v>
      </c>
      <c r="D194" s="78" t="s">
        <v>1889</v>
      </c>
      <c r="E194" s="78"/>
      <c r="F194" s="71" t="str">
        <f t="shared" si="10"/>
        <v>Bukasakya</v>
      </c>
      <c r="G194" s="71" t="str">
        <f t="shared" si="8"/>
        <v>Mbale</v>
      </c>
      <c r="H194" s="78" t="s">
        <v>1889</v>
      </c>
    </row>
    <row r="195" spans="1:8">
      <c r="A195" s="77">
        <v>853</v>
      </c>
      <c r="B195" s="78" t="s">
        <v>1869</v>
      </c>
      <c r="C195" s="78" t="s">
        <v>1870</v>
      </c>
      <c r="D195" s="78" t="s">
        <v>1873</v>
      </c>
      <c r="E195" s="78"/>
      <c r="F195" s="71" t="str">
        <f t="shared" si="10"/>
        <v>Bukatube</v>
      </c>
      <c r="G195" s="71" t="str">
        <f t="shared" si="8"/>
        <v>Mayuge</v>
      </c>
      <c r="H195" s="78" t="s">
        <v>1873</v>
      </c>
    </row>
    <row r="196" spans="1:8">
      <c r="A196" s="77">
        <v>931</v>
      </c>
      <c r="B196" s="78" t="s">
        <v>446</v>
      </c>
      <c r="C196" s="78" t="s">
        <v>446</v>
      </c>
      <c r="D196" s="78" t="s">
        <v>446</v>
      </c>
      <c r="E196" s="78"/>
      <c r="F196" s="71" t="str">
        <f t="shared" si="10"/>
        <v>Bukedea</v>
      </c>
      <c r="G196" s="71" t="str">
        <f t="shared" si="8"/>
        <v>Bukedea</v>
      </c>
      <c r="H196" s="78" t="s">
        <v>446</v>
      </c>
    </row>
    <row r="197" spans="1:8">
      <c r="A197" s="77">
        <v>932</v>
      </c>
      <c r="B197" s="78" t="s">
        <v>446</v>
      </c>
      <c r="C197" s="78" t="s">
        <v>446</v>
      </c>
      <c r="D197" s="78" t="s">
        <v>447</v>
      </c>
      <c r="E197" s="78"/>
      <c r="F197" s="71" t="str">
        <f t="shared" si="10"/>
        <v>Bukedea Town Council</v>
      </c>
      <c r="G197" s="71" t="str">
        <f t="shared" si="8"/>
        <v>Bukedea</v>
      </c>
      <c r="H197" s="78" t="s">
        <v>447</v>
      </c>
    </row>
    <row r="198" spans="1:8">
      <c r="A198" s="77">
        <v>1086</v>
      </c>
      <c r="B198" s="78" t="s">
        <v>2145</v>
      </c>
      <c r="C198" s="78" t="s">
        <v>2145</v>
      </c>
      <c r="D198" s="78" t="s">
        <v>2146</v>
      </c>
      <c r="E198" s="78"/>
      <c r="F198" s="71" t="str">
        <f t="shared" si="10"/>
        <v>Bukhabusi</v>
      </c>
      <c r="G198" s="71" t="str">
        <f t="shared" si="8"/>
        <v>Namisindwa</v>
      </c>
      <c r="H198" s="78" t="s">
        <v>2146</v>
      </c>
    </row>
    <row r="199" spans="1:8">
      <c r="A199" s="77">
        <v>1000</v>
      </c>
      <c r="B199" s="78" t="s">
        <v>472</v>
      </c>
      <c r="C199" s="78" t="s">
        <v>472</v>
      </c>
      <c r="D199" s="78" t="s">
        <v>473</v>
      </c>
      <c r="E199" s="78"/>
      <c r="F199" s="71" t="str">
        <f t="shared" si="10"/>
        <v>Bukhalu</v>
      </c>
      <c r="G199" s="71" t="str">
        <f t="shared" si="8"/>
        <v>Bulambuli</v>
      </c>
      <c r="H199" s="78" t="s">
        <v>473</v>
      </c>
    </row>
    <row r="200" spans="1:8">
      <c r="A200" s="77">
        <v>1087</v>
      </c>
      <c r="B200" s="78" t="s">
        <v>2145</v>
      </c>
      <c r="C200" s="78" t="s">
        <v>2145</v>
      </c>
      <c r="D200" s="78" t="s">
        <v>2147</v>
      </c>
      <c r="E200" s="78"/>
      <c r="F200" s="71" t="str">
        <f t="shared" si="10"/>
        <v>Bukhaweka</v>
      </c>
      <c r="G200" s="71" t="str">
        <f t="shared" si="8"/>
        <v>Namisindwa</v>
      </c>
      <c r="H200" s="78" t="s">
        <v>2147</v>
      </c>
    </row>
    <row r="201" spans="1:8">
      <c r="A201" s="77">
        <v>974</v>
      </c>
      <c r="B201" s="78" t="s">
        <v>1815</v>
      </c>
      <c r="C201" s="78" t="s">
        <v>1816</v>
      </c>
      <c r="D201" s="78" t="s">
        <v>1817</v>
      </c>
      <c r="E201" s="78"/>
      <c r="F201" s="71" t="str">
        <f t="shared" si="10"/>
        <v>Bukhofu</v>
      </c>
      <c r="G201" s="71" t="str">
        <f t="shared" si="8"/>
        <v>Manafwa</v>
      </c>
      <c r="H201" s="78" t="s">
        <v>1817</v>
      </c>
    </row>
    <row r="202" spans="1:8">
      <c r="A202" s="77">
        <v>868</v>
      </c>
      <c r="B202" s="78" t="s">
        <v>2410</v>
      </c>
      <c r="C202" s="78" t="s">
        <v>2411</v>
      </c>
      <c r="D202" s="78" t="s">
        <v>2414</v>
      </c>
      <c r="E202" s="78"/>
      <c r="F202" s="71" t="str">
        <f t="shared" si="10"/>
        <v>Bukhulo</v>
      </c>
      <c r="G202" s="71" t="str">
        <f t="shared" ref="G202:G265" si="11">B202</f>
        <v>Sironko</v>
      </c>
      <c r="H202" s="78" t="s">
        <v>2414</v>
      </c>
    </row>
    <row r="203" spans="1:8">
      <c r="A203" s="77">
        <v>1088</v>
      </c>
      <c r="B203" s="78" t="s">
        <v>2145</v>
      </c>
      <c r="C203" s="78" t="s">
        <v>2145</v>
      </c>
      <c r="D203" s="78" t="s">
        <v>2148</v>
      </c>
      <c r="E203" s="78"/>
      <c r="F203" s="71" t="str">
        <f t="shared" si="10"/>
        <v>Bukiabi</v>
      </c>
      <c r="G203" s="71" t="str">
        <f t="shared" si="11"/>
        <v>Namisindwa</v>
      </c>
      <c r="H203" s="78" t="s">
        <v>2148</v>
      </c>
    </row>
    <row r="204" spans="1:8">
      <c r="A204" s="77">
        <v>919</v>
      </c>
      <c r="B204" s="78" t="s">
        <v>388</v>
      </c>
      <c r="C204" s="78" t="s">
        <v>389</v>
      </c>
      <c r="D204" s="78" t="s">
        <v>392</v>
      </c>
      <c r="E204" s="78"/>
      <c r="F204" s="71" t="str">
        <f t="shared" si="10"/>
        <v>Bukibokolo</v>
      </c>
      <c r="G204" s="71" t="str">
        <f t="shared" si="11"/>
        <v>Bududa</v>
      </c>
      <c r="H204" s="78" t="s">
        <v>392</v>
      </c>
    </row>
    <row r="205" spans="1:8">
      <c r="A205" s="77">
        <v>775</v>
      </c>
      <c r="B205" s="78" t="s">
        <v>228</v>
      </c>
      <c r="C205" s="78" t="s">
        <v>1886</v>
      </c>
      <c r="D205" s="78" t="s">
        <v>1890</v>
      </c>
      <c r="E205" s="78"/>
      <c r="F205" s="71" t="str">
        <f t="shared" si="10"/>
        <v>Bukiende</v>
      </c>
      <c r="G205" s="71" t="str">
        <f t="shared" si="11"/>
        <v>Mbale</v>
      </c>
      <c r="H205" s="78" t="s">
        <v>1890</v>
      </c>
    </row>
    <row r="206" spans="1:8">
      <c r="A206" s="77">
        <v>920</v>
      </c>
      <c r="B206" s="78" t="s">
        <v>388</v>
      </c>
      <c r="C206" s="78" t="s">
        <v>389</v>
      </c>
      <c r="D206" s="78" t="s">
        <v>393</v>
      </c>
      <c r="E206" s="78"/>
      <c r="F206" s="71" t="str">
        <f t="shared" si="10"/>
        <v>Bukigai</v>
      </c>
      <c r="G206" s="71" t="str">
        <f t="shared" si="11"/>
        <v>Bududa</v>
      </c>
      <c r="H206" s="78" t="s">
        <v>393</v>
      </c>
    </row>
    <row r="207" spans="1:8">
      <c r="A207" s="77">
        <v>869</v>
      </c>
      <c r="B207" s="78" t="s">
        <v>2410</v>
      </c>
      <c r="C207" s="78" t="s">
        <v>2411</v>
      </c>
      <c r="D207" s="78" t="s">
        <v>2415</v>
      </c>
      <c r="E207" s="78"/>
      <c r="F207" s="71" t="str">
        <f t="shared" si="10"/>
        <v>Bukiise</v>
      </c>
      <c r="G207" s="71" t="str">
        <f t="shared" si="11"/>
        <v>Sironko</v>
      </c>
      <c r="H207" s="78" t="s">
        <v>2415</v>
      </c>
    </row>
    <row r="208" spans="1:8">
      <c r="A208" s="77">
        <v>1218</v>
      </c>
      <c r="B208" s="78" t="s">
        <v>1593</v>
      </c>
      <c r="C208" s="78" t="s">
        <v>1594</v>
      </c>
      <c r="D208" s="78" t="s">
        <v>1592</v>
      </c>
      <c r="E208" s="78"/>
      <c r="F208" s="71" t="str">
        <f t="shared" si="10"/>
        <v>Bukimbiri</v>
      </c>
      <c r="G208" s="71" t="str">
        <f t="shared" si="11"/>
        <v>Kisoro</v>
      </c>
      <c r="H208" s="78" t="s">
        <v>1592</v>
      </c>
    </row>
    <row r="209" spans="1:8">
      <c r="A209" s="77">
        <v>1526</v>
      </c>
      <c r="B209" s="78" t="s">
        <v>2349</v>
      </c>
      <c r="C209" s="78" t="s">
        <v>2349</v>
      </c>
      <c r="D209" s="78" t="s">
        <v>2784</v>
      </c>
      <c r="E209" s="78"/>
      <c r="F209" s="71" t="str">
        <f t="shared" si="10"/>
        <v>Bukinda</v>
      </c>
      <c r="G209" s="71" t="str">
        <f t="shared" si="11"/>
        <v>Rukiga</v>
      </c>
      <c r="H209" s="78" t="s">
        <v>2784</v>
      </c>
    </row>
    <row r="210" spans="1:8">
      <c r="A210" s="77">
        <v>1245</v>
      </c>
      <c r="B210" s="78" t="s">
        <v>230</v>
      </c>
      <c r="C210" s="78" t="s">
        <v>1911</v>
      </c>
      <c r="D210" s="78" t="s">
        <v>1914</v>
      </c>
      <c r="E210" s="78"/>
      <c r="F210" s="71" t="str">
        <f t="shared" si="10"/>
        <v>Bukiro</v>
      </c>
      <c r="G210" s="71" t="str">
        <f t="shared" si="11"/>
        <v>Mbarara</v>
      </c>
      <c r="H210" s="78" t="s">
        <v>1914</v>
      </c>
    </row>
    <row r="211" spans="1:8">
      <c r="A211" s="77">
        <v>870</v>
      </c>
      <c r="B211" s="78" t="s">
        <v>2410</v>
      </c>
      <c r="C211" s="78" t="s">
        <v>2411</v>
      </c>
      <c r="D211" s="78" t="s">
        <v>2416</v>
      </c>
      <c r="E211" s="78"/>
      <c r="F211" s="71" t="str">
        <f t="shared" si="10"/>
        <v>Bukiyi</v>
      </c>
      <c r="G211" s="71" t="str">
        <f t="shared" si="11"/>
        <v>Sironko</v>
      </c>
      <c r="H211" s="78" t="s">
        <v>2416</v>
      </c>
    </row>
    <row r="212" spans="1:8">
      <c r="A212" s="77">
        <v>1089</v>
      </c>
      <c r="B212" s="78" t="s">
        <v>2145</v>
      </c>
      <c r="C212" s="78" t="s">
        <v>2145</v>
      </c>
      <c r="D212" s="78" t="s">
        <v>2149</v>
      </c>
      <c r="E212" s="78"/>
      <c r="F212" s="71" t="str">
        <f t="shared" si="10"/>
        <v>Bukokho</v>
      </c>
      <c r="G212" s="71" t="str">
        <f t="shared" si="11"/>
        <v>Namisindwa</v>
      </c>
      <c r="H212" s="78" t="s">
        <v>2149</v>
      </c>
    </row>
    <row r="213" spans="1:8" ht="15" customHeight="1">
      <c r="A213" s="77">
        <v>607</v>
      </c>
      <c r="B213" s="80" t="s">
        <v>453</v>
      </c>
      <c r="C213" s="80" t="s">
        <v>453</v>
      </c>
      <c r="D213" s="80" t="s">
        <v>454</v>
      </c>
      <c r="E213" s="78"/>
      <c r="F213" s="71" t="str">
        <f t="shared" si="10"/>
        <v>Bukomansimbi Town Council</v>
      </c>
      <c r="G213" s="71" t="str">
        <f t="shared" si="11"/>
        <v>Bukomansimbi</v>
      </c>
      <c r="H213" s="80" t="s">
        <v>454</v>
      </c>
    </row>
    <row r="214" spans="1:8">
      <c r="A214" s="77">
        <v>421</v>
      </c>
      <c r="B214" s="78" t="s">
        <v>1525</v>
      </c>
      <c r="C214" s="78" t="s">
        <v>1525</v>
      </c>
      <c r="D214" s="78" t="s">
        <v>1524</v>
      </c>
      <c r="E214" s="78"/>
      <c r="F214" s="71" t="str">
        <f t="shared" si="10"/>
        <v>Bukomero</v>
      </c>
      <c r="G214" s="71" t="str">
        <f t="shared" si="11"/>
        <v>Kiboga</v>
      </c>
      <c r="H214" s="78" t="s">
        <v>1524</v>
      </c>
    </row>
    <row r="215" spans="1:8">
      <c r="A215" s="77">
        <v>422</v>
      </c>
      <c r="B215" s="78" t="s">
        <v>1525</v>
      </c>
      <c r="C215" s="78" t="s">
        <v>1525</v>
      </c>
      <c r="D215" s="78" t="s">
        <v>1528</v>
      </c>
      <c r="E215" s="78"/>
      <c r="F215" s="71" t="str">
        <f t="shared" si="10"/>
        <v>Bukomero Town Council</v>
      </c>
      <c r="G215" s="71" t="str">
        <f t="shared" si="11"/>
        <v>Kiboga</v>
      </c>
      <c r="H215" s="78" t="s">
        <v>1528</v>
      </c>
    </row>
    <row r="216" spans="1:8">
      <c r="A216" s="77">
        <v>776</v>
      </c>
      <c r="B216" s="78" t="s">
        <v>228</v>
      </c>
      <c r="C216" s="78" t="s">
        <v>1886</v>
      </c>
      <c r="D216" s="78" t="s">
        <v>1891</v>
      </c>
      <c r="E216" s="78"/>
      <c r="F216" s="71" t="str">
        <f t="shared" si="10"/>
        <v>Bukonde</v>
      </c>
      <c r="G216" s="71" t="str">
        <f t="shared" si="11"/>
        <v>Mbale</v>
      </c>
      <c r="H216" s="78" t="s">
        <v>1891</v>
      </c>
    </row>
    <row r="217" spans="1:8">
      <c r="A217" s="77">
        <v>1102</v>
      </c>
      <c r="B217" s="78" t="s">
        <v>499</v>
      </c>
      <c r="C217" s="78" t="s">
        <v>503</v>
      </c>
      <c r="D217" s="78" t="s">
        <v>502</v>
      </c>
      <c r="E217" s="78"/>
      <c r="F217" s="71" t="str">
        <f t="shared" si="10"/>
        <v>Bukonzo</v>
      </c>
      <c r="G217" s="71" t="str">
        <f t="shared" si="11"/>
        <v>Bundibugyo</v>
      </c>
      <c r="H217" s="78" t="s">
        <v>502</v>
      </c>
    </row>
    <row r="218" spans="1:8">
      <c r="A218" s="77">
        <v>1047</v>
      </c>
      <c r="B218" s="78" t="s">
        <v>1759</v>
      </c>
      <c r="C218" s="78" t="s">
        <v>1759</v>
      </c>
      <c r="D218" s="78" t="s">
        <v>1760</v>
      </c>
      <c r="E218" s="78"/>
      <c r="F218" s="71" t="str">
        <f t="shared" si="10"/>
        <v>Bukooma</v>
      </c>
      <c r="G218" s="71" t="str">
        <f t="shared" si="11"/>
        <v>Luuka</v>
      </c>
      <c r="H218" s="78" t="s">
        <v>1760</v>
      </c>
    </row>
    <row r="219" spans="1:8">
      <c r="A219" s="77">
        <v>631</v>
      </c>
      <c r="B219" s="78" t="s">
        <v>892</v>
      </c>
      <c r="C219" s="78" t="s">
        <v>892</v>
      </c>
      <c r="D219" s="78" t="s">
        <v>891</v>
      </c>
      <c r="E219" s="78"/>
      <c r="F219" s="71" t="str">
        <f t="shared" si="10"/>
        <v>Bukulula</v>
      </c>
      <c r="G219" s="71" t="str">
        <f t="shared" si="11"/>
        <v>Kalungu</v>
      </c>
      <c r="H219" s="78" t="s">
        <v>891</v>
      </c>
    </row>
    <row r="220" spans="1:8">
      <c r="A220" s="77">
        <v>975</v>
      </c>
      <c r="B220" s="78" t="s">
        <v>1815</v>
      </c>
      <c r="C220" s="78" t="s">
        <v>1816</v>
      </c>
      <c r="D220" s="78" t="s">
        <v>1818</v>
      </c>
      <c r="E220" s="78"/>
      <c r="F220" s="71" t="str">
        <f t="shared" si="10"/>
        <v>Bukusu</v>
      </c>
      <c r="G220" s="71" t="str">
        <f t="shared" si="11"/>
        <v>Manafwa</v>
      </c>
      <c r="H220" s="78" t="s">
        <v>1818</v>
      </c>
    </row>
    <row r="221" spans="1:8">
      <c r="A221" s="77">
        <v>1162</v>
      </c>
      <c r="B221" s="78" t="s">
        <v>803</v>
      </c>
      <c r="C221" s="78" t="s">
        <v>804</v>
      </c>
      <c r="D221" s="78" t="s">
        <v>802</v>
      </c>
      <c r="E221" s="78"/>
      <c r="F221" s="71" t="str">
        <f t="shared" si="10"/>
        <v>Bukuuku</v>
      </c>
      <c r="G221" s="71" t="str">
        <f t="shared" si="11"/>
        <v>Kabarole</v>
      </c>
      <c r="H221" s="78" t="s">
        <v>802</v>
      </c>
    </row>
    <row r="222" spans="1:8">
      <c r="A222" s="77">
        <v>467</v>
      </c>
      <c r="B222" s="78" t="s">
        <v>2026</v>
      </c>
      <c r="C222" s="78" t="s">
        <v>2029</v>
      </c>
      <c r="D222" s="78" t="s">
        <v>2028</v>
      </c>
      <c r="E222" s="78"/>
      <c r="F222" s="71" t="str">
        <f t="shared" si="10"/>
        <v>Bukuya</v>
      </c>
      <c r="G222" s="71" t="str">
        <f t="shared" si="11"/>
        <v>Mubende</v>
      </c>
      <c r="H222" s="78" t="s">
        <v>2028</v>
      </c>
    </row>
    <row r="223" spans="1:8">
      <c r="A223" s="77">
        <v>937</v>
      </c>
      <c r="B223" s="78" t="s">
        <v>458</v>
      </c>
      <c r="C223" s="78" t="s">
        <v>459</v>
      </c>
      <c r="D223" s="78" t="s">
        <v>458</v>
      </c>
      <c r="E223" s="78"/>
      <c r="F223" s="71" t="str">
        <f t="shared" si="10"/>
        <v>Bukwo</v>
      </c>
      <c r="G223" s="71" t="str">
        <f t="shared" si="11"/>
        <v>Bukwo</v>
      </c>
      <c r="H223" s="78" t="s">
        <v>458</v>
      </c>
    </row>
    <row r="224" spans="1:8">
      <c r="A224" s="77">
        <v>938</v>
      </c>
      <c r="B224" s="78" t="s">
        <v>458</v>
      </c>
      <c r="C224" s="78" t="s">
        <v>459</v>
      </c>
      <c r="D224" s="78" t="s">
        <v>460</v>
      </c>
      <c r="E224" s="78"/>
      <c r="F224" s="71" t="str">
        <f t="shared" si="10"/>
        <v>Bukwo Town Council</v>
      </c>
      <c r="G224" s="71" t="str">
        <f t="shared" si="11"/>
        <v>Bukwo</v>
      </c>
      <c r="H224" s="78" t="s">
        <v>460</v>
      </c>
    </row>
    <row r="225" spans="1:8">
      <c r="A225" s="77">
        <v>871</v>
      </c>
      <c r="B225" s="78" t="s">
        <v>2410</v>
      </c>
      <c r="C225" s="78" t="s">
        <v>2411</v>
      </c>
      <c r="D225" s="78" t="s">
        <v>2417</v>
      </c>
      <c r="E225" s="78"/>
      <c r="F225" s="71" t="str">
        <f t="shared" si="10"/>
        <v>Bukyabo</v>
      </c>
      <c r="G225" s="71" t="str">
        <f t="shared" si="11"/>
        <v>Sironko</v>
      </c>
      <c r="H225" s="78" t="s">
        <v>2417</v>
      </c>
    </row>
    <row r="226" spans="1:8">
      <c r="A226" s="77">
        <v>872</v>
      </c>
      <c r="B226" s="78" t="s">
        <v>2410</v>
      </c>
      <c r="C226" s="78" t="s">
        <v>2411</v>
      </c>
      <c r="D226" s="78" t="s">
        <v>2418</v>
      </c>
      <c r="E226" s="78"/>
      <c r="F226" s="71" t="str">
        <f t="shared" si="10"/>
        <v>Bukyambi</v>
      </c>
      <c r="G226" s="71" t="str">
        <f t="shared" si="11"/>
        <v>Sironko</v>
      </c>
      <c r="H226" s="78" t="s">
        <v>2418</v>
      </c>
    </row>
    <row r="227" spans="1:8">
      <c r="A227" s="77">
        <v>1001</v>
      </c>
      <c r="B227" s="78" t="s">
        <v>472</v>
      </c>
      <c r="C227" s="78" t="s">
        <v>472</v>
      </c>
      <c r="D227" s="78" t="s">
        <v>474</v>
      </c>
      <c r="E227" s="78"/>
      <c r="F227" s="71" t="str">
        <f t="shared" si="10"/>
        <v>Bulaago</v>
      </c>
      <c r="G227" s="71" t="str">
        <f t="shared" si="11"/>
        <v>Bulambuli</v>
      </c>
      <c r="H227" s="78" t="s">
        <v>474</v>
      </c>
    </row>
    <row r="228" spans="1:8">
      <c r="A228" s="77">
        <v>1002</v>
      </c>
      <c r="B228" s="78" t="s">
        <v>472</v>
      </c>
      <c r="C228" s="78" t="s">
        <v>472</v>
      </c>
      <c r="D228" s="78" t="s">
        <v>475</v>
      </c>
      <c r="E228" s="78"/>
      <c r="F228" s="71" t="str">
        <f t="shared" si="10"/>
        <v>Bulambuli Town Council</v>
      </c>
      <c r="G228" s="71" t="str">
        <f t="shared" si="11"/>
        <v>Bulambuli</v>
      </c>
      <c r="H228" s="78" t="s">
        <v>475</v>
      </c>
    </row>
    <row r="229" spans="1:8">
      <c r="A229" s="77">
        <v>705</v>
      </c>
      <c r="B229" s="78" t="s">
        <v>688</v>
      </c>
      <c r="C229" s="78" t="s">
        <v>689</v>
      </c>
      <c r="D229" s="78" t="s">
        <v>687</v>
      </c>
      <c r="E229" s="78"/>
      <c r="F229" s="71" t="str">
        <f t="shared" ref="F229:F292" si="12">D229</f>
        <v>Bulamogi</v>
      </c>
      <c r="G229" s="71" t="str">
        <f t="shared" si="11"/>
        <v>Iganga</v>
      </c>
      <c r="H229" s="78" t="s">
        <v>687</v>
      </c>
    </row>
    <row r="230" spans="1:8">
      <c r="A230" s="77">
        <v>990</v>
      </c>
      <c r="B230" s="78" t="s">
        <v>2163</v>
      </c>
      <c r="C230" s="78" t="s">
        <v>2164</v>
      </c>
      <c r="D230" s="78" t="s">
        <v>2162</v>
      </c>
      <c r="E230" s="78"/>
      <c r="F230" s="71" t="str">
        <f t="shared" si="12"/>
        <v>Bulange</v>
      </c>
      <c r="G230" s="71" t="str">
        <f t="shared" si="11"/>
        <v>Namutumba</v>
      </c>
      <c r="H230" s="78" t="s">
        <v>2162</v>
      </c>
    </row>
    <row r="231" spans="1:8">
      <c r="A231" s="77">
        <v>1024</v>
      </c>
      <c r="B231" s="78" t="s">
        <v>1538</v>
      </c>
      <c r="C231" s="78" t="s">
        <v>1538</v>
      </c>
      <c r="D231" s="78" t="s">
        <v>1537</v>
      </c>
      <c r="E231" s="78"/>
      <c r="F231" s="71" t="str">
        <f t="shared" si="12"/>
        <v>Bulangira</v>
      </c>
      <c r="G231" s="71" t="str">
        <f t="shared" si="11"/>
        <v>Kibuku</v>
      </c>
      <c r="H231" s="78" t="s">
        <v>1537</v>
      </c>
    </row>
    <row r="232" spans="1:8">
      <c r="A232" s="77">
        <v>1003</v>
      </c>
      <c r="B232" s="78" t="s">
        <v>472</v>
      </c>
      <c r="C232" s="78" t="s">
        <v>472</v>
      </c>
      <c r="D232" s="78" t="s">
        <v>476</v>
      </c>
      <c r="E232" s="78"/>
      <c r="F232" s="71" t="str">
        <f t="shared" si="12"/>
        <v>Bulegeni</v>
      </c>
      <c r="G232" s="71" t="str">
        <f t="shared" si="11"/>
        <v>Bulambuli</v>
      </c>
      <c r="H232" s="78" t="s">
        <v>476</v>
      </c>
    </row>
    <row r="233" spans="1:8">
      <c r="A233" s="77">
        <v>1017</v>
      </c>
      <c r="B233" s="78" t="s">
        <v>472</v>
      </c>
      <c r="C233" s="78" t="s">
        <v>472</v>
      </c>
      <c r="D233" s="78" t="s">
        <v>477</v>
      </c>
      <c r="E233" s="78"/>
      <c r="F233" s="71" t="str">
        <f t="shared" si="12"/>
        <v>Bulegeni Town Council</v>
      </c>
      <c r="G233" s="71" t="str">
        <f t="shared" si="11"/>
        <v>Bulambuli</v>
      </c>
      <c r="H233" s="78" t="s">
        <v>477</v>
      </c>
    </row>
    <row r="234" spans="1:8" ht="25.5">
      <c r="A234" s="77">
        <v>1205</v>
      </c>
      <c r="B234" s="80" t="s">
        <v>37</v>
      </c>
      <c r="C234" s="81" t="s">
        <v>1462</v>
      </c>
      <c r="D234" s="80" t="s">
        <v>2785</v>
      </c>
      <c r="E234" s="80"/>
      <c r="F234" s="72" t="str">
        <f>VLOOKUP(C234,[2]Municipalities!$C$9:$F$1522,4,FALSE)</f>
        <v>Kasese Municipality</v>
      </c>
      <c r="G234" s="71" t="str">
        <f t="shared" si="11"/>
        <v>Kasese</v>
      </c>
      <c r="H234" s="80" t="s">
        <v>2785</v>
      </c>
    </row>
    <row r="235" spans="1:8">
      <c r="A235" s="77">
        <v>570</v>
      </c>
      <c r="B235" s="78" t="s">
        <v>1968</v>
      </c>
      <c r="C235" s="78" t="s">
        <v>1968</v>
      </c>
      <c r="D235" s="78" t="s">
        <v>1970</v>
      </c>
      <c r="E235" s="78"/>
      <c r="F235" s="71" t="str">
        <f t="shared" si="12"/>
        <v>Bulera</v>
      </c>
      <c r="G235" s="71" t="str">
        <f t="shared" si="11"/>
        <v>Mityana</v>
      </c>
      <c r="H235" s="78" t="s">
        <v>1970</v>
      </c>
    </row>
    <row r="236" spans="1:8">
      <c r="A236" s="77">
        <v>672</v>
      </c>
      <c r="B236" s="78" t="s">
        <v>405</v>
      </c>
      <c r="C236" s="78" t="s">
        <v>406</v>
      </c>
      <c r="D236" s="78" t="s">
        <v>408</v>
      </c>
      <c r="E236" s="78"/>
      <c r="F236" s="71" t="str">
        <f t="shared" si="12"/>
        <v>Bulesa</v>
      </c>
      <c r="G236" s="71" t="str">
        <f t="shared" si="11"/>
        <v>Bugiri</v>
      </c>
      <c r="H236" s="78" t="s">
        <v>408</v>
      </c>
    </row>
    <row r="237" spans="1:8">
      <c r="A237" s="77">
        <v>673</v>
      </c>
      <c r="B237" s="78" t="s">
        <v>405</v>
      </c>
      <c r="C237" s="78" t="s">
        <v>406</v>
      </c>
      <c r="D237" s="78" t="s">
        <v>409</v>
      </c>
      <c r="E237" s="78"/>
      <c r="F237" s="71" t="str">
        <f t="shared" si="12"/>
        <v>Bulidha</v>
      </c>
      <c r="G237" s="71" t="str">
        <f t="shared" si="11"/>
        <v>Bugiri</v>
      </c>
      <c r="H237" s="78" t="s">
        <v>409</v>
      </c>
    </row>
    <row r="238" spans="1:8">
      <c r="A238" s="77">
        <v>1347</v>
      </c>
      <c r="B238" s="78" t="s">
        <v>492</v>
      </c>
      <c r="C238" s="78" t="s">
        <v>492</v>
      </c>
      <c r="D238" s="78" t="s">
        <v>492</v>
      </c>
      <c r="E238" s="78"/>
      <c r="F238" s="71" t="str">
        <f t="shared" si="12"/>
        <v>Buliisa</v>
      </c>
      <c r="G238" s="71" t="str">
        <f t="shared" si="11"/>
        <v>Buliisa</v>
      </c>
      <c r="H238" s="78" t="s">
        <v>492</v>
      </c>
    </row>
    <row r="239" spans="1:8">
      <c r="A239" s="77">
        <v>1348</v>
      </c>
      <c r="B239" s="78" t="s">
        <v>492</v>
      </c>
      <c r="C239" s="78" t="s">
        <v>492</v>
      </c>
      <c r="D239" s="78" t="s">
        <v>493</v>
      </c>
      <c r="E239" s="78"/>
      <c r="F239" s="71" t="str">
        <f t="shared" si="12"/>
        <v>Buliisa Town Council</v>
      </c>
      <c r="G239" s="71" t="str">
        <f t="shared" si="11"/>
        <v>Buliisa</v>
      </c>
      <c r="H239" s="78" t="s">
        <v>493</v>
      </c>
    </row>
    <row r="240" spans="1:8">
      <c r="A240" s="77">
        <v>612</v>
      </c>
      <c r="B240" s="78" t="s">
        <v>586</v>
      </c>
      <c r="C240" s="78" t="s">
        <v>586</v>
      </c>
      <c r="D240" s="78" t="s">
        <v>587</v>
      </c>
      <c r="E240" s="78"/>
      <c r="F240" s="71" t="str">
        <f t="shared" si="12"/>
        <v>Bulo</v>
      </c>
      <c r="G240" s="71" t="str">
        <f t="shared" si="11"/>
        <v>Butambala</v>
      </c>
      <c r="H240" s="78" t="s">
        <v>587</v>
      </c>
    </row>
    <row r="241" spans="1:8">
      <c r="A241" s="77">
        <v>1048</v>
      </c>
      <c r="B241" s="78" t="s">
        <v>1759</v>
      </c>
      <c r="C241" s="78" t="s">
        <v>1759</v>
      </c>
      <c r="D241" s="78" t="s">
        <v>1761</v>
      </c>
      <c r="E241" s="78"/>
      <c r="F241" s="71" t="str">
        <f t="shared" si="12"/>
        <v>Bulongo</v>
      </c>
      <c r="G241" s="71" t="str">
        <f t="shared" si="11"/>
        <v>Luuka</v>
      </c>
      <c r="H241" s="78" t="s">
        <v>1761</v>
      </c>
    </row>
    <row r="242" spans="1:8">
      <c r="A242" s="77">
        <v>726</v>
      </c>
      <c r="B242" s="78" t="s">
        <v>1376</v>
      </c>
      <c r="C242" s="78" t="s">
        <v>1377</v>
      </c>
      <c r="D242" s="78" t="s">
        <v>1380</v>
      </c>
      <c r="E242" s="78"/>
      <c r="F242" s="71" t="str">
        <f t="shared" si="12"/>
        <v>Bulopa</v>
      </c>
      <c r="G242" s="71" t="str">
        <f t="shared" si="11"/>
        <v>Kamuli</v>
      </c>
      <c r="H242" s="78" t="s">
        <v>1380</v>
      </c>
    </row>
    <row r="243" spans="1:8">
      <c r="A243" s="77">
        <v>921</v>
      </c>
      <c r="B243" s="78" t="s">
        <v>388</v>
      </c>
      <c r="C243" s="78" t="s">
        <v>389</v>
      </c>
      <c r="D243" s="78" t="s">
        <v>394</v>
      </c>
      <c r="E243" s="78"/>
      <c r="F243" s="71" t="str">
        <f t="shared" si="12"/>
        <v>Bulucheke</v>
      </c>
      <c r="G243" s="71" t="str">
        <f t="shared" si="11"/>
        <v>Bududa</v>
      </c>
      <c r="H243" s="78" t="s">
        <v>394</v>
      </c>
    </row>
    <row r="244" spans="1:8">
      <c r="A244" s="77">
        <v>1005</v>
      </c>
      <c r="B244" s="78" t="s">
        <v>472</v>
      </c>
      <c r="C244" s="78" t="s">
        <v>472</v>
      </c>
      <c r="D244" s="78" t="s">
        <v>478</v>
      </c>
      <c r="E244" s="78"/>
      <c r="F244" s="71" t="str">
        <f t="shared" si="12"/>
        <v>Buluganya</v>
      </c>
      <c r="G244" s="71" t="str">
        <f t="shared" si="11"/>
        <v>Bulambuli</v>
      </c>
      <c r="H244" s="78" t="s">
        <v>478</v>
      </c>
    </row>
    <row r="245" spans="1:8">
      <c r="A245" s="77">
        <v>674</v>
      </c>
      <c r="B245" s="78" t="s">
        <v>405</v>
      </c>
      <c r="C245" s="78" t="s">
        <v>406</v>
      </c>
      <c r="D245" s="78" t="s">
        <v>410</v>
      </c>
      <c r="E245" s="78"/>
      <c r="F245" s="71" t="str">
        <f t="shared" si="12"/>
        <v>Buluguyi</v>
      </c>
      <c r="G245" s="71" t="str">
        <f t="shared" si="11"/>
        <v>Bugiri</v>
      </c>
      <c r="H245" s="78" t="s">
        <v>410</v>
      </c>
    </row>
    <row r="246" spans="1:8">
      <c r="A246" s="77">
        <v>847</v>
      </c>
      <c r="B246" s="78" t="s">
        <v>825</v>
      </c>
      <c r="C246" s="78" t="s">
        <v>827</v>
      </c>
      <c r="D246" s="78" t="s">
        <v>830</v>
      </c>
      <c r="E246" s="78"/>
      <c r="F246" s="71" t="str">
        <f t="shared" si="12"/>
        <v>Bululu</v>
      </c>
      <c r="G246" s="71" t="str">
        <f t="shared" si="11"/>
        <v>Kaberamaido</v>
      </c>
      <c r="H246" s="78" t="s">
        <v>830</v>
      </c>
    </row>
    <row r="247" spans="1:8">
      <c r="A247" s="77">
        <v>684</v>
      </c>
      <c r="B247" s="78" t="s">
        <v>555</v>
      </c>
      <c r="C247" s="78" t="s">
        <v>556</v>
      </c>
      <c r="D247" s="78" t="s">
        <v>557</v>
      </c>
      <c r="E247" s="78"/>
      <c r="F247" s="71" t="str">
        <f t="shared" si="12"/>
        <v>Bulumbi</v>
      </c>
      <c r="G247" s="71" t="str">
        <f t="shared" si="11"/>
        <v>Busia</v>
      </c>
      <c r="H247" s="78" t="s">
        <v>557</v>
      </c>
    </row>
    <row r="248" spans="1:8">
      <c r="A248" s="77">
        <v>873</v>
      </c>
      <c r="B248" s="78" t="s">
        <v>2410</v>
      </c>
      <c r="C248" s="78" t="s">
        <v>2411</v>
      </c>
      <c r="D248" s="78" t="s">
        <v>2419</v>
      </c>
      <c r="E248" s="78"/>
      <c r="F248" s="71" t="str">
        <f t="shared" si="12"/>
        <v>Bumalimba</v>
      </c>
      <c r="G248" s="71" t="str">
        <f t="shared" si="11"/>
        <v>Sironko</v>
      </c>
      <c r="H248" s="78" t="s">
        <v>2419</v>
      </c>
    </row>
    <row r="249" spans="1:8">
      <c r="A249" s="77">
        <v>963</v>
      </c>
      <c r="B249" s="78" t="s">
        <v>878</v>
      </c>
      <c r="C249" s="78" t="s">
        <v>687</v>
      </c>
      <c r="D249" s="78" t="s">
        <v>880</v>
      </c>
      <c r="E249" s="78"/>
      <c r="F249" s="71" t="str">
        <f t="shared" si="12"/>
        <v>Bumanya</v>
      </c>
      <c r="G249" s="71" t="str">
        <f t="shared" si="11"/>
        <v>Kaliro</v>
      </c>
      <c r="H249" s="78" t="s">
        <v>880</v>
      </c>
    </row>
    <row r="250" spans="1:8">
      <c r="A250" s="77">
        <v>922</v>
      </c>
      <c r="B250" s="78" t="s">
        <v>388</v>
      </c>
      <c r="C250" s="78" t="s">
        <v>389</v>
      </c>
      <c r="D250" s="78" t="s">
        <v>395</v>
      </c>
      <c r="E250" s="78"/>
      <c r="F250" s="71" t="str">
        <f t="shared" si="12"/>
        <v>Bumasheti</v>
      </c>
      <c r="G250" s="71" t="str">
        <f t="shared" si="11"/>
        <v>Bududa</v>
      </c>
      <c r="H250" s="78" t="s">
        <v>395</v>
      </c>
    </row>
    <row r="251" spans="1:8">
      <c r="A251" s="77">
        <v>874</v>
      </c>
      <c r="B251" s="78" t="s">
        <v>2410</v>
      </c>
      <c r="C251" s="78" t="s">
        <v>2411</v>
      </c>
      <c r="D251" s="78" t="s">
        <v>2420</v>
      </c>
      <c r="E251" s="78"/>
      <c r="F251" s="71" t="str">
        <f t="shared" si="12"/>
        <v>Bumasifwa</v>
      </c>
      <c r="G251" s="71" t="str">
        <f t="shared" si="11"/>
        <v>Sironko</v>
      </c>
      <c r="H251" s="78" t="s">
        <v>2420</v>
      </c>
    </row>
    <row r="252" spans="1:8">
      <c r="A252" s="77">
        <v>777</v>
      </c>
      <c r="B252" s="78" t="s">
        <v>228</v>
      </c>
      <c r="C252" s="78" t="s">
        <v>1886</v>
      </c>
      <c r="D252" s="78" t="s">
        <v>1892</v>
      </c>
      <c r="E252" s="78"/>
      <c r="F252" s="71" t="str">
        <f t="shared" si="12"/>
        <v>Bumasikye</v>
      </c>
      <c r="G252" s="71" t="str">
        <f t="shared" si="11"/>
        <v>Mbale</v>
      </c>
      <c r="H252" s="78" t="s">
        <v>1892</v>
      </c>
    </row>
    <row r="253" spans="1:8">
      <c r="A253" s="77">
        <v>1006</v>
      </c>
      <c r="B253" s="78" t="s">
        <v>472</v>
      </c>
      <c r="C253" s="78" t="s">
        <v>472</v>
      </c>
      <c r="D253" s="78" t="s">
        <v>479</v>
      </c>
      <c r="E253" s="78"/>
      <c r="F253" s="71" t="str">
        <f t="shared" si="12"/>
        <v>Bumasobo</v>
      </c>
      <c r="G253" s="71" t="str">
        <f t="shared" si="11"/>
        <v>Bulambuli</v>
      </c>
      <c r="H253" s="78" t="s">
        <v>479</v>
      </c>
    </row>
    <row r="254" spans="1:8">
      <c r="A254" s="77">
        <v>923</v>
      </c>
      <c r="B254" s="78" t="s">
        <v>388</v>
      </c>
      <c r="C254" s="78" t="s">
        <v>389</v>
      </c>
      <c r="D254" s="78" t="s">
        <v>396</v>
      </c>
      <c r="E254" s="78"/>
      <c r="F254" s="71" t="str">
        <f t="shared" si="12"/>
        <v>Bumayoka</v>
      </c>
      <c r="G254" s="71" t="str">
        <f t="shared" si="11"/>
        <v>Bududa</v>
      </c>
      <c r="H254" s="78" t="s">
        <v>396</v>
      </c>
    </row>
    <row r="255" spans="1:8">
      <c r="A255" s="77">
        <v>1126</v>
      </c>
      <c r="B255" s="78" t="s">
        <v>39</v>
      </c>
      <c r="C255" s="78" t="s">
        <v>535</v>
      </c>
      <c r="D255" s="78" t="s">
        <v>536</v>
      </c>
      <c r="E255" s="78"/>
      <c r="F255" s="71" t="str">
        <f t="shared" si="12"/>
        <v>Bumbaire</v>
      </c>
      <c r="G255" s="71" t="str">
        <f t="shared" si="11"/>
        <v>Bushenyi</v>
      </c>
      <c r="H255" s="78" t="s">
        <v>536</v>
      </c>
    </row>
    <row r="256" spans="1:8">
      <c r="A256" s="77">
        <v>1090</v>
      </c>
      <c r="B256" s="78" t="s">
        <v>2145</v>
      </c>
      <c r="C256" s="78" t="s">
        <v>2145</v>
      </c>
      <c r="D256" s="78" t="s">
        <v>2150</v>
      </c>
      <c r="E256" s="78"/>
      <c r="F256" s="71" t="str">
        <f t="shared" si="12"/>
        <v>Bumbo</v>
      </c>
      <c r="G256" s="71" t="str">
        <f t="shared" si="11"/>
        <v>Namisindwa</v>
      </c>
      <c r="H256" s="78" t="s">
        <v>2150</v>
      </c>
    </row>
    <row r="257" spans="1:8">
      <c r="A257" s="77">
        <v>778</v>
      </c>
      <c r="B257" s="78" t="s">
        <v>228</v>
      </c>
      <c r="C257" s="78" t="s">
        <v>1886</v>
      </c>
      <c r="D257" s="78" t="s">
        <v>1893</v>
      </c>
      <c r="E257" s="78"/>
      <c r="F257" s="71" t="str">
        <f t="shared" si="12"/>
        <v>Bumbobi</v>
      </c>
      <c r="G257" s="71" t="str">
        <f t="shared" si="11"/>
        <v>Mbale</v>
      </c>
      <c r="H257" s="78" t="s">
        <v>1893</v>
      </c>
    </row>
    <row r="258" spans="1:8">
      <c r="A258" s="77">
        <v>1007</v>
      </c>
      <c r="B258" s="78" t="s">
        <v>472</v>
      </c>
      <c r="C258" s="78" t="s">
        <v>472</v>
      </c>
      <c r="D258" s="78" t="s">
        <v>480</v>
      </c>
      <c r="E258" s="78"/>
      <c r="F258" s="71" t="str">
        <f t="shared" si="12"/>
        <v>Bumugibole</v>
      </c>
      <c r="G258" s="71" t="str">
        <f t="shared" si="11"/>
        <v>Bulambuli</v>
      </c>
      <c r="H258" s="78" t="s">
        <v>480</v>
      </c>
    </row>
    <row r="259" spans="1:8">
      <c r="A259" s="77">
        <v>1091</v>
      </c>
      <c r="B259" s="78" t="s">
        <v>2145</v>
      </c>
      <c r="C259" s="78" t="s">
        <v>2145</v>
      </c>
      <c r="D259" s="78" t="s">
        <v>2151</v>
      </c>
      <c r="E259" s="78"/>
      <c r="F259" s="71" t="str">
        <f t="shared" si="12"/>
        <v>Bumwoni</v>
      </c>
      <c r="G259" s="71" t="str">
        <f t="shared" si="11"/>
        <v>Namisindwa</v>
      </c>
      <c r="H259" s="78" t="s">
        <v>2151</v>
      </c>
    </row>
    <row r="260" spans="1:8">
      <c r="A260" s="77">
        <v>976</v>
      </c>
      <c r="B260" s="78" t="s">
        <v>1815</v>
      </c>
      <c r="C260" s="78" t="s">
        <v>1816</v>
      </c>
      <c r="D260" s="78" t="s">
        <v>1819</v>
      </c>
      <c r="E260" s="78"/>
      <c r="F260" s="71" t="str">
        <f t="shared" si="12"/>
        <v>Bunabwana</v>
      </c>
      <c r="G260" s="71" t="str">
        <f t="shared" si="11"/>
        <v>Manafwa</v>
      </c>
      <c r="H260" s="78" t="s">
        <v>1819</v>
      </c>
    </row>
    <row r="261" spans="1:8">
      <c r="A261" s="77">
        <v>1008</v>
      </c>
      <c r="B261" s="78" t="s">
        <v>472</v>
      </c>
      <c r="C261" s="78" t="s">
        <v>472</v>
      </c>
      <c r="D261" s="78" t="s">
        <v>481</v>
      </c>
      <c r="E261" s="78"/>
      <c r="F261" s="71" t="str">
        <f t="shared" si="12"/>
        <v>Bunambutye</v>
      </c>
      <c r="G261" s="71" t="str">
        <f t="shared" si="11"/>
        <v>Bulambuli</v>
      </c>
      <c r="H261" s="78" t="s">
        <v>481</v>
      </c>
    </row>
    <row r="262" spans="1:8" ht="38.25">
      <c r="A262" s="77">
        <v>552</v>
      </c>
      <c r="B262" s="80" t="s">
        <v>2477</v>
      </c>
      <c r="C262" s="81" t="s">
        <v>2478</v>
      </c>
      <c r="D262" s="80" t="s">
        <v>2786</v>
      </c>
      <c r="E262" s="80"/>
      <c r="F262" s="72" t="str">
        <f>VLOOKUP(C262,[2]Municipalities!$C$9:$F$1522,4,FALSE)</f>
        <v>Bunamwaya</v>
      </c>
      <c r="G262" s="71" t="str">
        <f t="shared" si="11"/>
        <v>Wakiso</v>
      </c>
      <c r="H262" s="80" t="s">
        <v>2786</v>
      </c>
    </row>
    <row r="263" spans="1:8">
      <c r="A263" s="77">
        <v>1114</v>
      </c>
      <c r="B263" s="78" t="s">
        <v>499</v>
      </c>
      <c r="C263" s="78" t="s">
        <v>500</v>
      </c>
      <c r="D263" s="78" t="s">
        <v>504</v>
      </c>
      <c r="E263" s="78"/>
      <c r="F263" s="71" t="str">
        <f t="shared" si="12"/>
        <v>Bundibugyo Town Council</v>
      </c>
      <c r="G263" s="71" t="str">
        <f t="shared" si="11"/>
        <v>Bundibugyo</v>
      </c>
      <c r="H263" s="78" t="s">
        <v>504</v>
      </c>
    </row>
    <row r="264" spans="1:8">
      <c r="A264" s="77">
        <v>1116</v>
      </c>
      <c r="B264" s="78" t="s">
        <v>499</v>
      </c>
      <c r="C264" s="78" t="s">
        <v>500</v>
      </c>
      <c r="D264" s="78" t="s">
        <v>506</v>
      </c>
      <c r="E264" s="78"/>
      <c r="F264" s="71" t="str">
        <f t="shared" si="12"/>
        <v>Bundingoma</v>
      </c>
      <c r="G264" s="71" t="str">
        <f t="shared" si="11"/>
        <v>Bundibugyo</v>
      </c>
      <c r="H264" s="78" t="s">
        <v>506</v>
      </c>
    </row>
    <row r="265" spans="1:8">
      <c r="A265" s="77">
        <v>51</v>
      </c>
      <c r="B265" s="78" t="s">
        <v>172</v>
      </c>
      <c r="C265" s="78" t="s">
        <v>640</v>
      </c>
      <c r="D265" s="78" t="s">
        <v>641</v>
      </c>
      <c r="E265" s="78"/>
      <c r="F265" s="71" t="str">
        <f t="shared" si="12"/>
        <v>Bungatira</v>
      </c>
      <c r="G265" s="71" t="str">
        <f t="shared" si="11"/>
        <v>Gulu</v>
      </c>
      <c r="H265" s="78" t="s">
        <v>641</v>
      </c>
    </row>
    <row r="266" spans="1:8">
      <c r="A266" s="77">
        <v>779</v>
      </c>
      <c r="B266" s="78" t="s">
        <v>228</v>
      </c>
      <c r="C266" s="78" t="s">
        <v>1886</v>
      </c>
      <c r="D266" s="78" t="s">
        <v>1886</v>
      </c>
      <c r="E266" s="78"/>
      <c r="F266" s="71" t="str">
        <f t="shared" si="12"/>
        <v>Bungokho</v>
      </c>
      <c r="G266" s="71" t="str">
        <f t="shared" ref="G266:G329" si="13">B266</f>
        <v>Mbale</v>
      </c>
      <c r="H266" s="78" t="s">
        <v>1886</v>
      </c>
    </row>
    <row r="267" spans="1:8">
      <c r="A267" s="77">
        <v>780</v>
      </c>
      <c r="B267" s="78" t="s">
        <v>228</v>
      </c>
      <c r="C267" s="78" t="s">
        <v>1886</v>
      </c>
      <c r="D267" s="78" t="s">
        <v>1894</v>
      </c>
      <c r="E267" s="78"/>
      <c r="F267" s="71" t="str">
        <f t="shared" si="12"/>
        <v>Bungokho Mutoto</v>
      </c>
      <c r="G267" s="71" t="str">
        <f t="shared" si="13"/>
        <v>Mbale</v>
      </c>
      <c r="H267" s="78" t="s">
        <v>1894</v>
      </c>
    </row>
    <row r="268" spans="1:8">
      <c r="A268" s="77">
        <v>875</v>
      </c>
      <c r="B268" s="78" t="s">
        <v>2410</v>
      </c>
      <c r="C268" s="78" t="s">
        <v>2411</v>
      </c>
      <c r="D268" s="78" t="s">
        <v>2421</v>
      </c>
      <c r="E268" s="78"/>
      <c r="F268" s="71" t="str">
        <f t="shared" si="12"/>
        <v>Bunyafa</v>
      </c>
      <c r="G268" s="71" t="str">
        <f t="shared" si="13"/>
        <v>Sironko</v>
      </c>
      <c r="H268" s="78" t="s">
        <v>2421</v>
      </c>
    </row>
    <row r="269" spans="1:8">
      <c r="A269" s="77">
        <v>988</v>
      </c>
      <c r="B269" s="78" t="s">
        <v>1815</v>
      </c>
      <c r="C269" s="78" t="s">
        <v>1816</v>
      </c>
      <c r="D269" s="78" t="s">
        <v>1820</v>
      </c>
      <c r="E269" s="78"/>
      <c r="F269" s="71" t="str">
        <f t="shared" si="12"/>
        <v>Bunyinza Town Council</v>
      </c>
      <c r="G269" s="71" t="str">
        <f t="shared" si="13"/>
        <v>Manafwa</v>
      </c>
      <c r="H269" s="78" t="s">
        <v>1820</v>
      </c>
    </row>
    <row r="270" spans="1:8">
      <c r="A270" s="77">
        <v>1092</v>
      </c>
      <c r="B270" s="78" t="s">
        <v>2145</v>
      </c>
      <c r="C270" s="78" t="s">
        <v>2145</v>
      </c>
      <c r="D270" s="78" t="s">
        <v>2152</v>
      </c>
      <c r="E270" s="78"/>
      <c r="F270" s="71" t="str">
        <f t="shared" si="12"/>
        <v>Bupoto</v>
      </c>
      <c r="G270" s="71" t="str">
        <f t="shared" si="13"/>
        <v>Namisindwa</v>
      </c>
      <c r="H270" s="78" t="s">
        <v>2152</v>
      </c>
    </row>
    <row r="271" spans="1:8">
      <c r="A271" s="77">
        <v>1387</v>
      </c>
      <c r="B271" s="78" t="s">
        <v>1548</v>
      </c>
      <c r="C271" s="78" t="s">
        <v>1549</v>
      </c>
      <c r="D271" s="78" t="s">
        <v>1547</v>
      </c>
      <c r="E271" s="78"/>
      <c r="F271" s="71" t="str">
        <f t="shared" si="12"/>
        <v>Buremba</v>
      </c>
      <c r="G271" s="71" t="str">
        <f t="shared" si="13"/>
        <v>Kiruhura</v>
      </c>
      <c r="H271" s="78" t="s">
        <v>1547</v>
      </c>
    </row>
    <row r="272" spans="1:8">
      <c r="A272" s="77">
        <v>1407</v>
      </c>
      <c r="B272" s="78" t="s">
        <v>418</v>
      </c>
      <c r="C272" s="78" t="s">
        <v>418</v>
      </c>
      <c r="D272" s="78" t="s">
        <v>421</v>
      </c>
      <c r="E272" s="78"/>
      <c r="F272" s="71" t="str">
        <f t="shared" si="12"/>
        <v>Burere</v>
      </c>
      <c r="G272" s="71" t="str">
        <f t="shared" si="13"/>
        <v>Buhweju</v>
      </c>
      <c r="H272" s="78" t="s">
        <v>421</v>
      </c>
    </row>
    <row r="273" spans="1:8">
      <c r="A273" s="77">
        <v>1109</v>
      </c>
      <c r="B273" s="78" t="s">
        <v>499</v>
      </c>
      <c r="C273" s="78" t="s">
        <v>503</v>
      </c>
      <c r="D273" s="78" t="s">
        <v>507</v>
      </c>
      <c r="E273" s="78"/>
      <c r="F273" s="71" t="str">
        <f t="shared" si="12"/>
        <v>Burondo</v>
      </c>
      <c r="G273" s="71" t="str">
        <f t="shared" si="13"/>
        <v>Bundibugyo</v>
      </c>
      <c r="H273" s="78" t="s">
        <v>507</v>
      </c>
    </row>
    <row r="274" spans="1:8">
      <c r="A274" s="77">
        <v>1477</v>
      </c>
      <c r="B274" s="78" t="s">
        <v>837</v>
      </c>
      <c r="C274" s="78" t="s">
        <v>838</v>
      </c>
      <c r="D274" s="78" t="s">
        <v>836</v>
      </c>
      <c r="E274" s="78"/>
      <c r="F274" s="71" t="str">
        <f t="shared" si="12"/>
        <v>Burora</v>
      </c>
      <c r="G274" s="71" t="str">
        <f t="shared" si="13"/>
        <v>Kagadi</v>
      </c>
      <c r="H274" s="78" t="s">
        <v>836</v>
      </c>
    </row>
    <row r="275" spans="1:8">
      <c r="A275" s="77">
        <v>1388</v>
      </c>
      <c r="B275" s="78" t="s">
        <v>1548</v>
      </c>
      <c r="C275" s="78" t="s">
        <v>1549</v>
      </c>
      <c r="D275" s="78" t="s">
        <v>1550</v>
      </c>
      <c r="E275" s="78"/>
      <c r="F275" s="71" t="str">
        <f t="shared" si="12"/>
        <v>Burunga</v>
      </c>
      <c r="G275" s="71" t="str">
        <f t="shared" si="13"/>
        <v>Kiruhura</v>
      </c>
      <c r="H275" s="78" t="s">
        <v>1550</v>
      </c>
    </row>
    <row r="276" spans="1:8">
      <c r="A276" s="77">
        <v>527</v>
      </c>
      <c r="B276" s="78" t="s">
        <v>217</v>
      </c>
      <c r="C276" s="78" t="s">
        <v>1499</v>
      </c>
      <c r="D276" s="78" t="s">
        <v>1498</v>
      </c>
      <c r="E276" s="78"/>
      <c r="F276" s="71" t="str">
        <f t="shared" si="12"/>
        <v>Busaana</v>
      </c>
      <c r="G276" s="71" t="str">
        <f t="shared" si="13"/>
        <v>Kayunga</v>
      </c>
      <c r="H276" s="78" t="s">
        <v>1498</v>
      </c>
    </row>
    <row r="277" spans="1:8">
      <c r="A277" s="77">
        <v>950</v>
      </c>
      <c r="B277" s="78" t="s">
        <v>573</v>
      </c>
      <c r="C277" s="78" t="s">
        <v>574</v>
      </c>
      <c r="D277" s="78" t="s">
        <v>575</v>
      </c>
      <c r="E277" s="78"/>
      <c r="F277" s="71" t="str">
        <f t="shared" si="12"/>
        <v>Busaba</v>
      </c>
      <c r="G277" s="71" t="str">
        <f t="shared" si="13"/>
        <v>Butaleja</v>
      </c>
      <c r="H277" s="78" t="s">
        <v>575</v>
      </c>
    </row>
    <row r="278" spans="1:8">
      <c r="A278" s="77">
        <v>951</v>
      </c>
      <c r="B278" s="78" t="s">
        <v>573</v>
      </c>
      <c r="C278" s="78" t="s">
        <v>574</v>
      </c>
      <c r="D278" s="78" t="s">
        <v>576</v>
      </c>
      <c r="E278" s="78"/>
      <c r="F278" s="71" t="str">
        <f t="shared" si="12"/>
        <v>Busabi</v>
      </c>
      <c r="G278" s="71" t="str">
        <f t="shared" si="13"/>
        <v>Butaleja</v>
      </c>
      <c r="H278" s="78" t="s">
        <v>576</v>
      </c>
    </row>
    <row r="279" spans="1:8">
      <c r="A279" s="77">
        <v>854</v>
      </c>
      <c r="B279" s="78" t="s">
        <v>1869</v>
      </c>
      <c r="C279" s="78" t="s">
        <v>1870</v>
      </c>
      <c r="D279" s="78" t="s">
        <v>1874</v>
      </c>
      <c r="E279" s="78"/>
      <c r="F279" s="71" t="str">
        <f t="shared" si="12"/>
        <v>Busakira</v>
      </c>
      <c r="G279" s="71" t="str">
        <f t="shared" si="13"/>
        <v>Mayuge</v>
      </c>
      <c r="H279" s="78" t="s">
        <v>1874</v>
      </c>
    </row>
    <row r="280" spans="1:8">
      <c r="A280" s="77">
        <v>618</v>
      </c>
      <c r="B280" s="78" t="s">
        <v>604</v>
      </c>
      <c r="C280" s="78" t="s">
        <v>605</v>
      </c>
      <c r="D280" s="78" t="s">
        <v>606</v>
      </c>
      <c r="E280" s="78"/>
      <c r="F280" s="71" t="str">
        <f t="shared" si="12"/>
        <v>Busamuzi</v>
      </c>
      <c r="G280" s="71" t="str">
        <f t="shared" si="13"/>
        <v>Buvuma</v>
      </c>
      <c r="H280" s="78" t="s">
        <v>606</v>
      </c>
    </row>
    <row r="281" spans="1:8">
      <c r="A281" s="77">
        <v>781</v>
      </c>
      <c r="B281" s="78" t="s">
        <v>228</v>
      </c>
      <c r="C281" s="78" t="s">
        <v>1886</v>
      </c>
      <c r="D281" s="78" t="s">
        <v>1895</v>
      </c>
      <c r="E281" s="78"/>
      <c r="F281" s="71" t="str">
        <f t="shared" si="12"/>
        <v>Busano</v>
      </c>
      <c r="G281" s="71" t="str">
        <f t="shared" si="13"/>
        <v>Mbale</v>
      </c>
      <c r="H281" s="78" t="s">
        <v>1895</v>
      </c>
    </row>
    <row r="282" spans="1:8">
      <c r="A282" s="77">
        <v>1219</v>
      </c>
      <c r="B282" s="78" t="s">
        <v>1593</v>
      </c>
      <c r="C282" s="78" t="s">
        <v>1594</v>
      </c>
      <c r="D282" s="78" t="s">
        <v>1595</v>
      </c>
      <c r="E282" s="78"/>
      <c r="F282" s="71" t="str">
        <f t="shared" si="12"/>
        <v>Busanza</v>
      </c>
      <c r="G282" s="71" t="str">
        <f t="shared" si="13"/>
        <v>Kisoro</v>
      </c>
      <c r="H282" s="78" t="s">
        <v>1595</v>
      </c>
    </row>
    <row r="283" spans="1:8">
      <c r="A283" s="77">
        <v>1115</v>
      </c>
      <c r="B283" s="78" t="s">
        <v>499</v>
      </c>
      <c r="C283" s="78" t="s">
        <v>500</v>
      </c>
      <c r="D283" s="78" t="s">
        <v>508</v>
      </c>
      <c r="E283" s="78"/>
      <c r="F283" s="71" t="str">
        <f t="shared" si="12"/>
        <v>Busaru</v>
      </c>
      <c r="G283" s="71" t="str">
        <f t="shared" si="13"/>
        <v>Bundibugyo</v>
      </c>
      <c r="H283" s="78" t="s">
        <v>508</v>
      </c>
    </row>
    <row r="284" spans="1:8">
      <c r="A284" s="77">
        <v>714</v>
      </c>
      <c r="B284" s="78" t="s">
        <v>186</v>
      </c>
      <c r="C284" s="78" t="s">
        <v>755</v>
      </c>
      <c r="D284" s="78" t="s">
        <v>756</v>
      </c>
      <c r="E284" s="78"/>
      <c r="F284" s="71" t="str">
        <f t="shared" si="12"/>
        <v>Busedde</v>
      </c>
      <c r="G284" s="71" t="str">
        <f t="shared" si="13"/>
        <v>Jinja</v>
      </c>
      <c r="H284" s="78" t="s">
        <v>756</v>
      </c>
    </row>
    <row r="285" spans="1:8">
      <c r="A285" s="77">
        <v>697</v>
      </c>
      <c r="B285" s="78" t="s">
        <v>688</v>
      </c>
      <c r="C285" s="78" t="s">
        <v>691</v>
      </c>
      <c r="D285" s="78" t="s">
        <v>690</v>
      </c>
      <c r="E285" s="78"/>
      <c r="F285" s="71" t="str">
        <f t="shared" si="12"/>
        <v>Busembatia Town Council</v>
      </c>
      <c r="G285" s="71" t="str">
        <f t="shared" si="13"/>
        <v>Iganga</v>
      </c>
      <c r="H285" s="78" t="s">
        <v>690</v>
      </c>
    </row>
    <row r="286" spans="1:8">
      <c r="A286" s="77">
        <v>1025</v>
      </c>
      <c r="B286" s="78" t="s">
        <v>1538</v>
      </c>
      <c r="C286" s="78" t="s">
        <v>1538</v>
      </c>
      <c r="D286" s="78" t="s">
        <v>1539</v>
      </c>
      <c r="E286" s="78"/>
      <c r="F286" s="71" t="str">
        <f t="shared" si="12"/>
        <v>Buseta</v>
      </c>
      <c r="G286" s="71" t="str">
        <f t="shared" si="13"/>
        <v>Kibuku</v>
      </c>
      <c r="H286" s="78" t="s">
        <v>1539</v>
      </c>
    </row>
    <row r="287" spans="1:8">
      <c r="A287" s="77">
        <v>924</v>
      </c>
      <c r="B287" s="78" t="s">
        <v>388</v>
      </c>
      <c r="C287" s="78" t="s">
        <v>389</v>
      </c>
      <c r="D287" s="78" t="s">
        <v>397</v>
      </c>
      <c r="E287" s="78"/>
      <c r="F287" s="71" t="str">
        <f t="shared" si="12"/>
        <v>Bushika</v>
      </c>
      <c r="G287" s="71" t="str">
        <f t="shared" si="13"/>
        <v>Bududa</v>
      </c>
      <c r="H287" s="78" t="s">
        <v>397</v>
      </c>
    </row>
    <row r="288" spans="1:8">
      <c r="A288" s="77">
        <v>925</v>
      </c>
      <c r="B288" s="78" t="s">
        <v>388</v>
      </c>
      <c r="C288" s="78" t="s">
        <v>389</v>
      </c>
      <c r="D288" s="78" t="s">
        <v>398</v>
      </c>
      <c r="E288" s="78"/>
      <c r="F288" s="71" t="str">
        <f t="shared" si="12"/>
        <v>Bushiribo</v>
      </c>
      <c r="G288" s="71" t="str">
        <f t="shared" si="13"/>
        <v>Bududa</v>
      </c>
      <c r="H288" s="78" t="s">
        <v>398</v>
      </c>
    </row>
    <row r="289" spans="1:8">
      <c r="A289" s="77">
        <v>926</v>
      </c>
      <c r="B289" s="78" t="s">
        <v>388</v>
      </c>
      <c r="C289" s="78" t="s">
        <v>389</v>
      </c>
      <c r="D289" s="78" t="s">
        <v>399</v>
      </c>
      <c r="E289" s="78"/>
      <c r="F289" s="71" t="str">
        <f t="shared" si="12"/>
        <v>Bushiyi</v>
      </c>
      <c r="G289" s="71" t="str">
        <f t="shared" si="13"/>
        <v>Bududa</v>
      </c>
      <c r="H289" s="78" t="s">
        <v>399</v>
      </c>
    </row>
    <row r="290" spans="1:8" ht="25.5">
      <c r="A290" s="77">
        <v>1146</v>
      </c>
      <c r="B290" s="78" t="s">
        <v>648</v>
      </c>
      <c r="C290" s="79" t="s">
        <v>654</v>
      </c>
      <c r="D290" s="78" t="s">
        <v>2787</v>
      </c>
      <c r="E290" s="78"/>
      <c r="F290" s="72" t="str">
        <f>VLOOKUP(C290,[2]Municipalities!$C$9:$F$1522,4,FALSE)</f>
        <v>Hoima Municipality</v>
      </c>
      <c r="G290" s="71" t="str">
        <f t="shared" si="13"/>
        <v>Hoima</v>
      </c>
      <c r="H290" s="78" t="s">
        <v>2787</v>
      </c>
    </row>
    <row r="291" spans="1:8" ht="25.5">
      <c r="A291" s="77">
        <v>576</v>
      </c>
      <c r="B291" s="78" t="s">
        <v>1968</v>
      </c>
      <c r="C291" s="79" t="s">
        <v>1972</v>
      </c>
      <c r="D291" s="78" t="s">
        <v>1971</v>
      </c>
      <c r="E291" s="78"/>
      <c r="F291" s="71" t="str">
        <f t="shared" si="12"/>
        <v>Busimbi Division</v>
      </c>
      <c r="G291" s="71" t="str">
        <f t="shared" si="13"/>
        <v>Mityana</v>
      </c>
      <c r="H291" s="78" t="s">
        <v>1971</v>
      </c>
    </row>
    <row r="292" spans="1:8">
      <c r="A292" s="77">
        <v>685</v>
      </c>
      <c r="B292" s="78" t="s">
        <v>555</v>
      </c>
      <c r="C292" s="78" t="s">
        <v>556</v>
      </c>
      <c r="D292" s="78" t="s">
        <v>560</v>
      </c>
      <c r="E292" s="78"/>
      <c r="F292" s="71" t="str">
        <f t="shared" si="12"/>
        <v>Busime</v>
      </c>
      <c r="G292" s="71" t="str">
        <f t="shared" si="13"/>
        <v>Busia</v>
      </c>
      <c r="H292" s="78" t="s">
        <v>560</v>
      </c>
    </row>
    <row r="293" spans="1:8">
      <c r="A293" s="77">
        <v>1298</v>
      </c>
      <c r="B293" s="78" t="s">
        <v>50</v>
      </c>
      <c r="C293" s="78" t="s">
        <v>598</v>
      </c>
      <c r="D293" s="78" t="s">
        <v>1395</v>
      </c>
      <c r="E293" s="78"/>
      <c r="F293" s="71" t="str">
        <f t="shared" ref="F293:F342" si="14">D293</f>
        <v>Busiriba</v>
      </c>
      <c r="G293" s="71" t="str">
        <f t="shared" si="13"/>
        <v>Kamwenge</v>
      </c>
      <c r="H293" s="78" t="s">
        <v>1395</v>
      </c>
    </row>
    <row r="294" spans="1:8">
      <c r="A294" s="77">
        <v>686</v>
      </c>
      <c r="B294" s="78" t="s">
        <v>555</v>
      </c>
      <c r="C294" s="78" t="s">
        <v>556</v>
      </c>
      <c r="D294" s="78" t="s">
        <v>561</v>
      </c>
      <c r="E294" s="78"/>
      <c r="F294" s="71" t="str">
        <f t="shared" si="14"/>
        <v>Busitema</v>
      </c>
      <c r="G294" s="71" t="str">
        <f t="shared" si="13"/>
        <v>Busia</v>
      </c>
      <c r="H294" s="78" t="s">
        <v>561</v>
      </c>
    </row>
    <row r="295" spans="1:8">
      <c r="A295" s="77">
        <v>782</v>
      </c>
      <c r="B295" s="78" t="s">
        <v>228</v>
      </c>
      <c r="C295" s="78" t="s">
        <v>1886</v>
      </c>
      <c r="D295" s="78" t="s">
        <v>1896</v>
      </c>
      <c r="E295" s="78"/>
      <c r="F295" s="71" t="str">
        <f t="shared" si="14"/>
        <v>Busiu</v>
      </c>
      <c r="G295" s="71" t="str">
        <f t="shared" si="13"/>
        <v>Mbale</v>
      </c>
      <c r="H295" s="78" t="s">
        <v>1896</v>
      </c>
    </row>
    <row r="296" spans="1:8">
      <c r="A296" s="77">
        <v>791</v>
      </c>
      <c r="B296" s="78" t="s">
        <v>228</v>
      </c>
      <c r="C296" s="78" t="s">
        <v>1886</v>
      </c>
      <c r="D296" s="78" t="s">
        <v>1897</v>
      </c>
      <c r="E296" s="78"/>
      <c r="F296" s="71" t="str">
        <f t="shared" si="14"/>
        <v>Busiu Town Council</v>
      </c>
      <c r="G296" s="71" t="str">
        <f t="shared" si="13"/>
        <v>Mbale</v>
      </c>
      <c r="H296" s="78" t="s">
        <v>1897</v>
      </c>
    </row>
    <row r="297" spans="1:8">
      <c r="A297" s="77">
        <v>783</v>
      </c>
      <c r="B297" s="78" t="s">
        <v>228</v>
      </c>
      <c r="C297" s="78" t="s">
        <v>1886</v>
      </c>
      <c r="D297" s="78" t="s">
        <v>1898</v>
      </c>
      <c r="E297" s="78"/>
      <c r="F297" s="71" t="str">
        <f t="shared" si="14"/>
        <v>Busoba</v>
      </c>
      <c r="G297" s="71" t="str">
        <f t="shared" si="13"/>
        <v>Mbale</v>
      </c>
      <c r="H297" s="78" t="s">
        <v>1898</v>
      </c>
    </row>
    <row r="298" spans="1:8">
      <c r="A298" s="77">
        <v>952</v>
      </c>
      <c r="B298" s="78" t="s">
        <v>573</v>
      </c>
      <c r="C298" s="78" t="s">
        <v>574</v>
      </c>
      <c r="D298" s="78" t="s">
        <v>577</v>
      </c>
      <c r="E298" s="78"/>
      <c r="F298" s="71" t="str">
        <f t="shared" si="14"/>
        <v>Busolwe</v>
      </c>
      <c r="G298" s="71" t="str">
        <f t="shared" si="13"/>
        <v>Butaleja</v>
      </c>
      <c r="H298" s="78" t="s">
        <v>577</v>
      </c>
    </row>
    <row r="299" spans="1:8">
      <c r="A299" s="77">
        <v>953</v>
      </c>
      <c r="B299" s="78" t="s">
        <v>573</v>
      </c>
      <c r="C299" s="78" t="s">
        <v>574</v>
      </c>
      <c r="D299" s="78" t="s">
        <v>578</v>
      </c>
      <c r="E299" s="78"/>
      <c r="F299" s="71" t="str">
        <f t="shared" si="14"/>
        <v>Busolwe Town Council</v>
      </c>
      <c r="G299" s="71" t="str">
        <f t="shared" si="13"/>
        <v>Butaleja</v>
      </c>
      <c r="H299" s="78" t="s">
        <v>578</v>
      </c>
    </row>
    <row r="300" spans="1:8">
      <c r="A300" s="77">
        <v>1163</v>
      </c>
      <c r="B300" s="78" t="s">
        <v>803</v>
      </c>
      <c r="C300" s="78" t="s">
        <v>804</v>
      </c>
      <c r="D300" s="78" t="s">
        <v>805</v>
      </c>
      <c r="E300" s="78"/>
      <c r="F300" s="71" t="str">
        <f t="shared" si="14"/>
        <v>Busoro</v>
      </c>
      <c r="G300" s="71" t="str">
        <f t="shared" si="13"/>
        <v>Kabarole</v>
      </c>
      <c r="H300" s="78" t="s">
        <v>805</v>
      </c>
    </row>
    <row r="301" spans="1:8">
      <c r="A301" s="77">
        <v>532</v>
      </c>
      <c r="B301" s="78" t="s">
        <v>2477</v>
      </c>
      <c r="C301" s="78" t="s">
        <v>2481</v>
      </c>
      <c r="D301" s="78" t="s">
        <v>2480</v>
      </c>
      <c r="E301" s="78"/>
      <c r="F301" s="71" t="str">
        <f t="shared" si="14"/>
        <v>Bussi</v>
      </c>
      <c r="G301" s="71" t="str">
        <f t="shared" si="13"/>
        <v>Wakiso</v>
      </c>
      <c r="H301" s="78" t="s">
        <v>2480</v>
      </c>
    </row>
    <row r="302" spans="1:8" ht="25.5">
      <c r="A302" s="77">
        <v>555</v>
      </c>
      <c r="B302" s="78" t="s">
        <v>2477</v>
      </c>
      <c r="C302" s="79" t="s">
        <v>2483</v>
      </c>
      <c r="D302" s="78" t="s">
        <v>2788</v>
      </c>
      <c r="E302" s="78"/>
      <c r="F302" s="72" t="str">
        <f>VLOOKUP(C302,[2]Municipalities!$C$9:$F$1522,4,FALSE)</f>
        <v>Busukuma</v>
      </c>
      <c r="G302" s="71" t="str">
        <f t="shared" si="13"/>
        <v>Wakiso</v>
      </c>
      <c r="H302" s="78" t="s">
        <v>2788</v>
      </c>
    </row>
    <row r="303" spans="1:8">
      <c r="A303" s="77">
        <v>977</v>
      </c>
      <c r="B303" s="78" t="s">
        <v>1815</v>
      </c>
      <c r="C303" s="78" t="s">
        <v>1816</v>
      </c>
      <c r="D303" s="78" t="s">
        <v>1821</v>
      </c>
      <c r="E303" s="78"/>
      <c r="F303" s="71" t="str">
        <f t="shared" si="14"/>
        <v>Busukuya</v>
      </c>
      <c r="G303" s="71" t="str">
        <f t="shared" si="13"/>
        <v>Manafwa</v>
      </c>
      <c r="H303" s="78" t="s">
        <v>1821</v>
      </c>
    </row>
    <row r="304" spans="1:8">
      <c r="A304" s="77">
        <v>876</v>
      </c>
      <c r="B304" s="78" t="s">
        <v>2410</v>
      </c>
      <c r="C304" s="78" t="s">
        <v>2411</v>
      </c>
      <c r="D304" s="78" t="s">
        <v>2422</v>
      </c>
      <c r="E304" s="78"/>
      <c r="F304" s="71" t="str">
        <f t="shared" si="14"/>
        <v>Busulani</v>
      </c>
      <c r="G304" s="71" t="str">
        <f t="shared" si="13"/>
        <v>Sironko</v>
      </c>
      <c r="H304" s="78" t="s">
        <v>2422</v>
      </c>
    </row>
    <row r="305" spans="1:8">
      <c r="A305" s="77">
        <v>575</v>
      </c>
      <c r="B305" s="78" t="s">
        <v>1968</v>
      </c>
      <c r="C305" s="78" t="s">
        <v>1968</v>
      </c>
      <c r="D305" s="78" t="s">
        <v>1973</v>
      </c>
      <c r="E305" s="78"/>
      <c r="F305" s="71" t="str">
        <f t="shared" si="14"/>
        <v>Busunju Town Council</v>
      </c>
      <c r="G305" s="71" t="str">
        <f t="shared" si="13"/>
        <v>Mityana</v>
      </c>
      <c r="H305" s="78" t="s">
        <v>1973</v>
      </c>
    </row>
    <row r="306" spans="1:8">
      <c r="A306" s="77">
        <v>1057</v>
      </c>
      <c r="B306" s="78" t="s">
        <v>2133</v>
      </c>
      <c r="C306" s="78" t="s">
        <v>2134</v>
      </c>
      <c r="D306" s="78" t="s">
        <v>2138</v>
      </c>
      <c r="E306" s="78"/>
      <c r="F306" s="71" t="str">
        <f t="shared" si="14"/>
        <v>Buswale</v>
      </c>
      <c r="G306" s="71" t="str">
        <f t="shared" si="13"/>
        <v>Namayingo</v>
      </c>
      <c r="H306" s="78" t="s">
        <v>2138</v>
      </c>
    </row>
    <row r="307" spans="1:8">
      <c r="A307" s="77">
        <v>721</v>
      </c>
      <c r="B307" s="78" t="s">
        <v>186</v>
      </c>
      <c r="C307" s="78" t="s">
        <v>753</v>
      </c>
      <c r="D307" s="78" t="s">
        <v>757</v>
      </c>
      <c r="E307" s="78"/>
      <c r="F307" s="71" t="str">
        <f t="shared" si="14"/>
        <v>Butagaya</v>
      </c>
      <c r="G307" s="71" t="str">
        <f t="shared" si="13"/>
        <v>Jinja</v>
      </c>
      <c r="H307" s="78" t="s">
        <v>757</v>
      </c>
    </row>
    <row r="308" spans="1:8">
      <c r="A308" s="77">
        <v>579</v>
      </c>
      <c r="B308" s="78" t="s">
        <v>2101</v>
      </c>
      <c r="C308" s="78" t="s">
        <v>2101</v>
      </c>
      <c r="D308" s="78" t="s">
        <v>2100</v>
      </c>
      <c r="E308" s="78"/>
      <c r="F308" s="71" t="str">
        <f t="shared" si="14"/>
        <v>Butalangu Town Council</v>
      </c>
      <c r="G308" s="71" t="str">
        <f t="shared" si="13"/>
        <v>Nakaseke</v>
      </c>
      <c r="H308" s="78" t="s">
        <v>2100</v>
      </c>
    </row>
    <row r="309" spans="1:8">
      <c r="A309" s="77">
        <v>954</v>
      </c>
      <c r="B309" s="78" t="s">
        <v>573</v>
      </c>
      <c r="C309" s="78" t="s">
        <v>574</v>
      </c>
      <c r="D309" s="78" t="s">
        <v>573</v>
      </c>
      <c r="E309" s="78"/>
      <c r="F309" s="71" t="str">
        <f t="shared" si="14"/>
        <v>Butaleja</v>
      </c>
      <c r="G309" s="71" t="str">
        <f t="shared" si="13"/>
        <v>Butaleja</v>
      </c>
      <c r="H309" s="78" t="s">
        <v>573</v>
      </c>
    </row>
    <row r="310" spans="1:8">
      <c r="A310" s="77">
        <v>955</v>
      </c>
      <c r="B310" s="78" t="s">
        <v>573</v>
      </c>
      <c r="C310" s="78" t="s">
        <v>574</v>
      </c>
      <c r="D310" s="78" t="s">
        <v>579</v>
      </c>
      <c r="E310" s="78"/>
      <c r="F310" s="71" t="str">
        <f t="shared" si="14"/>
        <v>Butaleja Town Council</v>
      </c>
      <c r="G310" s="71" t="str">
        <f t="shared" si="13"/>
        <v>Butaleja</v>
      </c>
      <c r="H310" s="78" t="s">
        <v>579</v>
      </c>
    </row>
    <row r="311" spans="1:8">
      <c r="A311" s="77">
        <v>1153</v>
      </c>
      <c r="B311" s="78" t="s">
        <v>786</v>
      </c>
      <c r="C311" s="78" t="s">
        <v>787</v>
      </c>
      <c r="D311" s="78" t="s">
        <v>788</v>
      </c>
      <c r="E311" s="78"/>
      <c r="F311" s="71" t="str">
        <f t="shared" si="14"/>
        <v>Butanda</v>
      </c>
      <c r="G311" s="71" t="str">
        <f t="shared" si="13"/>
        <v>Kabale</v>
      </c>
      <c r="H311" s="78" t="s">
        <v>788</v>
      </c>
    </row>
    <row r="312" spans="1:8">
      <c r="A312" s="77">
        <v>877</v>
      </c>
      <c r="B312" s="78" t="s">
        <v>2410</v>
      </c>
      <c r="C312" s="78" t="s">
        <v>2411</v>
      </c>
      <c r="D312" s="78" t="s">
        <v>2423</v>
      </c>
      <c r="E312" s="78"/>
      <c r="F312" s="71" t="str">
        <f t="shared" si="14"/>
        <v>Butandiga</v>
      </c>
      <c r="G312" s="71" t="str">
        <f t="shared" si="13"/>
        <v>Sironko</v>
      </c>
      <c r="H312" s="78" t="s">
        <v>2423</v>
      </c>
    </row>
    <row r="313" spans="1:8">
      <c r="A313" s="77">
        <v>727</v>
      </c>
      <c r="B313" s="78" t="s">
        <v>1376</v>
      </c>
      <c r="C313" s="78" t="s">
        <v>1377</v>
      </c>
      <c r="D313" s="78" t="s">
        <v>1381</v>
      </c>
      <c r="E313" s="78"/>
      <c r="F313" s="71" t="str">
        <f t="shared" si="14"/>
        <v>Butansi</v>
      </c>
      <c r="G313" s="71" t="str">
        <f t="shared" si="13"/>
        <v>Kamuli</v>
      </c>
      <c r="H313" s="78" t="s">
        <v>1381</v>
      </c>
    </row>
    <row r="314" spans="1:8">
      <c r="A314" s="77">
        <v>566</v>
      </c>
      <c r="B314" s="78" t="s">
        <v>1968</v>
      </c>
      <c r="C314" s="78" t="s">
        <v>1969</v>
      </c>
      <c r="D314" s="78" t="s">
        <v>1978</v>
      </c>
      <c r="E314" s="78"/>
      <c r="F314" s="71" t="str">
        <f t="shared" si="14"/>
        <v>Butayunja</v>
      </c>
      <c r="G314" s="71" t="str">
        <f t="shared" si="13"/>
        <v>Mityana</v>
      </c>
      <c r="H314" s="78" t="s">
        <v>1978</v>
      </c>
    </row>
    <row r="315" spans="1:8">
      <c r="A315" s="77">
        <v>687</v>
      </c>
      <c r="B315" s="78" t="s">
        <v>555</v>
      </c>
      <c r="C315" s="78" t="s">
        <v>556</v>
      </c>
      <c r="D315" s="78" t="s">
        <v>562</v>
      </c>
      <c r="E315" s="78"/>
      <c r="F315" s="71" t="str">
        <f t="shared" si="14"/>
        <v>Buteba</v>
      </c>
      <c r="G315" s="71" t="str">
        <f t="shared" si="13"/>
        <v>Busia</v>
      </c>
      <c r="H315" s="78" t="s">
        <v>562</v>
      </c>
    </row>
    <row r="316" spans="1:8" ht="25.5">
      <c r="A316" s="77">
        <v>1078</v>
      </c>
      <c r="B316" s="78" t="s">
        <v>593</v>
      </c>
      <c r="C316" s="78" t="s">
        <v>594</v>
      </c>
      <c r="D316" s="78" t="s">
        <v>593</v>
      </c>
      <c r="E316" s="78"/>
      <c r="F316" s="71" t="str">
        <f t="shared" si="14"/>
        <v>Butebo</v>
      </c>
      <c r="G316" s="71" t="str">
        <f t="shared" si="13"/>
        <v>Butebo</v>
      </c>
      <c r="H316" s="78" t="s">
        <v>593</v>
      </c>
    </row>
    <row r="317" spans="1:8">
      <c r="A317" s="77">
        <v>639</v>
      </c>
      <c r="B317" s="78" t="s">
        <v>1664</v>
      </c>
      <c r="C317" s="78" t="s">
        <v>1525</v>
      </c>
      <c r="D317" s="78" t="s">
        <v>1665</v>
      </c>
      <c r="E317" s="78"/>
      <c r="F317" s="71" t="str">
        <f t="shared" si="14"/>
        <v>Butemba</v>
      </c>
      <c r="G317" s="71" t="str">
        <f t="shared" si="13"/>
        <v>Kyankwanzi</v>
      </c>
      <c r="H317" s="78" t="s">
        <v>1665</v>
      </c>
    </row>
    <row r="318" spans="1:8">
      <c r="A318" s="77">
        <v>640</v>
      </c>
      <c r="B318" s="78" t="s">
        <v>1664</v>
      </c>
      <c r="C318" s="78" t="s">
        <v>1525</v>
      </c>
      <c r="D318" s="78" t="s">
        <v>1666</v>
      </c>
      <c r="E318" s="78"/>
      <c r="F318" s="71" t="str">
        <f t="shared" si="14"/>
        <v>Butemba Town Council</v>
      </c>
      <c r="G318" s="71" t="str">
        <f t="shared" si="13"/>
        <v>Kyankwanzi</v>
      </c>
      <c r="H318" s="78" t="s">
        <v>1666</v>
      </c>
    </row>
    <row r="319" spans="1:8">
      <c r="A319" s="77">
        <v>608</v>
      </c>
      <c r="B319" s="78" t="s">
        <v>453</v>
      </c>
      <c r="C319" s="78" t="s">
        <v>453</v>
      </c>
      <c r="D319" s="78" t="s">
        <v>455</v>
      </c>
      <c r="E319" s="78"/>
      <c r="F319" s="71" t="str">
        <f t="shared" si="14"/>
        <v>Butenga</v>
      </c>
      <c r="G319" s="71" t="str">
        <f t="shared" si="13"/>
        <v>Bukomansimbi</v>
      </c>
      <c r="H319" s="78" t="s">
        <v>455</v>
      </c>
    </row>
    <row r="320" spans="1:8">
      <c r="A320" s="77">
        <v>878</v>
      </c>
      <c r="B320" s="78" t="s">
        <v>2410</v>
      </c>
      <c r="C320" s="78" t="s">
        <v>2411</v>
      </c>
      <c r="D320" s="78" t="s">
        <v>2424</v>
      </c>
      <c r="E320" s="78"/>
      <c r="F320" s="71" t="str">
        <f t="shared" si="14"/>
        <v>Buteza</v>
      </c>
      <c r="G320" s="71" t="str">
        <f t="shared" si="13"/>
        <v>Sironko</v>
      </c>
      <c r="H320" s="78" t="s">
        <v>2424</v>
      </c>
    </row>
    <row r="321" spans="1:8">
      <c r="A321" s="77">
        <v>1349</v>
      </c>
      <c r="B321" s="78" t="s">
        <v>492</v>
      </c>
      <c r="C321" s="78" t="s">
        <v>492</v>
      </c>
      <c r="D321" s="78" t="s">
        <v>494</v>
      </c>
      <c r="E321" s="78"/>
      <c r="F321" s="71" t="str">
        <f t="shared" si="14"/>
        <v>Butiaba</v>
      </c>
      <c r="G321" s="71" t="str">
        <f t="shared" si="13"/>
        <v>Buliisa</v>
      </c>
      <c r="H321" s="78" t="s">
        <v>494</v>
      </c>
    </row>
    <row r="322" spans="1:8">
      <c r="A322" s="77">
        <v>1332</v>
      </c>
      <c r="B322" s="78" t="s">
        <v>1709</v>
      </c>
      <c r="C322" s="78" t="s">
        <v>1710</v>
      </c>
      <c r="D322" s="78" t="s">
        <v>1713</v>
      </c>
      <c r="E322" s="78"/>
      <c r="F322" s="71" t="str">
        <f t="shared" si="14"/>
        <v>Butiiti</v>
      </c>
      <c r="G322" s="71" t="str">
        <f t="shared" si="13"/>
        <v>Kyenjojo</v>
      </c>
      <c r="H322" s="78" t="s">
        <v>1713</v>
      </c>
    </row>
    <row r="323" spans="1:8">
      <c r="A323" s="77">
        <v>978</v>
      </c>
      <c r="B323" s="78" t="s">
        <v>1815</v>
      </c>
      <c r="C323" s="78" t="s">
        <v>1816</v>
      </c>
      <c r="D323" s="78" t="s">
        <v>1822</v>
      </c>
      <c r="E323" s="78"/>
      <c r="F323" s="71" t="str">
        <f t="shared" si="14"/>
        <v>Butiru</v>
      </c>
      <c r="G323" s="71" t="str">
        <f t="shared" si="13"/>
        <v>Manafwa</v>
      </c>
      <c r="H323" s="78" t="s">
        <v>1822</v>
      </c>
    </row>
    <row r="324" spans="1:8">
      <c r="A324" s="77">
        <v>1313</v>
      </c>
      <c r="B324" s="78" t="s">
        <v>1418</v>
      </c>
      <c r="C324" s="78" t="s">
        <v>1419</v>
      </c>
      <c r="D324" s="78" t="s">
        <v>1417</v>
      </c>
      <c r="E324" s="78"/>
      <c r="F324" s="71" t="str">
        <f t="shared" si="14"/>
        <v>Butogota Town Council</v>
      </c>
      <c r="G324" s="71" t="str">
        <f t="shared" si="13"/>
        <v>Kanungu</v>
      </c>
      <c r="H324" s="78" t="s">
        <v>1417</v>
      </c>
    </row>
    <row r="325" spans="1:8">
      <c r="A325" s="77">
        <v>458</v>
      </c>
      <c r="B325" s="78" t="s">
        <v>2026</v>
      </c>
      <c r="C325" s="78" t="s">
        <v>2032</v>
      </c>
      <c r="D325" s="78" t="s">
        <v>2031</v>
      </c>
      <c r="E325" s="78"/>
      <c r="F325" s="71" t="str">
        <f t="shared" si="14"/>
        <v>Butoloogo</v>
      </c>
      <c r="G325" s="71" t="str">
        <f t="shared" si="13"/>
        <v>Mubende</v>
      </c>
      <c r="H325" s="78" t="s">
        <v>2031</v>
      </c>
    </row>
    <row r="326" spans="1:8">
      <c r="A326" s="77">
        <v>979</v>
      </c>
      <c r="B326" s="78" t="s">
        <v>1815</v>
      </c>
      <c r="C326" s="78" t="s">
        <v>1816</v>
      </c>
      <c r="D326" s="78" t="s">
        <v>1823</v>
      </c>
      <c r="E326" s="78"/>
      <c r="F326" s="71" t="str">
        <f t="shared" si="14"/>
        <v>Butta</v>
      </c>
      <c r="G326" s="71" t="str">
        <f t="shared" si="13"/>
        <v>Manafwa</v>
      </c>
      <c r="H326" s="78" t="s">
        <v>1823</v>
      </c>
    </row>
    <row r="327" spans="1:8">
      <c r="A327" s="77">
        <v>1333</v>
      </c>
      <c r="B327" s="78" t="s">
        <v>1709</v>
      </c>
      <c r="C327" s="78" t="s">
        <v>1710</v>
      </c>
      <c r="D327" s="78" t="s">
        <v>1714</v>
      </c>
      <c r="E327" s="78"/>
      <c r="F327" s="71" t="str">
        <f t="shared" si="14"/>
        <v>Butunduzi</v>
      </c>
      <c r="G327" s="71" t="str">
        <f t="shared" si="13"/>
        <v>Kyenjojo</v>
      </c>
      <c r="H327" s="78" t="s">
        <v>1714</v>
      </c>
    </row>
    <row r="328" spans="1:8">
      <c r="A328" s="77">
        <v>1334</v>
      </c>
      <c r="B328" s="78" t="s">
        <v>1709</v>
      </c>
      <c r="C328" s="78" t="s">
        <v>1710</v>
      </c>
      <c r="D328" s="78" t="s">
        <v>1715</v>
      </c>
      <c r="E328" s="78"/>
      <c r="F328" s="71" t="str">
        <f t="shared" si="14"/>
        <v>Butunduzi Town Council</v>
      </c>
      <c r="G328" s="71" t="str">
        <f t="shared" si="13"/>
        <v>Kyenjojo</v>
      </c>
      <c r="H328" s="78" t="s">
        <v>1715</v>
      </c>
    </row>
    <row r="329" spans="1:8">
      <c r="A329" s="77">
        <v>1442</v>
      </c>
      <c r="B329" s="78" t="s">
        <v>2197</v>
      </c>
      <c r="C329" s="78" t="s">
        <v>2197</v>
      </c>
      <c r="D329" s="78" t="s">
        <v>2196</v>
      </c>
      <c r="E329" s="78"/>
      <c r="F329" s="71" t="str">
        <f t="shared" si="14"/>
        <v>Butungama</v>
      </c>
      <c r="G329" s="71" t="str">
        <f t="shared" si="13"/>
        <v>Ntoroko</v>
      </c>
      <c r="H329" s="78" t="s">
        <v>2196</v>
      </c>
    </row>
    <row r="330" spans="1:8">
      <c r="A330" s="77">
        <v>435</v>
      </c>
      <c r="B330" s="78" t="s">
        <v>1768</v>
      </c>
      <c r="C330" s="78" t="s">
        <v>1770</v>
      </c>
      <c r="D330" s="78" t="s">
        <v>1774</v>
      </c>
      <c r="E330" s="78"/>
      <c r="F330" s="71" t="str">
        <f t="shared" si="14"/>
        <v>Butuntumula</v>
      </c>
      <c r="G330" s="71" t="str">
        <f t="shared" ref="G330:G393" si="15">B330</f>
        <v>Luwero</v>
      </c>
      <c r="H330" s="78" t="s">
        <v>1774</v>
      </c>
    </row>
    <row r="331" spans="1:8">
      <c r="A331" s="77">
        <v>619</v>
      </c>
      <c r="B331" s="78" t="s">
        <v>604</v>
      </c>
      <c r="C331" s="78" t="s">
        <v>605</v>
      </c>
      <c r="D331" s="78" t="s">
        <v>607</v>
      </c>
      <c r="E331" s="78"/>
      <c r="F331" s="71" t="str">
        <f t="shared" si="14"/>
        <v>Buvuma Town Council</v>
      </c>
      <c r="G331" s="71" t="str">
        <f t="shared" si="15"/>
        <v>Buvuma</v>
      </c>
      <c r="H331" s="78" t="s">
        <v>607</v>
      </c>
    </row>
    <row r="332" spans="1:8">
      <c r="A332" s="77">
        <v>855</v>
      </c>
      <c r="B332" s="78" t="s">
        <v>1869</v>
      </c>
      <c r="C332" s="78" t="s">
        <v>1870</v>
      </c>
      <c r="D332" s="78" t="s">
        <v>1875</v>
      </c>
      <c r="E332" s="78"/>
      <c r="F332" s="71" t="str">
        <f t="shared" si="14"/>
        <v>Buwaaya</v>
      </c>
      <c r="G332" s="71" t="str">
        <f t="shared" si="15"/>
        <v>Mayuge</v>
      </c>
      <c r="H332" s="78" t="s">
        <v>1875</v>
      </c>
    </row>
    <row r="333" spans="1:8">
      <c r="A333" s="77">
        <v>1093</v>
      </c>
      <c r="B333" s="78" t="s">
        <v>2145</v>
      </c>
      <c r="C333" s="78" t="s">
        <v>2145</v>
      </c>
      <c r="D333" s="78" t="s">
        <v>2153</v>
      </c>
      <c r="E333" s="78"/>
      <c r="F333" s="71" t="str">
        <f t="shared" si="14"/>
        <v>Buwabwala</v>
      </c>
      <c r="G333" s="71" t="str">
        <f t="shared" si="15"/>
        <v>Namisindwa</v>
      </c>
      <c r="H333" s="78" t="s">
        <v>2153</v>
      </c>
    </row>
    <row r="334" spans="1:8">
      <c r="A334" s="77">
        <v>980</v>
      </c>
      <c r="B334" s="78" t="s">
        <v>1815</v>
      </c>
      <c r="C334" s="78" t="s">
        <v>1816</v>
      </c>
      <c r="D334" s="78" t="s">
        <v>1824</v>
      </c>
      <c r="E334" s="78"/>
      <c r="F334" s="71" t="str">
        <f t="shared" si="14"/>
        <v>Buwagogo</v>
      </c>
      <c r="G334" s="71" t="str">
        <f t="shared" si="15"/>
        <v>Manafwa</v>
      </c>
      <c r="H334" s="78" t="s">
        <v>1824</v>
      </c>
    </row>
    <row r="335" spans="1:8">
      <c r="A335" s="77">
        <v>879</v>
      </c>
      <c r="B335" s="78" t="s">
        <v>2410</v>
      </c>
      <c r="C335" s="78" t="s">
        <v>2411</v>
      </c>
      <c r="D335" s="78" t="s">
        <v>2425</v>
      </c>
      <c r="E335" s="78"/>
      <c r="F335" s="71" t="str">
        <f t="shared" si="14"/>
        <v>Buwalasi</v>
      </c>
      <c r="G335" s="71" t="str">
        <f t="shared" si="15"/>
        <v>Sironko</v>
      </c>
      <c r="H335" s="78" t="s">
        <v>2425</v>
      </c>
    </row>
    <row r="336" spans="1:8">
      <c r="A336" s="77">
        <v>927</v>
      </c>
      <c r="B336" s="78" t="s">
        <v>388</v>
      </c>
      <c r="C336" s="78" t="s">
        <v>389</v>
      </c>
      <c r="D336" s="78" t="s">
        <v>400</v>
      </c>
      <c r="E336" s="78"/>
      <c r="F336" s="71" t="str">
        <f t="shared" si="14"/>
        <v>Buwali</v>
      </c>
      <c r="G336" s="71" t="str">
        <f t="shared" si="15"/>
        <v>Bududa</v>
      </c>
      <c r="H336" s="78" t="s">
        <v>400</v>
      </c>
    </row>
    <row r="337" spans="1:8">
      <c r="A337" s="77">
        <v>451</v>
      </c>
      <c r="B337" s="78" t="s">
        <v>2012</v>
      </c>
      <c r="C337" s="78" t="s">
        <v>2013</v>
      </c>
      <c r="D337" s="78" t="s">
        <v>2011</v>
      </c>
      <c r="E337" s="78"/>
      <c r="F337" s="71" t="str">
        <f t="shared" si="14"/>
        <v>Buwama</v>
      </c>
      <c r="G337" s="71" t="str">
        <f t="shared" si="15"/>
        <v>Mpigi</v>
      </c>
      <c r="H337" s="78" t="s">
        <v>2011</v>
      </c>
    </row>
    <row r="338" spans="1:8">
      <c r="A338" s="77">
        <v>989</v>
      </c>
      <c r="B338" s="78" t="s">
        <v>1815</v>
      </c>
      <c r="C338" s="78" t="s">
        <v>1816</v>
      </c>
      <c r="D338" s="78" t="s">
        <v>1825</v>
      </c>
      <c r="E338" s="78"/>
      <c r="F338" s="71" t="str">
        <f t="shared" si="14"/>
        <v>Buwangani Town Council</v>
      </c>
      <c r="G338" s="71" t="str">
        <f t="shared" si="15"/>
        <v>Manafwa</v>
      </c>
      <c r="H338" s="78" t="s">
        <v>1825</v>
      </c>
    </row>
    <row r="339" spans="1:8">
      <c r="A339" s="77">
        <v>880</v>
      </c>
      <c r="B339" s="78" t="s">
        <v>2410</v>
      </c>
      <c r="C339" s="78" t="s">
        <v>2411</v>
      </c>
      <c r="D339" s="78" t="s">
        <v>2426</v>
      </c>
      <c r="E339" s="78"/>
      <c r="F339" s="71" t="str">
        <f t="shared" si="14"/>
        <v>Buwasa</v>
      </c>
      <c r="G339" s="71" t="str">
        <f t="shared" si="15"/>
        <v>Sironko</v>
      </c>
      <c r="H339" s="78" t="s">
        <v>2426</v>
      </c>
    </row>
    <row r="340" spans="1:8">
      <c r="A340" s="77">
        <v>722</v>
      </c>
      <c r="B340" s="78" t="s">
        <v>186</v>
      </c>
      <c r="C340" s="78" t="s">
        <v>753</v>
      </c>
      <c r="D340" s="78" t="s">
        <v>758</v>
      </c>
      <c r="E340" s="78"/>
      <c r="F340" s="71" t="str">
        <f t="shared" si="14"/>
        <v>Buwenge</v>
      </c>
      <c r="G340" s="71" t="str">
        <f t="shared" si="15"/>
        <v>Jinja</v>
      </c>
      <c r="H340" s="78" t="s">
        <v>758</v>
      </c>
    </row>
    <row r="341" spans="1:8">
      <c r="A341" s="77">
        <v>723</v>
      </c>
      <c r="B341" s="78" t="s">
        <v>186</v>
      </c>
      <c r="C341" s="78" t="s">
        <v>753</v>
      </c>
      <c r="D341" s="78" t="s">
        <v>759</v>
      </c>
      <c r="E341" s="78"/>
      <c r="F341" s="71" t="str">
        <f t="shared" si="14"/>
        <v>Buwenge Town Council</v>
      </c>
      <c r="G341" s="71" t="str">
        <f t="shared" si="15"/>
        <v>Jinja</v>
      </c>
      <c r="H341" s="78" t="s">
        <v>759</v>
      </c>
    </row>
    <row r="342" spans="1:8">
      <c r="A342" s="77">
        <v>620</v>
      </c>
      <c r="B342" s="78" t="s">
        <v>604</v>
      </c>
      <c r="C342" s="78" t="s">
        <v>605</v>
      </c>
      <c r="D342" s="78" t="s">
        <v>608</v>
      </c>
      <c r="E342" s="78"/>
      <c r="F342" s="71" t="str">
        <f t="shared" si="14"/>
        <v>Buwooya</v>
      </c>
      <c r="G342" s="71" t="str">
        <f t="shared" si="15"/>
        <v>Buvuma</v>
      </c>
      <c r="H342" s="78" t="s">
        <v>608</v>
      </c>
    </row>
    <row r="343" spans="1:8">
      <c r="A343" s="77">
        <v>443</v>
      </c>
      <c r="B343" s="78" t="s">
        <v>40</v>
      </c>
      <c r="C343" s="78" t="s">
        <v>23</v>
      </c>
      <c r="D343" s="82" t="s">
        <v>2789</v>
      </c>
      <c r="E343" s="78"/>
      <c r="F343" s="71" t="str">
        <f t="shared" ref="F343:F346" si="16">D343&amp;"-"&amp;B343</f>
        <v>Buwunga-Masaka</v>
      </c>
      <c r="G343" s="71" t="str">
        <f t="shared" si="15"/>
        <v>Masaka</v>
      </c>
      <c r="H343" s="82" t="s">
        <v>2789</v>
      </c>
    </row>
    <row r="344" spans="1:8">
      <c r="A344" s="77">
        <v>675</v>
      </c>
      <c r="B344" s="78" t="s">
        <v>405</v>
      </c>
      <c r="C344" s="78" t="s">
        <v>406</v>
      </c>
      <c r="D344" s="82" t="s">
        <v>2789</v>
      </c>
      <c r="E344" s="78"/>
      <c r="F344" s="71" t="str">
        <f t="shared" si="16"/>
        <v>Buwunga-Bugiri</v>
      </c>
      <c r="G344" s="71" t="str">
        <f t="shared" si="15"/>
        <v>Bugiri</v>
      </c>
      <c r="H344" s="82" t="s">
        <v>2789</v>
      </c>
    </row>
    <row r="345" spans="1:8">
      <c r="A345" s="77">
        <v>688</v>
      </c>
      <c r="B345" s="78" t="s">
        <v>555</v>
      </c>
      <c r="C345" s="78" t="s">
        <v>556</v>
      </c>
      <c r="D345" s="82" t="s">
        <v>2790</v>
      </c>
      <c r="E345" s="78"/>
      <c r="F345" s="71" t="str">
        <f t="shared" si="16"/>
        <v>Buyanga-Busia</v>
      </c>
      <c r="G345" s="71" t="str">
        <f t="shared" si="15"/>
        <v>Busia</v>
      </c>
      <c r="H345" s="82" t="s">
        <v>2790</v>
      </c>
    </row>
    <row r="346" spans="1:8">
      <c r="A346" s="77">
        <v>698</v>
      </c>
      <c r="B346" s="78" t="s">
        <v>688</v>
      </c>
      <c r="C346" s="78" t="s">
        <v>691</v>
      </c>
      <c r="D346" s="82" t="s">
        <v>2790</v>
      </c>
      <c r="E346" s="78"/>
      <c r="F346" s="71" t="str">
        <f t="shared" si="16"/>
        <v>Buyanga-Iganga</v>
      </c>
      <c r="G346" s="71" t="str">
        <f t="shared" si="15"/>
        <v>Iganga</v>
      </c>
      <c r="H346" s="82" t="s">
        <v>2790</v>
      </c>
    </row>
    <row r="347" spans="1:8">
      <c r="A347" s="77">
        <v>1283</v>
      </c>
      <c r="B347" s="78" t="s">
        <v>41</v>
      </c>
      <c r="C347" s="78" t="s">
        <v>2364</v>
      </c>
      <c r="D347" s="78" t="s">
        <v>1514</v>
      </c>
      <c r="E347" s="78"/>
      <c r="F347" s="71" t="str">
        <f t="shared" ref="F347:F370" si="17">D347</f>
        <v>Buyanja</v>
      </c>
      <c r="G347" s="71" t="str">
        <f t="shared" si="15"/>
        <v>Rukungiri</v>
      </c>
      <c r="H347" s="78" t="s">
        <v>1514</v>
      </c>
    </row>
    <row r="348" spans="1:8">
      <c r="A348" s="77">
        <v>1287</v>
      </c>
      <c r="B348" s="78" t="s">
        <v>41</v>
      </c>
      <c r="C348" s="78" t="s">
        <v>2364</v>
      </c>
      <c r="D348" s="78" t="s">
        <v>2365</v>
      </c>
      <c r="E348" s="78"/>
      <c r="F348" s="71" t="str">
        <f t="shared" si="17"/>
        <v>Buyanja Town Council</v>
      </c>
      <c r="G348" s="71" t="str">
        <f t="shared" si="15"/>
        <v>Rukungiri</v>
      </c>
      <c r="H348" s="78" t="s">
        <v>2365</v>
      </c>
    </row>
    <row r="349" spans="1:8">
      <c r="A349" s="77">
        <v>1019</v>
      </c>
      <c r="B349" s="78" t="s">
        <v>616</v>
      </c>
      <c r="C349" s="78" t="s">
        <v>617</v>
      </c>
      <c r="D349" s="78" t="s">
        <v>616</v>
      </c>
      <c r="E349" s="78"/>
      <c r="F349" s="71" t="str">
        <f t="shared" si="17"/>
        <v>Buyende</v>
      </c>
      <c r="G349" s="71" t="str">
        <f t="shared" si="15"/>
        <v>Buyende</v>
      </c>
      <c r="H349" s="78" t="s">
        <v>616</v>
      </c>
    </row>
    <row r="350" spans="1:8">
      <c r="A350" s="77">
        <v>1020</v>
      </c>
      <c r="B350" s="78" t="s">
        <v>616</v>
      </c>
      <c r="C350" s="78" t="s">
        <v>617</v>
      </c>
      <c r="D350" s="78" t="s">
        <v>618</v>
      </c>
      <c r="E350" s="78"/>
      <c r="F350" s="71" t="str">
        <f t="shared" si="17"/>
        <v>Buyende Town Council</v>
      </c>
      <c r="G350" s="71" t="str">
        <f t="shared" si="15"/>
        <v>Buyende</v>
      </c>
      <c r="H350" s="78" t="s">
        <v>618</v>
      </c>
    </row>
    <row r="351" spans="1:8">
      <c r="A351" s="77">
        <v>724</v>
      </c>
      <c r="B351" s="78" t="s">
        <v>186</v>
      </c>
      <c r="C351" s="78" t="s">
        <v>753</v>
      </c>
      <c r="D351" s="78" t="s">
        <v>760</v>
      </c>
      <c r="E351" s="78"/>
      <c r="F351" s="71" t="str">
        <f t="shared" si="17"/>
        <v>Buyengo</v>
      </c>
      <c r="G351" s="71" t="str">
        <f t="shared" si="15"/>
        <v>Jinja</v>
      </c>
      <c r="H351" s="78" t="s">
        <v>760</v>
      </c>
    </row>
    <row r="352" spans="1:8">
      <c r="A352" s="77">
        <v>964</v>
      </c>
      <c r="B352" s="78" t="s">
        <v>878</v>
      </c>
      <c r="C352" s="78" t="s">
        <v>687</v>
      </c>
      <c r="D352" s="78" t="s">
        <v>881</v>
      </c>
      <c r="E352" s="78"/>
      <c r="F352" s="71" t="str">
        <f t="shared" si="17"/>
        <v>Buyinda</v>
      </c>
      <c r="G352" s="71" t="str">
        <f t="shared" si="15"/>
        <v>Kaliro</v>
      </c>
      <c r="H352" s="78" t="s">
        <v>881</v>
      </c>
    </row>
    <row r="353" spans="1:8">
      <c r="A353" s="77">
        <v>1058</v>
      </c>
      <c r="B353" s="78" t="s">
        <v>2133</v>
      </c>
      <c r="C353" s="78" t="s">
        <v>2134</v>
      </c>
      <c r="D353" s="78" t="s">
        <v>2139</v>
      </c>
      <c r="E353" s="78"/>
      <c r="F353" s="71" t="str">
        <f t="shared" si="17"/>
        <v>Buyinja</v>
      </c>
      <c r="G353" s="71" t="str">
        <f t="shared" si="15"/>
        <v>Namayingo</v>
      </c>
      <c r="H353" s="78" t="s">
        <v>2139</v>
      </c>
    </row>
    <row r="354" spans="1:8">
      <c r="A354" s="77">
        <v>881</v>
      </c>
      <c r="B354" s="78" t="s">
        <v>2410</v>
      </c>
      <c r="C354" s="78" t="s">
        <v>2411</v>
      </c>
      <c r="D354" s="78" t="s">
        <v>2427</v>
      </c>
      <c r="E354" s="78"/>
      <c r="F354" s="71" t="str">
        <f t="shared" si="17"/>
        <v>Buyobo</v>
      </c>
      <c r="G354" s="71" t="str">
        <f t="shared" si="15"/>
        <v>Sironko</v>
      </c>
      <c r="H354" s="78" t="s">
        <v>2427</v>
      </c>
    </row>
    <row r="355" spans="1:8">
      <c r="A355" s="77">
        <v>1291</v>
      </c>
      <c r="B355" s="78" t="s">
        <v>41</v>
      </c>
      <c r="C355" s="78" t="s">
        <v>2359</v>
      </c>
      <c r="D355" s="78" t="s">
        <v>2366</v>
      </c>
      <c r="E355" s="78"/>
      <c r="F355" s="71" t="str">
        <f t="shared" si="17"/>
        <v>Bwambara</v>
      </c>
      <c r="G355" s="71" t="str">
        <f t="shared" si="15"/>
        <v>Rukungiri</v>
      </c>
      <c r="H355" s="78" t="s">
        <v>2366</v>
      </c>
    </row>
    <row r="356" spans="1:8">
      <c r="A356" s="77">
        <v>1209</v>
      </c>
      <c r="B356" s="78" t="s">
        <v>1513</v>
      </c>
      <c r="C356" s="78" t="s">
        <v>1514</v>
      </c>
      <c r="D356" s="78" t="s">
        <v>1515</v>
      </c>
      <c r="E356" s="78"/>
      <c r="F356" s="71" t="str">
        <f t="shared" si="17"/>
        <v>Bwamiramira</v>
      </c>
      <c r="G356" s="71" t="str">
        <f t="shared" si="15"/>
        <v>Kibaale</v>
      </c>
      <c r="H356" s="78" t="s">
        <v>1515</v>
      </c>
    </row>
    <row r="357" spans="1:8">
      <c r="A357" s="77">
        <v>1496</v>
      </c>
      <c r="B357" s="78" t="s">
        <v>856</v>
      </c>
      <c r="C357" s="78" t="s">
        <v>857</v>
      </c>
      <c r="D357" s="78" t="s">
        <v>858</v>
      </c>
      <c r="E357" s="78"/>
      <c r="F357" s="71" t="str">
        <f t="shared" si="17"/>
        <v>Bwanswa</v>
      </c>
      <c r="G357" s="71" t="str">
        <f t="shared" si="15"/>
        <v>Kakumiro</v>
      </c>
      <c r="H357" s="78" t="s">
        <v>858</v>
      </c>
    </row>
    <row r="358" spans="1:8">
      <c r="A358" s="77">
        <v>621</v>
      </c>
      <c r="B358" s="78" t="s">
        <v>604</v>
      </c>
      <c r="C358" s="78" t="s">
        <v>605</v>
      </c>
      <c r="D358" s="78" t="s">
        <v>609</v>
      </c>
      <c r="E358" s="78"/>
      <c r="F358" s="71" t="str">
        <f t="shared" si="17"/>
        <v>Bweema</v>
      </c>
      <c r="G358" s="71" t="str">
        <f t="shared" si="15"/>
        <v>Buvuma</v>
      </c>
      <c r="H358" s="78" t="s">
        <v>609</v>
      </c>
    </row>
    <row r="359" spans="1:8">
      <c r="A359" s="77">
        <v>1178</v>
      </c>
      <c r="B359" s="78" t="s">
        <v>37</v>
      </c>
      <c r="C359" s="78" t="s">
        <v>502</v>
      </c>
      <c r="D359" s="78" t="s">
        <v>38</v>
      </c>
      <c r="E359" s="78"/>
      <c r="F359" s="71" t="str">
        <f t="shared" si="17"/>
        <v>Bwera</v>
      </c>
      <c r="G359" s="71" t="str">
        <f t="shared" si="15"/>
        <v>Kasese</v>
      </c>
      <c r="H359" s="78" t="s">
        <v>38</v>
      </c>
    </row>
    <row r="360" spans="1:8">
      <c r="A360" s="77">
        <v>1443</v>
      </c>
      <c r="B360" s="78" t="s">
        <v>2197</v>
      </c>
      <c r="C360" s="78" t="s">
        <v>2197</v>
      </c>
      <c r="D360" s="78" t="s">
        <v>2198</v>
      </c>
      <c r="E360" s="78"/>
      <c r="F360" s="71" t="str">
        <f t="shared" si="17"/>
        <v>Bweramule</v>
      </c>
      <c r="G360" s="71" t="str">
        <f t="shared" si="15"/>
        <v>Ntoroko</v>
      </c>
      <c r="H360" s="78" t="s">
        <v>2198</v>
      </c>
    </row>
    <row r="361" spans="1:8">
      <c r="A361" s="77">
        <v>1194</v>
      </c>
      <c r="B361" s="78" t="s">
        <v>37</v>
      </c>
      <c r="C361" s="78" t="s">
        <v>1452</v>
      </c>
      <c r="D361" s="78" t="s">
        <v>1455</v>
      </c>
      <c r="E361" s="78"/>
      <c r="F361" s="71" t="str">
        <f t="shared" si="17"/>
        <v>Bwesumbu</v>
      </c>
      <c r="G361" s="71" t="str">
        <f t="shared" si="15"/>
        <v>Kasese</v>
      </c>
      <c r="H361" s="78" t="s">
        <v>1455</v>
      </c>
    </row>
    <row r="362" spans="1:8">
      <c r="A362" s="77">
        <v>1413</v>
      </c>
      <c r="B362" s="78" t="s">
        <v>197</v>
      </c>
      <c r="C362" s="78" t="s">
        <v>1582</v>
      </c>
      <c r="D362" s="78" t="s">
        <v>1581</v>
      </c>
      <c r="E362" s="78"/>
      <c r="F362" s="71" t="str">
        <f t="shared" si="17"/>
        <v>Bweyale Town Council</v>
      </c>
      <c r="G362" s="71" t="str">
        <f t="shared" si="15"/>
        <v>Kiryandongo</v>
      </c>
      <c r="H362" s="78" t="s">
        <v>1581</v>
      </c>
    </row>
    <row r="363" spans="1:8">
      <c r="A363" s="77">
        <v>548</v>
      </c>
      <c r="B363" s="78" t="s">
        <v>2477</v>
      </c>
      <c r="C363" s="79" t="s">
        <v>2485</v>
      </c>
      <c r="D363" s="78" t="s">
        <v>2791</v>
      </c>
      <c r="E363" s="78"/>
      <c r="F363" s="72" t="str">
        <f>VLOOKUP(C363,[2]Municipalities!$C$9:$F$1522,4,FALSE)</f>
        <v>Bweyogerere</v>
      </c>
      <c r="G363" s="71" t="str">
        <f t="shared" si="15"/>
        <v>Wakiso</v>
      </c>
      <c r="H363" s="78" t="s">
        <v>2791</v>
      </c>
    </row>
    <row r="364" spans="1:8">
      <c r="A364" s="77">
        <v>1236</v>
      </c>
      <c r="B364" s="78" t="s">
        <v>1859</v>
      </c>
      <c r="C364" s="78" t="s">
        <v>1860</v>
      </c>
      <c r="D364" s="78" t="s">
        <v>1861</v>
      </c>
      <c r="E364" s="78"/>
      <c r="F364" s="71" t="str">
        <f t="shared" si="17"/>
        <v>Bwijanga</v>
      </c>
      <c r="G364" s="71" t="str">
        <f t="shared" si="15"/>
        <v>Masindi</v>
      </c>
      <c r="H364" s="78" t="s">
        <v>1861</v>
      </c>
    </row>
    <row r="365" spans="1:8">
      <c r="A365" s="77">
        <v>1478</v>
      </c>
      <c r="B365" s="78" t="s">
        <v>837</v>
      </c>
      <c r="C365" s="78" t="s">
        <v>838</v>
      </c>
      <c r="D365" s="78" t="s">
        <v>839</v>
      </c>
      <c r="E365" s="78"/>
      <c r="F365" s="71" t="str">
        <f t="shared" si="17"/>
        <v>Bwikara</v>
      </c>
      <c r="G365" s="71" t="str">
        <f t="shared" si="15"/>
        <v>Kagadi</v>
      </c>
      <c r="H365" s="78" t="s">
        <v>839</v>
      </c>
    </row>
    <row r="366" spans="1:8">
      <c r="A366" s="77">
        <v>1009</v>
      </c>
      <c r="B366" s="78" t="s">
        <v>472</v>
      </c>
      <c r="C366" s="78" t="s">
        <v>472</v>
      </c>
      <c r="D366" s="78" t="s">
        <v>482</v>
      </c>
      <c r="E366" s="78"/>
      <c r="F366" s="71" t="str">
        <f t="shared" si="17"/>
        <v>Bwikhonge</v>
      </c>
      <c r="G366" s="71" t="str">
        <f t="shared" si="15"/>
        <v>Bulambuli</v>
      </c>
      <c r="H366" s="78" t="s">
        <v>482</v>
      </c>
    </row>
    <row r="367" spans="1:8">
      <c r="A367" s="77">
        <v>1299</v>
      </c>
      <c r="B367" s="78" t="s">
        <v>50</v>
      </c>
      <c r="C367" s="78" t="s">
        <v>598</v>
      </c>
      <c r="D367" s="78" t="s">
        <v>1396</v>
      </c>
      <c r="E367" s="78"/>
      <c r="F367" s="71" t="str">
        <f t="shared" si="17"/>
        <v>Bwizi</v>
      </c>
      <c r="G367" s="71" t="str">
        <f t="shared" si="15"/>
        <v>Kamwenge</v>
      </c>
      <c r="H367" s="78" t="s">
        <v>1396</v>
      </c>
    </row>
    <row r="368" spans="1:8">
      <c r="A368" s="77">
        <v>1261</v>
      </c>
      <c r="B368" s="78" t="s">
        <v>52</v>
      </c>
      <c r="C368" s="78" t="s">
        <v>2208</v>
      </c>
      <c r="D368" s="78" t="s">
        <v>2207</v>
      </c>
      <c r="E368" s="78"/>
      <c r="F368" s="71" t="str">
        <f t="shared" si="17"/>
        <v>Bwongyera</v>
      </c>
      <c r="G368" s="71" t="str">
        <f t="shared" si="15"/>
        <v>Ntungamo</v>
      </c>
      <c r="H368" s="78" t="s">
        <v>2207</v>
      </c>
    </row>
    <row r="369" spans="1:9">
      <c r="A369" s="77">
        <v>506</v>
      </c>
      <c r="B369" s="78" t="s">
        <v>192</v>
      </c>
      <c r="C369" s="78" t="s">
        <v>1733</v>
      </c>
      <c r="D369" s="78" t="s">
        <v>2305</v>
      </c>
      <c r="E369" s="78"/>
      <c r="F369" s="71" t="str">
        <f t="shared" si="17"/>
        <v>Byakabanda</v>
      </c>
      <c r="G369" s="71" t="str">
        <f t="shared" si="15"/>
        <v>Rakai</v>
      </c>
      <c r="H369" s="78" t="s">
        <v>2305</v>
      </c>
    </row>
    <row r="370" spans="1:9">
      <c r="A370" s="77">
        <v>649</v>
      </c>
      <c r="B370" s="78" t="s">
        <v>1664</v>
      </c>
      <c r="C370" s="78" t="s">
        <v>1525</v>
      </c>
      <c r="D370" s="78" t="s">
        <v>1667</v>
      </c>
      <c r="E370" s="78"/>
      <c r="F370" s="71" t="str">
        <f t="shared" si="17"/>
        <v>Byerima</v>
      </c>
      <c r="G370" s="71" t="str">
        <f t="shared" si="15"/>
        <v>Kyankwanzi</v>
      </c>
      <c r="H370" s="78" t="s">
        <v>1667</v>
      </c>
    </row>
    <row r="371" spans="1:9" ht="25.5">
      <c r="A371" s="77">
        <v>1232</v>
      </c>
      <c r="B371" s="80" t="s">
        <v>1593</v>
      </c>
      <c r="C371" s="81" t="s">
        <v>1599</v>
      </c>
      <c r="D371" s="80" t="s">
        <v>2792</v>
      </c>
      <c r="E371" s="80"/>
      <c r="F371" s="72" t="str">
        <f>VLOOKUP(C371,[2]Municipalities!$C$9:$F$1522,4,FALSE)</f>
        <v>Kisoro Municipality</v>
      </c>
      <c r="G371" s="71" t="str">
        <f t="shared" si="15"/>
        <v>Kisoro</v>
      </c>
      <c r="H371" s="80" t="s">
        <v>2792</v>
      </c>
    </row>
    <row r="372" spans="1:9" ht="25.5">
      <c r="A372" s="77">
        <v>67</v>
      </c>
      <c r="B372" s="80" t="s">
        <v>220</v>
      </c>
      <c r="C372" s="81" t="s">
        <v>1612</v>
      </c>
      <c r="D372" s="80" t="s">
        <v>911</v>
      </c>
      <c r="E372" s="80"/>
      <c r="F372" s="72" t="str">
        <f>VLOOKUP(C372,[2]Municipalities!$C$9:$F$1522,4,FALSE)</f>
        <v>Kitgum Municipality</v>
      </c>
      <c r="G372" s="71" t="str">
        <f t="shared" si="15"/>
        <v>Kitgum</v>
      </c>
      <c r="H372" s="80" t="s">
        <v>911</v>
      </c>
    </row>
    <row r="373" spans="1:9" ht="16.5" customHeight="1">
      <c r="A373" s="77">
        <v>75</v>
      </c>
      <c r="B373" s="80" t="s">
        <v>1637</v>
      </c>
      <c r="C373" s="81" t="s">
        <v>1639</v>
      </c>
      <c r="D373" s="80" t="s">
        <v>911</v>
      </c>
      <c r="E373" s="80"/>
      <c r="F373" s="72" t="str">
        <f>VLOOKUP(C373,[2]Municipalities!$C$9:$F$1522,4,FALSE)</f>
        <v>Kotido Municipality</v>
      </c>
      <c r="G373" s="71" t="str">
        <f t="shared" si="15"/>
        <v>Kotido</v>
      </c>
      <c r="H373" s="80" t="s">
        <v>911</v>
      </c>
    </row>
    <row r="374" spans="1:9">
      <c r="A374" s="77">
        <v>89</v>
      </c>
      <c r="B374" s="78" t="s">
        <v>213</v>
      </c>
      <c r="C374" s="79" t="s">
        <v>1756</v>
      </c>
      <c r="D374" s="80" t="s">
        <v>911</v>
      </c>
      <c r="E374" s="78"/>
      <c r="F374" s="72" t="str">
        <f>VLOOKUP(C374,[2]Municipalities!$C$9:$F$1522,4,FALSE)</f>
        <v>Lira Municipality</v>
      </c>
      <c r="G374" s="71" t="str">
        <f t="shared" si="15"/>
        <v>Lira</v>
      </c>
      <c r="H374" s="80" t="s">
        <v>911</v>
      </c>
    </row>
    <row r="375" spans="1:9">
      <c r="A375" s="77">
        <v>108</v>
      </c>
      <c r="B375" s="78" t="s">
        <v>2182</v>
      </c>
      <c r="C375" s="79" t="s">
        <v>2188</v>
      </c>
      <c r="D375" s="80" t="s">
        <v>911</v>
      </c>
      <c r="E375" s="78"/>
      <c r="F375" s="72" t="str">
        <f>VLOOKUP(C375,[2]Municipalities!$C$9:$F$1522,4,FALSE)</f>
        <v>Nebbi Municipality</v>
      </c>
      <c r="G375" s="71" t="str">
        <f t="shared" si="15"/>
        <v>Nebbi</v>
      </c>
      <c r="H375" s="80" t="s">
        <v>911</v>
      </c>
    </row>
    <row r="376" spans="1:9">
      <c r="A376" s="77">
        <v>325</v>
      </c>
      <c r="B376" s="78" t="s">
        <v>183</v>
      </c>
      <c r="C376" s="78" t="s">
        <v>899</v>
      </c>
      <c r="D376" s="78" t="s">
        <v>911</v>
      </c>
      <c r="E376" s="78" t="s">
        <v>910</v>
      </c>
      <c r="F376" s="71" t="str">
        <f>[2]KCCA!F376</f>
        <v>Bukesa</v>
      </c>
      <c r="G376" s="71" t="str">
        <f t="shared" si="15"/>
        <v>Kampala</v>
      </c>
      <c r="H376" s="78" t="s">
        <v>911</v>
      </c>
    </row>
    <row r="377" spans="1:9">
      <c r="A377" s="77">
        <v>326</v>
      </c>
      <c r="B377" s="78" t="s">
        <v>183</v>
      </c>
      <c r="C377" s="78" t="s">
        <v>899</v>
      </c>
      <c r="D377" s="78" t="s">
        <v>911</v>
      </c>
      <c r="E377" s="78" t="s">
        <v>931</v>
      </c>
      <c r="F377" s="71" t="str">
        <f>[2]KCCA!F377</f>
        <v>Civic Centre</v>
      </c>
      <c r="G377" s="71" t="str">
        <f t="shared" si="15"/>
        <v>Kampala</v>
      </c>
      <c r="H377" s="78" t="s">
        <v>911</v>
      </c>
    </row>
    <row r="378" spans="1:9">
      <c r="A378" s="77">
        <v>327</v>
      </c>
      <c r="B378" s="78" t="s">
        <v>183</v>
      </c>
      <c r="C378" s="78" t="s">
        <v>899</v>
      </c>
      <c r="D378" s="78" t="s">
        <v>911</v>
      </c>
      <c r="E378" s="78" t="s">
        <v>223</v>
      </c>
      <c r="F378" s="71" t="str">
        <f>[2]KCCA!F378</f>
        <v>Industrial Area</v>
      </c>
      <c r="G378" s="71" t="str">
        <f t="shared" si="15"/>
        <v>Kampala</v>
      </c>
      <c r="H378" s="78" t="s">
        <v>911</v>
      </c>
    </row>
    <row r="379" spans="1:9">
      <c r="A379" s="77">
        <v>328</v>
      </c>
      <c r="B379" s="78" t="s">
        <v>183</v>
      </c>
      <c r="C379" s="78" t="s">
        <v>899</v>
      </c>
      <c r="D379" s="78" t="s">
        <v>911</v>
      </c>
      <c r="E379" s="78" t="s">
        <v>1116</v>
      </c>
      <c r="F379" s="71" t="str">
        <f>[2]KCCA!F379</f>
        <v>Kagugube</v>
      </c>
      <c r="G379" s="71" t="str">
        <f t="shared" si="15"/>
        <v>Kampala</v>
      </c>
      <c r="H379" s="78" t="s">
        <v>911</v>
      </c>
    </row>
    <row r="380" spans="1:9">
      <c r="A380" s="77">
        <v>329</v>
      </c>
      <c r="B380" s="78" t="s">
        <v>183</v>
      </c>
      <c r="C380" s="78" t="s">
        <v>899</v>
      </c>
      <c r="D380" s="78" t="s">
        <v>911</v>
      </c>
      <c r="E380" s="82" t="s">
        <v>2793</v>
      </c>
      <c r="F380" s="150" t="s">
        <v>1117</v>
      </c>
      <c r="G380" s="71" t="str">
        <f t="shared" si="15"/>
        <v>Kampala</v>
      </c>
      <c r="H380" s="78" t="s">
        <v>911</v>
      </c>
    </row>
    <row r="381" spans="1:9">
      <c r="A381" s="77">
        <v>330</v>
      </c>
      <c r="B381" s="78" t="s">
        <v>183</v>
      </c>
      <c r="C381" s="78" t="s">
        <v>899</v>
      </c>
      <c r="D381" s="78" t="s">
        <v>911</v>
      </c>
      <c r="E381" s="82" t="s">
        <v>2794</v>
      </c>
      <c r="F381" s="151"/>
      <c r="G381" s="71" t="str">
        <f t="shared" si="15"/>
        <v>Kampala</v>
      </c>
      <c r="H381" s="78" t="s">
        <v>911</v>
      </c>
      <c r="I381" s="83" t="s">
        <v>2795</v>
      </c>
    </row>
    <row r="382" spans="1:9">
      <c r="A382" s="77">
        <v>331</v>
      </c>
      <c r="B382" s="78" t="s">
        <v>183</v>
      </c>
      <c r="C382" s="78" t="s">
        <v>899</v>
      </c>
      <c r="D382" s="78" t="s">
        <v>911</v>
      </c>
      <c r="E382" s="82" t="s">
        <v>2796</v>
      </c>
      <c r="F382" s="150" t="s">
        <v>1155</v>
      </c>
      <c r="G382" s="71" t="str">
        <f t="shared" si="15"/>
        <v>Kampala</v>
      </c>
      <c r="H382" s="78" t="s">
        <v>911</v>
      </c>
    </row>
    <row r="383" spans="1:9">
      <c r="A383" s="77">
        <v>332</v>
      </c>
      <c r="B383" s="78" t="s">
        <v>183</v>
      </c>
      <c r="C383" s="78" t="s">
        <v>899</v>
      </c>
      <c r="D383" s="78" t="s">
        <v>911</v>
      </c>
      <c r="E383" s="82" t="s">
        <v>2797</v>
      </c>
      <c r="F383" s="152"/>
      <c r="G383" s="71" t="str">
        <f t="shared" si="15"/>
        <v>Kampala</v>
      </c>
      <c r="H383" s="78" t="s">
        <v>911</v>
      </c>
      <c r="I383" s="83" t="s">
        <v>2795</v>
      </c>
    </row>
    <row r="384" spans="1:9">
      <c r="A384" s="77">
        <v>333</v>
      </c>
      <c r="B384" s="78" t="s">
        <v>183</v>
      </c>
      <c r="C384" s="78" t="s">
        <v>899</v>
      </c>
      <c r="D384" s="78" t="s">
        <v>911</v>
      </c>
      <c r="E384" s="82" t="s">
        <v>2798</v>
      </c>
      <c r="F384" s="151"/>
      <c r="G384" s="71" t="str">
        <f t="shared" si="15"/>
        <v>Kampala</v>
      </c>
      <c r="H384" s="78" t="s">
        <v>911</v>
      </c>
      <c r="I384" s="83" t="s">
        <v>2795</v>
      </c>
    </row>
    <row r="385" spans="1:9">
      <c r="A385" s="77">
        <v>334</v>
      </c>
      <c r="B385" s="78" t="s">
        <v>183</v>
      </c>
      <c r="C385" s="78" t="s">
        <v>899</v>
      </c>
      <c r="D385" s="78" t="s">
        <v>911</v>
      </c>
      <c r="E385" s="82" t="s">
        <v>2799</v>
      </c>
      <c r="F385" s="150" t="s">
        <v>1169</v>
      </c>
      <c r="G385" s="71" t="str">
        <f t="shared" si="15"/>
        <v>Kampala</v>
      </c>
      <c r="H385" s="78" t="s">
        <v>911</v>
      </c>
    </row>
    <row r="386" spans="1:9">
      <c r="A386" s="77">
        <v>335</v>
      </c>
      <c r="B386" s="78" t="s">
        <v>183</v>
      </c>
      <c r="C386" s="78" t="s">
        <v>899</v>
      </c>
      <c r="D386" s="78" t="s">
        <v>911</v>
      </c>
      <c r="E386" s="82" t="s">
        <v>2800</v>
      </c>
      <c r="F386" s="152"/>
      <c r="G386" s="71" t="str">
        <f t="shared" si="15"/>
        <v>Kampala</v>
      </c>
      <c r="H386" s="78" t="s">
        <v>911</v>
      </c>
      <c r="I386" s="83" t="s">
        <v>2795</v>
      </c>
    </row>
    <row r="387" spans="1:9">
      <c r="A387" s="77">
        <v>336</v>
      </c>
      <c r="B387" s="78" t="s">
        <v>183</v>
      </c>
      <c r="C387" s="78" t="s">
        <v>899</v>
      </c>
      <c r="D387" s="78" t="s">
        <v>911</v>
      </c>
      <c r="E387" s="82" t="s">
        <v>2801</v>
      </c>
      <c r="F387" s="152"/>
      <c r="G387" s="71" t="str">
        <f t="shared" si="15"/>
        <v>Kampala</v>
      </c>
      <c r="H387" s="78" t="s">
        <v>911</v>
      </c>
      <c r="I387" s="83" t="s">
        <v>2795</v>
      </c>
    </row>
    <row r="388" spans="1:9">
      <c r="A388" s="77">
        <v>337</v>
      </c>
      <c r="B388" s="78" t="s">
        <v>183</v>
      </c>
      <c r="C388" s="78" t="s">
        <v>899</v>
      </c>
      <c r="D388" s="78" t="s">
        <v>911</v>
      </c>
      <c r="E388" s="82" t="s">
        <v>2802</v>
      </c>
      <c r="F388" s="151"/>
      <c r="G388" s="71" t="str">
        <f t="shared" si="15"/>
        <v>Kampala</v>
      </c>
      <c r="H388" s="78" t="s">
        <v>911</v>
      </c>
      <c r="I388" s="83" t="s">
        <v>2795</v>
      </c>
    </row>
    <row r="389" spans="1:9">
      <c r="A389" s="77">
        <v>338</v>
      </c>
      <c r="B389" s="78" t="s">
        <v>183</v>
      </c>
      <c r="C389" s="78" t="s">
        <v>899</v>
      </c>
      <c r="D389" s="78" t="s">
        <v>911</v>
      </c>
      <c r="E389" s="78" t="s">
        <v>1231</v>
      </c>
      <c r="F389" s="71" t="str">
        <f>[2]KCCA!F389</f>
        <v>Mengo</v>
      </c>
      <c r="G389" s="71" t="str">
        <f t="shared" si="15"/>
        <v>Kampala</v>
      </c>
      <c r="H389" s="78" t="s">
        <v>911</v>
      </c>
    </row>
    <row r="390" spans="1:9">
      <c r="A390" s="77">
        <v>339</v>
      </c>
      <c r="B390" s="78" t="s">
        <v>183</v>
      </c>
      <c r="C390" s="78" t="s">
        <v>899</v>
      </c>
      <c r="D390" s="78" t="s">
        <v>911</v>
      </c>
      <c r="E390" s="82" t="s">
        <v>2803</v>
      </c>
      <c r="F390" s="150" t="s">
        <v>1301</v>
      </c>
      <c r="G390" s="71" t="str">
        <f t="shared" si="15"/>
        <v>Kampala</v>
      </c>
      <c r="H390" s="78" t="s">
        <v>911</v>
      </c>
    </row>
    <row r="391" spans="1:9">
      <c r="A391" s="77">
        <v>340</v>
      </c>
      <c r="B391" s="78" t="s">
        <v>183</v>
      </c>
      <c r="C391" s="78" t="s">
        <v>899</v>
      </c>
      <c r="D391" s="78" t="s">
        <v>911</v>
      </c>
      <c r="E391" s="82" t="s">
        <v>2804</v>
      </c>
      <c r="F391" s="152"/>
      <c r="G391" s="71" t="str">
        <f t="shared" si="15"/>
        <v>Kampala</v>
      </c>
      <c r="H391" s="78" t="s">
        <v>911</v>
      </c>
      <c r="I391" s="83" t="s">
        <v>2795</v>
      </c>
    </row>
    <row r="392" spans="1:9">
      <c r="A392" s="77">
        <v>341</v>
      </c>
      <c r="B392" s="78" t="s">
        <v>183</v>
      </c>
      <c r="C392" s="78" t="s">
        <v>899</v>
      </c>
      <c r="D392" s="78" t="s">
        <v>911</v>
      </c>
      <c r="E392" s="82" t="s">
        <v>2805</v>
      </c>
      <c r="F392" s="152"/>
      <c r="G392" s="71" t="str">
        <f t="shared" si="15"/>
        <v>Kampala</v>
      </c>
      <c r="H392" s="78" t="s">
        <v>911</v>
      </c>
      <c r="I392" s="83" t="s">
        <v>2795</v>
      </c>
    </row>
    <row r="393" spans="1:9">
      <c r="A393" s="77">
        <v>342</v>
      </c>
      <c r="B393" s="78" t="s">
        <v>183</v>
      </c>
      <c r="C393" s="78" t="s">
        <v>899</v>
      </c>
      <c r="D393" s="78" t="s">
        <v>911</v>
      </c>
      <c r="E393" s="82" t="s">
        <v>2806</v>
      </c>
      <c r="F393" s="151"/>
      <c r="G393" s="71" t="str">
        <f t="shared" si="15"/>
        <v>Kampala</v>
      </c>
      <c r="H393" s="78" t="s">
        <v>911</v>
      </c>
      <c r="I393" s="83" t="s">
        <v>2795</v>
      </c>
    </row>
    <row r="394" spans="1:9" ht="25.5">
      <c r="A394" s="77">
        <v>343</v>
      </c>
      <c r="B394" s="78" t="s">
        <v>183</v>
      </c>
      <c r="C394" s="78" t="s">
        <v>899</v>
      </c>
      <c r="D394" s="78" t="s">
        <v>911</v>
      </c>
      <c r="E394" s="78" t="s">
        <v>1320</v>
      </c>
      <c r="F394" s="71" t="str">
        <f>[2]KCCA!F394</f>
        <v>Nakivubo Shauriyaako</v>
      </c>
      <c r="G394" s="71" t="str">
        <f t="shared" ref="G394:G457" si="18">B394</f>
        <v>Kampala</v>
      </c>
      <c r="H394" s="78" t="s">
        <v>911</v>
      </c>
    </row>
    <row r="395" spans="1:9">
      <c r="A395" s="77">
        <v>344</v>
      </c>
      <c r="B395" s="78" t="s">
        <v>183</v>
      </c>
      <c r="C395" s="78" t="s">
        <v>899</v>
      </c>
      <c r="D395" s="78" t="s">
        <v>911</v>
      </c>
      <c r="E395" s="78" t="s">
        <v>1351</v>
      </c>
      <c r="F395" s="71" t="str">
        <f>[2]KCCA!F395</f>
        <v>Old Kampala</v>
      </c>
      <c r="G395" s="71" t="str">
        <f t="shared" si="18"/>
        <v>Kampala</v>
      </c>
      <c r="H395" s="78" t="s">
        <v>911</v>
      </c>
    </row>
    <row r="396" spans="1:9" ht="25.5">
      <c r="A396" s="77">
        <v>485</v>
      </c>
      <c r="B396" s="78" t="s">
        <v>2053</v>
      </c>
      <c r="C396" s="79" t="s">
        <v>2062</v>
      </c>
      <c r="D396" s="82" t="s">
        <v>911</v>
      </c>
      <c r="E396" s="78"/>
      <c r="F396" s="72" t="str">
        <f>VLOOKUP(C396,[2]Municipalities!$C$9:$F$1522,4,FALSE)</f>
        <v>Mukono Municipality</v>
      </c>
      <c r="G396" s="71" t="str">
        <f t="shared" si="18"/>
        <v>Mukono</v>
      </c>
      <c r="H396" s="82" t="s">
        <v>911</v>
      </c>
    </row>
    <row r="397" spans="1:9" ht="25.5">
      <c r="A397" s="77">
        <v>577</v>
      </c>
      <c r="B397" s="78" t="s">
        <v>1968</v>
      </c>
      <c r="C397" s="79" t="s">
        <v>1972</v>
      </c>
      <c r="D397" s="82" t="s">
        <v>911</v>
      </c>
      <c r="E397" s="78"/>
      <c r="F397" s="72" t="str">
        <f>VLOOKUP(C397,[2]Municipalities!$C$9:$F$1522,4,FALSE)</f>
        <v>Mityana Municipality</v>
      </c>
      <c r="G397" s="71" t="str">
        <f t="shared" si="18"/>
        <v>Mityana</v>
      </c>
      <c r="H397" s="82" t="s">
        <v>911</v>
      </c>
    </row>
    <row r="398" spans="1:9" ht="25.5">
      <c r="A398" s="77">
        <v>600</v>
      </c>
      <c r="B398" s="78" t="s">
        <v>429</v>
      </c>
      <c r="C398" s="79" t="s">
        <v>438</v>
      </c>
      <c r="D398" s="82" t="s">
        <v>911</v>
      </c>
      <c r="E398" s="78"/>
      <c r="F398" s="72" t="str">
        <f>VLOOKUP(C398,[2]Municipalities!$C$9:$F$1522,4,FALSE)</f>
        <v>Lugazi Municipality</v>
      </c>
      <c r="G398" s="71" t="str">
        <f t="shared" si="18"/>
        <v>Buikwe</v>
      </c>
      <c r="H398" s="82" t="s">
        <v>911</v>
      </c>
    </row>
    <row r="399" spans="1:9" ht="25.5">
      <c r="A399" s="77">
        <v>703</v>
      </c>
      <c r="B399" s="78" t="s">
        <v>688</v>
      </c>
      <c r="C399" s="79" t="s">
        <v>694</v>
      </c>
      <c r="D399" s="82" t="s">
        <v>911</v>
      </c>
      <c r="E399" s="78"/>
      <c r="F399" s="72" t="str">
        <f>VLOOKUP(C399,[2]Municipalities!$C$9:$F$1522,4,FALSE)</f>
        <v>Iganga Municipality</v>
      </c>
      <c r="G399" s="71" t="str">
        <f t="shared" si="18"/>
        <v>Iganga</v>
      </c>
      <c r="H399" s="82" t="s">
        <v>911</v>
      </c>
    </row>
    <row r="400" spans="1:9">
      <c r="A400" s="77">
        <v>717</v>
      </c>
      <c r="B400" s="78" t="s">
        <v>186</v>
      </c>
      <c r="C400" s="79" t="s">
        <v>761</v>
      </c>
      <c r="D400" s="82" t="s">
        <v>911</v>
      </c>
      <c r="E400" s="78"/>
      <c r="F400" s="72" t="str">
        <f>VLOOKUP(C400,[2]Municipalities!$C$9:$F$1522,4,FALSE)</f>
        <v>Jinja Municipality</v>
      </c>
      <c r="G400" s="71" t="str">
        <f t="shared" si="18"/>
        <v>Jinja</v>
      </c>
      <c r="H400" s="82" t="s">
        <v>911</v>
      </c>
    </row>
    <row r="401" spans="1:8" ht="25.5">
      <c r="A401" s="77">
        <v>750</v>
      </c>
      <c r="B401" s="78" t="s">
        <v>1438</v>
      </c>
      <c r="C401" s="79" t="s">
        <v>1444</v>
      </c>
      <c r="D401" s="82" t="s">
        <v>911</v>
      </c>
      <c r="E401" s="78"/>
      <c r="F401" s="72" t="str">
        <f>VLOOKUP(C401,[2]Municipalities!$C$9:$F$1522,4,FALSE)</f>
        <v>Kapchorwa Municipality</v>
      </c>
      <c r="G401" s="71" t="str">
        <f t="shared" si="18"/>
        <v>Kapchorwa</v>
      </c>
      <c r="H401" s="82" t="s">
        <v>911</v>
      </c>
    </row>
    <row r="402" spans="1:8" ht="25.5">
      <c r="A402" s="77">
        <v>1149</v>
      </c>
      <c r="B402" s="78" t="s">
        <v>786</v>
      </c>
      <c r="C402" s="79" t="s">
        <v>789</v>
      </c>
      <c r="D402" s="82" t="s">
        <v>911</v>
      </c>
      <c r="E402" s="78"/>
      <c r="F402" s="72" t="str">
        <f>VLOOKUP(C402,[2]Municipalities!$C$9:$F$1522,4,FALSE)</f>
        <v>Kabale Municipality</v>
      </c>
      <c r="G402" s="71" t="str">
        <f t="shared" si="18"/>
        <v>Kabale</v>
      </c>
      <c r="H402" s="82" t="s">
        <v>911</v>
      </c>
    </row>
    <row r="403" spans="1:8" ht="25.5">
      <c r="A403" s="77">
        <v>1206</v>
      </c>
      <c r="B403" s="78" t="s">
        <v>37</v>
      </c>
      <c r="C403" s="79" t="s">
        <v>1462</v>
      </c>
      <c r="D403" s="82" t="s">
        <v>911</v>
      </c>
      <c r="E403" s="78"/>
      <c r="F403" s="72" t="str">
        <f>VLOOKUP(C403,[2]Municipalities!$C$9:$F$1522,4,FALSE)</f>
        <v>Kasese Municipality</v>
      </c>
      <c r="G403" s="71" t="str">
        <f t="shared" si="18"/>
        <v>Kasese</v>
      </c>
      <c r="H403" s="82" t="s">
        <v>911</v>
      </c>
    </row>
    <row r="404" spans="1:8" ht="25.5">
      <c r="A404" s="77">
        <v>1243</v>
      </c>
      <c r="B404" s="78" t="s">
        <v>1859</v>
      </c>
      <c r="C404" s="79" t="s">
        <v>1865</v>
      </c>
      <c r="D404" s="82" t="s">
        <v>911</v>
      </c>
      <c r="E404" s="78"/>
      <c r="F404" s="72" t="str">
        <f>VLOOKUP(C404,[2]Municipalities!$C$9:$F$1522,4,FALSE)</f>
        <v>Masindi Municipality</v>
      </c>
      <c r="G404" s="71" t="str">
        <f t="shared" si="18"/>
        <v>Masindi</v>
      </c>
      <c r="H404" s="82" t="s">
        <v>911</v>
      </c>
    </row>
    <row r="405" spans="1:8" ht="25.5">
      <c r="A405" s="77">
        <v>1267</v>
      </c>
      <c r="B405" s="78" t="s">
        <v>52</v>
      </c>
      <c r="C405" s="79" t="s">
        <v>2219</v>
      </c>
      <c r="D405" s="82" t="s">
        <v>911</v>
      </c>
      <c r="E405" s="78"/>
      <c r="F405" s="72" t="str">
        <f>VLOOKUP(C405,[2]Municipalities!$C$9:$F$1522,4,FALSE)</f>
        <v>Ntungamo Municipality</v>
      </c>
      <c r="G405" s="71" t="str">
        <f t="shared" si="18"/>
        <v>Ntungamo</v>
      </c>
      <c r="H405" s="82" t="s">
        <v>911</v>
      </c>
    </row>
    <row r="406" spans="1:8" ht="25.5">
      <c r="A406" s="77">
        <v>1122</v>
      </c>
      <c r="B406" s="78" t="s">
        <v>39</v>
      </c>
      <c r="C406" s="79" t="s">
        <v>537</v>
      </c>
      <c r="D406" s="82" t="s">
        <v>2807</v>
      </c>
      <c r="E406" s="78"/>
      <c r="F406" s="72" t="str">
        <f>VLOOKUP(C406,[2]Municipalities!$C$9:$F$1522,4,FALSE)</f>
        <v>Bushenyi-Ishaka Municipality</v>
      </c>
      <c r="G406" s="71" t="str">
        <f t="shared" si="18"/>
        <v>Bushenyi</v>
      </c>
      <c r="H406" s="82" t="s">
        <v>2807</v>
      </c>
    </row>
    <row r="407" spans="1:8">
      <c r="A407" s="77">
        <v>1220</v>
      </c>
      <c r="B407" s="78" t="s">
        <v>1593</v>
      </c>
      <c r="C407" s="78" t="s">
        <v>1594</v>
      </c>
      <c r="D407" s="78" t="s">
        <v>1596</v>
      </c>
      <c r="E407" s="78"/>
      <c r="F407" s="71" t="str">
        <f t="shared" ref="F407:F417" si="19">D407</f>
        <v>Chahi</v>
      </c>
      <c r="G407" s="71" t="str">
        <f t="shared" si="18"/>
        <v>Kisoro</v>
      </c>
      <c r="H407" s="78" t="s">
        <v>1596</v>
      </c>
    </row>
    <row r="408" spans="1:8">
      <c r="A408" s="77">
        <v>14</v>
      </c>
      <c r="B408" s="78" t="s">
        <v>330</v>
      </c>
      <c r="C408" s="78" t="s">
        <v>331</v>
      </c>
      <c r="D408" s="78" t="s">
        <v>338</v>
      </c>
      <c r="E408" s="78"/>
      <c r="F408" s="71" t="str">
        <f t="shared" si="19"/>
        <v>Chawente</v>
      </c>
      <c r="G408" s="71" t="str">
        <f t="shared" si="18"/>
        <v>Apac</v>
      </c>
      <c r="H408" s="78" t="s">
        <v>338</v>
      </c>
    </row>
    <row r="409" spans="1:8">
      <c r="A409" s="77">
        <v>18</v>
      </c>
      <c r="B409" s="78" t="s">
        <v>330</v>
      </c>
      <c r="C409" s="78" t="s">
        <v>335</v>
      </c>
      <c r="D409" s="78" t="s">
        <v>339</v>
      </c>
      <c r="E409" s="78"/>
      <c r="F409" s="71" t="str">
        <f t="shared" si="19"/>
        <v>Chegere</v>
      </c>
      <c r="G409" s="71" t="str">
        <f t="shared" si="18"/>
        <v>Apac</v>
      </c>
      <c r="H409" s="78" t="s">
        <v>339</v>
      </c>
    </row>
    <row r="410" spans="1:8">
      <c r="A410" s="77">
        <v>805</v>
      </c>
      <c r="B410" s="78" t="s">
        <v>2294</v>
      </c>
      <c r="C410" s="78" t="s">
        <v>2293</v>
      </c>
      <c r="D410" s="78" t="s">
        <v>2297</v>
      </c>
      <c r="E410" s="78"/>
      <c r="F410" s="71" t="str">
        <f t="shared" si="19"/>
        <v>Chelekura</v>
      </c>
      <c r="G410" s="71" t="str">
        <f t="shared" si="18"/>
        <v>Pallisa</v>
      </c>
      <c r="H410" s="78" t="s">
        <v>2297</v>
      </c>
    </row>
    <row r="411" spans="1:8">
      <c r="A411" s="77">
        <v>740</v>
      </c>
      <c r="B411" s="78" t="s">
        <v>1438</v>
      </c>
      <c r="C411" s="78" t="s">
        <v>1439</v>
      </c>
      <c r="D411" s="78" t="s">
        <v>1440</v>
      </c>
      <c r="E411" s="78"/>
      <c r="F411" s="71" t="str">
        <f t="shared" si="19"/>
        <v>Chema</v>
      </c>
      <c r="G411" s="71" t="str">
        <f t="shared" si="18"/>
        <v>Kapchorwa</v>
      </c>
      <c r="H411" s="78" t="s">
        <v>1440</v>
      </c>
    </row>
    <row r="412" spans="1:8">
      <c r="A412" s="77">
        <v>939</v>
      </c>
      <c r="B412" s="78" t="s">
        <v>458</v>
      </c>
      <c r="C412" s="78" t="s">
        <v>459</v>
      </c>
      <c r="D412" s="78" t="s">
        <v>461</v>
      </c>
      <c r="E412" s="78"/>
      <c r="F412" s="71" t="str">
        <f t="shared" si="19"/>
        <v>Chepkwasta</v>
      </c>
      <c r="G412" s="71" t="str">
        <f t="shared" si="18"/>
        <v>Bukwo</v>
      </c>
      <c r="H412" s="78" t="s">
        <v>461</v>
      </c>
    </row>
    <row r="413" spans="1:8">
      <c r="A413" s="77">
        <v>741</v>
      </c>
      <c r="B413" s="78" t="s">
        <v>1438</v>
      </c>
      <c r="C413" s="78" t="s">
        <v>1439</v>
      </c>
      <c r="D413" s="78" t="s">
        <v>1441</v>
      </c>
      <c r="E413" s="78"/>
      <c r="F413" s="71" t="str">
        <f t="shared" si="19"/>
        <v>Chepterech</v>
      </c>
      <c r="G413" s="71" t="str">
        <f t="shared" si="18"/>
        <v>Kapchorwa</v>
      </c>
      <c r="H413" s="78" t="s">
        <v>1441</v>
      </c>
    </row>
    <row r="414" spans="1:8">
      <c r="A414" s="77">
        <v>940</v>
      </c>
      <c r="B414" s="78" t="s">
        <v>458</v>
      </c>
      <c r="C414" s="78" t="s">
        <v>459</v>
      </c>
      <c r="D414" s="78" t="s">
        <v>462</v>
      </c>
      <c r="E414" s="78"/>
      <c r="F414" s="71" t="str">
        <f t="shared" si="19"/>
        <v>Chesower</v>
      </c>
      <c r="G414" s="71" t="str">
        <f t="shared" si="18"/>
        <v>Bukwo</v>
      </c>
      <c r="H414" s="78" t="s">
        <v>462</v>
      </c>
    </row>
    <row r="415" spans="1:8">
      <c r="A415" s="77">
        <v>4</v>
      </c>
      <c r="B415" s="78" t="s">
        <v>249</v>
      </c>
      <c r="C415" s="78" t="s">
        <v>250</v>
      </c>
      <c r="D415" s="78" t="s">
        <v>253</v>
      </c>
      <c r="E415" s="78"/>
      <c r="F415" s="71" t="str">
        <f t="shared" si="19"/>
        <v>Ciforo</v>
      </c>
      <c r="G415" s="71" t="str">
        <f t="shared" si="18"/>
        <v>Adjumani</v>
      </c>
      <c r="H415" s="78" t="s">
        <v>253</v>
      </c>
    </row>
    <row r="416" spans="1:8">
      <c r="A416" s="77">
        <v>689</v>
      </c>
      <c r="B416" s="78" t="s">
        <v>555</v>
      </c>
      <c r="C416" s="78" t="s">
        <v>556</v>
      </c>
      <c r="D416" s="78" t="s">
        <v>564</v>
      </c>
      <c r="E416" s="78"/>
      <c r="F416" s="71" t="str">
        <f t="shared" si="19"/>
        <v>Dabani</v>
      </c>
      <c r="G416" s="71" t="str">
        <f t="shared" si="18"/>
        <v>Busia</v>
      </c>
      <c r="H416" s="78" t="s">
        <v>564</v>
      </c>
    </row>
    <row r="417" spans="1:8">
      <c r="A417" s="77">
        <v>27</v>
      </c>
      <c r="B417" s="78" t="s">
        <v>344</v>
      </c>
      <c r="C417" s="78" t="s">
        <v>345</v>
      </c>
      <c r="D417" s="78" t="s">
        <v>357</v>
      </c>
      <c r="E417" s="78"/>
      <c r="F417" s="71" t="str">
        <f t="shared" si="19"/>
        <v>Dadamu</v>
      </c>
      <c r="G417" s="71" t="str">
        <f t="shared" si="18"/>
        <v>Arua</v>
      </c>
      <c r="H417" s="78" t="s">
        <v>357</v>
      </c>
    </row>
    <row r="418" spans="1:8">
      <c r="A418" s="77">
        <v>423</v>
      </c>
      <c r="B418" s="78" t="s">
        <v>1525</v>
      </c>
      <c r="C418" s="78" t="s">
        <v>1525</v>
      </c>
      <c r="D418" s="82" t="s">
        <v>2808</v>
      </c>
      <c r="E418" s="78"/>
      <c r="F418" s="71" t="str">
        <f t="shared" ref="F418:F419" si="20">D418&amp;"-"&amp;B418</f>
        <v>Ddwaniro-Kiboga</v>
      </c>
      <c r="G418" s="71" t="str">
        <f t="shared" si="18"/>
        <v>Kiboga</v>
      </c>
      <c r="H418" s="82" t="s">
        <v>2808</v>
      </c>
    </row>
    <row r="419" spans="1:8">
      <c r="A419" s="77">
        <v>507</v>
      </c>
      <c r="B419" s="78" t="s">
        <v>192</v>
      </c>
      <c r="C419" s="78" t="s">
        <v>1733</v>
      </c>
      <c r="D419" s="82" t="s">
        <v>2808</v>
      </c>
      <c r="E419" s="78"/>
      <c r="F419" s="71" t="str">
        <f t="shared" si="20"/>
        <v>Ddwaniro-Rakai</v>
      </c>
      <c r="G419" s="71" t="str">
        <f t="shared" si="18"/>
        <v>Rakai</v>
      </c>
      <c r="H419" s="82" t="s">
        <v>2808</v>
      </c>
    </row>
    <row r="420" spans="1:8">
      <c r="A420" s="77">
        <v>101</v>
      </c>
      <c r="B420" s="78" t="s">
        <v>2001</v>
      </c>
      <c r="C420" s="78" t="s">
        <v>2004</v>
      </c>
      <c r="D420" s="78" t="s">
        <v>2003</v>
      </c>
      <c r="E420" s="78"/>
      <c r="F420" s="71" t="str">
        <f t="shared" ref="F420" si="21">D420</f>
        <v>Difule</v>
      </c>
      <c r="G420" s="71" t="str">
        <f t="shared" si="18"/>
        <v>Moyo</v>
      </c>
      <c r="H420" s="78" t="s">
        <v>2003</v>
      </c>
    </row>
    <row r="421" spans="1:8" ht="25.5">
      <c r="A421" s="77">
        <v>546</v>
      </c>
      <c r="B421" s="80" t="s">
        <v>2477</v>
      </c>
      <c r="C421" s="81" t="s">
        <v>2494</v>
      </c>
      <c r="D421" s="84" t="s">
        <v>2809</v>
      </c>
      <c r="E421" s="80"/>
      <c r="F421" s="72" t="str">
        <f>VLOOKUP(C421,[2]Municipalities!$C$9:$F$1522,4,FALSE)</f>
        <v>Entebbe Municipality</v>
      </c>
      <c r="G421" s="71" t="str">
        <f t="shared" si="18"/>
        <v>Wakiso</v>
      </c>
      <c r="H421" s="84" t="s">
        <v>2809</v>
      </c>
    </row>
    <row r="422" spans="1:8" ht="25.5">
      <c r="A422" s="77">
        <v>547</v>
      </c>
      <c r="B422" s="80" t="s">
        <v>2477</v>
      </c>
      <c r="C422" s="81" t="s">
        <v>2494</v>
      </c>
      <c r="D422" s="84" t="s">
        <v>2810</v>
      </c>
      <c r="E422" s="80"/>
      <c r="F422" s="72" t="s">
        <v>2493</v>
      </c>
      <c r="G422" s="71" t="str">
        <f t="shared" si="18"/>
        <v>Wakiso</v>
      </c>
      <c r="H422" s="84" t="s">
        <v>2810</v>
      </c>
    </row>
    <row r="423" spans="1:8">
      <c r="A423" s="77">
        <v>178</v>
      </c>
      <c r="B423" s="78" t="s">
        <v>623</v>
      </c>
      <c r="C423" s="78" t="s">
        <v>623</v>
      </c>
      <c r="D423" s="78" t="s">
        <v>623</v>
      </c>
      <c r="E423" s="78"/>
      <c r="F423" s="71" t="str">
        <f t="shared" ref="F423:F427" si="22">D423</f>
        <v>Dokolo</v>
      </c>
      <c r="G423" s="71" t="str">
        <f t="shared" si="18"/>
        <v>Dokolo</v>
      </c>
      <c r="H423" s="78" t="s">
        <v>623</v>
      </c>
    </row>
    <row r="424" spans="1:8">
      <c r="A424" s="77">
        <v>179</v>
      </c>
      <c r="B424" s="78" t="s">
        <v>623</v>
      </c>
      <c r="C424" s="78" t="s">
        <v>623</v>
      </c>
      <c r="D424" s="78" t="s">
        <v>628</v>
      </c>
      <c r="E424" s="78"/>
      <c r="F424" s="71" t="str">
        <f t="shared" si="22"/>
        <v>Dokolo Tc</v>
      </c>
      <c r="G424" s="71" t="str">
        <f t="shared" si="18"/>
        <v>Dokolo</v>
      </c>
      <c r="H424" s="78" t="s">
        <v>628</v>
      </c>
    </row>
    <row r="425" spans="1:8">
      <c r="A425" s="77">
        <v>140</v>
      </c>
      <c r="B425" s="78" t="s">
        <v>2711</v>
      </c>
      <c r="C425" s="78" t="s">
        <v>2712</v>
      </c>
      <c r="D425" s="78" t="s">
        <v>2714</v>
      </c>
      <c r="E425" s="78"/>
      <c r="F425" s="71" t="str">
        <f t="shared" si="22"/>
        <v>Drajini</v>
      </c>
      <c r="G425" s="71" t="str">
        <f t="shared" si="18"/>
        <v>Yumbe</v>
      </c>
      <c r="H425" s="78" t="s">
        <v>2714</v>
      </c>
    </row>
    <row r="426" spans="1:8">
      <c r="A426" s="77">
        <v>199</v>
      </c>
      <c r="B426" s="78" t="s">
        <v>1622</v>
      </c>
      <c r="C426" s="78" t="s">
        <v>1622</v>
      </c>
      <c r="D426" s="78" t="s">
        <v>1623</v>
      </c>
      <c r="E426" s="78"/>
      <c r="F426" s="71" t="str">
        <f t="shared" si="22"/>
        <v>Dranya</v>
      </c>
      <c r="G426" s="71" t="str">
        <f t="shared" si="18"/>
        <v>Koboko</v>
      </c>
      <c r="H426" s="78" t="s">
        <v>1623</v>
      </c>
    </row>
    <row r="427" spans="1:8">
      <c r="A427" s="77">
        <v>5</v>
      </c>
      <c r="B427" s="78" t="s">
        <v>249</v>
      </c>
      <c r="C427" s="78" t="s">
        <v>250</v>
      </c>
      <c r="D427" s="78" t="s">
        <v>254</v>
      </c>
      <c r="E427" s="78"/>
      <c r="F427" s="71" t="str">
        <f t="shared" si="22"/>
        <v>Dzaipi</v>
      </c>
      <c r="G427" s="71" t="str">
        <f t="shared" si="18"/>
        <v>Adjumani</v>
      </c>
      <c r="H427" s="78" t="s">
        <v>254</v>
      </c>
    </row>
    <row r="428" spans="1:8" ht="25.5">
      <c r="A428" s="77">
        <v>475</v>
      </c>
      <c r="B428" s="78" t="s">
        <v>2026</v>
      </c>
      <c r="C428" s="79" t="s">
        <v>2045</v>
      </c>
      <c r="D428" s="82" t="s">
        <v>2811</v>
      </c>
      <c r="E428" s="78"/>
      <c r="F428" s="72" t="str">
        <f>VLOOKUP(C428,[2]Municipalities!$C$9:$F$1522,4,FALSE)</f>
        <v>Mubende Municipality</v>
      </c>
      <c r="G428" s="71" t="str">
        <f t="shared" si="18"/>
        <v>Mubende</v>
      </c>
      <c r="H428" s="82" t="s">
        <v>2811</v>
      </c>
    </row>
    <row r="429" spans="1:8" ht="25.5">
      <c r="A429" s="77">
        <v>669</v>
      </c>
      <c r="B429" s="78" t="s">
        <v>405</v>
      </c>
      <c r="C429" s="79" t="s">
        <v>407</v>
      </c>
      <c r="D429" s="82" t="s">
        <v>2811</v>
      </c>
      <c r="E429" s="78"/>
      <c r="F429" s="72" t="str">
        <f>VLOOKUP(C429,[2]Municipalities!$C$9:$F$1522,4,FALSE)</f>
        <v>Bugiri Municipality</v>
      </c>
      <c r="G429" s="71" t="str">
        <f t="shared" si="18"/>
        <v>Bugiri</v>
      </c>
      <c r="H429" s="82" t="s">
        <v>2811</v>
      </c>
    </row>
    <row r="430" spans="1:8" ht="25.5">
      <c r="A430" s="77">
        <v>681</v>
      </c>
      <c r="B430" s="78" t="s">
        <v>555</v>
      </c>
      <c r="C430" s="79" t="s">
        <v>558</v>
      </c>
      <c r="D430" s="82" t="s">
        <v>2811</v>
      </c>
      <c r="E430" s="78"/>
      <c r="F430" s="79" t="s">
        <v>558</v>
      </c>
      <c r="G430" s="71" t="str">
        <f t="shared" si="18"/>
        <v>Busia</v>
      </c>
      <c r="H430" s="82" t="s">
        <v>2811</v>
      </c>
    </row>
    <row r="431" spans="1:8" ht="25.5">
      <c r="A431" s="77">
        <v>751</v>
      </c>
      <c r="B431" s="78" t="s">
        <v>1438</v>
      </c>
      <c r="C431" s="79" t="s">
        <v>1444</v>
      </c>
      <c r="D431" s="82" t="s">
        <v>2811</v>
      </c>
      <c r="E431" s="78"/>
      <c r="F431" s="72" t="str">
        <f>VLOOKUP(C431,[2]Municipalities!$C$9:$F$1522,4,FALSE)</f>
        <v>Kapchorwa Municipality</v>
      </c>
      <c r="G431" s="71" t="str">
        <f t="shared" si="18"/>
        <v>Kapchorwa</v>
      </c>
      <c r="H431" s="82" t="s">
        <v>2811</v>
      </c>
    </row>
    <row r="432" spans="1:8" ht="25.5">
      <c r="A432" s="77">
        <v>816</v>
      </c>
      <c r="B432" s="78" t="s">
        <v>2433</v>
      </c>
      <c r="C432" s="79" t="s">
        <v>2438</v>
      </c>
      <c r="D432" s="82" t="s">
        <v>2811</v>
      </c>
      <c r="E432" s="78"/>
      <c r="F432" s="72" t="str">
        <f>VLOOKUP(C432,[2]Municipalities!$C$9:$F$1522,4,FALSE)</f>
        <v>Soroti Municipality</v>
      </c>
      <c r="G432" s="71" t="str">
        <f t="shared" si="18"/>
        <v>Soroti</v>
      </c>
      <c r="H432" s="82" t="s">
        <v>2811</v>
      </c>
    </row>
    <row r="433" spans="1:8" ht="25.5">
      <c r="A433" s="77">
        <v>825</v>
      </c>
      <c r="B433" s="78" t="s">
        <v>201</v>
      </c>
      <c r="C433" s="79" t="s">
        <v>2474</v>
      </c>
      <c r="D433" s="82" t="s">
        <v>2811</v>
      </c>
      <c r="E433" s="78"/>
      <c r="F433" s="72" t="str">
        <f>VLOOKUP(C433,[2]Municipalities!$C$9:$F$1522,4,FALSE)</f>
        <v>Tororo Municipality</v>
      </c>
      <c r="G433" s="71" t="str">
        <f t="shared" si="18"/>
        <v>Tororo</v>
      </c>
      <c r="H433" s="82" t="s">
        <v>2811</v>
      </c>
    </row>
    <row r="434" spans="1:8" ht="25.5">
      <c r="A434" s="77">
        <v>1175</v>
      </c>
      <c r="B434" s="78" t="s">
        <v>803</v>
      </c>
      <c r="C434" s="79" t="s">
        <v>806</v>
      </c>
      <c r="D434" s="82" t="s">
        <v>2811</v>
      </c>
      <c r="E434" s="78"/>
      <c r="F434" s="72" t="str">
        <f>VLOOKUP(C434,[2]Municipalities!$C$9:$F$1522,4,FALSE)</f>
        <v>Fort Portal Municipality</v>
      </c>
      <c r="G434" s="71" t="str">
        <f t="shared" si="18"/>
        <v>Kabarole</v>
      </c>
      <c r="H434" s="82" t="s">
        <v>2811</v>
      </c>
    </row>
    <row r="435" spans="1:8" ht="25.5">
      <c r="A435" s="77">
        <v>1268</v>
      </c>
      <c r="B435" s="78" t="s">
        <v>52</v>
      </c>
      <c r="C435" s="79" t="s">
        <v>2219</v>
      </c>
      <c r="D435" s="82" t="s">
        <v>2811</v>
      </c>
      <c r="E435" s="78"/>
      <c r="F435" s="72" t="str">
        <f>VLOOKUP(C435,[2]Municipalities!$C$9:$F$1522,4,FALSE)</f>
        <v>Ntungamo Municipality</v>
      </c>
      <c r="G435" s="71" t="str">
        <f t="shared" si="18"/>
        <v>Ntungamo</v>
      </c>
      <c r="H435" s="82" t="s">
        <v>2811</v>
      </c>
    </row>
    <row r="436" spans="1:8" ht="25.5">
      <c r="A436" s="77">
        <v>1294</v>
      </c>
      <c r="B436" s="78" t="s">
        <v>41</v>
      </c>
      <c r="C436" s="79" t="s">
        <v>2373</v>
      </c>
      <c r="D436" s="82" t="s">
        <v>2812</v>
      </c>
      <c r="E436" s="78"/>
      <c r="F436" s="72" t="str">
        <f>VLOOKUP(C436,[2]Municipalities!$C$9:$F$1522,4,FALSE)</f>
        <v>Rukungiri Municipality</v>
      </c>
      <c r="G436" s="71" t="str">
        <f t="shared" si="18"/>
        <v>Rukungiri</v>
      </c>
      <c r="H436" s="82" t="s">
        <v>2812</v>
      </c>
    </row>
    <row r="437" spans="1:8">
      <c r="A437" s="77">
        <v>1366</v>
      </c>
      <c r="B437" s="78" t="s">
        <v>53</v>
      </c>
      <c r="C437" s="78" t="s">
        <v>715</v>
      </c>
      <c r="D437" s="78" t="s">
        <v>714</v>
      </c>
      <c r="E437" s="78"/>
      <c r="F437" s="71" t="str">
        <f t="shared" ref="F437:F449" si="23">D437</f>
        <v>Endiinzi</v>
      </c>
      <c r="G437" s="71" t="str">
        <f t="shared" si="18"/>
        <v>Isingiro</v>
      </c>
      <c r="H437" s="78" t="s">
        <v>714</v>
      </c>
    </row>
    <row r="438" spans="1:8">
      <c r="A438" s="77">
        <v>1373</v>
      </c>
      <c r="B438" s="78" t="s">
        <v>53</v>
      </c>
      <c r="C438" s="78" t="s">
        <v>715</v>
      </c>
      <c r="D438" s="78" t="s">
        <v>716</v>
      </c>
      <c r="E438" s="78"/>
      <c r="F438" s="71" t="str">
        <f t="shared" si="23"/>
        <v>Endiinzi Town Council</v>
      </c>
      <c r="G438" s="71" t="str">
        <f t="shared" si="18"/>
        <v>Isingiro</v>
      </c>
      <c r="H438" s="78" t="s">
        <v>716</v>
      </c>
    </row>
    <row r="439" spans="1:8">
      <c r="A439" s="77">
        <v>1408</v>
      </c>
      <c r="B439" s="78" t="s">
        <v>418</v>
      </c>
      <c r="C439" s="78" t="s">
        <v>418</v>
      </c>
      <c r="D439" s="78" t="s">
        <v>422</v>
      </c>
      <c r="E439" s="78"/>
      <c r="F439" s="71" t="str">
        <f t="shared" si="23"/>
        <v>Engaju</v>
      </c>
      <c r="G439" s="71" t="str">
        <f t="shared" si="18"/>
        <v>Buhweju</v>
      </c>
      <c r="H439" s="78" t="s">
        <v>422</v>
      </c>
    </row>
    <row r="440" spans="1:8">
      <c r="A440" s="77">
        <v>1389</v>
      </c>
      <c r="B440" s="78" t="s">
        <v>1548</v>
      </c>
      <c r="C440" s="78" t="s">
        <v>1549</v>
      </c>
      <c r="D440" s="78" t="s">
        <v>1551</v>
      </c>
      <c r="E440" s="78"/>
      <c r="F440" s="71" t="str">
        <f t="shared" si="23"/>
        <v>Engari</v>
      </c>
      <c r="G440" s="71" t="str">
        <f t="shared" si="18"/>
        <v>Kiruhura</v>
      </c>
      <c r="H440" s="78" t="s">
        <v>1551</v>
      </c>
    </row>
    <row r="441" spans="1:8">
      <c r="A441" s="77">
        <v>112</v>
      </c>
      <c r="B441" s="78" t="s">
        <v>2182</v>
      </c>
      <c r="C441" s="78" t="s">
        <v>2183</v>
      </c>
      <c r="D441" s="78" t="s">
        <v>2185</v>
      </c>
      <c r="E441" s="78"/>
      <c r="F441" s="71" t="str">
        <f t="shared" si="23"/>
        <v>Erussi</v>
      </c>
      <c r="G441" s="71" t="str">
        <f t="shared" si="18"/>
        <v>Nebbi</v>
      </c>
      <c r="H441" s="78" t="s">
        <v>2185</v>
      </c>
    </row>
    <row r="442" spans="1:8">
      <c r="A442" s="77">
        <v>164</v>
      </c>
      <c r="B442" s="78" t="s">
        <v>289</v>
      </c>
      <c r="C442" s="78" t="s">
        <v>290</v>
      </c>
      <c r="D442" s="78" t="s">
        <v>297</v>
      </c>
      <c r="E442" s="78"/>
      <c r="F442" s="71" t="str">
        <f t="shared" si="23"/>
        <v>Etam</v>
      </c>
      <c r="G442" s="71" t="str">
        <f t="shared" si="18"/>
        <v>Amolatar</v>
      </c>
      <c r="H442" s="78" t="s">
        <v>297</v>
      </c>
    </row>
    <row r="443" spans="1:8">
      <c r="A443" s="77">
        <v>32</v>
      </c>
      <c r="B443" s="78" t="s">
        <v>344</v>
      </c>
      <c r="C443" s="78" t="s">
        <v>351</v>
      </c>
      <c r="D443" s="78" t="s">
        <v>358</v>
      </c>
      <c r="E443" s="78"/>
      <c r="F443" s="71" t="str">
        <f t="shared" si="23"/>
        <v>Ewanga</v>
      </c>
      <c r="G443" s="71" t="str">
        <f t="shared" si="18"/>
        <v>Arua</v>
      </c>
      <c r="H443" s="78" t="s">
        <v>358</v>
      </c>
    </row>
    <row r="444" spans="1:8">
      <c r="A444" s="77">
        <v>965</v>
      </c>
      <c r="B444" s="78" t="s">
        <v>878</v>
      </c>
      <c r="C444" s="78" t="s">
        <v>687</v>
      </c>
      <c r="D444" s="78" t="s">
        <v>882</v>
      </c>
      <c r="E444" s="78"/>
      <c r="F444" s="71" t="str">
        <f t="shared" si="23"/>
        <v>Gadumire</v>
      </c>
      <c r="G444" s="71" t="str">
        <f t="shared" si="18"/>
        <v>Kaliro</v>
      </c>
      <c r="H444" s="78" t="s">
        <v>882</v>
      </c>
    </row>
    <row r="445" spans="1:8">
      <c r="A445" s="77">
        <v>524</v>
      </c>
      <c r="B445" s="78" t="s">
        <v>217</v>
      </c>
      <c r="C445" s="78" t="s">
        <v>1497</v>
      </c>
      <c r="D445" s="78" t="s">
        <v>1500</v>
      </c>
      <c r="E445" s="78"/>
      <c r="F445" s="71" t="str">
        <f t="shared" si="23"/>
        <v>Galiraya</v>
      </c>
      <c r="G445" s="71" t="str">
        <f t="shared" si="18"/>
        <v>Kayunga</v>
      </c>
      <c r="H445" s="78" t="s">
        <v>1500</v>
      </c>
    </row>
    <row r="446" spans="1:8">
      <c r="A446" s="77">
        <v>742</v>
      </c>
      <c r="B446" s="78" t="s">
        <v>1438</v>
      </c>
      <c r="C446" s="78" t="s">
        <v>1439</v>
      </c>
      <c r="D446" s="78" t="s">
        <v>1442</v>
      </c>
      <c r="E446" s="78"/>
      <c r="F446" s="71" t="str">
        <f t="shared" si="23"/>
        <v>Gamogo</v>
      </c>
      <c r="G446" s="71" t="str">
        <f t="shared" si="18"/>
        <v>Kapchorwa</v>
      </c>
      <c r="H446" s="78" t="s">
        <v>1442</v>
      </c>
    </row>
    <row r="447" spans="1:8">
      <c r="A447" s="77">
        <v>641</v>
      </c>
      <c r="B447" s="78" t="s">
        <v>1664</v>
      </c>
      <c r="C447" s="78" t="s">
        <v>1525</v>
      </c>
      <c r="D447" s="78" t="s">
        <v>1668</v>
      </c>
      <c r="E447" s="78"/>
      <c r="F447" s="71" t="str">
        <f t="shared" si="23"/>
        <v>Gayaza</v>
      </c>
      <c r="G447" s="71" t="str">
        <f t="shared" si="18"/>
        <v>Kyankwanzi</v>
      </c>
      <c r="H447" s="78" t="s">
        <v>1668</v>
      </c>
    </row>
    <row r="448" spans="1:8">
      <c r="A448" s="77">
        <v>99</v>
      </c>
      <c r="B448" s="78" t="s">
        <v>2001</v>
      </c>
      <c r="C448" s="78" t="s">
        <v>2002</v>
      </c>
      <c r="D448" s="78" t="s">
        <v>2005</v>
      </c>
      <c r="E448" s="78"/>
      <c r="F448" s="71" t="str">
        <f t="shared" si="23"/>
        <v>Gimara</v>
      </c>
      <c r="G448" s="71" t="str">
        <f t="shared" si="18"/>
        <v>Moyo</v>
      </c>
      <c r="H448" s="78" t="s">
        <v>2005</v>
      </c>
    </row>
    <row r="449" spans="1:8">
      <c r="A449" s="77">
        <v>806</v>
      </c>
      <c r="B449" s="78" t="s">
        <v>2294</v>
      </c>
      <c r="C449" s="78" t="s">
        <v>2293</v>
      </c>
      <c r="D449" s="78" t="s">
        <v>2298</v>
      </c>
      <c r="E449" s="78"/>
      <c r="F449" s="71" t="str">
        <f t="shared" si="23"/>
        <v>Gogonyo</v>
      </c>
      <c r="G449" s="71" t="str">
        <f t="shared" si="18"/>
        <v>Pallisa</v>
      </c>
      <c r="H449" s="78" t="s">
        <v>2298</v>
      </c>
    </row>
    <row r="450" spans="1:8" ht="25.5">
      <c r="A450" s="77">
        <v>486</v>
      </c>
      <c r="B450" s="78" t="s">
        <v>2053</v>
      </c>
      <c r="C450" s="79" t="s">
        <v>2062</v>
      </c>
      <c r="D450" s="78" t="s">
        <v>2813</v>
      </c>
      <c r="E450" s="78"/>
      <c r="F450" s="72" t="str">
        <f>VLOOKUP(C450,[2]Municipalities!$C$9:$F$1522,4,FALSE)</f>
        <v>Mukono Municipality</v>
      </c>
      <c r="G450" s="71" t="str">
        <f t="shared" si="18"/>
        <v>Mukono</v>
      </c>
      <c r="H450" s="78" t="s">
        <v>2813</v>
      </c>
    </row>
    <row r="451" spans="1:8" ht="25.5">
      <c r="A451" s="77">
        <v>556</v>
      </c>
      <c r="B451" s="78" t="s">
        <v>2477</v>
      </c>
      <c r="C451" s="79" t="s">
        <v>2483</v>
      </c>
      <c r="D451" s="78" t="s">
        <v>2814</v>
      </c>
      <c r="E451" s="78"/>
      <c r="F451" s="72" t="s">
        <v>2508</v>
      </c>
      <c r="G451" s="71" t="str">
        <f t="shared" si="18"/>
        <v>Wakiso</v>
      </c>
      <c r="H451" s="78" t="s">
        <v>2814</v>
      </c>
    </row>
    <row r="452" spans="1:8">
      <c r="A452" s="77">
        <v>613</v>
      </c>
      <c r="B452" s="78" t="s">
        <v>586</v>
      </c>
      <c r="C452" s="78" t="s">
        <v>586</v>
      </c>
      <c r="D452" s="78" t="s">
        <v>588</v>
      </c>
      <c r="E452" s="78"/>
      <c r="F452" s="71" t="str">
        <f t="shared" ref="F452:F515" si="24">D452</f>
        <v>Gombe Town Council</v>
      </c>
      <c r="G452" s="71" t="str">
        <f t="shared" si="18"/>
        <v>Butambala</v>
      </c>
      <c r="H452" s="78" t="s">
        <v>588</v>
      </c>
    </row>
    <row r="453" spans="1:8">
      <c r="A453" s="77">
        <v>814</v>
      </c>
      <c r="B453" s="78" t="s">
        <v>2433</v>
      </c>
      <c r="C453" s="78" t="s">
        <v>2433</v>
      </c>
      <c r="D453" s="78" t="s">
        <v>2435</v>
      </c>
      <c r="E453" s="78"/>
      <c r="F453" s="71" t="str">
        <f t="shared" si="24"/>
        <v>Gweri</v>
      </c>
      <c r="G453" s="71" t="str">
        <f t="shared" si="18"/>
        <v>Soroti</v>
      </c>
      <c r="H453" s="78" t="s">
        <v>2435</v>
      </c>
    </row>
    <row r="454" spans="1:8">
      <c r="A454" s="77">
        <v>1164</v>
      </c>
      <c r="B454" s="78" t="s">
        <v>803</v>
      </c>
      <c r="C454" s="78" t="s">
        <v>804</v>
      </c>
      <c r="D454" s="78" t="s">
        <v>811</v>
      </c>
      <c r="E454" s="78"/>
      <c r="F454" s="71" t="str">
        <f t="shared" si="24"/>
        <v>Hakibaale</v>
      </c>
      <c r="G454" s="71" t="str">
        <f t="shared" si="18"/>
        <v>Kabarole</v>
      </c>
      <c r="H454" s="78" t="s">
        <v>811</v>
      </c>
    </row>
    <row r="455" spans="1:8">
      <c r="A455" s="77">
        <v>1508</v>
      </c>
      <c r="B455" s="78" t="s">
        <v>793</v>
      </c>
      <c r="C455" s="78" t="s">
        <v>793</v>
      </c>
      <c r="D455" s="78" t="s">
        <v>2324</v>
      </c>
      <c r="E455" s="78"/>
      <c r="F455" s="71" t="str">
        <f t="shared" si="24"/>
        <v>Hamurwa</v>
      </c>
      <c r="G455" s="71" t="str">
        <f t="shared" si="18"/>
        <v>Rubanda</v>
      </c>
      <c r="H455" s="78" t="s">
        <v>2324</v>
      </c>
    </row>
    <row r="456" spans="1:8">
      <c r="A456" s="77">
        <v>1509</v>
      </c>
      <c r="B456" s="78" t="s">
        <v>793</v>
      </c>
      <c r="C456" s="78" t="s">
        <v>793</v>
      </c>
      <c r="D456" s="78" t="s">
        <v>2325</v>
      </c>
      <c r="E456" s="78"/>
      <c r="F456" s="71" t="str">
        <f t="shared" si="24"/>
        <v>Hamurwa Town Council</v>
      </c>
      <c r="G456" s="71" t="str">
        <f t="shared" si="18"/>
        <v>Rubanda</v>
      </c>
      <c r="H456" s="78" t="s">
        <v>2325</v>
      </c>
    </row>
    <row r="457" spans="1:8">
      <c r="A457" s="77">
        <v>1421</v>
      </c>
      <c r="B457" s="78" t="s">
        <v>1697</v>
      </c>
      <c r="C457" s="78" t="s">
        <v>1698</v>
      </c>
      <c r="D457" s="78" t="s">
        <v>1696</v>
      </c>
      <c r="E457" s="78"/>
      <c r="F457" s="71" t="str">
        <f t="shared" si="24"/>
        <v>Hapuuyo</v>
      </c>
      <c r="G457" s="71" t="str">
        <f t="shared" si="18"/>
        <v>Kyegegwa</v>
      </c>
      <c r="H457" s="78" t="s">
        <v>1696</v>
      </c>
    </row>
    <row r="458" spans="1:8">
      <c r="A458" s="77">
        <v>1103</v>
      </c>
      <c r="B458" s="78" t="s">
        <v>499</v>
      </c>
      <c r="C458" s="78" t="s">
        <v>503</v>
      </c>
      <c r="D458" s="78" t="s">
        <v>509</v>
      </c>
      <c r="E458" s="78"/>
      <c r="F458" s="71" t="str">
        <f t="shared" si="24"/>
        <v>Harugale</v>
      </c>
      <c r="G458" s="71" t="str">
        <f t="shared" ref="G458:G521" si="25">B458</f>
        <v>Bundibugyo</v>
      </c>
      <c r="H458" s="78" t="s">
        <v>509</v>
      </c>
    </row>
    <row r="459" spans="1:8">
      <c r="A459" s="77">
        <v>1195</v>
      </c>
      <c r="B459" s="78" t="s">
        <v>37</v>
      </c>
      <c r="C459" s="78" t="s">
        <v>1452</v>
      </c>
      <c r="D459" s="78" t="s">
        <v>1456</v>
      </c>
      <c r="E459" s="78"/>
      <c r="F459" s="71" t="str">
        <f t="shared" si="24"/>
        <v>Hima Town Council</v>
      </c>
      <c r="G459" s="71" t="str">
        <f t="shared" si="25"/>
        <v>Kasese</v>
      </c>
      <c r="H459" s="78" t="s">
        <v>1456</v>
      </c>
    </row>
    <row r="460" spans="1:8">
      <c r="A460" s="77">
        <v>956</v>
      </c>
      <c r="B460" s="78" t="s">
        <v>573</v>
      </c>
      <c r="C460" s="78" t="s">
        <v>574</v>
      </c>
      <c r="D460" s="78" t="s">
        <v>580</v>
      </c>
      <c r="E460" s="78"/>
      <c r="F460" s="71" t="str">
        <f t="shared" si="24"/>
        <v>Himutu</v>
      </c>
      <c r="G460" s="71" t="str">
        <f t="shared" si="25"/>
        <v>Butaleja</v>
      </c>
      <c r="H460" s="78" t="s">
        <v>580</v>
      </c>
    </row>
    <row r="461" spans="1:8">
      <c r="A461" s="77">
        <v>1127</v>
      </c>
      <c r="B461" s="78" t="s">
        <v>39</v>
      </c>
      <c r="C461" s="78" t="s">
        <v>535</v>
      </c>
      <c r="D461" s="78" t="s">
        <v>544</v>
      </c>
      <c r="E461" s="78"/>
      <c r="F461" s="71" t="str">
        <f t="shared" si="24"/>
        <v>Ibaare</v>
      </c>
      <c r="G461" s="71" t="str">
        <f t="shared" si="25"/>
        <v>Bushenyi</v>
      </c>
      <c r="H461" s="78" t="s">
        <v>544</v>
      </c>
    </row>
    <row r="462" spans="1:8">
      <c r="A462" s="77">
        <v>19</v>
      </c>
      <c r="B462" s="78" t="s">
        <v>330</v>
      </c>
      <c r="C462" s="78" t="s">
        <v>335</v>
      </c>
      <c r="D462" s="78" t="s">
        <v>340</v>
      </c>
      <c r="E462" s="78"/>
      <c r="F462" s="71" t="str">
        <f t="shared" si="24"/>
        <v>Ibuje</v>
      </c>
      <c r="G462" s="71" t="str">
        <f t="shared" si="25"/>
        <v>Apac</v>
      </c>
      <c r="H462" s="78" t="s">
        <v>340</v>
      </c>
    </row>
    <row r="463" spans="1:8">
      <c r="A463" s="77">
        <v>699</v>
      </c>
      <c r="B463" s="78" t="s">
        <v>688</v>
      </c>
      <c r="C463" s="78" t="s">
        <v>691</v>
      </c>
      <c r="D463" s="78" t="s">
        <v>693</v>
      </c>
      <c r="E463" s="78"/>
      <c r="F463" s="71" t="str">
        <f t="shared" si="24"/>
        <v>Ibulanku</v>
      </c>
      <c r="G463" s="71" t="str">
        <f t="shared" si="25"/>
        <v>Iganga</v>
      </c>
      <c r="H463" s="78" t="s">
        <v>693</v>
      </c>
    </row>
    <row r="464" spans="1:8">
      <c r="A464" s="77">
        <v>219</v>
      </c>
      <c r="B464" s="78" t="s">
        <v>2260</v>
      </c>
      <c r="C464" s="78" t="s">
        <v>2260</v>
      </c>
      <c r="D464" s="78" t="s">
        <v>2264</v>
      </c>
      <c r="E464" s="78"/>
      <c r="F464" s="71" t="str">
        <f t="shared" si="24"/>
        <v>Iceme</v>
      </c>
      <c r="G464" s="71" t="str">
        <f t="shared" si="25"/>
        <v>Oyam</v>
      </c>
      <c r="H464" s="78" t="s">
        <v>2264</v>
      </c>
    </row>
    <row r="465" spans="1:8">
      <c r="A465" s="77">
        <v>700</v>
      </c>
      <c r="B465" s="78" t="s">
        <v>688</v>
      </c>
      <c r="C465" s="78" t="s">
        <v>691</v>
      </c>
      <c r="D465" s="78" t="s">
        <v>697</v>
      </c>
      <c r="E465" s="78"/>
      <c r="F465" s="71" t="str">
        <f t="shared" si="24"/>
        <v>Igombe</v>
      </c>
      <c r="G465" s="71" t="str">
        <f t="shared" si="25"/>
        <v>Iganga</v>
      </c>
      <c r="H465" s="78" t="s">
        <v>697</v>
      </c>
    </row>
    <row r="466" spans="1:8">
      <c r="A466" s="77">
        <v>1353</v>
      </c>
      <c r="B466" s="78" t="s">
        <v>44</v>
      </c>
      <c r="C466" s="78" t="s">
        <v>44</v>
      </c>
      <c r="D466" s="78" t="s">
        <v>673</v>
      </c>
      <c r="E466" s="78"/>
      <c r="F466" s="71" t="str">
        <f t="shared" si="24"/>
        <v>Igorora Town Council</v>
      </c>
      <c r="G466" s="71" t="str">
        <f t="shared" si="25"/>
        <v>Ibanda</v>
      </c>
      <c r="H466" s="78" t="s">
        <v>673</v>
      </c>
    </row>
    <row r="467" spans="1:8">
      <c r="A467" s="77">
        <v>1179</v>
      </c>
      <c r="B467" s="78" t="s">
        <v>37</v>
      </c>
      <c r="C467" s="78" t="s">
        <v>502</v>
      </c>
      <c r="D467" s="78" t="s">
        <v>1458</v>
      </c>
      <c r="E467" s="78"/>
      <c r="F467" s="71" t="str">
        <f t="shared" si="24"/>
        <v>Ihandiro</v>
      </c>
      <c r="G467" s="71" t="str">
        <f t="shared" si="25"/>
        <v>Kasese</v>
      </c>
      <c r="H467" s="78" t="s">
        <v>1458</v>
      </c>
    </row>
    <row r="468" spans="1:8">
      <c r="A468" s="77">
        <v>1262</v>
      </c>
      <c r="B468" s="78" t="s">
        <v>52</v>
      </c>
      <c r="C468" s="78" t="s">
        <v>2208</v>
      </c>
      <c r="D468" s="78" t="s">
        <v>2209</v>
      </c>
      <c r="E468" s="78"/>
      <c r="F468" s="71" t="str">
        <f t="shared" si="24"/>
        <v>Ihunga</v>
      </c>
      <c r="G468" s="71" t="str">
        <f t="shared" si="25"/>
        <v>Ntungamo</v>
      </c>
      <c r="H468" s="78" t="s">
        <v>2209</v>
      </c>
    </row>
    <row r="469" spans="1:8">
      <c r="A469" s="77">
        <v>910</v>
      </c>
      <c r="B469" s="78" t="s">
        <v>374</v>
      </c>
      <c r="C469" s="78" t="s">
        <v>376</v>
      </c>
      <c r="D469" s="78" t="s">
        <v>376</v>
      </c>
      <c r="E469" s="78"/>
      <c r="F469" s="71" t="str">
        <f t="shared" si="24"/>
        <v>Iki-Iki</v>
      </c>
      <c r="G469" s="71" t="str">
        <f t="shared" si="25"/>
        <v>Budaka</v>
      </c>
      <c r="H469" s="78" t="s">
        <v>376</v>
      </c>
    </row>
    <row r="470" spans="1:8">
      <c r="A470" s="77">
        <v>1510</v>
      </c>
      <c r="B470" s="78" t="s">
        <v>793</v>
      </c>
      <c r="C470" s="78" t="s">
        <v>793</v>
      </c>
      <c r="D470" s="78" t="s">
        <v>2326</v>
      </c>
      <c r="E470" s="78"/>
      <c r="F470" s="71" t="str">
        <f t="shared" si="24"/>
        <v>Ikumba</v>
      </c>
      <c r="G470" s="71" t="str">
        <f t="shared" si="25"/>
        <v>Rubanda</v>
      </c>
      <c r="H470" s="78" t="s">
        <v>2326</v>
      </c>
    </row>
    <row r="471" spans="1:8">
      <c r="A471" s="77">
        <v>1049</v>
      </c>
      <c r="B471" s="78" t="s">
        <v>1759</v>
      </c>
      <c r="C471" s="78" t="s">
        <v>1759</v>
      </c>
      <c r="D471" s="78" t="s">
        <v>1762</v>
      </c>
      <c r="E471" s="78"/>
      <c r="F471" s="71" t="str">
        <f t="shared" si="24"/>
        <v>Ikumbya</v>
      </c>
      <c r="G471" s="71" t="str">
        <f t="shared" si="25"/>
        <v>Luuka</v>
      </c>
      <c r="H471" s="78" t="s">
        <v>1762</v>
      </c>
    </row>
    <row r="472" spans="1:8">
      <c r="A472" s="77">
        <v>856</v>
      </c>
      <c r="B472" s="78" t="s">
        <v>1869</v>
      </c>
      <c r="C472" s="78" t="s">
        <v>1870</v>
      </c>
      <c r="D472" s="78" t="s">
        <v>1876</v>
      </c>
      <c r="E472" s="78"/>
      <c r="F472" s="71" t="str">
        <f t="shared" si="24"/>
        <v>Imanyiro</v>
      </c>
      <c r="G472" s="71" t="str">
        <f t="shared" si="25"/>
        <v>Mayuge</v>
      </c>
      <c r="H472" s="78" t="s">
        <v>1876</v>
      </c>
    </row>
    <row r="473" spans="1:8" ht="25.5">
      <c r="A473" s="77">
        <v>793</v>
      </c>
      <c r="B473" s="80" t="s">
        <v>228</v>
      </c>
      <c r="C473" s="81" t="s">
        <v>1901</v>
      </c>
      <c r="D473" s="80" t="s">
        <v>2815</v>
      </c>
      <c r="E473" s="80"/>
      <c r="F473" s="72" t="str">
        <f>VLOOKUP(C473,[2]Municipalities!$C$9:$F$1522,4,FALSE)</f>
        <v>Mbale Municipality</v>
      </c>
      <c r="G473" s="71" t="str">
        <f t="shared" si="25"/>
        <v>Mbale</v>
      </c>
      <c r="H473" s="80" t="s">
        <v>2815</v>
      </c>
    </row>
    <row r="474" spans="1:8">
      <c r="A474" s="77">
        <v>15</v>
      </c>
      <c r="B474" s="78" t="s">
        <v>330</v>
      </c>
      <c r="C474" s="78" t="s">
        <v>331</v>
      </c>
      <c r="D474" s="78" t="s">
        <v>341</v>
      </c>
      <c r="E474" s="78"/>
      <c r="F474" s="71" t="str">
        <f t="shared" si="24"/>
        <v>Inomo</v>
      </c>
      <c r="G474" s="71" t="str">
        <f t="shared" si="25"/>
        <v>Apac</v>
      </c>
      <c r="H474" s="78" t="s">
        <v>341</v>
      </c>
    </row>
    <row r="475" spans="1:8">
      <c r="A475" s="77">
        <v>274</v>
      </c>
      <c r="B475" s="78" t="s">
        <v>2172</v>
      </c>
      <c r="C475" s="78" t="s">
        <v>2173</v>
      </c>
      <c r="D475" s="78" t="s">
        <v>2171</v>
      </c>
      <c r="E475" s="78"/>
      <c r="F475" s="71" t="str">
        <f t="shared" si="24"/>
        <v>Iriiri</v>
      </c>
      <c r="G475" s="71" t="str">
        <f t="shared" si="25"/>
        <v>Napak</v>
      </c>
      <c r="H475" s="78" t="s">
        <v>2171</v>
      </c>
    </row>
    <row r="476" spans="1:8">
      <c r="A476" s="77">
        <v>1050</v>
      </c>
      <c r="B476" s="78" t="s">
        <v>1759</v>
      </c>
      <c r="C476" s="78" t="s">
        <v>1759</v>
      </c>
      <c r="D476" s="78" t="s">
        <v>1763</v>
      </c>
      <c r="E476" s="78"/>
      <c r="F476" s="71" t="str">
        <f t="shared" si="24"/>
        <v>Irongo</v>
      </c>
      <c r="G476" s="71" t="str">
        <f t="shared" si="25"/>
        <v>Luuka</v>
      </c>
      <c r="H476" s="78" t="s">
        <v>1763</v>
      </c>
    </row>
    <row r="477" spans="1:8">
      <c r="A477" s="77">
        <v>1180</v>
      </c>
      <c r="B477" s="78" t="s">
        <v>37</v>
      </c>
      <c r="C477" s="78" t="s">
        <v>502</v>
      </c>
      <c r="D477" s="78" t="s">
        <v>1459</v>
      </c>
      <c r="E477" s="78"/>
      <c r="F477" s="71" t="str">
        <f t="shared" si="24"/>
        <v>Isango</v>
      </c>
      <c r="G477" s="71" t="str">
        <f t="shared" si="25"/>
        <v>Kasese</v>
      </c>
      <c r="H477" s="78" t="s">
        <v>1459</v>
      </c>
    </row>
    <row r="478" spans="1:8" ht="25.5">
      <c r="A478" s="77">
        <v>1123</v>
      </c>
      <c r="B478" s="78" t="s">
        <v>39</v>
      </c>
      <c r="C478" s="79" t="s">
        <v>537</v>
      </c>
      <c r="D478" s="78" t="s">
        <v>2816</v>
      </c>
      <c r="E478" s="78"/>
      <c r="F478" s="72" t="str">
        <f>VLOOKUP(C478,[2]Municipalities!$C$9:$F$1522,4,FALSE)</f>
        <v>Bushenyi-Ishaka Municipality</v>
      </c>
      <c r="G478" s="71" t="str">
        <f t="shared" si="25"/>
        <v>Bushenyi</v>
      </c>
      <c r="H478" s="78" t="s">
        <v>2816</v>
      </c>
    </row>
    <row r="479" spans="1:8">
      <c r="A479" s="77">
        <v>1354</v>
      </c>
      <c r="B479" s="78" t="s">
        <v>44</v>
      </c>
      <c r="C479" s="78" t="s">
        <v>44</v>
      </c>
      <c r="D479" s="78" t="s">
        <v>674</v>
      </c>
      <c r="E479" s="78"/>
      <c r="F479" s="71" t="str">
        <f t="shared" si="24"/>
        <v>Ishongororo</v>
      </c>
      <c r="G479" s="71" t="str">
        <f t="shared" si="25"/>
        <v>Ibanda</v>
      </c>
      <c r="H479" s="78" t="s">
        <v>674</v>
      </c>
    </row>
    <row r="480" spans="1:8">
      <c r="A480" s="77">
        <v>1355</v>
      </c>
      <c r="B480" s="78" t="s">
        <v>44</v>
      </c>
      <c r="C480" s="78" t="s">
        <v>44</v>
      </c>
      <c r="D480" s="78" t="s">
        <v>675</v>
      </c>
      <c r="E480" s="78"/>
      <c r="F480" s="71" t="str">
        <f t="shared" si="24"/>
        <v>Ishongororo Town Council</v>
      </c>
      <c r="G480" s="71" t="str">
        <f t="shared" si="25"/>
        <v>Ibanda</v>
      </c>
      <c r="H480" s="78" t="s">
        <v>675</v>
      </c>
    </row>
    <row r="481" spans="1:8">
      <c r="A481" s="77">
        <v>1376</v>
      </c>
      <c r="B481" s="78" t="s">
        <v>53</v>
      </c>
      <c r="C481" s="78" t="s">
        <v>53</v>
      </c>
      <c r="D481" s="78" t="s">
        <v>717</v>
      </c>
      <c r="E481" s="78"/>
      <c r="F481" s="71" t="str">
        <f t="shared" si="24"/>
        <v>Isingiro Town Council</v>
      </c>
      <c r="G481" s="71" t="str">
        <f t="shared" si="25"/>
        <v>Isingiro</v>
      </c>
      <c r="H481" s="78" t="s">
        <v>717</v>
      </c>
    </row>
    <row r="482" spans="1:8">
      <c r="A482" s="77">
        <v>6</v>
      </c>
      <c r="B482" s="78" t="s">
        <v>249</v>
      </c>
      <c r="C482" s="78" t="s">
        <v>250</v>
      </c>
      <c r="D482" s="78" t="s">
        <v>255</v>
      </c>
      <c r="E482" s="78"/>
      <c r="F482" s="71" t="str">
        <f t="shared" si="24"/>
        <v>Itirikwa</v>
      </c>
      <c r="G482" s="71" t="str">
        <f t="shared" si="25"/>
        <v>Adjumani</v>
      </c>
      <c r="H482" s="78" t="s">
        <v>255</v>
      </c>
    </row>
    <row r="483" spans="1:8">
      <c r="A483" s="77">
        <v>1270</v>
      </c>
      <c r="B483" s="78" t="s">
        <v>52</v>
      </c>
      <c r="C483" s="78" t="s">
        <v>2211</v>
      </c>
      <c r="D483" s="78" t="s">
        <v>2210</v>
      </c>
      <c r="E483" s="78"/>
      <c r="F483" s="71" t="str">
        <f t="shared" si="24"/>
        <v>Itojo</v>
      </c>
      <c r="G483" s="71" t="str">
        <f t="shared" si="25"/>
        <v>Ntungamo</v>
      </c>
      <c r="H483" s="78" t="s">
        <v>2210</v>
      </c>
    </row>
    <row r="484" spans="1:8">
      <c r="A484" s="77">
        <v>100</v>
      </c>
      <c r="B484" s="78" t="s">
        <v>2001</v>
      </c>
      <c r="C484" s="78" t="s">
        <v>2002</v>
      </c>
      <c r="D484" s="78" t="s">
        <v>2006</v>
      </c>
      <c r="E484" s="78"/>
      <c r="F484" s="71" t="str">
        <f t="shared" si="24"/>
        <v>Itula</v>
      </c>
      <c r="G484" s="71" t="str">
        <f t="shared" si="25"/>
        <v>Moyo</v>
      </c>
      <c r="H484" s="78" t="s">
        <v>2006</v>
      </c>
    </row>
    <row r="485" spans="1:8">
      <c r="A485" s="77">
        <v>991</v>
      </c>
      <c r="B485" s="78" t="s">
        <v>2163</v>
      </c>
      <c r="C485" s="78" t="s">
        <v>2164</v>
      </c>
      <c r="D485" s="78" t="s">
        <v>2165</v>
      </c>
      <c r="E485" s="78"/>
      <c r="F485" s="71" t="str">
        <f t="shared" si="24"/>
        <v>Ivukula</v>
      </c>
      <c r="G485" s="71" t="str">
        <f t="shared" si="25"/>
        <v>Namutumba</v>
      </c>
      <c r="H485" s="78" t="s">
        <v>2165</v>
      </c>
    </row>
    <row r="486" spans="1:8">
      <c r="A486" s="77">
        <v>676</v>
      </c>
      <c r="B486" s="78" t="s">
        <v>405</v>
      </c>
      <c r="C486" s="78" t="s">
        <v>406</v>
      </c>
      <c r="D486" s="78" t="s">
        <v>412</v>
      </c>
      <c r="E486" s="78"/>
      <c r="F486" s="71" t="str">
        <f t="shared" si="24"/>
        <v>Iwemba</v>
      </c>
      <c r="G486" s="71" t="str">
        <f t="shared" si="25"/>
        <v>Bugiri</v>
      </c>
      <c r="H486" s="78" t="s">
        <v>412</v>
      </c>
    </row>
    <row r="487" spans="1:8">
      <c r="A487" s="77">
        <v>827</v>
      </c>
      <c r="B487" s="78" t="s">
        <v>201</v>
      </c>
      <c r="C487" s="78" t="s">
        <v>2455</v>
      </c>
      <c r="D487" s="78" t="s">
        <v>2454</v>
      </c>
      <c r="E487" s="78"/>
      <c r="F487" s="71" t="str">
        <f t="shared" si="24"/>
        <v>Iyolwa</v>
      </c>
      <c r="G487" s="71" t="str">
        <f t="shared" si="25"/>
        <v>Tororo</v>
      </c>
      <c r="H487" s="78" t="s">
        <v>2454</v>
      </c>
    </row>
    <row r="488" spans="1:8">
      <c r="A488" s="77">
        <v>857</v>
      </c>
      <c r="B488" s="78" t="s">
        <v>1869</v>
      </c>
      <c r="C488" s="78" t="s">
        <v>1870</v>
      </c>
      <c r="D488" s="78" t="s">
        <v>1877</v>
      </c>
      <c r="E488" s="78"/>
      <c r="F488" s="71" t="str">
        <f t="shared" si="24"/>
        <v>Jaguzi</v>
      </c>
      <c r="G488" s="71" t="str">
        <f t="shared" si="25"/>
        <v>Mayuge</v>
      </c>
      <c r="H488" s="78" t="s">
        <v>1877</v>
      </c>
    </row>
    <row r="489" spans="1:8">
      <c r="A489" s="77">
        <v>297</v>
      </c>
      <c r="B489" s="78" t="s">
        <v>2726</v>
      </c>
      <c r="C489" s="78" t="s">
        <v>2727</v>
      </c>
      <c r="D489" s="78" t="s">
        <v>2729</v>
      </c>
      <c r="E489" s="78"/>
      <c r="F489" s="71" t="str">
        <f t="shared" si="24"/>
        <v>Jangokoro</v>
      </c>
      <c r="G489" s="71" t="str">
        <f t="shared" si="25"/>
        <v>Zombo</v>
      </c>
      <c r="H489" s="78" t="s">
        <v>2729</v>
      </c>
    </row>
    <row r="490" spans="1:8">
      <c r="A490" s="77">
        <v>184</v>
      </c>
      <c r="B490" s="78" t="s">
        <v>770</v>
      </c>
      <c r="C490" s="78" t="s">
        <v>771</v>
      </c>
      <c r="D490" s="78" t="s">
        <v>769</v>
      </c>
      <c r="E490" s="78"/>
      <c r="F490" s="71" t="str">
        <f t="shared" si="24"/>
        <v>Kaabong East</v>
      </c>
      <c r="G490" s="71" t="str">
        <f t="shared" si="25"/>
        <v>Kaabong</v>
      </c>
      <c r="H490" s="78" t="s">
        <v>769</v>
      </c>
    </row>
    <row r="491" spans="1:8">
      <c r="A491" s="77">
        <v>185</v>
      </c>
      <c r="B491" s="78" t="s">
        <v>770</v>
      </c>
      <c r="C491" s="78" t="s">
        <v>771</v>
      </c>
      <c r="D491" s="78" t="s">
        <v>2817</v>
      </c>
      <c r="E491" s="78"/>
      <c r="F491" s="71" t="str">
        <f t="shared" si="24"/>
        <v>Kaabong Town Council</v>
      </c>
      <c r="G491" s="71" t="str">
        <f t="shared" si="25"/>
        <v>Kaabong</v>
      </c>
      <c r="H491" s="78" t="s">
        <v>2817</v>
      </c>
    </row>
    <row r="492" spans="1:8">
      <c r="A492" s="77">
        <v>186</v>
      </c>
      <c r="B492" s="78" t="s">
        <v>770</v>
      </c>
      <c r="C492" s="78" t="s">
        <v>771</v>
      </c>
      <c r="D492" s="78" t="s">
        <v>773</v>
      </c>
      <c r="E492" s="78"/>
      <c r="F492" s="71" t="str">
        <f t="shared" si="24"/>
        <v>Kaabong West</v>
      </c>
      <c r="G492" s="71" t="str">
        <f t="shared" si="25"/>
        <v>Kaabong</v>
      </c>
      <c r="H492" s="78" t="s">
        <v>773</v>
      </c>
    </row>
    <row r="493" spans="1:8">
      <c r="A493" s="77">
        <v>981</v>
      </c>
      <c r="B493" s="78" t="s">
        <v>1815</v>
      </c>
      <c r="C493" s="78" t="s">
        <v>1816</v>
      </c>
      <c r="D493" s="78" t="s">
        <v>1826</v>
      </c>
      <c r="E493" s="78"/>
      <c r="F493" s="71" t="str">
        <f t="shared" si="24"/>
        <v>Kaato</v>
      </c>
      <c r="G493" s="71" t="str">
        <f t="shared" si="25"/>
        <v>Manafwa</v>
      </c>
      <c r="H493" s="78" t="s">
        <v>1826</v>
      </c>
    </row>
    <row r="494" spans="1:8">
      <c r="A494" s="77">
        <v>1479</v>
      </c>
      <c r="B494" s="78" t="s">
        <v>837</v>
      </c>
      <c r="C494" s="78" t="s">
        <v>838</v>
      </c>
      <c r="D494" s="78" t="s">
        <v>840</v>
      </c>
      <c r="E494" s="78"/>
      <c r="F494" s="71" t="str">
        <f t="shared" si="24"/>
        <v>Kabamba</v>
      </c>
      <c r="G494" s="71" t="str">
        <f t="shared" si="25"/>
        <v>Kagadi</v>
      </c>
      <c r="H494" s="78" t="s">
        <v>840</v>
      </c>
    </row>
    <row r="495" spans="1:8">
      <c r="A495" s="77">
        <v>1300</v>
      </c>
      <c r="B495" s="78" t="s">
        <v>50</v>
      </c>
      <c r="C495" s="78" t="s">
        <v>598</v>
      </c>
      <c r="D495" s="78" t="s">
        <v>1397</v>
      </c>
      <c r="E495" s="78"/>
      <c r="F495" s="71" t="str">
        <f t="shared" si="24"/>
        <v>Kabambiro</v>
      </c>
      <c r="G495" s="71" t="str">
        <f t="shared" si="25"/>
        <v>Kamwenge</v>
      </c>
      <c r="H495" s="78" t="s">
        <v>1397</v>
      </c>
    </row>
    <row r="496" spans="1:8">
      <c r="A496" s="77">
        <v>1216</v>
      </c>
      <c r="B496" s="78" t="s">
        <v>1513</v>
      </c>
      <c r="C496" s="78" t="s">
        <v>1514</v>
      </c>
      <c r="D496" s="78" t="s">
        <v>1517</v>
      </c>
      <c r="E496" s="78"/>
      <c r="F496" s="71" t="str">
        <f t="shared" si="24"/>
        <v>Kabasekende</v>
      </c>
      <c r="G496" s="71" t="str">
        <f t="shared" si="25"/>
        <v>Kibaale</v>
      </c>
      <c r="H496" s="78" t="s">
        <v>1517</v>
      </c>
    </row>
    <row r="497" spans="1:8">
      <c r="A497" s="77">
        <v>941</v>
      </c>
      <c r="B497" s="78" t="s">
        <v>458</v>
      </c>
      <c r="C497" s="78" t="s">
        <v>459</v>
      </c>
      <c r="D497" s="78" t="s">
        <v>463</v>
      </c>
      <c r="E497" s="78"/>
      <c r="F497" s="71" t="str">
        <f t="shared" si="24"/>
        <v>Kabei</v>
      </c>
      <c r="G497" s="71" t="str">
        <f t="shared" si="25"/>
        <v>Bukwo</v>
      </c>
      <c r="H497" s="78" t="s">
        <v>463</v>
      </c>
    </row>
    <row r="498" spans="1:8">
      <c r="A498" s="77">
        <v>841</v>
      </c>
      <c r="B498" s="78" t="s">
        <v>825</v>
      </c>
      <c r="C498" s="78" t="s">
        <v>825</v>
      </c>
      <c r="D498" s="78" t="s">
        <v>825</v>
      </c>
      <c r="E498" s="78"/>
      <c r="F498" s="71" t="str">
        <f t="shared" si="24"/>
        <v>Kaberamaido</v>
      </c>
      <c r="G498" s="71" t="str">
        <f t="shared" si="25"/>
        <v>Kaberamaido</v>
      </c>
      <c r="H498" s="78" t="s">
        <v>825</v>
      </c>
    </row>
    <row r="499" spans="1:8">
      <c r="A499" s="77">
        <v>842</v>
      </c>
      <c r="B499" s="78" t="s">
        <v>825</v>
      </c>
      <c r="C499" s="78" t="s">
        <v>825</v>
      </c>
      <c r="D499" s="78" t="s">
        <v>831</v>
      </c>
      <c r="E499" s="78"/>
      <c r="F499" s="71" t="str">
        <f t="shared" si="24"/>
        <v>Kaberamaido Town Council</v>
      </c>
      <c r="G499" s="71" t="str">
        <f t="shared" si="25"/>
        <v>Kaberamaido</v>
      </c>
      <c r="H499" s="78" t="s">
        <v>831</v>
      </c>
    </row>
    <row r="500" spans="1:8">
      <c r="A500" s="77">
        <v>1377</v>
      </c>
      <c r="B500" s="78" t="s">
        <v>53</v>
      </c>
      <c r="C500" s="78" t="s">
        <v>53</v>
      </c>
      <c r="D500" s="78" t="s">
        <v>725</v>
      </c>
      <c r="E500" s="78"/>
      <c r="F500" s="71" t="str">
        <f t="shared" si="24"/>
        <v>Kaberebere Town Council</v>
      </c>
      <c r="G500" s="71" t="str">
        <f t="shared" si="25"/>
        <v>Isingiro</v>
      </c>
      <c r="H500" s="78" t="s">
        <v>725</v>
      </c>
    </row>
    <row r="501" spans="1:8">
      <c r="A501" s="77">
        <v>743</v>
      </c>
      <c r="B501" s="78" t="s">
        <v>1438</v>
      </c>
      <c r="C501" s="78" t="s">
        <v>1439</v>
      </c>
      <c r="D501" s="78" t="s">
        <v>1443</v>
      </c>
      <c r="E501" s="78"/>
      <c r="F501" s="71" t="str">
        <f t="shared" si="24"/>
        <v>Kabeywa</v>
      </c>
      <c r="G501" s="71" t="str">
        <f t="shared" si="25"/>
        <v>Kapchorwa</v>
      </c>
      <c r="H501" s="78" t="s">
        <v>1443</v>
      </c>
    </row>
    <row r="502" spans="1:8">
      <c r="A502" s="77">
        <v>1378</v>
      </c>
      <c r="B502" s="78" t="s">
        <v>53</v>
      </c>
      <c r="C502" s="78" t="s">
        <v>53</v>
      </c>
      <c r="D502" s="78" t="s">
        <v>727</v>
      </c>
      <c r="E502" s="78"/>
      <c r="F502" s="71" t="str">
        <f t="shared" si="24"/>
        <v>Kabingo</v>
      </c>
      <c r="G502" s="71" t="str">
        <f t="shared" si="25"/>
        <v>Isingiro</v>
      </c>
      <c r="H502" s="78" t="s">
        <v>727</v>
      </c>
    </row>
    <row r="503" spans="1:8">
      <c r="A503" s="77">
        <v>662</v>
      </c>
      <c r="B503" s="78" t="s">
        <v>1729</v>
      </c>
      <c r="C503" s="78" t="s">
        <v>1729</v>
      </c>
      <c r="D503" s="78" t="s">
        <v>1728</v>
      </c>
      <c r="E503" s="78"/>
      <c r="F503" s="71" t="str">
        <f t="shared" si="24"/>
        <v>Kabira</v>
      </c>
      <c r="G503" s="71" t="str">
        <f t="shared" si="25"/>
        <v>Kyotera</v>
      </c>
      <c r="H503" s="78" t="s">
        <v>1728</v>
      </c>
    </row>
    <row r="504" spans="1:8">
      <c r="A504" s="77">
        <v>1431</v>
      </c>
      <c r="B504" s="78" t="s">
        <v>51</v>
      </c>
      <c r="C504" s="78" t="s">
        <v>1956</v>
      </c>
      <c r="D504" s="78" t="s">
        <v>1728</v>
      </c>
      <c r="E504" s="78"/>
      <c r="F504" s="71" t="str">
        <f t="shared" si="24"/>
        <v>Kabira</v>
      </c>
      <c r="G504" s="71" t="str">
        <f t="shared" si="25"/>
        <v>Mitooma</v>
      </c>
      <c r="H504" s="78" t="s">
        <v>1728</v>
      </c>
    </row>
    <row r="505" spans="1:8">
      <c r="A505" s="77">
        <v>444</v>
      </c>
      <c r="B505" s="78" t="s">
        <v>40</v>
      </c>
      <c r="C505" s="78" t="s">
        <v>23</v>
      </c>
      <c r="D505" s="78" t="s">
        <v>1844</v>
      </c>
      <c r="E505" s="78"/>
      <c r="F505" s="71" t="str">
        <f t="shared" si="24"/>
        <v>Kabonera</v>
      </c>
      <c r="G505" s="71" t="str">
        <f t="shared" si="25"/>
        <v>Masaka</v>
      </c>
      <c r="H505" s="78" t="s">
        <v>1844</v>
      </c>
    </row>
    <row r="506" spans="1:8">
      <c r="A506" s="77">
        <v>1516</v>
      </c>
      <c r="B506" s="78" t="s">
        <v>523</v>
      </c>
      <c r="C506" s="78" t="s">
        <v>523</v>
      </c>
      <c r="D506" s="78" t="s">
        <v>525</v>
      </c>
      <c r="E506" s="78"/>
      <c r="F506" s="71" t="str">
        <f t="shared" si="24"/>
        <v>Kabonero</v>
      </c>
      <c r="G506" s="71" t="str">
        <f t="shared" si="25"/>
        <v>Bunyangabu</v>
      </c>
      <c r="H506" s="78" t="s">
        <v>525</v>
      </c>
    </row>
    <row r="507" spans="1:8">
      <c r="A507" s="77">
        <v>626</v>
      </c>
      <c r="B507" s="78" t="s">
        <v>634</v>
      </c>
      <c r="C507" s="78" t="s">
        <v>634</v>
      </c>
      <c r="D507" s="78" t="s">
        <v>633</v>
      </c>
      <c r="E507" s="78"/>
      <c r="F507" s="71" t="str">
        <f t="shared" si="24"/>
        <v>Kabulasoke</v>
      </c>
      <c r="G507" s="71" t="str">
        <f t="shared" si="25"/>
        <v>Gomba</v>
      </c>
      <c r="H507" s="78" t="s">
        <v>633</v>
      </c>
    </row>
    <row r="508" spans="1:8">
      <c r="A508" s="77">
        <v>1379</v>
      </c>
      <c r="B508" s="78" t="s">
        <v>53</v>
      </c>
      <c r="C508" s="78" t="s">
        <v>53</v>
      </c>
      <c r="D508" s="78" t="s">
        <v>729</v>
      </c>
      <c r="E508" s="78"/>
      <c r="F508" s="71" t="str">
        <f t="shared" si="24"/>
        <v>Kabuyanda</v>
      </c>
      <c r="G508" s="71" t="str">
        <f t="shared" si="25"/>
        <v>Isingiro</v>
      </c>
      <c r="H508" s="78" t="s">
        <v>729</v>
      </c>
    </row>
    <row r="509" spans="1:8">
      <c r="A509" s="77">
        <v>1380</v>
      </c>
      <c r="B509" s="78" t="s">
        <v>53</v>
      </c>
      <c r="C509" s="78" t="s">
        <v>53</v>
      </c>
      <c r="D509" s="78" t="s">
        <v>730</v>
      </c>
      <c r="E509" s="78"/>
      <c r="F509" s="71" t="str">
        <f t="shared" si="24"/>
        <v>Kabuyanda Town Council</v>
      </c>
      <c r="G509" s="71" t="str">
        <f t="shared" si="25"/>
        <v>Isingiro</v>
      </c>
      <c r="H509" s="78" t="s">
        <v>730</v>
      </c>
    </row>
    <row r="510" spans="1:8" ht="25.5">
      <c r="A510" s="77">
        <v>1079</v>
      </c>
      <c r="B510" s="78" t="s">
        <v>593</v>
      </c>
      <c r="C510" s="78" t="s">
        <v>594</v>
      </c>
      <c r="D510" s="78" t="s">
        <v>595</v>
      </c>
      <c r="E510" s="78"/>
      <c r="F510" s="71" t="str">
        <f t="shared" si="24"/>
        <v>Kabwangasi</v>
      </c>
      <c r="G510" s="71" t="str">
        <f t="shared" si="25"/>
        <v>Butebo</v>
      </c>
      <c r="H510" s="78" t="s">
        <v>595</v>
      </c>
    </row>
    <row r="511" spans="1:8">
      <c r="A511" s="77">
        <v>1026</v>
      </c>
      <c r="B511" s="78" t="s">
        <v>1538</v>
      </c>
      <c r="C511" s="78" t="s">
        <v>1538</v>
      </c>
      <c r="D511" s="78" t="s">
        <v>1540</v>
      </c>
      <c r="E511" s="78"/>
      <c r="F511" s="71" t="str">
        <f t="shared" si="24"/>
        <v>Kabweri</v>
      </c>
      <c r="G511" s="71" t="str">
        <f t="shared" si="25"/>
        <v>Kibuku</v>
      </c>
      <c r="H511" s="78" t="s">
        <v>1540</v>
      </c>
    </row>
    <row r="512" spans="1:8">
      <c r="A512" s="77">
        <v>1422</v>
      </c>
      <c r="B512" s="78" t="s">
        <v>1697</v>
      </c>
      <c r="C512" s="78" t="s">
        <v>1698</v>
      </c>
      <c r="D512" s="78" t="s">
        <v>1699</v>
      </c>
      <c r="E512" s="78"/>
      <c r="F512" s="71" t="str">
        <f t="shared" si="24"/>
        <v>Kabweza Kyegegwa</v>
      </c>
      <c r="G512" s="71" t="str">
        <f t="shared" si="25"/>
        <v>Kyegegwa</v>
      </c>
      <c r="H512" s="78" t="s">
        <v>1699</v>
      </c>
    </row>
    <row r="513" spans="1:8" ht="25.5">
      <c r="A513" s="77">
        <v>1473</v>
      </c>
      <c r="B513" s="78" t="s">
        <v>42</v>
      </c>
      <c r="C513" s="79" t="s">
        <v>2390</v>
      </c>
      <c r="D513" s="78" t="s">
        <v>2818</v>
      </c>
      <c r="E513" s="78"/>
      <c r="F513" s="72" t="str">
        <f>VLOOKUP(C513,[2]Municipalities!$C$9:$F$1522,4,FALSE)</f>
        <v>Sheema Municipality</v>
      </c>
      <c r="G513" s="71" t="str">
        <f t="shared" si="25"/>
        <v>Sheema</v>
      </c>
      <c r="H513" s="78" t="s">
        <v>2818</v>
      </c>
    </row>
    <row r="514" spans="1:8">
      <c r="A514" s="77">
        <v>1142</v>
      </c>
      <c r="B514" s="78" t="s">
        <v>648</v>
      </c>
      <c r="C514" s="78" t="s">
        <v>649</v>
      </c>
      <c r="D514" s="78" t="s">
        <v>658</v>
      </c>
      <c r="E514" s="78"/>
      <c r="F514" s="71" t="str">
        <f t="shared" si="24"/>
        <v>Kabwoya</v>
      </c>
      <c r="G514" s="71" t="str">
        <f t="shared" si="25"/>
        <v>Hoima</v>
      </c>
      <c r="H514" s="78" t="s">
        <v>658</v>
      </c>
    </row>
    <row r="515" spans="1:8">
      <c r="A515" s="77">
        <v>508</v>
      </c>
      <c r="B515" s="78" t="s">
        <v>192</v>
      </c>
      <c r="C515" s="78" t="s">
        <v>1733</v>
      </c>
      <c r="D515" s="78" t="s">
        <v>2307</v>
      </c>
      <c r="E515" s="78"/>
      <c r="F515" s="71" t="str">
        <f t="shared" si="24"/>
        <v>Kacheera</v>
      </c>
      <c r="G515" s="71" t="str">
        <f t="shared" si="25"/>
        <v>Rakai</v>
      </c>
      <c r="H515" s="78" t="s">
        <v>2307</v>
      </c>
    </row>
    <row r="516" spans="1:8">
      <c r="A516" s="77">
        <v>70</v>
      </c>
      <c r="B516" s="78" t="s">
        <v>1637</v>
      </c>
      <c r="C516" s="78" t="s">
        <v>1638</v>
      </c>
      <c r="D516" s="78" t="s">
        <v>1636</v>
      </c>
      <c r="E516" s="78"/>
      <c r="F516" s="71" t="str">
        <f t="shared" ref="F516:F525" si="26">D516</f>
        <v>Kacheri</v>
      </c>
      <c r="G516" s="71" t="str">
        <f t="shared" si="25"/>
        <v>Kotido</v>
      </c>
      <c r="H516" s="78" t="s">
        <v>1636</v>
      </c>
    </row>
    <row r="517" spans="1:8">
      <c r="A517" s="77">
        <v>904</v>
      </c>
      <c r="B517" s="78" t="s">
        <v>374</v>
      </c>
      <c r="C517" s="78" t="s">
        <v>374</v>
      </c>
      <c r="D517" s="78" t="s">
        <v>377</v>
      </c>
      <c r="E517" s="78"/>
      <c r="F517" s="71" t="str">
        <f t="shared" si="26"/>
        <v>Kachomo</v>
      </c>
      <c r="G517" s="71" t="str">
        <f t="shared" si="25"/>
        <v>Budaka</v>
      </c>
      <c r="H517" s="78" t="s">
        <v>377</v>
      </c>
    </row>
    <row r="518" spans="1:8">
      <c r="A518" s="77">
        <v>957</v>
      </c>
      <c r="B518" s="78" t="s">
        <v>573</v>
      </c>
      <c r="C518" s="78" t="s">
        <v>574</v>
      </c>
      <c r="D518" s="78" t="s">
        <v>581</v>
      </c>
      <c r="E518" s="78"/>
      <c r="F518" s="71" t="str">
        <f t="shared" si="26"/>
        <v>Kachonga</v>
      </c>
      <c r="G518" s="71" t="str">
        <f t="shared" si="25"/>
        <v>Butaleja</v>
      </c>
      <c r="H518" s="78" t="s">
        <v>581</v>
      </c>
    </row>
    <row r="519" spans="1:8">
      <c r="A519" s="77">
        <v>933</v>
      </c>
      <c r="B519" s="78" t="s">
        <v>446</v>
      </c>
      <c r="C519" s="78" t="s">
        <v>446</v>
      </c>
      <c r="D519" s="78" t="s">
        <v>448</v>
      </c>
      <c r="E519" s="78"/>
      <c r="F519" s="71" t="str">
        <f t="shared" si="26"/>
        <v>Kachumbala</v>
      </c>
      <c r="G519" s="71" t="str">
        <f t="shared" si="25"/>
        <v>Bukedea</v>
      </c>
      <c r="H519" s="78" t="s">
        <v>448</v>
      </c>
    </row>
    <row r="520" spans="1:8">
      <c r="A520" s="77">
        <v>1027</v>
      </c>
      <c r="B520" s="78" t="s">
        <v>1538</v>
      </c>
      <c r="C520" s="78" t="s">
        <v>1538</v>
      </c>
      <c r="D520" s="78" t="s">
        <v>1541</v>
      </c>
      <c r="E520" s="78"/>
      <c r="F520" s="71" t="str">
        <f t="shared" si="26"/>
        <v>Kadama</v>
      </c>
      <c r="G520" s="71" t="str">
        <f t="shared" si="25"/>
        <v>Kibuku</v>
      </c>
      <c r="H520" s="78" t="s">
        <v>1541</v>
      </c>
    </row>
    <row r="521" spans="1:8">
      <c r="A521" s="77">
        <v>905</v>
      </c>
      <c r="B521" s="78" t="s">
        <v>374</v>
      </c>
      <c r="C521" s="78" t="s">
        <v>374</v>
      </c>
      <c r="D521" s="78" t="s">
        <v>378</v>
      </c>
      <c r="E521" s="78"/>
      <c r="F521" s="71" t="str">
        <f t="shared" si="26"/>
        <v>Kaderuna</v>
      </c>
      <c r="G521" s="71" t="str">
        <f t="shared" si="25"/>
        <v>Budaka</v>
      </c>
      <c r="H521" s="78" t="s">
        <v>378</v>
      </c>
    </row>
    <row r="522" spans="1:8">
      <c r="A522" s="77">
        <v>1069</v>
      </c>
      <c r="B522" s="78" t="s">
        <v>2377</v>
      </c>
      <c r="C522" s="78" t="s">
        <v>2379</v>
      </c>
      <c r="D522" s="78" t="s">
        <v>2380</v>
      </c>
      <c r="E522" s="78"/>
      <c r="F522" s="71" t="str">
        <f t="shared" si="26"/>
        <v>Kadungulu</v>
      </c>
      <c r="G522" s="71" t="str">
        <f t="shared" ref="G522:G585" si="27">B522</f>
        <v>Serere</v>
      </c>
      <c r="H522" s="78" t="s">
        <v>2380</v>
      </c>
    </row>
    <row r="523" spans="1:8">
      <c r="A523" s="77">
        <v>1480</v>
      </c>
      <c r="B523" s="78" t="s">
        <v>837</v>
      </c>
      <c r="C523" s="78" t="s">
        <v>838</v>
      </c>
      <c r="D523" s="78" t="s">
        <v>837</v>
      </c>
      <c r="E523" s="78"/>
      <c r="F523" s="71" t="str">
        <f t="shared" si="26"/>
        <v>Kagadi</v>
      </c>
      <c r="G523" s="71" t="str">
        <f t="shared" si="27"/>
        <v>Kagadi</v>
      </c>
      <c r="H523" s="78" t="s">
        <v>837</v>
      </c>
    </row>
    <row r="524" spans="1:8">
      <c r="A524" s="77">
        <v>1481</v>
      </c>
      <c r="B524" s="78" t="s">
        <v>837</v>
      </c>
      <c r="C524" s="78" t="s">
        <v>838</v>
      </c>
      <c r="D524" s="78" t="s">
        <v>841</v>
      </c>
      <c r="E524" s="78"/>
      <c r="F524" s="71" t="str">
        <f t="shared" si="26"/>
        <v>Kagadi Town Council</v>
      </c>
      <c r="G524" s="71" t="str">
        <f t="shared" si="27"/>
        <v>Kagadi</v>
      </c>
      <c r="H524" s="78" t="s">
        <v>841</v>
      </c>
    </row>
    <row r="525" spans="1:8">
      <c r="A525" s="77">
        <v>509</v>
      </c>
      <c r="B525" s="78" t="s">
        <v>192</v>
      </c>
      <c r="C525" s="78" t="s">
        <v>1733</v>
      </c>
      <c r="D525" s="78" t="s">
        <v>2308</v>
      </c>
      <c r="E525" s="78"/>
      <c r="F525" s="71" t="str">
        <f t="shared" si="26"/>
        <v>Kagamba</v>
      </c>
      <c r="G525" s="71" t="str">
        <f t="shared" si="27"/>
        <v>Rakai</v>
      </c>
      <c r="H525" s="78" t="s">
        <v>2308</v>
      </c>
    </row>
    <row r="526" spans="1:8" ht="25.5">
      <c r="A526" s="77">
        <v>1365</v>
      </c>
      <c r="B526" s="80" t="s">
        <v>44</v>
      </c>
      <c r="C526" s="81" t="s">
        <v>666</v>
      </c>
      <c r="D526" s="84" t="s">
        <v>2819</v>
      </c>
      <c r="E526" s="80"/>
      <c r="F526" s="71" t="str">
        <f t="shared" ref="F526:F527" si="28">D526&amp;"-"&amp;B526</f>
        <v>Kagango Division-Ibanda</v>
      </c>
      <c r="G526" s="71" t="str">
        <f t="shared" si="27"/>
        <v>Ibanda</v>
      </c>
      <c r="H526" s="84" t="s">
        <v>2819</v>
      </c>
    </row>
    <row r="527" spans="1:8" ht="25.5">
      <c r="A527" s="77">
        <v>1474</v>
      </c>
      <c r="B527" s="80" t="s">
        <v>42</v>
      </c>
      <c r="C527" s="81" t="s">
        <v>2390</v>
      </c>
      <c r="D527" s="84" t="s">
        <v>2819</v>
      </c>
      <c r="E527" s="80"/>
      <c r="F527" s="71" t="str">
        <f t="shared" si="28"/>
        <v>Kagango Division-Sheema</v>
      </c>
      <c r="G527" s="71" t="str">
        <f t="shared" si="27"/>
        <v>Sheema</v>
      </c>
      <c r="H527" s="84" t="s">
        <v>2819</v>
      </c>
    </row>
    <row r="528" spans="1:8">
      <c r="A528" s="77">
        <v>1266</v>
      </c>
      <c r="B528" s="78" t="s">
        <v>52</v>
      </c>
      <c r="C528" s="78" t="s">
        <v>2208</v>
      </c>
      <c r="D528" s="78" t="s">
        <v>2213</v>
      </c>
      <c r="E528" s="78"/>
      <c r="F528" s="71" t="str">
        <f t="shared" ref="F528:F537" si="29">D528</f>
        <v>Kagarama Town Council</v>
      </c>
      <c r="G528" s="71" t="str">
        <f t="shared" si="27"/>
        <v>Ntungamo</v>
      </c>
      <c r="H528" s="78" t="s">
        <v>2213</v>
      </c>
    </row>
    <row r="529" spans="1:9">
      <c r="A529" s="77">
        <v>1246</v>
      </c>
      <c r="B529" s="78" t="s">
        <v>230</v>
      </c>
      <c r="C529" s="78" t="s">
        <v>1911</v>
      </c>
      <c r="D529" s="78" t="s">
        <v>1918</v>
      </c>
      <c r="E529" s="78"/>
      <c r="F529" s="71" t="str">
        <f t="shared" si="29"/>
        <v>Kagongi</v>
      </c>
      <c r="G529" s="71" t="str">
        <f t="shared" si="27"/>
        <v>Mbarara</v>
      </c>
      <c r="H529" s="78" t="s">
        <v>1918</v>
      </c>
    </row>
    <row r="530" spans="1:9">
      <c r="A530" s="77">
        <v>1110</v>
      </c>
      <c r="B530" s="78" t="s">
        <v>499</v>
      </c>
      <c r="C530" s="78" t="s">
        <v>503</v>
      </c>
      <c r="D530" s="78" t="s">
        <v>510</v>
      </c>
      <c r="E530" s="78"/>
      <c r="F530" s="71" t="str">
        <f t="shared" si="29"/>
        <v>Kagugu</v>
      </c>
      <c r="G530" s="71" t="str">
        <f t="shared" si="27"/>
        <v>Bundibugyo</v>
      </c>
      <c r="H530" s="78" t="s">
        <v>510</v>
      </c>
    </row>
    <row r="531" spans="1:9">
      <c r="A531" s="77">
        <v>1021</v>
      </c>
      <c r="B531" s="78" t="s">
        <v>616</v>
      </c>
      <c r="C531" s="78" t="s">
        <v>617</v>
      </c>
      <c r="D531" s="78" t="s">
        <v>619</v>
      </c>
      <c r="E531" s="78"/>
      <c r="F531" s="71" t="str">
        <f t="shared" si="29"/>
        <v>Kagulu</v>
      </c>
      <c r="G531" s="71" t="str">
        <f t="shared" si="27"/>
        <v>Buyende</v>
      </c>
      <c r="H531" s="78" t="s">
        <v>619</v>
      </c>
    </row>
    <row r="532" spans="1:9">
      <c r="A532" s="77">
        <v>1028</v>
      </c>
      <c r="B532" s="78" t="s">
        <v>1538</v>
      </c>
      <c r="C532" s="78" t="s">
        <v>1538</v>
      </c>
      <c r="D532" s="78" t="s">
        <v>1542</v>
      </c>
      <c r="E532" s="78"/>
      <c r="F532" s="71" t="str">
        <f t="shared" si="29"/>
        <v>Kagumu</v>
      </c>
      <c r="G532" s="71" t="str">
        <f t="shared" si="27"/>
        <v>Kibuku</v>
      </c>
      <c r="H532" s="78" t="s">
        <v>1542</v>
      </c>
    </row>
    <row r="533" spans="1:9">
      <c r="A533" s="77">
        <v>1154</v>
      </c>
      <c r="B533" s="78" t="s">
        <v>786</v>
      </c>
      <c r="C533" s="78" t="s">
        <v>787</v>
      </c>
      <c r="D533" s="78" t="s">
        <v>794</v>
      </c>
      <c r="E533" s="78"/>
      <c r="F533" s="71" t="str">
        <f t="shared" si="29"/>
        <v>Kaharo</v>
      </c>
      <c r="G533" s="71" t="str">
        <f t="shared" si="27"/>
        <v>Kabale</v>
      </c>
      <c r="H533" s="78" t="s">
        <v>794</v>
      </c>
    </row>
    <row r="534" spans="1:9" ht="25.5">
      <c r="A534" s="77">
        <v>1147</v>
      </c>
      <c r="B534" s="78" t="s">
        <v>648</v>
      </c>
      <c r="C534" s="79" t="s">
        <v>654</v>
      </c>
      <c r="D534" s="78" t="s">
        <v>2820</v>
      </c>
      <c r="E534" s="78"/>
      <c r="F534" s="72" t="str">
        <f>VLOOKUP(C534,[2]Municipalities!$C$9:$F$1522,4,FALSE)</f>
        <v>Hoima Municipality</v>
      </c>
      <c r="G534" s="71" t="str">
        <f t="shared" si="27"/>
        <v>Hoima</v>
      </c>
      <c r="H534" s="78" t="s">
        <v>2820</v>
      </c>
    </row>
    <row r="535" spans="1:9">
      <c r="A535" s="77">
        <v>1301</v>
      </c>
      <c r="B535" s="78" t="s">
        <v>50</v>
      </c>
      <c r="C535" s="78" t="s">
        <v>598</v>
      </c>
      <c r="D535" s="78" t="s">
        <v>1398</v>
      </c>
      <c r="E535" s="78"/>
      <c r="F535" s="71" t="str">
        <f t="shared" si="29"/>
        <v>Kahunge</v>
      </c>
      <c r="G535" s="71" t="str">
        <f t="shared" si="27"/>
        <v>Kamwenge</v>
      </c>
      <c r="H535" s="78" t="s">
        <v>1398</v>
      </c>
    </row>
    <row r="536" spans="1:9">
      <c r="A536" s="77">
        <v>543</v>
      </c>
      <c r="B536" s="78" t="s">
        <v>2477</v>
      </c>
      <c r="C536" s="78" t="s">
        <v>2481</v>
      </c>
      <c r="D536" s="78" t="s">
        <v>2509</v>
      </c>
      <c r="E536" s="78"/>
      <c r="F536" s="71" t="str">
        <f t="shared" si="29"/>
        <v>Kajjansi Town Council</v>
      </c>
      <c r="G536" s="71" t="str">
        <f t="shared" si="27"/>
        <v>Wakiso</v>
      </c>
      <c r="H536" s="78" t="s">
        <v>2509</v>
      </c>
    </row>
    <row r="537" spans="1:9">
      <c r="A537" s="77">
        <v>1423</v>
      </c>
      <c r="B537" s="78" t="s">
        <v>1697</v>
      </c>
      <c r="C537" s="78" t="s">
        <v>1698</v>
      </c>
      <c r="D537" s="78" t="s">
        <v>1700</v>
      </c>
      <c r="E537" s="78"/>
      <c r="F537" s="71" t="str">
        <f t="shared" si="29"/>
        <v>Kakabara</v>
      </c>
      <c r="G537" s="71" t="str">
        <f t="shared" si="27"/>
        <v>Kyegegwa</v>
      </c>
      <c r="H537" s="78" t="s">
        <v>1700</v>
      </c>
    </row>
    <row r="538" spans="1:9">
      <c r="A538" s="77">
        <v>1367</v>
      </c>
      <c r="B538" s="78" t="s">
        <v>53</v>
      </c>
      <c r="C538" s="78" t="s">
        <v>715</v>
      </c>
      <c r="D538" s="82" t="s">
        <v>2821</v>
      </c>
      <c r="E538" s="78"/>
      <c r="F538" s="71" t="str">
        <f t="shared" ref="F538:F539" si="30">D538&amp;"-"&amp;B538</f>
        <v>Kakamba-Isingiro</v>
      </c>
      <c r="G538" s="71" t="str">
        <f t="shared" si="27"/>
        <v>Isingiro</v>
      </c>
      <c r="H538" s="82" t="s">
        <v>2821</v>
      </c>
    </row>
    <row r="539" spans="1:9" s="83" customFormat="1">
      <c r="A539" s="85">
        <v>1374</v>
      </c>
      <c r="B539" s="82" t="s">
        <v>53</v>
      </c>
      <c r="C539" s="82" t="s">
        <v>715</v>
      </c>
      <c r="D539" s="82" t="s">
        <v>2821</v>
      </c>
      <c r="E539" s="82"/>
      <c r="F539" s="83" t="str">
        <f t="shared" si="30"/>
        <v>Kakamba-Isingiro</v>
      </c>
      <c r="G539" s="71" t="str">
        <f t="shared" si="27"/>
        <v>Isingiro</v>
      </c>
      <c r="H539" s="82" t="s">
        <v>2821</v>
      </c>
      <c r="I539" s="83" t="s">
        <v>2795</v>
      </c>
    </row>
    <row r="540" spans="1:9">
      <c r="A540" s="77">
        <v>1128</v>
      </c>
      <c r="B540" s="78" t="s">
        <v>39</v>
      </c>
      <c r="C540" s="78" t="s">
        <v>535</v>
      </c>
      <c r="D540" s="78" t="s">
        <v>545</v>
      </c>
      <c r="E540" s="78"/>
      <c r="F540" s="71" t="str">
        <f t="shared" ref="F540:F591" si="31">D540</f>
        <v>Kakanju</v>
      </c>
      <c r="G540" s="71" t="str">
        <f t="shared" si="27"/>
        <v>Bushenyi</v>
      </c>
      <c r="H540" s="78" t="s">
        <v>545</v>
      </c>
    </row>
    <row r="541" spans="1:9" ht="25.5">
      <c r="A541" s="77">
        <v>1255</v>
      </c>
      <c r="B541" s="80" t="s">
        <v>230</v>
      </c>
      <c r="C541" s="81" t="s">
        <v>1921</v>
      </c>
      <c r="D541" s="80" t="s">
        <v>2822</v>
      </c>
      <c r="E541" s="80"/>
      <c r="F541" s="72" t="str">
        <f>VLOOKUP(C541,[2]Municipalities!$C$9:$F$1522,4,FALSE)</f>
        <v>Mbarara Municipality</v>
      </c>
      <c r="G541" s="71" t="str">
        <f t="shared" si="27"/>
        <v>Mbarara</v>
      </c>
      <c r="H541" s="80" t="s">
        <v>2822</v>
      </c>
    </row>
    <row r="542" spans="1:9">
      <c r="A542" s="77">
        <v>1497</v>
      </c>
      <c r="B542" s="78" t="s">
        <v>856</v>
      </c>
      <c r="C542" s="78" t="s">
        <v>857</v>
      </c>
      <c r="D542" s="78" t="s">
        <v>859</v>
      </c>
      <c r="E542" s="78"/>
      <c r="F542" s="71" t="str">
        <f t="shared" si="31"/>
        <v>Kakindo</v>
      </c>
      <c r="G542" s="71" t="str">
        <f t="shared" si="27"/>
        <v>Kakumiro</v>
      </c>
      <c r="H542" s="78" t="s">
        <v>859</v>
      </c>
    </row>
    <row r="543" spans="1:9">
      <c r="A543" s="77">
        <v>1472</v>
      </c>
      <c r="B543" s="78" t="s">
        <v>42</v>
      </c>
      <c r="C543" s="78" t="s">
        <v>42</v>
      </c>
      <c r="D543" s="78" t="s">
        <v>2392</v>
      </c>
      <c r="E543" s="78"/>
      <c r="F543" s="71" t="str">
        <f t="shared" si="31"/>
        <v>Kakindo Town Council</v>
      </c>
      <c r="G543" s="71" t="str">
        <f t="shared" si="27"/>
        <v>Sheema</v>
      </c>
      <c r="H543" s="78" t="s">
        <v>2392</v>
      </c>
    </row>
    <row r="544" spans="1:9">
      <c r="A544" s="77">
        <v>567</v>
      </c>
      <c r="B544" s="78" t="s">
        <v>1968</v>
      </c>
      <c r="C544" s="78" t="s">
        <v>1969</v>
      </c>
      <c r="D544" s="78" t="s">
        <v>1979</v>
      </c>
      <c r="E544" s="78"/>
      <c r="F544" s="71" t="str">
        <f t="shared" si="31"/>
        <v>Kakindu</v>
      </c>
      <c r="G544" s="71" t="str">
        <f t="shared" si="27"/>
        <v>Mityana</v>
      </c>
      <c r="H544" s="78" t="s">
        <v>1979</v>
      </c>
    </row>
    <row r="545" spans="1:8">
      <c r="A545" s="77">
        <v>715</v>
      </c>
      <c r="B545" s="78" t="s">
        <v>186</v>
      </c>
      <c r="C545" s="78" t="s">
        <v>755</v>
      </c>
      <c r="D545" s="78" t="s">
        <v>766</v>
      </c>
      <c r="E545" s="78"/>
      <c r="F545" s="71" t="str">
        <f t="shared" si="31"/>
        <v>Kakira Town Council</v>
      </c>
      <c r="G545" s="71" t="str">
        <f t="shared" si="27"/>
        <v>Jinja</v>
      </c>
      <c r="H545" s="78" t="s">
        <v>766</v>
      </c>
    </row>
    <row r="546" spans="1:8">
      <c r="A546" s="77">
        <v>533</v>
      </c>
      <c r="B546" s="78" t="s">
        <v>2477</v>
      </c>
      <c r="C546" s="78" t="s">
        <v>2481</v>
      </c>
      <c r="D546" s="78" t="s">
        <v>2529</v>
      </c>
      <c r="E546" s="78"/>
      <c r="F546" s="71" t="str">
        <f t="shared" si="31"/>
        <v>Kakiri</v>
      </c>
      <c r="G546" s="71" t="str">
        <f t="shared" si="27"/>
        <v>Wakiso</v>
      </c>
      <c r="H546" s="78" t="s">
        <v>2529</v>
      </c>
    </row>
    <row r="547" spans="1:8">
      <c r="A547" s="77">
        <v>534</v>
      </c>
      <c r="B547" s="78" t="s">
        <v>2477</v>
      </c>
      <c r="C547" s="78" t="s">
        <v>2481</v>
      </c>
      <c r="D547" s="78" t="s">
        <v>2534</v>
      </c>
      <c r="E547" s="78"/>
      <c r="F547" s="71" t="str">
        <f t="shared" si="31"/>
        <v>Kakiri Town Council</v>
      </c>
      <c r="G547" s="71" t="str">
        <f t="shared" si="27"/>
        <v>Wakiso</v>
      </c>
      <c r="H547" s="78" t="s">
        <v>2534</v>
      </c>
    </row>
    <row r="548" spans="1:8" ht="25.5">
      <c r="A548" s="77">
        <v>1251</v>
      </c>
      <c r="B548" s="80" t="s">
        <v>230</v>
      </c>
      <c r="C548" s="81" t="s">
        <v>1921</v>
      </c>
      <c r="D548" s="80" t="s">
        <v>2823</v>
      </c>
      <c r="E548" s="80"/>
      <c r="F548" s="72" t="str">
        <f>VLOOKUP(C548,[2]Municipalities!$C$9:$F$1522,4,FALSE)</f>
        <v>Mbarara Municipality</v>
      </c>
      <c r="G548" s="71" t="str">
        <f t="shared" si="27"/>
        <v>Mbarara</v>
      </c>
      <c r="H548" s="80" t="s">
        <v>2823</v>
      </c>
    </row>
    <row r="549" spans="1:8">
      <c r="A549" s="77">
        <v>122</v>
      </c>
      <c r="B549" s="78" t="s">
        <v>2090</v>
      </c>
      <c r="C549" s="78" t="s">
        <v>2091</v>
      </c>
      <c r="D549" s="78" t="s">
        <v>2089</v>
      </c>
      <c r="E549" s="78"/>
      <c r="F549" s="71" t="str">
        <f t="shared" si="31"/>
        <v>Kakomongole</v>
      </c>
      <c r="G549" s="71" t="str">
        <f t="shared" si="27"/>
        <v>Nakapiripirit</v>
      </c>
      <c r="H549" s="78" t="s">
        <v>2089</v>
      </c>
    </row>
    <row r="550" spans="1:8">
      <c r="A550" s="77">
        <v>493</v>
      </c>
      <c r="B550" s="78" t="s">
        <v>2120</v>
      </c>
      <c r="C550" s="78" t="s">
        <v>1863</v>
      </c>
      <c r="D550" s="78" t="s">
        <v>2119</v>
      </c>
      <c r="E550" s="78"/>
      <c r="F550" s="71" t="str">
        <f t="shared" si="31"/>
        <v>Kakooge</v>
      </c>
      <c r="G550" s="71" t="str">
        <f t="shared" si="27"/>
        <v>Nakasongola</v>
      </c>
      <c r="H550" s="78" t="s">
        <v>2119</v>
      </c>
    </row>
    <row r="551" spans="1:8">
      <c r="A551" s="77">
        <v>494</v>
      </c>
      <c r="B551" s="78" t="s">
        <v>2120</v>
      </c>
      <c r="C551" s="78" t="s">
        <v>1863</v>
      </c>
      <c r="D551" s="78" t="s">
        <v>2121</v>
      </c>
      <c r="E551" s="78"/>
      <c r="F551" s="71" t="str">
        <f t="shared" si="31"/>
        <v>Kakooge Town Council</v>
      </c>
      <c r="G551" s="71" t="str">
        <f t="shared" si="27"/>
        <v>Nakasongola</v>
      </c>
      <c r="H551" s="78" t="s">
        <v>2121</v>
      </c>
    </row>
    <row r="552" spans="1:8" ht="25.5">
      <c r="A552" s="77">
        <v>1080</v>
      </c>
      <c r="B552" s="80" t="s">
        <v>593</v>
      </c>
      <c r="C552" s="80" t="s">
        <v>594</v>
      </c>
      <c r="D552" s="80" t="s">
        <v>596</v>
      </c>
      <c r="E552" s="80"/>
      <c r="F552" s="71" t="str">
        <f t="shared" si="31"/>
        <v>Kakoro</v>
      </c>
      <c r="G552" s="71" t="str">
        <f t="shared" si="27"/>
        <v>Butebo</v>
      </c>
      <c r="H552" s="80" t="s">
        <v>596</v>
      </c>
    </row>
    <row r="553" spans="1:8">
      <c r="A553" s="77">
        <v>906</v>
      </c>
      <c r="B553" s="78" t="s">
        <v>374</v>
      </c>
      <c r="C553" s="78" t="s">
        <v>374</v>
      </c>
      <c r="D553" s="78" t="s">
        <v>379</v>
      </c>
      <c r="E553" s="78"/>
      <c r="F553" s="71" t="str">
        <f t="shared" si="31"/>
        <v>Kakule</v>
      </c>
      <c r="G553" s="71" t="str">
        <f t="shared" si="27"/>
        <v>Budaka</v>
      </c>
      <c r="H553" s="78" t="s">
        <v>379</v>
      </c>
    </row>
    <row r="554" spans="1:8">
      <c r="A554" s="77">
        <v>1498</v>
      </c>
      <c r="B554" s="78" t="s">
        <v>856</v>
      </c>
      <c r="C554" s="78" t="s">
        <v>857</v>
      </c>
      <c r="D554" s="78" t="s">
        <v>860</v>
      </c>
      <c r="E554" s="78"/>
      <c r="F554" s="71" t="str">
        <f t="shared" si="31"/>
        <v>Kakumiro Town Council</v>
      </c>
      <c r="G554" s="71" t="str">
        <f t="shared" si="27"/>
        <v>Kakumiro</v>
      </c>
      <c r="H554" s="78" t="s">
        <v>860</v>
      </c>
    </row>
    <row r="555" spans="1:8">
      <c r="A555" s="77">
        <v>848</v>
      </c>
      <c r="B555" s="78" t="s">
        <v>825</v>
      </c>
      <c r="C555" s="78" t="s">
        <v>827</v>
      </c>
      <c r="D555" s="78" t="s">
        <v>832</v>
      </c>
      <c r="E555" s="78"/>
      <c r="F555" s="71" t="str">
        <f t="shared" si="31"/>
        <v>Kakure</v>
      </c>
      <c r="G555" s="71" t="str">
        <f t="shared" si="27"/>
        <v>Kaberamaido</v>
      </c>
      <c r="H555" s="78" t="s">
        <v>832</v>
      </c>
    </row>
    <row r="556" spans="1:8">
      <c r="A556" s="77">
        <v>504</v>
      </c>
      <c r="B556" s="78" t="s">
        <v>192</v>
      </c>
      <c r="C556" s="78" t="s">
        <v>2310</v>
      </c>
      <c r="D556" s="78" t="s">
        <v>2310</v>
      </c>
      <c r="E556" s="78"/>
      <c r="F556" s="71" t="str">
        <f t="shared" si="31"/>
        <v>Kakuuto</v>
      </c>
      <c r="G556" s="71" t="str">
        <f t="shared" si="27"/>
        <v>Rakai</v>
      </c>
      <c r="H556" s="78" t="s">
        <v>2310</v>
      </c>
    </row>
    <row r="557" spans="1:8">
      <c r="A557" s="77">
        <v>430</v>
      </c>
      <c r="B557" s="78" t="s">
        <v>1768</v>
      </c>
      <c r="C557" s="78" t="s">
        <v>1767</v>
      </c>
      <c r="D557" s="78" t="s">
        <v>1776</v>
      </c>
      <c r="E557" s="78"/>
      <c r="F557" s="71" t="str">
        <f t="shared" si="31"/>
        <v>Kalagala</v>
      </c>
      <c r="G557" s="71" t="str">
        <f t="shared" si="27"/>
        <v>Luwero</v>
      </c>
      <c r="H557" s="78" t="s">
        <v>1776</v>
      </c>
    </row>
    <row r="558" spans="1:8">
      <c r="A558" s="77">
        <v>849</v>
      </c>
      <c r="B558" s="78" t="s">
        <v>825</v>
      </c>
      <c r="C558" s="78" t="s">
        <v>827</v>
      </c>
      <c r="D558" s="78" t="s">
        <v>827</v>
      </c>
      <c r="E558" s="78"/>
      <c r="F558" s="71" t="str">
        <f t="shared" si="31"/>
        <v>Kalaki</v>
      </c>
      <c r="G558" s="71" t="str">
        <f t="shared" si="27"/>
        <v>Kaberamaido</v>
      </c>
      <c r="H558" s="78" t="s">
        <v>827</v>
      </c>
    </row>
    <row r="559" spans="1:8">
      <c r="A559" s="77">
        <v>614</v>
      </c>
      <c r="B559" s="78" t="s">
        <v>586</v>
      </c>
      <c r="C559" s="78" t="s">
        <v>586</v>
      </c>
      <c r="D559" s="78" t="s">
        <v>589</v>
      </c>
      <c r="E559" s="78"/>
      <c r="F559" s="71" t="str">
        <f t="shared" si="31"/>
        <v>Kalamba</v>
      </c>
      <c r="G559" s="71" t="str">
        <f t="shared" si="27"/>
        <v>Butambala</v>
      </c>
      <c r="H559" s="78" t="s">
        <v>589</v>
      </c>
    </row>
    <row r="560" spans="1:8">
      <c r="A560" s="77">
        <v>571</v>
      </c>
      <c r="B560" s="78" t="s">
        <v>1968</v>
      </c>
      <c r="C560" s="78" t="s">
        <v>1968</v>
      </c>
      <c r="D560" s="78" t="s">
        <v>1980</v>
      </c>
      <c r="E560" s="78"/>
      <c r="F560" s="71" t="str">
        <f t="shared" si="31"/>
        <v>Kalangaalo</v>
      </c>
      <c r="G560" s="71" t="str">
        <f t="shared" si="27"/>
        <v>Mityana</v>
      </c>
      <c r="H560" s="78" t="s">
        <v>1980</v>
      </c>
    </row>
    <row r="561" spans="1:8">
      <c r="A561" s="77">
        <v>319</v>
      </c>
      <c r="B561" s="78" t="s">
        <v>870</v>
      </c>
      <c r="C561" s="78" t="s">
        <v>873</v>
      </c>
      <c r="D561" s="78" t="s">
        <v>874</v>
      </c>
      <c r="E561" s="78"/>
      <c r="F561" s="71" t="str">
        <f t="shared" si="31"/>
        <v>Kalangala Town Council</v>
      </c>
      <c r="G561" s="71" t="str">
        <f t="shared" si="27"/>
        <v>Kalangala</v>
      </c>
      <c r="H561" s="78" t="s">
        <v>874</v>
      </c>
    </row>
    <row r="562" spans="1:8">
      <c r="A562" s="77">
        <v>187</v>
      </c>
      <c r="B562" s="78" t="s">
        <v>770</v>
      </c>
      <c r="C562" s="78" t="s">
        <v>771</v>
      </c>
      <c r="D562" s="78" t="s">
        <v>774</v>
      </c>
      <c r="E562" s="78"/>
      <c r="F562" s="71" t="str">
        <f t="shared" si="31"/>
        <v>Kalapata</v>
      </c>
      <c r="G562" s="71" t="str">
        <f t="shared" si="27"/>
        <v>Kaabong</v>
      </c>
      <c r="H562" s="78" t="s">
        <v>774</v>
      </c>
    </row>
    <row r="563" spans="1:8">
      <c r="A563" s="77">
        <v>559</v>
      </c>
      <c r="B563" s="78" t="s">
        <v>1806</v>
      </c>
      <c r="C563" s="78" t="s">
        <v>1807</v>
      </c>
      <c r="D563" s="78" t="s">
        <v>1805</v>
      </c>
      <c r="E563" s="78"/>
      <c r="F563" s="71" t="str">
        <f t="shared" si="31"/>
        <v>Kaliiro</v>
      </c>
      <c r="G563" s="71" t="str">
        <f t="shared" si="27"/>
        <v>Lyantonde</v>
      </c>
      <c r="H563" s="78" t="s">
        <v>1805</v>
      </c>
    </row>
    <row r="564" spans="1:8">
      <c r="A564" s="77">
        <v>966</v>
      </c>
      <c r="B564" s="78" t="s">
        <v>878</v>
      </c>
      <c r="C564" s="78" t="s">
        <v>687</v>
      </c>
      <c r="D564" s="78" t="s">
        <v>883</v>
      </c>
      <c r="E564" s="78"/>
      <c r="F564" s="71" t="str">
        <f t="shared" si="31"/>
        <v>Kaliro Town Council</v>
      </c>
      <c r="G564" s="71" t="str">
        <f t="shared" si="27"/>
        <v>Kaliro</v>
      </c>
      <c r="H564" s="78" t="s">
        <v>883</v>
      </c>
    </row>
    <row r="565" spans="1:8">
      <c r="A565" s="77">
        <v>663</v>
      </c>
      <c r="B565" s="78" t="s">
        <v>1729</v>
      </c>
      <c r="C565" s="78" t="s">
        <v>1729</v>
      </c>
      <c r="D565" s="78" t="s">
        <v>1730</v>
      </c>
      <c r="E565" s="78"/>
      <c r="F565" s="71" t="str">
        <f t="shared" si="31"/>
        <v>Kalisizo</v>
      </c>
      <c r="G565" s="71" t="str">
        <f t="shared" si="27"/>
        <v>Kyotera</v>
      </c>
      <c r="H565" s="78" t="s">
        <v>1730</v>
      </c>
    </row>
    <row r="566" spans="1:8">
      <c r="A566" s="77">
        <v>664</v>
      </c>
      <c r="B566" s="78" t="s">
        <v>1729</v>
      </c>
      <c r="C566" s="78" t="s">
        <v>1729</v>
      </c>
      <c r="D566" s="78" t="s">
        <v>1731</v>
      </c>
      <c r="E566" s="78"/>
      <c r="F566" s="71" t="str">
        <f t="shared" si="31"/>
        <v>Kalisizo Town Council</v>
      </c>
      <c r="G566" s="71" t="str">
        <f t="shared" si="27"/>
        <v>Kyotera</v>
      </c>
      <c r="H566" s="78" t="s">
        <v>1731</v>
      </c>
    </row>
    <row r="567" spans="1:8">
      <c r="A567" s="77">
        <v>495</v>
      </c>
      <c r="B567" s="78" t="s">
        <v>2120</v>
      </c>
      <c r="C567" s="78" t="s">
        <v>1863</v>
      </c>
      <c r="D567" s="78" t="s">
        <v>2122</v>
      </c>
      <c r="E567" s="78"/>
      <c r="F567" s="71" t="str">
        <f t="shared" si="31"/>
        <v>Kalongo</v>
      </c>
      <c r="G567" s="71" t="str">
        <f t="shared" si="27"/>
        <v>Nakasongola</v>
      </c>
      <c r="H567" s="78" t="s">
        <v>2122</v>
      </c>
    </row>
    <row r="568" spans="1:8">
      <c r="A568" s="77">
        <v>230</v>
      </c>
      <c r="B568" s="78" t="s">
        <v>261</v>
      </c>
      <c r="C568" s="78" t="s">
        <v>261</v>
      </c>
      <c r="D568" s="78" t="s">
        <v>264</v>
      </c>
      <c r="E568" s="78"/>
      <c r="F568" s="71" t="str">
        <f t="shared" si="31"/>
        <v>Kalongo Town Council</v>
      </c>
      <c r="G568" s="71" t="str">
        <f t="shared" si="27"/>
        <v>Agago</v>
      </c>
      <c r="H568" s="78" t="s">
        <v>264</v>
      </c>
    </row>
    <row r="569" spans="1:8">
      <c r="A569" s="77">
        <v>496</v>
      </c>
      <c r="B569" s="78" t="s">
        <v>2120</v>
      </c>
      <c r="C569" s="78" t="s">
        <v>1863</v>
      </c>
      <c r="D569" s="78" t="s">
        <v>2123</v>
      </c>
      <c r="E569" s="78"/>
      <c r="F569" s="71" t="str">
        <f t="shared" si="31"/>
        <v>Kalungi</v>
      </c>
      <c r="G569" s="71" t="str">
        <f t="shared" si="27"/>
        <v>Nakasongola</v>
      </c>
      <c r="H569" s="78" t="s">
        <v>2123</v>
      </c>
    </row>
    <row r="570" spans="1:8">
      <c r="A570" s="77">
        <v>632</v>
      </c>
      <c r="B570" s="78" t="s">
        <v>892</v>
      </c>
      <c r="C570" s="78" t="s">
        <v>892</v>
      </c>
      <c r="D570" s="78" t="s">
        <v>892</v>
      </c>
      <c r="E570" s="78"/>
      <c r="F570" s="71" t="str">
        <f t="shared" si="31"/>
        <v>Kalungu</v>
      </c>
      <c r="G570" s="71" t="str">
        <f t="shared" si="27"/>
        <v>Kalungu</v>
      </c>
      <c r="H570" s="78" t="s">
        <v>892</v>
      </c>
    </row>
    <row r="571" spans="1:8">
      <c r="A571" s="77">
        <v>633</v>
      </c>
      <c r="B571" s="78" t="s">
        <v>892</v>
      </c>
      <c r="C571" s="78" t="s">
        <v>892</v>
      </c>
      <c r="D571" s="78" t="s">
        <v>893</v>
      </c>
      <c r="E571" s="78"/>
      <c r="F571" s="71" t="str">
        <f t="shared" si="31"/>
        <v>Kalungu Town Council</v>
      </c>
      <c r="G571" s="71" t="str">
        <f t="shared" si="27"/>
        <v>Kalungu</v>
      </c>
      <c r="H571" s="78" t="s">
        <v>893</v>
      </c>
    </row>
    <row r="572" spans="1:8">
      <c r="A572" s="77">
        <v>468</v>
      </c>
      <c r="B572" s="78" t="s">
        <v>2026</v>
      </c>
      <c r="C572" s="78" t="s">
        <v>2029</v>
      </c>
      <c r="D572" s="78" t="s">
        <v>2033</v>
      </c>
      <c r="E572" s="78"/>
      <c r="F572" s="71" t="str">
        <f t="shared" si="31"/>
        <v>Kalwana</v>
      </c>
      <c r="G572" s="71" t="str">
        <f t="shared" si="27"/>
        <v>Mubende</v>
      </c>
      <c r="H572" s="78" t="s">
        <v>2033</v>
      </c>
    </row>
    <row r="573" spans="1:8">
      <c r="A573" s="77">
        <v>1314</v>
      </c>
      <c r="B573" s="78" t="s">
        <v>1418</v>
      </c>
      <c r="C573" s="78" t="s">
        <v>1419</v>
      </c>
      <c r="D573" s="78" t="s">
        <v>1420</v>
      </c>
      <c r="E573" s="78"/>
      <c r="F573" s="71" t="str">
        <f t="shared" si="31"/>
        <v>Kambuga</v>
      </c>
      <c r="G573" s="71" t="str">
        <f t="shared" si="27"/>
        <v>Kanungu</v>
      </c>
      <c r="H573" s="78" t="s">
        <v>1420</v>
      </c>
    </row>
    <row r="574" spans="1:8">
      <c r="A574" s="77">
        <v>1315</v>
      </c>
      <c r="B574" s="78" t="s">
        <v>1418</v>
      </c>
      <c r="C574" s="78" t="s">
        <v>1419</v>
      </c>
      <c r="D574" s="78" t="s">
        <v>1421</v>
      </c>
      <c r="E574" s="78"/>
      <c r="F574" s="71" t="str">
        <f t="shared" si="31"/>
        <v>Kambuga Town Council</v>
      </c>
      <c r="G574" s="71" t="str">
        <f t="shared" si="27"/>
        <v>Kanungu</v>
      </c>
      <c r="H574" s="78" t="s">
        <v>1421</v>
      </c>
    </row>
    <row r="575" spans="1:8">
      <c r="A575" s="77">
        <v>220</v>
      </c>
      <c r="B575" s="78" t="s">
        <v>2260</v>
      </c>
      <c r="C575" s="78" t="s">
        <v>2260</v>
      </c>
      <c r="D575" s="78" t="s">
        <v>2265</v>
      </c>
      <c r="E575" s="78"/>
      <c r="F575" s="71" t="str">
        <f t="shared" si="31"/>
        <v>Kamdini</v>
      </c>
      <c r="G575" s="71" t="str">
        <f t="shared" si="27"/>
        <v>Oyam</v>
      </c>
      <c r="H575" s="78" t="s">
        <v>2265</v>
      </c>
    </row>
    <row r="576" spans="1:8">
      <c r="A576" s="77">
        <v>807</v>
      </c>
      <c r="B576" s="78" t="s">
        <v>2294</v>
      </c>
      <c r="C576" s="78" t="s">
        <v>2293</v>
      </c>
      <c r="D576" s="78" t="s">
        <v>2299</v>
      </c>
      <c r="E576" s="78"/>
      <c r="F576" s="71" t="str">
        <f t="shared" si="31"/>
        <v>Kameke</v>
      </c>
      <c r="G576" s="71" t="str">
        <f t="shared" si="27"/>
        <v>Pallisa</v>
      </c>
      <c r="H576" s="78" t="s">
        <v>2299</v>
      </c>
    </row>
    <row r="577" spans="1:8">
      <c r="A577" s="77">
        <v>911</v>
      </c>
      <c r="B577" s="78" t="s">
        <v>374</v>
      </c>
      <c r="C577" s="78" t="s">
        <v>376</v>
      </c>
      <c r="D577" s="78" t="s">
        <v>380</v>
      </c>
      <c r="E577" s="78"/>
      <c r="F577" s="71" t="str">
        <f t="shared" si="31"/>
        <v>Kameruka</v>
      </c>
      <c r="G577" s="71" t="str">
        <f t="shared" si="27"/>
        <v>Budaka</v>
      </c>
      <c r="H577" s="78" t="s">
        <v>380</v>
      </c>
    </row>
    <row r="578" spans="1:8">
      <c r="A578" s="77">
        <v>942</v>
      </c>
      <c r="B578" s="78" t="s">
        <v>458</v>
      </c>
      <c r="C578" s="78" t="s">
        <v>459</v>
      </c>
      <c r="D578" s="78" t="s">
        <v>464</v>
      </c>
      <c r="E578" s="78"/>
      <c r="F578" s="71" t="str">
        <f t="shared" si="31"/>
        <v>Kamet</v>
      </c>
      <c r="G578" s="71" t="str">
        <f t="shared" si="27"/>
        <v>Bukwo</v>
      </c>
      <c r="H578" s="78" t="s">
        <v>464</v>
      </c>
    </row>
    <row r="579" spans="1:8">
      <c r="A579" s="77">
        <v>188</v>
      </c>
      <c r="B579" s="78" t="s">
        <v>770</v>
      </c>
      <c r="C579" s="78" t="s">
        <v>771</v>
      </c>
      <c r="D579" s="78" t="s">
        <v>775</v>
      </c>
      <c r="E579" s="78"/>
      <c r="F579" s="71" t="str">
        <f t="shared" si="31"/>
        <v>Kamion</v>
      </c>
      <c r="G579" s="71" t="str">
        <f t="shared" si="27"/>
        <v>Kaabong</v>
      </c>
      <c r="H579" s="78" t="s">
        <v>775</v>
      </c>
    </row>
    <row r="580" spans="1:8">
      <c r="A580" s="77">
        <v>431</v>
      </c>
      <c r="B580" s="78" t="s">
        <v>1768</v>
      </c>
      <c r="C580" s="78" t="s">
        <v>1767</v>
      </c>
      <c r="D580" s="78" t="s">
        <v>1779</v>
      </c>
      <c r="E580" s="78"/>
      <c r="F580" s="71" t="str">
        <f t="shared" si="31"/>
        <v>Kamira</v>
      </c>
      <c r="G580" s="71" t="str">
        <f t="shared" si="27"/>
        <v>Luwero</v>
      </c>
      <c r="H580" s="78" t="s">
        <v>1779</v>
      </c>
    </row>
    <row r="581" spans="1:8">
      <c r="A581" s="77">
        <v>452</v>
      </c>
      <c r="B581" s="78" t="s">
        <v>2012</v>
      </c>
      <c r="C581" s="78" t="s">
        <v>2013</v>
      </c>
      <c r="D581" s="78" t="s">
        <v>2014</v>
      </c>
      <c r="E581" s="78"/>
      <c r="F581" s="71" t="str">
        <f t="shared" si="31"/>
        <v>Kammengo</v>
      </c>
      <c r="G581" s="71" t="str">
        <f t="shared" si="27"/>
        <v>Mpigi</v>
      </c>
      <c r="H581" s="78" t="s">
        <v>2014</v>
      </c>
    </row>
    <row r="582" spans="1:8">
      <c r="A582" s="77">
        <v>912</v>
      </c>
      <c r="B582" s="78" t="s">
        <v>374</v>
      </c>
      <c r="C582" s="78" t="s">
        <v>376</v>
      </c>
      <c r="D582" s="78" t="s">
        <v>381</v>
      </c>
      <c r="E582" s="78"/>
      <c r="F582" s="71" t="str">
        <f t="shared" si="31"/>
        <v>Kamonkoli</v>
      </c>
      <c r="G582" s="71" t="str">
        <f t="shared" si="27"/>
        <v>Budaka</v>
      </c>
      <c r="H582" s="78" t="s">
        <v>381</v>
      </c>
    </row>
    <row r="583" spans="1:8">
      <c r="A583" s="77">
        <v>1014</v>
      </c>
      <c r="B583" s="78" t="s">
        <v>472</v>
      </c>
      <c r="C583" s="78" t="s">
        <v>472</v>
      </c>
      <c r="D583" s="78" t="s">
        <v>483</v>
      </c>
      <c r="E583" s="78"/>
      <c r="F583" s="71" t="str">
        <f t="shared" si="31"/>
        <v>Kamu</v>
      </c>
      <c r="G583" s="71" t="str">
        <f t="shared" si="27"/>
        <v>Bulambuli</v>
      </c>
      <c r="H583" s="78" t="s">
        <v>483</v>
      </c>
    </row>
    <row r="584" spans="1:8">
      <c r="A584" s="77">
        <v>809</v>
      </c>
      <c r="B584" s="78" t="s">
        <v>2433</v>
      </c>
      <c r="C584" s="78" t="s">
        <v>2433</v>
      </c>
      <c r="D584" s="78" t="s">
        <v>2436</v>
      </c>
      <c r="E584" s="78"/>
      <c r="F584" s="71" t="str">
        <f t="shared" si="31"/>
        <v>Kamuda</v>
      </c>
      <c r="G584" s="71" t="str">
        <f t="shared" si="27"/>
        <v>Soroti</v>
      </c>
      <c r="H584" s="78" t="s">
        <v>2436</v>
      </c>
    </row>
    <row r="585" spans="1:8">
      <c r="A585" s="77">
        <v>1155</v>
      </c>
      <c r="B585" s="78" t="s">
        <v>786</v>
      </c>
      <c r="C585" s="78" t="s">
        <v>787</v>
      </c>
      <c r="D585" s="78" t="s">
        <v>795</v>
      </c>
      <c r="E585" s="78"/>
      <c r="F585" s="71" t="str">
        <f t="shared" si="31"/>
        <v>Kamuganguzi</v>
      </c>
      <c r="G585" s="71" t="str">
        <f t="shared" si="27"/>
        <v>Kabale</v>
      </c>
      <c r="H585" s="78" t="s">
        <v>795</v>
      </c>
    </row>
    <row r="586" spans="1:8">
      <c r="A586" s="77">
        <v>796</v>
      </c>
      <c r="B586" s="78" t="s">
        <v>2294</v>
      </c>
      <c r="C586" s="78" t="s">
        <v>2294</v>
      </c>
      <c r="D586" s="78" t="s">
        <v>2300</v>
      </c>
      <c r="E586" s="78"/>
      <c r="F586" s="71" t="str">
        <f t="shared" si="31"/>
        <v>Kamuge</v>
      </c>
      <c r="G586" s="71" t="str">
        <f t="shared" ref="G586:G649" si="32">B586</f>
        <v>Pallisa</v>
      </c>
      <c r="H586" s="78" t="s">
        <v>2300</v>
      </c>
    </row>
    <row r="587" spans="1:8" ht="25.5">
      <c r="A587" s="77">
        <v>1252</v>
      </c>
      <c r="B587" s="80" t="s">
        <v>230</v>
      </c>
      <c r="C587" s="81" t="s">
        <v>1921</v>
      </c>
      <c r="D587" s="80" t="s">
        <v>2824</v>
      </c>
      <c r="E587" s="80"/>
      <c r="F587" s="72" t="str">
        <f>VLOOKUP(C587,[2]Municipalities!$C$9:$F$1522,4,FALSE)</f>
        <v>Mbarara Municipality</v>
      </c>
      <c r="G587" s="71" t="str">
        <f t="shared" si="32"/>
        <v>Mbarara</v>
      </c>
      <c r="H587" s="80" t="s">
        <v>2824</v>
      </c>
    </row>
    <row r="588" spans="1:8">
      <c r="A588" s="77">
        <v>1302</v>
      </c>
      <c r="B588" s="78" t="s">
        <v>50</v>
      </c>
      <c r="C588" s="78" t="s">
        <v>598</v>
      </c>
      <c r="D588" s="78" t="s">
        <v>50</v>
      </c>
      <c r="E588" s="78"/>
      <c r="F588" s="71" t="str">
        <f t="shared" si="31"/>
        <v>Kamwenge</v>
      </c>
      <c r="G588" s="71" t="str">
        <f t="shared" si="32"/>
        <v>Kamwenge</v>
      </c>
      <c r="H588" s="78" t="s">
        <v>50</v>
      </c>
    </row>
    <row r="589" spans="1:8">
      <c r="A589" s="77">
        <v>1303</v>
      </c>
      <c r="B589" s="78" t="s">
        <v>50</v>
      </c>
      <c r="C589" s="78" t="s">
        <v>598</v>
      </c>
      <c r="D589" s="78" t="s">
        <v>1399</v>
      </c>
      <c r="E589" s="78"/>
      <c r="F589" s="71" t="str">
        <f t="shared" si="31"/>
        <v>Kamwenge Town Council</v>
      </c>
      <c r="G589" s="71" t="str">
        <f t="shared" si="32"/>
        <v>Kamwenge</v>
      </c>
      <c r="H589" s="78" t="s">
        <v>1399</v>
      </c>
    </row>
    <row r="590" spans="1:8">
      <c r="A590" s="77">
        <v>1527</v>
      </c>
      <c r="B590" s="78" t="s">
        <v>2349</v>
      </c>
      <c r="C590" s="78" t="s">
        <v>2349</v>
      </c>
      <c r="D590" s="78" t="s">
        <v>2825</v>
      </c>
      <c r="E590" s="78"/>
      <c r="F590" s="71" t="str">
        <f t="shared" si="31"/>
        <v>Kamwezi</v>
      </c>
      <c r="G590" s="71" t="str">
        <f t="shared" si="32"/>
        <v>Rukiga</v>
      </c>
      <c r="H590" s="78" t="s">
        <v>2825</v>
      </c>
    </row>
    <row r="591" spans="1:8">
      <c r="A591" s="77">
        <v>1221</v>
      </c>
      <c r="B591" s="78" t="s">
        <v>1593</v>
      </c>
      <c r="C591" s="78" t="s">
        <v>1594</v>
      </c>
      <c r="D591" s="78" t="s">
        <v>1597</v>
      </c>
      <c r="E591" s="78"/>
      <c r="F591" s="71" t="str">
        <f t="shared" si="31"/>
        <v>Kanaba</v>
      </c>
      <c r="G591" s="71" t="str">
        <f t="shared" si="32"/>
        <v>Kisoro</v>
      </c>
      <c r="H591" s="78" t="s">
        <v>1597</v>
      </c>
    </row>
    <row r="592" spans="1:8">
      <c r="A592" s="77">
        <v>1308</v>
      </c>
      <c r="B592" s="78" t="s">
        <v>50</v>
      </c>
      <c r="C592" s="78" t="s">
        <v>1394</v>
      </c>
      <c r="D592" s="82" t="s">
        <v>2826</v>
      </c>
      <c r="E592" s="78"/>
      <c r="F592" s="71" t="str">
        <f t="shared" ref="F592:F593" si="33">D592&amp;"-"&amp;B592</f>
        <v>Kanara-Kamwenge</v>
      </c>
      <c r="G592" s="71" t="str">
        <f t="shared" si="32"/>
        <v>Kamwenge</v>
      </c>
      <c r="H592" s="82" t="s">
        <v>2826</v>
      </c>
    </row>
    <row r="593" spans="1:8">
      <c r="A593" s="77">
        <v>1444</v>
      </c>
      <c r="B593" s="78" t="s">
        <v>2197</v>
      </c>
      <c r="C593" s="78" t="s">
        <v>2197</v>
      </c>
      <c r="D593" s="82" t="s">
        <v>2826</v>
      </c>
      <c r="E593" s="78"/>
      <c r="F593" s="71" t="str">
        <f t="shared" si="33"/>
        <v>Kanara-Ntoroko</v>
      </c>
      <c r="G593" s="71" t="str">
        <f t="shared" si="32"/>
        <v>Ntoroko</v>
      </c>
      <c r="H593" s="82" t="s">
        <v>2826</v>
      </c>
    </row>
    <row r="594" spans="1:8">
      <c r="A594" s="77">
        <v>1445</v>
      </c>
      <c r="B594" s="78" t="s">
        <v>2197</v>
      </c>
      <c r="C594" s="78" t="s">
        <v>2197</v>
      </c>
      <c r="D594" s="78" t="s">
        <v>2199</v>
      </c>
      <c r="E594" s="78"/>
      <c r="F594" s="71" t="str">
        <f t="shared" ref="F594" si="34">D594</f>
        <v>Kanara Town Council</v>
      </c>
      <c r="G594" s="71" t="str">
        <f t="shared" si="32"/>
        <v>Ntoroko</v>
      </c>
      <c r="H594" s="78" t="s">
        <v>2199</v>
      </c>
    </row>
    <row r="595" spans="1:8" ht="25.5">
      <c r="A595" s="77">
        <v>76</v>
      </c>
      <c r="B595" s="80" t="s">
        <v>1637</v>
      </c>
      <c r="C595" s="81" t="s">
        <v>1639</v>
      </c>
      <c r="D595" s="80" t="s">
        <v>2827</v>
      </c>
      <c r="E595" s="80"/>
      <c r="F595" s="72" t="str">
        <f>VLOOKUP(C595,[2]Municipalities!$C$9:$F$1522,4,FALSE)</f>
        <v>Kotido Municipality</v>
      </c>
      <c r="G595" s="71" t="str">
        <f t="shared" si="32"/>
        <v>Kotido</v>
      </c>
      <c r="H595" s="80" t="s">
        <v>2827</v>
      </c>
    </row>
    <row r="596" spans="1:8">
      <c r="A596" s="77">
        <v>180</v>
      </c>
      <c r="B596" s="78" t="s">
        <v>623</v>
      </c>
      <c r="C596" s="78" t="s">
        <v>623</v>
      </c>
      <c r="D596" s="78" t="s">
        <v>629</v>
      </c>
      <c r="E596" s="78"/>
      <c r="F596" s="71" t="str">
        <f t="shared" ref="F596:F606" si="35">D596</f>
        <v>Kangai</v>
      </c>
      <c r="G596" s="71" t="str">
        <f t="shared" si="32"/>
        <v>Dokolo</v>
      </c>
      <c r="H596" s="78" t="s">
        <v>629</v>
      </c>
    </row>
    <row r="597" spans="1:8" ht="25.5">
      <c r="A597" s="77">
        <v>1081</v>
      </c>
      <c r="B597" s="80" t="s">
        <v>593</v>
      </c>
      <c r="C597" s="80" t="s">
        <v>594</v>
      </c>
      <c r="D597" s="80" t="s">
        <v>597</v>
      </c>
      <c r="E597" s="80"/>
      <c r="F597" s="71" t="str">
        <f t="shared" si="35"/>
        <v>Kanginima</v>
      </c>
      <c r="G597" s="71" t="str">
        <f t="shared" si="32"/>
        <v>Butebo</v>
      </c>
      <c r="H597" s="80" t="s">
        <v>597</v>
      </c>
    </row>
    <row r="598" spans="1:8">
      <c r="A598" s="77">
        <v>298</v>
      </c>
      <c r="B598" s="78" t="s">
        <v>2726</v>
      </c>
      <c r="C598" s="78" t="s">
        <v>2727</v>
      </c>
      <c r="D598" s="78" t="s">
        <v>2730</v>
      </c>
      <c r="E598" s="78"/>
      <c r="F598" s="71" t="str">
        <f t="shared" si="35"/>
        <v>Kango</v>
      </c>
      <c r="G598" s="71" t="str">
        <f t="shared" si="32"/>
        <v>Zombo</v>
      </c>
      <c r="H598" s="78" t="s">
        <v>2730</v>
      </c>
    </row>
    <row r="599" spans="1:8">
      <c r="A599" s="77">
        <v>528</v>
      </c>
      <c r="B599" s="78" t="s">
        <v>217</v>
      </c>
      <c r="C599" s="78" t="s">
        <v>1499</v>
      </c>
      <c r="D599" s="78" t="s">
        <v>1501</v>
      </c>
      <c r="E599" s="78"/>
      <c r="F599" s="71" t="str">
        <f t="shared" si="35"/>
        <v>Kangulumira</v>
      </c>
      <c r="G599" s="71" t="str">
        <f t="shared" si="32"/>
        <v>Kayunga</v>
      </c>
      <c r="H599" s="78" t="s">
        <v>1501</v>
      </c>
    </row>
    <row r="600" spans="1:8">
      <c r="A600" s="77">
        <v>1390</v>
      </c>
      <c r="B600" s="78" t="s">
        <v>1548</v>
      </c>
      <c r="C600" s="78" t="s">
        <v>1549</v>
      </c>
      <c r="D600" s="78" t="s">
        <v>1552</v>
      </c>
      <c r="E600" s="78"/>
      <c r="F600" s="71" t="str">
        <f t="shared" si="35"/>
        <v>Kanoni</v>
      </c>
      <c r="G600" s="71" t="str">
        <f t="shared" si="32"/>
        <v>Kiruhura</v>
      </c>
      <c r="H600" s="78" t="s">
        <v>1552</v>
      </c>
    </row>
    <row r="601" spans="1:8">
      <c r="A601" s="77">
        <v>627</v>
      </c>
      <c r="B601" s="78" t="s">
        <v>634</v>
      </c>
      <c r="C601" s="78" t="s">
        <v>634</v>
      </c>
      <c r="D601" s="78" t="s">
        <v>635</v>
      </c>
      <c r="E601" s="78"/>
      <c r="F601" s="71" t="str">
        <f t="shared" si="35"/>
        <v>Kanoni Town Council</v>
      </c>
      <c r="G601" s="71" t="str">
        <f t="shared" si="32"/>
        <v>Gomba</v>
      </c>
      <c r="H601" s="78" t="s">
        <v>635</v>
      </c>
    </row>
    <row r="602" spans="1:8">
      <c r="A602" s="77">
        <v>1316</v>
      </c>
      <c r="B602" s="78" t="s">
        <v>1418</v>
      </c>
      <c r="C602" s="78" t="s">
        <v>1419</v>
      </c>
      <c r="D602" s="78" t="s">
        <v>1422</v>
      </c>
      <c r="E602" s="78"/>
      <c r="F602" s="71" t="str">
        <f t="shared" si="35"/>
        <v>Kanungu Town Council</v>
      </c>
      <c r="G602" s="71" t="str">
        <f t="shared" si="32"/>
        <v>Kanungu</v>
      </c>
      <c r="H602" s="78" t="s">
        <v>1422</v>
      </c>
    </row>
    <row r="603" spans="1:8">
      <c r="A603" s="77">
        <v>1432</v>
      </c>
      <c r="B603" s="78" t="s">
        <v>51</v>
      </c>
      <c r="C603" s="78" t="s">
        <v>1956</v>
      </c>
      <c r="D603" s="78" t="s">
        <v>1957</v>
      </c>
      <c r="E603" s="78"/>
      <c r="F603" s="71" t="str">
        <f t="shared" si="35"/>
        <v>Kanyabwanga</v>
      </c>
      <c r="G603" s="71" t="str">
        <f t="shared" si="32"/>
        <v>Mitooma</v>
      </c>
      <c r="H603" s="78" t="s">
        <v>1957</v>
      </c>
    </row>
    <row r="604" spans="1:8">
      <c r="A604" s="77">
        <v>1317</v>
      </c>
      <c r="B604" s="78" t="s">
        <v>1418</v>
      </c>
      <c r="C604" s="78" t="s">
        <v>1419</v>
      </c>
      <c r="D604" s="78" t="s">
        <v>1423</v>
      </c>
      <c r="E604" s="78"/>
      <c r="F604" s="71" t="str">
        <f t="shared" si="35"/>
        <v>Kanyantorogo</v>
      </c>
      <c r="G604" s="71" t="str">
        <f t="shared" si="32"/>
        <v>Kanungu</v>
      </c>
      <c r="H604" s="78" t="s">
        <v>1423</v>
      </c>
    </row>
    <row r="605" spans="1:8">
      <c r="A605" s="77">
        <v>1395</v>
      </c>
      <c r="B605" s="78" t="s">
        <v>1548</v>
      </c>
      <c r="C605" s="78" t="s">
        <v>1554</v>
      </c>
      <c r="D605" s="78" t="s">
        <v>1553</v>
      </c>
      <c r="E605" s="78"/>
      <c r="F605" s="71" t="str">
        <f t="shared" si="35"/>
        <v>Kanyaryeru</v>
      </c>
      <c r="G605" s="71" t="str">
        <f t="shared" si="32"/>
        <v>Kiruhura</v>
      </c>
      <c r="H605" s="78" t="s">
        <v>1553</v>
      </c>
    </row>
    <row r="606" spans="1:8">
      <c r="A606" s="77">
        <v>764</v>
      </c>
      <c r="B606" s="78" t="s">
        <v>1644</v>
      </c>
      <c r="C606" s="78" t="s">
        <v>1644</v>
      </c>
      <c r="D606" s="78" t="s">
        <v>1645</v>
      </c>
      <c r="E606" s="78"/>
      <c r="F606" s="71" t="str">
        <f t="shared" si="35"/>
        <v>Kanyum</v>
      </c>
      <c r="G606" s="71" t="str">
        <f t="shared" si="32"/>
        <v>Kumi</v>
      </c>
      <c r="H606" s="78" t="s">
        <v>1645</v>
      </c>
    </row>
    <row r="607" spans="1:8" ht="25.5">
      <c r="A607" s="77">
        <v>77</v>
      </c>
      <c r="B607" s="80" t="s">
        <v>1637</v>
      </c>
      <c r="C607" s="81" t="s">
        <v>1639</v>
      </c>
      <c r="D607" s="80" t="s">
        <v>2828</v>
      </c>
      <c r="E607" s="80"/>
      <c r="F607" s="72" t="str">
        <f>VLOOKUP(C607,[2]Municipalities!$C$9:$F$1522,4,FALSE)</f>
        <v>Kotido Municipality</v>
      </c>
      <c r="G607" s="71" t="str">
        <f t="shared" si="32"/>
        <v>Kotido</v>
      </c>
      <c r="H607" s="80" t="s">
        <v>2828</v>
      </c>
    </row>
    <row r="608" spans="1:8">
      <c r="A608" s="77">
        <v>189</v>
      </c>
      <c r="B608" s="78" t="s">
        <v>770</v>
      </c>
      <c r="C608" s="78" t="s">
        <v>771</v>
      </c>
      <c r="D608" s="78" t="s">
        <v>776</v>
      </c>
      <c r="E608" s="78"/>
      <c r="F608" s="71" t="str">
        <f t="shared" ref="F608:F621" si="36">D608</f>
        <v>Kapedo</v>
      </c>
      <c r="G608" s="71" t="str">
        <f t="shared" si="32"/>
        <v>Kaabong</v>
      </c>
      <c r="H608" s="78" t="s">
        <v>776</v>
      </c>
    </row>
    <row r="609" spans="1:8">
      <c r="A609" s="77">
        <v>580</v>
      </c>
      <c r="B609" s="78" t="s">
        <v>2101</v>
      </c>
      <c r="C609" s="78" t="s">
        <v>2101</v>
      </c>
      <c r="D609" s="78" t="s">
        <v>2102</v>
      </c>
      <c r="E609" s="78"/>
      <c r="F609" s="71" t="str">
        <f t="shared" si="36"/>
        <v>Kapeeka</v>
      </c>
      <c r="G609" s="71" t="str">
        <f t="shared" si="32"/>
        <v>Nakaseke</v>
      </c>
      <c r="H609" s="78" t="s">
        <v>2102</v>
      </c>
    </row>
    <row r="610" spans="1:8">
      <c r="A610" s="77">
        <v>424</v>
      </c>
      <c r="B610" s="78" t="s">
        <v>1525</v>
      </c>
      <c r="C610" s="78" t="s">
        <v>1525</v>
      </c>
      <c r="D610" s="78" t="s">
        <v>1530</v>
      </c>
      <c r="E610" s="78"/>
      <c r="F610" s="71" t="str">
        <f t="shared" si="36"/>
        <v>Kapeke</v>
      </c>
      <c r="G610" s="71" t="str">
        <f t="shared" si="32"/>
        <v>Kiboga</v>
      </c>
      <c r="H610" s="78" t="s">
        <v>1530</v>
      </c>
    </row>
    <row r="611" spans="1:8">
      <c r="A611" s="77">
        <v>899</v>
      </c>
      <c r="B611" s="78" t="s">
        <v>307</v>
      </c>
      <c r="C611" s="78" t="s">
        <v>309</v>
      </c>
      <c r="D611" s="78" t="s">
        <v>309</v>
      </c>
      <c r="E611" s="78"/>
      <c r="F611" s="71" t="str">
        <f t="shared" si="36"/>
        <v>Kapelebyong</v>
      </c>
      <c r="G611" s="71" t="str">
        <f t="shared" si="32"/>
        <v>Amuria</v>
      </c>
      <c r="H611" s="78" t="s">
        <v>309</v>
      </c>
    </row>
    <row r="612" spans="1:8">
      <c r="A612" s="77">
        <v>1063</v>
      </c>
      <c r="B612" s="78" t="s">
        <v>2192</v>
      </c>
      <c r="C612" s="78" t="s">
        <v>2192</v>
      </c>
      <c r="D612" s="78" t="s">
        <v>2191</v>
      </c>
      <c r="E612" s="78"/>
      <c r="F612" s="71" t="str">
        <f t="shared" si="36"/>
        <v>Kapir</v>
      </c>
      <c r="G612" s="71" t="str">
        <f t="shared" si="32"/>
        <v>Ngora</v>
      </c>
      <c r="H612" s="78" t="s">
        <v>2191</v>
      </c>
    </row>
    <row r="613" spans="1:8">
      <c r="A613" s="77">
        <v>1037</v>
      </c>
      <c r="B613" s="78" t="s">
        <v>1651</v>
      </c>
      <c r="C613" s="78" t="s">
        <v>1651</v>
      </c>
      <c r="D613" s="78" t="s">
        <v>1654</v>
      </c>
      <c r="E613" s="78"/>
      <c r="F613" s="71" t="str">
        <f t="shared" si="36"/>
        <v>Kaproron</v>
      </c>
      <c r="G613" s="71" t="str">
        <f t="shared" si="32"/>
        <v>Kween</v>
      </c>
      <c r="H613" s="78" t="s">
        <v>1654</v>
      </c>
    </row>
    <row r="614" spans="1:8">
      <c r="A614" s="77">
        <v>744</v>
      </c>
      <c r="B614" s="78" t="s">
        <v>1438</v>
      </c>
      <c r="C614" s="78" t="s">
        <v>1439</v>
      </c>
      <c r="D614" s="78" t="s">
        <v>1445</v>
      </c>
      <c r="E614" s="78"/>
      <c r="F614" s="71" t="str">
        <f t="shared" si="36"/>
        <v>Kapsinda</v>
      </c>
      <c r="G614" s="71" t="str">
        <f t="shared" si="32"/>
        <v>Kapchorwa</v>
      </c>
      <c r="H614" s="78" t="s">
        <v>1445</v>
      </c>
    </row>
    <row r="615" spans="1:8">
      <c r="A615" s="77">
        <v>745</v>
      </c>
      <c r="B615" s="78" t="s">
        <v>1438</v>
      </c>
      <c r="C615" s="78" t="s">
        <v>1439</v>
      </c>
      <c r="D615" s="78" t="s">
        <v>1446</v>
      </c>
      <c r="E615" s="78"/>
      <c r="F615" s="71" t="str">
        <f t="shared" si="36"/>
        <v>Kaptanya</v>
      </c>
      <c r="G615" s="71" t="str">
        <f t="shared" si="32"/>
        <v>Kapchorwa</v>
      </c>
      <c r="H615" s="78" t="s">
        <v>1446</v>
      </c>
    </row>
    <row r="616" spans="1:8">
      <c r="A616" s="77">
        <v>943</v>
      </c>
      <c r="B616" s="78" t="s">
        <v>458</v>
      </c>
      <c r="C616" s="78" t="s">
        <v>459</v>
      </c>
      <c r="D616" s="78" t="s">
        <v>465</v>
      </c>
      <c r="E616" s="78"/>
      <c r="F616" s="71" t="str">
        <f t="shared" si="36"/>
        <v>Kaptererwo</v>
      </c>
      <c r="G616" s="71" t="str">
        <f t="shared" si="32"/>
        <v>Bukwo</v>
      </c>
      <c r="H616" s="78" t="s">
        <v>465</v>
      </c>
    </row>
    <row r="617" spans="1:8">
      <c r="A617" s="77">
        <v>1038</v>
      </c>
      <c r="B617" s="78" t="s">
        <v>1651</v>
      </c>
      <c r="C617" s="78" t="s">
        <v>1651</v>
      </c>
      <c r="D617" s="78" t="s">
        <v>1655</v>
      </c>
      <c r="E617" s="78"/>
      <c r="F617" s="71" t="str">
        <f t="shared" si="36"/>
        <v>Kaptoyoy</v>
      </c>
      <c r="G617" s="71" t="str">
        <f t="shared" si="32"/>
        <v>Kween</v>
      </c>
      <c r="H617" s="78" t="s">
        <v>1655</v>
      </c>
    </row>
    <row r="618" spans="1:8">
      <c r="A618" s="77">
        <v>1039</v>
      </c>
      <c r="B618" s="78" t="s">
        <v>1651</v>
      </c>
      <c r="C618" s="78" t="s">
        <v>1651</v>
      </c>
      <c r="D618" s="78" t="s">
        <v>1656</v>
      </c>
      <c r="E618" s="78"/>
      <c r="F618" s="71" t="str">
        <f t="shared" si="36"/>
        <v>Kaptum</v>
      </c>
      <c r="G618" s="71" t="str">
        <f t="shared" si="32"/>
        <v>Kween</v>
      </c>
      <c r="H618" s="78" t="s">
        <v>1656</v>
      </c>
    </row>
    <row r="619" spans="1:8">
      <c r="A619" s="77">
        <v>753</v>
      </c>
      <c r="B619" s="78" t="s">
        <v>1488</v>
      </c>
      <c r="C619" s="78" t="s">
        <v>1489</v>
      </c>
      <c r="D619" s="78" t="s">
        <v>1487</v>
      </c>
      <c r="E619" s="78"/>
      <c r="F619" s="71" t="str">
        <f t="shared" si="36"/>
        <v>Kapujan</v>
      </c>
      <c r="G619" s="71" t="str">
        <f t="shared" si="32"/>
        <v>Katakwi</v>
      </c>
      <c r="H619" s="78" t="s">
        <v>1487</v>
      </c>
    </row>
    <row r="620" spans="1:8">
      <c r="A620" s="77">
        <v>677</v>
      </c>
      <c r="B620" s="78" t="s">
        <v>405</v>
      </c>
      <c r="C620" s="78" t="s">
        <v>406</v>
      </c>
      <c r="D620" s="78" t="s">
        <v>413</v>
      </c>
      <c r="E620" s="78"/>
      <c r="F620" s="71" t="str">
        <f t="shared" si="36"/>
        <v>Kapyanga</v>
      </c>
      <c r="G620" s="71" t="str">
        <f t="shared" si="32"/>
        <v>Bugiri</v>
      </c>
      <c r="H620" s="78" t="s">
        <v>413</v>
      </c>
    </row>
    <row r="621" spans="1:8">
      <c r="A621" s="77">
        <v>1165</v>
      </c>
      <c r="B621" s="78" t="s">
        <v>803</v>
      </c>
      <c r="C621" s="78" t="s">
        <v>804</v>
      </c>
      <c r="D621" s="78" t="s">
        <v>812</v>
      </c>
      <c r="E621" s="78"/>
      <c r="F621" s="71" t="str">
        <f t="shared" si="36"/>
        <v>Karago Town Council</v>
      </c>
      <c r="G621" s="71" t="str">
        <f t="shared" si="32"/>
        <v>Kabarole</v>
      </c>
      <c r="H621" s="78" t="s">
        <v>812</v>
      </c>
    </row>
    <row r="622" spans="1:8">
      <c r="A622" s="77">
        <v>1166</v>
      </c>
      <c r="B622" s="78" t="s">
        <v>803</v>
      </c>
      <c r="C622" s="78" t="s">
        <v>804</v>
      </c>
      <c r="D622" s="82" t="s">
        <v>2829</v>
      </c>
      <c r="E622" s="78"/>
      <c r="F622" s="71" t="str">
        <f t="shared" ref="F622:F623" si="37">D622&amp;"-"&amp;B622</f>
        <v>Karambi-Kabarole</v>
      </c>
      <c r="G622" s="71" t="str">
        <f t="shared" si="32"/>
        <v>Kabarole</v>
      </c>
      <c r="H622" s="82" t="s">
        <v>2829</v>
      </c>
    </row>
    <row r="623" spans="1:8">
      <c r="A623" s="77">
        <v>1181</v>
      </c>
      <c r="B623" s="78" t="s">
        <v>37</v>
      </c>
      <c r="C623" s="78" t="s">
        <v>502</v>
      </c>
      <c r="D623" s="82" t="s">
        <v>2829</v>
      </c>
      <c r="E623" s="78"/>
      <c r="F623" s="71" t="str">
        <f t="shared" si="37"/>
        <v>Karambi-Kasese</v>
      </c>
      <c r="G623" s="71" t="str">
        <f t="shared" si="32"/>
        <v>Kasese</v>
      </c>
      <c r="H623" s="82" t="s">
        <v>2829</v>
      </c>
    </row>
    <row r="624" spans="1:8">
      <c r="A624" s="77">
        <v>1167</v>
      </c>
      <c r="B624" s="78" t="s">
        <v>803</v>
      </c>
      <c r="C624" s="78" t="s">
        <v>804</v>
      </c>
      <c r="D624" s="78" t="s">
        <v>814</v>
      </c>
      <c r="E624" s="78"/>
      <c r="F624" s="71" t="str">
        <f t="shared" ref="F624:F632" si="38">D624</f>
        <v>Karangura</v>
      </c>
      <c r="G624" s="71" t="str">
        <f t="shared" si="32"/>
        <v>Kabarole</v>
      </c>
      <c r="H624" s="78" t="s">
        <v>814</v>
      </c>
    </row>
    <row r="625" spans="1:8">
      <c r="A625" s="77">
        <v>254</v>
      </c>
      <c r="B625" s="78" t="s">
        <v>301</v>
      </c>
      <c r="C625" s="78" t="s">
        <v>302</v>
      </c>
      <c r="D625" s="78" t="s">
        <v>304</v>
      </c>
      <c r="E625" s="78"/>
      <c r="F625" s="71" t="str">
        <f t="shared" si="38"/>
        <v>Karita</v>
      </c>
      <c r="G625" s="71" t="str">
        <f t="shared" si="32"/>
        <v>Amudat</v>
      </c>
      <c r="H625" s="78" t="s">
        <v>304</v>
      </c>
    </row>
    <row r="626" spans="1:8">
      <c r="A626" s="77">
        <v>1446</v>
      </c>
      <c r="B626" s="78" t="s">
        <v>2197</v>
      </c>
      <c r="C626" s="78" t="s">
        <v>2197</v>
      </c>
      <c r="D626" s="78" t="s">
        <v>2201</v>
      </c>
      <c r="E626" s="78"/>
      <c r="F626" s="71" t="str">
        <f t="shared" si="38"/>
        <v>Karugutu</v>
      </c>
      <c r="G626" s="71" t="str">
        <f t="shared" si="32"/>
        <v>Ntoroko</v>
      </c>
      <c r="H626" s="78" t="s">
        <v>2201</v>
      </c>
    </row>
    <row r="627" spans="1:8">
      <c r="A627" s="77">
        <v>1447</v>
      </c>
      <c r="B627" s="78" t="s">
        <v>2197</v>
      </c>
      <c r="C627" s="78" t="s">
        <v>2197</v>
      </c>
      <c r="D627" s="78" t="s">
        <v>2202</v>
      </c>
      <c r="E627" s="78"/>
      <c r="F627" s="71" t="str">
        <f t="shared" si="38"/>
        <v>Karugutu Town Council</v>
      </c>
      <c r="G627" s="71" t="str">
        <f t="shared" si="32"/>
        <v>Ntoroko</v>
      </c>
      <c r="H627" s="78" t="s">
        <v>2202</v>
      </c>
    </row>
    <row r="628" spans="1:8" ht="25.5">
      <c r="A628" s="77">
        <v>1241</v>
      </c>
      <c r="B628" s="80" t="s">
        <v>1859</v>
      </c>
      <c r="C628" s="81" t="s">
        <v>1865</v>
      </c>
      <c r="D628" s="80" t="s">
        <v>2830</v>
      </c>
      <c r="E628" s="78"/>
      <c r="F628" s="72" t="str">
        <f>VLOOKUP(C628,[2]Municipalities!$C$9:$F$1522,4,FALSE)</f>
        <v>Masindi Municipality</v>
      </c>
      <c r="G628" s="71" t="str">
        <f t="shared" si="32"/>
        <v>Masindi</v>
      </c>
      <c r="H628" s="80" t="s">
        <v>2830</v>
      </c>
    </row>
    <row r="629" spans="1:8">
      <c r="A629" s="77">
        <v>1409</v>
      </c>
      <c r="B629" s="78" t="s">
        <v>418</v>
      </c>
      <c r="C629" s="78" t="s">
        <v>418</v>
      </c>
      <c r="D629" s="78" t="s">
        <v>423</v>
      </c>
      <c r="E629" s="78"/>
      <c r="F629" s="71" t="str">
        <f t="shared" si="38"/>
        <v>Karungu</v>
      </c>
      <c r="G629" s="71" t="str">
        <f t="shared" si="32"/>
        <v>Buhweju</v>
      </c>
      <c r="H629" s="78" t="s">
        <v>423</v>
      </c>
    </row>
    <row r="630" spans="1:8">
      <c r="A630" s="77">
        <v>1196</v>
      </c>
      <c r="B630" s="78" t="s">
        <v>37</v>
      </c>
      <c r="C630" s="78" t="s">
        <v>1452</v>
      </c>
      <c r="D630" s="78" t="s">
        <v>1461</v>
      </c>
      <c r="E630" s="78"/>
      <c r="F630" s="71" t="str">
        <f t="shared" si="38"/>
        <v>Karusandara</v>
      </c>
      <c r="G630" s="71" t="str">
        <f t="shared" si="32"/>
        <v>Kasese</v>
      </c>
      <c r="H630" s="78" t="s">
        <v>1461</v>
      </c>
    </row>
    <row r="631" spans="1:8">
      <c r="A631" s="77">
        <v>1464</v>
      </c>
      <c r="B631" s="78" t="s">
        <v>42</v>
      </c>
      <c r="C631" s="78" t="s">
        <v>42</v>
      </c>
      <c r="D631" s="78" t="s">
        <v>2397</v>
      </c>
      <c r="E631" s="78"/>
      <c r="F631" s="71" t="str">
        <f t="shared" si="38"/>
        <v>Kasaana</v>
      </c>
      <c r="G631" s="71" t="str">
        <f t="shared" si="32"/>
        <v>Sheema</v>
      </c>
      <c r="H631" s="78" t="s">
        <v>2397</v>
      </c>
    </row>
    <row r="632" spans="1:8">
      <c r="A632" s="77">
        <v>560</v>
      </c>
      <c r="B632" s="78" t="s">
        <v>1806</v>
      </c>
      <c r="C632" s="78" t="s">
        <v>1807</v>
      </c>
      <c r="D632" s="78" t="s">
        <v>1808</v>
      </c>
      <c r="E632" s="78"/>
      <c r="F632" s="71" t="str">
        <f t="shared" si="38"/>
        <v>Kasagama</v>
      </c>
      <c r="G632" s="71" t="str">
        <f t="shared" si="32"/>
        <v>Lyantonde</v>
      </c>
      <c r="H632" s="78" t="s">
        <v>1808</v>
      </c>
    </row>
    <row r="633" spans="1:8">
      <c r="A633" s="77">
        <v>463</v>
      </c>
      <c r="B633" s="78" t="s">
        <v>2026</v>
      </c>
      <c r="C633" s="78" t="s">
        <v>2027</v>
      </c>
      <c r="D633" s="82" t="s">
        <v>2027</v>
      </c>
      <c r="E633" s="78"/>
      <c r="F633" s="71" t="str">
        <f t="shared" ref="F633:F634" si="39">D633&amp;"-"&amp;B633</f>
        <v>Kasambya-Mubende</v>
      </c>
      <c r="G633" s="71" t="str">
        <f t="shared" si="32"/>
        <v>Mubende</v>
      </c>
      <c r="H633" s="82" t="s">
        <v>2027</v>
      </c>
    </row>
    <row r="634" spans="1:8">
      <c r="A634" s="77">
        <v>1499</v>
      </c>
      <c r="B634" s="78" t="s">
        <v>856</v>
      </c>
      <c r="C634" s="78" t="s">
        <v>857</v>
      </c>
      <c r="D634" s="82" t="s">
        <v>2027</v>
      </c>
      <c r="E634" s="78"/>
      <c r="F634" s="71" t="str">
        <f t="shared" si="39"/>
        <v>Kasambya-Kakumiro</v>
      </c>
      <c r="G634" s="71" t="str">
        <f t="shared" si="32"/>
        <v>Kakumiro</v>
      </c>
      <c r="H634" s="82" t="s">
        <v>2027</v>
      </c>
    </row>
    <row r="635" spans="1:8">
      <c r="A635" s="77">
        <v>551</v>
      </c>
      <c r="B635" s="78" t="s">
        <v>2477</v>
      </c>
      <c r="C635" s="78" t="s">
        <v>1185</v>
      </c>
      <c r="D635" s="78" t="s">
        <v>2535</v>
      </c>
      <c r="E635" s="78"/>
      <c r="F635" s="71" t="str">
        <f t="shared" ref="F635:F647" si="40">D635</f>
        <v>Kasangati Town Council</v>
      </c>
      <c r="G635" s="71" t="str">
        <f t="shared" si="32"/>
        <v>Wakiso</v>
      </c>
      <c r="H635" s="78" t="s">
        <v>2535</v>
      </c>
    </row>
    <row r="636" spans="1:8">
      <c r="A636" s="77">
        <v>581</v>
      </c>
      <c r="B636" s="78" t="s">
        <v>2101</v>
      </c>
      <c r="C636" s="78" t="s">
        <v>2101</v>
      </c>
      <c r="D636" s="78" t="s">
        <v>2103</v>
      </c>
      <c r="E636" s="78"/>
      <c r="F636" s="71" t="str">
        <f t="shared" si="40"/>
        <v>Kasangombe</v>
      </c>
      <c r="G636" s="71" t="str">
        <f t="shared" si="32"/>
        <v>Nakaseke</v>
      </c>
      <c r="H636" s="78" t="s">
        <v>2103</v>
      </c>
    </row>
    <row r="637" spans="1:8">
      <c r="A637" s="77">
        <v>535</v>
      </c>
      <c r="B637" s="78" t="s">
        <v>2477</v>
      </c>
      <c r="C637" s="78" t="s">
        <v>2481</v>
      </c>
      <c r="D637" s="78" t="s">
        <v>2552</v>
      </c>
      <c r="E637" s="78"/>
      <c r="F637" s="71" t="str">
        <f t="shared" si="40"/>
        <v>Kasanje</v>
      </c>
      <c r="G637" s="71" t="str">
        <f t="shared" si="32"/>
        <v>Wakiso</v>
      </c>
      <c r="H637" s="78" t="s">
        <v>2552</v>
      </c>
    </row>
    <row r="638" spans="1:8">
      <c r="A638" s="77">
        <v>659</v>
      </c>
      <c r="B638" s="78" t="s">
        <v>1729</v>
      </c>
      <c r="C638" s="78" t="s">
        <v>1733</v>
      </c>
      <c r="D638" s="78" t="s">
        <v>1732</v>
      </c>
      <c r="E638" s="78"/>
      <c r="F638" s="71" t="str">
        <f t="shared" si="40"/>
        <v>Kasasa</v>
      </c>
      <c r="G638" s="71" t="str">
        <f t="shared" si="32"/>
        <v>Kyotera</v>
      </c>
      <c r="H638" s="78" t="s">
        <v>1732</v>
      </c>
    </row>
    <row r="639" spans="1:8">
      <c r="A639" s="77">
        <v>1029</v>
      </c>
      <c r="B639" s="78" t="s">
        <v>1538</v>
      </c>
      <c r="C639" s="78" t="s">
        <v>1538</v>
      </c>
      <c r="D639" s="78" t="s">
        <v>1543</v>
      </c>
      <c r="E639" s="78"/>
      <c r="F639" s="71" t="str">
        <f t="shared" si="40"/>
        <v>Kasasira</v>
      </c>
      <c r="G639" s="71" t="str">
        <f t="shared" si="32"/>
        <v>Kibuku</v>
      </c>
      <c r="H639" s="78" t="s">
        <v>1543</v>
      </c>
    </row>
    <row r="640" spans="1:8">
      <c r="A640" s="77">
        <v>487</v>
      </c>
      <c r="B640" s="78" t="s">
        <v>2053</v>
      </c>
      <c r="C640" s="78" t="s">
        <v>2054</v>
      </c>
      <c r="D640" s="78" t="s">
        <v>2052</v>
      </c>
      <c r="E640" s="78"/>
      <c r="F640" s="71" t="str">
        <f t="shared" si="40"/>
        <v>Kasawo</v>
      </c>
      <c r="G640" s="71" t="str">
        <f t="shared" si="32"/>
        <v>Mukono</v>
      </c>
      <c r="H640" s="78" t="s">
        <v>2052</v>
      </c>
    </row>
    <row r="641" spans="1:8">
      <c r="A641" s="77">
        <v>1168</v>
      </c>
      <c r="B641" s="78" t="s">
        <v>803</v>
      </c>
      <c r="C641" s="78" t="s">
        <v>804</v>
      </c>
      <c r="D641" s="78" t="s">
        <v>815</v>
      </c>
      <c r="E641" s="78"/>
      <c r="F641" s="71" t="str">
        <f t="shared" si="40"/>
        <v>Kasenda</v>
      </c>
      <c r="G641" s="71" t="str">
        <f t="shared" si="32"/>
        <v>Kabarole</v>
      </c>
      <c r="H641" s="78" t="s">
        <v>815</v>
      </c>
    </row>
    <row r="642" spans="1:8">
      <c r="A642" s="77">
        <v>746</v>
      </c>
      <c r="B642" s="78" t="s">
        <v>1438</v>
      </c>
      <c r="C642" s="78" t="s">
        <v>1439</v>
      </c>
      <c r="D642" s="78" t="s">
        <v>1447</v>
      </c>
      <c r="E642" s="78"/>
      <c r="F642" s="71" t="str">
        <f t="shared" si="40"/>
        <v>Kaserem</v>
      </c>
      <c r="G642" s="71" t="str">
        <f t="shared" si="32"/>
        <v>Kapchorwa</v>
      </c>
      <c r="H642" s="78" t="s">
        <v>1447</v>
      </c>
    </row>
    <row r="643" spans="1:8">
      <c r="A643" s="77">
        <v>1528</v>
      </c>
      <c r="B643" s="78" t="s">
        <v>2831</v>
      </c>
      <c r="C643" s="78" t="s">
        <v>2349</v>
      </c>
      <c r="D643" s="78" t="s">
        <v>2832</v>
      </c>
      <c r="E643" s="78"/>
      <c r="F643" s="71" t="str">
        <f t="shared" si="40"/>
        <v>Kashambya</v>
      </c>
      <c r="G643" s="71" t="str">
        <f t="shared" si="32"/>
        <v>Rukiga</v>
      </c>
      <c r="H643" s="78" t="s">
        <v>2832</v>
      </c>
    </row>
    <row r="644" spans="1:8">
      <c r="A644" s="77">
        <v>1247</v>
      </c>
      <c r="B644" s="78" t="s">
        <v>230</v>
      </c>
      <c r="C644" s="78" t="s">
        <v>1911</v>
      </c>
      <c r="D644" s="78" t="s">
        <v>1920</v>
      </c>
      <c r="E644" s="78"/>
      <c r="F644" s="71" t="str">
        <f t="shared" si="40"/>
        <v>Kashare</v>
      </c>
      <c r="G644" s="71" t="str">
        <f t="shared" si="32"/>
        <v>Mbarara</v>
      </c>
      <c r="H644" s="78" t="s">
        <v>1920</v>
      </c>
    </row>
    <row r="645" spans="1:8">
      <c r="A645" s="77">
        <v>1433</v>
      </c>
      <c r="B645" s="78" t="s">
        <v>51</v>
      </c>
      <c r="C645" s="78" t="s">
        <v>1956</v>
      </c>
      <c r="D645" s="78" t="s">
        <v>1958</v>
      </c>
      <c r="E645" s="78"/>
      <c r="F645" s="71" t="str">
        <f t="shared" si="40"/>
        <v>Kashenshero</v>
      </c>
      <c r="G645" s="71" t="str">
        <f t="shared" si="32"/>
        <v>Mitooma</v>
      </c>
      <c r="H645" s="78" t="s">
        <v>1958</v>
      </c>
    </row>
    <row r="646" spans="1:8">
      <c r="A646" s="77">
        <v>1434</v>
      </c>
      <c r="B646" s="78" t="s">
        <v>51</v>
      </c>
      <c r="C646" s="78" t="s">
        <v>1956</v>
      </c>
      <c r="D646" s="78" t="s">
        <v>1959</v>
      </c>
      <c r="E646" s="78"/>
      <c r="F646" s="71" t="str">
        <f t="shared" si="40"/>
        <v>Kashenshero Town Council</v>
      </c>
      <c r="G646" s="71" t="str">
        <f t="shared" si="32"/>
        <v>Mitooma</v>
      </c>
      <c r="H646" s="78" t="s">
        <v>1959</v>
      </c>
    </row>
    <row r="647" spans="1:8">
      <c r="A647" s="77">
        <v>1396</v>
      </c>
      <c r="B647" s="78" t="s">
        <v>1548</v>
      </c>
      <c r="C647" s="78" t="s">
        <v>1554</v>
      </c>
      <c r="D647" s="78" t="s">
        <v>1555</v>
      </c>
      <c r="E647" s="78"/>
      <c r="F647" s="71" t="str">
        <f t="shared" si="40"/>
        <v>Kashongi</v>
      </c>
      <c r="G647" s="71" t="str">
        <f t="shared" si="32"/>
        <v>Kiruhura</v>
      </c>
      <c r="H647" s="78" t="s">
        <v>1555</v>
      </c>
    </row>
    <row r="648" spans="1:8" ht="25.5">
      <c r="A648" s="77">
        <v>1475</v>
      </c>
      <c r="B648" s="78" t="s">
        <v>42</v>
      </c>
      <c r="C648" s="79" t="s">
        <v>2390</v>
      </c>
      <c r="D648" s="78" t="s">
        <v>2833</v>
      </c>
      <c r="E648" s="78"/>
      <c r="F648" s="72" t="str">
        <f>VLOOKUP(C648,[2]Municipalities!$C$9:$F$1522,4,FALSE)</f>
        <v>Sheema Municipality</v>
      </c>
      <c r="G648" s="71" t="str">
        <f t="shared" si="32"/>
        <v>Sheema</v>
      </c>
      <c r="H648" s="78" t="s">
        <v>2833</v>
      </c>
    </row>
    <row r="649" spans="1:8">
      <c r="A649" s="77">
        <v>1070</v>
      </c>
      <c r="B649" s="78" t="s">
        <v>2377</v>
      </c>
      <c r="C649" s="78" t="s">
        <v>2379</v>
      </c>
      <c r="D649" s="78" t="s">
        <v>2381</v>
      </c>
      <c r="E649" s="78"/>
      <c r="F649" s="71" t="str">
        <f t="shared" ref="F649:F676" si="41">D649</f>
        <v>Kasilo Town Council</v>
      </c>
      <c r="G649" s="71" t="str">
        <f t="shared" si="32"/>
        <v>Serere</v>
      </c>
      <c r="H649" s="78" t="s">
        <v>2381</v>
      </c>
    </row>
    <row r="650" spans="1:8">
      <c r="A650" s="77">
        <v>1217</v>
      </c>
      <c r="B650" s="78" t="s">
        <v>1513</v>
      </c>
      <c r="C650" s="78" t="s">
        <v>1514</v>
      </c>
      <c r="D650" s="78" t="s">
        <v>1518</v>
      </c>
      <c r="E650" s="78"/>
      <c r="F650" s="71" t="str">
        <f t="shared" si="41"/>
        <v>Kasimbi</v>
      </c>
      <c r="G650" s="71" t="str">
        <f t="shared" ref="G650:G713" si="42">B650</f>
        <v>Kibaale</v>
      </c>
      <c r="H650" s="78" t="s">
        <v>1518</v>
      </c>
    </row>
    <row r="651" spans="1:8">
      <c r="A651" s="77">
        <v>1108</v>
      </c>
      <c r="B651" s="78" t="s">
        <v>499</v>
      </c>
      <c r="C651" s="78" t="s">
        <v>503</v>
      </c>
      <c r="D651" s="78" t="s">
        <v>511</v>
      </c>
      <c r="E651" s="78"/>
      <c r="F651" s="71" t="str">
        <f t="shared" si="41"/>
        <v>Kasitu</v>
      </c>
      <c r="G651" s="71" t="str">
        <f t="shared" si="42"/>
        <v>Bundibugyo</v>
      </c>
      <c r="H651" s="78" t="s">
        <v>511</v>
      </c>
    </row>
    <row r="652" spans="1:8">
      <c r="A652" s="77">
        <v>797</v>
      </c>
      <c r="B652" s="78" t="s">
        <v>2294</v>
      </c>
      <c r="C652" s="78" t="s">
        <v>2294</v>
      </c>
      <c r="D652" s="78" t="s">
        <v>2301</v>
      </c>
      <c r="E652" s="78"/>
      <c r="F652" s="71" t="str">
        <f t="shared" si="41"/>
        <v>Kasodo</v>
      </c>
      <c r="G652" s="71" t="str">
        <f t="shared" si="42"/>
        <v>Pallisa</v>
      </c>
      <c r="H652" s="78" t="s">
        <v>2301</v>
      </c>
    </row>
    <row r="653" spans="1:8">
      <c r="A653" s="77">
        <v>967</v>
      </c>
      <c r="B653" s="78" t="s">
        <v>878</v>
      </c>
      <c r="C653" s="78" t="s">
        <v>687</v>
      </c>
      <c r="D653" s="78" t="s">
        <v>885</v>
      </c>
      <c r="E653" s="78"/>
      <c r="F653" s="71" t="str">
        <f t="shared" si="41"/>
        <v>Kasokwe</v>
      </c>
      <c r="G653" s="71" t="str">
        <f t="shared" si="42"/>
        <v>Kaliro</v>
      </c>
      <c r="H653" s="78" t="s">
        <v>885</v>
      </c>
    </row>
    <row r="654" spans="1:8">
      <c r="A654" s="77">
        <v>469</v>
      </c>
      <c r="B654" s="78" t="s">
        <v>2026</v>
      </c>
      <c r="C654" s="78" t="s">
        <v>2029</v>
      </c>
      <c r="D654" s="78" t="s">
        <v>2029</v>
      </c>
      <c r="E654" s="78"/>
      <c r="F654" s="71" t="str">
        <f t="shared" si="41"/>
        <v>Kassanda</v>
      </c>
      <c r="G654" s="71" t="str">
        <f t="shared" si="42"/>
        <v>Mubende</v>
      </c>
      <c r="H654" s="78" t="s">
        <v>2029</v>
      </c>
    </row>
    <row r="655" spans="1:8">
      <c r="A655" s="77">
        <v>1424</v>
      </c>
      <c r="B655" s="78" t="s">
        <v>1697</v>
      </c>
      <c r="C655" s="78" t="s">
        <v>1698</v>
      </c>
      <c r="D655" s="78" t="s">
        <v>1701</v>
      </c>
      <c r="E655" s="78"/>
      <c r="F655" s="71" t="str">
        <f t="shared" si="41"/>
        <v>Kasule</v>
      </c>
      <c r="G655" s="71" t="str">
        <f t="shared" si="42"/>
        <v>Kyegegwa</v>
      </c>
      <c r="H655" s="78" t="s">
        <v>1701</v>
      </c>
    </row>
    <row r="656" spans="1:8">
      <c r="A656" s="77">
        <v>536</v>
      </c>
      <c r="B656" s="78" t="s">
        <v>2477</v>
      </c>
      <c r="C656" s="78" t="s">
        <v>2481</v>
      </c>
      <c r="D656" s="78" t="s">
        <v>2554</v>
      </c>
      <c r="E656" s="78"/>
      <c r="F656" s="71" t="str">
        <f t="shared" si="41"/>
        <v>Katabi Town Council</v>
      </c>
      <c r="G656" s="71" t="str">
        <f t="shared" si="42"/>
        <v>Wakiso</v>
      </c>
      <c r="H656" s="78" t="s">
        <v>2554</v>
      </c>
    </row>
    <row r="657" spans="1:8">
      <c r="A657" s="77">
        <v>757</v>
      </c>
      <c r="B657" s="78" t="s">
        <v>1488</v>
      </c>
      <c r="C657" s="78" t="s">
        <v>1490</v>
      </c>
      <c r="D657" s="78" t="s">
        <v>1488</v>
      </c>
      <c r="E657" s="78"/>
      <c r="F657" s="71" t="str">
        <f t="shared" si="41"/>
        <v>Katakwi</v>
      </c>
      <c r="G657" s="71" t="str">
        <f t="shared" si="42"/>
        <v>Katakwi</v>
      </c>
      <c r="H657" s="78" t="s">
        <v>1488</v>
      </c>
    </row>
    <row r="658" spans="1:8">
      <c r="A658" s="77">
        <v>758</v>
      </c>
      <c r="B658" s="78" t="s">
        <v>1488</v>
      </c>
      <c r="C658" s="78" t="s">
        <v>1490</v>
      </c>
      <c r="D658" s="78" t="s">
        <v>1491</v>
      </c>
      <c r="E658" s="78"/>
      <c r="F658" s="71" t="str">
        <f t="shared" si="41"/>
        <v>Katakwi Town Council</v>
      </c>
      <c r="G658" s="71" t="str">
        <f t="shared" si="42"/>
        <v>Katakwi</v>
      </c>
      <c r="H658" s="78" t="s">
        <v>1491</v>
      </c>
    </row>
    <row r="659" spans="1:8">
      <c r="A659" s="77">
        <v>1458</v>
      </c>
      <c r="B659" s="78" t="s">
        <v>2332</v>
      </c>
      <c r="C659" s="78" t="s">
        <v>2333</v>
      </c>
      <c r="D659" s="78" t="s">
        <v>2331</v>
      </c>
      <c r="E659" s="78"/>
      <c r="F659" s="71" t="str">
        <f t="shared" si="41"/>
        <v>Katanda</v>
      </c>
      <c r="G659" s="71" t="str">
        <f t="shared" si="42"/>
        <v>Rubirizi</v>
      </c>
      <c r="H659" s="78" t="s">
        <v>2331</v>
      </c>
    </row>
    <row r="660" spans="1:8">
      <c r="A660" s="77">
        <v>1517</v>
      </c>
      <c r="B660" s="78" t="s">
        <v>523</v>
      </c>
      <c r="C660" s="78" t="s">
        <v>523</v>
      </c>
      <c r="D660" s="78" t="s">
        <v>526</v>
      </c>
      <c r="E660" s="78"/>
      <c r="F660" s="71" t="str">
        <f t="shared" si="41"/>
        <v>Katebwa</v>
      </c>
      <c r="G660" s="71" t="str">
        <f t="shared" si="42"/>
        <v>Bunyangabu</v>
      </c>
      <c r="H660" s="78" t="s">
        <v>526</v>
      </c>
    </row>
    <row r="661" spans="1:8">
      <c r="A661" s="77">
        <v>1435</v>
      </c>
      <c r="B661" s="78" t="s">
        <v>51</v>
      </c>
      <c r="C661" s="78" t="s">
        <v>1956</v>
      </c>
      <c r="D661" s="78" t="s">
        <v>1960</v>
      </c>
      <c r="E661" s="78"/>
      <c r="F661" s="71" t="str">
        <f t="shared" si="41"/>
        <v>Katenga</v>
      </c>
      <c r="G661" s="71" t="str">
        <f t="shared" si="42"/>
        <v>Mitooma</v>
      </c>
      <c r="H661" s="78" t="s">
        <v>1960</v>
      </c>
    </row>
    <row r="662" spans="1:8">
      <c r="A662" s="77">
        <v>1459</v>
      </c>
      <c r="B662" s="78" t="s">
        <v>2332</v>
      </c>
      <c r="C662" s="78" t="s">
        <v>2333</v>
      </c>
      <c r="D662" s="78" t="s">
        <v>2333</v>
      </c>
      <c r="E662" s="78"/>
      <c r="F662" s="71" t="str">
        <f t="shared" si="41"/>
        <v>Katerera</v>
      </c>
      <c r="G662" s="71" t="str">
        <f t="shared" si="42"/>
        <v>Rubirizi</v>
      </c>
      <c r="H662" s="78" t="s">
        <v>2333</v>
      </c>
    </row>
    <row r="663" spans="1:8">
      <c r="A663" s="77">
        <v>1460</v>
      </c>
      <c r="B663" s="78" t="s">
        <v>2332</v>
      </c>
      <c r="C663" s="78" t="s">
        <v>2333</v>
      </c>
      <c r="D663" s="78" t="s">
        <v>2334</v>
      </c>
      <c r="E663" s="78"/>
      <c r="F663" s="71" t="str">
        <f t="shared" si="41"/>
        <v>Katerera Town Council</v>
      </c>
      <c r="G663" s="71" t="str">
        <f t="shared" si="42"/>
        <v>Rubirizi</v>
      </c>
      <c r="H663" s="78" t="s">
        <v>2334</v>
      </c>
    </row>
    <row r="664" spans="1:8">
      <c r="A664" s="77">
        <v>1074</v>
      </c>
      <c r="B664" s="78" t="s">
        <v>2377</v>
      </c>
      <c r="C664" s="78" t="s">
        <v>2377</v>
      </c>
      <c r="D664" s="78" t="s">
        <v>2382</v>
      </c>
      <c r="E664" s="78"/>
      <c r="F664" s="71" t="str">
        <f t="shared" si="41"/>
        <v>Kateta</v>
      </c>
      <c r="G664" s="71" t="str">
        <f t="shared" si="42"/>
        <v>Serere</v>
      </c>
      <c r="H664" s="78" t="s">
        <v>2382</v>
      </c>
    </row>
    <row r="665" spans="1:8">
      <c r="A665" s="77">
        <v>1318</v>
      </c>
      <c r="B665" s="78" t="s">
        <v>1418</v>
      </c>
      <c r="C665" s="78" t="s">
        <v>1419</v>
      </c>
      <c r="D665" s="78" t="s">
        <v>1424</v>
      </c>
      <c r="E665" s="78"/>
      <c r="F665" s="71" t="str">
        <f t="shared" si="41"/>
        <v>Katete</v>
      </c>
      <c r="G665" s="71" t="str">
        <f t="shared" si="42"/>
        <v>Kanungu</v>
      </c>
      <c r="H665" s="78" t="s">
        <v>1424</v>
      </c>
    </row>
    <row r="666" spans="1:8">
      <c r="A666" s="77">
        <v>190</v>
      </c>
      <c r="B666" s="78" t="s">
        <v>770</v>
      </c>
      <c r="C666" s="78" t="s">
        <v>771</v>
      </c>
      <c r="D666" s="78" t="s">
        <v>777</v>
      </c>
      <c r="E666" s="78"/>
      <c r="F666" s="71" t="str">
        <f t="shared" si="41"/>
        <v>Kathile</v>
      </c>
      <c r="G666" s="71" t="str">
        <f t="shared" si="42"/>
        <v>Kaabong</v>
      </c>
      <c r="H666" s="78" t="s">
        <v>777</v>
      </c>
    </row>
    <row r="667" spans="1:8">
      <c r="A667" s="77">
        <v>913</v>
      </c>
      <c r="B667" s="78" t="s">
        <v>374</v>
      </c>
      <c r="C667" s="78" t="s">
        <v>376</v>
      </c>
      <c r="D667" s="78" t="s">
        <v>382</v>
      </c>
      <c r="E667" s="78"/>
      <c r="F667" s="71" t="str">
        <f t="shared" si="41"/>
        <v>Katiira</v>
      </c>
      <c r="G667" s="71" t="str">
        <f t="shared" si="42"/>
        <v>Budaka</v>
      </c>
      <c r="H667" s="78" t="s">
        <v>382</v>
      </c>
    </row>
    <row r="668" spans="1:8">
      <c r="A668" s="77">
        <v>436</v>
      </c>
      <c r="B668" s="78" t="s">
        <v>1768</v>
      </c>
      <c r="C668" s="78" t="s">
        <v>1770</v>
      </c>
      <c r="D668" s="78" t="s">
        <v>1770</v>
      </c>
      <c r="E668" s="78"/>
      <c r="F668" s="71" t="str">
        <f t="shared" si="41"/>
        <v>Katikamu</v>
      </c>
      <c r="G668" s="71" t="str">
        <f t="shared" si="42"/>
        <v>Luwero</v>
      </c>
      <c r="H668" s="78" t="s">
        <v>1770</v>
      </c>
    </row>
    <row r="669" spans="1:8">
      <c r="A669" s="77">
        <v>92</v>
      </c>
      <c r="B669" s="78" t="s">
        <v>279</v>
      </c>
      <c r="C669" s="78" t="s">
        <v>1994</v>
      </c>
      <c r="D669" s="78" t="s">
        <v>1993</v>
      </c>
      <c r="E669" s="78"/>
      <c r="F669" s="71" t="str">
        <f t="shared" si="41"/>
        <v>Katikekile</v>
      </c>
      <c r="G669" s="71" t="str">
        <f t="shared" si="42"/>
        <v>Moroto</v>
      </c>
      <c r="H669" s="78" t="s">
        <v>1993</v>
      </c>
    </row>
    <row r="670" spans="1:8">
      <c r="A670" s="77">
        <v>811</v>
      </c>
      <c r="B670" s="78" t="s">
        <v>2433</v>
      </c>
      <c r="C670" s="78" t="s">
        <v>2433</v>
      </c>
      <c r="D670" s="78" t="s">
        <v>2437</v>
      </c>
      <c r="E670" s="78"/>
      <c r="F670" s="71" t="str">
        <f t="shared" si="41"/>
        <v>Katine</v>
      </c>
      <c r="G670" s="71" t="str">
        <f t="shared" si="42"/>
        <v>Soroti</v>
      </c>
      <c r="H670" s="78" t="s">
        <v>2437</v>
      </c>
    </row>
    <row r="671" spans="1:8">
      <c r="A671" s="77">
        <v>1335</v>
      </c>
      <c r="B671" s="78" t="s">
        <v>1709</v>
      </c>
      <c r="C671" s="78" t="s">
        <v>1710</v>
      </c>
      <c r="D671" s="78" t="s">
        <v>1716</v>
      </c>
      <c r="E671" s="78"/>
      <c r="F671" s="71" t="str">
        <f t="shared" si="41"/>
        <v>Katooke</v>
      </c>
      <c r="G671" s="71" t="str">
        <f t="shared" si="42"/>
        <v>Kyenjojo</v>
      </c>
      <c r="H671" s="78" t="s">
        <v>1716</v>
      </c>
    </row>
    <row r="672" spans="1:8">
      <c r="A672" s="77">
        <v>1336</v>
      </c>
      <c r="B672" s="78" t="s">
        <v>1709</v>
      </c>
      <c r="C672" s="78" t="s">
        <v>1710</v>
      </c>
      <c r="D672" s="78" t="s">
        <v>1717</v>
      </c>
      <c r="E672" s="78"/>
      <c r="F672" s="71" t="str">
        <f t="shared" si="41"/>
        <v>Katooke Town Council</v>
      </c>
      <c r="G672" s="71" t="str">
        <f t="shared" si="42"/>
        <v>Kyenjojo</v>
      </c>
      <c r="H672" s="78" t="s">
        <v>1717</v>
      </c>
    </row>
    <row r="673" spans="1:9">
      <c r="A673" s="77">
        <v>42</v>
      </c>
      <c r="B673" s="78" t="s">
        <v>344</v>
      </c>
      <c r="C673" s="78" t="s">
        <v>347</v>
      </c>
      <c r="D673" s="78" t="s">
        <v>359</v>
      </c>
      <c r="E673" s="78"/>
      <c r="F673" s="71" t="str">
        <f t="shared" si="41"/>
        <v>Katrini</v>
      </c>
      <c r="G673" s="71" t="str">
        <f t="shared" si="42"/>
        <v>Arua</v>
      </c>
      <c r="H673" s="78" t="s">
        <v>359</v>
      </c>
    </row>
    <row r="674" spans="1:9">
      <c r="A674" s="77">
        <v>1156</v>
      </c>
      <c r="B674" s="78" t="s">
        <v>786</v>
      </c>
      <c r="C674" s="78" t="s">
        <v>787</v>
      </c>
      <c r="D674" s="78" t="s">
        <v>796</v>
      </c>
      <c r="E674" s="78"/>
      <c r="F674" s="71" t="str">
        <f t="shared" si="41"/>
        <v>Katuna Town Council</v>
      </c>
      <c r="G674" s="71" t="str">
        <f t="shared" si="42"/>
        <v>Kabale</v>
      </c>
      <c r="H674" s="78" t="s">
        <v>796</v>
      </c>
    </row>
    <row r="675" spans="1:9">
      <c r="A675" s="77">
        <v>1452</v>
      </c>
      <c r="B675" s="78" t="s">
        <v>2332</v>
      </c>
      <c r="C675" s="78" t="s">
        <v>54</v>
      </c>
      <c r="D675" s="78" t="s">
        <v>2335</v>
      </c>
      <c r="E675" s="78"/>
      <c r="F675" s="71" t="str">
        <f t="shared" si="41"/>
        <v>Katunguru</v>
      </c>
      <c r="G675" s="71" t="str">
        <f t="shared" si="42"/>
        <v>Rubirizi</v>
      </c>
      <c r="H675" s="78" t="s">
        <v>2335</v>
      </c>
    </row>
    <row r="676" spans="1:9" ht="25.5">
      <c r="A676" s="77">
        <v>1197</v>
      </c>
      <c r="B676" s="78" t="s">
        <v>37</v>
      </c>
      <c r="C676" s="78" t="s">
        <v>1452</v>
      </c>
      <c r="D676" s="78" t="s">
        <v>1468</v>
      </c>
      <c r="E676" s="78"/>
      <c r="F676" s="71" t="str">
        <f t="shared" si="41"/>
        <v>Katwe Kabatoro Town Council</v>
      </c>
      <c r="G676" s="71" t="str">
        <f t="shared" si="42"/>
        <v>Kasese</v>
      </c>
      <c r="H676" s="78" t="s">
        <v>1468</v>
      </c>
    </row>
    <row r="677" spans="1:9" ht="25.5">
      <c r="A677" s="77">
        <v>448</v>
      </c>
      <c r="B677" s="78" t="s">
        <v>40</v>
      </c>
      <c r="C677" s="79" t="s">
        <v>1847</v>
      </c>
      <c r="D677" s="78" t="s">
        <v>2834</v>
      </c>
      <c r="E677" s="78"/>
      <c r="F677" s="72" t="str">
        <f>VLOOKUP(C677,[2]Municipalities!$C$9:$F$1522,4,FALSE)</f>
        <v>Masaka Municipality</v>
      </c>
      <c r="G677" s="71" t="str">
        <f t="shared" si="42"/>
        <v>Masaka</v>
      </c>
      <c r="H677" s="78" t="s">
        <v>2834</v>
      </c>
    </row>
    <row r="678" spans="1:9">
      <c r="A678" s="77">
        <v>191</v>
      </c>
      <c r="B678" s="78" t="s">
        <v>770</v>
      </c>
      <c r="C678" s="78" t="s">
        <v>771</v>
      </c>
      <c r="D678" s="78" t="s">
        <v>778</v>
      </c>
      <c r="E678" s="78"/>
      <c r="F678" s="71" t="str">
        <f t="shared" ref="F678" si="43">D678</f>
        <v>Kawalakol</v>
      </c>
      <c r="G678" s="71" t="str">
        <f t="shared" si="42"/>
        <v>Kaabong</v>
      </c>
      <c r="H678" s="78" t="s">
        <v>778</v>
      </c>
    </row>
    <row r="679" spans="1:9">
      <c r="A679" s="77">
        <v>345</v>
      </c>
      <c r="B679" s="78" t="s">
        <v>183</v>
      </c>
      <c r="C679" s="78" t="s">
        <v>899</v>
      </c>
      <c r="D679" s="78" t="s">
        <v>930</v>
      </c>
      <c r="E679" s="82" t="s">
        <v>2835</v>
      </c>
      <c r="F679" s="71" t="str">
        <f>[2]KCCA!F679</f>
        <v>Bwaise</v>
      </c>
      <c r="G679" s="71" t="str">
        <f t="shared" si="42"/>
        <v>Kampala</v>
      </c>
      <c r="H679" s="78" t="s">
        <v>930</v>
      </c>
    </row>
    <row r="680" spans="1:9">
      <c r="A680" s="77">
        <v>346</v>
      </c>
      <c r="B680" s="78" t="s">
        <v>183</v>
      </c>
      <c r="C680" s="78" t="s">
        <v>899</v>
      </c>
      <c r="D680" s="78" t="s">
        <v>930</v>
      </c>
      <c r="E680" s="82" t="s">
        <v>2836</v>
      </c>
      <c r="F680" s="71" t="s">
        <v>929</v>
      </c>
      <c r="G680" s="71" t="str">
        <f t="shared" si="42"/>
        <v>Kampala</v>
      </c>
      <c r="H680" s="78" t="s">
        <v>930</v>
      </c>
      <c r="I680" s="83" t="s">
        <v>2795</v>
      </c>
    </row>
    <row r="681" spans="1:9">
      <c r="A681" s="77">
        <v>347</v>
      </c>
      <c r="B681" s="78" t="s">
        <v>183</v>
      </c>
      <c r="C681" s="78" t="s">
        <v>899</v>
      </c>
      <c r="D681" s="78" t="s">
        <v>930</v>
      </c>
      <c r="E681" s="82" t="s">
        <v>2837</v>
      </c>
      <c r="F681" s="71" t="s">
        <v>929</v>
      </c>
      <c r="G681" s="71" t="str">
        <f t="shared" si="42"/>
        <v>Kampala</v>
      </c>
      <c r="H681" s="78" t="s">
        <v>930</v>
      </c>
      <c r="I681" s="83" t="s">
        <v>2795</v>
      </c>
    </row>
    <row r="682" spans="1:9">
      <c r="A682" s="77">
        <v>348</v>
      </c>
      <c r="B682" s="78" t="s">
        <v>183</v>
      </c>
      <c r="C682" s="78" t="s">
        <v>899</v>
      </c>
      <c r="D682" s="78" t="s">
        <v>930</v>
      </c>
      <c r="E682" s="78" t="s">
        <v>1132</v>
      </c>
      <c r="F682" s="71" t="str">
        <f>[2]KCCA!F682</f>
        <v>Kanyanya</v>
      </c>
      <c r="G682" s="71" t="str">
        <f t="shared" si="42"/>
        <v>Kampala</v>
      </c>
      <c r="H682" s="78" t="s">
        <v>930</v>
      </c>
    </row>
    <row r="683" spans="1:9">
      <c r="A683" s="77">
        <v>349</v>
      </c>
      <c r="B683" s="78" t="s">
        <v>183</v>
      </c>
      <c r="C683" s="78" t="s">
        <v>899</v>
      </c>
      <c r="D683" s="78" t="s">
        <v>930</v>
      </c>
      <c r="E683" s="82" t="s">
        <v>2838</v>
      </c>
      <c r="F683" s="71" t="str">
        <f>[2]KCCA!F683</f>
        <v>Kawempe</v>
      </c>
      <c r="G683" s="71" t="str">
        <f t="shared" si="42"/>
        <v>Kampala</v>
      </c>
      <c r="H683" s="78" t="s">
        <v>930</v>
      </c>
    </row>
    <row r="684" spans="1:9">
      <c r="A684" s="77">
        <v>350</v>
      </c>
      <c r="B684" s="78" t="s">
        <v>183</v>
      </c>
      <c r="C684" s="78" t="s">
        <v>899</v>
      </c>
      <c r="D684" s="78" t="s">
        <v>930</v>
      </c>
      <c r="E684" s="82" t="s">
        <v>2839</v>
      </c>
      <c r="F684" s="71" t="s">
        <v>188</v>
      </c>
      <c r="G684" s="71" t="str">
        <f t="shared" si="42"/>
        <v>Kampala</v>
      </c>
      <c r="H684" s="78" t="s">
        <v>930</v>
      </c>
      <c r="I684" s="83" t="s">
        <v>2795</v>
      </c>
    </row>
    <row r="685" spans="1:9">
      <c r="A685" s="77">
        <v>351</v>
      </c>
      <c r="B685" s="78" t="s">
        <v>183</v>
      </c>
      <c r="C685" s="78" t="s">
        <v>899</v>
      </c>
      <c r="D685" s="78" t="s">
        <v>930</v>
      </c>
      <c r="E685" s="78" t="s">
        <v>1152</v>
      </c>
      <c r="F685" s="71" t="str">
        <f>[2]KCCA!F685</f>
        <v>Kazo Angola</v>
      </c>
      <c r="G685" s="71" t="str">
        <f t="shared" si="42"/>
        <v>Kampala</v>
      </c>
      <c r="H685" s="78" t="s">
        <v>930</v>
      </c>
    </row>
    <row r="686" spans="1:9">
      <c r="A686" s="77">
        <v>352</v>
      </c>
      <c r="B686" s="78" t="s">
        <v>183</v>
      </c>
      <c r="C686" s="78" t="s">
        <v>899</v>
      </c>
      <c r="D686" s="78" t="s">
        <v>930</v>
      </c>
      <c r="E686" s="78" t="s">
        <v>1154</v>
      </c>
      <c r="F686" s="71" t="str">
        <f>[2]KCCA!F686</f>
        <v>Kikaaya</v>
      </c>
      <c r="G686" s="71" t="str">
        <f t="shared" si="42"/>
        <v>Kampala</v>
      </c>
      <c r="H686" s="78" t="s">
        <v>930</v>
      </c>
    </row>
    <row r="687" spans="1:9">
      <c r="A687" s="77">
        <v>353</v>
      </c>
      <c r="B687" s="78" t="s">
        <v>183</v>
      </c>
      <c r="C687" s="78" t="s">
        <v>899</v>
      </c>
      <c r="D687" s="78" t="s">
        <v>930</v>
      </c>
      <c r="E687" s="78" t="s">
        <v>1196</v>
      </c>
      <c r="F687" s="71" t="str">
        <f>[2]KCCA!F687</f>
        <v>Komamboga</v>
      </c>
      <c r="G687" s="71" t="str">
        <f t="shared" si="42"/>
        <v>Kampala</v>
      </c>
      <c r="H687" s="78" t="s">
        <v>930</v>
      </c>
    </row>
    <row r="688" spans="1:9">
      <c r="A688" s="77">
        <v>354</v>
      </c>
      <c r="B688" s="78" t="s">
        <v>183</v>
      </c>
      <c r="C688" s="78" t="s">
        <v>899</v>
      </c>
      <c r="D688" s="78" t="s">
        <v>930</v>
      </c>
      <c r="E688" s="78" t="s">
        <v>1207</v>
      </c>
      <c r="F688" s="71" t="str">
        <f>[2]KCCA!F688</f>
        <v>Kyebando</v>
      </c>
      <c r="G688" s="71" t="str">
        <f t="shared" si="42"/>
        <v>Kampala</v>
      </c>
      <c r="H688" s="78" t="s">
        <v>930</v>
      </c>
    </row>
    <row r="689" spans="1:9">
      <c r="A689" s="77">
        <v>355</v>
      </c>
      <c r="B689" s="78" t="s">
        <v>183</v>
      </c>
      <c r="C689" s="78" t="s">
        <v>899</v>
      </c>
      <c r="D689" s="78" t="s">
        <v>930</v>
      </c>
      <c r="E689" s="82" t="s">
        <v>2840</v>
      </c>
      <c r="F689" s="71" t="str">
        <f>[2]KCCA!F689</f>
        <v>Makerere</v>
      </c>
      <c r="G689" s="71" t="str">
        <f t="shared" si="42"/>
        <v>Kampala</v>
      </c>
      <c r="H689" s="78" t="s">
        <v>930</v>
      </c>
    </row>
    <row r="690" spans="1:9">
      <c r="A690" s="77">
        <v>356</v>
      </c>
      <c r="B690" s="78" t="s">
        <v>183</v>
      </c>
      <c r="C690" s="78" t="s">
        <v>899</v>
      </c>
      <c r="D690" s="78" t="s">
        <v>930</v>
      </c>
      <c r="E690" s="82" t="s">
        <v>2841</v>
      </c>
      <c r="F690" s="71" t="s">
        <v>1222</v>
      </c>
      <c r="G690" s="71" t="str">
        <f t="shared" si="42"/>
        <v>Kampala</v>
      </c>
      <c r="H690" s="78" t="s">
        <v>930</v>
      </c>
      <c r="I690" s="83" t="s">
        <v>2795</v>
      </c>
    </row>
    <row r="691" spans="1:9">
      <c r="A691" s="77">
        <v>357</v>
      </c>
      <c r="B691" s="78" t="s">
        <v>183</v>
      </c>
      <c r="C691" s="78" t="s">
        <v>899</v>
      </c>
      <c r="D691" s="78" t="s">
        <v>930</v>
      </c>
      <c r="E691" s="82" t="s">
        <v>2842</v>
      </c>
      <c r="F691" s="71" t="s">
        <v>1222</v>
      </c>
      <c r="G691" s="71" t="str">
        <f t="shared" si="42"/>
        <v>Kampala</v>
      </c>
      <c r="H691" s="78" t="s">
        <v>930</v>
      </c>
      <c r="I691" s="83" t="s">
        <v>2795</v>
      </c>
    </row>
    <row r="692" spans="1:9" ht="25.5">
      <c r="A692" s="77">
        <v>358</v>
      </c>
      <c r="B692" s="78" t="s">
        <v>183</v>
      </c>
      <c r="C692" s="78" t="s">
        <v>899</v>
      </c>
      <c r="D692" s="78" t="s">
        <v>930</v>
      </c>
      <c r="E692" s="78" t="s">
        <v>1228</v>
      </c>
      <c r="F692" s="71" t="str">
        <f>[2]KCCA!F692</f>
        <v>Makerere University</v>
      </c>
      <c r="G692" s="71" t="str">
        <f t="shared" si="42"/>
        <v>Kampala</v>
      </c>
      <c r="H692" s="78" t="s">
        <v>930</v>
      </c>
    </row>
    <row r="693" spans="1:9">
      <c r="A693" s="77">
        <v>359</v>
      </c>
      <c r="B693" s="78" t="s">
        <v>183</v>
      </c>
      <c r="C693" s="78" t="s">
        <v>899</v>
      </c>
      <c r="D693" s="78" t="s">
        <v>930</v>
      </c>
      <c r="E693" s="78" t="s">
        <v>1236</v>
      </c>
      <c r="F693" s="71" t="str">
        <f>[2]KCCA!F693</f>
        <v>Mpererwe</v>
      </c>
      <c r="G693" s="71" t="str">
        <f t="shared" si="42"/>
        <v>Kampala</v>
      </c>
      <c r="H693" s="78" t="s">
        <v>930</v>
      </c>
    </row>
    <row r="694" spans="1:9">
      <c r="A694" s="77">
        <v>360</v>
      </c>
      <c r="B694" s="78" t="s">
        <v>183</v>
      </c>
      <c r="C694" s="78" t="s">
        <v>899</v>
      </c>
      <c r="D694" s="78" t="s">
        <v>930</v>
      </c>
      <c r="E694" s="82" t="s">
        <v>2843</v>
      </c>
      <c r="F694" s="71" t="str">
        <f>[2]KCCA!F694</f>
        <v>Mulago</v>
      </c>
      <c r="G694" s="71" t="str">
        <f t="shared" si="42"/>
        <v>Kampala</v>
      </c>
      <c r="H694" s="78" t="s">
        <v>930</v>
      </c>
    </row>
    <row r="695" spans="1:9">
      <c r="A695" s="77">
        <v>361</v>
      </c>
      <c r="B695" s="78" t="s">
        <v>183</v>
      </c>
      <c r="C695" s="78" t="s">
        <v>899</v>
      </c>
      <c r="D695" s="78" t="s">
        <v>930</v>
      </c>
      <c r="E695" s="82" t="s">
        <v>2844</v>
      </c>
      <c r="F695" s="71" t="s">
        <v>1250</v>
      </c>
      <c r="G695" s="71" t="str">
        <f t="shared" si="42"/>
        <v>Kampala</v>
      </c>
      <c r="H695" s="78" t="s">
        <v>930</v>
      </c>
      <c r="I695" s="83" t="s">
        <v>2795</v>
      </c>
    </row>
    <row r="696" spans="1:9">
      <c r="A696" s="77">
        <v>362</v>
      </c>
      <c r="B696" s="78" t="s">
        <v>183</v>
      </c>
      <c r="C696" s="78" t="s">
        <v>899</v>
      </c>
      <c r="D696" s="78" t="s">
        <v>930</v>
      </c>
      <c r="E696" s="82" t="s">
        <v>2845</v>
      </c>
      <c r="F696" s="71" t="s">
        <v>1250</v>
      </c>
      <c r="G696" s="71" t="str">
        <f t="shared" si="42"/>
        <v>Kampala</v>
      </c>
      <c r="H696" s="78" t="s">
        <v>930</v>
      </c>
      <c r="I696" s="83" t="s">
        <v>2795</v>
      </c>
    </row>
    <row r="697" spans="1:9">
      <c r="A697" s="77">
        <v>363</v>
      </c>
      <c r="B697" s="78" t="s">
        <v>183</v>
      </c>
      <c r="C697" s="78" t="s">
        <v>899</v>
      </c>
      <c r="D697" s="78" t="s">
        <v>930</v>
      </c>
      <c r="E697" s="78" t="s">
        <v>1368</v>
      </c>
      <c r="F697" s="71" t="str">
        <f>[2]KCCA!F697</f>
        <v>Wandegeya</v>
      </c>
      <c r="G697" s="71" t="str">
        <f t="shared" si="42"/>
        <v>Kampala</v>
      </c>
      <c r="H697" s="78" t="s">
        <v>930</v>
      </c>
    </row>
    <row r="698" spans="1:9" ht="25.5">
      <c r="A698" s="77">
        <v>601</v>
      </c>
      <c r="B698" s="78" t="s">
        <v>429</v>
      </c>
      <c r="C698" s="79" t="s">
        <v>438</v>
      </c>
      <c r="D698" s="78" t="s">
        <v>2846</v>
      </c>
      <c r="E698" s="78"/>
      <c r="F698" s="72" t="str">
        <f>VLOOKUP(C698,[2]Municipalities!$C$9:$F$1522,4,FALSE)</f>
        <v>Lugazi Municipality</v>
      </c>
      <c r="G698" s="71" t="str">
        <f t="shared" si="42"/>
        <v>Buikwe</v>
      </c>
      <c r="H698" s="78" t="s">
        <v>2846</v>
      </c>
    </row>
    <row r="699" spans="1:9">
      <c r="A699" s="77">
        <v>747</v>
      </c>
      <c r="B699" s="78" t="s">
        <v>1438</v>
      </c>
      <c r="C699" s="78" t="s">
        <v>1439</v>
      </c>
      <c r="D699" s="78" t="s">
        <v>1448</v>
      </c>
      <c r="E699" s="78"/>
      <c r="F699" s="71" t="str">
        <f t="shared" ref="F699" si="44">D699</f>
        <v>Kawowo</v>
      </c>
      <c r="G699" s="71" t="str">
        <f t="shared" si="42"/>
        <v>Kapchorwa</v>
      </c>
      <c r="H699" s="78" t="s">
        <v>1448</v>
      </c>
    </row>
    <row r="700" spans="1:9">
      <c r="A700" s="77">
        <v>525</v>
      </c>
      <c r="B700" s="78" t="s">
        <v>217</v>
      </c>
      <c r="C700" s="78" t="s">
        <v>1497</v>
      </c>
      <c r="D700" s="82" t="s">
        <v>2847</v>
      </c>
      <c r="E700" s="78"/>
      <c r="F700" s="71" t="str">
        <f t="shared" ref="F700:F702" si="45">D700&amp;"-"&amp;B700</f>
        <v>Kayonza-Kayunga</v>
      </c>
      <c r="G700" s="71" t="str">
        <f t="shared" si="42"/>
        <v>Kayunga</v>
      </c>
      <c r="H700" s="82" t="s">
        <v>2847</v>
      </c>
    </row>
    <row r="701" spans="1:9">
      <c r="A701" s="77">
        <v>1278</v>
      </c>
      <c r="B701" s="78" t="s">
        <v>52</v>
      </c>
      <c r="C701" s="78" t="s">
        <v>2215</v>
      </c>
      <c r="D701" s="82" t="s">
        <v>2847</v>
      </c>
      <c r="E701" s="78"/>
      <c r="F701" s="71" t="str">
        <f t="shared" si="45"/>
        <v>Kayonza-Ntungamo</v>
      </c>
      <c r="G701" s="71" t="str">
        <f t="shared" si="42"/>
        <v>Ntungamo</v>
      </c>
      <c r="H701" s="82" t="s">
        <v>2847</v>
      </c>
    </row>
    <row r="702" spans="1:9">
      <c r="A702" s="77">
        <v>1319</v>
      </c>
      <c r="B702" s="78" t="s">
        <v>1418</v>
      </c>
      <c r="C702" s="78" t="s">
        <v>1419</v>
      </c>
      <c r="D702" s="82" t="s">
        <v>2847</v>
      </c>
      <c r="E702" s="78"/>
      <c r="F702" s="71" t="str">
        <f t="shared" si="45"/>
        <v>Kayonza-Kanungu</v>
      </c>
      <c r="G702" s="71" t="str">
        <f t="shared" si="42"/>
        <v>Kanungu</v>
      </c>
      <c r="H702" s="82" t="s">
        <v>2847</v>
      </c>
    </row>
    <row r="703" spans="1:9">
      <c r="A703" s="77">
        <v>529</v>
      </c>
      <c r="B703" s="78" t="s">
        <v>217</v>
      </c>
      <c r="C703" s="78" t="s">
        <v>1499</v>
      </c>
      <c r="D703" s="78" t="s">
        <v>217</v>
      </c>
      <c r="E703" s="78"/>
      <c r="F703" s="71" t="str">
        <f t="shared" ref="F703:F766" si="46">D703</f>
        <v>Kayunga</v>
      </c>
      <c r="G703" s="71" t="str">
        <f t="shared" si="42"/>
        <v>Kayunga</v>
      </c>
      <c r="H703" s="78" t="s">
        <v>217</v>
      </c>
    </row>
    <row r="704" spans="1:9">
      <c r="A704" s="77">
        <v>530</v>
      </c>
      <c r="B704" s="78" t="s">
        <v>217</v>
      </c>
      <c r="C704" s="78" t="s">
        <v>1499</v>
      </c>
      <c r="D704" s="78" t="s">
        <v>1504</v>
      </c>
      <c r="E704" s="78"/>
      <c r="F704" s="71" t="str">
        <f t="shared" si="46"/>
        <v>Kayunga Town Council</v>
      </c>
      <c r="G704" s="71" t="str">
        <f t="shared" si="42"/>
        <v>Kayunga</v>
      </c>
      <c r="H704" s="78" t="s">
        <v>1504</v>
      </c>
    </row>
    <row r="705" spans="1:8">
      <c r="A705" s="77">
        <v>1391</v>
      </c>
      <c r="B705" s="78" t="s">
        <v>1548</v>
      </c>
      <c r="C705" s="78" t="s">
        <v>1549</v>
      </c>
      <c r="D705" s="78" t="s">
        <v>1549</v>
      </c>
      <c r="E705" s="78"/>
      <c r="F705" s="71" t="str">
        <f t="shared" si="46"/>
        <v>Kazo</v>
      </c>
      <c r="G705" s="71" t="str">
        <f t="shared" si="42"/>
        <v>Kiruhura</v>
      </c>
      <c r="H705" s="78" t="s">
        <v>1549</v>
      </c>
    </row>
    <row r="706" spans="1:8">
      <c r="A706" s="77">
        <v>1392</v>
      </c>
      <c r="B706" s="78" t="s">
        <v>1548</v>
      </c>
      <c r="C706" s="78" t="s">
        <v>1549</v>
      </c>
      <c r="D706" s="78" t="s">
        <v>1560</v>
      </c>
      <c r="E706" s="78"/>
      <c r="F706" s="71" t="str">
        <f t="shared" si="46"/>
        <v>Kazo Town Council</v>
      </c>
      <c r="G706" s="71" t="str">
        <f t="shared" si="42"/>
        <v>Kiruhura</v>
      </c>
      <c r="H706" s="78" t="s">
        <v>1560</v>
      </c>
    </row>
    <row r="707" spans="1:8">
      <c r="A707" s="77">
        <v>1284</v>
      </c>
      <c r="B707" s="78" t="s">
        <v>41</v>
      </c>
      <c r="C707" s="78" t="s">
        <v>2364</v>
      </c>
      <c r="D707" s="78" t="s">
        <v>2367</v>
      </c>
      <c r="E707" s="78"/>
      <c r="F707" s="71" t="str">
        <f t="shared" si="46"/>
        <v>Kebisoni</v>
      </c>
      <c r="G707" s="71" t="str">
        <f t="shared" si="42"/>
        <v>Rukungiri</v>
      </c>
      <c r="H707" s="78" t="s">
        <v>2367</v>
      </c>
    </row>
    <row r="708" spans="1:8">
      <c r="A708" s="77">
        <v>1288</v>
      </c>
      <c r="B708" s="78" t="s">
        <v>41</v>
      </c>
      <c r="C708" s="78" t="s">
        <v>2364</v>
      </c>
      <c r="D708" s="78" t="s">
        <v>2368</v>
      </c>
      <c r="E708" s="78"/>
      <c r="F708" s="71" t="str">
        <f t="shared" si="46"/>
        <v>Kebisoni Town Council</v>
      </c>
      <c r="G708" s="71" t="str">
        <f t="shared" si="42"/>
        <v>Rukungiri</v>
      </c>
      <c r="H708" s="78" t="s">
        <v>2368</v>
      </c>
    </row>
    <row r="709" spans="1:8">
      <c r="A709" s="77">
        <v>141</v>
      </c>
      <c r="B709" s="78" t="s">
        <v>2711</v>
      </c>
      <c r="C709" s="78" t="s">
        <v>2712</v>
      </c>
      <c r="D709" s="78" t="s">
        <v>2715</v>
      </c>
      <c r="E709" s="78"/>
      <c r="F709" s="71" t="str">
        <f t="shared" si="46"/>
        <v>Kei</v>
      </c>
      <c r="G709" s="71" t="str">
        <f t="shared" si="42"/>
        <v>Yumbe</v>
      </c>
      <c r="H709" s="78" t="s">
        <v>2715</v>
      </c>
    </row>
    <row r="710" spans="1:8">
      <c r="A710" s="77">
        <v>1356</v>
      </c>
      <c r="B710" s="78" t="s">
        <v>44</v>
      </c>
      <c r="C710" s="78" t="s">
        <v>44</v>
      </c>
      <c r="D710" s="78" t="s">
        <v>677</v>
      </c>
      <c r="E710" s="78"/>
      <c r="F710" s="71" t="str">
        <f t="shared" si="46"/>
        <v>Keihangara</v>
      </c>
      <c r="G710" s="71" t="str">
        <f t="shared" si="42"/>
        <v>Ibanda</v>
      </c>
      <c r="H710" s="78" t="s">
        <v>677</v>
      </c>
    </row>
    <row r="711" spans="1:8">
      <c r="A711" s="77">
        <v>1397</v>
      </c>
      <c r="B711" s="78" t="s">
        <v>1548</v>
      </c>
      <c r="C711" s="78" t="s">
        <v>1554</v>
      </c>
      <c r="D711" s="78" t="s">
        <v>1561</v>
      </c>
      <c r="E711" s="78"/>
      <c r="F711" s="71" t="str">
        <f t="shared" si="46"/>
        <v>Kenshunga</v>
      </c>
      <c r="G711" s="71" t="str">
        <f t="shared" si="42"/>
        <v>Kiruhura</v>
      </c>
      <c r="H711" s="78" t="s">
        <v>1561</v>
      </c>
    </row>
    <row r="712" spans="1:8">
      <c r="A712" s="77">
        <v>142</v>
      </c>
      <c r="B712" s="78" t="s">
        <v>2711</v>
      </c>
      <c r="C712" s="78" t="s">
        <v>2712</v>
      </c>
      <c r="D712" s="78" t="s">
        <v>2716</v>
      </c>
      <c r="E712" s="78"/>
      <c r="F712" s="71" t="str">
        <f t="shared" si="46"/>
        <v>Kerwa</v>
      </c>
      <c r="G712" s="71" t="str">
        <f t="shared" si="42"/>
        <v>Yumbe</v>
      </c>
      <c r="H712" s="78" t="s">
        <v>2716</v>
      </c>
    </row>
    <row r="713" spans="1:8">
      <c r="A713" s="77">
        <v>982</v>
      </c>
      <c r="B713" s="78" t="s">
        <v>1815</v>
      </c>
      <c r="C713" s="78" t="s">
        <v>1816</v>
      </c>
      <c r="D713" s="78" t="s">
        <v>1827</v>
      </c>
      <c r="E713" s="78"/>
      <c r="F713" s="71" t="str">
        <f t="shared" si="46"/>
        <v>Khabutoola</v>
      </c>
      <c r="G713" s="71" t="str">
        <f t="shared" si="42"/>
        <v>Manafwa</v>
      </c>
      <c r="H713" s="78" t="s">
        <v>1827</v>
      </c>
    </row>
    <row r="714" spans="1:8">
      <c r="A714" s="77">
        <v>992</v>
      </c>
      <c r="B714" s="78" t="s">
        <v>2163</v>
      </c>
      <c r="C714" s="78" t="s">
        <v>2164</v>
      </c>
      <c r="D714" s="78" t="s">
        <v>1513</v>
      </c>
      <c r="E714" s="78"/>
      <c r="F714" s="71" t="str">
        <f t="shared" si="46"/>
        <v>Kibaale</v>
      </c>
      <c r="G714" s="71" t="str">
        <f t="shared" ref="G714:G777" si="47">B714</f>
        <v>Namutumba</v>
      </c>
      <c r="H714" s="78" t="s">
        <v>1513</v>
      </c>
    </row>
    <row r="715" spans="1:8">
      <c r="A715" s="77">
        <v>1210</v>
      </c>
      <c r="B715" s="78" t="s">
        <v>1513</v>
      </c>
      <c r="C715" s="78" t="s">
        <v>1514</v>
      </c>
      <c r="D715" s="78" t="s">
        <v>1519</v>
      </c>
      <c r="E715" s="78"/>
      <c r="F715" s="71" t="str">
        <f t="shared" si="46"/>
        <v>Kibaale Town Council</v>
      </c>
      <c r="G715" s="71" t="str">
        <f t="shared" si="47"/>
        <v>Kibaale</v>
      </c>
      <c r="H715" s="78" t="s">
        <v>1519</v>
      </c>
    </row>
    <row r="716" spans="1:8" ht="25.5">
      <c r="A716" s="77">
        <v>1082</v>
      </c>
      <c r="B716" s="78" t="s">
        <v>593</v>
      </c>
      <c r="C716" s="78" t="s">
        <v>594</v>
      </c>
      <c r="D716" s="78" t="s">
        <v>598</v>
      </c>
      <c r="E716" s="78"/>
      <c r="F716" s="71" t="str">
        <f t="shared" si="46"/>
        <v>Kibale</v>
      </c>
      <c r="G716" s="71" t="str">
        <f t="shared" si="47"/>
        <v>Butebo</v>
      </c>
      <c r="H716" s="78" t="s">
        <v>598</v>
      </c>
    </row>
    <row r="717" spans="1:8">
      <c r="A717" s="77">
        <v>464</v>
      </c>
      <c r="B717" s="78" t="s">
        <v>2026</v>
      </c>
      <c r="C717" s="78" t="s">
        <v>2027</v>
      </c>
      <c r="D717" s="78" t="s">
        <v>2036</v>
      </c>
      <c r="E717" s="78"/>
      <c r="F717" s="71" t="str">
        <f t="shared" si="46"/>
        <v>Kibalinga</v>
      </c>
      <c r="G717" s="71" t="str">
        <f t="shared" si="47"/>
        <v>Mubende</v>
      </c>
      <c r="H717" s="78" t="s">
        <v>2036</v>
      </c>
    </row>
    <row r="718" spans="1:8">
      <c r="A718" s="77">
        <v>660</v>
      </c>
      <c r="B718" s="78" t="s">
        <v>1729</v>
      </c>
      <c r="C718" s="78" t="s">
        <v>1733</v>
      </c>
      <c r="D718" s="78" t="s">
        <v>1582</v>
      </c>
      <c r="E718" s="78"/>
      <c r="F718" s="71" t="str">
        <f t="shared" si="46"/>
        <v>Kibanda</v>
      </c>
      <c r="G718" s="71" t="str">
        <f t="shared" si="47"/>
        <v>Kyotera</v>
      </c>
      <c r="H718" s="78" t="s">
        <v>1582</v>
      </c>
    </row>
    <row r="719" spans="1:8">
      <c r="A719" s="77">
        <v>1263</v>
      </c>
      <c r="B719" s="78" t="s">
        <v>52</v>
      </c>
      <c r="C719" s="78" t="s">
        <v>2208</v>
      </c>
      <c r="D719" s="78" t="s">
        <v>2216</v>
      </c>
      <c r="E719" s="78"/>
      <c r="F719" s="71" t="str">
        <f t="shared" si="46"/>
        <v>Kibatsi</v>
      </c>
      <c r="G719" s="71" t="str">
        <f t="shared" si="47"/>
        <v>Ntungamo</v>
      </c>
      <c r="H719" s="78" t="s">
        <v>2216</v>
      </c>
    </row>
    <row r="720" spans="1:8">
      <c r="A720" s="77">
        <v>615</v>
      </c>
      <c r="B720" s="78" t="s">
        <v>586</v>
      </c>
      <c r="C720" s="78" t="s">
        <v>586</v>
      </c>
      <c r="D720" s="78" t="s">
        <v>590</v>
      </c>
      <c r="E720" s="78"/>
      <c r="F720" s="71" t="str">
        <f t="shared" si="46"/>
        <v>Kibibi</v>
      </c>
      <c r="G720" s="71" t="str">
        <f t="shared" si="47"/>
        <v>Butambala</v>
      </c>
      <c r="H720" s="78" t="s">
        <v>590</v>
      </c>
    </row>
    <row r="721" spans="1:8">
      <c r="A721" s="77">
        <v>425</v>
      </c>
      <c r="B721" s="78" t="s">
        <v>1525</v>
      </c>
      <c r="C721" s="78" t="s">
        <v>1525</v>
      </c>
      <c r="D721" s="78" t="s">
        <v>1531</v>
      </c>
      <c r="E721" s="78"/>
      <c r="F721" s="71" t="str">
        <f t="shared" si="46"/>
        <v>Kibiga</v>
      </c>
      <c r="G721" s="71" t="str">
        <f t="shared" si="47"/>
        <v>Kiboga</v>
      </c>
      <c r="H721" s="78" t="s">
        <v>1531</v>
      </c>
    </row>
    <row r="722" spans="1:8">
      <c r="A722" s="77">
        <v>1518</v>
      </c>
      <c r="B722" s="78" t="s">
        <v>523</v>
      </c>
      <c r="C722" s="78" t="s">
        <v>523</v>
      </c>
      <c r="D722" s="78" t="s">
        <v>527</v>
      </c>
      <c r="E722" s="78"/>
      <c r="F722" s="71" t="str">
        <f t="shared" si="46"/>
        <v>Kibiito</v>
      </c>
      <c r="G722" s="71" t="str">
        <f t="shared" si="47"/>
        <v>Bunyangabu</v>
      </c>
      <c r="H722" s="78" t="s">
        <v>527</v>
      </c>
    </row>
    <row r="723" spans="1:8">
      <c r="A723" s="77">
        <v>1519</v>
      </c>
      <c r="B723" s="78" t="s">
        <v>523</v>
      </c>
      <c r="C723" s="78" t="s">
        <v>523</v>
      </c>
      <c r="D723" s="78" t="s">
        <v>528</v>
      </c>
      <c r="E723" s="78"/>
      <c r="F723" s="71" t="str">
        <f t="shared" si="46"/>
        <v>Kibiito Town Council</v>
      </c>
      <c r="G723" s="71" t="str">
        <f t="shared" si="47"/>
        <v>Bunyangabu</v>
      </c>
      <c r="H723" s="78" t="s">
        <v>528</v>
      </c>
    </row>
    <row r="724" spans="1:8">
      <c r="A724" s="77">
        <v>609</v>
      </c>
      <c r="B724" s="78" t="s">
        <v>453</v>
      </c>
      <c r="C724" s="78" t="s">
        <v>453</v>
      </c>
      <c r="D724" s="78" t="s">
        <v>456</v>
      </c>
      <c r="E724" s="78"/>
      <c r="F724" s="71" t="str">
        <f t="shared" si="46"/>
        <v>Kibinge</v>
      </c>
      <c r="G724" s="71" t="str">
        <f t="shared" si="47"/>
        <v>Bukomansimbi</v>
      </c>
      <c r="H724" s="78" t="s">
        <v>456</v>
      </c>
    </row>
    <row r="725" spans="1:8">
      <c r="A725" s="77">
        <v>426</v>
      </c>
      <c r="B725" s="78" t="s">
        <v>1525</v>
      </c>
      <c r="C725" s="78" t="s">
        <v>1525</v>
      </c>
      <c r="D725" s="78" t="s">
        <v>1532</v>
      </c>
      <c r="E725" s="78"/>
      <c r="F725" s="71" t="str">
        <f t="shared" si="46"/>
        <v>Kiboga Town Council</v>
      </c>
      <c r="G725" s="71" t="str">
        <f t="shared" si="47"/>
        <v>Kiboga</v>
      </c>
      <c r="H725" s="78" t="s">
        <v>1532</v>
      </c>
    </row>
    <row r="726" spans="1:8">
      <c r="A726" s="77">
        <v>1030</v>
      </c>
      <c r="B726" s="78" t="s">
        <v>1538</v>
      </c>
      <c r="C726" s="78" t="s">
        <v>1538</v>
      </c>
      <c r="D726" s="78" t="s">
        <v>1538</v>
      </c>
      <c r="E726" s="78"/>
      <c r="F726" s="71" t="str">
        <f t="shared" si="46"/>
        <v>Kibuku</v>
      </c>
      <c r="G726" s="71" t="str">
        <f t="shared" si="47"/>
        <v>Kibuku</v>
      </c>
      <c r="H726" s="78" t="s">
        <v>1538</v>
      </c>
    </row>
    <row r="727" spans="1:8">
      <c r="A727" s="77">
        <v>1031</v>
      </c>
      <c r="B727" s="78" t="s">
        <v>1538</v>
      </c>
      <c r="C727" s="78" t="s">
        <v>1538</v>
      </c>
      <c r="D727" s="78" t="s">
        <v>1544</v>
      </c>
      <c r="E727" s="78"/>
      <c r="F727" s="71" t="str">
        <f t="shared" si="46"/>
        <v>Kibuku Town Council</v>
      </c>
      <c r="G727" s="71" t="str">
        <f t="shared" si="47"/>
        <v>Kibuku</v>
      </c>
      <c r="H727" s="78" t="s">
        <v>1544</v>
      </c>
    </row>
    <row r="728" spans="1:8">
      <c r="A728" s="77">
        <v>1448</v>
      </c>
      <c r="B728" s="78" t="s">
        <v>2197</v>
      </c>
      <c r="C728" s="78" t="s">
        <v>2197</v>
      </c>
      <c r="D728" s="78" t="s">
        <v>2203</v>
      </c>
      <c r="E728" s="78"/>
      <c r="F728" s="71" t="str">
        <f t="shared" si="46"/>
        <v>Kibuuku Town Council</v>
      </c>
      <c r="G728" s="71" t="str">
        <f t="shared" si="47"/>
        <v>Ntoroko</v>
      </c>
      <c r="H728" s="78" t="s">
        <v>2203</v>
      </c>
    </row>
    <row r="729" spans="1:8">
      <c r="A729" s="77">
        <v>1309</v>
      </c>
      <c r="B729" s="78" t="s">
        <v>50</v>
      </c>
      <c r="C729" s="78" t="s">
        <v>1394</v>
      </c>
      <c r="D729" s="78" t="s">
        <v>1401</v>
      </c>
      <c r="E729" s="78"/>
      <c r="F729" s="71" t="str">
        <f t="shared" si="46"/>
        <v>Kicheche</v>
      </c>
      <c r="G729" s="71" t="str">
        <f t="shared" si="47"/>
        <v>Kamwenge</v>
      </c>
      <c r="H729" s="78" t="s">
        <v>1401</v>
      </c>
    </row>
    <row r="730" spans="1:8">
      <c r="A730" s="77">
        <v>1453</v>
      </c>
      <c r="B730" s="78" t="s">
        <v>2332</v>
      </c>
      <c r="C730" s="78" t="s">
        <v>54</v>
      </c>
      <c r="D730" s="78" t="s">
        <v>57</v>
      </c>
      <c r="E730" s="78"/>
      <c r="F730" s="71" t="str">
        <f t="shared" si="46"/>
        <v>Kichwamba</v>
      </c>
      <c r="G730" s="71" t="str">
        <f t="shared" si="47"/>
        <v>Rubirizi</v>
      </c>
      <c r="H730" s="78" t="s">
        <v>57</v>
      </c>
    </row>
    <row r="731" spans="1:8">
      <c r="A731" s="77">
        <v>1357</v>
      </c>
      <c r="B731" s="78" t="s">
        <v>44</v>
      </c>
      <c r="C731" s="78" t="s">
        <v>44</v>
      </c>
      <c r="D731" s="78" t="s">
        <v>678</v>
      </c>
      <c r="E731" s="78"/>
      <c r="F731" s="71" t="str">
        <f t="shared" si="46"/>
        <v>Kicuzi</v>
      </c>
      <c r="G731" s="71" t="str">
        <f t="shared" si="47"/>
        <v>Ibanda</v>
      </c>
      <c r="H731" s="78" t="s">
        <v>678</v>
      </c>
    </row>
    <row r="732" spans="1:8">
      <c r="A732" s="77">
        <v>1169</v>
      </c>
      <c r="B732" s="78" t="s">
        <v>803</v>
      </c>
      <c r="C732" s="78" t="s">
        <v>804</v>
      </c>
      <c r="D732" s="78" t="s">
        <v>816</v>
      </c>
      <c r="E732" s="78"/>
      <c r="F732" s="71" t="str">
        <f t="shared" si="46"/>
        <v>Kicwamba</v>
      </c>
      <c r="G732" s="71" t="str">
        <f t="shared" si="47"/>
        <v>Kabarole</v>
      </c>
      <c r="H732" s="78" t="s">
        <v>816</v>
      </c>
    </row>
    <row r="733" spans="1:8">
      <c r="A733" s="77">
        <v>1022</v>
      </c>
      <c r="B733" s="78" t="s">
        <v>616</v>
      </c>
      <c r="C733" s="78" t="s">
        <v>617</v>
      </c>
      <c r="D733" s="78" t="s">
        <v>620</v>
      </c>
      <c r="E733" s="78"/>
      <c r="F733" s="71" t="str">
        <f t="shared" si="46"/>
        <v>Kidera</v>
      </c>
      <c r="G733" s="71" t="str">
        <f t="shared" si="47"/>
        <v>Buyende</v>
      </c>
      <c r="H733" s="78" t="s">
        <v>620</v>
      </c>
    </row>
    <row r="734" spans="1:8">
      <c r="A734" s="77">
        <v>934</v>
      </c>
      <c r="B734" s="78" t="s">
        <v>446</v>
      </c>
      <c r="C734" s="78" t="s">
        <v>446</v>
      </c>
      <c r="D734" s="78" t="s">
        <v>449</v>
      </c>
      <c r="E734" s="78"/>
      <c r="F734" s="71" t="str">
        <f t="shared" si="46"/>
        <v>Kidongole</v>
      </c>
      <c r="G734" s="71" t="str">
        <f t="shared" si="47"/>
        <v>Bukedea</v>
      </c>
      <c r="H734" s="78" t="s">
        <v>449</v>
      </c>
    </row>
    <row r="735" spans="1:8">
      <c r="A735" s="77">
        <v>505</v>
      </c>
      <c r="B735" s="78" t="s">
        <v>192</v>
      </c>
      <c r="C735" s="78" t="s">
        <v>2310</v>
      </c>
      <c r="D735" s="78" t="s">
        <v>2312</v>
      </c>
      <c r="E735" s="78"/>
      <c r="F735" s="71" t="str">
        <f t="shared" si="46"/>
        <v>Kifamba</v>
      </c>
      <c r="G735" s="71" t="str">
        <f t="shared" si="47"/>
        <v>Rakai</v>
      </c>
      <c r="H735" s="78" t="s">
        <v>2312</v>
      </c>
    </row>
    <row r="736" spans="1:8">
      <c r="A736" s="77">
        <v>470</v>
      </c>
      <c r="B736" s="78" t="s">
        <v>2026</v>
      </c>
      <c r="C736" s="78" t="s">
        <v>2029</v>
      </c>
      <c r="D736" s="78" t="s">
        <v>2037</v>
      </c>
      <c r="E736" s="78"/>
      <c r="F736" s="71" t="str">
        <f t="shared" si="46"/>
        <v>Kiganda</v>
      </c>
      <c r="G736" s="71" t="str">
        <f t="shared" si="47"/>
        <v>Mubende</v>
      </c>
      <c r="H736" s="78" t="s">
        <v>2037</v>
      </c>
    </row>
    <row r="737" spans="1:8">
      <c r="A737" s="77">
        <v>858</v>
      </c>
      <c r="B737" s="78" t="s">
        <v>1869</v>
      </c>
      <c r="C737" s="78" t="s">
        <v>1870</v>
      </c>
      <c r="D737" s="78" t="s">
        <v>1878</v>
      </c>
      <c r="E737" s="78"/>
      <c r="F737" s="71" t="str">
        <f t="shared" si="46"/>
        <v>Kigandalo</v>
      </c>
      <c r="G737" s="71" t="str">
        <f t="shared" si="47"/>
        <v>Mayuge</v>
      </c>
      <c r="H737" s="78" t="s">
        <v>1878</v>
      </c>
    </row>
    <row r="738" spans="1:8">
      <c r="A738" s="77">
        <v>465</v>
      </c>
      <c r="B738" s="78" t="s">
        <v>2026</v>
      </c>
      <c r="C738" s="78" t="s">
        <v>2027</v>
      </c>
      <c r="D738" s="78" t="s">
        <v>2038</v>
      </c>
      <c r="E738" s="78"/>
      <c r="F738" s="71" t="str">
        <f t="shared" si="46"/>
        <v>Kigando</v>
      </c>
      <c r="G738" s="71" t="str">
        <f t="shared" si="47"/>
        <v>Mubende</v>
      </c>
      <c r="H738" s="78" t="s">
        <v>2038</v>
      </c>
    </row>
    <row r="739" spans="1:8">
      <c r="A739" s="77">
        <v>1337</v>
      </c>
      <c r="B739" s="78" t="s">
        <v>1709</v>
      </c>
      <c r="C739" s="78" t="s">
        <v>1710</v>
      </c>
      <c r="D739" s="78" t="s">
        <v>1718</v>
      </c>
      <c r="E739" s="78"/>
      <c r="F739" s="71" t="str">
        <f t="shared" si="46"/>
        <v>Kigaraale</v>
      </c>
      <c r="G739" s="71" t="str">
        <f t="shared" si="47"/>
        <v>Kyenjojo</v>
      </c>
      <c r="H739" s="78" t="s">
        <v>1718</v>
      </c>
    </row>
    <row r="740" spans="1:8">
      <c r="A740" s="77">
        <v>1465</v>
      </c>
      <c r="B740" s="78" t="s">
        <v>42</v>
      </c>
      <c r="C740" s="78" t="s">
        <v>42</v>
      </c>
      <c r="D740" s="78" t="s">
        <v>2398</v>
      </c>
      <c r="E740" s="78"/>
      <c r="F740" s="71" t="str">
        <f t="shared" si="46"/>
        <v>Kigarama</v>
      </c>
      <c r="G740" s="71" t="str">
        <f t="shared" si="47"/>
        <v>Sheema</v>
      </c>
      <c r="H740" s="78" t="s">
        <v>2398</v>
      </c>
    </row>
    <row r="741" spans="1:8">
      <c r="A741" s="77">
        <v>1136</v>
      </c>
      <c r="B741" s="78" t="s">
        <v>648</v>
      </c>
      <c r="C741" s="78" t="s">
        <v>652</v>
      </c>
      <c r="D741" s="78" t="s">
        <v>659</v>
      </c>
      <c r="E741" s="78"/>
      <c r="F741" s="71" t="str">
        <f t="shared" si="46"/>
        <v>Kigorobya</v>
      </c>
      <c r="G741" s="71" t="str">
        <f t="shared" si="47"/>
        <v>Hoima</v>
      </c>
      <c r="H741" s="78" t="s">
        <v>659</v>
      </c>
    </row>
    <row r="742" spans="1:8">
      <c r="A742" s="77">
        <v>1137</v>
      </c>
      <c r="B742" s="78" t="s">
        <v>648</v>
      </c>
      <c r="C742" s="78" t="s">
        <v>652</v>
      </c>
      <c r="D742" s="78" t="s">
        <v>660</v>
      </c>
      <c r="E742" s="78"/>
      <c r="F742" s="71" t="str">
        <f t="shared" si="46"/>
        <v>Kigorobya Town Council</v>
      </c>
      <c r="G742" s="71" t="str">
        <f t="shared" si="47"/>
        <v>Hoima</v>
      </c>
      <c r="H742" s="78" t="s">
        <v>660</v>
      </c>
    </row>
    <row r="743" spans="1:8" ht="25.5">
      <c r="A743" s="77">
        <v>1240</v>
      </c>
      <c r="B743" s="80" t="s">
        <v>1859</v>
      </c>
      <c r="C743" s="81" t="s">
        <v>1865</v>
      </c>
      <c r="D743" s="80" t="s">
        <v>2848</v>
      </c>
      <c r="E743" s="80"/>
      <c r="F743" s="72" t="str">
        <f>VLOOKUP(C743,[2]Municipalities!$C$9:$F$1522,4,FALSE)</f>
        <v>Masindi Municipality</v>
      </c>
      <c r="G743" s="71" t="str">
        <f t="shared" si="47"/>
        <v>Masindi</v>
      </c>
      <c r="H743" s="80" t="s">
        <v>2848</v>
      </c>
    </row>
    <row r="744" spans="1:8">
      <c r="A744" s="77">
        <v>1414</v>
      </c>
      <c r="B744" s="78" t="s">
        <v>197</v>
      </c>
      <c r="C744" s="78" t="s">
        <v>1582</v>
      </c>
      <c r="D744" s="78" t="s">
        <v>1584</v>
      </c>
      <c r="E744" s="78"/>
      <c r="F744" s="71" t="str">
        <f t="shared" si="46"/>
        <v>Kigumba</v>
      </c>
      <c r="G744" s="71" t="str">
        <f t="shared" si="47"/>
        <v>Kiryandongo</v>
      </c>
      <c r="H744" s="78" t="s">
        <v>1584</v>
      </c>
    </row>
    <row r="745" spans="1:8">
      <c r="A745" s="77">
        <v>1415</v>
      </c>
      <c r="B745" s="78" t="s">
        <v>197</v>
      </c>
      <c r="C745" s="78" t="s">
        <v>1582</v>
      </c>
      <c r="D745" s="78" t="s">
        <v>1585</v>
      </c>
      <c r="E745" s="78"/>
      <c r="F745" s="71" t="str">
        <f t="shared" si="46"/>
        <v>Kigumba Town Council</v>
      </c>
      <c r="G745" s="71" t="str">
        <f t="shared" si="47"/>
        <v>Kiryandongo</v>
      </c>
      <c r="H745" s="78" t="s">
        <v>1585</v>
      </c>
    </row>
    <row r="746" spans="1:8">
      <c r="A746" s="77">
        <v>1350</v>
      </c>
      <c r="B746" s="78" t="s">
        <v>492</v>
      </c>
      <c r="C746" s="78" t="s">
        <v>492</v>
      </c>
      <c r="D746" s="78" t="s">
        <v>495</v>
      </c>
      <c r="E746" s="78"/>
      <c r="F746" s="71" t="str">
        <f t="shared" si="46"/>
        <v>Kigwera</v>
      </c>
      <c r="G746" s="71" t="str">
        <f t="shared" si="47"/>
        <v>Buliisa</v>
      </c>
      <c r="H746" s="78" t="s">
        <v>495</v>
      </c>
    </row>
    <row r="747" spans="1:8">
      <c r="A747" s="77">
        <v>1320</v>
      </c>
      <c r="B747" s="78" t="s">
        <v>1418</v>
      </c>
      <c r="C747" s="78" t="s">
        <v>1419</v>
      </c>
      <c r="D747" s="78" t="s">
        <v>1427</v>
      </c>
      <c r="E747" s="78"/>
      <c r="F747" s="71" t="str">
        <f t="shared" si="46"/>
        <v>Kihihi</v>
      </c>
      <c r="G747" s="71" t="str">
        <f t="shared" si="47"/>
        <v>Kanungu</v>
      </c>
      <c r="H747" s="78" t="s">
        <v>1427</v>
      </c>
    </row>
    <row r="748" spans="1:8">
      <c r="A748" s="77">
        <v>1321</v>
      </c>
      <c r="B748" s="78" t="s">
        <v>1418</v>
      </c>
      <c r="C748" s="78" t="s">
        <v>1419</v>
      </c>
      <c r="D748" s="78" t="s">
        <v>1428</v>
      </c>
      <c r="E748" s="78"/>
      <c r="F748" s="71" t="str">
        <f t="shared" si="46"/>
        <v>Kihiihi Town Council</v>
      </c>
      <c r="G748" s="71" t="str">
        <f t="shared" si="47"/>
        <v>Kanungu</v>
      </c>
      <c r="H748" s="78" t="s">
        <v>1428</v>
      </c>
    </row>
    <row r="749" spans="1:8">
      <c r="A749" s="77">
        <v>1351</v>
      </c>
      <c r="B749" s="78" t="s">
        <v>492</v>
      </c>
      <c r="C749" s="78" t="s">
        <v>492</v>
      </c>
      <c r="D749" s="78" t="s">
        <v>496</v>
      </c>
      <c r="E749" s="78"/>
      <c r="F749" s="71" t="str">
        <f t="shared" si="46"/>
        <v>Kihungya</v>
      </c>
      <c r="G749" s="71" t="str">
        <f t="shared" si="47"/>
        <v>Buliisa</v>
      </c>
      <c r="H749" s="78" t="s">
        <v>496</v>
      </c>
    </row>
    <row r="750" spans="1:8">
      <c r="A750" s="77">
        <v>1338</v>
      </c>
      <c r="B750" s="78" t="s">
        <v>1709</v>
      </c>
      <c r="C750" s="78" t="s">
        <v>1710</v>
      </c>
      <c r="D750" s="78" t="s">
        <v>1719</v>
      </c>
      <c r="E750" s="78"/>
      <c r="F750" s="71" t="str">
        <f t="shared" si="46"/>
        <v>Kihuura</v>
      </c>
      <c r="G750" s="71" t="str">
        <f t="shared" si="47"/>
        <v>Kyenjojo</v>
      </c>
      <c r="H750" s="78" t="s">
        <v>1719</v>
      </c>
    </row>
    <row r="751" spans="1:8">
      <c r="A751" s="77">
        <v>207</v>
      </c>
      <c r="B751" s="78" t="s">
        <v>1834</v>
      </c>
      <c r="C751" s="78" t="s">
        <v>1834</v>
      </c>
      <c r="D751" s="78" t="s">
        <v>1833</v>
      </c>
      <c r="E751" s="78"/>
      <c r="F751" s="71" t="str">
        <f t="shared" si="46"/>
        <v>Kijomoro</v>
      </c>
      <c r="G751" s="71" t="str">
        <f t="shared" si="47"/>
        <v>Maracha</v>
      </c>
      <c r="H751" s="78" t="s">
        <v>1833</v>
      </c>
    </row>
    <row r="752" spans="1:8">
      <c r="A752" s="77">
        <v>1358</v>
      </c>
      <c r="B752" s="78" t="s">
        <v>44</v>
      </c>
      <c r="C752" s="78" t="s">
        <v>44</v>
      </c>
      <c r="D752" s="78" t="s">
        <v>679</v>
      </c>
      <c r="E752" s="78"/>
      <c r="F752" s="71" t="str">
        <f t="shared" si="46"/>
        <v>Kijongo</v>
      </c>
      <c r="G752" s="71" t="str">
        <f t="shared" si="47"/>
        <v>Ibanda</v>
      </c>
      <c r="H752" s="78" t="s">
        <v>679</v>
      </c>
    </row>
    <row r="753" spans="1:8">
      <c r="A753" s="77">
        <v>1171</v>
      </c>
      <c r="B753" s="78" t="s">
        <v>803</v>
      </c>
      <c r="C753" s="78" t="s">
        <v>804</v>
      </c>
      <c r="D753" s="78" t="s">
        <v>817</v>
      </c>
      <c r="E753" s="78"/>
      <c r="F753" s="71" t="str">
        <f t="shared" si="46"/>
        <v>Kijura Town Council</v>
      </c>
      <c r="G753" s="71" t="str">
        <f t="shared" si="47"/>
        <v>Kabarole</v>
      </c>
      <c r="H753" s="78" t="s">
        <v>817</v>
      </c>
    </row>
    <row r="754" spans="1:8">
      <c r="A754" s="77">
        <v>1398</v>
      </c>
      <c r="B754" s="78" t="s">
        <v>1548</v>
      </c>
      <c r="C754" s="78" t="s">
        <v>1554</v>
      </c>
      <c r="D754" s="78" t="s">
        <v>1567</v>
      </c>
      <c r="E754" s="78"/>
      <c r="F754" s="71" t="str">
        <f t="shared" si="46"/>
        <v>Kikaatsi</v>
      </c>
      <c r="G754" s="71" t="str">
        <f t="shared" si="47"/>
        <v>Kiruhura</v>
      </c>
      <c r="H754" s="78" t="s">
        <v>1567</v>
      </c>
    </row>
    <row r="755" spans="1:8">
      <c r="A755" s="77">
        <v>1381</v>
      </c>
      <c r="B755" s="78" t="s">
        <v>53</v>
      </c>
      <c r="C755" s="78" t="s">
        <v>53</v>
      </c>
      <c r="D755" s="78" t="s">
        <v>732</v>
      </c>
      <c r="E755" s="78"/>
      <c r="F755" s="71" t="str">
        <f t="shared" si="46"/>
        <v>Kikagate</v>
      </c>
      <c r="G755" s="71" t="str">
        <f t="shared" si="47"/>
        <v>Isingiro</v>
      </c>
      <c r="H755" s="78" t="s">
        <v>732</v>
      </c>
    </row>
    <row r="756" spans="1:8">
      <c r="A756" s="77">
        <v>582</v>
      </c>
      <c r="B756" s="78" t="s">
        <v>2101</v>
      </c>
      <c r="C756" s="78" t="s">
        <v>2101</v>
      </c>
      <c r="D756" s="78" t="s">
        <v>2104</v>
      </c>
      <c r="E756" s="78"/>
      <c r="F756" s="71" t="str">
        <f t="shared" si="46"/>
        <v>Kikamulo</v>
      </c>
      <c r="G756" s="71" t="str">
        <f t="shared" si="47"/>
        <v>Nakaseke</v>
      </c>
      <c r="H756" s="78" t="s">
        <v>2104</v>
      </c>
    </row>
    <row r="757" spans="1:8">
      <c r="A757" s="77">
        <v>572</v>
      </c>
      <c r="B757" s="78" t="s">
        <v>1968</v>
      </c>
      <c r="C757" s="78" t="s">
        <v>1968</v>
      </c>
      <c r="D757" s="78" t="s">
        <v>1981</v>
      </c>
      <c r="E757" s="78"/>
      <c r="F757" s="71" t="str">
        <f t="shared" si="46"/>
        <v>Kikandwa</v>
      </c>
      <c r="G757" s="71" t="str">
        <f t="shared" si="47"/>
        <v>Mityana</v>
      </c>
      <c r="H757" s="78" t="s">
        <v>1981</v>
      </c>
    </row>
    <row r="758" spans="1:8">
      <c r="A758" s="77">
        <v>1170</v>
      </c>
      <c r="B758" s="78" t="s">
        <v>803</v>
      </c>
      <c r="C758" s="78" t="s">
        <v>804</v>
      </c>
      <c r="D758" s="78" t="s">
        <v>818</v>
      </c>
      <c r="E758" s="78"/>
      <c r="F758" s="71" t="str">
        <f t="shared" si="46"/>
        <v>Kiko Town Council</v>
      </c>
      <c r="G758" s="71" t="str">
        <f t="shared" si="47"/>
        <v>Kabarole</v>
      </c>
      <c r="H758" s="78" t="s">
        <v>818</v>
      </c>
    </row>
    <row r="759" spans="1:8">
      <c r="A759" s="77">
        <v>1505</v>
      </c>
      <c r="B759" s="78" t="s">
        <v>856</v>
      </c>
      <c r="C759" s="78" t="s">
        <v>857</v>
      </c>
      <c r="D759" s="78" t="s">
        <v>863</v>
      </c>
      <c r="E759" s="78"/>
      <c r="F759" s="71" t="str">
        <f t="shared" si="46"/>
        <v>Kikwaya</v>
      </c>
      <c r="G759" s="71" t="str">
        <f t="shared" si="47"/>
        <v>Kakumiro</v>
      </c>
      <c r="H759" s="78" t="s">
        <v>863</v>
      </c>
    </row>
    <row r="760" spans="1:8">
      <c r="A760" s="77">
        <v>1359</v>
      </c>
      <c r="B760" s="78" t="s">
        <v>44</v>
      </c>
      <c r="C760" s="78" t="s">
        <v>44</v>
      </c>
      <c r="D760" s="78" t="s">
        <v>680</v>
      </c>
      <c r="E760" s="78"/>
      <c r="F760" s="71" t="str">
        <f t="shared" si="46"/>
        <v>Kikyenkye</v>
      </c>
      <c r="G760" s="71" t="str">
        <f t="shared" si="47"/>
        <v>Ibanda</v>
      </c>
      <c r="H760" s="78" t="s">
        <v>680</v>
      </c>
    </row>
    <row r="761" spans="1:8">
      <c r="A761" s="77">
        <v>432</v>
      </c>
      <c r="B761" s="78" t="s">
        <v>1768</v>
      </c>
      <c r="C761" s="78" t="s">
        <v>1767</v>
      </c>
      <c r="D761" s="78" t="s">
        <v>1781</v>
      </c>
      <c r="E761" s="78"/>
      <c r="F761" s="71" t="str">
        <f t="shared" si="46"/>
        <v>Kikyusa</v>
      </c>
      <c r="G761" s="71" t="str">
        <f t="shared" si="47"/>
        <v>Luwero</v>
      </c>
      <c r="H761" s="78" t="s">
        <v>1781</v>
      </c>
    </row>
    <row r="762" spans="1:8">
      <c r="A762" s="77">
        <v>1198</v>
      </c>
      <c r="B762" s="78" t="s">
        <v>37</v>
      </c>
      <c r="C762" s="78" t="s">
        <v>1452</v>
      </c>
      <c r="D762" s="78" t="s">
        <v>1469</v>
      </c>
      <c r="E762" s="78"/>
      <c r="F762" s="71" t="str">
        <f t="shared" si="46"/>
        <v>Kilembe</v>
      </c>
      <c r="G762" s="71" t="str">
        <f t="shared" si="47"/>
        <v>Kasese</v>
      </c>
      <c r="H762" s="78" t="s">
        <v>1469</v>
      </c>
    </row>
    <row r="763" spans="1:8" ht="25.5">
      <c r="A763" s="77">
        <v>449</v>
      </c>
      <c r="B763" s="78" t="s">
        <v>40</v>
      </c>
      <c r="C763" s="79" t="s">
        <v>1847</v>
      </c>
      <c r="D763" s="78" t="s">
        <v>2849</v>
      </c>
      <c r="E763" s="78"/>
      <c r="F763" s="72" t="str">
        <f>VLOOKUP(C763,[2]Municipalities!$C$9:$F$1522,4,FALSE)</f>
        <v>Masaka Municipality</v>
      </c>
      <c r="G763" s="71" t="str">
        <f t="shared" si="47"/>
        <v>Masaka</v>
      </c>
      <c r="H763" s="78" t="s">
        <v>2849</v>
      </c>
    </row>
    <row r="764" spans="1:8">
      <c r="A764" s="77">
        <v>1237</v>
      </c>
      <c r="B764" s="78" t="s">
        <v>1859</v>
      </c>
      <c r="C764" s="78" t="s">
        <v>1863</v>
      </c>
      <c r="D764" s="78" t="s">
        <v>1862</v>
      </c>
      <c r="E764" s="78"/>
      <c r="F764" s="71" t="str">
        <f t="shared" si="46"/>
        <v>Kimengo</v>
      </c>
      <c r="G764" s="71" t="str">
        <f t="shared" si="47"/>
        <v>Masindi</v>
      </c>
      <c r="H764" s="78" t="s">
        <v>1862</v>
      </c>
    </row>
    <row r="765" spans="1:8">
      <c r="A765" s="77">
        <v>488</v>
      </c>
      <c r="B765" s="78" t="s">
        <v>2053</v>
      </c>
      <c r="C765" s="78" t="s">
        <v>2054</v>
      </c>
      <c r="D765" s="78" t="s">
        <v>2055</v>
      </c>
      <c r="E765" s="78"/>
      <c r="F765" s="71" t="str">
        <f t="shared" si="46"/>
        <v>Kimenyedde</v>
      </c>
      <c r="G765" s="71" t="str">
        <f t="shared" si="47"/>
        <v>Mukono</v>
      </c>
      <c r="H765" s="78" t="s">
        <v>2055</v>
      </c>
    </row>
    <row r="766" spans="1:8">
      <c r="A766" s="77">
        <v>1322</v>
      </c>
      <c r="B766" s="78" t="s">
        <v>1418</v>
      </c>
      <c r="C766" s="78" t="s">
        <v>1419</v>
      </c>
      <c r="D766" s="78" t="s">
        <v>1429</v>
      </c>
      <c r="E766" s="78"/>
      <c r="F766" s="71" t="str">
        <f t="shared" si="46"/>
        <v>Kinaaba</v>
      </c>
      <c r="G766" s="71" t="str">
        <f t="shared" si="47"/>
        <v>Kanungu</v>
      </c>
      <c r="H766" s="78" t="s">
        <v>1429</v>
      </c>
    </row>
    <row r="767" spans="1:8">
      <c r="A767" s="77">
        <v>583</v>
      </c>
      <c r="B767" s="78" t="s">
        <v>2101</v>
      </c>
      <c r="C767" s="78" t="s">
        <v>2101</v>
      </c>
      <c r="D767" s="82" t="s">
        <v>1857</v>
      </c>
      <c r="E767" s="78"/>
      <c r="F767" s="71" t="str">
        <f t="shared" ref="F767:F768" si="48">D767&amp;"-"&amp;B767</f>
        <v>Kinoni-Nakaseke</v>
      </c>
      <c r="G767" s="71" t="str">
        <f t="shared" si="47"/>
        <v>Nakaseke</v>
      </c>
      <c r="H767" s="82" t="s">
        <v>1857</v>
      </c>
    </row>
    <row r="768" spans="1:8">
      <c r="A768" s="77">
        <v>1399</v>
      </c>
      <c r="B768" s="78" t="s">
        <v>1548</v>
      </c>
      <c r="C768" s="78" t="s">
        <v>1554</v>
      </c>
      <c r="D768" s="82" t="s">
        <v>1857</v>
      </c>
      <c r="E768" s="78"/>
      <c r="F768" s="71" t="str">
        <f t="shared" si="48"/>
        <v>Kinoni-Kiruhura</v>
      </c>
      <c r="G768" s="71" t="str">
        <f t="shared" si="47"/>
        <v>Kiruhura</v>
      </c>
      <c r="H768" s="82" t="s">
        <v>1857</v>
      </c>
    </row>
    <row r="769" spans="1:8">
      <c r="A769" s="77">
        <v>561</v>
      </c>
      <c r="B769" s="78" t="s">
        <v>1806</v>
      </c>
      <c r="C769" s="78" t="s">
        <v>1807</v>
      </c>
      <c r="D769" s="78" t="s">
        <v>1809</v>
      </c>
      <c r="E769" s="78"/>
      <c r="F769" s="71" t="str">
        <f t="shared" ref="F769:F770" si="49">D769</f>
        <v>Kinuuka</v>
      </c>
      <c r="G769" s="71" t="str">
        <f t="shared" si="47"/>
        <v>Lyantonde</v>
      </c>
      <c r="H769" s="78" t="s">
        <v>1809</v>
      </c>
    </row>
    <row r="770" spans="1:8">
      <c r="A770" s="77">
        <v>584</v>
      </c>
      <c r="B770" s="78" t="s">
        <v>2101</v>
      </c>
      <c r="C770" s="78" t="s">
        <v>2101</v>
      </c>
      <c r="D770" s="78" t="s">
        <v>2106</v>
      </c>
      <c r="E770" s="78"/>
      <c r="F770" s="71" t="str">
        <f t="shared" si="49"/>
        <v>Kinyogoga</v>
      </c>
      <c r="G770" s="71" t="str">
        <f t="shared" si="47"/>
        <v>Nakaseke</v>
      </c>
      <c r="H770" s="78" t="s">
        <v>2106</v>
      </c>
    </row>
    <row r="771" spans="1:8">
      <c r="A771" s="77">
        <v>549</v>
      </c>
      <c r="B771" s="78" t="s">
        <v>2477</v>
      </c>
      <c r="C771" s="79" t="s">
        <v>2485</v>
      </c>
      <c r="D771" s="78" t="s">
        <v>2850</v>
      </c>
      <c r="E771" s="78"/>
      <c r="F771" s="72" t="s">
        <v>2556</v>
      </c>
      <c r="G771" s="71" t="str">
        <f t="shared" si="47"/>
        <v>Wakiso</v>
      </c>
      <c r="H771" s="78" t="s">
        <v>2850</v>
      </c>
    </row>
    <row r="772" spans="1:8">
      <c r="A772" s="77">
        <v>828</v>
      </c>
      <c r="B772" s="78" t="s">
        <v>201</v>
      </c>
      <c r="C772" s="78" t="s">
        <v>2455</v>
      </c>
      <c r="D772" s="78" t="s">
        <v>2456</v>
      </c>
      <c r="E772" s="78"/>
      <c r="F772" s="71" t="str">
        <f t="shared" ref="F772:F835" si="50">D772</f>
        <v>Kirewa</v>
      </c>
      <c r="G772" s="71" t="str">
        <f t="shared" si="47"/>
        <v>Tororo</v>
      </c>
      <c r="H772" s="78" t="s">
        <v>2456</v>
      </c>
    </row>
    <row r="773" spans="1:8">
      <c r="A773" s="77">
        <v>1032</v>
      </c>
      <c r="B773" s="78" t="s">
        <v>1538</v>
      </c>
      <c r="C773" s="78" t="s">
        <v>1538</v>
      </c>
      <c r="D773" s="78" t="s">
        <v>1545</v>
      </c>
      <c r="E773" s="78"/>
      <c r="F773" s="71" t="str">
        <f t="shared" si="50"/>
        <v>Kirika</v>
      </c>
      <c r="G773" s="71" t="str">
        <f t="shared" si="47"/>
        <v>Kibuku</v>
      </c>
      <c r="H773" s="78" t="s">
        <v>1545</v>
      </c>
    </row>
    <row r="774" spans="1:8">
      <c r="A774" s="77">
        <v>1040</v>
      </c>
      <c r="B774" s="78" t="s">
        <v>1651</v>
      </c>
      <c r="C774" s="78" t="s">
        <v>1651</v>
      </c>
      <c r="D774" s="78" t="s">
        <v>1657</v>
      </c>
      <c r="E774" s="78"/>
      <c r="F774" s="71" t="str">
        <f t="shared" si="50"/>
        <v>Kiriki</v>
      </c>
      <c r="G774" s="71" t="str">
        <f t="shared" si="47"/>
        <v>Kween</v>
      </c>
      <c r="H774" s="78" t="s">
        <v>1657</v>
      </c>
    </row>
    <row r="775" spans="1:8">
      <c r="A775" s="77">
        <v>1323</v>
      </c>
      <c r="B775" s="78" t="s">
        <v>1418</v>
      </c>
      <c r="C775" s="78" t="s">
        <v>1419</v>
      </c>
      <c r="D775" s="78" t="s">
        <v>1430</v>
      </c>
      <c r="E775" s="78"/>
      <c r="F775" s="71" t="str">
        <f t="shared" si="50"/>
        <v>Kirima</v>
      </c>
      <c r="G775" s="71" t="str">
        <f t="shared" si="47"/>
        <v>Kanungu</v>
      </c>
      <c r="H775" s="78" t="s">
        <v>1430</v>
      </c>
    </row>
    <row r="776" spans="1:8">
      <c r="A776" s="77">
        <v>453</v>
      </c>
      <c r="B776" s="78" t="s">
        <v>2012</v>
      </c>
      <c r="C776" s="78" t="s">
        <v>2013</v>
      </c>
      <c r="D776" s="78" t="s">
        <v>2015</v>
      </c>
      <c r="E776" s="78"/>
      <c r="F776" s="71" t="str">
        <f t="shared" si="50"/>
        <v>Kiringente</v>
      </c>
      <c r="G776" s="71" t="str">
        <f t="shared" si="47"/>
        <v>Mpigi</v>
      </c>
      <c r="H776" s="78" t="s">
        <v>2015</v>
      </c>
    </row>
    <row r="777" spans="1:8">
      <c r="A777" s="77">
        <v>1461</v>
      </c>
      <c r="B777" s="78" t="s">
        <v>2332</v>
      </c>
      <c r="C777" s="78" t="s">
        <v>2333</v>
      </c>
      <c r="D777" s="78" t="s">
        <v>2336</v>
      </c>
      <c r="E777" s="78"/>
      <c r="F777" s="71" t="str">
        <f t="shared" si="50"/>
        <v>Kirugu</v>
      </c>
      <c r="G777" s="71" t="str">
        <f t="shared" si="47"/>
        <v>Rubirizi</v>
      </c>
      <c r="H777" s="78" t="s">
        <v>2336</v>
      </c>
    </row>
    <row r="778" spans="1:8">
      <c r="A778" s="77">
        <v>1400</v>
      </c>
      <c r="B778" s="78" t="s">
        <v>1548</v>
      </c>
      <c r="C778" s="78" t="s">
        <v>1554</v>
      </c>
      <c r="D778" s="78" t="s">
        <v>1569</v>
      </c>
      <c r="E778" s="78"/>
      <c r="F778" s="71" t="str">
        <f t="shared" si="50"/>
        <v>Kiruhura Town Council</v>
      </c>
      <c r="G778" s="71" t="str">
        <f t="shared" ref="G778:G841" si="51">B778</f>
        <v>Kiruhura</v>
      </c>
      <c r="H778" s="78" t="s">
        <v>1569</v>
      </c>
    </row>
    <row r="779" spans="1:8">
      <c r="A779" s="77">
        <v>665</v>
      </c>
      <c r="B779" s="78" t="s">
        <v>1729</v>
      </c>
      <c r="C779" s="78" t="s">
        <v>1729</v>
      </c>
      <c r="D779" s="78" t="s">
        <v>1734</v>
      </c>
      <c r="E779" s="78"/>
      <c r="F779" s="71" t="str">
        <f t="shared" si="50"/>
        <v>Kirumba</v>
      </c>
      <c r="G779" s="71" t="str">
        <f t="shared" si="51"/>
        <v>Kyotera</v>
      </c>
      <c r="H779" s="78" t="s">
        <v>1734</v>
      </c>
    </row>
    <row r="780" spans="1:8">
      <c r="A780" s="77">
        <v>1117</v>
      </c>
      <c r="B780" s="78" t="s">
        <v>499</v>
      </c>
      <c r="C780" s="78" t="s">
        <v>500</v>
      </c>
      <c r="D780" s="78" t="s">
        <v>512</v>
      </c>
      <c r="E780" s="78"/>
      <c r="F780" s="71" t="str">
        <f t="shared" si="50"/>
        <v>Kirumya</v>
      </c>
      <c r="G780" s="71" t="str">
        <f t="shared" si="51"/>
        <v>Bundibugyo</v>
      </c>
      <c r="H780" s="78" t="s">
        <v>512</v>
      </c>
    </row>
    <row r="781" spans="1:8">
      <c r="A781" s="77">
        <v>1222</v>
      </c>
      <c r="B781" s="78" t="s">
        <v>1593</v>
      </c>
      <c r="C781" s="78" t="s">
        <v>1594</v>
      </c>
      <c r="D781" s="78" t="s">
        <v>1598</v>
      </c>
      <c r="E781" s="78"/>
      <c r="F781" s="71" t="str">
        <f t="shared" si="50"/>
        <v>Kirundo</v>
      </c>
      <c r="G781" s="71" t="str">
        <f t="shared" si="51"/>
        <v>Kisoro</v>
      </c>
      <c r="H781" s="78" t="s">
        <v>1598</v>
      </c>
    </row>
    <row r="782" spans="1:8">
      <c r="A782" s="77">
        <v>1416</v>
      </c>
      <c r="B782" s="78" t="s">
        <v>197</v>
      </c>
      <c r="C782" s="78" t="s">
        <v>1582</v>
      </c>
      <c r="D782" s="78" t="s">
        <v>197</v>
      </c>
      <c r="E782" s="78"/>
      <c r="F782" s="71" t="str">
        <f t="shared" si="50"/>
        <v>Kiryandongo</v>
      </c>
      <c r="G782" s="71" t="str">
        <f t="shared" si="51"/>
        <v>Kiryandongo</v>
      </c>
      <c r="H782" s="78" t="s">
        <v>197</v>
      </c>
    </row>
    <row r="783" spans="1:8">
      <c r="A783" s="77">
        <v>1417</v>
      </c>
      <c r="B783" s="78" t="s">
        <v>197</v>
      </c>
      <c r="C783" s="78" t="s">
        <v>1582</v>
      </c>
      <c r="D783" s="78" t="s">
        <v>1587</v>
      </c>
      <c r="E783" s="78"/>
      <c r="F783" s="71" t="str">
        <f t="shared" si="50"/>
        <v>Kiryandongo Refugee Camp</v>
      </c>
      <c r="G783" s="71" t="str">
        <f t="shared" si="51"/>
        <v>Kiryandongo</v>
      </c>
      <c r="H783" s="78" t="s">
        <v>1587</v>
      </c>
    </row>
    <row r="784" spans="1:8">
      <c r="A784" s="77">
        <v>1418</v>
      </c>
      <c r="B784" s="78" t="s">
        <v>197</v>
      </c>
      <c r="C784" s="78" t="s">
        <v>1582</v>
      </c>
      <c r="D784" s="78" t="s">
        <v>1588</v>
      </c>
      <c r="E784" s="78"/>
      <c r="F784" s="71" t="str">
        <f t="shared" si="50"/>
        <v>Kiryandongo Town Council</v>
      </c>
      <c r="G784" s="71" t="str">
        <f t="shared" si="51"/>
        <v>Kiryandongo</v>
      </c>
      <c r="H784" s="78" t="s">
        <v>1588</v>
      </c>
    </row>
    <row r="785" spans="1:8">
      <c r="A785" s="77">
        <v>1482</v>
      </c>
      <c r="B785" s="78" t="s">
        <v>837</v>
      </c>
      <c r="C785" s="78" t="s">
        <v>838</v>
      </c>
      <c r="D785" s="78" t="s">
        <v>842</v>
      </c>
      <c r="E785" s="78"/>
      <c r="F785" s="71" t="str">
        <f t="shared" si="50"/>
        <v>Kiryanga</v>
      </c>
      <c r="G785" s="71" t="str">
        <f t="shared" si="51"/>
        <v>Kagadi</v>
      </c>
      <c r="H785" s="78" t="s">
        <v>842</v>
      </c>
    </row>
    <row r="786" spans="1:8">
      <c r="A786" s="77">
        <v>651</v>
      </c>
      <c r="B786" s="78" t="s">
        <v>1797</v>
      </c>
      <c r="C786" s="78" t="s">
        <v>23</v>
      </c>
      <c r="D786" s="78" t="s">
        <v>1796</v>
      </c>
      <c r="E786" s="78"/>
      <c r="F786" s="71" t="str">
        <f t="shared" si="50"/>
        <v>Kisekka</v>
      </c>
      <c r="G786" s="71" t="str">
        <f t="shared" si="51"/>
        <v>Lwengo</v>
      </c>
      <c r="H786" s="78" t="s">
        <v>1796</v>
      </c>
    </row>
    <row r="787" spans="1:8">
      <c r="A787" s="77">
        <v>1500</v>
      </c>
      <c r="B787" s="78" t="s">
        <v>856</v>
      </c>
      <c r="C787" s="78" t="s">
        <v>857</v>
      </c>
      <c r="D787" s="78" t="s">
        <v>864</v>
      </c>
      <c r="E787" s="78"/>
      <c r="F787" s="71" t="str">
        <f t="shared" si="50"/>
        <v>Kisiita</v>
      </c>
      <c r="G787" s="71" t="str">
        <f t="shared" si="51"/>
        <v>Kakumiro</v>
      </c>
      <c r="H787" s="78" t="s">
        <v>864</v>
      </c>
    </row>
    <row r="788" spans="1:8">
      <c r="A788" s="77">
        <v>968</v>
      </c>
      <c r="B788" s="78" t="s">
        <v>878</v>
      </c>
      <c r="C788" s="78" t="s">
        <v>687</v>
      </c>
      <c r="D788" s="78" t="s">
        <v>886</v>
      </c>
      <c r="E788" s="78"/>
      <c r="F788" s="71" t="str">
        <f t="shared" si="50"/>
        <v>Kisinda</v>
      </c>
      <c r="G788" s="71" t="str">
        <f t="shared" si="51"/>
        <v>Kaliro</v>
      </c>
      <c r="H788" s="78" t="s">
        <v>886</v>
      </c>
    </row>
    <row r="789" spans="1:8">
      <c r="A789" s="77">
        <v>1182</v>
      </c>
      <c r="B789" s="78" t="s">
        <v>37</v>
      </c>
      <c r="C789" s="78" t="s">
        <v>502</v>
      </c>
      <c r="D789" s="78" t="s">
        <v>1471</v>
      </c>
      <c r="E789" s="78"/>
      <c r="F789" s="71" t="str">
        <f t="shared" si="50"/>
        <v>Kisinga</v>
      </c>
      <c r="G789" s="71" t="str">
        <f t="shared" si="51"/>
        <v>Kasese</v>
      </c>
      <c r="H789" s="78" t="s">
        <v>1471</v>
      </c>
    </row>
    <row r="790" spans="1:8">
      <c r="A790" s="77">
        <v>1191</v>
      </c>
      <c r="B790" s="78" t="s">
        <v>37</v>
      </c>
      <c r="C790" s="78" t="s">
        <v>502</v>
      </c>
      <c r="D790" s="78" t="s">
        <v>1472</v>
      </c>
      <c r="E790" s="78"/>
      <c r="F790" s="71" t="str">
        <f t="shared" si="50"/>
        <v>Kisinga Town Council</v>
      </c>
      <c r="G790" s="71" t="str">
        <f t="shared" si="51"/>
        <v>Kasese</v>
      </c>
      <c r="H790" s="78" t="s">
        <v>1472</v>
      </c>
    </row>
    <row r="791" spans="1:8">
      <c r="A791" s="77">
        <v>1339</v>
      </c>
      <c r="B791" s="78" t="s">
        <v>1709</v>
      </c>
      <c r="C791" s="78" t="s">
        <v>1710</v>
      </c>
      <c r="D791" s="78" t="s">
        <v>1720</v>
      </c>
      <c r="E791" s="78"/>
      <c r="F791" s="71" t="str">
        <f t="shared" si="50"/>
        <v>Kisojo</v>
      </c>
      <c r="G791" s="71" t="str">
        <f t="shared" si="51"/>
        <v>Kyenjojo</v>
      </c>
      <c r="H791" s="78" t="s">
        <v>1720</v>
      </c>
    </row>
    <row r="792" spans="1:8">
      <c r="A792" s="77">
        <v>829</v>
      </c>
      <c r="B792" s="78" t="s">
        <v>201</v>
      </c>
      <c r="C792" s="78" t="s">
        <v>2455</v>
      </c>
      <c r="D792" s="78" t="s">
        <v>2457</v>
      </c>
      <c r="E792" s="78"/>
      <c r="F792" s="71" t="str">
        <f t="shared" si="50"/>
        <v>Kisoko</v>
      </c>
      <c r="G792" s="71" t="str">
        <f t="shared" si="51"/>
        <v>Tororo</v>
      </c>
      <c r="H792" s="78" t="s">
        <v>2457</v>
      </c>
    </row>
    <row r="793" spans="1:8">
      <c r="A793" s="77">
        <v>1520</v>
      </c>
      <c r="B793" s="78" t="s">
        <v>523</v>
      </c>
      <c r="C793" s="78" t="s">
        <v>523</v>
      </c>
      <c r="D793" s="78" t="s">
        <v>529</v>
      </c>
      <c r="E793" s="78"/>
      <c r="F793" s="71" t="str">
        <f t="shared" si="50"/>
        <v>Kisomoro</v>
      </c>
      <c r="G793" s="71" t="str">
        <f t="shared" si="51"/>
        <v>Bunyangabu</v>
      </c>
      <c r="H793" s="78" t="s">
        <v>529</v>
      </c>
    </row>
    <row r="794" spans="1:8">
      <c r="A794" s="77">
        <v>733</v>
      </c>
      <c r="B794" s="78" t="s">
        <v>1376</v>
      </c>
      <c r="C794" s="78" t="s">
        <v>1379</v>
      </c>
      <c r="D794" s="78" t="s">
        <v>1383</v>
      </c>
      <c r="E794" s="78"/>
      <c r="F794" s="71" t="str">
        <f t="shared" si="50"/>
        <v>Kisozi</v>
      </c>
      <c r="G794" s="71" t="str">
        <f t="shared" si="51"/>
        <v>Kamuli</v>
      </c>
      <c r="H794" s="78" t="s">
        <v>1383</v>
      </c>
    </row>
    <row r="795" spans="1:8">
      <c r="A795" s="77">
        <v>1118</v>
      </c>
      <c r="B795" s="78" t="s">
        <v>499</v>
      </c>
      <c r="C795" s="78" t="s">
        <v>500</v>
      </c>
      <c r="D795" s="78" t="s">
        <v>513</v>
      </c>
      <c r="E795" s="78"/>
      <c r="F795" s="71" t="str">
        <f t="shared" si="50"/>
        <v>Kisubba</v>
      </c>
      <c r="G795" s="71" t="str">
        <f t="shared" si="51"/>
        <v>Bundibugyo</v>
      </c>
      <c r="H795" s="78" t="s">
        <v>513</v>
      </c>
    </row>
    <row r="796" spans="1:8">
      <c r="A796" s="77">
        <v>1466</v>
      </c>
      <c r="B796" s="78" t="s">
        <v>42</v>
      </c>
      <c r="C796" s="78" t="s">
        <v>42</v>
      </c>
      <c r="D796" s="78" t="s">
        <v>2399</v>
      </c>
      <c r="E796" s="78"/>
      <c r="F796" s="71" t="str">
        <f t="shared" si="50"/>
        <v>Kitagata</v>
      </c>
      <c r="G796" s="71" t="str">
        <f t="shared" si="51"/>
        <v>Sheema</v>
      </c>
      <c r="H796" s="78" t="s">
        <v>2399</v>
      </c>
    </row>
    <row r="797" spans="1:8">
      <c r="A797" s="77">
        <v>1504</v>
      </c>
      <c r="B797" s="78" t="s">
        <v>856</v>
      </c>
      <c r="C797" s="78" t="s">
        <v>857</v>
      </c>
      <c r="D797" s="78" t="s">
        <v>865</v>
      </c>
      <c r="E797" s="78"/>
      <c r="F797" s="71" t="str">
        <f t="shared" si="50"/>
        <v>Kitaihuka</v>
      </c>
      <c r="G797" s="71" t="str">
        <f t="shared" si="51"/>
        <v>Kakumiro</v>
      </c>
      <c r="H797" s="78" t="s">
        <v>865</v>
      </c>
    </row>
    <row r="798" spans="1:8">
      <c r="A798" s="77">
        <v>610</v>
      </c>
      <c r="B798" s="78" t="s">
        <v>453</v>
      </c>
      <c r="C798" s="78" t="s">
        <v>453</v>
      </c>
      <c r="D798" s="78" t="s">
        <v>457</v>
      </c>
      <c r="E798" s="78"/>
      <c r="F798" s="71" t="str">
        <f t="shared" si="50"/>
        <v>Kitanda</v>
      </c>
      <c r="G798" s="71" t="str">
        <f t="shared" si="51"/>
        <v>Bukomansimbi</v>
      </c>
      <c r="H798" s="78" t="s">
        <v>457</v>
      </c>
    </row>
    <row r="799" spans="1:8">
      <c r="A799" s="77">
        <v>1041</v>
      </c>
      <c r="B799" s="78" t="s">
        <v>1651</v>
      </c>
      <c r="C799" s="78" t="s">
        <v>1651</v>
      </c>
      <c r="D799" s="78" t="s">
        <v>1658</v>
      </c>
      <c r="E799" s="78"/>
      <c r="F799" s="71" t="str">
        <f t="shared" si="50"/>
        <v>Kitawoi</v>
      </c>
      <c r="G799" s="71" t="str">
        <f t="shared" si="51"/>
        <v>Kween</v>
      </c>
      <c r="H799" s="78" t="s">
        <v>1658</v>
      </c>
    </row>
    <row r="800" spans="1:8">
      <c r="A800" s="77">
        <v>728</v>
      </c>
      <c r="B800" s="78" t="s">
        <v>1376</v>
      </c>
      <c r="C800" s="78" t="s">
        <v>1377</v>
      </c>
      <c r="D800" s="78" t="s">
        <v>1384</v>
      </c>
      <c r="E800" s="78"/>
      <c r="F800" s="71" t="str">
        <f t="shared" si="50"/>
        <v>Kitayunjwa</v>
      </c>
      <c r="G800" s="71" t="str">
        <f t="shared" si="51"/>
        <v>Kamuli</v>
      </c>
      <c r="H800" s="78" t="s">
        <v>1384</v>
      </c>
    </row>
    <row r="801" spans="1:8">
      <c r="A801" s="77">
        <v>459</v>
      </c>
      <c r="B801" s="78" t="s">
        <v>2026</v>
      </c>
      <c r="C801" s="78" t="s">
        <v>2032</v>
      </c>
      <c r="D801" s="78" t="s">
        <v>2039</v>
      </c>
      <c r="E801" s="78"/>
      <c r="F801" s="71" t="str">
        <f t="shared" si="50"/>
        <v>Kitenga</v>
      </c>
      <c r="G801" s="71" t="str">
        <f t="shared" si="51"/>
        <v>Mubende</v>
      </c>
      <c r="H801" s="78" t="s">
        <v>2039</v>
      </c>
    </row>
    <row r="802" spans="1:8">
      <c r="A802" s="77">
        <v>58</v>
      </c>
      <c r="B802" s="78" t="s">
        <v>220</v>
      </c>
      <c r="C802" s="78" t="s">
        <v>1611</v>
      </c>
      <c r="D802" s="78" t="s">
        <v>1610</v>
      </c>
      <c r="E802" s="78"/>
      <c r="F802" s="71" t="str">
        <f t="shared" si="50"/>
        <v>Kitgum Matidi</v>
      </c>
      <c r="G802" s="71" t="str">
        <f t="shared" si="51"/>
        <v>Kitgum</v>
      </c>
      <c r="H802" s="78" t="s">
        <v>1610</v>
      </c>
    </row>
    <row r="803" spans="1:8">
      <c r="A803" s="77">
        <v>1183</v>
      </c>
      <c r="B803" s="78" t="s">
        <v>37</v>
      </c>
      <c r="C803" s="78" t="s">
        <v>502</v>
      </c>
      <c r="D803" s="78" t="s">
        <v>1473</v>
      </c>
      <c r="E803" s="78"/>
      <c r="F803" s="71" t="str">
        <f t="shared" si="50"/>
        <v>Kitholhu</v>
      </c>
      <c r="G803" s="71" t="str">
        <f t="shared" si="51"/>
        <v>Kasese</v>
      </c>
      <c r="H803" s="78" t="s">
        <v>1473</v>
      </c>
    </row>
    <row r="804" spans="1:8">
      <c r="A804" s="77">
        <v>526</v>
      </c>
      <c r="B804" s="78" t="s">
        <v>217</v>
      </c>
      <c r="C804" s="78" t="s">
        <v>1497</v>
      </c>
      <c r="D804" s="78" t="s">
        <v>1510</v>
      </c>
      <c r="E804" s="78"/>
      <c r="F804" s="71" t="str">
        <f t="shared" si="50"/>
        <v>Kitimbwa</v>
      </c>
      <c r="G804" s="71" t="str">
        <f t="shared" si="51"/>
        <v>Kayunga</v>
      </c>
      <c r="H804" s="78" t="s">
        <v>1510</v>
      </c>
    </row>
    <row r="805" spans="1:8">
      <c r="A805" s="77">
        <v>585</v>
      </c>
      <c r="B805" s="78" t="s">
        <v>2101</v>
      </c>
      <c r="C805" s="78" t="s">
        <v>2101</v>
      </c>
      <c r="D805" s="78" t="s">
        <v>2107</v>
      </c>
      <c r="E805" s="78"/>
      <c r="F805" s="71" t="str">
        <f t="shared" si="50"/>
        <v>Kito</v>
      </c>
      <c r="G805" s="71" t="str">
        <f t="shared" si="51"/>
        <v>Nakaseke</v>
      </c>
      <c r="H805" s="78" t="s">
        <v>2107</v>
      </c>
    </row>
    <row r="806" spans="1:8">
      <c r="A806" s="77">
        <v>1138</v>
      </c>
      <c r="B806" s="78" t="s">
        <v>648</v>
      </c>
      <c r="C806" s="78" t="s">
        <v>652</v>
      </c>
      <c r="D806" s="78" t="s">
        <v>661</v>
      </c>
      <c r="E806" s="78"/>
      <c r="F806" s="71" t="str">
        <f t="shared" si="50"/>
        <v>Kitoba</v>
      </c>
      <c r="G806" s="71" t="str">
        <f t="shared" si="51"/>
        <v>Hoima</v>
      </c>
      <c r="H806" s="78" t="s">
        <v>661</v>
      </c>
    </row>
    <row r="807" spans="1:8">
      <c r="A807" s="77">
        <v>1199</v>
      </c>
      <c r="B807" s="78" t="s">
        <v>37</v>
      </c>
      <c r="C807" s="78" t="s">
        <v>1452</v>
      </c>
      <c r="D807" s="78" t="s">
        <v>1474</v>
      </c>
      <c r="E807" s="78"/>
      <c r="F807" s="71" t="str">
        <f t="shared" si="50"/>
        <v>Kitswamba</v>
      </c>
      <c r="G807" s="71" t="str">
        <f t="shared" si="51"/>
        <v>Kasese</v>
      </c>
      <c r="H807" s="78" t="s">
        <v>1474</v>
      </c>
    </row>
    <row r="808" spans="1:8">
      <c r="A808" s="77">
        <v>1157</v>
      </c>
      <c r="B808" s="78" t="s">
        <v>786</v>
      </c>
      <c r="C808" s="78" t="s">
        <v>787</v>
      </c>
      <c r="D808" s="78" t="s">
        <v>797</v>
      </c>
      <c r="E808" s="78"/>
      <c r="F808" s="71" t="str">
        <f t="shared" si="50"/>
        <v>Kitumba</v>
      </c>
      <c r="G808" s="71" t="str">
        <f t="shared" si="51"/>
        <v>Kabale</v>
      </c>
      <c r="H808" s="78" t="s">
        <v>797</v>
      </c>
    </row>
    <row r="809" spans="1:8">
      <c r="A809" s="77">
        <v>471</v>
      </c>
      <c r="B809" s="78" t="s">
        <v>2026</v>
      </c>
      <c r="C809" s="78" t="s">
        <v>2029</v>
      </c>
      <c r="D809" s="78" t="s">
        <v>2040</v>
      </c>
      <c r="E809" s="78"/>
      <c r="F809" s="71" t="str">
        <f t="shared" si="50"/>
        <v>Kitumbi</v>
      </c>
      <c r="G809" s="71" t="str">
        <f t="shared" si="51"/>
        <v>Mubende</v>
      </c>
      <c r="H809" s="78" t="s">
        <v>2040</v>
      </c>
    </row>
    <row r="810" spans="1:8">
      <c r="A810" s="77">
        <v>454</v>
      </c>
      <c r="B810" s="78" t="s">
        <v>2012</v>
      </c>
      <c r="C810" s="78" t="s">
        <v>2013</v>
      </c>
      <c r="D810" s="78" t="s">
        <v>2016</v>
      </c>
      <c r="E810" s="78"/>
      <c r="F810" s="71" t="str">
        <f t="shared" si="50"/>
        <v>Kituntu</v>
      </c>
      <c r="G810" s="71" t="str">
        <f t="shared" si="51"/>
        <v>Mpigi</v>
      </c>
      <c r="H810" s="78" t="s">
        <v>2016</v>
      </c>
    </row>
    <row r="811" spans="1:8">
      <c r="A811" s="77">
        <v>1401</v>
      </c>
      <c r="B811" s="78" t="s">
        <v>1548</v>
      </c>
      <c r="C811" s="78" t="s">
        <v>1554</v>
      </c>
      <c r="D811" s="78" t="s">
        <v>1574</v>
      </c>
      <c r="E811" s="78"/>
      <c r="F811" s="71" t="str">
        <f t="shared" si="50"/>
        <v>Kitura</v>
      </c>
      <c r="G811" s="71" t="str">
        <f t="shared" si="51"/>
        <v>Kiruhura</v>
      </c>
      <c r="H811" s="78" t="s">
        <v>1574</v>
      </c>
    </row>
    <row r="812" spans="1:8">
      <c r="A812" s="77">
        <v>1271</v>
      </c>
      <c r="B812" s="78" t="s">
        <v>52</v>
      </c>
      <c r="C812" s="78" t="s">
        <v>2211</v>
      </c>
      <c r="D812" s="78" t="s">
        <v>2217</v>
      </c>
      <c r="E812" s="78"/>
      <c r="F812" s="71" t="str">
        <f t="shared" si="50"/>
        <v>Kitwe Town Council</v>
      </c>
      <c r="G812" s="71" t="str">
        <f t="shared" si="51"/>
        <v>Ntungamo</v>
      </c>
      <c r="H812" s="78" t="s">
        <v>2217</v>
      </c>
    </row>
    <row r="813" spans="1:8">
      <c r="A813" s="77">
        <v>859</v>
      </c>
      <c r="B813" s="78" t="s">
        <v>1869</v>
      </c>
      <c r="C813" s="78" t="s">
        <v>1870</v>
      </c>
      <c r="D813" s="78" t="s">
        <v>1879</v>
      </c>
      <c r="E813" s="78"/>
      <c r="F813" s="71" t="str">
        <f t="shared" si="50"/>
        <v>Kityerera</v>
      </c>
      <c r="G813" s="71" t="str">
        <f t="shared" si="51"/>
        <v>Mayuge</v>
      </c>
      <c r="H813" s="78" t="s">
        <v>1879</v>
      </c>
    </row>
    <row r="814" spans="1:8">
      <c r="A814" s="77">
        <v>586</v>
      </c>
      <c r="B814" s="78" t="s">
        <v>2101</v>
      </c>
      <c r="C814" s="78" t="s">
        <v>2101</v>
      </c>
      <c r="D814" s="78" t="s">
        <v>2108</v>
      </c>
      <c r="E814" s="78"/>
      <c r="F814" s="71" t="str">
        <f t="shared" si="50"/>
        <v>Kiwoko Town Council</v>
      </c>
      <c r="G814" s="71" t="str">
        <f t="shared" si="51"/>
        <v>Nakaseke</v>
      </c>
      <c r="H814" s="78" t="s">
        <v>2108</v>
      </c>
    </row>
    <row r="815" spans="1:8">
      <c r="A815" s="77">
        <v>1436</v>
      </c>
      <c r="B815" s="78" t="s">
        <v>51</v>
      </c>
      <c r="C815" s="78" t="s">
        <v>1956</v>
      </c>
      <c r="D815" s="78" t="s">
        <v>1961</v>
      </c>
      <c r="E815" s="78"/>
      <c r="F815" s="71" t="str">
        <f t="shared" si="50"/>
        <v>Kiyanga</v>
      </c>
      <c r="G815" s="71" t="str">
        <f t="shared" si="51"/>
        <v>Mitooma</v>
      </c>
      <c r="H815" s="78" t="s">
        <v>1961</v>
      </c>
    </row>
    <row r="816" spans="1:8">
      <c r="A816" s="77">
        <v>460</v>
      </c>
      <c r="B816" s="78" t="s">
        <v>2026</v>
      </c>
      <c r="C816" s="78" t="s">
        <v>2032</v>
      </c>
      <c r="D816" s="78" t="s">
        <v>2041</v>
      </c>
      <c r="E816" s="78"/>
      <c r="F816" s="71" t="str">
        <f t="shared" si="50"/>
        <v>Kiyuni</v>
      </c>
      <c r="G816" s="71" t="str">
        <f t="shared" si="51"/>
        <v>Mubende</v>
      </c>
      <c r="H816" s="78" t="s">
        <v>2041</v>
      </c>
    </row>
    <row r="817" spans="1:8">
      <c r="A817" s="77">
        <v>510</v>
      </c>
      <c r="B817" s="78" t="s">
        <v>192</v>
      </c>
      <c r="C817" s="78" t="s">
        <v>1733</v>
      </c>
      <c r="D817" s="78" t="s">
        <v>2313</v>
      </c>
      <c r="E817" s="78"/>
      <c r="F817" s="71" t="str">
        <f t="shared" si="50"/>
        <v>Kiziba</v>
      </c>
      <c r="G817" s="71" t="str">
        <f t="shared" si="51"/>
        <v>Rakai</v>
      </c>
      <c r="H817" s="78" t="s">
        <v>2313</v>
      </c>
    </row>
    <row r="818" spans="1:8">
      <c r="A818" s="77">
        <v>1143</v>
      </c>
      <c r="B818" s="78" t="s">
        <v>648</v>
      </c>
      <c r="C818" s="78" t="s">
        <v>649</v>
      </c>
      <c r="D818" s="78" t="s">
        <v>662</v>
      </c>
      <c r="E818" s="78"/>
      <c r="F818" s="71" t="str">
        <f t="shared" si="50"/>
        <v>Kiziranfumbi</v>
      </c>
      <c r="G818" s="71" t="str">
        <f t="shared" si="51"/>
        <v>Hoima</v>
      </c>
      <c r="H818" s="78" t="s">
        <v>662</v>
      </c>
    </row>
    <row r="819" spans="1:8">
      <c r="A819" s="77">
        <v>652</v>
      </c>
      <c r="B819" s="78" t="s">
        <v>1797</v>
      </c>
      <c r="C819" s="78" t="s">
        <v>23</v>
      </c>
      <c r="D819" s="78" t="s">
        <v>1798</v>
      </c>
      <c r="E819" s="78"/>
      <c r="F819" s="71" t="str">
        <f t="shared" si="50"/>
        <v>Kkingo</v>
      </c>
      <c r="G819" s="71" t="str">
        <f t="shared" si="51"/>
        <v>Lwengo</v>
      </c>
      <c r="H819" s="78" t="s">
        <v>1798</v>
      </c>
    </row>
    <row r="820" spans="1:8">
      <c r="A820" s="77">
        <v>843</v>
      </c>
      <c r="B820" s="78" t="s">
        <v>825</v>
      </c>
      <c r="C820" s="78" t="s">
        <v>825</v>
      </c>
      <c r="D820" s="78" t="s">
        <v>833</v>
      </c>
      <c r="E820" s="78"/>
      <c r="F820" s="71" t="str">
        <f t="shared" si="50"/>
        <v>Kobulubulu</v>
      </c>
      <c r="G820" s="71" t="str">
        <f t="shared" si="51"/>
        <v>Kaberamaido</v>
      </c>
      <c r="H820" s="78" t="s">
        <v>833</v>
      </c>
    </row>
    <row r="821" spans="1:8">
      <c r="A821" s="77">
        <v>1064</v>
      </c>
      <c r="B821" s="78" t="s">
        <v>2192</v>
      </c>
      <c r="C821" s="78" t="s">
        <v>2192</v>
      </c>
      <c r="D821" s="78" t="s">
        <v>2193</v>
      </c>
      <c r="E821" s="78"/>
      <c r="F821" s="71" t="str">
        <f t="shared" si="50"/>
        <v>Kobwin</v>
      </c>
      <c r="G821" s="71" t="str">
        <f t="shared" si="51"/>
        <v>Ngora</v>
      </c>
      <c r="H821" s="78" t="s">
        <v>2193</v>
      </c>
    </row>
    <row r="822" spans="1:8">
      <c r="A822" s="77">
        <v>284</v>
      </c>
      <c r="B822" s="78" t="s">
        <v>2238</v>
      </c>
      <c r="C822" s="78" t="s">
        <v>2238</v>
      </c>
      <c r="D822" s="78" t="s">
        <v>2241</v>
      </c>
      <c r="E822" s="78"/>
      <c r="F822" s="71" t="str">
        <f t="shared" si="50"/>
        <v>Koch-Goma</v>
      </c>
      <c r="G822" s="71" t="str">
        <f t="shared" si="51"/>
        <v>Nwoya</v>
      </c>
      <c r="H822" s="78" t="s">
        <v>2241</v>
      </c>
    </row>
    <row r="823" spans="1:8">
      <c r="A823" s="77">
        <v>143</v>
      </c>
      <c r="B823" s="78" t="s">
        <v>2711</v>
      </c>
      <c r="C823" s="78" t="s">
        <v>2712</v>
      </c>
      <c r="D823" s="78" t="s">
        <v>2717</v>
      </c>
      <c r="E823" s="78"/>
      <c r="F823" s="71" t="str">
        <f t="shared" si="50"/>
        <v>Kochi</v>
      </c>
      <c r="G823" s="71" t="str">
        <f t="shared" si="51"/>
        <v>Yumbe</v>
      </c>
      <c r="H823" s="78" t="s">
        <v>2717</v>
      </c>
    </row>
    <row r="824" spans="1:8">
      <c r="A824" s="77">
        <v>261</v>
      </c>
      <c r="B824" s="78" t="s">
        <v>1629</v>
      </c>
      <c r="C824" s="78" t="s">
        <v>1629</v>
      </c>
      <c r="D824" s="78" t="s">
        <v>1634</v>
      </c>
      <c r="E824" s="78"/>
      <c r="F824" s="71" t="str">
        <f t="shared" si="50"/>
        <v>Kole Town Council</v>
      </c>
      <c r="G824" s="71" t="str">
        <f t="shared" si="51"/>
        <v>Kole</v>
      </c>
      <c r="H824" s="78" t="s">
        <v>1634</v>
      </c>
    </row>
    <row r="825" spans="1:8">
      <c r="A825" s="77">
        <v>935</v>
      </c>
      <c r="B825" s="78" t="s">
        <v>446</v>
      </c>
      <c r="C825" s="78" t="s">
        <v>446</v>
      </c>
      <c r="D825" s="78" t="s">
        <v>450</v>
      </c>
      <c r="E825" s="78"/>
      <c r="F825" s="71" t="str">
        <f t="shared" si="50"/>
        <v>Kolir</v>
      </c>
      <c r="G825" s="71" t="str">
        <f t="shared" si="51"/>
        <v>Bukedea</v>
      </c>
      <c r="H825" s="78" t="s">
        <v>450</v>
      </c>
    </row>
    <row r="826" spans="1:8">
      <c r="A826" s="77">
        <v>478</v>
      </c>
      <c r="B826" s="78" t="s">
        <v>2053</v>
      </c>
      <c r="C826" s="78" t="s">
        <v>2053</v>
      </c>
      <c r="D826" s="78" t="s">
        <v>2056</v>
      </c>
      <c r="E826" s="78"/>
      <c r="F826" s="71" t="str">
        <f t="shared" si="50"/>
        <v>Koome Island</v>
      </c>
      <c r="G826" s="71" t="str">
        <f t="shared" si="51"/>
        <v>Mukono</v>
      </c>
      <c r="H826" s="78" t="s">
        <v>2056</v>
      </c>
    </row>
    <row r="827" spans="1:8">
      <c r="A827" s="77">
        <v>306</v>
      </c>
      <c r="B827" s="78" t="s">
        <v>287</v>
      </c>
      <c r="C827" s="78" t="s">
        <v>287</v>
      </c>
      <c r="D827" s="78" t="s">
        <v>2244</v>
      </c>
      <c r="E827" s="78"/>
      <c r="F827" s="71" t="str">
        <f t="shared" si="50"/>
        <v>Koro</v>
      </c>
      <c r="G827" s="71" t="str">
        <f t="shared" si="51"/>
        <v>Omoro</v>
      </c>
      <c r="H827" s="78" t="s">
        <v>2244</v>
      </c>
    </row>
    <row r="828" spans="1:8">
      <c r="A828" s="77">
        <v>944</v>
      </c>
      <c r="B828" s="78" t="s">
        <v>458</v>
      </c>
      <c r="C828" s="78" t="s">
        <v>459</v>
      </c>
      <c r="D828" s="78" t="s">
        <v>466</v>
      </c>
      <c r="E828" s="78"/>
      <c r="F828" s="71" t="str">
        <f t="shared" si="50"/>
        <v>Kortek</v>
      </c>
      <c r="G828" s="71" t="str">
        <f t="shared" si="51"/>
        <v>Bukwo</v>
      </c>
      <c r="H828" s="78" t="s">
        <v>466</v>
      </c>
    </row>
    <row r="829" spans="1:8">
      <c r="A829" s="77">
        <v>71</v>
      </c>
      <c r="B829" s="78" t="s">
        <v>1637</v>
      </c>
      <c r="C829" s="78" t="s">
        <v>1638</v>
      </c>
      <c r="D829" s="78" t="s">
        <v>1637</v>
      </c>
      <c r="E829" s="78"/>
      <c r="F829" s="71" t="str">
        <f t="shared" si="50"/>
        <v>Kotido</v>
      </c>
      <c r="G829" s="71" t="str">
        <f t="shared" si="51"/>
        <v>Kotido</v>
      </c>
      <c r="H829" s="78" t="s">
        <v>1637</v>
      </c>
    </row>
    <row r="830" spans="1:8">
      <c r="A830" s="77">
        <v>231</v>
      </c>
      <c r="B830" s="78" t="s">
        <v>261</v>
      </c>
      <c r="C830" s="78" t="s">
        <v>261</v>
      </c>
      <c r="D830" s="78" t="s">
        <v>265</v>
      </c>
      <c r="E830" s="78"/>
      <c r="F830" s="71" t="str">
        <f t="shared" si="50"/>
        <v>Kotomol</v>
      </c>
      <c r="G830" s="71" t="str">
        <f t="shared" si="51"/>
        <v>Agago</v>
      </c>
      <c r="H830" s="78" t="s">
        <v>265</v>
      </c>
    </row>
    <row r="831" spans="1:8">
      <c r="A831" s="77">
        <v>113</v>
      </c>
      <c r="B831" s="78" t="s">
        <v>2182</v>
      </c>
      <c r="C831" s="78" t="s">
        <v>2183</v>
      </c>
      <c r="D831" s="78" t="s">
        <v>2186</v>
      </c>
      <c r="E831" s="78"/>
      <c r="F831" s="71" t="str">
        <f t="shared" si="50"/>
        <v>Kucwiny</v>
      </c>
      <c r="G831" s="71" t="str">
        <f t="shared" si="51"/>
        <v>Nebbi</v>
      </c>
      <c r="H831" s="78" t="s">
        <v>2186</v>
      </c>
    </row>
    <row r="832" spans="1:8">
      <c r="A832" s="77">
        <v>891</v>
      </c>
      <c r="B832" s="78" t="s">
        <v>307</v>
      </c>
      <c r="C832" s="78" t="s">
        <v>307</v>
      </c>
      <c r="D832" s="78" t="s">
        <v>315</v>
      </c>
      <c r="E832" s="78"/>
      <c r="F832" s="71" t="str">
        <f t="shared" si="50"/>
        <v>Kuju</v>
      </c>
      <c r="G832" s="71" t="str">
        <f t="shared" si="51"/>
        <v>Amuria</v>
      </c>
      <c r="H832" s="78" t="s">
        <v>315</v>
      </c>
    </row>
    <row r="833" spans="1:8">
      <c r="A833" s="77">
        <v>200</v>
      </c>
      <c r="B833" s="78" t="s">
        <v>1622</v>
      </c>
      <c r="C833" s="78" t="s">
        <v>1622</v>
      </c>
      <c r="D833" s="78" t="s">
        <v>1625</v>
      </c>
      <c r="E833" s="78"/>
      <c r="F833" s="71" t="str">
        <f t="shared" si="50"/>
        <v>Kuluba</v>
      </c>
      <c r="G833" s="71" t="str">
        <f t="shared" si="51"/>
        <v>Koboko</v>
      </c>
      <c r="H833" s="78" t="s">
        <v>1625</v>
      </c>
    </row>
    <row r="834" spans="1:8">
      <c r="A834" s="77">
        <v>144</v>
      </c>
      <c r="B834" s="78" t="s">
        <v>2711</v>
      </c>
      <c r="C834" s="78" t="s">
        <v>2712</v>
      </c>
      <c r="D834" s="78" t="s">
        <v>2718</v>
      </c>
      <c r="E834" s="78"/>
      <c r="F834" s="71" t="str">
        <f t="shared" si="50"/>
        <v>Kululu</v>
      </c>
      <c r="G834" s="71" t="str">
        <f t="shared" si="51"/>
        <v>Yumbe</v>
      </c>
      <c r="H834" s="78" t="s">
        <v>2718</v>
      </c>
    </row>
    <row r="835" spans="1:8">
      <c r="A835" s="77">
        <v>765</v>
      </c>
      <c r="B835" s="78" t="s">
        <v>1644</v>
      </c>
      <c r="C835" s="78" t="s">
        <v>1644</v>
      </c>
      <c r="D835" s="78" t="s">
        <v>1644</v>
      </c>
      <c r="E835" s="78"/>
      <c r="F835" s="71" t="str">
        <f t="shared" si="50"/>
        <v>Kumi</v>
      </c>
      <c r="G835" s="71" t="str">
        <f t="shared" si="51"/>
        <v>Kumi</v>
      </c>
      <c r="H835" s="78" t="s">
        <v>1644</v>
      </c>
    </row>
    <row r="836" spans="1:8">
      <c r="A836" s="77">
        <v>145</v>
      </c>
      <c r="B836" s="78" t="s">
        <v>2711</v>
      </c>
      <c r="C836" s="78" t="s">
        <v>2712</v>
      </c>
      <c r="D836" s="78" t="s">
        <v>2719</v>
      </c>
      <c r="E836" s="78"/>
      <c r="F836" s="71" t="str">
        <f t="shared" ref="F836:F899" si="52">D836</f>
        <v>Kuru</v>
      </c>
      <c r="G836" s="71" t="str">
        <f t="shared" si="51"/>
        <v>Yumbe</v>
      </c>
      <c r="H836" s="78" t="s">
        <v>2719</v>
      </c>
    </row>
    <row r="837" spans="1:8">
      <c r="A837" s="77">
        <v>1042</v>
      </c>
      <c r="B837" s="78" t="s">
        <v>1651</v>
      </c>
      <c r="C837" s="78" t="s">
        <v>1651</v>
      </c>
      <c r="D837" s="78" t="s">
        <v>1659</v>
      </c>
      <c r="E837" s="78"/>
      <c r="F837" s="71" t="str">
        <f t="shared" si="52"/>
        <v>Kwanyiy</v>
      </c>
      <c r="G837" s="71" t="str">
        <f t="shared" si="51"/>
        <v>Kween</v>
      </c>
      <c r="H837" s="78" t="s">
        <v>1659</v>
      </c>
    </row>
    <row r="838" spans="1:8">
      <c r="A838" s="77">
        <v>818</v>
      </c>
      <c r="B838" s="78" t="s">
        <v>201</v>
      </c>
      <c r="C838" s="78" t="s">
        <v>201</v>
      </c>
      <c r="D838" s="78" t="s">
        <v>2458</v>
      </c>
      <c r="E838" s="78"/>
      <c r="F838" s="71" t="str">
        <f t="shared" si="52"/>
        <v>Kwapa</v>
      </c>
      <c r="G838" s="71" t="str">
        <f t="shared" si="51"/>
        <v>Tororo</v>
      </c>
      <c r="H838" s="78" t="s">
        <v>2458</v>
      </c>
    </row>
    <row r="839" spans="1:8">
      <c r="A839" s="77">
        <v>181</v>
      </c>
      <c r="B839" s="78" t="s">
        <v>623</v>
      </c>
      <c r="C839" s="78" t="s">
        <v>623</v>
      </c>
      <c r="D839" s="78" t="s">
        <v>630</v>
      </c>
      <c r="E839" s="78"/>
      <c r="F839" s="71" t="str">
        <f t="shared" si="52"/>
        <v>Kwera</v>
      </c>
      <c r="G839" s="71" t="str">
        <f t="shared" si="51"/>
        <v>Dokolo</v>
      </c>
      <c r="H839" s="78" t="s">
        <v>630</v>
      </c>
    </row>
    <row r="840" spans="1:8">
      <c r="A840" s="77">
        <v>1043</v>
      </c>
      <c r="B840" s="78" t="s">
        <v>1651</v>
      </c>
      <c r="C840" s="78" t="s">
        <v>1651</v>
      </c>
      <c r="D840" s="78" t="s">
        <v>1660</v>
      </c>
      <c r="E840" s="78"/>
      <c r="F840" s="71" t="str">
        <f t="shared" si="52"/>
        <v>Kwosir</v>
      </c>
      <c r="G840" s="71" t="str">
        <f t="shared" si="51"/>
        <v>Kween</v>
      </c>
      <c r="H840" s="78" t="s">
        <v>1660</v>
      </c>
    </row>
    <row r="841" spans="1:8">
      <c r="A841" s="77">
        <v>1462</v>
      </c>
      <c r="B841" s="78" t="s">
        <v>2332</v>
      </c>
      <c r="C841" s="78" t="s">
        <v>2333</v>
      </c>
      <c r="D841" s="78" t="s">
        <v>2337</v>
      </c>
      <c r="E841" s="78"/>
      <c r="F841" s="71" t="str">
        <f t="shared" si="52"/>
        <v>Kyabakara</v>
      </c>
      <c r="G841" s="71" t="str">
        <f t="shared" si="51"/>
        <v>Rubirizi</v>
      </c>
      <c r="H841" s="78" t="s">
        <v>2337</v>
      </c>
    </row>
    <row r="842" spans="1:8">
      <c r="A842" s="77">
        <v>1200</v>
      </c>
      <c r="B842" s="78" t="s">
        <v>37</v>
      </c>
      <c r="C842" s="78" t="s">
        <v>1452</v>
      </c>
      <c r="D842" s="78" t="s">
        <v>1475</v>
      </c>
      <c r="E842" s="78"/>
      <c r="F842" s="71" t="str">
        <f t="shared" si="52"/>
        <v>Kyabarungira</v>
      </c>
      <c r="G842" s="71" t="str">
        <f t="shared" ref="G842:G905" si="53">B842</f>
        <v>Kasese</v>
      </c>
      <c r="H842" s="78" t="s">
        <v>1475</v>
      </c>
    </row>
    <row r="843" spans="1:8">
      <c r="A843" s="77">
        <v>1139</v>
      </c>
      <c r="B843" s="78" t="s">
        <v>648</v>
      </c>
      <c r="C843" s="78" t="s">
        <v>652</v>
      </c>
      <c r="D843" s="78" t="s">
        <v>663</v>
      </c>
      <c r="E843" s="78"/>
      <c r="F843" s="71" t="str">
        <f t="shared" si="52"/>
        <v>Kyabigambire</v>
      </c>
      <c r="G843" s="71" t="str">
        <f t="shared" si="53"/>
        <v>Hoima</v>
      </c>
      <c r="H843" s="78" t="s">
        <v>663</v>
      </c>
    </row>
    <row r="844" spans="1:8">
      <c r="A844" s="77">
        <v>1129</v>
      </c>
      <c r="B844" s="78" t="s">
        <v>39</v>
      </c>
      <c r="C844" s="78" t="s">
        <v>535</v>
      </c>
      <c r="D844" s="78" t="s">
        <v>546</v>
      </c>
      <c r="E844" s="78"/>
      <c r="F844" s="71" t="str">
        <f t="shared" si="52"/>
        <v>Kyabugimbi</v>
      </c>
      <c r="G844" s="71" t="str">
        <f t="shared" si="53"/>
        <v>Bushenyi</v>
      </c>
      <c r="H844" s="78" t="s">
        <v>546</v>
      </c>
    </row>
    <row r="845" spans="1:8">
      <c r="A845" s="77">
        <v>1429</v>
      </c>
      <c r="B845" s="78" t="s">
        <v>1697</v>
      </c>
      <c r="C845" s="78" t="s">
        <v>1698</v>
      </c>
      <c r="D845" s="78" t="s">
        <v>1702</v>
      </c>
      <c r="E845" s="78"/>
      <c r="F845" s="71" t="str">
        <f t="shared" si="52"/>
        <v>Kyaka Ii Refugee Camp</v>
      </c>
      <c r="G845" s="71" t="str">
        <f t="shared" si="53"/>
        <v>Kyegegwa</v>
      </c>
      <c r="H845" s="78" t="s">
        <v>1702</v>
      </c>
    </row>
    <row r="846" spans="1:8">
      <c r="A846" s="77">
        <v>1483</v>
      </c>
      <c r="B846" s="78" t="s">
        <v>837</v>
      </c>
      <c r="C846" s="78" t="s">
        <v>838</v>
      </c>
      <c r="D846" s="78" t="s">
        <v>843</v>
      </c>
      <c r="E846" s="78"/>
      <c r="F846" s="71" t="str">
        <f t="shared" si="52"/>
        <v>Kyakabadiima</v>
      </c>
      <c r="G846" s="71" t="str">
        <f t="shared" si="53"/>
        <v>Kagadi</v>
      </c>
      <c r="H846" s="78" t="s">
        <v>843</v>
      </c>
    </row>
    <row r="847" spans="1:8">
      <c r="A847" s="77">
        <v>511</v>
      </c>
      <c r="B847" s="78" t="s">
        <v>192</v>
      </c>
      <c r="C847" s="78" t="s">
        <v>1733</v>
      </c>
      <c r="D847" s="78" t="s">
        <v>2314</v>
      </c>
      <c r="E847" s="78"/>
      <c r="F847" s="71" t="str">
        <f t="shared" si="52"/>
        <v>Kyalulangira</v>
      </c>
      <c r="G847" s="71" t="str">
        <f t="shared" si="53"/>
        <v>Rakai</v>
      </c>
      <c r="H847" s="78" t="s">
        <v>2314</v>
      </c>
    </row>
    <row r="848" spans="1:8">
      <c r="A848" s="77">
        <v>479</v>
      </c>
      <c r="B848" s="78" t="s">
        <v>2053</v>
      </c>
      <c r="C848" s="78" t="s">
        <v>2053</v>
      </c>
      <c r="D848" s="78" t="s">
        <v>2057</v>
      </c>
      <c r="E848" s="78"/>
      <c r="F848" s="71" t="str">
        <f t="shared" si="52"/>
        <v>Kyampisi</v>
      </c>
      <c r="G848" s="71" t="str">
        <f t="shared" si="53"/>
        <v>Mukono</v>
      </c>
      <c r="H848" s="78" t="s">
        <v>2057</v>
      </c>
    </row>
    <row r="849" spans="1:8">
      <c r="A849" s="77">
        <v>1130</v>
      </c>
      <c r="B849" s="78" t="s">
        <v>39</v>
      </c>
      <c r="C849" s="78" t="s">
        <v>535</v>
      </c>
      <c r="D849" s="78" t="s">
        <v>56</v>
      </c>
      <c r="E849" s="78"/>
      <c r="F849" s="71" t="str">
        <f t="shared" si="52"/>
        <v>Kyamuhunga</v>
      </c>
      <c r="G849" s="71" t="str">
        <f t="shared" si="53"/>
        <v>Bushenyi</v>
      </c>
      <c r="H849" s="78" t="s">
        <v>56</v>
      </c>
    </row>
    <row r="850" spans="1:8">
      <c r="A850" s="77">
        <v>1134</v>
      </c>
      <c r="B850" s="78" t="s">
        <v>39</v>
      </c>
      <c r="C850" s="78" t="s">
        <v>535</v>
      </c>
      <c r="D850" s="78" t="s">
        <v>549</v>
      </c>
      <c r="E850" s="78"/>
      <c r="F850" s="71" t="str">
        <f t="shared" si="52"/>
        <v>Kyamuhunga Town Council</v>
      </c>
      <c r="G850" s="71" t="str">
        <f t="shared" si="53"/>
        <v>Bushenyi</v>
      </c>
      <c r="H850" s="78" t="s">
        <v>549</v>
      </c>
    </row>
    <row r="851" spans="1:8">
      <c r="A851" s="77">
        <v>1525</v>
      </c>
      <c r="B851" s="78" t="s">
        <v>2851</v>
      </c>
      <c r="C851" s="78" t="s">
        <v>523</v>
      </c>
      <c r="D851" s="78" t="s">
        <v>530</v>
      </c>
      <c r="E851" s="78"/>
      <c r="F851" s="71" t="str">
        <f t="shared" si="52"/>
        <v>Kyamukube Town Council</v>
      </c>
      <c r="G851" s="71" t="str">
        <f t="shared" si="53"/>
        <v>Bunyangabu</v>
      </c>
      <c r="H851" s="78" t="s">
        <v>530</v>
      </c>
    </row>
    <row r="852" spans="1:8">
      <c r="A852" s="77">
        <v>634</v>
      </c>
      <c r="B852" s="78" t="s">
        <v>892</v>
      </c>
      <c r="C852" s="78" t="s">
        <v>892</v>
      </c>
      <c r="D852" s="78" t="s">
        <v>894</v>
      </c>
      <c r="E852" s="78"/>
      <c r="F852" s="71" t="str">
        <f t="shared" si="52"/>
        <v>Kyamulibwa</v>
      </c>
      <c r="G852" s="71" t="str">
        <f t="shared" si="53"/>
        <v>Kalungu</v>
      </c>
      <c r="H852" s="78" t="s">
        <v>894</v>
      </c>
    </row>
    <row r="853" spans="1:8">
      <c r="A853" s="77">
        <v>637</v>
      </c>
      <c r="B853" s="78" t="s">
        <v>892</v>
      </c>
      <c r="C853" s="78" t="s">
        <v>892</v>
      </c>
      <c r="D853" s="78" t="s">
        <v>895</v>
      </c>
      <c r="E853" s="78"/>
      <c r="F853" s="71" t="str">
        <f t="shared" si="52"/>
        <v>Kyamulibwa Town Council</v>
      </c>
      <c r="G853" s="71" t="str">
        <f t="shared" si="53"/>
        <v>Kalungu</v>
      </c>
      <c r="H853" s="78" t="s">
        <v>895</v>
      </c>
    </row>
    <row r="854" spans="1:8">
      <c r="A854" s="77">
        <v>323</v>
      </c>
      <c r="B854" s="78" t="s">
        <v>870</v>
      </c>
      <c r="C854" s="78" t="s">
        <v>871</v>
      </c>
      <c r="D854" s="78" t="s">
        <v>871</v>
      </c>
      <c r="E854" s="78"/>
      <c r="F854" s="71" t="str">
        <f t="shared" si="52"/>
        <v>Kyamuswa</v>
      </c>
      <c r="G854" s="71" t="str">
        <f t="shared" si="53"/>
        <v>Kalangala</v>
      </c>
      <c r="H854" s="78" t="s">
        <v>871</v>
      </c>
    </row>
    <row r="855" spans="1:8">
      <c r="A855" s="77">
        <v>1484</v>
      </c>
      <c r="B855" s="78" t="s">
        <v>837</v>
      </c>
      <c r="C855" s="78" t="s">
        <v>838</v>
      </c>
      <c r="D855" s="78" t="s">
        <v>844</v>
      </c>
      <c r="E855" s="78"/>
      <c r="F855" s="71" t="str">
        <f t="shared" si="52"/>
        <v>Kyanaisoke</v>
      </c>
      <c r="G855" s="71" t="str">
        <f t="shared" si="53"/>
        <v>Kagadi</v>
      </c>
      <c r="H855" s="78" t="s">
        <v>844</v>
      </c>
    </row>
    <row r="856" spans="1:8">
      <c r="A856" s="77">
        <v>1158</v>
      </c>
      <c r="B856" s="78" t="s">
        <v>786</v>
      </c>
      <c r="C856" s="78" t="s">
        <v>787</v>
      </c>
      <c r="D856" s="78" t="s">
        <v>798</v>
      </c>
      <c r="E856" s="78"/>
      <c r="F856" s="71" t="str">
        <f t="shared" si="52"/>
        <v>Kyanamira</v>
      </c>
      <c r="G856" s="71" t="str">
        <f t="shared" si="53"/>
        <v>Kabale</v>
      </c>
      <c r="H856" s="78" t="s">
        <v>798</v>
      </c>
    </row>
    <row r="857" spans="1:8">
      <c r="A857" s="77">
        <v>445</v>
      </c>
      <c r="B857" s="78" t="s">
        <v>40</v>
      </c>
      <c r="C857" s="78" t="s">
        <v>23</v>
      </c>
      <c r="D857" s="78" t="s">
        <v>1845</v>
      </c>
      <c r="E857" s="78"/>
      <c r="F857" s="71" t="str">
        <f t="shared" si="52"/>
        <v>Kyanamukaaka</v>
      </c>
      <c r="G857" s="71" t="str">
        <f t="shared" si="53"/>
        <v>Masaka</v>
      </c>
      <c r="H857" s="78" t="s">
        <v>1845</v>
      </c>
    </row>
    <row r="858" spans="1:8">
      <c r="A858" s="77">
        <v>1144</v>
      </c>
      <c r="B858" s="78" t="s">
        <v>648</v>
      </c>
      <c r="C858" s="78" t="s">
        <v>649</v>
      </c>
      <c r="D858" s="78" t="s">
        <v>664</v>
      </c>
      <c r="E858" s="78"/>
      <c r="F858" s="71" t="str">
        <f t="shared" si="52"/>
        <v>Kyangwali</v>
      </c>
      <c r="G858" s="71" t="str">
        <f t="shared" si="53"/>
        <v>Hoima</v>
      </c>
      <c r="H858" s="78" t="s">
        <v>664</v>
      </c>
    </row>
    <row r="859" spans="1:8">
      <c r="A859" s="77">
        <v>1467</v>
      </c>
      <c r="B859" s="78" t="s">
        <v>42</v>
      </c>
      <c r="C859" s="78" t="s">
        <v>42</v>
      </c>
      <c r="D859" s="78" t="s">
        <v>2401</v>
      </c>
      <c r="E859" s="78"/>
      <c r="F859" s="71" t="str">
        <f t="shared" si="52"/>
        <v>Kyangyenyi</v>
      </c>
      <c r="G859" s="71" t="str">
        <f t="shared" si="53"/>
        <v>Sheema</v>
      </c>
      <c r="H859" s="78" t="s">
        <v>2401</v>
      </c>
    </row>
    <row r="860" spans="1:8">
      <c r="A860" s="77">
        <v>642</v>
      </c>
      <c r="B860" s="78" t="s">
        <v>1664</v>
      </c>
      <c r="C860" s="78" t="s">
        <v>1525</v>
      </c>
      <c r="D860" s="78" t="s">
        <v>1664</v>
      </c>
      <c r="E860" s="78"/>
      <c r="F860" s="71" t="str">
        <f t="shared" si="52"/>
        <v>Kyankwanzi</v>
      </c>
      <c r="G860" s="71" t="str">
        <f t="shared" si="53"/>
        <v>Kyankwanzi</v>
      </c>
      <c r="H860" s="78" t="s">
        <v>1664</v>
      </c>
    </row>
    <row r="861" spans="1:8">
      <c r="A861" s="77">
        <v>650</v>
      </c>
      <c r="B861" s="78" t="s">
        <v>1664</v>
      </c>
      <c r="C861" s="78" t="s">
        <v>1525</v>
      </c>
      <c r="D861" s="78" t="s">
        <v>1688</v>
      </c>
      <c r="E861" s="78"/>
      <c r="F861" s="71" t="str">
        <f t="shared" si="52"/>
        <v>Kyankwanzi Town Council</v>
      </c>
      <c r="G861" s="71" t="str">
        <f t="shared" si="53"/>
        <v>Kyankwanzi</v>
      </c>
      <c r="H861" s="78" t="s">
        <v>1688</v>
      </c>
    </row>
    <row r="862" spans="1:8">
      <c r="A862" s="77">
        <v>1184</v>
      </c>
      <c r="B862" s="78" t="s">
        <v>37</v>
      </c>
      <c r="C862" s="78" t="s">
        <v>502</v>
      </c>
      <c r="D862" s="78" t="s">
        <v>1476</v>
      </c>
      <c r="E862" s="78"/>
      <c r="F862" s="71" t="str">
        <f t="shared" si="52"/>
        <v>Kyarumba</v>
      </c>
      <c r="G862" s="71" t="str">
        <f t="shared" si="53"/>
        <v>Kasese</v>
      </c>
      <c r="H862" s="78" t="s">
        <v>1476</v>
      </c>
    </row>
    <row r="863" spans="1:8">
      <c r="A863" s="77">
        <v>1340</v>
      </c>
      <c r="B863" s="78" t="s">
        <v>1709</v>
      </c>
      <c r="C863" s="78" t="s">
        <v>1710</v>
      </c>
      <c r="D863" s="78" t="s">
        <v>1721</v>
      </c>
      <c r="E863" s="78"/>
      <c r="F863" s="71" t="str">
        <f t="shared" si="52"/>
        <v>Kyarusozi</v>
      </c>
      <c r="G863" s="71" t="str">
        <f t="shared" si="53"/>
        <v>Kyenjojo</v>
      </c>
      <c r="H863" s="78" t="s">
        <v>1721</v>
      </c>
    </row>
    <row r="864" spans="1:8">
      <c r="A864" s="77">
        <v>1341</v>
      </c>
      <c r="B864" s="78" t="s">
        <v>1709</v>
      </c>
      <c r="C864" s="78" t="s">
        <v>1710</v>
      </c>
      <c r="D864" s="78" t="s">
        <v>1722</v>
      </c>
      <c r="E864" s="78"/>
      <c r="F864" s="71" t="str">
        <f t="shared" si="52"/>
        <v>Kyarusozi Town Council</v>
      </c>
      <c r="G864" s="71" t="str">
        <f t="shared" si="53"/>
        <v>Kyenjojo</v>
      </c>
      <c r="H864" s="78" t="s">
        <v>1722</v>
      </c>
    </row>
    <row r="865" spans="1:8">
      <c r="A865" s="77">
        <v>1485</v>
      </c>
      <c r="B865" s="78" t="s">
        <v>837</v>
      </c>
      <c r="C865" s="78" t="s">
        <v>838</v>
      </c>
      <c r="D865" s="78" t="s">
        <v>845</v>
      </c>
      <c r="E865" s="78"/>
      <c r="F865" s="71" t="str">
        <f t="shared" si="52"/>
        <v>Kyaterekera</v>
      </c>
      <c r="G865" s="71" t="str">
        <f t="shared" si="53"/>
        <v>Kagadi</v>
      </c>
      <c r="H865" s="78" t="s">
        <v>845</v>
      </c>
    </row>
    <row r="866" spans="1:8">
      <c r="A866" s="77">
        <v>653</v>
      </c>
      <c r="B866" s="78" t="s">
        <v>1797</v>
      </c>
      <c r="C866" s="78" t="s">
        <v>23</v>
      </c>
      <c r="D866" s="78" t="s">
        <v>1799</v>
      </c>
      <c r="E866" s="78"/>
      <c r="F866" s="71" t="str">
        <f t="shared" si="52"/>
        <v>Kyazanga</v>
      </c>
      <c r="G866" s="71" t="str">
        <f t="shared" si="53"/>
        <v>Lwengo</v>
      </c>
      <c r="H866" s="78" t="s">
        <v>1799</v>
      </c>
    </row>
    <row r="867" spans="1:8">
      <c r="A867" s="77">
        <v>654</v>
      </c>
      <c r="B867" s="78" t="s">
        <v>1797</v>
      </c>
      <c r="C867" s="78" t="s">
        <v>23</v>
      </c>
      <c r="D867" s="78" t="s">
        <v>1800</v>
      </c>
      <c r="E867" s="78"/>
      <c r="F867" s="71" t="str">
        <f t="shared" si="52"/>
        <v>Kyazanga Town Council</v>
      </c>
      <c r="G867" s="71" t="str">
        <f t="shared" si="53"/>
        <v>Lwengo</v>
      </c>
      <c r="H867" s="78" t="s">
        <v>1800</v>
      </c>
    </row>
    <row r="868" spans="1:8">
      <c r="A868" s="77">
        <v>1211</v>
      </c>
      <c r="B868" s="78" t="s">
        <v>1513</v>
      </c>
      <c r="C868" s="78" t="s">
        <v>1514</v>
      </c>
      <c r="D868" s="78" t="s">
        <v>1207</v>
      </c>
      <c r="E868" s="78"/>
      <c r="F868" s="71" t="str">
        <f t="shared" si="52"/>
        <v>Kyebando</v>
      </c>
      <c r="G868" s="71" t="str">
        <f t="shared" si="53"/>
        <v>Kibaale</v>
      </c>
      <c r="H868" s="78" t="s">
        <v>1207</v>
      </c>
    </row>
    <row r="869" spans="1:8">
      <c r="A869" s="77">
        <v>661</v>
      </c>
      <c r="B869" s="78" t="s">
        <v>1729</v>
      </c>
      <c r="C869" s="78" t="s">
        <v>1733</v>
      </c>
      <c r="D869" s="78" t="s">
        <v>1736</v>
      </c>
      <c r="E869" s="78"/>
      <c r="F869" s="71" t="str">
        <f t="shared" si="52"/>
        <v>Kyebe</v>
      </c>
      <c r="G869" s="71" t="str">
        <f t="shared" si="53"/>
        <v>Kyotera</v>
      </c>
      <c r="H869" s="78" t="s">
        <v>1736</v>
      </c>
    </row>
    <row r="870" spans="1:8">
      <c r="A870" s="77">
        <v>1425</v>
      </c>
      <c r="B870" s="78" t="s">
        <v>1697</v>
      </c>
      <c r="C870" s="78" t="s">
        <v>1698</v>
      </c>
      <c r="D870" s="78" t="s">
        <v>1703</v>
      </c>
      <c r="E870" s="78"/>
      <c r="F870" s="71" t="str">
        <f t="shared" si="52"/>
        <v>Kyegegwa Town Council</v>
      </c>
      <c r="G870" s="71" t="str">
        <f t="shared" si="53"/>
        <v>Kyegegwa</v>
      </c>
      <c r="H870" s="78" t="s">
        <v>1703</v>
      </c>
    </row>
    <row r="871" spans="1:8">
      <c r="A871" s="77">
        <v>628</v>
      </c>
      <c r="B871" s="78" t="s">
        <v>634</v>
      </c>
      <c r="C871" s="78" t="s">
        <v>634</v>
      </c>
      <c r="D871" s="78" t="s">
        <v>636</v>
      </c>
      <c r="E871" s="78"/>
      <c r="F871" s="71" t="str">
        <f t="shared" si="52"/>
        <v>Kyegonza</v>
      </c>
      <c r="G871" s="71" t="str">
        <f t="shared" si="53"/>
        <v>Gomba</v>
      </c>
      <c r="H871" s="78" t="s">
        <v>636</v>
      </c>
    </row>
    <row r="872" spans="1:8">
      <c r="A872" s="77">
        <v>1131</v>
      </c>
      <c r="B872" s="78" t="s">
        <v>39</v>
      </c>
      <c r="C872" s="78" t="s">
        <v>535</v>
      </c>
      <c r="D872" s="78" t="s">
        <v>550</v>
      </c>
      <c r="E872" s="78"/>
      <c r="F872" s="71" t="str">
        <f t="shared" si="52"/>
        <v>Kyeizooba</v>
      </c>
      <c r="G872" s="71" t="str">
        <f t="shared" si="53"/>
        <v>Bushenyi</v>
      </c>
      <c r="H872" s="78" t="s">
        <v>550</v>
      </c>
    </row>
    <row r="873" spans="1:8">
      <c r="A873" s="77">
        <v>542</v>
      </c>
      <c r="B873" s="78" t="s">
        <v>2477</v>
      </c>
      <c r="C873" s="78" t="s">
        <v>2481</v>
      </c>
      <c r="D873" s="78" t="s">
        <v>2574</v>
      </c>
      <c r="E873" s="78"/>
      <c r="F873" s="71" t="str">
        <f t="shared" si="52"/>
        <v>Kyengera Town Council</v>
      </c>
      <c r="G873" s="71" t="str">
        <f t="shared" si="53"/>
        <v>Wakiso</v>
      </c>
      <c r="H873" s="78" t="s">
        <v>2574</v>
      </c>
    </row>
    <row r="874" spans="1:8">
      <c r="A874" s="77">
        <v>1342</v>
      </c>
      <c r="B874" s="78" t="s">
        <v>1709</v>
      </c>
      <c r="C874" s="78" t="s">
        <v>1710</v>
      </c>
      <c r="D874" s="78" t="s">
        <v>1723</v>
      </c>
      <c r="E874" s="78"/>
      <c r="F874" s="71" t="str">
        <f t="shared" si="52"/>
        <v>Kyenjojo Town Council</v>
      </c>
      <c r="G874" s="71" t="str">
        <f t="shared" si="53"/>
        <v>Kyenjojo</v>
      </c>
      <c r="H874" s="78" t="s">
        <v>1723</v>
      </c>
    </row>
    <row r="875" spans="1:8">
      <c r="A875" s="77">
        <v>1486</v>
      </c>
      <c r="B875" s="78" t="s">
        <v>837</v>
      </c>
      <c r="C875" s="78" t="s">
        <v>838</v>
      </c>
      <c r="D875" s="78" t="s">
        <v>846</v>
      </c>
      <c r="E875" s="78"/>
      <c r="F875" s="71" t="str">
        <f t="shared" si="52"/>
        <v>Kyenzige</v>
      </c>
      <c r="G875" s="71" t="str">
        <f t="shared" si="53"/>
        <v>Kagadi</v>
      </c>
      <c r="H875" s="78" t="s">
        <v>846</v>
      </c>
    </row>
    <row r="876" spans="1:8">
      <c r="A876" s="77">
        <v>1075</v>
      </c>
      <c r="B876" s="78" t="s">
        <v>2377</v>
      </c>
      <c r="C876" s="78" t="s">
        <v>2377</v>
      </c>
      <c r="D876" s="78" t="s">
        <v>2383</v>
      </c>
      <c r="E876" s="78"/>
      <c r="F876" s="71" t="str">
        <f t="shared" si="52"/>
        <v>Kyere</v>
      </c>
      <c r="G876" s="71" t="str">
        <f t="shared" si="53"/>
        <v>Serere</v>
      </c>
      <c r="H876" s="78" t="s">
        <v>2383</v>
      </c>
    </row>
    <row r="877" spans="1:8">
      <c r="A877" s="77">
        <v>446</v>
      </c>
      <c r="B877" s="78" t="s">
        <v>40</v>
      </c>
      <c r="C877" s="78" t="s">
        <v>23</v>
      </c>
      <c r="D877" s="78" t="s">
        <v>1846</v>
      </c>
      <c r="E877" s="78"/>
      <c r="F877" s="71" t="str">
        <f t="shared" si="52"/>
        <v>Kyesiiga</v>
      </c>
      <c r="G877" s="71" t="str">
        <f t="shared" si="53"/>
        <v>Masaka</v>
      </c>
      <c r="H877" s="78" t="s">
        <v>1846</v>
      </c>
    </row>
    <row r="878" spans="1:8">
      <c r="A878" s="77">
        <v>1185</v>
      </c>
      <c r="B878" s="78" t="s">
        <v>37</v>
      </c>
      <c r="C878" s="78" t="s">
        <v>502</v>
      </c>
      <c r="D878" s="78" t="s">
        <v>1477</v>
      </c>
      <c r="E878" s="78"/>
      <c r="F878" s="71" t="str">
        <f t="shared" si="52"/>
        <v>Kyondo</v>
      </c>
      <c r="G878" s="71" t="str">
        <f t="shared" si="53"/>
        <v>Kasese</v>
      </c>
      <c r="H878" s="78" t="s">
        <v>1477</v>
      </c>
    </row>
    <row r="879" spans="1:8">
      <c r="A879" s="77">
        <v>666</v>
      </c>
      <c r="B879" s="78" t="s">
        <v>1729</v>
      </c>
      <c r="C879" s="78" t="s">
        <v>1729</v>
      </c>
      <c r="D879" s="78" t="s">
        <v>1737</v>
      </c>
      <c r="E879" s="78"/>
      <c r="F879" s="71" t="str">
        <f t="shared" si="52"/>
        <v>Kyotera Town Council</v>
      </c>
      <c r="G879" s="71" t="str">
        <f t="shared" si="53"/>
        <v>Kyotera</v>
      </c>
      <c r="H879" s="78" t="s">
        <v>1737</v>
      </c>
    </row>
    <row r="880" spans="1:8">
      <c r="A880" s="77">
        <v>59</v>
      </c>
      <c r="B880" s="78" t="s">
        <v>220</v>
      </c>
      <c r="C880" s="78" t="s">
        <v>1611</v>
      </c>
      <c r="D880" s="78" t="s">
        <v>1613</v>
      </c>
      <c r="E880" s="78"/>
      <c r="F880" s="71" t="str">
        <f t="shared" si="52"/>
        <v>Labongo Akwang</v>
      </c>
      <c r="G880" s="71" t="str">
        <f t="shared" si="53"/>
        <v>Kitgum</v>
      </c>
      <c r="H880" s="78" t="s">
        <v>1613</v>
      </c>
    </row>
    <row r="881" spans="1:8">
      <c r="A881" s="77">
        <v>60</v>
      </c>
      <c r="B881" s="78" t="s">
        <v>220</v>
      </c>
      <c r="C881" s="78" t="s">
        <v>1611</v>
      </c>
      <c r="D881" s="78" t="s">
        <v>1614</v>
      </c>
      <c r="E881" s="78"/>
      <c r="F881" s="71" t="str">
        <f t="shared" si="52"/>
        <v>Labongo Amida</v>
      </c>
      <c r="G881" s="71" t="str">
        <f t="shared" si="53"/>
        <v>Kitgum</v>
      </c>
      <c r="H881" s="78" t="s">
        <v>1614</v>
      </c>
    </row>
    <row r="882" spans="1:8">
      <c r="A882" s="77">
        <v>61</v>
      </c>
      <c r="B882" s="78" t="s">
        <v>220</v>
      </c>
      <c r="C882" s="78" t="s">
        <v>1611</v>
      </c>
      <c r="D882" s="78" t="s">
        <v>1615</v>
      </c>
      <c r="E882" s="78"/>
      <c r="F882" s="71" t="str">
        <f t="shared" si="52"/>
        <v>Labongo Layamo</v>
      </c>
      <c r="G882" s="71" t="str">
        <f t="shared" si="53"/>
        <v>Kitgum</v>
      </c>
      <c r="H882" s="78" t="s">
        <v>1615</v>
      </c>
    </row>
    <row r="883" spans="1:8">
      <c r="A883" s="77">
        <v>1071</v>
      </c>
      <c r="B883" s="78" t="s">
        <v>2377</v>
      </c>
      <c r="C883" s="78" t="s">
        <v>2379</v>
      </c>
      <c r="D883" s="78" t="s">
        <v>2384</v>
      </c>
      <c r="E883" s="78"/>
      <c r="F883" s="71" t="str">
        <f t="shared" si="52"/>
        <v>Labori</v>
      </c>
      <c r="G883" s="71" t="str">
        <f t="shared" si="53"/>
        <v>Serere</v>
      </c>
      <c r="H883" s="78" t="s">
        <v>2384</v>
      </c>
    </row>
    <row r="884" spans="1:8">
      <c r="A884" s="77">
        <v>62</v>
      </c>
      <c r="B884" s="78" t="s">
        <v>220</v>
      </c>
      <c r="C884" s="78" t="s">
        <v>1611</v>
      </c>
      <c r="D884" s="78" t="s">
        <v>1616</v>
      </c>
      <c r="E884" s="78"/>
      <c r="F884" s="71" t="str">
        <f t="shared" si="52"/>
        <v>Lagoro</v>
      </c>
      <c r="G884" s="71" t="str">
        <f t="shared" si="53"/>
        <v>Kitgum</v>
      </c>
      <c r="H884" s="78" t="s">
        <v>1616</v>
      </c>
    </row>
    <row r="885" spans="1:8">
      <c r="A885" s="77">
        <v>130</v>
      </c>
      <c r="B885" s="78" t="s">
        <v>2274</v>
      </c>
      <c r="C885" s="78" t="s">
        <v>2275</v>
      </c>
      <c r="D885" s="78" t="s">
        <v>2279</v>
      </c>
      <c r="E885" s="78"/>
      <c r="F885" s="71" t="str">
        <f t="shared" si="52"/>
        <v>Laguti</v>
      </c>
      <c r="G885" s="71" t="str">
        <f t="shared" si="53"/>
        <v>Pader</v>
      </c>
      <c r="H885" s="78" t="s">
        <v>2279</v>
      </c>
    </row>
    <row r="886" spans="1:8">
      <c r="A886" s="77">
        <v>1201</v>
      </c>
      <c r="B886" s="78" t="s">
        <v>37</v>
      </c>
      <c r="C886" s="78" t="s">
        <v>1452</v>
      </c>
      <c r="D886" s="78" t="s">
        <v>1478</v>
      </c>
      <c r="E886" s="78"/>
      <c r="F886" s="71" t="str">
        <f t="shared" si="52"/>
        <v>Lake Katwe</v>
      </c>
      <c r="G886" s="71" t="str">
        <f t="shared" si="53"/>
        <v>Kasese</v>
      </c>
      <c r="H886" s="78" t="s">
        <v>1478</v>
      </c>
    </row>
    <row r="887" spans="1:8">
      <c r="A887" s="77">
        <v>307</v>
      </c>
      <c r="B887" s="78" t="s">
        <v>287</v>
      </c>
      <c r="C887" s="78" t="s">
        <v>287</v>
      </c>
      <c r="D887" s="78" t="s">
        <v>2245</v>
      </c>
      <c r="E887" s="78"/>
      <c r="F887" s="71" t="str">
        <f t="shared" si="52"/>
        <v>Lakwana</v>
      </c>
      <c r="G887" s="71" t="str">
        <f t="shared" si="53"/>
        <v>Omoro</v>
      </c>
      <c r="H887" s="78" t="s">
        <v>2245</v>
      </c>
    </row>
    <row r="888" spans="1:8">
      <c r="A888" s="77">
        <v>308</v>
      </c>
      <c r="B888" s="78" t="s">
        <v>287</v>
      </c>
      <c r="C888" s="78" t="s">
        <v>287</v>
      </c>
      <c r="D888" s="78" t="s">
        <v>2246</v>
      </c>
      <c r="E888" s="78"/>
      <c r="F888" s="71" t="str">
        <f t="shared" si="52"/>
        <v>Lalogi</v>
      </c>
      <c r="G888" s="71" t="str">
        <f t="shared" si="53"/>
        <v>Omoro</v>
      </c>
      <c r="H888" s="78" t="s">
        <v>2246</v>
      </c>
    </row>
    <row r="889" spans="1:8">
      <c r="A889" s="77">
        <v>232</v>
      </c>
      <c r="B889" s="78" t="s">
        <v>261</v>
      </c>
      <c r="C889" s="78" t="s">
        <v>261</v>
      </c>
      <c r="D889" s="78" t="s">
        <v>266</v>
      </c>
      <c r="E889" s="78"/>
      <c r="F889" s="71" t="str">
        <f t="shared" si="52"/>
        <v>Lamiyo</v>
      </c>
      <c r="G889" s="71" t="str">
        <f t="shared" si="53"/>
        <v>Agago</v>
      </c>
      <c r="H889" s="78" t="s">
        <v>266</v>
      </c>
    </row>
    <row r="890" spans="1:8">
      <c r="A890" s="77">
        <v>171</v>
      </c>
      <c r="B890" s="78" t="s">
        <v>171</v>
      </c>
      <c r="C890" s="78" t="s">
        <v>323</v>
      </c>
      <c r="D890" s="78" t="s">
        <v>327</v>
      </c>
      <c r="E890" s="78"/>
      <c r="F890" s="71" t="str">
        <f t="shared" si="52"/>
        <v>Lamogi</v>
      </c>
      <c r="G890" s="71" t="str">
        <f t="shared" si="53"/>
        <v>Amuru</v>
      </c>
      <c r="H890" s="78" t="s">
        <v>327</v>
      </c>
    </row>
    <row r="891" spans="1:8">
      <c r="A891" s="77">
        <v>264</v>
      </c>
      <c r="B891" s="78" t="s">
        <v>222</v>
      </c>
      <c r="C891" s="78" t="s">
        <v>222</v>
      </c>
      <c r="D891" s="78" t="s">
        <v>1743</v>
      </c>
      <c r="E891" s="78"/>
      <c r="F891" s="71" t="str">
        <f t="shared" si="52"/>
        <v>Lamwo Town Council</v>
      </c>
      <c r="G891" s="71" t="str">
        <f t="shared" si="53"/>
        <v>Lamwo</v>
      </c>
      <c r="H891" s="78" t="s">
        <v>1743</v>
      </c>
    </row>
    <row r="892" spans="1:8">
      <c r="A892" s="77">
        <v>233</v>
      </c>
      <c r="B892" s="78" t="s">
        <v>261</v>
      </c>
      <c r="C892" s="78" t="s">
        <v>261</v>
      </c>
      <c r="D892" s="78" t="s">
        <v>267</v>
      </c>
      <c r="E892" s="78"/>
      <c r="F892" s="71" t="str">
        <f t="shared" si="52"/>
        <v>Lapono</v>
      </c>
      <c r="G892" s="71" t="str">
        <f t="shared" si="53"/>
        <v>Agago</v>
      </c>
      <c r="H892" s="78" t="s">
        <v>267</v>
      </c>
    </row>
    <row r="893" spans="1:8">
      <c r="A893" s="77">
        <v>131</v>
      </c>
      <c r="B893" s="78" t="s">
        <v>2274</v>
      </c>
      <c r="C893" s="78" t="s">
        <v>2275</v>
      </c>
      <c r="D893" s="78" t="s">
        <v>2280</v>
      </c>
      <c r="E893" s="78"/>
      <c r="F893" s="71" t="str">
        <f t="shared" si="52"/>
        <v>Lapul</v>
      </c>
      <c r="G893" s="71" t="str">
        <f t="shared" si="53"/>
        <v>Pader</v>
      </c>
      <c r="H893" s="78" t="s">
        <v>2280</v>
      </c>
    </row>
    <row r="894" spans="1:8">
      <c r="A894" s="77">
        <v>55</v>
      </c>
      <c r="B894" s="78" t="s">
        <v>172</v>
      </c>
      <c r="C894" s="79" t="s">
        <v>642</v>
      </c>
      <c r="D894" s="78" t="s">
        <v>2852</v>
      </c>
      <c r="E894" s="78"/>
      <c r="F894" s="72" t="str">
        <f>VLOOKUP(C894,[2]Municipalities!$C$9:$F$1522,4,FALSE)</f>
        <v>Gulu Municipality</v>
      </c>
      <c r="G894" s="71" t="str">
        <f t="shared" si="53"/>
        <v>Gulu</v>
      </c>
      <c r="H894" s="78" t="s">
        <v>2852</v>
      </c>
    </row>
    <row r="895" spans="1:8">
      <c r="A895" s="77">
        <v>102</v>
      </c>
      <c r="B895" s="78" t="s">
        <v>2001</v>
      </c>
      <c r="C895" s="78" t="s">
        <v>2004</v>
      </c>
      <c r="D895" s="78" t="s">
        <v>2007</v>
      </c>
      <c r="E895" s="78"/>
      <c r="F895" s="71" t="str">
        <f t="shared" si="52"/>
        <v>Laropi</v>
      </c>
      <c r="G895" s="71" t="str">
        <f t="shared" si="53"/>
        <v>Moyo</v>
      </c>
      <c r="H895" s="78" t="s">
        <v>2007</v>
      </c>
    </row>
    <row r="896" spans="1:8">
      <c r="A896" s="77">
        <v>132</v>
      </c>
      <c r="B896" s="78" t="s">
        <v>2274</v>
      </c>
      <c r="C896" s="78" t="s">
        <v>2275</v>
      </c>
      <c r="D896" s="78" t="s">
        <v>2281</v>
      </c>
      <c r="E896" s="78"/>
      <c r="F896" s="71" t="str">
        <f t="shared" si="52"/>
        <v>Latanya</v>
      </c>
      <c r="G896" s="71" t="str">
        <f t="shared" si="53"/>
        <v>Pader</v>
      </c>
      <c r="H896" s="78" t="s">
        <v>2281</v>
      </c>
    </row>
    <row r="897" spans="1:8">
      <c r="A897" s="77">
        <v>56</v>
      </c>
      <c r="B897" s="78" t="s">
        <v>172</v>
      </c>
      <c r="C897" s="79" t="s">
        <v>642</v>
      </c>
      <c r="D897" s="78" t="s">
        <v>2853</v>
      </c>
      <c r="E897" s="78"/>
      <c r="F897" s="72" t="str">
        <f>VLOOKUP(C897,[2]Municipalities!$C$9:$F$1522,4,FALSE)</f>
        <v>Gulu Municipality</v>
      </c>
      <c r="G897" s="71" t="str">
        <f t="shared" si="53"/>
        <v>Gulu</v>
      </c>
      <c r="H897" s="78" t="s">
        <v>2853</v>
      </c>
    </row>
    <row r="898" spans="1:8">
      <c r="A898" s="77">
        <v>103</v>
      </c>
      <c r="B898" s="78" t="s">
        <v>2001</v>
      </c>
      <c r="C898" s="78" t="s">
        <v>2004</v>
      </c>
      <c r="D898" s="78" t="s">
        <v>2008</v>
      </c>
      <c r="E898" s="78"/>
      <c r="F898" s="71" t="str">
        <f t="shared" si="52"/>
        <v>Lefori</v>
      </c>
      <c r="G898" s="71" t="str">
        <f t="shared" si="53"/>
        <v>Moyo</v>
      </c>
      <c r="H898" s="78" t="s">
        <v>2008</v>
      </c>
    </row>
    <row r="899" spans="1:8">
      <c r="A899" s="77">
        <v>85</v>
      </c>
      <c r="B899" s="78" t="s">
        <v>213</v>
      </c>
      <c r="C899" s="78" t="s">
        <v>1750</v>
      </c>
      <c r="D899" s="78" t="s">
        <v>213</v>
      </c>
      <c r="E899" s="78"/>
      <c r="F899" s="71" t="str">
        <f t="shared" si="52"/>
        <v>Lira</v>
      </c>
      <c r="G899" s="71" t="str">
        <f t="shared" si="53"/>
        <v>Lira</v>
      </c>
      <c r="H899" s="78" t="s">
        <v>213</v>
      </c>
    </row>
    <row r="900" spans="1:8">
      <c r="A900" s="77">
        <v>234</v>
      </c>
      <c r="B900" s="78" t="s">
        <v>261</v>
      </c>
      <c r="C900" s="78" t="s">
        <v>261</v>
      </c>
      <c r="D900" s="78" t="s">
        <v>268</v>
      </c>
      <c r="E900" s="78"/>
      <c r="F900" s="71" t="str">
        <f t="shared" ref="F900:F917" si="54">D900</f>
        <v>Lira Palwo</v>
      </c>
      <c r="G900" s="71" t="str">
        <f t="shared" si="53"/>
        <v>Agago</v>
      </c>
      <c r="H900" s="78" t="s">
        <v>268</v>
      </c>
    </row>
    <row r="901" spans="1:8">
      <c r="A901" s="77">
        <v>192</v>
      </c>
      <c r="B901" s="78" t="s">
        <v>770</v>
      </c>
      <c r="C901" s="78" t="s">
        <v>771</v>
      </c>
      <c r="D901" s="78" t="s">
        <v>779</v>
      </c>
      <c r="E901" s="78"/>
      <c r="F901" s="71" t="str">
        <f t="shared" si="54"/>
        <v>Lobalangit</v>
      </c>
      <c r="G901" s="71" t="str">
        <f t="shared" si="53"/>
        <v>Kaabong</v>
      </c>
      <c r="H901" s="78" t="s">
        <v>779</v>
      </c>
    </row>
    <row r="902" spans="1:8">
      <c r="A902" s="77">
        <v>201</v>
      </c>
      <c r="B902" s="78" t="s">
        <v>1622</v>
      </c>
      <c r="C902" s="78" t="s">
        <v>1622</v>
      </c>
      <c r="D902" s="78" t="s">
        <v>1626</v>
      </c>
      <c r="E902" s="78"/>
      <c r="F902" s="71" t="str">
        <f t="shared" si="54"/>
        <v>Lobule</v>
      </c>
      <c r="G902" s="71" t="str">
        <f t="shared" si="53"/>
        <v>Koboko</v>
      </c>
      <c r="H902" s="78" t="s">
        <v>1626</v>
      </c>
    </row>
    <row r="903" spans="1:8">
      <c r="A903" s="77">
        <v>193</v>
      </c>
      <c r="B903" s="78" t="s">
        <v>770</v>
      </c>
      <c r="C903" s="78" t="s">
        <v>771</v>
      </c>
      <c r="D903" s="78" t="s">
        <v>780</v>
      </c>
      <c r="E903" s="78"/>
      <c r="F903" s="71" t="str">
        <f t="shared" si="54"/>
        <v>Lodiko</v>
      </c>
      <c r="G903" s="71" t="str">
        <f t="shared" si="53"/>
        <v>Kaabong</v>
      </c>
      <c r="H903" s="78" t="s">
        <v>780</v>
      </c>
    </row>
    <row r="904" spans="1:8">
      <c r="A904" s="77">
        <v>146</v>
      </c>
      <c r="B904" s="78" t="s">
        <v>2711</v>
      </c>
      <c r="C904" s="78" t="s">
        <v>2712</v>
      </c>
      <c r="D904" s="78" t="s">
        <v>2720</v>
      </c>
      <c r="E904" s="78"/>
      <c r="F904" s="71" t="str">
        <f t="shared" si="54"/>
        <v>Lodonga</v>
      </c>
      <c r="G904" s="71" t="str">
        <f t="shared" si="53"/>
        <v>Yumbe</v>
      </c>
      <c r="H904" s="78" t="s">
        <v>2720</v>
      </c>
    </row>
    <row r="905" spans="1:8">
      <c r="A905" s="77">
        <v>48</v>
      </c>
      <c r="B905" s="78" t="s">
        <v>344</v>
      </c>
      <c r="C905" s="78" t="s">
        <v>349</v>
      </c>
      <c r="D905" s="78" t="s">
        <v>360</v>
      </c>
      <c r="E905" s="78"/>
      <c r="F905" s="71" t="str">
        <f t="shared" si="54"/>
        <v>Logiri</v>
      </c>
      <c r="G905" s="71" t="str">
        <f t="shared" si="53"/>
        <v>Arua</v>
      </c>
      <c r="H905" s="78" t="s">
        <v>360</v>
      </c>
    </row>
    <row r="906" spans="1:8">
      <c r="A906" s="77">
        <v>235</v>
      </c>
      <c r="B906" s="78" t="s">
        <v>261</v>
      </c>
      <c r="C906" s="78" t="s">
        <v>261</v>
      </c>
      <c r="D906" s="78" t="s">
        <v>269</v>
      </c>
      <c r="E906" s="78"/>
      <c r="F906" s="71" t="str">
        <f t="shared" si="54"/>
        <v>Lokole</v>
      </c>
      <c r="G906" s="71" t="str">
        <f t="shared" ref="G906:G969" si="55">B906</f>
        <v>Agago</v>
      </c>
      <c r="H906" s="78" t="s">
        <v>269</v>
      </c>
    </row>
    <row r="907" spans="1:8">
      <c r="A907" s="77">
        <v>280</v>
      </c>
      <c r="B907" s="78" t="s">
        <v>2172</v>
      </c>
      <c r="C907" s="78" t="s">
        <v>2173</v>
      </c>
      <c r="D907" s="78" t="s">
        <v>2174</v>
      </c>
      <c r="E907" s="78"/>
      <c r="F907" s="71" t="str">
        <f t="shared" si="54"/>
        <v>Lokopo</v>
      </c>
      <c r="G907" s="71" t="str">
        <f t="shared" si="55"/>
        <v>Napak</v>
      </c>
      <c r="H907" s="78" t="s">
        <v>2174</v>
      </c>
    </row>
    <row r="908" spans="1:8">
      <c r="A908" s="77">
        <v>268</v>
      </c>
      <c r="B908" s="78" t="s">
        <v>222</v>
      </c>
      <c r="C908" s="78" t="s">
        <v>222</v>
      </c>
      <c r="D908" s="78" t="s">
        <v>1744</v>
      </c>
      <c r="E908" s="78"/>
      <c r="F908" s="71" t="str">
        <f t="shared" si="54"/>
        <v>Lokung</v>
      </c>
      <c r="G908" s="71" t="str">
        <f t="shared" si="55"/>
        <v>Lamwo</v>
      </c>
      <c r="H908" s="78" t="s">
        <v>1744</v>
      </c>
    </row>
    <row r="909" spans="1:8">
      <c r="A909" s="77">
        <v>123</v>
      </c>
      <c r="B909" s="78" t="s">
        <v>2090</v>
      </c>
      <c r="C909" s="78" t="s">
        <v>2093</v>
      </c>
      <c r="D909" s="78" t="s">
        <v>2092</v>
      </c>
      <c r="E909" s="78"/>
      <c r="F909" s="71" t="str">
        <f t="shared" si="54"/>
        <v>Lolachat</v>
      </c>
      <c r="G909" s="71" t="str">
        <f t="shared" si="55"/>
        <v>Nakapiripirit</v>
      </c>
      <c r="H909" s="78" t="s">
        <v>2092</v>
      </c>
    </row>
    <row r="910" spans="1:8">
      <c r="A910" s="77">
        <v>194</v>
      </c>
      <c r="B910" s="78" t="s">
        <v>770</v>
      </c>
      <c r="C910" s="78" t="s">
        <v>771</v>
      </c>
      <c r="D910" s="78" t="s">
        <v>781</v>
      </c>
      <c r="E910" s="78"/>
      <c r="F910" s="71" t="str">
        <f t="shared" si="54"/>
        <v>Lolelia</v>
      </c>
      <c r="G910" s="71" t="str">
        <f t="shared" si="55"/>
        <v>Kaabong</v>
      </c>
      <c r="H910" s="78" t="s">
        <v>781</v>
      </c>
    </row>
    <row r="911" spans="1:8">
      <c r="A911" s="77">
        <v>1059</v>
      </c>
      <c r="B911" s="78" t="s">
        <v>2133</v>
      </c>
      <c r="C911" s="78" t="s">
        <v>2134</v>
      </c>
      <c r="D911" s="78" t="s">
        <v>2140</v>
      </c>
      <c r="E911" s="78"/>
      <c r="F911" s="71" t="str">
        <f t="shared" si="54"/>
        <v>Lolwe</v>
      </c>
      <c r="G911" s="71" t="str">
        <f t="shared" si="55"/>
        <v>Namayingo</v>
      </c>
      <c r="H911" s="78" t="s">
        <v>2140</v>
      </c>
    </row>
    <row r="912" spans="1:8">
      <c r="A912" s="77">
        <v>281</v>
      </c>
      <c r="B912" s="78" t="s">
        <v>2172</v>
      </c>
      <c r="C912" s="78" t="s">
        <v>2173</v>
      </c>
      <c r="D912" s="78" t="s">
        <v>2175</v>
      </c>
      <c r="E912" s="78"/>
      <c r="F912" s="71" t="str">
        <f t="shared" si="54"/>
        <v>Lopeei</v>
      </c>
      <c r="G912" s="71" t="str">
        <f t="shared" si="55"/>
        <v>Napak</v>
      </c>
      <c r="H912" s="78" t="s">
        <v>2175</v>
      </c>
    </row>
    <row r="913" spans="1:8">
      <c r="A913" s="77">
        <v>118</v>
      </c>
      <c r="B913" s="78" t="s">
        <v>2090</v>
      </c>
      <c r="C913" s="78" t="s">
        <v>2091</v>
      </c>
      <c r="D913" s="78" t="s">
        <v>2094</v>
      </c>
      <c r="E913" s="78"/>
      <c r="F913" s="71" t="str">
        <f t="shared" si="54"/>
        <v>Loregae</v>
      </c>
      <c r="G913" s="71" t="str">
        <f t="shared" si="55"/>
        <v>Nakapiripirit</v>
      </c>
      <c r="H913" s="78" t="s">
        <v>2094</v>
      </c>
    </row>
    <row r="914" spans="1:8">
      <c r="A914" s="77">
        <v>275</v>
      </c>
      <c r="B914" s="78" t="s">
        <v>2172</v>
      </c>
      <c r="C914" s="78" t="s">
        <v>2173</v>
      </c>
      <c r="D914" s="78" t="s">
        <v>2176</v>
      </c>
      <c r="E914" s="78"/>
      <c r="F914" s="71" t="str">
        <f t="shared" si="54"/>
        <v>Lorengecora</v>
      </c>
      <c r="G914" s="71" t="str">
        <f t="shared" si="55"/>
        <v>Napak</v>
      </c>
      <c r="H914" s="78" t="s">
        <v>2176</v>
      </c>
    </row>
    <row r="915" spans="1:8">
      <c r="A915" s="77">
        <v>124</v>
      </c>
      <c r="B915" s="78" t="s">
        <v>2090</v>
      </c>
      <c r="C915" s="78" t="s">
        <v>2093</v>
      </c>
      <c r="D915" s="78" t="s">
        <v>2095</v>
      </c>
      <c r="E915" s="78"/>
      <c r="F915" s="71" t="str">
        <f t="shared" si="54"/>
        <v>Lorengedwat</v>
      </c>
      <c r="G915" s="71" t="str">
        <f t="shared" si="55"/>
        <v>Nakapiripirit</v>
      </c>
      <c r="H915" s="78" t="s">
        <v>2095</v>
      </c>
    </row>
    <row r="916" spans="1:8">
      <c r="A916" s="77">
        <v>221</v>
      </c>
      <c r="B916" s="78" t="s">
        <v>2260</v>
      </c>
      <c r="C916" s="78" t="s">
        <v>2260</v>
      </c>
      <c r="D916" s="78" t="s">
        <v>2267</v>
      </c>
      <c r="E916" s="78"/>
      <c r="F916" s="71" t="str">
        <f t="shared" si="54"/>
        <v>Loro</v>
      </c>
      <c r="G916" s="71" t="str">
        <f t="shared" si="55"/>
        <v>Oyam</v>
      </c>
      <c r="H916" s="78" t="s">
        <v>2267</v>
      </c>
    </row>
    <row r="917" spans="1:8">
      <c r="A917" s="77">
        <v>255</v>
      </c>
      <c r="B917" s="78" t="s">
        <v>301</v>
      </c>
      <c r="C917" s="78" t="s">
        <v>302</v>
      </c>
      <c r="D917" s="78" t="s">
        <v>305</v>
      </c>
      <c r="E917" s="78"/>
      <c r="F917" s="71" t="str">
        <f t="shared" si="54"/>
        <v>Loroo</v>
      </c>
      <c r="G917" s="71" t="str">
        <f t="shared" si="55"/>
        <v>Amudat</v>
      </c>
      <c r="H917" s="78" t="s">
        <v>305</v>
      </c>
    </row>
    <row r="918" spans="1:8" ht="25.5">
      <c r="A918" s="77">
        <v>78</v>
      </c>
      <c r="B918" s="78" t="s">
        <v>1637</v>
      </c>
      <c r="C918" s="79" t="s">
        <v>1639</v>
      </c>
      <c r="D918" s="78" t="s">
        <v>2854</v>
      </c>
      <c r="E918" s="78"/>
      <c r="F918" s="72" t="str">
        <f>VLOOKUP(C918,[2]Municipalities!$C$9:$F$1522,4,FALSE)</f>
        <v>Kotido Municipality</v>
      </c>
      <c r="G918" s="71" t="str">
        <f t="shared" si="55"/>
        <v>Kotido</v>
      </c>
      <c r="H918" s="78" t="s">
        <v>2854</v>
      </c>
    </row>
    <row r="919" spans="1:8">
      <c r="A919" s="77">
        <v>276</v>
      </c>
      <c r="B919" s="78" t="s">
        <v>2172</v>
      </c>
      <c r="C919" s="78" t="s">
        <v>2173</v>
      </c>
      <c r="D919" s="78" t="s">
        <v>2177</v>
      </c>
      <c r="E919" s="78"/>
      <c r="F919" s="71" t="str">
        <f t="shared" ref="F919:F966" si="56">D919</f>
        <v>Lotome</v>
      </c>
      <c r="G919" s="71" t="str">
        <f t="shared" si="55"/>
        <v>Napak</v>
      </c>
      <c r="H919" s="78" t="s">
        <v>2177</v>
      </c>
    </row>
    <row r="920" spans="1:8">
      <c r="A920" s="77">
        <v>154</v>
      </c>
      <c r="B920" s="78" t="s">
        <v>241</v>
      </c>
      <c r="C920" s="78" t="s">
        <v>242</v>
      </c>
      <c r="D920" s="78" t="s">
        <v>245</v>
      </c>
      <c r="E920" s="78"/>
      <c r="F920" s="71" t="str">
        <f t="shared" si="56"/>
        <v>Lotukei</v>
      </c>
      <c r="G920" s="71" t="str">
        <f t="shared" si="55"/>
        <v>Abim</v>
      </c>
      <c r="H920" s="78" t="s">
        <v>245</v>
      </c>
    </row>
    <row r="921" spans="1:8">
      <c r="A921" s="77">
        <v>195</v>
      </c>
      <c r="B921" s="78" t="s">
        <v>770</v>
      </c>
      <c r="C921" s="78" t="s">
        <v>771</v>
      </c>
      <c r="D921" s="78" t="s">
        <v>782</v>
      </c>
      <c r="E921" s="78"/>
      <c r="F921" s="71" t="str">
        <f t="shared" si="56"/>
        <v>Loyoro</v>
      </c>
      <c r="G921" s="71" t="str">
        <f t="shared" si="55"/>
        <v>Kaabong</v>
      </c>
      <c r="H921" s="78" t="s">
        <v>782</v>
      </c>
    </row>
    <row r="922" spans="1:8">
      <c r="A922" s="77">
        <v>622</v>
      </c>
      <c r="B922" s="78" t="s">
        <v>604</v>
      </c>
      <c r="C922" s="78" t="s">
        <v>605</v>
      </c>
      <c r="D922" s="78" t="s">
        <v>610</v>
      </c>
      <c r="E922" s="78"/>
      <c r="F922" s="71" t="str">
        <f t="shared" si="56"/>
        <v>Lubya</v>
      </c>
      <c r="G922" s="71" t="str">
        <f t="shared" si="55"/>
        <v>Buvuma</v>
      </c>
      <c r="H922" s="78" t="s">
        <v>610</v>
      </c>
    </row>
    <row r="923" spans="1:8">
      <c r="A923" s="77">
        <v>202</v>
      </c>
      <c r="B923" s="78" t="s">
        <v>1622</v>
      </c>
      <c r="C923" s="78" t="s">
        <v>1622</v>
      </c>
      <c r="D923" s="78" t="s">
        <v>1627</v>
      </c>
      <c r="E923" s="78"/>
      <c r="F923" s="71" t="str">
        <f t="shared" si="56"/>
        <v>Ludara</v>
      </c>
      <c r="G923" s="71" t="str">
        <f t="shared" si="55"/>
        <v>Koboko</v>
      </c>
      <c r="H923" s="78" t="s">
        <v>1627</v>
      </c>
    </row>
    <row r="924" spans="1:8">
      <c r="A924" s="77">
        <v>517</v>
      </c>
      <c r="B924" s="78" t="s">
        <v>2442</v>
      </c>
      <c r="C924" s="78" t="s">
        <v>2443</v>
      </c>
      <c r="D924" s="78" t="s">
        <v>2441</v>
      </c>
      <c r="E924" s="78"/>
      <c r="F924" s="71" t="str">
        <f t="shared" si="56"/>
        <v>Lugusulu</v>
      </c>
      <c r="G924" s="71" t="str">
        <f t="shared" si="55"/>
        <v>Ssembabule</v>
      </c>
      <c r="H924" s="78" t="s">
        <v>2441</v>
      </c>
    </row>
    <row r="925" spans="1:8">
      <c r="A925" s="77">
        <v>635</v>
      </c>
      <c r="B925" s="78" t="s">
        <v>892</v>
      </c>
      <c r="C925" s="78" t="s">
        <v>892</v>
      </c>
      <c r="D925" s="78" t="s">
        <v>896</v>
      </c>
      <c r="E925" s="78"/>
      <c r="F925" s="71" t="str">
        <f t="shared" si="56"/>
        <v>Lukaya Town Council</v>
      </c>
      <c r="G925" s="71" t="str">
        <f t="shared" si="55"/>
        <v>Kalungu</v>
      </c>
      <c r="H925" s="78" t="s">
        <v>896</v>
      </c>
    </row>
    <row r="926" spans="1:8">
      <c r="A926" s="77">
        <v>784</v>
      </c>
      <c r="B926" s="78" t="s">
        <v>228</v>
      </c>
      <c r="C926" s="78" t="s">
        <v>1886</v>
      </c>
      <c r="D926" s="78" t="s">
        <v>1899</v>
      </c>
      <c r="E926" s="78"/>
      <c r="F926" s="71" t="str">
        <f t="shared" si="56"/>
        <v>Lukhonge</v>
      </c>
      <c r="G926" s="71" t="str">
        <f t="shared" si="55"/>
        <v>Mbale</v>
      </c>
      <c r="H926" s="78" t="s">
        <v>1899</v>
      </c>
    </row>
    <row r="927" spans="1:8">
      <c r="A927" s="77">
        <v>690</v>
      </c>
      <c r="B927" s="78" t="s">
        <v>555</v>
      </c>
      <c r="C927" s="78" t="s">
        <v>556</v>
      </c>
      <c r="D927" s="78" t="s">
        <v>565</v>
      </c>
      <c r="E927" s="78"/>
      <c r="F927" s="71" t="str">
        <f t="shared" si="56"/>
        <v>Lumino</v>
      </c>
      <c r="G927" s="71" t="str">
        <f t="shared" si="55"/>
        <v>Busia</v>
      </c>
      <c r="H927" s="78" t="s">
        <v>565</v>
      </c>
    </row>
    <row r="928" spans="1:8">
      <c r="A928" s="77">
        <v>691</v>
      </c>
      <c r="B928" s="78" t="s">
        <v>555</v>
      </c>
      <c r="C928" s="78" t="s">
        <v>556</v>
      </c>
      <c r="D928" s="78" t="s">
        <v>566</v>
      </c>
      <c r="E928" s="78"/>
      <c r="F928" s="71" t="str">
        <f t="shared" si="56"/>
        <v>Lunyo</v>
      </c>
      <c r="G928" s="71" t="str">
        <f t="shared" si="55"/>
        <v>Busia</v>
      </c>
      <c r="H928" s="78" t="s">
        <v>566</v>
      </c>
    </row>
    <row r="929" spans="1:8">
      <c r="A929" s="77">
        <v>1012</v>
      </c>
      <c r="B929" s="78" t="s">
        <v>472</v>
      </c>
      <c r="C929" s="78" t="s">
        <v>472</v>
      </c>
      <c r="D929" s="78" t="s">
        <v>484</v>
      </c>
      <c r="E929" s="78"/>
      <c r="F929" s="71" t="str">
        <f t="shared" si="56"/>
        <v>Lusha</v>
      </c>
      <c r="G929" s="71" t="str">
        <f t="shared" si="55"/>
        <v>Bulambuli</v>
      </c>
      <c r="H929" s="78" t="s">
        <v>484</v>
      </c>
    </row>
    <row r="930" spans="1:8">
      <c r="A930" s="77">
        <v>1051</v>
      </c>
      <c r="B930" s="78" t="s">
        <v>1759</v>
      </c>
      <c r="C930" s="78" t="s">
        <v>1759</v>
      </c>
      <c r="D930" s="78" t="s">
        <v>1764</v>
      </c>
      <c r="E930" s="78"/>
      <c r="F930" s="71" t="str">
        <f t="shared" si="56"/>
        <v>Luuka Town Council</v>
      </c>
      <c r="G930" s="71" t="str">
        <f t="shared" si="55"/>
        <v>Luuka</v>
      </c>
      <c r="H930" s="78" t="s">
        <v>1764</v>
      </c>
    </row>
    <row r="931" spans="1:8">
      <c r="A931" s="77">
        <v>438</v>
      </c>
      <c r="B931" s="78" t="s">
        <v>1768</v>
      </c>
      <c r="C931" s="78" t="s">
        <v>1770</v>
      </c>
      <c r="D931" s="78" t="s">
        <v>1768</v>
      </c>
      <c r="E931" s="78"/>
      <c r="F931" s="71" t="str">
        <f t="shared" si="56"/>
        <v>Luwero</v>
      </c>
      <c r="G931" s="71" t="str">
        <f t="shared" si="55"/>
        <v>Luwero</v>
      </c>
      <c r="H931" s="78" t="s">
        <v>1768</v>
      </c>
    </row>
    <row r="932" spans="1:8">
      <c r="A932" s="77">
        <v>437</v>
      </c>
      <c r="B932" s="78" t="s">
        <v>1768</v>
      </c>
      <c r="C932" s="78" t="s">
        <v>1770</v>
      </c>
      <c r="D932" s="78" t="s">
        <v>1784</v>
      </c>
      <c r="E932" s="78"/>
      <c r="F932" s="71" t="str">
        <f t="shared" si="56"/>
        <v>Luwero Town Council</v>
      </c>
      <c r="G932" s="71" t="str">
        <f t="shared" si="55"/>
        <v>Luwero</v>
      </c>
      <c r="H932" s="78" t="s">
        <v>1784</v>
      </c>
    </row>
    <row r="933" spans="1:8">
      <c r="A933" s="77">
        <v>636</v>
      </c>
      <c r="B933" s="78" t="s">
        <v>892</v>
      </c>
      <c r="C933" s="78" t="s">
        <v>892</v>
      </c>
      <c r="D933" s="78" t="s">
        <v>897</v>
      </c>
      <c r="E933" s="78"/>
      <c r="F933" s="71" t="str">
        <f t="shared" si="56"/>
        <v>Lwabenge</v>
      </c>
      <c r="G933" s="71" t="str">
        <f t="shared" si="55"/>
        <v>Kalungu</v>
      </c>
      <c r="H933" s="78" t="s">
        <v>897</v>
      </c>
    </row>
    <row r="934" spans="1:8">
      <c r="A934" s="77">
        <v>497</v>
      </c>
      <c r="B934" s="78" t="s">
        <v>2120</v>
      </c>
      <c r="C934" s="78" t="s">
        <v>1863</v>
      </c>
      <c r="D934" s="78" t="s">
        <v>2124</v>
      </c>
      <c r="E934" s="78"/>
      <c r="F934" s="71" t="str">
        <f t="shared" si="56"/>
        <v>Lwabiyata</v>
      </c>
      <c r="G934" s="71" t="str">
        <f t="shared" si="55"/>
        <v>Nakasongola</v>
      </c>
      <c r="H934" s="78" t="s">
        <v>2124</v>
      </c>
    </row>
    <row r="935" spans="1:8">
      <c r="A935" s="77">
        <v>623</v>
      </c>
      <c r="B935" s="78" t="s">
        <v>604</v>
      </c>
      <c r="C935" s="78" t="s">
        <v>605</v>
      </c>
      <c r="D935" s="78" t="s">
        <v>612</v>
      </c>
      <c r="E935" s="78"/>
      <c r="F935" s="71" t="str">
        <f t="shared" si="56"/>
        <v>Lwajje</v>
      </c>
      <c r="G935" s="71" t="str">
        <f t="shared" si="55"/>
        <v>Buvuma</v>
      </c>
      <c r="H935" s="78" t="s">
        <v>612</v>
      </c>
    </row>
    <row r="936" spans="1:8">
      <c r="A936" s="77">
        <v>1094</v>
      </c>
      <c r="B936" s="78" t="s">
        <v>2145</v>
      </c>
      <c r="C936" s="78" t="s">
        <v>2145</v>
      </c>
      <c r="D936" s="78" t="s">
        <v>2154</v>
      </c>
      <c r="E936" s="78"/>
      <c r="F936" s="71" t="str">
        <f t="shared" si="56"/>
        <v>Lwakhakha Town Council</v>
      </c>
      <c r="G936" s="71" t="str">
        <f t="shared" si="55"/>
        <v>Namisindwa</v>
      </c>
      <c r="H936" s="78" t="s">
        <v>2154</v>
      </c>
    </row>
    <row r="937" spans="1:8">
      <c r="A937" s="77">
        <v>512</v>
      </c>
      <c r="B937" s="78" t="s">
        <v>192</v>
      </c>
      <c r="C937" s="78" t="s">
        <v>1733</v>
      </c>
      <c r="D937" s="78" t="s">
        <v>2315</v>
      </c>
      <c r="E937" s="78"/>
      <c r="F937" s="71" t="str">
        <f t="shared" si="56"/>
        <v>Lwamaggwa</v>
      </c>
      <c r="G937" s="71" t="str">
        <f t="shared" si="55"/>
        <v>Rakai</v>
      </c>
      <c r="H937" s="78" t="s">
        <v>2315</v>
      </c>
    </row>
    <row r="938" spans="1:8">
      <c r="A938" s="77">
        <v>427</v>
      </c>
      <c r="B938" s="78" t="s">
        <v>1525</v>
      </c>
      <c r="C938" s="78" t="s">
        <v>1525</v>
      </c>
      <c r="D938" s="78" t="s">
        <v>1535</v>
      </c>
      <c r="E938" s="78"/>
      <c r="F938" s="71" t="str">
        <f t="shared" si="56"/>
        <v>Lwamata</v>
      </c>
      <c r="G938" s="71" t="str">
        <f t="shared" si="55"/>
        <v>Kiboga</v>
      </c>
      <c r="H938" s="78" t="s">
        <v>1535</v>
      </c>
    </row>
    <row r="939" spans="1:8">
      <c r="A939" s="77">
        <v>498</v>
      </c>
      <c r="B939" s="78" t="s">
        <v>2120</v>
      </c>
      <c r="C939" s="78" t="s">
        <v>1863</v>
      </c>
      <c r="D939" s="78" t="s">
        <v>2125</v>
      </c>
      <c r="E939" s="78"/>
      <c r="F939" s="71" t="str">
        <f t="shared" si="56"/>
        <v>Lwampanga</v>
      </c>
      <c r="G939" s="71" t="str">
        <f t="shared" si="55"/>
        <v>Nakasongola</v>
      </c>
      <c r="H939" s="78" t="s">
        <v>2125</v>
      </c>
    </row>
    <row r="940" spans="1:8">
      <c r="A940" s="77">
        <v>513</v>
      </c>
      <c r="B940" s="78" t="s">
        <v>192</v>
      </c>
      <c r="C940" s="78" t="s">
        <v>1733</v>
      </c>
      <c r="D940" s="78" t="s">
        <v>2317</v>
      </c>
      <c r="E940" s="78"/>
      <c r="F940" s="71" t="str">
        <f t="shared" si="56"/>
        <v>Lwanda</v>
      </c>
      <c r="G940" s="71" t="str">
        <f t="shared" si="55"/>
        <v>Rakai</v>
      </c>
      <c r="H940" s="78" t="s">
        <v>2317</v>
      </c>
    </row>
    <row r="941" spans="1:8">
      <c r="A941" s="77">
        <v>667</v>
      </c>
      <c r="B941" s="78" t="s">
        <v>1729</v>
      </c>
      <c r="C941" s="78" t="s">
        <v>1729</v>
      </c>
      <c r="D941" s="78" t="s">
        <v>1740</v>
      </c>
      <c r="E941" s="78"/>
      <c r="F941" s="71" t="str">
        <f t="shared" si="56"/>
        <v>Lwankoni</v>
      </c>
      <c r="G941" s="71" t="str">
        <f t="shared" si="55"/>
        <v>Kyotera</v>
      </c>
      <c r="H941" s="78" t="s">
        <v>1740</v>
      </c>
    </row>
    <row r="942" spans="1:8">
      <c r="A942" s="77">
        <v>785</v>
      </c>
      <c r="B942" s="78" t="s">
        <v>228</v>
      </c>
      <c r="C942" s="78" t="s">
        <v>1886</v>
      </c>
      <c r="D942" s="78" t="s">
        <v>1900</v>
      </c>
      <c r="E942" s="78"/>
      <c r="F942" s="71" t="str">
        <f t="shared" si="56"/>
        <v>Lwasso</v>
      </c>
      <c r="G942" s="71" t="str">
        <f t="shared" si="55"/>
        <v>Mbale</v>
      </c>
      <c r="H942" s="78" t="s">
        <v>1900</v>
      </c>
    </row>
    <row r="943" spans="1:8">
      <c r="A943" s="77">
        <v>518</v>
      </c>
      <c r="B943" s="78" t="s">
        <v>2442</v>
      </c>
      <c r="C943" s="78" t="s">
        <v>2443</v>
      </c>
      <c r="D943" s="78" t="s">
        <v>2444</v>
      </c>
      <c r="E943" s="78"/>
      <c r="F943" s="71" t="str">
        <f t="shared" si="56"/>
        <v>Lwebitakuli</v>
      </c>
      <c r="G943" s="71" t="str">
        <f t="shared" si="55"/>
        <v>Ssembabule</v>
      </c>
      <c r="H943" s="78" t="s">
        <v>2444</v>
      </c>
    </row>
    <row r="944" spans="1:8">
      <c r="A944" s="77">
        <v>515</v>
      </c>
      <c r="B944" s="78" t="s">
        <v>2442</v>
      </c>
      <c r="C944" s="78" t="s">
        <v>2445</v>
      </c>
      <c r="D944" s="78" t="s">
        <v>2445</v>
      </c>
      <c r="E944" s="78"/>
      <c r="F944" s="71" t="str">
        <f t="shared" si="56"/>
        <v>Lwemiyaga</v>
      </c>
      <c r="G944" s="71" t="str">
        <f t="shared" si="55"/>
        <v>Ssembabule</v>
      </c>
      <c r="H944" s="78" t="s">
        <v>2445</v>
      </c>
    </row>
    <row r="945" spans="1:8">
      <c r="A945" s="77">
        <v>655</v>
      </c>
      <c r="B945" s="78" t="s">
        <v>1797</v>
      </c>
      <c r="C945" s="78" t="s">
        <v>23</v>
      </c>
      <c r="D945" s="78" t="s">
        <v>1797</v>
      </c>
      <c r="E945" s="78"/>
      <c r="F945" s="71" t="str">
        <f t="shared" si="56"/>
        <v>Lwengo</v>
      </c>
      <c r="G945" s="71" t="str">
        <f t="shared" si="55"/>
        <v>Lwengo</v>
      </c>
      <c r="H945" s="78" t="s">
        <v>1797</v>
      </c>
    </row>
    <row r="946" spans="1:8">
      <c r="A946" s="77">
        <v>656</v>
      </c>
      <c r="B946" s="78" t="s">
        <v>1797</v>
      </c>
      <c r="C946" s="78" t="s">
        <v>23</v>
      </c>
      <c r="D946" s="78" t="s">
        <v>1801</v>
      </c>
      <c r="E946" s="78"/>
      <c r="F946" s="71" t="str">
        <f t="shared" si="56"/>
        <v>Lwengo Town Council</v>
      </c>
      <c r="G946" s="71" t="str">
        <f t="shared" si="55"/>
        <v>Lwengo</v>
      </c>
      <c r="H946" s="78" t="s">
        <v>1801</v>
      </c>
    </row>
    <row r="947" spans="1:8">
      <c r="A947" s="77">
        <v>624</v>
      </c>
      <c r="B947" s="78" t="s">
        <v>604</v>
      </c>
      <c r="C947" s="78" t="s">
        <v>605</v>
      </c>
      <c r="D947" s="78" t="s">
        <v>613</v>
      </c>
      <c r="E947" s="78"/>
      <c r="F947" s="71" t="str">
        <f t="shared" si="56"/>
        <v>Lyabaana</v>
      </c>
      <c r="G947" s="71" t="str">
        <f t="shared" si="55"/>
        <v>Buvuma</v>
      </c>
      <c r="H947" s="78" t="s">
        <v>613</v>
      </c>
    </row>
    <row r="948" spans="1:8">
      <c r="A948" s="77">
        <v>907</v>
      </c>
      <c r="B948" s="78" t="s">
        <v>374</v>
      </c>
      <c r="C948" s="78" t="s">
        <v>374</v>
      </c>
      <c r="D948" s="78" t="s">
        <v>383</v>
      </c>
      <c r="E948" s="78"/>
      <c r="F948" s="71" t="str">
        <f t="shared" si="56"/>
        <v>Lyama</v>
      </c>
      <c r="G948" s="71" t="str">
        <f t="shared" si="55"/>
        <v>Budaka</v>
      </c>
      <c r="H948" s="78" t="s">
        <v>383</v>
      </c>
    </row>
    <row r="949" spans="1:8">
      <c r="A949" s="77">
        <v>562</v>
      </c>
      <c r="B949" s="78" t="s">
        <v>1806</v>
      </c>
      <c r="C949" s="78" t="s">
        <v>1807</v>
      </c>
      <c r="D949" s="78" t="s">
        <v>1806</v>
      </c>
      <c r="E949" s="78"/>
      <c r="F949" s="71" t="str">
        <f t="shared" si="56"/>
        <v>Lyantonde</v>
      </c>
      <c r="G949" s="71" t="str">
        <f t="shared" si="55"/>
        <v>Lyantonde</v>
      </c>
      <c r="H949" s="78" t="s">
        <v>1806</v>
      </c>
    </row>
    <row r="950" spans="1:8">
      <c r="A950" s="77">
        <v>563</v>
      </c>
      <c r="B950" s="78" t="s">
        <v>1806</v>
      </c>
      <c r="C950" s="78" t="s">
        <v>1807</v>
      </c>
      <c r="D950" s="78" t="s">
        <v>1811</v>
      </c>
      <c r="E950" s="78"/>
      <c r="F950" s="71" t="str">
        <f t="shared" si="56"/>
        <v>Lyantonde Town Council</v>
      </c>
      <c r="G950" s="71" t="str">
        <f t="shared" si="55"/>
        <v>Lyantonde</v>
      </c>
      <c r="H950" s="78" t="s">
        <v>1811</v>
      </c>
    </row>
    <row r="951" spans="1:8">
      <c r="A951" s="77">
        <v>568</v>
      </c>
      <c r="B951" s="78" t="s">
        <v>1968</v>
      </c>
      <c r="C951" s="78" t="s">
        <v>1969</v>
      </c>
      <c r="D951" s="78" t="s">
        <v>1982</v>
      </c>
      <c r="E951" s="78"/>
      <c r="F951" s="71" t="str">
        <f t="shared" si="56"/>
        <v>Maanyi</v>
      </c>
      <c r="G951" s="71" t="str">
        <f t="shared" si="55"/>
        <v>Mityana</v>
      </c>
      <c r="H951" s="78" t="s">
        <v>1982</v>
      </c>
    </row>
    <row r="952" spans="1:8">
      <c r="A952" s="77">
        <v>1487</v>
      </c>
      <c r="B952" s="78" t="s">
        <v>837</v>
      </c>
      <c r="C952" s="78" t="s">
        <v>838</v>
      </c>
      <c r="D952" s="78" t="s">
        <v>847</v>
      </c>
      <c r="E952" s="78"/>
      <c r="F952" s="71" t="str">
        <f t="shared" si="56"/>
        <v>Mabaale</v>
      </c>
      <c r="G952" s="71" t="str">
        <f t="shared" si="55"/>
        <v>Kagadi</v>
      </c>
      <c r="H952" s="78" t="s">
        <v>847</v>
      </c>
    </row>
    <row r="953" spans="1:8">
      <c r="A953" s="77">
        <v>629</v>
      </c>
      <c r="B953" s="78" t="s">
        <v>634</v>
      </c>
      <c r="C953" s="78" t="s">
        <v>634</v>
      </c>
      <c r="D953" s="78" t="s">
        <v>637</v>
      </c>
      <c r="E953" s="78"/>
      <c r="F953" s="71" t="str">
        <f t="shared" si="56"/>
        <v>Maddu</v>
      </c>
      <c r="G953" s="71" t="str">
        <f t="shared" si="55"/>
        <v>Gomba</v>
      </c>
      <c r="H953" s="78" t="s">
        <v>637</v>
      </c>
    </row>
    <row r="954" spans="1:8">
      <c r="A954" s="77">
        <v>266</v>
      </c>
      <c r="B954" s="78" t="s">
        <v>222</v>
      </c>
      <c r="C954" s="78" t="s">
        <v>222</v>
      </c>
      <c r="D954" s="78" t="s">
        <v>1745</v>
      </c>
      <c r="E954" s="78"/>
      <c r="F954" s="71" t="str">
        <f t="shared" si="56"/>
        <v>Madi Opei</v>
      </c>
      <c r="G954" s="71" t="str">
        <f t="shared" si="55"/>
        <v>Lamwo</v>
      </c>
      <c r="H954" s="78" t="s">
        <v>1745</v>
      </c>
    </row>
    <row r="955" spans="1:8">
      <c r="A955" s="77">
        <v>461</v>
      </c>
      <c r="B955" s="78" t="s">
        <v>2026</v>
      </c>
      <c r="C955" s="78" t="s">
        <v>2032</v>
      </c>
      <c r="D955" s="78" t="s">
        <v>2042</v>
      </c>
      <c r="E955" s="78"/>
      <c r="F955" s="71" t="str">
        <f t="shared" si="56"/>
        <v>Madudu</v>
      </c>
      <c r="G955" s="71" t="str">
        <f t="shared" si="55"/>
        <v>Mubende</v>
      </c>
      <c r="H955" s="78" t="s">
        <v>2042</v>
      </c>
    </row>
    <row r="956" spans="1:8">
      <c r="A956" s="77">
        <v>716</v>
      </c>
      <c r="B956" s="78" t="s">
        <v>186</v>
      </c>
      <c r="C956" s="78" t="s">
        <v>755</v>
      </c>
      <c r="D956" s="78" t="s">
        <v>768</v>
      </c>
      <c r="E956" s="78"/>
      <c r="F956" s="71" t="str">
        <f t="shared" si="56"/>
        <v>Mafubira</v>
      </c>
      <c r="G956" s="71" t="str">
        <f t="shared" si="55"/>
        <v>Jinja</v>
      </c>
      <c r="H956" s="78" t="s">
        <v>768</v>
      </c>
    </row>
    <row r="957" spans="1:8">
      <c r="A957" s="77">
        <v>993</v>
      </c>
      <c r="B957" s="78" t="s">
        <v>2163</v>
      </c>
      <c r="C957" s="78" t="s">
        <v>2164</v>
      </c>
      <c r="D957" s="78" t="s">
        <v>2166</v>
      </c>
      <c r="E957" s="78"/>
      <c r="F957" s="71" t="str">
        <f t="shared" si="56"/>
        <v>Magada</v>
      </c>
      <c r="G957" s="71" t="str">
        <f t="shared" si="55"/>
        <v>Namutumba</v>
      </c>
      <c r="H957" s="78" t="s">
        <v>2166</v>
      </c>
    </row>
    <row r="958" spans="1:8">
      <c r="A958" s="77">
        <v>1095</v>
      </c>
      <c r="B958" s="78" t="s">
        <v>2145</v>
      </c>
      <c r="C958" s="78" t="s">
        <v>2145</v>
      </c>
      <c r="D958" s="78" t="s">
        <v>2155</v>
      </c>
      <c r="E958" s="78"/>
      <c r="F958" s="71" t="str">
        <f t="shared" si="56"/>
        <v>Magale</v>
      </c>
      <c r="G958" s="71" t="str">
        <f t="shared" si="55"/>
        <v>Namisindwa</v>
      </c>
      <c r="H958" s="78" t="s">
        <v>2155</v>
      </c>
    </row>
    <row r="959" spans="1:8">
      <c r="A959" s="77">
        <v>1100</v>
      </c>
      <c r="B959" s="78" t="s">
        <v>2145</v>
      </c>
      <c r="C959" s="78" t="s">
        <v>2145</v>
      </c>
      <c r="D959" s="78" t="s">
        <v>2156</v>
      </c>
      <c r="E959" s="78"/>
      <c r="F959" s="71" t="str">
        <f t="shared" si="56"/>
        <v>Magale Town Council</v>
      </c>
      <c r="G959" s="71" t="str">
        <f t="shared" si="55"/>
        <v>Namisindwa</v>
      </c>
      <c r="H959" s="78" t="s">
        <v>2156</v>
      </c>
    </row>
    <row r="960" spans="1:8">
      <c r="A960" s="77">
        <v>864</v>
      </c>
      <c r="B960" s="78" t="s">
        <v>1869</v>
      </c>
      <c r="C960" s="78" t="s">
        <v>1870</v>
      </c>
      <c r="D960" s="78" t="s">
        <v>1880</v>
      </c>
      <c r="E960" s="78"/>
      <c r="F960" s="71" t="str">
        <f t="shared" si="56"/>
        <v>Magamaga Town Council</v>
      </c>
      <c r="G960" s="71" t="str">
        <f t="shared" si="55"/>
        <v>Mayuge</v>
      </c>
      <c r="H960" s="78" t="s">
        <v>1880</v>
      </c>
    </row>
    <row r="961" spans="1:9">
      <c r="A961" s="77">
        <v>1454</v>
      </c>
      <c r="B961" s="78" t="s">
        <v>2332</v>
      </c>
      <c r="C961" s="78" t="s">
        <v>54</v>
      </c>
      <c r="D961" s="78" t="s">
        <v>2338</v>
      </c>
      <c r="E961" s="78"/>
      <c r="F961" s="71" t="str">
        <f t="shared" si="56"/>
        <v>Magambo</v>
      </c>
      <c r="G961" s="71" t="str">
        <f t="shared" si="55"/>
        <v>Rubirizi</v>
      </c>
      <c r="H961" s="78" t="s">
        <v>2338</v>
      </c>
    </row>
    <row r="962" spans="1:9">
      <c r="A962" s="77">
        <v>830</v>
      </c>
      <c r="B962" s="78" t="s">
        <v>201</v>
      </c>
      <c r="C962" s="78" t="s">
        <v>2455</v>
      </c>
      <c r="D962" s="78" t="s">
        <v>2459</v>
      </c>
      <c r="E962" s="78"/>
      <c r="F962" s="71" t="str">
        <f t="shared" si="56"/>
        <v>Magola</v>
      </c>
      <c r="G962" s="71" t="str">
        <f t="shared" si="55"/>
        <v>Tororo</v>
      </c>
      <c r="H962" s="78" t="s">
        <v>2459</v>
      </c>
    </row>
    <row r="963" spans="1:9">
      <c r="A963" s="77">
        <v>754</v>
      </c>
      <c r="B963" s="78" t="s">
        <v>1488</v>
      </c>
      <c r="C963" s="78" t="s">
        <v>1489</v>
      </c>
      <c r="D963" s="78" t="s">
        <v>1492</v>
      </c>
      <c r="E963" s="78"/>
      <c r="F963" s="71" t="str">
        <f t="shared" si="56"/>
        <v>Magoro</v>
      </c>
      <c r="G963" s="71" t="str">
        <f t="shared" si="55"/>
        <v>Katakwi</v>
      </c>
      <c r="H963" s="78" t="s">
        <v>1492</v>
      </c>
    </row>
    <row r="964" spans="1:9">
      <c r="A964" s="77">
        <v>1186</v>
      </c>
      <c r="B964" s="78" t="s">
        <v>37</v>
      </c>
      <c r="C964" s="78" t="s">
        <v>502</v>
      </c>
      <c r="D964" s="78" t="s">
        <v>1479</v>
      </c>
      <c r="E964" s="78"/>
      <c r="F964" s="71" t="str">
        <f t="shared" si="56"/>
        <v>Mahango</v>
      </c>
      <c r="G964" s="71" t="str">
        <f t="shared" si="55"/>
        <v>Kasese</v>
      </c>
      <c r="H964" s="78" t="s">
        <v>1479</v>
      </c>
    </row>
    <row r="965" spans="1:9">
      <c r="A965" s="77">
        <v>1310</v>
      </c>
      <c r="B965" s="78" t="s">
        <v>50</v>
      </c>
      <c r="C965" s="78" t="s">
        <v>1394</v>
      </c>
      <c r="D965" s="78" t="s">
        <v>1402</v>
      </c>
      <c r="E965" s="78"/>
      <c r="F965" s="71" t="str">
        <f t="shared" si="56"/>
        <v>Mahyoro</v>
      </c>
      <c r="G965" s="71" t="str">
        <f t="shared" si="55"/>
        <v>Kamwenge</v>
      </c>
      <c r="H965" s="78" t="s">
        <v>1402</v>
      </c>
    </row>
    <row r="966" spans="1:9">
      <c r="A966" s="77">
        <v>692</v>
      </c>
      <c r="B966" s="78" t="s">
        <v>555</v>
      </c>
      <c r="C966" s="78" t="s">
        <v>556</v>
      </c>
      <c r="D966" s="78" t="s">
        <v>567</v>
      </c>
      <c r="E966" s="78"/>
      <c r="F966" s="71" t="str">
        <f t="shared" si="56"/>
        <v>Majanji</v>
      </c>
      <c r="G966" s="71" t="str">
        <f t="shared" si="55"/>
        <v>Busia</v>
      </c>
      <c r="H966" s="78" t="s">
        <v>567</v>
      </c>
    </row>
    <row r="967" spans="1:9">
      <c r="A967" s="77">
        <v>377</v>
      </c>
      <c r="B967" s="78" t="s">
        <v>183</v>
      </c>
      <c r="C967" s="78" t="s">
        <v>899</v>
      </c>
      <c r="D967" s="78" t="s">
        <v>908</v>
      </c>
      <c r="E967" s="78" t="s">
        <v>202</v>
      </c>
      <c r="F967" s="78" t="s">
        <v>202</v>
      </c>
      <c r="G967" s="71" t="str">
        <f t="shared" si="55"/>
        <v>Kampala</v>
      </c>
      <c r="H967" s="78" t="s">
        <v>908</v>
      </c>
    </row>
    <row r="968" spans="1:9">
      <c r="A968" s="77">
        <v>378</v>
      </c>
      <c r="B968" s="78" t="s">
        <v>183</v>
      </c>
      <c r="C968" s="78" t="s">
        <v>899</v>
      </c>
      <c r="D968" s="78" t="s">
        <v>908</v>
      </c>
      <c r="E968" s="78" t="s">
        <v>928</v>
      </c>
      <c r="F968" s="78" t="s">
        <v>928</v>
      </c>
      <c r="G968" s="71" t="str">
        <f t="shared" si="55"/>
        <v>Kampala</v>
      </c>
      <c r="H968" s="78" t="s">
        <v>908</v>
      </c>
    </row>
    <row r="969" spans="1:9">
      <c r="A969" s="77">
        <v>379</v>
      </c>
      <c r="B969" s="78" t="s">
        <v>183</v>
      </c>
      <c r="C969" s="78" t="s">
        <v>899</v>
      </c>
      <c r="D969" s="78" t="s">
        <v>908</v>
      </c>
      <c r="E969" s="78" t="s">
        <v>1109</v>
      </c>
      <c r="F969" s="78" t="s">
        <v>1109</v>
      </c>
      <c r="G969" s="71" t="str">
        <f t="shared" si="55"/>
        <v>Kampala</v>
      </c>
      <c r="H969" s="78" t="s">
        <v>908</v>
      </c>
    </row>
    <row r="970" spans="1:9">
      <c r="A970" s="77">
        <v>380</v>
      </c>
      <c r="B970" s="78" t="s">
        <v>183</v>
      </c>
      <c r="C970" s="78" t="s">
        <v>899</v>
      </c>
      <c r="D970" s="78" t="s">
        <v>908</v>
      </c>
      <c r="E970" s="78" t="s">
        <v>1113</v>
      </c>
      <c r="F970" s="78" t="s">
        <v>1113</v>
      </c>
      <c r="G970" s="71" t="str">
        <f t="shared" ref="G970:G1033" si="57">B970</f>
        <v>Kampala</v>
      </c>
      <c r="H970" s="78" t="s">
        <v>908</v>
      </c>
    </row>
    <row r="971" spans="1:9">
      <c r="A971" s="77">
        <v>381</v>
      </c>
      <c r="B971" s="78" t="s">
        <v>183</v>
      </c>
      <c r="C971" s="78" t="s">
        <v>899</v>
      </c>
      <c r="D971" s="78" t="s">
        <v>908</v>
      </c>
      <c r="E971" s="78" t="s">
        <v>1128</v>
      </c>
      <c r="F971" s="78" t="s">
        <v>1128</v>
      </c>
      <c r="G971" s="71" t="str">
        <f t="shared" si="57"/>
        <v>Kampala</v>
      </c>
      <c r="H971" s="78" t="s">
        <v>908</v>
      </c>
    </row>
    <row r="972" spans="1:9">
      <c r="A972" s="77">
        <v>382</v>
      </c>
      <c r="B972" s="78" t="s">
        <v>183</v>
      </c>
      <c r="C972" s="78" t="s">
        <v>899</v>
      </c>
      <c r="D972" s="78" t="s">
        <v>908</v>
      </c>
      <c r="E972" s="82" t="s">
        <v>2855</v>
      </c>
      <c r="F972" s="82" t="s">
        <v>1147</v>
      </c>
      <c r="G972" s="71" t="str">
        <f t="shared" si="57"/>
        <v>Kampala</v>
      </c>
      <c r="H972" s="78" t="s">
        <v>908</v>
      </c>
    </row>
    <row r="973" spans="1:9">
      <c r="A973" s="77">
        <v>383</v>
      </c>
      <c r="B973" s="78" t="s">
        <v>183</v>
      </c>
      <c r="C973" s="78" t="s">
        <v>899</v>
      </c>
      <c r="D973" s="78" t="s">
        <v>908</v>
      </c>
      <c r="E973" s="82" t="s">
        <v>2856</v>
      </c>
      <c r="F973" s="82" t="s">
        <v>1147</v>
      </c>
      <c r="G973" s="71" t="str">
        <f t="shared" si="57"/>
        <v>Kampala</v>
      </c>
      <c r="H973" s="78" t="s">
        <v>908</v>
      </c>
      <c r="I973" s="83" t="s">
        <v>2795</v>
      </c>
    </row>
    <row r="974" spans="1:9">
      <c r="A974" s="77">
        <v>384</v>
      </c>
      <c r="B974" s="78" t="s">
        <v>183</v>
      </c>
      <c r="C974" s="78" t="s">
        <v>899</v>
      </c>
      <c r="D974" s="78" t="s">
        <v>908</v>
      </c>
      <c r="E974" s="78" t="s">
        <v>1153</v>
      </c>
      <c r="F974" s="78" t="s">
        <v>1153</v>
      </c>
      <c r="G974" s="71" t="str">
        <f t="shared" si="57"/>
        <v>Kampala</v>
      </c>
      <c r="H974" s="78" t="s">
        <v>908</v>
      </c>
    </row>
    <row r="975" spans="1:9">
      <c r="A975" s="77">
        <v>385</v>
      </c>
      <c r="B975" s="78" t="s">
        <v>183</v>
      </c>
      <c r="C975" s="78" t="s">
        <v>899</v>
      </c>
      <c r="D975" s="78" t="s">
        <v>908</v>
      </c>
      <c r="E975" s="82" t="s">
        <v>2857</v>
      </c>
      <c r="F975" s="82" t="s">
        <v>199</v>
      </c>
      <c r="G975" s="71" t="str">
        <f t="shared" si="57"/>
        <v>Kampala</v>
      </c>
      <c r="H975" s="78" t="s">
        <v>908</v>
      </c>
    </row>
    <row r="976" spans="1:9">
      <c r="A976" s="77">
        <v>386</v>
      </c>
      <c r="B976" s="78" t="s">
        <v>183</v>
      </c>
      <c r="C976" s="78" t="s">
        <v>899</v>
      </c>
      <c r="D976" s="78" t="s">
        <v>908</v>
      </c>
      <c r="E976" s="82" t="s">
        <v>2858</v>
      </c>
      <c r="F976" s="82" t="s">
        <v>199</v>
      </c>
      <c r="G976" s="71" t="str">
        <f t="shared" si="57"/>
        <v>Kampala</v>
      </c>
      <c r="H976" s="78" t="s">
        <v>908</v>
      </c>
      <c r="I976" s="83" t="s">
        <v>2795</v>
      </c>
    </row>
    <row r="977" spans="1:9">
      <c r="A977" s="77">
        <v>387</v>
      </c>
      <c r="B977" s="78" t="s">
        <v>183</v>
      </c>
      <c r="C977" s="78" t="s">
        <v>899</v>
      </c>
      <c r="D977" s="78" t="s">
        <v>908</v>
      </c>
      <c r="E977" s="78" t="s">
        <v>1161</v>
      </c>
      <c r="F977" s="78" t="s">
        <v>1161</v>
      </c>
      <c r="G977" s="71" t="str">
        <f t="shared" si="57"/>
        <v>Kampala</v>
      </c>
      <c r="H977" s="78" t="s">
        <v>908</v>
      </c>
    </row>
    <row r="978" spans="1:9">
      <c r="A978" s="77">
        <v>388</v>
      </c>
      <c r="B978" s="78" t="s">
        <v>183</v>
      </c>
      <c r="C978" s="78" t="s">
        <v>899</v>
      </c>
      <c r="D978" s="78" t="s">
        <v>908</v>
      </c>
      <c r="E978" s="78" t="s">
        <v>1213</v>
      </c>
      <c r="F978" s="78" t="s">
        <v>1213</v>
      </c>
      <c r="G978" s="71" t="str">
        <f t="shared" si="57"/>
        <v>Kampala</v>
      </c>
      <c r="H978" s="78" t="s">
        <v>908</v>
      </c>
    </row>
    <row r="979" spans="1:9">
      <c r="A979" s="77">
        <v>389</v>
      </c>
      <c r="B979" s="78" t="s">
        <v>183</v>
      </c>
      <c r="C979" s="78" t="s">
        <v>899</v>
      </c>
      <c r="D979" s="78" t="s">
        <v>908</v>
      </c>
      <c r="E979" s="78" t="s">
        <v>1219</v>
      </c>
      <c r="F979" s="78" t="s">
        <v>1219</v>
      </c>
      <c r="G979" s="71" t="str">
        <f t="shared" si="57"/>
        <v>Kampala</v>
      </c>
      <c r="H979" s="78" t="s">
        <v>908</v>
      </c>
    </row>
    <row r="980" spans="1:9">
      <c r="A980" s="77">
        <v>390</v>
      </c>
      <c r="B980" s="78" t="s">
        <v>183</v>
      </c>
      <c r="C980" s="78" t="s">
        <v>899</v>
      </c>
      <c r="D980" s="78" t="s">
        <v>908</v>
      </c>
      <c r="E980" s="82" t="s">
        <v>2859</v>
      </c>
      <c r="F980" s="82" t="s">
        <v>214</v>
      </c>
      <c r="G980" s="71" t="str">
        <f t="shared" si="57"/>
        <v>Kampala</v>
      </c>
      <c r="H980" s="78" t="s">
        <v>908</v>
      </c>
    </row>
    <row r="981" spans="1:9">
      <c r="A981" s="77">
        <v>391</v>
      </c>
      <c r="B981" s="78" t="s">
        <v>183</v>
      </c>
      <c r="C981" s="78" t="s">
        <v>899</v>
      </c>
      <c r="D981" s="78" t="s">
        <v>908</v>
      </c>
      <c r="E981" s="82" t="s">
        <v>2860</v>
      </c>
      <c r="F981" s="82" t="s">
        <v>214</v>
      </c>
      <c r="G981" s="71" t="str">
        <f t="shared" si="57"/>
        <v>Kampala</v>
      </c>
      <c r="H981" s="78" t="s">
        <v>908</v>
      </c>
      <c r="I981" s="83" t="s">
        <v>2795</v>
      </c>
    </row>
    <row r="982" spans="1:9">
      <c r="A982" s="77">
        <v>392</v>
      </c>
      <c r="B982" s="78" t="s">
        <v>183</v>
      </c>
      <c r="C982" s="78" t="s">
        <v>899</v>
      </c>
      <c r="D982" s="78" t="s">
        <v>908</v>
      </c>
      <c r="E982" s="82" t="s">
        <v>2861</v>
      </c>
      <c r="F982" s="82" t="s">
        <v>1333</v>
      </c>
      <c r="G982" s="71" t="str">
        <f t="shared" si="57"/>
        <v>Kampala</v>
      </c>
      <c r="H982" s="78" t="s">
        <v>908</v>
      </c>
    </row>
    <row r="983" spans="1:9">
      <c r="A983" s="77">
        <v>393</v>
      </c>
      <c r="B983" s="78" t="s">
        <v>183</v>
      </c>
      <c r="C983" s="78" t="s">
        <v>899</v>
      </c>
      <c r="D983" s="78" t="s">
        <v>908</v>
      </c>
      <c r="E983" s="82" t="s">
        <v>2862</v>
      </c>
      <c r="F983" s="82" t="s">
        <v>1333</v>
      </c>
      <c r="G983" s="71" t="str">
        <f t="shared" si="57"/>
        <v>Kampala</v>
      </c>
      <c r="H983" s="78" t="s">
        <v>908</v>
      </c>
      <c r="I983" s="83" t="s">
        <v>2795</v>
      </c>
    </row>
    <row r="984" spans="1:9" ht="25.5">
      <c r="A984" s="77">
        <v>394</v>
      </c>
      <c r="B984" s="78" t="s">
        <v>183</v>
      </c>
      <c r="C984" s="78" t="s">
        <v>899</v>
      </c>
      <c r="D984" s="78" t="s">
        <v>908</v>
      </c>
      <c r="E984" s="78" t="s">
        <v>1338</v>
      </c>
      <c r="F984" s="78" t="s">
        <v>1338</v>
      </c>
      <c r="G984" s="71" t="str">
        <f t="shared" si="57"/>
        <v>Kampala</v>
      </c>
      <c r="H984" s="78" t="s">
        <v>908</v>
      </c>
    </row>
    <row r="985" spans="1:9">
      <c r="A985" s="77">
        <v>395</v>
      </c>
      <c r="B985" s="78" t="s">
        <v>183</v>
      </c>
      <c r="C985" s="78" t="s">
        <v>899</v>
      </c>
      <c r="D985" s="78" t="s">
        <v>908</v>
      </c>
      <c r="E985" s="78" t="s">
        <v>1355</v>
      </c>
      <c r="F985" s="78" t="s">
        <v>1355</v>
      </c>
      <c r="G985" s="71" t="str">
        <f t="shared" si="57"/>
        <v>Kampala</v>
      </c>
      <c r="H985" s="78" t="s">
        <v>908</v>
      </c>
    </row>
    <row r="986" spans="1:9">
      <c r="A986" s="77">
        <v>396</v>
      </c>
      <c r="B986" s="78" t="s">
        <v>183</v>
      </c>
      <c r="C986" s="78" t="s">
        <v>899</v>
      </c>
      <c r="D986" s="78" t="s">
        <v>908</v>
      </c>
      <c r="E986" s="78" t="s">
        <v>1367</v>
      </c>
      <c r="F986" s="78" t="s">
        <v>1367</v>
      </c>
      <c r="G986" s="71" t="str">
        <f t="shared" si="57"/>
        <v>Kampala</v>
      </c>
      <c r="H986" s="78" t="s">
        <v>908</v>
      </c>
    </row>
    <row r="987" spans="1:9">
      <c r="A987" s="77">
        <v>397</v>
      </c>
      <c r="B987" s="78" t="s">
        <v>183</v>
      </c>
      <c r="C987" s="78" t="s">
        <v>899</v>
      </c>
      <c r="D987" s="78" t="s">
        <v>908</v>
      </c>
      <c r="E987" s="78" t="s">
        <v>1339</v>
      </c>
      <c r="F987" s="78" t="s">
        <v>1339</v>
      </c>
      <c r="G987" s="71" t="str">
        <f t="shared" si="57"/>
        <v>Kampala</v>
      </c>
      <c r="H987" s="78" t="s">
        <v>908</v>
      </c>
    </row>
    <row r="988" spans="1:9">
      <c r="A988" s="77">
        <v>472</v>
      </c>
      <c r="B988" s="78" t="s">
        <v>2026</v>
      </c>
      <c r="C988" s="78" t="s">
        <v>2029</v>
      </c>
      <c r="D988" s="78" t="s">
        <v>2043</v>
      </c>
      <c r="E988" s="78"/>
      <c r="F988" s="71" t="str">
        <f t="shared" ref="F988:F994" si="58">D988</f>
        <v>Makokoto</v>
      </c>
      <c r="G988" s="71" t="str">
        <f t="shared" si="57"/>
        <v>Mubende</v>
      </c>
      <c r="H988" s="78" t="s">
        <v>2043</v>
      </c>
    </row>
    <row r="989" spans="1:9">
      <c r="A989" s="77">
        <v>439</v>
      </c>
      <c r="B989" s="78" t="s">
        <v>1768</v>
      </c>
      <c r="C989" s="78" t="s">
        <v>1770</v>
      </c>
      <c r="D989" s="78" t="s">
        <v>1786</v>
      </c>
      <c r="E989" s="78"/>
      <c r="F989" s="71" t="str">
        <f t="shared" si="58"/>
        <v>Makulubita</v>
      </c>
      <c r="G989" s="71" t="str">
        <f t="shared" si="57"/>
        <v>Luwero</v>
      </c>
      <c r="H989" s="78" t="s">
        <v>1786</v>
      </c>
    </row>
    <row r="990" spans="1:9">
      <c r="A990" s="77">
        <v>701</v>
      </c>
      <c r="B990" s="78" t="s">
        <v>688</v>
      </c>
      <c r="C990" s="78" t="s">
        <v>691</v>
      </c>
      <c r="D990" s="78" t="s">
        <v>698</v>
      </c>
      <c r="E990" s="78"/>
      <c r="F990" s="71" t="str">
        <f t="shared" si="58"/>
        <v>Makuutu</v>
      </c>
      <c r="G990" s="71" t="str">
        <f t="shared" si="57"/>
        <v>Iganga</v>
      </c>
      <c r="H990" s="78" t="s">
        <v>698</v>
      </c>
    </row>
    <row r="991" spans="1:9">
      <c r="A991" s="77">
        <v>819</v>
      </c>
      <c r="B991" s="78" t="s">
        <v>201</v>
      </c>
      <c r="C991" s="78" t="s">
        <v>201</v>
      </c>
      <c r="D991" s="78" t="s">
        <v>2460</v>
      </c>
      <c r="E991" s="78"/>
      <c r="F991" s="71" t="str">
        <f t="shared" si="58"/>
        <v>Malaba Town Council</v>
      </c>
      <c r="G991" s="71" t="str">
        <f t="shared" si="57"/>
        <v>Tororo</v>
      </c>
      <c r="H991" s="78" t="s">
        <v>2460</v>
      </c>
    </row>
    <row r="992" spans="1:9">
      <c r="A992" s="77">
        <v>569</v>
      </c>
      <c r="B992" s="78" t="s">
        <v>1968</v>
      </c>
      <c r="C992" s="78" t="s">
        <v>1969</v>
      </c>
      <c r="D992" s="78" t="s">
        <v>1983</v>
      </c>
      <c r="E992" s="78"/>
      <c r="F992" s="71" t="str">
        <f t="shared" si="58"/>
        <v>Malangala</v>
      </c>
      <c r="G992" s="71" t="str">
        <f t="shared" si="57"/>
        <v>Mityana</v>
      </c>
      <c r="H992" s="78" t="s">
        <v>1983</v>
      </c>
    </row>
    <row r="993" spans="1:8">
      <c r="A993" s="77">
        <v>936</v>
      </c>
      <c r="B993" s="78" t="s">
        <v>446</v>
      </c>
      <c r="C993" s="78" t="s">
        <v>446</v>
      </c>
      <c r="D993" s="78" t="s">
        <v>451</v>
      </c>
      <c r="E993" s="78"/>
      <c r="F993" s="71" t="str">
        <f t="shared" si="58"/>
        <v>Malera</v>
      </c>
      <c r="G993" s="71" t="str">
        <f t="shared" si="57"/>
        <v>Bukedea</v>
      </c>
      <c r="H993" s="78" t="s">
        <v>451</v>
      </c>
    </row>
    <row r="994" spans="1:8">
      <c r="A994" s="77">
        <v>1202</v>
      </c>
      <c r="B994" s="78" t="s">
        <v>37</v>
      </c>
      <c r="C994" s="78" t="s">
        <v>1452</v>
      </c>
      <c r="D994" s="78" t="s">
        <v>1480</v>
      </c>
      <c r="E994" s="78"/>
      <c r="F994" s="71" t="str">
        <f t="shared" si="58"/>
        <v>Maliba</v>
      </c>
      <c r="G994" s="71" t="str">
        <f t="shared" si="57"/>
        <v>Kasese</v>
      </c>
      <c r="H994" s="78" t="s">
        <v>1480</v>
      </c>
    </row>
    <row r="995" spans="1:8">
      <c r="A995" s="77">
        <v>657</v>
      </c>
      <c r="B995" s="78" t="s">
        <v>1797</v>
      </c>
      <c r="C995" s="78" t="s">
        <v>23</v>
      </c>
      <c r="D995" s="82" t="s">
        <v>2863</v>
      </c>
      <c r="E995" s="78"/>
      <c r="F995" s="71" t="str">
        <f t="shared" ref="F995:F996" si="59">D995&amp;"-"&amp;B995</f>
        <v>Malongo-Lwengo</v>
      </c>
      <c r="G995" s="71" t="str">
        <f t="shared" si="57"/>
        <v>Lwengo</v>
      </c>
      <c r="H995" s="82" t="s">
        <v>2863</v>
      </c>
    </row>
    <row r="996" spans="1:8">
      <c r="A996" s="77">
        <v>860</v>
      </c>
      <c r="B996" s="78" t="s">
        <v>1869</v>
      </c>
      <c r="C996" s="78" t="s">
        <v>1870</v>
      </c>
      <c r="D996" s="82" t="s">
        <v>2863</v>
      </c>
      <c r="E996" s="78"/>
      <c r="F996" s="71" t="str">
        <f t="shared" si="59"/>
        <v>Malongo-Mayuge</v>
      </c>
      <c r="G996" s="71" t="str">
        <f t="shared" si="57"/>
        <v>Mayuge</v>
      </c>
      <c r="H996" s="82" t="s">
        <v>2863</v>
      </c>
    </row>
    <row r="997" spans="1:8">
      <c r="A997" s="77">
        <v>983</v>
      </c>
      <c r="B997" s="78" t="s">
        <v>1815</v>
      </c>
      <c r="C997" s="78" t="s">
        <v>1816</v>
      </c>
      <c r="D997" s="78" t="s">
        <v>1828</v>
      </c>
      <c r="E997" s="78"/>
      <c r="F997" s="71" t="str">
        <f t="shared" ref="F997:F1000" si="60">D997</f>
        <v>Manafwa Town Council</v>
      </c>
      <c r="G997" s="71" t="str">
        <f t="shared" si="57"/>
        <v>Manafwa</v>
      </c>
      <c r="H997" s="78" t="s">
        <v>1828</v>
      </c>
    </row>
    <row r="998" spans="1:8">
      <c r="A998" s="77">
        <v>28</v>
      </c>
      <c r="B998" s="78" t="s">
        <v>344</v>
      </c>
      <c r="C998" s="78" t="s">
        <v>345</v>
      </c>
      <c r="D998" s="78" t="s">
        <v>361</v>
      </c>
      <c r="E998" s="78"/>
      <c r="F998" s="71" t="str">
        <f t="shared" si="60"/>
        <v>Manibe</v>
      </c>
      <c r="G998" s="71" t="str">
        <f t="shared" si="57"/>
        <v>Arua</v>
      </c>
      <c r="H998" s="78" t="s">
        <v>361</v>
      </c>
    </row>
    <row r="999" spans="1:8">
      <c r="A999" s="77">
        <v>473</v>
      </c>
      <c r="B999" s="78" t="s">
        <v>2026</v>
      </c>
      <c r="C999" s="78" t="s">
        <v>2029</v>
      </c>
      <c r="D999" s="78" t="s">
        <v>2044</v>
      </c>
      <c r="E999" s="78"/>
      <c r="F999" s="71" t="str">
        <f t="shared" si="60"/>
        <v>Manyogaseka</v>
      </c>
      <c r="G999" s="71" t="str">
        <f t="shared" si="57"/>
        <v>Mubende</v>
      </c>
      <c r="H999" s="78" t="s">
        <v>2044</v>
      </c>
    </row>
    <row r="1000" spans="1:8">
      <c r="A1000" s="77">
        <v>208</v>
      </c>
      <c r="B1000" s="78" t="s">
        <v>1834</v>
      </c>
      <c r="C1000" s="78" t="s">
        <v>1834</v>
      </c>
      <c r="D1000" s="78" t="s">
        <v>1835</v>
      </c>
      <c r="E1000" s="78"/>
      <c r="F1000" s="71" t="str">
        <f t="shared" si="60"/>
        <v>Maracha Town Council</v>
      </c>
      <c r="G1000" s="71" t="str">
        <f t="shared" si="57"/>
        <v>Maracha</v>
      </c>
      <c r="H1000" s="78" t="s">
        <v>1835</v>
      </c>
    </row>
    <row r="1001" spans="1:8">
      <c r="A1001" s="77">
        <v>693</v>
      </c>
      <c r="B1001" s="78" t="s">
        <v>555</v>
      </c>
      <c r="C1001" s="78" t="s">
        <v>556</v>
      </c>
      <c r="D1001" s="82" t="s">
        <v>2864</v>
      </c>
      <c r="E1001" s="78"/>
      <c r="F1001" s="71" t="str">
        <f t="shared" ref="F1001:F1002" si="61">D1001&amp;"-"&amp;B1001</f>
        <v>Masaba-Busia</v>
      </c>
      <c r="G1001" s="71" t="str">
        <f t="shared" si="57"/>
        <v>Busia</v>
      </c>
      <c r="H1001" s="82" t="s">
        <v>2864</v>
      </c>
    </row>
    <row r="1002" spans="1:8">
      <c r="A1002" s="77">
        <v>882</v>
      </c>
      <c r="B1002" s="78" t="s">
        <v>2410</v>
      </c>
      <c r="C1002" s="78" t="s">
        <v>2411</v>
      </c>
      <c r="D1002" s="82" t="s">
        <v>2864</v>
      </c>
      <c r="E1002" s="78"/>
      <c r="F1002" s="71" t="str">
        <f t="shared" si="61"/>
        <v>Masaba-Sironko</v>
      </c>
      <c r="G1002" s="71" t="str">
        <f t="shared" si="57"/>
        <v>Sironko</v>
      </c>
      <c r="H1002" s="82" t="s">
        <v>2864</v>
      </c>
    </row>
    <row r="1003" spans="1:8">
      <c r="A1003" s="77">
        <v>694</v>
      </c>
      <c r="B1003" s="78" t="s">
        <v>555</v>
      </c>
      <c r="C1003" s="78" t="s">
        <v>556</v>
      </c>
      <c r="D1003" s="78" t="s">
        <v>569</v>
      </c>
      <c r="E1003" s="78"/>
      <c r="F1003" s="71" t="str">
        <f t="shared" ref="F1003" si="62">D1003</f>
        <v>Masafu</v>
      </c>
      <c r="G1003" s="71" t="str">
        <f t="shared" si="57"/>
        <v>Busia</v>
      </c>
      <c r="H1003" s="78" t="s">
        <v>569</v>
      </c>
    </row>
    <row r="1004" spans="1:8" ht="38.25">
      <c r="A1004" s="77">
        <v>553</v>
      </c>
      <c r="B1004" s="78" t="s">
        <v>2477</v>
      </c>
      <c r="C1004" s="79" t="s">
        <v>2478</v>
      </c>
      <c r="D1004" s="78" t="s">
        <v>2865</v>
      </c>
      <c r="E1004" s="78"/>
      <c r="F1004" s="72" t="s">
        <v>2583</v>
      </c>
      <c r="G1004" s="71" t="str">
        <f t="shared" si="57"/>
        <v>Wakiso</v>
      </c>
      <c r="H1004" s="78" t="s">
        <v>2865</v>
      </c>
    </row>
    <row r="1005" spans="1:8">
      <c r="A1005" s="77">
        <v>719</v>
      </c>
      <c r="B1005" s="78" t="s">
        <v>186</v>
      </c>
      <c r="C1005" s="79" t="s">
        <v>761</v>
      </c>
      <c r="D1005" s="78" t="s">
        <v>2866</v>
      </c>
      <c r="E1005" s="78"/>
      <c r="F1005" s="72" t="str">
        <f>VLOOKUP(C1005,[2]Municipalities!$C$9:$F$1522,4,FALSE)</f>
        <v>Jinja Municipality</v>
      </c>
      <c r="G1005" s="71" t="str">
        <f t="shared" si="57"/>
        <v>Jinja</v>
      </c>
      <c r="H1005" s="78" t="s">
        <v>2866</v>
      </c>
    </row>
    <row r="1006" spans="1:8">
      <c r="A1006" s="77">
        <v>1382</v>
      </c>
      <c r="B1006" s="78" t="s">
        <v>53</v>
      </c>
      <c r="C1006" s="78" t="s">
        <v>53</v>
      </c>
      <c r="D1006" s="78" t="s">
        <v>733</v>
      </c>
      <c r="E1006" s="78"/>
      <c r="F1006" s="71" t="str">
        <f t="shared" ref="F1006:F1069" si="63">D1006</f>
        <v>Masha</v>
      </c>
      <c r="G1006" s="71" t="str">
        <f t="shared" si="57"/>
        <v>Isingiro</v>
      </c>
      <c r="H1006" s="78" t="s">
        <v>733</v>
      </c>
    </row>
    <row r="1007" spans="1:8">
      <c r="A1007" s="77">
        <v>1468</v>
      </c>
      <c r="B1007" s="78" t="s">
        <v>42</v>
      </c>
      <c r="C1007" s="78" t="s">
        <v>42</v>
      </c>
      <c r="D1007" s="78" t="s">
        <v>2402</v>
      </c>
      <c r="E1007" s="78"/>
      <c r="F1007" s="71" t="str">
        <f t="shared" si="63"/>
        <v>Masheruka</v>
      </c>
      <c r="G1007" s="71" t="str">
        <f t="shared" si="57"/>
        <v>Sheema</v>
      </c>
      <c r="H1007" s="78" t="s">
        <v>2402</v>
      </c>
    </row>
    <row r="1008" spans="1:8">
      <c r="A1008" s="77">
        <v>1013</v>
      </c>
      <c r="B1008" s="78" t="s">
        <v>472</v>
      </c>
      <c r="C1008" s="78" t="s">
        <v>472</v>
      </c>
      <c r="D1008" s="78" t="s">
        <v>485</v>
      </c>
      <c r="E1008" s="78"/>
      <c r="F1008" s="71" t="str">
        <f t="shared" si="63"/>
        <v>Masiira</v>
      </c>
      <c r="G1008" s="71" t="str">
        <f t="shared" si="57"/>
        <v>Bulambuli</v>
      </c>
      <c r="H1008" s="78" t="s">
        <v>485</v>
      </c>
    </row>
    <row r="1009" spans="1:8">
      <c r="A1009" s="77">
        <v>1419</v>
      </c>
      <c r="B1009" s="78" t="s">
        <v>197</v>
      </c>
      <c r="C1009" s="78" t="s">
        <v>1582</v>
      </c>
      <c r="D1009" s="78" t="s">
        <v>1590</v>
      </c>
      <c r="E1009" s="78"/>
      <c r="F1009" s="71" t="str">
        <f t="shared" si="63"/>
        <v>Masindi Port</v>
      </c>
      <c r="G1009" s="71" t="str">
        <f t="shared" si="57"/>
        <v>Kiryandongo</v>
      </c>
      <c r="H1009" s="78" t="s">
        <v>1590</v>
      </c>
    </row>
    <row r="1010" spans="1:8">
      <c r="A1010" s="77">
        <v>695</v>
      </c>
      <c r="B1010" s="78" t="s">
        <v>555</v>
      </c>
      <c r="C1010" s="78" t="s">
        <v>556</v>
      </c>
      <c r="D1010" s="78" t="s">
        <v>570</v>
      </c>
      <c r="E1010" s="78"/>
      <c r="F1010" s="71" t="str">
        <f t="shared" si="63"/>
        <v>Masinya</v>
      </c>
      <c r="G1010" s="71" t="str">
        <f t="shared" si="57"/>
        <v>Busia</v>
      </c>
      <c r="H1010" s="78" t="s">
        <v>570</v>
      </c>
    </row>
    <row r="1011" spans="1:8">
      <c r="A1011" s="77">
        <v>537</v>
      </c>
      <c r="B1011" s="78" t="s">
        <v>2477</v>
      </c>
      <c r="C1011" s="78" t="s">
        <v>2481</v>
      </c>
      <c r="D1011" s="78" t="s">
        <v>2587</v>
      </c>
      <c r="E1011" s="78"/>
      <c r="F1011" s="71" t="str">
        <f t="shared" si="63"/>
        <v>Masuliita</v>
      </c>
      <c r="G1011" s="71" t="str">
        <f t="shared" si="57"/>
        <v>Wakiso</v>
      </c>
      <c r="H1011" s="78" t="s">
        <v>2587</v>
      </c>
    </row>
    <row r="1012" spans="1:8">
      <c r="A1012" s="77">
        <v>538</v>
      </c>
      <c r="B1012" s="78" t="s">
        <v>2477</v>
      </c>
      <c r="C1012" s="78" t="s">
        <v>2481</v>
      </c>
      <c r="D1012" s="78" t="s">
        <v>2588</v>
      </c>
      <c r="E1012" s="78"/>
      <c r="F1012" s="71" t="str">
        <f t="shared" si="63"/>
        <v>Masulita Town Council</v>
      </c>
      <c r="G1012" s="71" t="str">
        <f t="shared" si="57"/>
        <v>Wakiso</v>
      </c>
      <c r="H1012" s="78" t="s">
        <v>2588</v>
      </c>
    </row>
    <row r="1013" spans="1:8">
      <c r="A1013" s="77">
        <v>1212</v>
      </c>
      <c r="B1013" s="78" t="s">
        <v>1513</v>
      </c>
      <c r="C1013" s="78" t="s">
        <v>1514</v>
      </c>
      <c r="D1013" s="78" t="s">
        <v>1520</v>
      </c>
      <c r="E1013" s="78"/>
      <c r="F1013" s="71" t="str">
        <f t="shared" si="63"/>
        <v>Matale</v>
      </c>
      <c r="G1013" s="71" t="str">
        <f t="shared" si="57"/>
        <v>Kibaale</v>
      </c>
      <c r="H1013" s="78" t="s">
        <v>1520</v>
      </c>
    </row>
    <row r="1014" spans="1:8">
      <c r="A1014" s="77">
        <v>277</v>
      </c>
      <c r="B1014" s="78" t="s">
        <v>2172</v>
      </c>
      <c r="C1014" s="78" t="s">
        <v>2173</v>
      </c>
      <c r="D1014" s="78" t="s">
        <v>2178</v>
      </c>
      <c r="E1014" s="78"/>
      <c r="F1014" s="71" t="str">
        <f t="shared" si="63"/>
        <v>Matany</v>
      </c>
      <c r="G1014" s="71" t="str">
        <f t="shared" si="57"/>
        <v>Napak</v>
      </c>
      <c r="H1014" s="78" t="s">
        <v>2178</v>
      </c>
    </row>
    <row r="1015" spans="1:8">
      <c r="A1015" s="77">
        <v>519</v>
      </c>
      <c r="B1015" s="78" t="s">
        <v>2442</v>
      </c>
      <c r="C1015" s="78" t="s">
        <v>2443</v>
      </c>
      <c r="D1015" s="78" t="s">
        <v>2446</v>
      </c>
      <c r="E1015" s="78"/>
      <c r="F1015" s="71" t="str">
        <f t="shared" si="63"/>
        <v>Mateete</v>
      </c>
      <c r="G1015" s="71" t="str">
        <f t="shared" si="57"/>
        <v>Ssembabule</v>
      </c>
      <c r="H1015" s="78" t="s">
        <v>2446</v>
      </c>
    </row>
    <row r="1016" spans="1:8">
      <c r="A1016" s="77">
        <v>520</v>
      </c>
      <c r="B1016" s="78" t="s">
        <v>2442</v>
      </c>
      <c r="C1016" s="78" t="s">
        <v>2443</v>
      </c>
      <c r="D1016" s="78" t="s">
        <v>2447</v>
      </c>
      <c r="E1016" s="78"/>
      <c r="F1016" s="71" t="str">
        <f t="shared" si="63"/>
        <v>Mateete Town Council</v>
      </c>
      <c r="G1016" s="71" t="str">
        <f t="shared" si="57"/>
        <v>Ssembabule</v>
      </c>
      <c r="H1016" s="78" t="s">
        <v>2447</v>
      </c>
    </row>
    <row r="1017" spans="1:8">
      <c r="A1017" s="77">
        <v>1437</v>
      </c>
      <c r="B1017" s="78" t="s">
        <v>51</v>
      </c>
      <c r="C1017" s="78" t="s">
        <v>1956</v>
      </c>
      <c r="D1017" s="78" t="s">
        <v>1962</v>
      </c>
      <c r="E1017" s="78"/>
      <c r="F1017" s="71" t="str">
        <f t="shared" si="63"/>
        <v>Mayanga</v>
      </c>
      <c r="G1017" s="71" t="str">
        <f t="shared" si="57"/>
        <v>Mitooma</v>
      </c>
      <c r="H1017" s="78" t="s">
        <v>1962</v>
      </c>
    </row>
    <row r="1018" spans="1:8">
      <c r="A1018" s="77">
        <v>861</v>
      </c>
      <c r="B1018" s="78" t="s">
        <v>1869</v>
      </c>
      <c r="C1018" s="78" t="s">
        <v>1870</v>
      </c>
      <c r="D1018" s="78" t="s">
        <v>1882</v>
      </c>
      <c r="E1018" s="78"/>
      <c r="F1018" s="71" t="str">
        <f t="shared" si="63"/>
        <v>Mayuge Town Council</v>
      </c>
      <c r="G1018" s="71" t="str">
        <f t="shared" si="57"/>
        <v>Mayuge</v>
      </c>
      <c r="H1018" s="78" t="s">
        <v>1882</v>
      </c>
    </row>
    <row r="1019" spans="1:8">
      <c r="A1019" s="77">
        <v>1159</v>
      </c>
      <c r="B1019" s="78" t="s">
        <v>786</v>
      </c>
      <c r="C1019" s="78" t="s">
        <v>787</v>
      </c>
      <c r="D1019" s="78" t="s">
        <v>799</v>
      </c>
      <c r="E1019" s="78"/>
      <c r="F1019" s="71" t="str">
        <f t="shared" si="63"/>
        <v>Maziba</v>
      </c>
      <c r="G1019" s="71" t="str">
        <f t="shared" si="57"/>
        <v>Kabale</v>
      </c>
      <c r="H1019" s="78" t="s">
        <v>799</v>
      </c>
    </row>
    <row r="1020" spans="1:8">
      <c r="A1020" s="77">
        <v>958</v>
      </c>
      <c r="B1020" s="78" t="s">
        <v>573</v>
      </c>
      <c r="C1020" s="78" t="s">
        <v>574</v>
      </c>
      <c r="D1020" s="78" t="s">
        <v>582</v>
      </c>
      <c r="E1020" s="78"/>
      <c r="F1020" s="71" t="str">
        <f t="shared" si="63"/>
        <v>Mazimasa</v>
      </c>
      <c r="G1020" s="71" t="str">
        <f t="shared" si="57"/>
        <v>Butaleja</v>
      </c>
      <c r="H1020" s="78" t="s">
        <v>582</v>
      </c>
    </row>
    <row r="1021" spans="1:8">
      <c r="A1021" s="77">
        <v>324</v>
      </c>
      <c r="B1021" s="78" t="s">
        <v>870</v>
      </c>
      <c r="C1021" s="78" t="s">
        <v>871</v>
      </c>
      <c r="D1021" s="78" t="s">
        <v>875</v>
      </c>
      <c r="E1021" s="78"/>
      <c r="F1021" s="71" t="str">
        <f t="shared" si="63"/>
        <v>Mazinga</v>
      </c>
      <c r="G1021" s="71" t="str">
        <f t="shared" si="57"/>
        <v>Kalangala</v>
      </c>
      <c r="H1021" s="78" t="s">
        <v>875</v>
      </c>
    </row>
    <row r="1022" spans="1:8">
      <c r="A1022" s="77">
        <v>1368</v>
      </c>
      <c r="B1022" s="78" t="s">
        <v>53</v>
      </c>
      <c r="C1022" s="78" t="s">
        <v>715</v>
      </c>
      <c r="D1022" s="78" t="s">
        <v>738</v>
      </c>
      <c r="E1022" s="78"/>
      <c r="F1022" s="71" t="str">
        <f t="shared" si="63"/>
        <v>Mbaare</v>
      </c>
      <c r="G1022" s="71" t="str">
        <f t="shared" si="57"/>
        <v>Isingiro</v>
      </c>
      <c r="H1022" s="78" t="s">
        <v>738</v>
      </c>
    </row>
    <row r="1023" spans="1:8">
      <c r="A1023" s="77">
        <v>734</v>
      </c>
      <c r="B1023" s="78" t="s">
        <v>1376</v>
      </c>
      <c r="C1023" s="78" t="s">
        <v>1379</v>
      </c>
      <c r="D1023" s="78" t="s">
        <v>1385</v>
      </c>
      <c r="E1023" s="78"/>
      <c r="F1023" s="71" t="str">
        <f t="shared" si="63"/>
        <v>Mbulamuti</v>
      </c>
      <c r="G1023" s="71" t="str">
        <f t="shared" si="57"/>
        <v>Kamuli</v>
      </c>
      <c r="H1023" s="78" t="s">
        <v>1385</v>
      </c>
    </row>
    <row r="1024" spans="1:8">
      <c r="A1024" s="77">
        <v>820</v>
      </c>
      <c r="B1024" s="78" t="s">
        <v>201</v>
      </c>
      <c r="C1024" s="78" t="s">
        <v>201</v>
      </c>
      <c r="D1024" s="78" t="s">
        <v>2461</v>
      </c>
      <c r="E1024" s="78"/>
      <c r="F1024" s="71" t="str">
        <f t="shared" si="63"/>
        <v>Mella</v>
      </c>
      <c r="G1024" s="71" t="str">
        <f t="shared" si="57"/>
        <v>Tororo</v>
      </c>
      <c r="H1024" s="78" t="s">
        <v>2461</v>
      </c>
    </row>
    <row r="1025" spans="1:8">
      <c r="A1025" s="77">
        <v>539</v>
      </c>
      <c r="B1025" s="78" t="s">
        <v>2477</v>
      </c>
      <c r="C1025" s="78" t="s">
        <v>2481</v>
      </c>
      <c r="D1025" s="78" t="s">
        <v>2589</v>
      </c>
      <c r="E1025" s="78"/>
      <c r="F1025" s="71" t="str">
        <f t="shared" si="63"/>
        <v>Mende</v>
      </c>
      <c r="G1025" s="71" t="str">
        <f t="shared" si="57"/>
        <v>Wakiso</v>
      </c>
      <c r="H1025" s="78" t="s">
        <v>2589</v>
      </c>
    </row>
    <row r="1026" spans="1:8">
      <c r="A1026" s="77">
        <v>821</v>
      </c>
      <c r="B1026" s="78" t="s">
        <v>201</v>
      </c>
      <c r="C1026" s="78" t="s">
        <v>201</v>
      </c>
      <c r="D1026" s="78" t="s">
        <v>2462</v>
      </c>
      <c r="E1026" s="78"/>
      <c r="F1026" s="71" t="str">
        <f t="shared" si="63"/>
        <v>Merikit</v>
      </c>
      <c r="G1026" s="71" t="str">
        <f t="shared" si="57"/>
        <v>Tororo</v>
      </c>
      <c r="H1026" s="78" t="s">
        <v>2462</v>
      </c>
    </row>
    <row r="1027" spans="1:8">
      <c r="A1027" s="77">
        <v>104</v>
      </c>
      <c r="B1027" s="78" t="s">
        <v>2001</v>
      </c>
      <c r="C1027" s="78" t="s">
        <v>2004</v>
      </c>
      <c r="D1027" s="78" t="s">
        <v>2009</v>
      </c>
      <c r="E1027" s="78"/>
      <c r="F1027" s="71" t="str">
        <f t="shared" si="63"/>
        <v>Metu</v>
      </c>
      <c r="G1027" s="71" t="str">
        <f t="shared" si="57"/>
        <v>Moyo</v>
      </c>
      <c r="H1027" s="78" t="s">
        <v>2009</v>
      </c>
    </row>
    <row r="1028" spans="1:8">
      <c r="A1028" s="77">
        <v>203</v>
      </c>
      <c r="B1028" s="78" t="s">
        <v>1622</v>
      </c>
      <c r="C1028" s="78" t="s">
        <v>1622</v>
      </c>
      <c r="D1028" s="78" t="s">
        <v>1628</v>
      </c>
      <c r="E1028" s="78"/>
      <c r="F1028" s="71" t="str">
        <f t="shared" si="63"/>
        <v>Midia</v>
      </c>
      <c r="G1028" s="71" t="str">
        <f t="shared" si="57"/>
        <v>Koboko</v>
      </c>
      <c r="H1028" s="78" t="s">
        <v>1628</v>
      </c>
    </row>
    <row r="1029" spans="1:8">
      <c r="A1029" s="77">
        <v>147</v>
      </c>
      <c r="B1029" s="78" t="s">
        <v>2711</v>
      </c>
      <c r="C1029" s="78" t="s">
        <v>2712</v>
      </c>
      <c r="D1029" s="78" t="s">
        <v>2721</v>
      </c>
      <c r="E1029" s="78"/>
      <c r="F1029" s="71" t="str">
        <f t="shared" si="63"/>
        <v>Midigo</v>
      </c>
      <c r="G1029" s="71" t="str">
        <f t="shared" si="57"/>
        <v>Yumbe</v>
      </c>
      <c r="H1029" s="78" t="s">
        <v>2721</v>
      </c>
    </row>
    <row r="1030" spans="1:8">
      <c r="A1030" s="77">
        <v>499</v>
      </c>
      <c r="B1030" s="78" t="s">
        <v>2120</v>
      </c>
      <c r="C1030" s="78" t="s">
        <v>1863</v>
      </c>
      <c r="D1030" s="78" t="s">
        <v>2126</v>
      </c>
      <c r="E1030" s="78"/>
      <c r="F1030" s="71" t="str">
        <f t="shared" si="63"/>
        <v>Migeera Town Council</v>
      </c>
      <c r="G1030" s="71" t="str">
        <f t="shared" si="57"/>
        <v>Nakasongola</v>
      </c>
      <c r="H1030" s="78" t="s">
        <v>2126</v>
      </c>
    </row>
    <row r="1031" spans="1:8">
      <c r="A1031" s="77">
        <v>1238</v>
      </c>
      <c r="B1031" s="78" t="s">
        <v>1859</v>
      </c>
      <c r="C1031" s="78" t="s">
        <v>1863</v>
      </c>
      <c r="D1031" s="78" t="s">
        <v>1866</v>
      </c>
      <c r="E1031" s="78"/>
      <c r="F1031" s="71" t="str">
        <f t="shared" si="63"/>
        <v>Miirya</v>
      </c>
      <c r="G1031" s="71" t="str">
        <f t="shared" si="57"/>
        <v>Masindi</v>
      </c>
      <c r="H1031" s="78" t="s">
        <v>1866</v>
      </c>
    </row>
    <row r="1032" spans="1:8">
      <c r="A1032" s="77">
        <v>521</v>
      </c>
      <c r="B1032" s="78" t="s">
        <v>2442</v>
      </c>
      <c r="C1032" s="78" t="s">
        <v>2443</v>
      </c>
      <c r="D1032" s="78" t="s">
        <v>2448</v>
      </c>
      <c r="E1032" s="78"/>
      <c r="F1032" s="71" t="str">
        <f t="shared" si="63"/>
        <v>Mijwala</v>
      </c>
      <c r="G1032" s="71" t="str">
        <f t="shared" si="57"/>
        <v>Ssembabule</v>
      </c>
      <c r="H1032" s="78" t="s">
        <v>2448</v>
      </c>
    </row>
    <row r="1033" spans="1:8">
      <c r="A1033" s="77">
        <v>222</v>
      </c>
      <c r="B1033" s="78" t="s">
        <v>2260</v>
      </c>
      <c r="C1033" s="78" t="s">
        <v>2260</v>
      </c>
      <c r="D1033" s="78" t="s">
        <v>2268</v>
      </c>
      <c r="E1033" s="78"/>
      <c r="F1033" s="71" t="str">
        <f t="shared" si="63"/>
        <v>Minakulu</v>
      </c>
      <c r="G1033" s="71" t="str">
        <f t="shared" si="57"/>
        <v>Oyam</v>
      </c>
      <c r="H1033" s="78" t="s">
        <v>2268</v>
      </c>
    </row>
    <row r="1034" spans="1:8">
      <c r="A1034" s="77">
        <v>1119</v>
      </c>
      <c r="B1034" s="78" t="s">
        <v>499</v>
      </c>
      <c r="C1034" s="78" t="s">
        <v>500</v>
      </c>
      <c r="D1034" s="78" t="s">
        <v>514</v>
      </c>
      <c r="E1034" s="78"/>
      <c r="F1034" s="71" t="str">
        <f t="shared" si="63"/>
        <v>Mirambi</v>
      </c>
      <c r="G1034" s="71" t="str">
        <f t="shared" ref="G1034:G1097" si="64">B1034</f>
        <v>Bundibugyo</v>
      </c>
      <c r="H1034" s="78" t="s">
        <v>514</v>
      </c>
    </row>
    <row r="1035" spans="1:8">
      <c r="A1035" s="77">
        <v>1438</v>
      </c>
      <c r="B1035" s="78" t="s">
        <v>51</v>
      </c>
      <c r="C1035" s="78" t="s">
        <v>1956</v>
      </c>
      <c r="D1035" s="78" t="s">
        <v>51</v>
      </c>
      <c r="E1035" s="78"/>
      <c r="F1035" s="71" t="str">
        <f t="shared" si="63"/>
        <v>Mitooma</v>
      </c>
      <c r="G1035" s="71" t="str">
        <f t="shared" si="64"/>
        <v>Mitooma</v>
      </c>
      <c r="H1035" s="78" t="s">
        <v>51</v>
      </c>
    </row>
    <row r="1036" spans="1:8">
      <c r="A1036" s="77">
        <v>1439</v>
      </c>
      <c r="B1036" s="78" t="s">
        <v>51</v>
      </c>
      <c r="C1036" s="78" t="s">
        <v>1956</v>
      </c>
      <c r="D1036" s="78" t="s">
        <v>1964</v>
      </c>
      <c r="E1036" s="78"/>
      <c r="F1036" s="71" t="str">
        <f t="shared" si="63"/>
        <v>Mitooma Town Council</v>
      </c>
      <c r="G1036" s="71" t="str">
        <f t="shared" si="64"/>
        <v>Mitooma</v>
      </c>
      <c r="H1036" s="78" t="s">
        <v>1964</v>
      </c>
    </row>
    <row r="1037" spans="1:8">
      <c r="A1037" s="77">
        <v>822</v>
      </c>
      <c r="B1037" s="78" t="s">
        <v>201</v>
      </c>
      <c r="C1037" s="78" t="s">
        <v>201</v>
      </c>
      <c r="D1037" s="78" t="s">
        <v>2463</v>
      </c>
      <c r="E1037" s="78"/>
      <c r="F1037" s="71" t="str">
        <f t="shared" si="63"/>
        <v>Molo</v>
      </c>
      <c r="G1037" s="71" t="str">
        <f t="shared" si="64"/>
        <v>Tororo</v>
      </c>
      <c r="H1037" s="78" t="s">
        <v>2463</v>
      </c>
    </row>
    <row r="1038" spans="1:8">
      <c r="A1038" s="77">
        <v>119</v>
      </c>
      <c r="B1038" s="78" t="s">
        <v>2090</v>
      </c>
      <c r="C1038" s="78" t="s">
        <v>2091</v>
      </c>
      <c r="D1038" s="78" t="s">
        <v>2096</v>
      </c>
      <c r="E1038" s="78"/>
      <c r="F1038" s="71" t="str">
        <f t="shared" si="63"/>
        <v>Moruita</v>
      </c>
      <c r="G1038" s="71" t="str">
        <f t="shared" si="64"/>
        <v>Nakapiripirit</v>
      </c>
      <c r="H1038" s="78" t="s">
        <v>2096</v>
      </c>
    </row>
    <row r="1039" spans="1:8">
      <c r="A1039" s="77">
        <v>155</v>
      </c>
      <c r="B1039" s="78" t="s">
        <v>241</v>
      </c>
      <c r="C1039" s="78" t="s">
        <v>242</v>
      </c>
      <c r="D1039" s="78" t="s">
        <v>246</v>
      </c>
      <c r="E1039" s="78"/>
      <c r="F1039" s="71" t="str">
        <f t="shared" si="63"/>
        <v>Morulem</v>
      </c>
      <c r="G1039" s="71" t="str">
        <f t="shared" si="64"/>
        <v>Abim</v>
      </c>
      <c r="H1039" s="78" t="s">
        <v>246</v>
      </c>
    </row>
    <row r="1040" spans="1:8">
      <c r="A1040" s="77">
        <v>892</v>
      </c>
      <c r="B1040" s="78" t="s">
        <v>307</v>
      </c>
      <c r="C1040" s="78" t="s">
        <v>307</v>
      </c>
      <c r="D1040" s="78" t="s">
        <v>316</v>
      </c>
      <c r="E1040" s="78"/>
      <c r="F1040" s="71" t="str">
        <f t="shared" si="63"/>
        <v>Morungatuny</v>
      </c>
      <c r="G1040" s="71" t="str">
        <f t="shared" si="64"/>
        <v>Amuria</v>
      </c>
      <c r="H1040" s="78" t="s">
        <v>316</v>
      </c>
    </row>
    <row r="1041" spans="1:8">
      <c r="A1041" s="77">
        <v>105</v>
      </c>
      <c r="B1041" s="78" t="s">
        <v>2001</v>
      </c>
      <c r="C1041" s="78" t="s">
        <v>2004</v>
      </c>
      <c r="D1041" s="78" t="s">
        <v>2001</v>
      </c>
      <c r="E1041" s="78"/>
      <c r="F1041" s="71" t="str">
        <f t="shared" si="63"/>
        <v>Moyo</v>
      </c>
      <c r="G1041" s="71" t="str">
        <f t="shared" si="64"/>
        <v>Moyo</v>
      </c>
      <c r="H1041" s="78" t="s">
        <v>2001</v>
      </c>
    </row>
    <row r="1042" spans="1:8">
      <c r="A1042" s="77">
        <v>106</v>
      </c>
      <c r="B1042" s="78" t="s">
        <v>2001</v>
      </c>
      <c r="C1042" s="78" t="s">
        <v>2004</v>
      </c>
      <c r="D1042" s="78" t="s">
        <v>2010</v>
      </c>
      <c r="E1042" s="78"/>
      <c r="F1042" s="71" t="str">
        <f t="shared" si="63"/>
        <v>Moyo Town Council</v>
      </c>
      <c r="G1042" s="71" t="str">
        <f t="shared" si="64"/>
        <v>Moyo</v>
      </c>
      <c r="H1042" s="78" t="s">
        <v>2010</v>
      </c>
    </row>
    <row r="1043" spans="1:8">
      <c r="A1043" s="77">
        <v>1044</v>
      </c>
      <c r="B1043" s="78" t="s">
        <v>1651</v>
      </c>
      <c r="C1043" s="78" t="s">
        <v>1651</v>
      </c>
      <c r="D1043" s="78" t="s">
        <v>1661</v>
      </c>
      <c r="E1043" s="78"/>
      <c r="F1043" s="71" t="str">
        <f t="shared" si="63"/>
        <v>Moyok</v>
      </c>
      <c r="G1043" s="71" t="str">
        <f t="shared" si="64"/>
        <v>Kween</v>
      </c>
      <c r="H1043" s="78" t="s">
        <v>1661</v>
      </c>
    </row>
    <row r="1044" spans="1:8">
      <c r="A1044" s="77">
        <v>1426</v>
      </c>
      <c r="B1044" s="78" t="s">
        <v>1697</v>
      </c>
      <c r="C1044" s="78" t="s">
        <v>1698</v>
      </c>
      <c r="D1044" s="78" t="s">
        <v>1705</v>
      </c>
      <c r="E1044" s="78"/>
      <c r="F1044" s="71" t="str">
        <f t="shared" si="63"/>
        <v>Mpara</v>
      </c>
      <c r="G1044" s="71" t="str">
        <f t="shared" si="64"/>
        <v>Kyegegwa</v>
      </c>
      <c r="H1044" s="78" t="s">
        <v>1705</v>
      </c>
    </row>
    <row r="1045" spans="1:8" ht="25.5">
      <c r="A1045" s="77">
        <v>1148</v>
      </c>
      <c r="B1045" s="78" t="s">
        <v>648</v>
      </c>
      <c r="C1045" s="79" t="s">
        <v>654</v>
      </c>
      <c r="D1045" s="78" t="s">
        <v>2867</v>
      </c>
      <c r="E1045" s="78"/>
      <c r="F1045" s="72" t="str">
        <f>VLOOKUP(C1045,[2]Municipalities!$C$9:$F$1522,4,FALSE)</f>
        <v>Hoima Municipality</v>
      </c>
      <c r="G1045" s="71" t="str">
        <f t="shared" si="64"/>
        <v>Hoima</v>
      </c>
      <c r="H1045" s="78" t="s">
        <v>2867</v>
      </c>
    </row>
    <row r="1046" spans="1:8">
      <c r="A1046" s="77">
        <v>1531</v>
      </c>
      <c r="B1046" s="78" t="s">
        <v>2831</v>
      </c>
      <c r="C1046" s="78" t="s">
        <v>2349</v>
      </c>
      <c r="D1046" s="78" t="s">
        <v>2868</v>
      </c>
      <c r="E1046" s="78"/>
      <c r="F1046" s="71" t="str">
        <f t="shared" si="63"/>
        <v>Mparo Town Council</v>
      </c>
      <c r="G1046" s="71" t="str">
        <f t="shared" si="64"/>
        <v>Rukiga</v>
      </c>
      <c r="H1046" s="78" t="s">
        <v>2868</v>
      </c>
    </row>
    <row r="1047" spans="1:8">
      <c r="A1047" s="77">
        <v>1501</v>
      </c>
      <c r="B1047" s="78" t="s">
        <v>856</v>
      </c>
      <c r="C1047" s="78" t="s">
        <v>857</v>
      </c>
      <c r="D1047" s="78" t="s">
        <v>866</v>
      </c>
      <c r="E1047" s="78"/>
      <c r="F1047" s="71" t="str">
        <f t="shared" si="63"/>
        <v>Mpasaana</v>
      </c>
      <c r="G1047" s="71" t="str">
        <f t="shared" si="64"/>
        <v>Kakumiro</v>
      </c>
      <c r="H1047" s="78" t="s">
        <v>866</v>
      </c>
    </row>
    <row r="1048" spans="1:8">
      <c r="A1048" s="77">
        <v>480</v>
      </c>
      <c r="B1048" s="78" t="s">
        <v>2053</v>
      </c>
      <c r="C1048" s="78" t="s">
        <v>2053</v>
      </c>
      <c r="D1048" s="78" t="s">
        <v>2060</v>
      </c>
      <c r="E1048" s="78"/>
      <c r="F1048" s="71" t="str">
        <f t="shared" si="63"/>
        <v>Mpatta</v>
      </c>
      <c r="G1048" s="71" t="str">
        <f t="shared" si="64"/>
        <v>Mukono</v>
      </c>
      <c r="H1048" s="78" t="s">
        <v>2060</v>
      </c>
    </row>
    <row r="1049" spans="1:8">
      <c r="A1049" s="77">
        <v>1488</v>
      </c>
      <c r="B1049" s="78" t="s">
        <v>837</v>
      </c>
      <c r="C1049" s="78" t="s">
        <v>838</v>
      </c>
      <c r="D1049" s="78" t="s">
        <v>848</v>
      </c>
      <c r="E1049" s="78"/>
      <c r="F1049" s="71" t="str">
        <f t="shared" si="63"/>
        <v>Mpeefu</v>
      </c>
      <c r="G1049" s="71" t="str">
        <f t="shared" si="64"/>
        <v>Kagadi</v>
      </c>
      <c r="H1049" s="78" t="s">
        <v>848</v>
      </c>
    </row>
    <row r="1050" spans="1:8">
      <c r="A1050" s="77">
        <v>630</v>
      </c>
      <c r="B1050" s="78" t="s">
        <v>634</v>
      </c>
      <c r="C1050" s="78" t="s">
        <v>634</v>
      </c>
      <c r="D1050" s="78" t="s">
        <v>638</v>
      </c>
      <c r="E1050" s="78"/>
      <c r="F1050" s="71" t="str">
        <f t="shared" si="63"/>
        <v>Mpenja</v>
      </c>
      <c r="G1050" s="71" t="str">
        <f t="shared" si="64"/>
        <v>Gomba</v>
      </c>
      <c r="H1050" s="78" t="s">
        <v>638</v>
      </c>
    </row>
    <row r="1051" spans="1:8">
      <c r="A1051" s="77">
        <v>455</v>
      </c>
      <c r="B1051" s="78" t="s">
        <v>2012</v>
      </c>
      <c r="C1051" s="78" t="s">
        <v>2013</v>
      </c>
      <c r="D1051" s="78" t="s">
        <v>2017</v>
      </c>
      <c r="E1051" s="78"/>
      <c r="F1051" s="71" t="str">
        <f t="shared" si="63"/>
        <v>Mpigi Town Council</v>
      </c>
      <c r="G1051" s="71" t="str">
        <f t="shared" si="64"/>
        <v>Mpigi</v>
      </c>
      <c r="H1051" s="78" t="s">
        <v>2017</v>
      </c>
    </row>
    <row r="1052" spans="1:8">
      <c r="A1052" s="77">
        <v>1187</v>
      </c>
      <c r="B1052" s="78" t="s">
        <v>37</v>
      </c>
      <c r="C1052" s="78" t="s">
        <v>502</v>
      </c>
      <c r="D1052" s="78" t="s">
        <v>1481</v>
      </c>
      <c r="E1052" s="78"/>
      <c r="F1052" s="71" t="str">
        <f t="shared" si="63"/>
        <v>Mpondwe-Lhubiriha</v>
      </c>
      <c r="G1052" s="71" t="str">
        <f t="shared" si="64"/>
        <v>Kasese</v>
      </c>
      <c r="H1052" s="78" t="s">
        <v>1481</v>
      </c>
    </row>
    <row r="1053" spans="1:8">
      <c r="A1053" s="77">
        <v>564</v>
      </c>
      <c r="B1053" s="78" t="s">
        <v>1806</v>
      </c>
      <c r="C1053" s="78" t="s">
        <v>1807</v>
      </c>
      <c r="D1053" s="82" t="s">
        <v>2869</v>
      </c>
      <c r="E1053" s="78"/>
      <c r="F1053" s="71" t="str">
        <f t="shared" ref="F1053" si="65">D1053&amp;"-"&amp;B1053</f>
        <v>Mpumudde-Lyantonde</v>
      </c>
      <c r="G1053" s="71" t="str">
        <f t="shared" si="64"/>
        <v>Lyantonde</v>
      </c>
      <c r="H1053" s="82" t="s">
        <v>2869</v>
      </c>
    </row>
    <row r="1054" spans="1:8">
      <c r="A1054" s="77">
        <v>718</v>
      </c>
      <c r="B1054" s="78" t="s">
        <v>186</v>
      </c>
      <c r="C1054" s="79" t="s">
        <v>761</v>
      </c>
      <c r="D1054" s="82" t="s">
        <v>2870</v>
      </c>
      <c r="E1054" s="78"/>
      <c r="F1054" s="72" t="str">
        <f>VLOOKUP(C1054,[2]Municipalities!$C$9:$F$1522,4,FALSE)</f>
        <v>Jinja Municipality</v>
      </c>
      <c r="G1054" s="71" t="str">
        <f t="shared" si="64"/>
        <v>Jinja</v>
      </c>
      <c r="H1054" s="82" t="s">
        <v>2870</v>
      </c>
    </row>
    <row r="1055" spans="1:8">
      <c r="A1055" s="77">
        <v>481</v>
      </c>
      <c r="B1055" s="78" t="s">
        <v>2053</v>
      </c>
      <c r="C1055" s="78" t="s">
        <v>2053</v>
      </c>
      <c r="D1055" s="78" t="s">
        <v>2061</v>
      </c>
      <c r="E1055" s="78"/>
      <c r="F1055" s="71" t="str">
        <f t="shared" si="63"/>
        <v>Mpunge</v>
      </c>
      <c r="G1055" s="71" t="str">
        <f t="shared" si="64"/>
        <v>Mukono</v>
      </c>
      <c r="H1055" s="78" t="s">
        <v>2061</v>
      </c>
    </row>
    <row r="1056" spans="1:8">
      <c r="A1056" s="77">
        <v>1324</v>
      </c>
      <c r="B1056" s="78" t="s">
        <v>1418</v>
      </c>
      <c r="C1056" s="78" t="s">
        <v>1419</v>
      </c>
      <c r="D1056" s="78" t="s">
        <v>1431</v>
      </c>
      <c r="E1056" s="78"/>
      <c r="F1056" s="71" t="str">
        <f t="shared" si="63"/>
        <v>Mpungu</v>
      </c>
      <c r="G1056" s="71" t="str">
        <f t="shared" si="64"/>
        <v>Kanungu</v>
      </c>
      <c r="H1056" s="78" t="s">
        <v>1431</v>
      </c>
    </row>
    <row r="1057" spans="1:8">
      <c r="A1057" s="77">
        <v>862</v>
      </c>
      <c r="B1057" s="78" t="s">
        <v>1869</v>
      </c>
      <c r="C1057" s="78" t="s">
        <v>1870</v>
      </c>
      <c r="D1057" s="78" t="s">
        <v>1883</v>
      </c>
      <c r="E1057" s="78"/>
      <c r="F1057" s="71" t="str">
        <f t="shared" si="63"/>
        <v>Mpungwe</v>
      </c>
      <c r="G1057" s="71" t="str">
        <f t="shared" si="64"/>
        <v>Mayuge</v>
      </c>
      <c r="H1057" s="78" t="s">
        <v>1883</v>
      </c>
    </row>
    <row r="1058" spans="1:8">
      <c r="A1058" s="77">
        <v>63</v>
      </c>
      <c r="B1058" s="78" t="s">
        <v>220</v>
      </c>
      <c r="C1058" s="78" t="s">
        <v>1611</v>
      </c>
      <c r="D1058" s="78" t="s">
        <v>1617</v>
      </c>
      <c r="E1058" s="78"/>
      <c r="F1058" s="71" t="str">
        <f t="shared" si="63"/>
        <v>Mucwini</v>
      </c>
      <c r="G1058" s="71" t="str">
        <f t="shared" si="64"/>
        <v>Kitgum</v>
      </c>
      <c r="H1058" s="78" t="s">
        <v>1617</v>
      </c>
    </row>
    <row r="1059" spans="1:8">
      <c r="A1059" s="77">
        <v>456</v>
      </c>
      <c r="B1059" s="78" t="s">
        <v>2012</v>
      </c>
      <c r="C1059" s="78" t="s">
        <v>2013</v>
      </c>
      <c r="D1059" s="78" t="s">
        <v>2023</v>
      </c>
      <c r="E1059" s="78"/>
      <c r="F1059" s="71" t="str">
        <f t="shared" si="63"/>
        <v>Muduuma</v>
      </c>
      <c r="G1059" s="71" t="str">
        <f t="shared" si="64"/>
        <v>Mpigi</v>
      </c>
      <c r="H1059" s="78" t="s">
        <v>2023</v>
      </c>
    </row>
    <row r="1060" spans="1:8">
      <c r="A1060" s="77">
        <v>1213</v>
      </c>
      <c r="B1060" s="78" t="s">
        <v>1513</v>
      </c>
      <c r="C1060" s="78" t="s">
        <v>1514</v>
      </c>
      <c r="D1060" s="78" t="s">
        <v>1521</v>
      </c>
      <c r="E1060" s="78"/>
      <c r="F1060" s="71" t="str">
        <f t="shared" si="63"/>
        <v>Mugarama</v>
      </c>
      <c r="G1060" s="71" t="str">
        <f t="shared" si="64"/>
        <v>Kibaale</v>
      </c>
      <c r="H1060" s="78" t="s">
        <v>1521</v>
      </c>
    </row>
    <row r="1061" spans="1:8">
      <c r="A1061" s="77">
        <v>914</v>
      </c>
      <c r="B1061" s="78" t="s">
        <v>374</v>
      </c>
      <c r="C1061" s="78" t="s">
        <v>376</v>
      </c>
      <c r="D1061" s="78" t="s">
        <v>384</v>
      </c>
      <c r="E1061" s="78"/>
      <c r="F1061" s="71" t="str">
        <f t="shared" si="63"/>
        <v>Mugiti</v>
      </c>
      <c r="G1061" s="71" t="str">
        <f t="shared" si="64"/>
        <v>Budaka</v>
      </c>
      <c r="H1061" s="78" t="s">
        <v>384</v>
      </c>
    </row>
    <row r="1062" spans="1:8">
      <c r="A1062" s="77">
        <v>320</v>
      </c>
      <c r="B1062" s="78" t="s">
        <v>870</v>
      </c>
      <c r="C1062" s="78" t="s">
        <v>873</v>
      </c>
      <c r="D1062" s="78" t="s">
        <v>876</v>
      </c>
      <c r="E1062" s="78"/>
      <c r="F1062" s="71" t="str">
        <f t="shared" si="63"/>
        <v>Mugoye</v>
      </c>
      <c r="G1062" s="71" t="str">
        <f t="shared" si="64"/>
        <v>Kalangala</v>
      </c>
      <c r="H1062" s="78" t="s">
        <v>876</v>
      </c>
    </row>
    <row r="1063" spans="1:8">
      <c r="A1063" s="77">
        <v>1172</v>
      </c>
      <c r="B1063" s="78" t="s">
        <v>803</v>
      </c>
      <c r="C1063" s="78" t="s">
        <v>804</v>
      </c>
      <c r="D1063" s="78" t="s">
        <v>819</v>
      </c>
      <c r="E1063" s="78"/>
      <c r="F1063" s="71" t="str">
        <f t="shared" si="63"/>
        <v>Mugusu</v>
      </c>
      <c r="G1063" s="71" t="str">
        <f t="shared" si="64"/>
        <v>Kabarole</v>
      </c>
      <c r="H1063" s="78" t="s">
        <v>819</v>
      </c>
    </row>
    <row r="1064" spans="1:8">
      <c r="A1064" s="77">
        <v>1174</v>
      </c>
      <c r="B1064" s="78" t="s">
        <v>803</v>
      </c>
      <c r="C1064" s="78" t="s">
        <v>804</v>
      </c>
      <c r="D1064" s="78" t="s">
        <v>822</v>
      </c>
      <c r="E1064" s="78"/>
      <c r="F1064" s="71" t="str">
        <f t="shared" si="63"/>
        <v>Mugusu Town Council</v>
      </c>
      <c r="G1064" s="71" t="str">
        <f t="shared" si="64"/>
        <v>Kabarole</v>
      </c>
      <c r="H1064" s="78" t="s">
        <v>822</v>
      </c>
    </row>
    <row r="1065" spans="1:8">
      <c r="A1065" s="77">
        <v>1529</v>
      </c>
      <c r="B1065" s="78" t="s">
        <v>2349</v>
      </c>
      <c r="C1065" s="78" t="s">
        <v>2349</v>
      </c>
      <c r="D1065" s="78" t="s">
        <v>2355</v>
      </c>
      <c r="E1065" s="78"/>
      <c r="F1065" s="71" t="str">
        <f t="shared" si="63"/>
        <v>Muhanga Town Council</v>
      </c>
      <c r="G1065" s="71" t="str">
        <f t="shared" si="64"/>
        <v>Rukiga</v>
      </c>
      <c r="H1065" s="78" t="s">
        <v>2355</v>
      </c>
    </row>
    <row r="1066" spans="1:8">
      <c r="A1066" s="77">
        <v>1203</v>
      </c>
      <c r="B1066" s="78" t="s">
        <v>37</v>
      </c>
      <c r="C1066" s="78" t="s">
        <v>1452</v>
      </c>
      <c r="D1066" s="78" t="s">
        <v>1482</v>
      </c>
      <c r="E1066" s="78"/>
      <c r="F1066" s="71" t="str">
        <f t="shared" si="63"/>
        <v>Muhokya</v>
      </c>
      <c r="G1066" s="71" t="str">
        <f t="shared" si="64"/>
        <v>Kasese</v>
      </c>
      <c r="H1066" s="78" t="s">
        <v>1482</v>
      </c>
    </row>
    <row r="1067" spans="1:8">
      <c r="A1067" s="77">
        <v>1489</v>
      </c>
      <c r="B1067" s="78" t="s">
        <v>837</v>
      </c>
      <c r="C1067" s="78" t="s">
        <v>838</v>
      </c>
      <c r="D1067" s="78" t="s">
        <v>849</v>
      </c>
      <c r="E1067" s="78"/>
      <c r="F1067" s="71" t="str">
        <f t="shared" si="63"/>
        <v>Muhorro</v>
      </c>
      <c r="G1067" s="71" t="str">
        <f t="shared" si="64"/>
        <v>Kagadi</v>
      </c>
      <c r="H1067" s="78" t="s">
        <v>849</v>
      </c>
    </row>
    <row r="1068" spans="1:8">
      <c r="A1068" s="77">
        <v>1490</v>
      </c>
      <c r="B1068" s="78" t="s">
        <v>837</v>
      </c>
      <c r="C1068" s="78" t="s">
        <v>838</v>
      </c>
      <c r="D1068" s="78" t="s">
        <v>850</v>
      </c>
      <c r="E1068" s="78"/>
      <c r="F1068" s="71" t="str">
        <f t="shared" si="63"/>
        <v>Muhorro Town Council</v>
      </c>
      <c r="G1068" s="71" t="str">
        <f t="shared" si="64"/>
        <v>Kagadi</v>
      </c>
      <c r="H1068" s="78" t="s">
        <v>850</v>
      </c>
    </row>
    <row r="1069" spans="1:8">
      <c r="A1069" s="77">
        <v>1511</v>
      </c>
      <c r="B1069" s="78" t="s">
        <v>793</v>
      </c>
      <c r="C1069" s="78" t="s">
        <v>793</v>
      </c>
      <c r="D1069" s="78" t="s">
        <v>2327</v>
      </c>
      <c r="E1069" s="78"/>
      <c r="F1069" s="71" t="str">
        <f t="shared" si="63"/>
        <v>Muko</v>
      </c>
      <c r="G1069" s="71" t="str">
        <f t="shared" si="64"/>
        <v>Rubanda</v>
      </c>
      <c r="H1069" s="78" t="s">
        <v>2327</v>
      </c>
    </row>
    <row r="1070" spans="1:8">
      <c r="A1070" s="77">
        <v>766</v>
      </c>
      <c r="B1070" s="78" t="s">
        <v>1644</v>
      </c>
      <c r="C1070" s="78" t="s">
        <v>1644</v>
      </c>
      <c r="D1070" s="78" t="s">
        <v>1647</v>
      </c>
      <c r="E1070" s="78"/>
      <c r="F1070" s="71" t="str">
        <f t="shared" ref="F1070:F1121" si="66">D1070</f>
        <v>Mukongoro</v>
      </c>
      <c r="G1070" s="71" t="str">
        <f t="shared" si="64"/>
        <v>Kumi</v>
      </c>
      <c r="H1070" s="78" t="s">
        <v>1647</v>
      </c>
    </row>
    <row r="1071" spans="1:8">
      <c r="A1071" s="77">
        <v>1096</v>
      </c>
      <c r="B1071" s="78" t="s">
        <v>2145</v>
      </c>
      <c r="C1071" s="78" t="s">
        <v>2145</v>
      </c>
      <c r="D1071" s="78" t="s">
        <v>2157</v>
      </c>
      <c r="E1071" s="78"/>
      <c r="F1071" s="71" t="str">
        <f t="shared" si="66"/>
        <v>Mukoto</v>
      </c>
      <c r="G1071" s="71" t="str">
        <f t="shared" si="64"/>
        <v>Namisindwa</v>
      </c>
      <c r="H1071" s="78" t="s">
        <v>2157</v>
      </c>
    </row>
    <row r="1072" spans="1:8">
      <c r="A1072" s="77">
        <v>823</v>
      </c>
      <c r="B1072" s="78" t="s">
        <v>201</v>
      </c>
      <c r="C1072" s="78" t="s">
        <v>201</v>
      </c>
      <c r="D1072" s="78" t="s">
        <v>2464</v>
      </c>
      <c r="E1072" s="78"/>
      <c r="F1072" s="71" t="str">
        <f t="shared" si="66"/>
        <v>Mukuju</v>
      </c>
      <c r="G1072" s="71" t="str">
        <f t="shared" si="64"/>
        <v>Tororo</v>
      </c>
      <c r="H1072" s="78" t="s">
        <v>2464</v>
      </c>
    </row>
    <row r="1073" spans="1:8">
      <c r="A1073" s="77">
        <v>447</v>
      </c>
      <c r="B1073" s="78" t="s">
        <v>40</v>
      </c>
      <c r="C1073" s="78" t="s">
        <v>23</v>
      </c>
      <c r="D1073" s="78" t="s">
        <v>1856</v>
      </c>
      <c r="E1073" s="78"/>
      <c r="F1073" s="71" t="str">
        <f t="shared" si="66"/>
        <v>Mukungwe</v>
      </c>
      <c r="G1073" s="71" t="str">
        <f t="shared" si="64"/>
        <v>Masaka</v>
      </c>
      <c r="H1073" s="78" t="s">
        <v>1856</v>
      </c>
    </row>
    <row r="1074" spans="1:8">
      <c r="A1074" s="77">
        <v>1065</v>
      </c>
      <c r="B1074" s="78" t="s">
        <v>2192</v>
      </c>
      <c r="C1074" s="78" t="s">
        <v>2192</v>
      </c>
      <c r="D1074" s="78" t="s">
        <v>2194</v>
      </c>
      <c r="E1074" s="78"/>
      <c r="F1074" s="71" t="str">
        <f t="shared" si="66"/>
        <v>Mukura</v>
      </c>
      <c r="G1074" s="71" t="str">
        <f t="shared" si="64"/>
        <v>Ngora</v>
      </c>
      <c r="H1074" s="78" t="s">
        <v>2194</v>
      </c>
    </row>
    <row r="1075" spans="1:8">
      <c r="A1075" s="77">
        <v>643</v>
      </c>
      <c r="B1075" s="78" t="s">
        <v>1664</v>
      </c>
      <c r="C1075" s="78" t="s">
        <v>1525</v>
      </c>
      <c r="D1075" s="78" t="s">
        <v>1691</v>
      </c>
      <c r="E1075" s="78"/>
      <c r="F1075" s="71" t="str">
        <f t="shared" si="66"/>
        <v>Mulagi</v>
      </c>
      <c r="G1075" s="71" t="str">
        <f t="shared" si="64"/>
        <v>Kyankwanzi</v>
      </c>
      <c r="H1075" s="78" t="s">
        <v>1691</v>
      </c>
    </row>
    <row r="1076" spans="1:8">
      <c r="A1076" s="77">
        <v>831</v>
      </c>
      <c r="B1076" s="78" t="s">
        <v>201</v>
      </c>
      <c r="C1076" s="78" t="s">
        <v>2455</v>
      </c>
      <c r="D1076" s="78" t="s">
        <v>2465</v>
      </c>
      <c r="E1076" s="78"/>
      <c r="F1076" s="71" t="str">
        <f t="shared" si="66"/>
        <v>Mulanda</v>
      </c>
      <c r="G1076" s="71" t="str">
        <f t="shared" si="64"/>
        <v>Tororo</v>
      </c>
      <c r="H1076" s="78" t="s">
        <v>2465</v>
      </c>
    </row>
    <row r="1077" spans="1:8">
      <c r="A1077" s="77">
        <v>748</v>
      </c>
      <c r="B1077" s="78" t="s">
        <v>1438</v>
      </c>
      <c r="C1077" s="78" t="s">
        <v>1439</v>
      </c>
      <c r="D1077" s="78" t="s">
        <v>1449</v>
      </c>
      <c r="E1077" s="78"/>
      <c r="F1077" s="71" t="str">
        <f t="shared" si="66"/>
        <v>Munarya</v>
      </c>
      <c r="G1077" s="71" t="str">
        <f t="shared" si="64"/>
        <v>Kapchorwa</v>
      </c>
      <c r="H1077" s="78" t="s">
        <v>1449</v>
      </c>
    </row>
    <row r="1078" spans="1:8">
      <c r="A1078" s="77">
        <v>1188</v>
      </c>
      <c r="B1078" s="78" t="s">
        <v>37</v>
      </c>
      <c r="C1078" s="78" t="s">
        <v>502</v>
      </c>
      <c r="D1078" s="78" t="s">
        <v>1483</v>
      </c>
      <c r="E1078" s="78"/>
      <c r="F1078" s="71" t="str">
        <f t="shared" si="66"/>
        <v>Munkunyu</v>
      </c>
      <c r="G1078" s="71" t="str">
        <f t="shared" si="64"/>
        <v>Kasese</v>
      </c>
      <c r="H1078" s="78" t="s">
        <v>1483</v>
      </c>
    </row>
    <row r="1079" spans="1:8">
      <c r="A1079" s="77">
        <v>165</v>
      </c>
      <c r="B1079" s="78" t="s">
        <v>289</v>
      </c>
      <c r="C1079" s="78" t="s">
        <v>290</v>
      </c>
      <c r="D1079" s="78" t="s">
        <v>298</v>
      </c>
      <c r="E1079" s="78"/>
      <c r="F1079" s="71" t="str">
        <f t="shared" si="66"/>
        <v>Muntu</v>
      </c>
      <c r="G1079" s="71" t="str">
        <f t="shared" si="64"/>
        <v>Amolatar</v>
      </c>
      <c r="H1079" s="78" t="s">
        <v>298</v>
      </c>
    </row>
    <row r="1080" spans="1:8">
      <c r="A1080" s="77">
        <v>1223</v>
      </c>
      <c r="B1080" s="78" t="s">
        <v>1593</v>
      </c>
      <c r="C1080" s="78" t="s">
        <v>1594</v>
      </c>
      <c r="D1080" s="78" t="s">
        <v>1601</v>
      </c>
      <c r="E1080" s="78"/>
      <c r="F1080" s="71" t="str">
        <f t="shared" si="66"/>
        <v>Muramba</v>
      </c>
      <c r="G1080" s="71" t="str">
        <f t="shared" si="64"/>
        <v>Kisoro</v>
      </c>
      <c r="H1080" s="78" t="s">
        <v>1601</v>
      </c>
    </row>
    <row r="1081" spans="1:8">
      <c r="A1081" s="77">
        <v>1224</v>
      </c>
      <c r="B1081" s="78" t="s">
        <v>1593</v>
      </c>
      <c r="C1081" s="78" t="s">
        <v>1594</v>
      </c>
      <c r="D1081" s="78" t="s">
        <v>1602</v>
      </c>
      <c r="E1081" s="78"/>
      <c r="F1081" s="71" t="str">
        <f t="shared" si="66"/>
        <v>Murora</v>
      </c>
      <c r="G1081" s="71" t="str">
        <f t="shared" si="64"/>
        <v>Kisoro</v>
      </c>
      <c r="H1081" s="78" t="s">
        <v>1602</v>
      </c>
    </row>
    <row r="1082" spans="1:8">
      <c r="A1082" s="77">
        <v>1440</v>
      </c>
      <c r="B1082" s="78" t="s">
        <v>51</v>
      </c>
      <c r="C1082" s="78" t="s">
        <v>1956</v>
      </c>
      <c r="D1082" s="78" t="s">
        <v>1965</v>
      </c>
      <c r="E1082" s="78"/>
      <c r="F1082" s="71" t="str">
        <f t="shared" si="66"/>
        <v>Mutara</v>
      </c>
      <c r="G1082" s="71" t="str">
        <f t="shared" si="64"/>
        <v>Mitooma</v>
      </c>
      <c r="H1082" s="78" t="s">
        <v>1965</v>
      </c>
    </row>
    <row r="1083" spans="1:8">
      <c r="A1083" s="77">
        <v>678</v>
      </c>
      <c r="B1083" s="78" t="s">
        <v>405</v>
      </c>
      <c r="C1083" s="78" t="s">
        <v>406</v>
      </c>
      <c r="D1083" s="78" t="s">
        <v>414</v>
      </c>
      <c r="E1083" s="78"/>
      <c r="F1083" s="71" t="str">
        <f t="shared" si="66"/>
        <v>Muterere</v>
      </c>
      <c r="G1083" s="71" t="str">
        <f t="shared" si="64"/>
        <v>Bugiri</v>
      </c>
      <c r="H1083" s="78" t="s">
        <v>414</v>
      </c>
    </row>
    <row r="1084" spans="1:8">
      <c r="A1084" s="77">
        <v>1060</v>
      </c>
      <c r="B1084" s="78" t="s">
        <v>2133</v>
      </c>
      <c r="C1084" s="78" t="s">
        <v>2134</v>
      </c>
      <c r="D1084" s="78" t="s">
        <v>2141</v>
      </c>
      <c r="E1084" s="78"/>
      <c r="F1084" s="71" t="str">
        <f t="shared" si="66"/>
        <v>Mutumba</v>
      </c>
      <c r="G1084" s="71" t="str">
        <f t="shared" si="64"/>
        <v>Namayingo</v>
      </c>
      <c r="H1084" s="78" t="s">
        <v>2141</v>
      </c>
    </row>
    <row r="1085" spans="1:8">
      <c r="A1085" s="77">
        <v>1420</v>
      </c>
      <c r="B1085" s="78" t="s">
        <v>197</v>
      </c>
      <c r="C1085" s="78" t="s">
        <v>1582</v>
      </c>
      <c r="D1085" s="78" t="s">
        <v>1591</v>
      </c>
      <c r="E1085" s="78"/>
      <c r="F1085" s="71" t="str">
        <f t="shared" si="66"/>
        <v>Mutunda</v>
      </c>
      <c r="G1085" s="71" t="str">
        <f t="shared" si="64"/>
        <v>Kiryandongo</v>
      </c>
      <c r="H1085" s="78" t="s">
        <v>1591</v>
      </c>
    </row>
    <row r="1086" spans="1:8">
      <c r="A1086" s="77">
        <v>428</v>
      </c>
      <c r="B1086" s="78" t="s">
        <v>1525</v>
      </c>
      <c r="C1086" s="78" t="s">
        <v>1525</v>
      </c>
      <c r="D1086" s="78" t="s">
        <v>1536</v>
      </c>
      <c r="E1086" s="78"/>
      <c r="F1086" s="71" t="str">
        <f t="shared" si="66"/>
        <v>Muwanga</v>
      </c>
      <c r="G1086" s="71" t="str">
        <f t="shared" si="64"/>
        <v>Kiboga</v>
      </c>
      <c r="H1086" s="78" t="s">
        <v>1536</v>
      </c>
    </row>
    <row r="1087" spans="1:8">
      <c r="A1087" s="77">
        <v>1011</v>
      </c>
      <c r="B1087" s="78" t="s">
        <v>472</v>
      </c>
      <c r="C1087" s="78" t="s">
        <v>472</v>
      </c>
      <c r="D1087" s="78" t="s">
        <v>486</v>
      </c>
      <c r="E1087" s="78"/>
      <c r="F1087" s="71" t="str">
        <f t="shared" si="66"/>
        <v>Muyembe</v>
      </c>
      <c r="G1087" s="71" t="str">
        <f t="shared" si="64"/>
        <v>Bulambuli</v>
      </c>
      <c r="H1087" s="78" t="s">
        <v>486</v>
      </c>
    </row>
    <row r="1088" spans="1:8">
      <c r="A1088" s="77">
        <v>1258</v>
      </c>
      <c r="B1088" s="78" t="s">
        <v>230</v>
      </c>
      <c r="C1088" s="78" t="s">
        <v>1913</v>
      </c>
      <c r="D1088" s="78" t="s">
        <v>1938</v>
      </c>
      <c r="E1088" s="78"/>
      <c r="F1088" s="71" t="str">
        <f t="shared" si="66"/>
        <v>Mwizi</v>
      </c>
      <c r="G1088" s="71" t="str">
        <f t="shared" si="64"/>
        <v>Mbarara</v>
      </c>
      <c r="H1088" s="78" t="s">
        <v>1938</v>
      </c>
    </row>
    <row r="1089" spans="1:8">
      <c r="A1089" s="77">
        <v>474</v>
      </c>
      <c r="B1089" s="78" t="s">
        <v>2026</v>
      </c>
      <c r="C1089" s="78" t="s">
        <v>2029</v>
      </c>
      <c r="D1089" s="78" t="s">
        <v>2050</v>
      </c>
      <c r="E1089" s="78"/>
      <c r="F1089" s="71" t="str">
        <f t="shared" si="66"/>
        <v>Myanzi</v>
      </c>
      <c r="G1089" s="71" t="str">
        <f t="shared" si="64"/>
        <v>Mubende</v>
      </c>
      <c r="H1089" s="78" t="s">
        <v>2050</v>
      </c>
    </row>
    <row r="1090" spans="1:8">
      <c r="A1090" s="77">
        <v>223</v>
      </c>
      <c r="B1090" s="78" t="s">
        <v>2260</v>
      </c>
      <c r="C1090" s="78" t="s">
        <v>2260</v>
      </c>
      <c r="D1090" s="78" t="s">
        <v>2269</v>
      </c>
      <c r="E1090" s="78"/>
      <c r="F1090" s="71" t="str">
        <f t="shared" si="66"/>
        <v>Myene</v>
      </c>
      <c r="G1090" s="71" t="str">
        <f t="shared" si="64"/>
        <v>Oyam</v>
      </c>
      <c r="H1090" s="78" t="s">
        <v>2269</v>
      </c>
    </row>
    <row r="1091" spans="1:8">
      <c r="A1091" s="77">
        <v>489</v>
      </c>
      <c r="B1091" s="78" t="s">
        <v>2053</v>
      </c>
      <c r="C1091" s="78" t="s">
        <v>2054</v>
      </c>
      <c r="D1091" s="78" t="s">
        <v>2077</v>
      </c>
      <c r="E1091" s="78"/>
      <c r="F1091" s="71" t="str">
        <f t="shared" si="66"/>
        <v>Nabbaale</v>
      </c>
      <c r="G1091" s="71" t="str">
        <f t="shared" si="64"/>
        <v>Mukono</v>
      </c>
      <c r="H1091" s="78" t="s">
        <v>2077</v>
      </c>
    </row>
    <row r="1092" spans="1:8">
      <c r="A1092" s="77">
        <v>1010</v>
      </c>
      <c r="B1092" s="78" t="s">
        <v>472</v>
      </c>
      <c r="C1092" s="78" t="s">
        <v>472</v>
      </c>
      <c r="D1092" s="78" t="s">
        <v>487</v>
      </c>
      <c r="E1092" s="78"/>
      <c r="F1092" s="71" t="str">
        <f t="shared" si="66"/>
        <v>Nabbongo</v>
      </c>
      <c r="G1092" s="71" t="str">
        <f t="shared" si="64"/>
        <v>Bulambuli</v>
      </c>
      <c r="H1092" s="78" t="s">
        <v>487</v>
      </c>
    </row>
    <row r="1093" spans="1:8">
      <c r="A1093" s="77">
        <v>668</v>
      </c>
      <c r="B1093" s="78" t="s">
        <v>1729</v>
      </c>
      <c r="C1093" s="78" t="s">
        <v>1729</v>
      </c>
      <c r="D1093" s="78" t="s">
        <v>1741</v>
      </c>
      <c r="E1093" s="78"/>
      <c r="F1093" s="71" t="str">
        <f t="shared" si="66"/>
        <v>Nabigasa</v>
      </c>
      <c r="G1093" s="71" t="str">
        <f t="shared" si="64"/>
        <v>Kyotera</v>
      </c>
      <c r="H1093" s="78" t="s">
        <v>1741</v>
      </c>
    </row>
    <row r="1094" spans="1:8">
      <c r="A1094" s="77">
        <v>125</v>
      </c>
      <c r="B1094" s="78" t="s">
        <v>2090</v>
      </c>
      <c r="C1094" s="78" t="s">
        <v>2093</v>
      </c>
      <c r="D1094" s="78" t="s">
        <v>2097</v>
      </c>
      <c r="E1094" s="78"/>
      <c r="F1094" s="71" t="str">
        <f t="shared" si="66"/>
        <v>Nabilatuk</v>
      </c>
      <c r="G1094" s="71" t="str">
        <f t="shared" si="64"/>
        <v>Nakapiripirit</v>
      </c>
      <c r="H1094" s="78" t="s">
        <v>2097</v>
      </c>
    </row>
    <row r="1095" spans="1:8">
      <c r="A1095" s="77">
        <v>466</v>
      </c>
      <c r="B1095" s="78" t="s">
        <v>2026</v>
      </c>
      <c r="C1095" s="78" t="s">
        <v>2027</v>
      </c>
      <c r="D1095" s="78" t="s">
        <v>2051</v>
      </c>
      <c r="E1095" s="78"/>
      <c r="F1095" s="71" t="str">
        <f t="shared" si="66"/>
        <v>Nabingoola</v>
      </c>
      <c r="G1095" s="71" t="str">
        <f t="shared" si="64"/>
        <v>Mubende</v>
      </c>
      <c r="H1095" s="78" t="s">
        <v>2051</v>
      </c>
    </row>
    <row r="1096" spans="1:8">
      <c r="A1096" s="77">
        <v>500</v>
      </c>
      <c r="B1096" s="78" t="s">
        <v>2120</v>
      </c>
      <c r="C1096" s="78" t="s">
        <v>1863</v>
      </c>
      <c r="D1096" s="78" t="s">
        <v>2127</v>
      </c>
      <c r="E1096" s="78"/>
      <c r="F1096" s="71" t="str">
        <f t="shared" si="66"/>
        <v>Nabisweera</v>
      </c>
      <c r="G1096" s="71" t="str">
        <f t="shared" si="64"/>
        <v>Nakasongola</v>
      </c>
      <c r="H1096" s="78" t="s">
        <v>2127</v>
      </c>
    </row>
    <row r="1097" spans="1:8">
      <c r="A1097" s="77">
        <v>706</v>
      </c>
      <c r="B1097" s="78" t="s">
        <v>688</v>
      </c>
      <c r="C1097" s="78" t="s">
        <v>689</v>
      </c>
      <c r="D1097" s="78" t="s">
        <v>699</v>
      </c>
      <c r="E1097" s="78"/>
      <c r="F1097" s="71" t="str">
        <f t="shared" si="66"/>
        <v>Nabitende</v>
      </c>
      <c r="G1097" s="71" t="str">
        <f t="shared" si="64"/>
        <v>Iganga</v>
      </c>
      <c r="H1097" s="78" t="s">
        <v>699</v>
      </c>
    </row>
    <row r="1098" spans="1:8">
      <c r="A1098" s="77">
        <v>908</v>
      </c>
      <c r="B1098" s="78" t="s">
        <v>374</v>
      </c>
      <c r="C1098" s="78" t="s">
        <v>374</v>
      </c>
      <c r="D1098" s="78" t="s">
        <v>385</v>
      </c>
      <c r="E1098" s="78"/>
      <c r="F1098" s="71" t="str">
        <f t="shared" si="66"/>
        <v>Naboa</v>
      </c>
      <c r="G1098" s="71" t="str">
        <f t="shared" ref="G1098:G1161" si="67">B1098</f>
        <v>Budaka</v>
      </c>
      <c r="H1098" s="78" t="s">
        <v>385</v>
      </c>
    </row>
    <row r="1099" spans="1:8">
      <c r="A1099" s="77">
        <v>679</v>
      </c>
      <c r="B1099" s="78" t="s">
        <v>405</v>
      </c>
      <c r="C1099" s="78" t="s">
        <v>406</v>
      </c>
      <c r="D1099" s="78" t="s">
        <v>415</v>
      </c>
      <c r="E1099" s="78"/>
      <c r="F1099" s="71" t="str">
        <f t="shared" si="66"/>
        <v>Nabukalu</v>
      </c>
      <c r="G1099" s="71" t="str">
        <f t="shared" si="67"/>
        <v>Bugiri</v>
      </c>
      <c r="H1099" s="78" t="s">
        <v>415</v>
      </c>
    </row>
    <row r="1100" spans="1:8">
      <c r="A1100" s="77">
        <v>792</v>
      </c>
      <c r="B1100" s="78" t="s">
        <v>228</v>
      </c>
      <c r="C1100" s="78" t="s">
        <v>1886</v>
      </c>
      <c r="D1100" s="78" t="s">
        <v>1904</v>
      </c>
      <c r="E1100" s="78"/>
      <c r="F1100" s="71" t="str">
        <f t="shared" si="66"/>
        <v>Nabumali Town Council</v>
      </c>
      <c r="G1100" s="71" t="str">
        <f t="shared" si="67"/>
        <v>Mbale</v>
      </c>
      <c r="H1100" s="78" t="s">
        <v>1904</v>
      </c>
    </row>
    <row r="1101" spans="1:8">
      <c r="A1101" s="77">
        <v>832</v>
      </c>
      <c r="B1101" s="78" t="s">
        <v>201</v>
      </c>
      <c r="C1101" s="78" t="s">
        <v>2455</v>
      </c>
      <c r="D1101" s="78" t="s">
        <v>2466</v>
      </c>
      <c r="E1101" s="78"/>
      <c r="F1101" s="71" t="str">
        <f t="shared" si="66"/>
        <v>Nabuyoga</v>
      </c>
      <c r="G1101" s="71" t="str">
        <f t="shared" si="67"/>
        <v>Tororo</v>
      </c>
      <c r="H1101" s="78" t="s">
        <v>2466</v>
      </c>
    </row>
    <row r="1102" spans="1:8" ht="25.5">
      <c r="A1102" s="77">
        <v>557</v>
      </c>
      <c r="B1102" s="78" t="s">
        <v>2477</v>
      </c>
      <c r="C1102" s="79" t="s">
        <v>2483</v>
      </c>
      <c r="D1102" s="78" t="s">
        <v>2871</v>
      </c>
      <c r="E1102" s="78"/>
      <c r="F1102" s="72" t="s">
        <v>2590</v>
      </c>
      <c r="G1102" s="71" t="str">
        <f t="shared" si="67"/>
        <v>Wakiso</v>
      </c>
      <c r="H1102" s="78" t="s">
        <v>2871</v>
      </c>
    </row>
    <row r="1103" spans="1:8">
      <c r="A1103" s="77">
        <v>928</v>
      </c>
      <c r="B1103" s="78" t="s">
        <v>388</v>
      </c>
      <c r="C1103" s="78" t="s">
        <v>389</v>
      </c>
      <c r="D1103" s="78" t="s">
        <v>401</v>
      </c>
      <c r="E1103" s="78"/>
      <c r="F1103" s="71" t="str">
        <f t="shared" si="66"/>
        <v>Nabweya</v>
      </c>
      <c r="G1103" s="71" t="str">
        <f t="shared" si="67"/>
        <v>Bududa</v>
      </c>
      <c r="H1103" s="78" t="s">
        <v>401</v>
      </c>
    </row>
    <row r="1104" spans="1:8">
      <c r="A1104" s="77">
        <v>998</v>
      </c>
      <c r="B1104" s="78" t="s">
        <v>2163</v>
      </c>
      <c r="C1104" s="78" t="s">
        <v>2164</v>
      </c>
      <c r="D1104" s="78" t="s">
        <v>2167</v>
      </c>
      <c r="E1104" s="78"/>
      <c r="F1104" s="71" t="str">
        <f t="shared" si="66"/>
        <v>Nabweyo</v>
      </c>
      <c r="G1104" s="71" t="str">
        <f t="shared" si="67"/>
        <v>Namutumba</v>
      </c>
      <c r="H1104" s="78" t="s">
        <v>2167</v>
      </c>
    </row>
    <row r="1105" spans="1:8">
      <c r="A1105" s="77">
        <v>729</v>
      </c>
      <c r="B1105" s="78" t="s">
        <v>1376</v>
      </c>
      <c r="C1105" s="78" t="s">
        <v>1377</v>
      </c>
      <c r="D1105" s="78" t="s">
        <v>1386</v>
      </c>
      <c r="E1105" s="78"/>
      <c r="F1105" s="71" t="str">
        <f t="shared" si="66"/>
        <v>Nabwigulu</v>
      </c>
      <c r="G1105" s="71" t="str">
        <f t="shared" si="67"/>
        <v>Kamuli</v>
      </c>
      <c r="H1105" s="78" t="s">
        <v>1386</v>
      </c>
    </row>
    <row r="1106" spans="1:8">
      <c r="A1106" s="77">
        <v>93</v>
      </c>
      <c r="B1106" s="78" t="s">
        <v>279</v>
      </c>
      <c r="C1106" s="78" t="s">
        <v>1994</v>
      </c>
      <c r="D1106" s="78" t="s">
        <v>1997</v>
      </c>
      <c r="E1106" s="78"/>
      <c r="F1106" s="71" t="str">
        <f t="shared" si="66"/>
        <v>Nadunget</v>
      </c>
      <c r="G1106" s="71" t="str">
        <f t="shared" si="67"/>
        <v>Moroto</v>
      </c>
      <c r="H1106" s="78" t="s">
        <v>1997</v>
      </c>
    </row>
    <row r="1107" spans="1:8">
      <c r="A1107" s="77">
        <v>490</v>
      </c>
      <c r="B1107" s="78" t="s">
        <v>2053</v>
      </c>
      <c r="C1107" s="78" t="s">
        <v>2054</v>
      </c>
      <c r="D1107" s="78" t="s">
        <v>2078</v>
      </c>
      <c r="E1107" s="78"/>
      <c r="F1107" s="71" t="str">
        <f t="shared" si="66"/>
        <v>Nagojje</v>
      </c>
      <c r="G1107" s="71" t="str">
        <f t="shared" si="67"/>
        <v>Mukono</v>
      </c>
      <c r="H1107" s="78" t="s">
        <v>2078</v>
      </c>
    </row>
    <row r="1108" spans="1:8">
      <c r="A1108" s="77">
        <v>833</v>
      </c>
      <c r="B1108" s="78" t="s">
        <v>201</v>
      </c>
      <c r="C1108" s="78" t="s">
        <v>2455</v>
      </c>
      <c r="D1108" s="78" t="s">
        <v>2467</v>
      </c>
      <c r="E1108" s="78"/>
      <c r="F1108" s="71" t="str">
        <f t="shared" si="66"/>
        <v>Nagongera</v>
      </c>
      <c r="G1108" s="71" t="str">
        <f t="shared" si="67"/>
        <v>Tororo</v>
      </c>
      <c r="H1108" s="78" t="s">
        <v>2467</v>
      </c>
    </row>
    <row r="1109" spans="1:8">
      <c r="A1109" s="77">
        <v>834</v>
      </c>
      <c r="B1109" s="78" t="s">
        <v>201</v>
      </c>
      <c r="C1109" s="78" t="s">
        <v>2455</v>
      </c>
      <c r="D1109" s="78" t="s">
        <v>2468</v>
      </c>
      <c r="E1109" s="78"/>
      <c r="F1109" s="71" t="str">
        <f t="shared" si="66"/>
        <v>Nagongera Town Council</v>
      </c>
      <c r="G1109" s="71" t="str">
        <f t="shared" si="67"/>
        <v>Tororo</v>
      </c>
      <c r="H1109" s="78" t="s">
        <v>2468</v>
      </c>
    </row>
    <row r="1110" spans="1:8">
      <c r="A1110" s="77">
        <v>625</v>
      </c>
      <c r="B1110" s="78" t="s">
        <v>604</v>
      </c>
      <c r="C1110" s="78" t="s">
        <v>605</v>
      </c>
      <c r="D1110" s="78" t="s">
        <v>614</v>
      </c>
      <c r="E1110" s="78"/>
      <c r="F1110" s="71" t="str">
        <f t="shared" si="66"/>
        <v>Nairambi</v>
      </c>
      <c r="G1110" s="71" t="str">
        <f t="shared" si="67"/>
        <v>Buvuma</v>
      </c>
      <c r="H1110" s="78" t="s">
        <v>614</v>
      </c>
    </row>
    <row r="1111" spans="1:8">
      <c r="A1111" s="77">
        <v>596</v>
      </c>
      <c r="B1111" s="78" t="s">
        <v>429</v>
      </c>
      <c r="C1111" s="78" t="s">
        <v>429</v>
      </c>
      <c r="D1111" s="78" t="s">
        <v>441</v>
      </c>
      <c r="E1111" s="78"/>
      <c r="F1111" s="71" t="str">
        <f t="shared" si="66"/>
        <v>Najja</v>
      </c>
      <c r="G1111" s="71" t="str">
        <f t="shared" si="67"/>
        <v>Buikwe</v>
      </c>
      <c r="H1111" s="78" t="s">
        <v>441</v>
      </c>
    </row>
    <row r="1112" spans="1:8" ht="25.5">
      <c r="A1112" s="77">
        <v>602</v>
      </c>
      <c r="B1112" s="78" t="s">
        <v>429</v>
      </c>
      <c r="C1112" s="79" t="s">
        <v>438</v>
      </c>
      <c r="D1112" s="78" t="s">
        <v>2872</v>
      </c>
      <c r="E1112" s="78"/>
      <c r="F1112" s="72" t="str">
        <f>VLOOKUP(C1112,[2]Municipalities!$C$9:$F$1522,4,FALSE)</f>
        <v>Lugazi Municipality</v>
      </c>
      <c r="G1112" s="71" t="str">
        <f t="shared" si="67"/>
        <v>Buikwe</v>
      </c>
      <c r="H1112" s="78" t="s">
        <v>2872</v>
      </c>
    </row>
    <row r="1113" spans="1:8">
      <c r="A1113" s="77">
        <v>707</v>
      </c>
      <c r="B1113" s="78" t="s">
        <v>688</v>
      </c>
      <c r="C1113" s="78" t="s">
        <v>689</v>
      </c>
      <c r="D1113" s="78" t="s">
        <v>700</v>
      </c>
      <c r="E1113" s="78"/>
      <c r="F1113" s="71" t="str">
        <f t="shared" si="66"/>
        <v>Nakalama</v>
      </c>
      <c r="G1113" s="71" t="str">
        <f t="shared" si="67"/>
        <v>Iganga</v>
      </c>
      <c r="H1113" s="78" t="s">
        <v>700</v>
      </c>
    </row>
    <row r="1114" spans="1:8">
      <c r="A1114" s="77">
        <v>786</v>
      </c>
      <c r="B1114" s="78" t="s">
        <v>228</v>
      </c>
      <c r="C1114" s="78" t="s">
        <v>1886</v>
      </c>
      <c r="D1114" s="78" t="s">
        <v>1905</v>
      </c>
      <c r="E1114" s="78"/>
      <c r="F1114" s="71" t="str">
        <f t="shared" si="66"/>
        <v>Nakaloke</v>
      </c>
      <c r="G1114" s="71" t="str">
        <f t="shared" si="67"/>
        <v>Mbale</v>
      </c>
      <c r="H1114" s="78" t="s">
        <v>1905</v>
      </c>
    </row>
    <row r="1115" spans="1:8">
      <c r="A1115" s="77">
        <v>787</v>
      </c>
      <c r="B1115" s="78" t="s">
        <v>228</v>
      </c>
      <c r="C1115" s="78" t="s">
        <v>1886</v>
      </c>
      <c r="D1115" s="78" t="s">
        <v>1906</v>
      </c>
      <c r="E1115" s="78"/>
      <c r="F1115" s="71" t="str">
        <f t="shared" si="66"/>
        <v>Nakaloke Town Council</v>
      </c>
      <c r="G1115" s="71" t="str">
        <f t="shared" si="67"/>
        <v>Mbale</v>
      </c>
      <c r="H1115" s="78" t="s">
        <v>1906</v>
      </c>
    </row>
    <row r="1116" spans="1:8">
      <c r="A1116" s="77">
        <v>73</v>
      </c>
      <c r="B1116" s="78" t="s">
        <v>1637</v>
      </c>
      <c r="C1116" s="78" t="s">
        <v>1638</v>
      </c>
      <c r="D1116" s="78" t="s">
        <v>1640</v>
      </c>
      <c r="E1116" s="78"/>
      <c r="F1116" s="71" t="str">
        <f t="shared" si="66"/>
        <v>Nakapelimoru</v>
      </c>
      <c r="G1116" s="71" t="str">
        <f t="shared" si="67"/>
        <v>Kotido</v>
      </c>
      <c r="H1116" s="78" t="s">
        <v>1640</v>
      </c>
    </row>
    <row r="1117" spans="1:8">
      <c r="A1117" s="77">
        <v>120</v>
      </c>
      <c r="B1117" s="78" t="s">
        <v>2090</v>
      </c>
      <c r="C1117" s="78" t="s">
        <v>2091</v>
      </c>
      <c r="D1117" s="78" t="s">
        <v>2098</v>
      </c>
      <c r="E1117" s="78"/>
      <c r="F1117" s="71" t="str">
        <f t="shared" si="66"/>
        <v>Nakapiripirit Town Council</v>
      </c>
      <c r="G1117" s="71" t="str">
        <f t="shared" si="67"/>
        <v>Nakapiripirit</v>
      </c>
      <c r="H1117" s="78" t="s">
        <v>2098</v>
      </c>
    </row>
    <row r="1118" spans="1:8">
      <c r="A1118" s="77">
        <v>587</v>
      </c>
      <c r="B1118" s="78" t="s">
        <v>2101</v>
      </c>
      <c r="C1118" s="78" t="s">
        <v>2101</v>
      </c>
      <c r="D1118" s="78" t="s">
        <v>2101</v>
      </c>
      <c r="E1118" s="78"/>
      <c r="F1118" s="71" t="str">
        <f t="shared" si="66"/>
        <v>Nakaseke</v>
      </c>
      <c r="G1118" s="71" t="str">
        <f t="shared" si="67"/>
        <v>Nakaseke</v>
      </c>
      <c r="H1118" s="78" t="s">
        <v>2101</v>
      </c>
    </row>
    <row r="1119" spans="1:8">
      <c r="A1119" s="77">
        <v>588</v>
      </c>
      <c r="B1119" s="78" t="s">
        <v>2101</v>
      </c>
      <c r="C1119" s="78" t="s">
        <v>2101</v>
      </c>
      <c r="D1119" s="78" t="s">
        <v>2109</v>
      </c>
      <c r="E1119" s="78"/>
      <c r="F1119" s="71" t="str">
        <f t="shared" si="66"/>
        <v>Nakaseke Town Council</v>
      </c>
      <c r="G1119" s="71" t="str">
        <f t="shared" si="67"/>
        <v>Nakaseke</v>
      </c>
      <c r="H1119" s="78" t="s">
        <v>2109</v>
      </c>
    </row>
    <row r="1120" spans="1:8">
      <c r="A1120" s="77">
        <v>501</v>
      </c>
      <c r="B1120" s="78" t="s">
        <v>2120</v>
      </c>
      <c r="C1120" s="78" t="s">
        <v>1863</v>
      </c>
      <c r="D1120" s="78" t="s">
        <v>2128</v>
      </c>
      <c r="E1120" s="78"/>
      <c r="F1120" s="71" t="str">
        <f t="shared" si="66"/>
        <v>Nakasongola Town Council</v>
      </c>
      <c r="G1120" s="71" t="str">
        <f t="shared" si="67"/>
        <v>Nakasongola</v>
      </c>
      <c r="H1120" s="78" t="s">
        <v>2128</v>
      </c>
    </row>
    <row r="1121" spans="1:9">
      <c r="A1121" s="77">
        <v>929</v>
      </c>
      <c r="B1121" s="78" t="s">
        <v>388</v>
      </c>
      <c r="C1121" s="78" t="s">
        <v>389</v>
      </c>
      <c r="D1121" s="78" t="s">
        <v>402</v>
      </c>
      <c r="E1121" s="78"/>
      <c r="F1121" s="71" t="str">
        <f t="shared" si="66"/>
        <v>Nakatsi</v>
      </c>
      <c r="G1121" s="71" t="str">
        <f t="shared" si="67"/>
        <v>Bududa</v>
      </c>
      <c r="H1121" s="78" t="s">
        <v>402</v>
      </c>
    </row>
    <row r="1122" spans="1:9">
      <c r="A1122" s="77">
        <v>398</v>
      </c>
      <c r="B1122" s="78" t="s">
        <v>183</v>
      </c>
      <c r="C1122" s="78" t="s">
        <v>899</v>
      </c>
      <c r="D1122" s="78" t="s">
        <v>900</v>
      </c>
      <c r="E1122" s="78" t="s">
        <v>898</v>
      </c>
      <c r="F1122" s="78" t="s">
        <v>898</v>
      </c>
      <c r="G1122" s="71" t="str">
        <f t="shared" si="67"/>
        <v>Kampala</v>
      </c>
      <c r="H1122" s="78" t="s">
        <v>900</v>
      </c>
    </row>
    <row r="1123" spans="1:9">
      <c r="A1123" s="77">
        <v>399</v>
      </c>
      <c r="B1123" s="78" t="s">
        <v>183</v>
      </c>
      <c r="C1123" s="78" t="s">
        <v>899</v>
      </c>
      <c r="D1123" s="78" t="s">
        <v>900</v>
      </c>
      <c r="E1123" s="78" t="s">
        <v>216</v>
      </c>
      <c r="F1123" s="78" t="s">
        <v>216</v>
      </c>
      <c r="G1123" s="71" t="str">
        <f t="shared" si="67"/>
        <v>Kampala</v>
      </c>
      <c r="H1123" s="78" t="s">
        <v>900</v>
      </c>
    </row>
    <row r="1124" spans="1:9">
      <c r="A1124" s="77">
        <v>400</v>
      </c>
      <c r="B1124" s="78" t="s">
        <v>183</v>
      </c>
      <c r="C1124" s="78" t="s">
        <v>899</v>
      </c>
      <c r="D1124" s="78" t="s">
        <v>900</v>
      </c>
      <c r="E1124" s="82" t="s">
        <v>2873</v>
      </c>
      <c r="F1124" s="82" t="s">
        <v>23</v>
      </c>
      <c r="G1124" s="71" t="str">
        <f t="shared" si="67"/>
        <v>Kampala</v>
      </c>
      <c r="H1124" s="78" t="s">
        <v>900</v>
      </c>
    </row>
    <row r="1125" spans="1:9">
      <c r="A1125" s="77">
        <v>401</v>
      </c>
      <c r="B1125" s="78" t="s">
        <v>183</v>
      </c>
      <c r="C1125" s="78" t="s">
        <v>899</v>
      </c>
      <c r="D1125" s="78" t="s">
        <v>900</v>
      </c>
      <c r="E1125" s="82" t="s">
        <v>2874</v>
      </c>
      <c r="F1125" s="82" t="s">
        <v>23</v>
      </c>
      <c r="G1125" s="71" t="str">
        <f t="shared" si="67"/>
        <v>Kampala</v>
      </c>
      <c r="H1125" s="78" t="s">
        <v>900</v>
      </c>
      <c r="I1125" s="83" t="s">
        <v>2795</v>
      </c>
    </row>
    <row r="1126" spans="1:9">
      <c r="A1126" s="77">
        <v>402</v>
      </c>
      <c r="B1126" s="78" t="s">
        <v>183</v>
      </c>
      <c r="C1126" s="78" t="s">
        <v>899</v>
      </c>
      <c r="D1126" s="78" t="s">
        <v>900</v>
      </c>
      <c r="E1126" s="78" t="s">
        <v>926</v>
      </c>
      <c r="F1126" s="78" t="s">
        <v>926</v>
      </c>
      <c r="G1126" s="71" t="str">
        <f t="shared" si="67"/>
        <v>Kampala</v>
      </c>
      <c r="H1126" s="78" t="s">
        <v>900</v>
      </c>
    </row>
    <row r="1127" spans="1:9">
      <c r="A1127" s="77">
        <v>403</v>
      </c>
      <c r="B1127" s="78" t="s">
        <v>183</v>
      </c>
      <c r="C1127" s="78" t="s">
        <v>899</v>
      </c>
      <c r="D1127" s="78" t="s">
        <v>900</v>
      </c>
      <c r="E1127" s="78" t="s">
        <v>1112</v>
      </c>
      <c r="F1127" s="78" t="s">
        <v>1112</v>
      </c>
      <c r="G1127" s="71" t="str">
        <f t="shared" si="67"/>
        <v>Kampala</v>
      </c>
      <c r="H1127" s="78" t="s">
        <v>900</v>
      </c>
    </row>
    <row r="1128" spans="1:9">
      <c r="A1128" s="77">
        <v>404</v>
      </c>
      <c r="B1128" s="78" t="s">
        <v>183</v>
      </c>
      <c r="C1128" s="78" t="s">
        <v>899</v>
      </c>
      <c r="D1128" s="78" t="s">
        <v>900</v>
      </c>
      <c r="E1128" s="78" t="s">
        <v>1162</v>
      </c>
      <c r="F1128" s="78" t="s">
        <v>1162</v>
      </c>
      <c r="G1128" s="71" t="str">
        <f t="shared" si="67"/>
        <v>Kampala</v>
      </c>
      <c r="H1128" s="78" t="s">
        <v>900</v>
      </c>
    </row>
    <row r="1129" spans="1:9">
      <c r="A1129" s="77">
        <v>405</v>
      </c>
      <c r="B1129" s="78" t="s">
        <v>183</v>
      </c>
      <c r="C1129" s="78" t="s">
        <v>899</v>
      </c>
      <c r="D1129" s="78" t="s">
        <v>900</v>
      </c>
      <c r="E1129" s="78" t="s">
        <v>1163</v>
      </c>
      <c r="F1129" s="78" t="s">
        <v>1163</v>
      </c>
      <c r="G1129" s="71" t="str">
        <f t="shared" si="67"/>
        <v>Kampala</v>
      </c>
      <c r="H1129" s="78" t="s">
        <v>900</v>
      </c>
    </row>
    <row r="1130" spans="1:9">
      <c r="A1130" s="77">
        <v>406</v>
      </c>
      <c r="B1130" s="78" t="s">
        <v>183</v>
      </c>
      <c r="C1130" s="78" t="s">
        <v>899</v>
      </c>
      <c r="D1130" s="78" t="s">
        <v>900</v>
      </c>
      <c r="E1130" s="78" t="s">
        <v>1198</v>
      </c>
      <c r="F1130" s="78" t="s">
        <v>1198</v>
      </c>
      <c r="G1130" s="71" t="str">
        <f t="shared" si="67"/>
        <v>Kampala</v>
      </c>
      <c r="H1130" s="78" t="s">
        <v>900</v>
      </c>
    </row>
    <row r="1131" spans="1:9">
      <c r="A1131" s="77">
        <v>407</v>
      </c>
      <c r="B1131" s="78" t="s">
        <v>183</v>
      </c>
      <c r="C1131" s="78" t="s">
        <v>899</v>
      </c>
      <c r="D1131" s="78" t="s">
        <v>900</v>
      </c>
      <c r="E1131" s="78" t="s">
        <v>1202</v>
      </c>
      <c r="F1131" s="78" t="s">
        <v>1202</v>
      </c>
      <c r="G1131" s="71" t="str">
        <f t="shared" si="67"/>
        <v>Kampala</v>
      </c>
      <c r="H1131" s="78" t="s">
        <v>900</v>
      </c>
    </row>
    <row r="1132" spans="1:9">
      <c r="A1132" s="77">
        <v>408</v>
      </c>
      <c r="B1132" s="78" t="s">
        <v>183</v>
      </c>
      <c r="C1132" s="78" t="s">
        <v>899</v>
      </c>
      <c r="D1132" s="78" t="s">
        <v>900</v>
      </c>
      <c r="E1132" s="78" t="s">
        <v>232</v>
      </c>
      <c r="F1132" s="78" t="s">
        <v>232</v>
      </c>
      <c r="G1132" s="71" t="str">
        <f t="shared" si="67"/>
        <v>Kampala</v>
      </c>
      <c r="H1132" s="78" t="s">
        <v>900</v>
      </c>
    </row>
    <row r="1133" spans="1:9">
      <c r="A1133" s="77">
        <v>409</v>
      </c>
      <c r="B1133" s="78" t="s">
        <v>183</v>
      </c>
      <c r="C1133" s="78" t="s">
        <v>899</v>
      </c>
      <c r="D1133" s="78" t="s">
        <v>900</v>
      </c>
      <c r="E1133" s="78" t="s">
        <v>1221</v>
      </c>
      <c r="F1133" s="78" t="s">
        <v>1221</v>
      </c>
      <c r="G1133" s="71" t="str">
        <f t="shared" si="67"/>
        <v>Kampala</v>
      </c>
      <c r="H1133" s="78" t="s">
        <v>900</v>
      </c>
    </row>
    <row r="1134" spans="1:9">
      <c r="A1134" s="77">
        <v>410</v>
      </c>
      <c r="B1134" s="78" t="s">
        <v>183</v>
      </c>
      <c r="C1134" s="78" t="s">
        <v>899</v>
      </c>
      <c r="D1134" s="78" t="s">
        <v>900</v>
      </c>
      <c r="E1134" s="82" t="s">
        <v>2875</v>
      </c>
      <c r="F1134" s="82" t="s">
        <v>1230</v>
      </c>
      <c r="G1134" s="71" t="str">
        <f t="shared" si="67"/>
        <v>Kampala</v>
      </c>
      <c r="H1134" s="78" t="s">
        <v>900</v>
      </c>
    </row>
    <row r="1135" spans="1:9">
      <c r="A1135" s="77">
        <v>411</v>
      </c>
      <c r="B1135" s="78" t="s">
        <v>183</v>
      </c>
      <c r="C1135" s="78" t="s">
        <v>899</v>
      </c>
      <c r="D1135" s="78" t="s">
        <v>900</v>
      </c>
      <c r="E1135" s="82" t="s">
        <v>2876</v>
      </c>
      <c r="F1135" s="82" t="s">
        <v>1230</v>
      </c>
      <c r="G1135" s="71" t="str">
        <f t="shared" si="67"/>
        <v>Kampala</v>
      </c>
      <c r="H1135" s="78" t="s">
        <v>900</v>
      </c>
      <c r="I1135" s="83" t="s">
        <v>2795</v>
      </c>
    </row>
    <row r="1136" spans="1:9">
      <c r="A1136" s="77">
        <v>412</v>
      </c>
      <c r="B1136" s="78" t="s">
        <v>183</v>
      </c>
      <c r="C1136" s="78" t="s">
        <v>899</v>
      </c>
      <c r="D1136" s="78" t="s">
        <v>900</v>
      </c>
      <c r="E1136" s="78" t="s">
        <v>1258</v>
      </c>
      <c r="F1136" s="78" t="s">
        <v>1258</v>
      </c>
      <c r="G1136" s="71" t="str">
        <f t="shared" si="67"/>
        <v>Kampala</v>
      </c>
      <c r="H1136" s="78" t="s">
        <v>900</v>
      </c>
    </row>
    <row r="1137" spans="1:9">
      <c r="A1137" s="77">
        <v>413</v>
      </c>
      <c r="B1137" s="78" t="s">
        <v>183</v>
      </c>
      <c r="C1137" s="78" t="s">
        <v>899</v>
      </c>
      <c r="D1137" s="78" t="s">
        <v>900</v>
      </c>
      <c r="E1137" s="78" t="s">
        <v>1269</v>
      </c>
      <c r="F1137" s="78" t="s">
        <v>1269</v>
      </c>
      <c r="G1137" s="71" t="str">
        <f t="shared" si="67"/>
        <v>Kampala</v>
      </c>
      <c r="H1137" s="78" t="s">
        <v>900</v>
      </c>
    </row>
    <row r="1138" spans="1:9">
      <c r="A1138" s="77">
        <v>414</v>
      </c>
      <c r="B1138" s="78" t="s">
        <v>183</v>
      </c>
      <c r="C1138" s="78" t="s">
        <v>899</v>
      </c>
      <c r="D1138" s="78" t="s">
        <v>900</v>
      </c>
      <c r="E1138" s="82" t="s">
        <v>2877</v>
      </c>
      <c r="F1138" s="82" t="s">
        <v>1270</v>
      </c>
      <c r="G1138" s="71" t="str">
        <f t="shared" si="67"/>
        <v>Kampala</v>
      </c>
      <c r="H1138" s="78" t="s">
        <v>900</v>
      </c>
    </row>
    <row r="1139" spans="1:9">
      <c r="A1139" s="77">
        <v>415</v>
      </c>
      <c r="B1139" s="78" t="s">
        <v>183</v>
      </c>
      <c r="C1139" s="78" t="s">
        <v>899</v>
      </c>
      <c r="D1139" s="78" t="s">
        <v>900</v>
      </c>
      <c r="E1139" s="82" t="s">
        <v>2878</v>
      </c>
      <c r="F1139" s="82" t="s">
        <v>1270</v>
      </c>
      <c r="G1139" s="71" t="str">
        <f t="shared" si="67"/>
        <v>Kampala</v>
      </c>
      <c r="H1139" s="78" t="s">
        <v>900</v>
      </c>
      <c r="I1139" s="83" t="s">
        <v>2795</v>
      </c>
    </row>
    <row r="1140" spans="1:9">
      <c r="A1140" s="77">
        <v>416</v>
      </c>
      <c r="B1140" s="78" t="s">
        <v>183</v>
      </c>
      <c r="C1140" s="78" t="s">
        <v>899</v>
      </c>
      <c r="D1140" s="78" t="s">
        <v>900</v>
      </c>
      <c r="E1140" s="78" t="s">
        <v>204</v>
      </c>
      <c r="F1140" s="78" t="s">
        <v>204</v>
      </c>
      <c r="G1140" s="71" t="str">
        <f t="shared" si="67"/>
        <v>Kampala</v>
      </c>
      <c r="H1140" s="78" t="s">
        <v>900</v>
      </c>
    </row>
    <row r="1141" spans="1:9">
      <c r="A1141" s="77">
        <v>417</v>
      </c>
      <c r="B1141" s="78" t="s">
        <v>183</v>
      </c>
      <c r="C1141" s="78" t="s">
        <v>899</v>
      </c>
      <c r="D1141" s="78" t="s">
        <v>900</v>
      </c>
      <c r="E1141" s="78" t="s">
        <v>1319</v>
      </c>
      <c r="F1141" s="78" t="s">
        <v>1319</v>
      </c>
      <c r="G1141" s="71" t="str">
        <f t="shared" si="67"/>
        <v>Kampala</v>
      </c>
      <c r="H1141" s="78" t="s">
        <v>900</v>
      </c>
    </row>
    <row r="1142" spans="1:9">
      <c r="A1142" s="77">
        <v>418</v>
      </c>
      <c r="B1142" s="78" t="s">
        <v>183</v>
      </c>
      <c r="C1142" s="78" t="s">
        <v>899</v>
      </c>
      <c r="D1142" s="78" t="s">
        <v>900</v>
      </c>
      <c r="E1142" s="78" t="s">
        <v>203</v>
      </c>
      <c r="F1142" s="78" t="s">
        <v>203</v>
      </c>
      <c r="G1142" s="71" t="str">
        <f t="shared" si="67"/>
        <v>Kampala</v>
      </c>
      <c r="H1142" s="78" t="s">
        <v>900</v>
      </c>
    </row>
    <row r="1143" spans="1:9">
      <c r="A1143" s="77">
        <v>419</v>
      </c>
      <c r="B1143" s="78" t="s">
        <v>183</v>
      </c>
      <c r="C1143" s="78" t="s">
        <v>899</v>
      </c>
      <c r="D1143" s="78" t="s">
        <v>900</v>
      </c>
      <c r="E1143" s="78" t="s">
        <v>1365</v>
      </c>
      <c r="F1143" s="78" t="s">
        <v>1365</v>
      </c>
      <c r="G1143" s="71" t="str">
        <f t="shared" si="67"/>
        <v>Kampala</v>
      </c>
      <c r="H1143" s="78" t="s">
        <v>900</v>
      </c>
    </row>
    <row r="1144" spans="1:9">
      <c r="A1144" s="77">
        <v>420</v>
      </c>
      <c r="B1144" s="78" t="s">
        <v>183</v>
      </c>
      <c r="C1144" s="78" t="s">
        <v>899</v>
      </c>
      <c r="D1144" s="78" t="s">
        <v>900</v>
      </c>
      <c r="E1144" s="78" t="s">
        <v>1366</v>
      </c>
      <c r="F1144" s="78" t="s">
        <v>1366</v>
      </c>
      <c r="G1144" s="71" t="str">
        <f t="shared" si="67"/>
        <v>Kampala</v>
      </c>
      <c r="H1144" s="78" t="s">
        <v>900</v>
      </c>
    </row>
    <row r="1145" spans="1:9">
      <c r="A1145" s="77">
        <v>708</v>
      </c>
      <c r="B1145" s="78" t="s">
        <v>688</v>
      </c>
      <c r="C1145" s="78" t="s">
        <v>689</v>
      </c>
      <c r="D1145" s="78" t="s">
        <v>701</v>
      </c>
      <c r="E1145" s="78"/>
      <c r="F1145" s="71" t="str">
        <f t="shared" ref="F1145:F1169" si="68">D1145</f>
        <v>Nakigo</v>
      </c>
      <c r="G1145" s="71" t="str">
        <f t="shared" si="67"/>
        <v>Iganga</v>
      </c>
      <c r="H1145" s="78" t="s">
        <v>701</v>
      </c>
    </row>
    <row r="1146" spans="1:9">
      <c r="A1146" s="77">
        <v>482</v>
      </c>
      <c r="B1146" s="78" t="s">
        <v>2053</v>
      </c>
      <c r="C1146" s="78" t="s">
        <v>2053</v>
      </c>
      <c r="D1146" s="78" t="s">
        <v>2079</v>
      </c>
      <c r="E1146" s="78"/>
      <c r="F1146" s="71" t="str">
        <f t="shared" si="68"/>
        <v>Nakisunga</v>
      </c>
      <c r="G1146" s="71" t="str">
        <f t="shared" si="67"/>
        <v>Mukono</v>
      </c>
      <c r="H1146" s="78" t="s">
        <v>2079</v>
      </c>
    </row>
    <row r="1147" spans="1:9">
      <c r="A1147" s="77">
        <v>502</v>
      </c>
      <c r="B1147" s="78" t="s">
        <v>2120</v>
      </c>
      <c r="C1147" s="78" t="s">
        <v>1863</v>
      </c>
      <c r="D1147" s="78" t="s">
        <v>2131</v>
      </c>
      <c r="E1147" s="78"/>
      <c r="F1147" s="71" t="str">
        <f t="shared" si="68"/>
        <v>Nakitoma</v>
      </c>
      <c r="G1147" s="71" t="str">
        <f t="shared" si="67"/>
        <v>Nakasongola</v>
      </c>
      <c r="H1147" s="78" t="s">
        <v>2131</v>
      </c>
    </row>
    <row r="1148" spans="1:9">
      <c r="A1148" s="77">
        <v>1372</v>
      </c>
      <c r="B1148" s="78" t="s">
        <v>53</v>
      </c>
      <c r="C1148" s="78" t="s">
        <v>715</v>
      </c>
      <c r="D1148" s="78" t="s">
        <v>739</v>
      </c>
      <c r="E1148" s="78"/>
      <c r="F1148" s="71" t="str">
        <f t="shared" si="68"/>
        <v>Nakivale Refugee Camp</v>
      </c>
      <c r="G1148" s="71" t="str">
        <f t="shared" si="67"/>
        <v>Isingiro</v>
      </c>
      <c r="H1148" s="78" t="s">
        <v>739</v>
      </c>
    </row>
    <row r="1149" spans="1:9">
      <c r="A1149" s="77">
        <v>984</v>
      </c>
      <c r="B1149" s="78" t="s">
        <v>1815</v>
      </c>
      <c r="C1149" s="78" t="s">
        <v>1816</v>
      </c>
      <c r="D1149" s="78" t="s">
        <v>1829</v>
      </c>
      <c r="E1149" s="78"/>
      <c r="F1149" s="71" t="str">
        <f t="shared" si="68"/>
        <v>Nalondo</v>
      </c>
      <c r="G1149" s="71" t="str">
        <f t="shared" si="67"/>
        <v>Manafwa</v>
      </c>
      <c r="H1149" s="78" t="s">
        <v>1829</v>
      </c>
    </row>
    <row r="1150" spans="1:9">
      <c r="A1150" s="77">
        <v>883</v>
      </c>
      <c r="B1150" s="78" t="s">
        <v>2410</v>
      </c>
      <c r="C1150" s="78" t="s">
        <v>2411</v>
      </c>
      <c r="D1150" s="78" t="s">
        <v>2429</v>
      </c>
      <c r="E1150" s="78"/>
      <c r="F1150" s="71" t="str">
        <f t="shared" si="68"/>
        <v>Nalusala</v>
      </c>
      <c r="G1150" s="71" t="str">
        <f t="shared" si="67"/>
        <v>Sironko</v>
      </c>
      <c r="H1150" s="78" t="s">
        <v>2429</v>
      </c>
    </row>
    <row r="1151" spans="1:9">
      <c r="A1151" s="77">
        <v>930</v>
      </c>
      <c r="B1151" s="78" t="s">
        <v>388</v>
      </c>
      <c r="C1151" s="78" t="s">
        <v>389</v>
      </c>
      <c r="D1151" s="78" t="s">
        <v>403</v>
      </c>
      <c r="E1151" s="78"/>
      <c r="F1151" s="71" t="str">
        <f t="shared" si="68"/>
        <v>Nalwanza</v>
      </c>
      <c r="G1151" s="71" t="str">
        <f t="shared" si="67"/>
        <v>Bududa</v>
      </c>
      <c r="H1151" s="78" t="s">
        <v>403</v>
      </c>
    </row>
    <row r="1152" spans="1:9">
      <c r="A1152" s="77">
        <v>1502</v>
      </c>
      <c r="B1152" s="78" t="s">
        <v>856</v>
      </c>
      <c r="C1152" s="78" t="s">
        <v>857</v>
      </c>
      <c r="D1152" s="78" t="s">
        <v>867</v>
      </c>
      <c r="E1152" s="78"/>
      <c r="F1152" s="71" t="str">
        <f t="shared" si="68"/>
        <v>Nalweyo</v>
      </c>
      <c r="G1152" s="71" t="str">
        <f t="shared" si="67"/>
        <v>Kakumiro</v>
      </c>
      <c r="H1152" s="78" t="s">
        <v>867</v>
      </c>
    </row>
    <row r="1153" spans="1:8">
      <c r="A1153" s="77">
        <v>483</v>
      </c>
      <c r="B1153" s="78" t="s">
        <v>2053</v>
      </c>
      <c r="C1153" s="78" t="s">
        <v>2053</v>
      </c>
      <c r="D1153" s="78" t="s">
        <v>2080</v>
      </c>
      <c r="E1153" s="78"/>
      <c r="F1153" s="71" t="str">
        <f t="shared" si="68"/>
        <v>Nama</v>
      </c>
      <c r="G1153" s="71" t="str">
        <f t="shared" si="67"/>
        <v>Mukono</v>
      </c>
      <c r="H1153" s="78" t="s">
        <v>2080</v>
      </c>
    </row>
    <row r="1154" spans="1:8">
      <c r="A1154" s="77">
        <v>1097</v>
      </c>
      <c r="B1154" s="78" t="s">
        <v>2145</v>
      </c>
      <c r="C1154" s="78" t="s">
        <v>2145</v>
      </c>
      <c r="D1154" s="78" t="s">
        <v>2158</v>
      </c>
      <c r="E1154" s="78"/>
      <c r="F1154" s="71" t="str">
        <f t="shared" si="68"/>
        <v>Namabya</v>
      </c>
      <c r="G1154" s="71" t="str">
        <f t="shared" si="67"/>
        <v>Namisindwa</v>
      </c>
      <c r="H1154" s="78" t="s">
        <v>2158</v>
      </c>
    </row>
    <row r="1155" spans="1:8">
      <c r="A1155" s="77">
        <v>702</v>
      </c>
      <c r="B1155" s="78" t="s">
        <v>688</v>
      </c>
      <c r="C1155" s="78" t="s">
        <v>691</v>
      </c>
      <c r="D1155" s="78" t="s">
        <v>702</v>
      </c>
      <c r="E1155" s="78"/>
      <c r="F1155" s="71" t="str">
        <f t="shared" si="68"/>
        <v>Namalemba</v>
      </c>
      <c r="G1155" s="71" t="str">
        <f t="shared" si="67"/>
        <v>Iganga</v>
      </c>
      <c r="H1155" s="78" t="s">
        <v>702</v>
      </c>
    </row>
    <row r="1156" spans="1:8">
      <c r="A1156" s="77">
        <v>121</v>
      </c>
      <c r="B1156" s="78" t="s">
        <v>2090</v>
      </c>
      <c r="C1156" s="78" t="s">
        <v>2091</v>
      </c>
      <c r="D1156" s="78" t="s">
        <v>2099</v>
      </c>
      <c r="E1156" s="78"/>
      <c r="F1156" s="71" t="str">
        <f t="shared" si="68"/>
        <v>Namalu</v>
      </c>
      <c r="G1156" s="71" t="str">
        <f t="shared" si="67"/>
        <v>Nakapiripirit</v>
      </c>
      <c r="H1156" s="78" t="s">
        <v>2099</v>
      </c>
    </row>
    <row r="1157" spans="1:8">
      <c r="A1157" s="77">
        <v>788</v>
      </c>
      <c r="B1157" s="78" t="s">
        <v>228</v>
      </c>
      <c r="C1157" s="78" t="s">
        <v>1886</v>
      </c>
      <c r="D1157" s="78" t="s">
        <v>1907</v>
      </c>
      <c r="E1157" s="78"/>
      <c r="F1157" s="71" t="str">
        <f t="shared" si="68"/>
        <v>Namanyonyi</v>
      </c>
      <c r="G1157" s="71" t="str">
        <f t="shared" si="67"/>
        <v>Mbale</v>
      </c>
      <c r="H1157" s="78" t="s">
        <v>1907</v>
      </c>
    </row>
    <row r="1158" spans="1:8">
      <c r="A1158" s="77">
        <v>730</v>
      </c>
      <c r="B1158" s="78" t="s">
        <v>1376</v>
      </c>
      <c r="C1158" s="78" t="s">
        <v>1377</v>
      </c>
      <c r="D1158" s="78" t="s">
        <v>1387</v>
      </c>
      <c r="E1158" s="78"/>
      <c r="F1158" s="71" t="str">
        <f t="shared" si="68"/>
        <v>Namasagali</v>
      </c>
      <c r="G1158" s="71" t="str">
        <f t="shared" si="67"/>
        <v>Kamuli</v>
      </c>
      <c r="H1158" s="78" t="s">
        <v>1387</v>
      </c>
    </row>
    <row r="1159" spans="1:8">
      <c r="A1159" s="77">
        <v>166</v>
      </c>
      <c r="B1159" s="78" t="s">
        <v>289</v>
      </c>
      <c r="C1159" s="78" t="s">
        <v>290</v>
      </c>
      <c r="D1159" s="78" t="s">
        <v>299</v>
      </c>
      <c r="E1159" s="78"/>
      <c r="F1159" s="71" t="str">
        <f t="shared" si="68"/>
        <v>Namasale</v>
      </c>
      <c r="G1159" s="71" t="str">
        <f t="shared" si="67"/>
        <v>Amolatar</v>
      </c>
      <c r="H1159" s="78" t="s">
        <v>299</v>
      </c>
    </row>
    <row r="1160" spans="1:8">
      <c r="A1160" s="77">
        <v>167</v>
      </c>
      <c r="B1160" s="78" t="s">
        <v>289</v>
      </c>
      <c r="C1160" s="78" t="s">
        <v>290</v>
      </c>
      <c r="D1160" s="78" t="s">
        <v>300</v>
      </c>
      <c r="E1160" s="78"/>
      <c r="F1160" s="71" t="str">
        <f t="shared" si="68"/>
        <v>Namasale Town Council</v>
      </c>
      <c r="G1160" s="71" t="str">
        <f t="shared" si="67"/>
        <v>Amolatar</v>
      </c>
      <c r="H1160" s="78" t="s">
        <v>300</v>
      </c>
    </row>
    <row r="1161" spans="1:8">
      <c r="A1161" s="77">
        <v>1061</v>
      </c>
      <c r="B1161" s="78" t="s">
        <v>2133</v>
      </c>
      <c r="C1161" s="78" t="s">
        <v>2134</v>
      </c>
      <c r="D1161" s="78" t="s">
        <v>2142</v>
      </c>
      <c r="E1161" s="78"/>
      <c r="F1161" s="71" t="str">
        <f t="shared" si="68"/>
        <v>Namayingo Town Council</v>
      </c>
      <c r="G1161" s="71" t="str">
        <f t="shared" si="67"/>
        <v>Namayingo</v>
      </c>
      <c r="H1161" s="78" t="s">
        <v>2142</v>
      </c>
    </row>
    <row r="1162" spans="1:8">
      <c r="A1162" s="77">
        <v>540</v>
      </c>
      <c r="B1162" s="78" t="s">
        <v>2477</v>
      </c>
      <c r="C1162" s="78" t="s">
        <v>2481</v>
      </c>
      <c r="D1162" s="78" t="s">
        <v>2625</v>
      </c>
      <c r="E1162" s="78"/>
      <c r="F1162" s="71" t="str">
        <f t="shared" si="68"/>
        <v>Namayumba</v>
      </c>
      <c r="G1162" s="71" t="str">
        <f t="shared" ref="G1162:G1225" si="69">B1162</f>
        <v>Wakiso</v>
      </c>
      <c r="H1162" s="78" t="s">
        <v>2625</v>
      </c>
    </row>
    <row r="1163" spans="1:8">
      <c r="A1163" s="77">
        <v>541</v>
      </c>
      <c r="B1163" s="78" t="s">
        <v>2477</v>
      </c>
      <c r="C1163" s="78" t="s">
        <v>2481</v>
      </c>
      <c r="D1163" s="78" t="s">
        <v>2626</v>
      </c>
      <c r="E1163" s="78"/>
      <c r="F1163" s="71" t="str">
        <f t="shared" si="68"/>
        <v>Namayumba Town Council</v>
      </c>
      <c r="G1163" s="71" t="str">
        <f t="shared" si="69"/>
        <v>Wakiso</v>
      </c>
      <c r="H1163" s="78" t="s">
        <v>2626</v>
      </c>
    </row>
    <row r="1164" spans="1:8">
      <c r="A1164" s="77">
        <v>709</v>
      </c>
      <c r="B1164" s="78" t="s">
        <v>688</v>
      </c>
      <c r="C1164" s="78" t="s">
        <v>689</v>
      </c>
      <c r="D1164" s="78" t="s">
        <v>703</v>
      </c>
      <c r="E1164" s="78"/>
      <c r="F1164" s="71" t="str">
        <f t="shared" si="68"/>
        <v>Nambale</v>
      </c>
      <c r="G1164" s="71" t="str">
        <f t="shared" si="69"/>
        <v>Iganga</v>
      </c>
      <c r="H1164" s="78" t="s">
        <v>703</v>
      </c>
    </row>
    <row r="1165" spans="1:8">
      <c r="A1165" s="77">
        <v>16</v>
      </c>
      <c r="B1165" s="78" t="s">
        <v>330</v>
      </c>
      <c r="C1165" s="78" t="s">
        <v>331</v>
      </c>
      <c r="D1165" s="78" t="s">
        <v>342</v>
      </c>
      <c r="E1165" s="78"/>
      <c r="F1165" s="71" t="str">
        <f t="shared" si="68"/>
        <v>Nambieso</v>
      </c>
      <c r="G1165" s="71" t="str">
        <f t="shared" si="69"/>
        <v>Apac</v>
      </c>
      <c r="H1165" s="78" t="s">
        <v>342</v>
      </c>
    </row>
    <row r="1166" spans="1:8">
      <c r="A1166" s="77">
        <v>1098</v>
      </c>
      <c r="B1166" s="78" t="s">
        <v>2145</v>
      </c>
      <c r="C1166" s="78" t="s">
        <v>2145</v>
      </c>
      <c r="D1166" s="78" t="s">
        <v>2159</v>
      </c>
      <c r="E1166" s="78"/>
      <c r="F1166" s="71" t="str">
        <f t="shared" si="68"/>
        <v>Namboko</v>
      </c>
      <c r="G1166" s="71" t="str">
        <f t="shared" si="69"/>
        <v>Namisindwa</v>
      </c>
      <c r="H1166" s="78" t="s">
        <v>2159</v>
      </c>
    </row>
    <row r="1167" spans="1:8">
      <c r="A1167" s="77">
        <v>1101</v>
      </c>
      <c r="B1167" s="78" t="s">
        <v>2145</v>
      </c>
      <c r="C1167" s="78" t="s">
        <v>2145</v>
      </c>
      <c r="D1167" s="78" t="s">
        <v>2160</v>
      </c>
      <c r="E1167" s="78"/>
      <c r="F1167" s="71" t="str">
        <f t="shared" si="68"/>
        <v>Namisindwa Town Council</v>
      </c>
      <c r="G1167" s="71" t="str">
        <f t="shared" si="69"/>
        <v>Namisindwa</v>
      </c>
      <c r="H1167" s="78" t="s">
        <v>2160</v>
      </c>
    </row>
    <row r="1168" spans="1:8">
      <c r="A1168" s="77">
        <v>1015</v>
      </c>
      <c r="B1168" s="78" t="s">
        <v>472</v>
      </c>
      <c r="C1168" s="78" t="s">
        <v>472</v>
      </c>
      <c r="D1168" s="78" t="s">
        <v>488</v>
      </c>
      <c r="E1168" s="78"/>
      <c r="F1168" s="71" t="str">
        <f t="shared" si="68"/>
        <v>Namisuni</v>
      </c>
      <c r="G1168" s="71" t="str">
        <f t="shared" si="69"/>
        <v>Bulambuli</v>
      </c>
      <c r="H1168" s="78" t="s">
        <v>488</v>
      </c>
    </row>
    <row r="1169" spans="1:8">
      <c r="A1169" s="77">
        <v>64</v>
      </c>
      <c r="B1169" s="78" t="s">
        <v>220</v>
      </c>
      <c r="C1169" s="78" t="s">
        <v>1611</v>
      </c>
      <c r="D1169" s="78" t="s">
        <v>1618</v>
      </c>
      <c r="E1169" s="78"/>
      <c r="F1169" s="71" t="str">
        <f t="shared" si="68"/>
        <v>Namokora</v>
      </c>
      <c r="G1169" s="71" t="str">
        <f t="shared" si="69"/>
        <v>Kitgum</v>
      </c>
      <c r="H1169" s="78" t="s">
        <v>1618</v>
      </c>
    </row>
    <row r="1170" spans="1:8">
      <c r="A1170" s="77">
        <v>969</v>
      </c>
      <c r="B1170" s="78" t="s">
        <v>878</v>
      </c>
      <c r="C1170" s="78" t="s">
        <v>687</v>
      </c>
      <c r="D1170" s="82" t="s">
        <v>2627</v>
      </c>
      <c r="E1170" s="78"/>
      <c r="F1170" s="71" t="str">
        <f t="shared" ref="F1170" si="70">D1170&amp;"-"&amp;B1170</f>
        <v>Namugongo-Kaliro</v>
      </c>
      <c r="G1170" s="71" t="str">
        <f t="shared" si="69"/>
        <v>Kaliro</v>
      </c>
      <c r="H1170" s="82" t="s">
        <v>2627</v>
      </c>
    </row>
    <row r="1171" spans="1:8">
      <c r="A1171" s="77">
        <v>550</v>
      </c>
      <c r="B1171" s="78" t="s">
        <v>2477</v>
      </c>
      <c r="C1171" s="79" t="s">
        <v>2485</v>
      </c>
      <c r="D1171" s="82" t="s">
        <v>2879</v>
      </c>
      <c r="E1171" s="78"/>
      <c r="F1171" s="72" t="s">
        <v>2627</v>
      </c>
      <c r="G1171" s="71" t="str">
        <f t="shared" si="69"/>
        <v>Wakiso</v>
      </c>
      <c r="H1171" s="82" t="s">
        <v>2879</v>
      </c>
    </row>
    <row r="1172" spans="1:8">
      <c r="A1172" s="77">
        <v>710</v>
      </c>
      <c r="B1172" s="78" t="s">
        <v>688</v>
      </c>
      <c r="C1172" s="78" t="s">
        <v>689</v>
      </c>
      <c r="D1172" s="78" t="s">
        <v>704</v>
      </c>
      <c r="E1172" s="78"/>
      <c r="F1172" s="71" t="str">
        <f t="shared" ref="F1172:F1208" si="71">D1172</f>
        <v>Namungalwe</v>
      </c>
      <c r="G1172" s="71" t="str">
        <f t="shared" si="69"/>
        <v>Iganga</v>
      </c>
      <c r="H1172" s="78" t="s">
        <v>704</v>
      </c>
    </row>
    <row r="1173" spans="1:8">
      <c r="A1173" s="77">
        <v>573</v>
      </c>
      <c r="B1173" s="78" t="s">
        <v>1968</v>
      </c>
      <c r="C1173" s="78" t="s">
        <v>1968</v>
      </c>
      <c r="D1173" s="78" t="s">
        <v>1991</v>
      </c>
      <c r="E1173" s="78"/>
      <c r="F1173" s="71" t="str">
        <f t="shared" si="71"/>
        <v>Namungo</v>
      </c>
      <c r="G1173" s="71" t="str">
        <f t="shared" si="69"/>
        <v>Mityana</v>
      </c>
      <c r="H1173" s="78" t="s">
        <v>1991</v>
      </c>
    </row>
    <row r="1174" spans="1:8">
      <c r="A1174" s="77">
        <v>994</v>
      </c>
      <c r="B1174" s="78" t="s">
        <v>2163</v>
      </c>
      <c r="C1174" s="78" t="s">
        <v>2164</v>
      </c>
      <c r="D1174" s="78" t="s">
        <v>2163</v>
      </c>
      <c r="E1174" s="78"/>
      <c r="F1174" s="71" t="str">
        <f t="shared" si="71"/>
        <v>Namutumba</v>
      </c>
      <c r="G1174" s="71" t="str">
        <f t="shared" si="69"/>
        <v>Namutumba</v>
      </c>
      <c r="H1174" s="78" t="s">
        <v>2163</v>
      </c>
    </row>
    <row r="1175" spans="1:8">
      <c r="A1175" s="77">
        <v>995</v>
      </c>
      <c r="B1175" s="78" t="s">
        <v>2163</v>
      </c>
      <c r="C1175" s="78" t="s">
        <v>2164</v>
      </c>
      <c r="D1175" s="78" t="s">
        <v>2168</v>
      </c>
      <c r="E1175" s="78"/>
      <c r="F1175" s="71" t="str">
        <f t="shared" si="71"/>
        <v>Namutumba Town Council</v>
      </c>
      <c r="G1175" s="71" t="str">
        <f t="shared" si="69"/>
        <v>Namutumba</v>
      </c>
      <c r="H1175" s="78" t="s">
        <v>2168</v>
      </c>
    </row>
    <row r="1176" spans="1:8">
      <c r="A1176" s="77">
        <v>731</v>
      </c>
      <c r="B1176" s="78" t="s">
        <v>1376</v>
      </c>
      <c r="C1176" s="78" t="s">
        <v>1377</v>
      </c>
      <c r="D1176" s="78" t="s">
        <v>1388</v>
      </c>
      <c r="E1176" s="78"/>
      <c r="F1176" s="71" t="str">
        <f t="shared" si="71"/>
        <v>Namwendwa</v>
      </c>
      <c r="G1176" s="71" t="str">
        <f t="shared" si="69"/>
        <v>Kamuli</v>
      </c>
      <c r="H1176" s="78" t="s">
        <v>1388</v>
      </c>
    </row>
    <row r="1177" spans="1:8">
      <c r="A1177" s="77">
        <v>970</v>
      </c>
      <c r="B1177" s="78" t="s">
        <v>878</v>
      </c>
      <c r="C1177" s="78" t="s">
        <v>687</v>
      </c>
      <c r="D1177" s="78" t="s">
        <v>888</v>
      </c>
      <c r="E1177" s="78"/>
      <c r="F1177" s="71" t="str">
        <f t="shared" si="71"/>
        <v>Namwiwa</v>
      </c>
      <c r="G1177" s="71" t="str">
        <f t="shared" si="69"/>
        <v>Kaliro</v>
      </c>
      <c r="H1177" s="78" t="s">
        <v>888</v>
      </c>
    </row>
    <row r="1178" spans="1:8">
      <c r="A1178" s="77">
        <v>997</v>
      </c>
      <c r="B1178" s="78" t="s">
        <v>2163</v>
      </c>
      <c r="C1178" s="78" t="s">
        <v>2164</v>
      </c>
      <c r="D1178" s="78" t="s">
        <v>2169</v>
      </c>
      <c r="E1178" s="78"/>
      <c r="F1178" s="71" t="str">
        <f t="shared" si="71"/>
        <v>Nangonde</v>
      </c>
      <c r="G1178" s="71" t="str">
        <f t="shared" si="69"/>
        <v>Namutumba</v>
      </c>
      <c r="H1178" s="78" t="s">
        <v>2169</v>
      </c>
    </row>
    <row r="1179" spans="1:8">
      <c r="A1179" s="77">
        <v>680</v>
      </c>
      <c r="B1179" s="78" t="s">
        <v>405</v>
      </c>
      <c r="C1179" s="78" t="s">
        <v>406</v>
      </c>
      <c r="D1179" s="78" t="s">
        <v>416</v>
      </c>
      <c r="E1179" s="78"/>
      <c r="F1179" s="71" t="str">
        <f t="shared" si="71"/>
        <v>Nankoma</v>
      </c>
      <c r="G1179" s="71" t="str">
        <f t="shared" si="69"/>
        <v>Bugiri</v>
      </c>
      <c r="H1179" s="78" t="s">
        <v>416</v>
      </c>
    </row>
    <row r="1180" spans="1:8" ht="25.5">
      <c r="A1180" s="77">
        <v>558</v>
      </c>
      <c r="B1180" s="78" t="s">
        <v>2477</v>
      </c>
      <c r="C1180" s="79" t="s">
        <v>2483</v>
      </c>
      <c r="D1180" s="78" t="s">
        <v>2880</v>
      </c>
      <c r="E1180" s="78"/>
      <c r="F1180" s="86" t="s">
        <v>2657</v>
      </c>
      <c r="G1180" s="71" t="str">
        <f t="shared" si="69"/>
        <v>Wakiso</v>
      </c>
      <c r="H1180" s="78" t="s">
        <v>2880</v>
      </c>
    </row>
    <row r="1181" spans="1:8">
      <c r="A1181" s="77">
        <v>909</v>
      </c>
      <c r="B1181" s="78" t="s">
        <v>374</v>
      </c>
      <c r="C1181" s="78" t="s">
        <v>374</v>
      </c>
      <c r="D1181" s="78" t="s">
        <v>386</v>
      </c>
      <c r="E1181" s="78"/>
      <c r="F1181" s="71" t="str">
        <f t="shared" si="71"/>
        <v>Nansanga</v>
      </c>
      <c r="G1181" s="71" t="str">
        <f t="shared" si="69"/>
        <v>Budaka</v>
      </c>
      <c r="H1181" s="78" t="s">
        <v>386</v>
      </c>
    </row>
    <row r="1182" spans="1:8">
      <c r="A1182" s="77">
        <v>971</v>
      </c>
      <c r="B1182" s="78" t="s">
        <v>878</v>
      </c>
      <c r="C1182" s="78" t="s">
        <v>687</v>
      </c>
      <c r="D1182" s="78" t="s">
        <v>889</v>
      </c>
      <c r="E1182" s="78"/>
      <c r="F1182" s="71" t="str">
        <f t="shared" si="71"/>
        <v>Nansololo</v>
      </c>
      <c r="G1182" s="71" t="str">
        <f t="shared" si="69"/>
        <v>Kaliro</v>
      </c>
      <c r="H1182" s="78" t="s">
        <v>889</v>
      </c>
    </row>
    <row r="1183" spans="1:8">
      <c r="A1183" s="77">
        <v>278</v>
      </c>
      <c r="B1183" s="78" t="s">
        <v>2172</v>
      </c>
      <c r="C1183" s="78" t="s">
        <v>2173</v>
      </c>
      <c r="D1183" s="78" t="s">
        <v>2179</v>
      </c>
      <c r="E1183" s="78"/>
      <c r="F1183" s="71" t="str">
        <f t="shared" si="71"/>
        <v>Napak Town Council</v>
      </c>
      <c r="G1183" s="71" t="str">
        <f t="shared" si="69"/>
        <v>Napak</v>
      </c>
      <c r="H1183" s="78" t="s">
        <v>2179</v>
      </c>
    </row>
    <row r="1184" spans="1:8">
      <c r="A1184" s="77">
        <v>196</v>
      </c>
      <c r="B1184" s="78" t="s">
        <v>770</v>
      </c>
      <c r="C1184" s="78" t="s">
        <v>771</v>
      </c>
      <c r="D1184" s="78" t="s">
        <v>783</v>
      </c>
      <c r="E1184" s="78"/>
      <c r="F1184" s="71" t="str">
        <f t="shared" si="71"/>
        <v>Napore Karenga</v>
      </c>
      <c r="G1184" s="71" t="str">
        <f t="shared" si="69"/>
        <v>Kaabong</v>
      </c>
      <c r="H1184" s="78" t="s">
        <v>783</v>
      </c>
    </row>
    <row r="1185" spans="1:8">
      <c r="A1185" s="77">
        <v>972</v>
      </c>
      <c r="B1185" s="78" t="s">
        <v>878</v>
      </c>
      <c r="C1185" s="78" t="s">
        <v>687</v>
      </c>
      <c r="D1185" s="78" t="s">
        <v>890</v>
      </c>
      <c r="E1185" s="78"/>
      <c r="F1185" s="71" t="str">
        <f t="shared" si="71"/>
        <v>Nawaikoke</v>
      </c>
      <c r="G1185" s="71" t="str">
        <f t="shared" si="69"/>
        <v>Kaliro</v>
      </c>
      <c r="H1185" s="78" t="s">
        <v>890</v>
      </c>
    </row>
    <row r="1186" spans="1:8">
      <c r="A1186" s="77">
        <v>1052</v>
      </c>
      <c r="B1186" s="78" t="s">
        <v>1759</v>
      </c>
      <c r="C1186" s="78" t="s">
        <v>1759</v>
      </c>
      <c r="D1186" s="78" t="s">
        <v>1765</v>
      </c>
      <c r="E1186" s="78"/>
      <c r="F1186" s="71" t="str">
        <f t="shared" si="71"/>
        <v>Nawampiti</v>
      </c>
      <c r="G1186" s="71" t="str">
        <f t="shared" si="69"/>
        <v>Luuka</v>
      </c>
      <c r="H1186" s="78" t="s">
        <v>1765</v>
      </c>
    </row>
    <row r="1187" spans="1:8">
      <c r="A1187" s="77">
        <v>711</v>
      </c>
      <c r="B1187" s="78" t="s">
        <v>688</v>
      </c>
      <c r="C1187" s="78" t="s">
        <v>689</v>
      </c>
      <c r="D1187" s="78" t="s">
        <v>705</v>
      </c>
      <c r="E1187" s="78"/>
      <c r="F1187" s="71" t="str">
        <f t="shared" si="71"/>
        <v>Nawandala</v>
      </c>
      <c r="G1187" s="71" t="str">
        <f t="shared" si="69"/>
        <v>Iganga</v>
      </c>
      <c r="H1187" s="78" t="s">
        <v>705</v>
      </c>
    </row>
    <row r="1188" spans="1:8">
      <c r="A1188" s="77">
        <v>959</v>
      </c>
      <c r="B1188" s="78" t="s">
        <v>573</v>
      </c>
      <c r="C1188" s="78" t="s">
        <v>574</v>
      </c>
      <c r="D1188" s="78" t="s">
        <v>583</v>
      </c>
      <c r="E1188" s="78"/>
      <c r="F1188" s="71" t="str">
        <f t="shared" si="71"/>
        <v>Nawanjofu</v>
      </c>
      <c r="G1188" s="71" t="str">
        <f t="shared" si="69"/>
        <v>Butaleja</v>
      </c>
      <c r="H1188" s="78" t="s">
        <v>583</v>
      </c>
    </row>
    <row r="1189" spans="1:8">
      <c r="A1189" s="77">
        <v>735</v>
      </c>
      <c r="B1189" s="78" t="s">
        <v>1376</v>
      </c>
      <c r="C1189" s="78" t="s">
        <v>1379</v>
      </c>
      <c r="D1189" s="78" t="s">
        <v>1389</v>
      </c>
      <c r="E1189" s="78"/>
      <c r="F1189" s="71" t="str">
        <f t="shared" si="71"/>
        <v>Nawanyago</v>
      </c>
      <c r="G1189" s="71" t="str">
        <f t="shared" si="69"/>
        <v>Kamuli</v>
      </c>
      <c r="H1189" s="78" t="s">
        <v>1389</v>
      </c>
    </row>
    <row r="1190" spans="1:8">
      <c r="A1190" s="77">
        <v>712</v>
      </c>
      <c r="B1190" s="78" t="s">
        <v>688</v>
      </c>
      <c r="C1190" s="78" t="s">
        <v>689</v>
      </c>
      <c r="D1190" s="78" t="s">
        <v>706</v>
      </c>
      <c r="E1190" s="78"/>
      <c r="F1190" s="71" t="str">
        <f t="shared" si="71"/>
        <v>Nawanyingi</v>
      </c>
      <c r="G1190" s="71" t="str">
        <f t="shared" si="69"/>
        <v>Iganga</v>
      </c>
      <c r="H1190" s="78" t="s">
        <v>706</v>
      </c>
    </row>
    <row r="1191" spans="1:8">
      <c r="A1191" s="77">
        <v>960</v>
      </c>
      <c r="B1191" s="78" t="s">
        <v>573</v>
      </c>
      <c r="C1191" s="78" t="s">
        <v>574</v>
      </c>
      <c r="D1191" s="78" t="s">
        <v>584</v>
      </c>
      <c r="E1191" s="78"/>
      <c r="F1191" s="71" t="str">
        <f t="shared" si="71"/>
        <v>Naweyo</v>
      </c>
      <c r="G1191" s="71" t="str">
        <f t="shared" si="69"/>
        <v>Butaleja</v>
      </c>
      <c r="H1191" s="78" t="s">
        <v>584</v>
      </c>
    </row>
    <row r="1192" spans="1:8">
      <c r="A1192" s="77">
        <v>531</v>
      </c>
      <c r="B1192" s="78" t="s">
        <v>217</v>
      </c>
      <c r="C1192" s="78" t="s">
        <v>1499</v>
      </c>
      <c r="D1192" s="78" t="s">
        <v>1511</v>
      </c>
      <c r="E1192" s="78"/>
      <c r="F1192" s="71" t="str">
        <f t="shared" si="71"/>
        <v>Nazigo</v>
      </c>
      <c r="G1192" s="71" t="str">
        <f t="shared" si="69"/>
        <v>Kayunga</v>
      </c>
      <c r="H1192" s="78" t="s">
        <v>1511</v>
      </c>
    </row>
    <row r="1193" spans="1:8">
      <c r="A1193" s="77">
        <v>658</v>
      </c>
      <c r="B1193" s="78" t="s">
        <v>1797</v>
      </c>
      <c r="C1193" s="78" t="s">
        <v>23</v>
      </c>
      <c r="D1193" s="78" t="s">
        <v>1804</v>
      </c>
      <c r="E1193" s="78"/>
      <c r="F1193" s="71" t="str">
        <f t="shared" si="71"/>
        <v>Ndagwe</v>
      </c>
      <c r="G1193" s="71" t="str">
        <f t="shared" si="69"/>
        <v>Lwengo</v>
      </c>
      <c r="H1193" s="78" t="s">
        <v>1804</v>
      </c>
    </row>
    <row r="1194" spans="1:8">
      <c r="A1194" s="77">
        <v>1491</v>
      </c>
      <c r="B1194" s="78" t="s">
        <v>837</v>
      </c>
      <c r="C1194" s="78" t="s">
        <v>838</v>
      </c>
      <c r="D1194" s="78" t="s">
        <v>851</v>
      </c>
      <c r="E1194" s="78"/>
      <c r="F1194" s="71" t="str">
        <f t="shared" si="71"/>
        <v>Ndaiga</v>
      </c>
      <c r="G1194" s="71" t="str">
        <f t="shared" si="69"/>
        <v>Kagadi</v>
      </c>
      <c r="H1194" s="78" t="s">
        <v>851</v>
      </c>
    </row>
    <row r="1195" spans="1:8">
      <c r="A1195" s="77">
        <v>1259</v>
      </c>
      <c r="B1195" s="78" t="s">
        <v>230</v>
      </c>
      <c r="C1195" s="78" t="s">
        <v>1913</v>
      </c>
      <c r="D1195" s="78" t="s">
        <v>1941</v>
      </c>
      <c r="E1195" s="78"/>
      <c r="F1195" s="71" t="str">
        <f t="shared" si="71"/>
        <v>Ndeija</v>
      </c>
      <c r="G1195" s="71" t="str">
        <f t="shared" si="69"/>
        <v>Mbarara</v>
      </c>
      <c r="H1195" s="78" t="s">
        <v>1941</v>
      </c>
    </row>
    <row r="1196" spans="1:8" ht="38.25">
      <c r="A1196" s="77">
        <v>554</v>
      </c>
      <c r="B1196" s="80" t="s">
        <v>2477</v>
      </c>
      <c r="C1196" s="81" t="s">
        <v>2478</v>
      </c>
      <c r="D1196" s="80" t="s">
        <v>2881</v>
      </c>
      <c r="E1196" s="80"/>
      <c r="F1196" s="72" t="s">
        <v>2673</v>
      </c>
      <c r="G1196" s="71" t="str">
        <f t="shared" si="69"/>
        <v>Wakiso</v>
      </c>
      <c r="H1196" s="80" t="s">
        <v>2881</v>
      </c>
    </row>
    <row r="1197" spans="1:8">
      <c r="A1197" s="77">
        <v>114</v>
      </c>
      <c r="B1197" s="78" t="s">
        <v>2182</v>
      </c>
      <c r="C1197" s="78" t="s">
        <v>2183</v>
      </c>
      <c r="D1197" s="78" t="s">
        <v>2187</v>
      </c>
      <c r="E1197" s="78"/>
      <c r="F1197" s="71" t="str">
        <f t="shared" si="71"/>
        <v>Ndhew</v>
      </c>
      <c r="G1197" s="71" t="str">
        <f t="shared" si="69"/>
        <v>Nebbi</v>
      </c>
      <c r="H1197" s="78" t="s">
        <v>2187</v>
      </c>
    </row>
    <row r="1198" spans="1:8">
      <c r="A1198" s="77">
        <v>1104</v>
      </c>
      <c r="B1198" s="78" t="s">
        <v>499</v>
      </c>
      <c r="C1198" s="78" t="s">
        <v>503</v>
      </c>
      <c r="D1198" s="78" t="s">
        <v>515</v>
      </c>
      <c r="E1198" s="78"/>
      <c r="F1198" s="71" t="str">
        <f t="shared" si="71"/>
        <v>Nduguto</v>
      </c>
      <c r="G1198" s="71" t="str">
        <f t="shared" si="69"/>
        <v>Bundibugyo</v>
      </c>
      <c r="H1198" s="78" t="s">
        <v>515</v>
      </c>
    </row>
    <row r="1199" spans="1:8">
      <c r="A1199" s="77">
        <v>115</v>
      </c>
      <c r="B1199" s="78" t="s">
        <v>2182</v>
      </c>
      <c r="C1199" s="78" t="s">
        <v>2183</v>
      </c>
      <c r="D1199" s="78" t="s">
        <v>2182</v>
      </c>
      <c r="E1199" s="78"/>
      <c r="F1199" s="71" t="str">
        <f t="shared" si="71"/>
        <v>Nebbi</v>
      </c>
      <c r="G1199" s="71" t="str">
        <f t="shared" si="69"/>
        <v>Nebbi</v>
      </c>
      <c r="H1199" s="78" t="s">
        <v>2182</v>
      </c>
    </row>
    <row r="1200" spans="1:8">
      <c r="A1200" s="77">
        <v>224</v>
      </c>
      <c r="B1200" s="78" t="s">
        <v>2260</v>
      </c>
      <c r="C1200" s="78" t="s">
        <v>2260</v>
      </c>
      <c r="D1200" s="78" t="s">
        <v>2270</v>
      </c>
      <c r="E1200" s="78"/>
      <c r="F1200" s="71" t="str">
        <f t="shared" si="71"/>
        <v>Ngai</v>
      </c>
      <c r="G1200" s="71" t="str">
        <f t="shared" si="69"/>
        <v>Oyam</v>
      </c>
      <c r="H1200" s="78" t="s">
        <v>2270</v>
      </c>
    </row>
    <row r="1201" spans="1:8">
      <c r="A1201" s="77">
        <v>1105</v>
      </c>
      <c r="B1201" s="78" t="s">
        <v>499</v>
      </c>
      <c r="C1201" s="78" t="s">
        <v>503</v>
      </c>
      <c r="D1201" s="78" t="s">
        <v>516</v>
      </c>
      <c r="E1201" s="78"/>
      <c r="F1201" s="71" t="str">
        <f t="shared" si="71"/>
        <v>Ngamba</v>
      </c>
      <c r="G1201" s="71" t="str">
        <f t="shared" si="69"/>
        <v>Bundibugyo</v>
      </c>
      <c r="H1201" s="78" t="s">
        <v>516</v>
      </c>
    </row>
    <row r="1202" spans="1:8">
      <c r="A1202" s="77">
        <v>616</v>
      </c>
      <c r="B1202" s="78" t="s">
        <v>586</v>
      </c>
      <c r="C1202" s="78" t="s">
        <v>586</v>
      </c>
      <c r="D1202" s="78" t="s">
        <v>592</v>
      </c>
      <c r="E1202" s="78"/>
      <c r="F1202" s="71" t="str">
        <f t="shared" si="71"/>
        <v>Ngando</v>
      </c>
      <c r="G1202" s="71" t="str">
        <f t="shared" si="69"/>
        <v>Butambala</v>
      </c>
      <c r="H1202" s="78" t="s">
        <v>592</v>
      </c>
    </row>
    <row r="1203" spans="1:8">
      <c r="A1203" s="77">
        <v>1369</v>
      </c>
      <c r="B1203" s="78" t="s">
        <v>53</v>
      </c>
      <c r="C1203" s="78" t="s">
        <v>715</v>
      </c>
      <c r="D1203" s="78" t="s">
        <v>742</v>
      </c>
      <c r="E1203" s="78"/>
      <c r="F1203" s="71" t="str">
        <f t="shared" si="71"/>
        <v>Ngarama</v>
      </c>
      <c r="G1203" s="71" t="str">
        <f t="shared" si="69"/>
        <v>Isingiro</v>
      </c>
      <c r="H1203" s="78" t="s">
        <v>742</v>
      </c>
    </row>
    <row r="1204" spans="1:8">
      <c r="A1204" s="77">
        <v>759</v>
      </c>
      <c r="B1204" s="78" t="s">
        <v>1488</v>
      </c>
      <c r="C1204" s="78" t="s">
        <v>1490</v>
      </c>
      <c r="D1204" s="78" t="s">
        <v>1493</v>
      </c>
      <c r="E1204" s="78"/>
      <c r="F1204" s="71" t="str">
        <f t="shared" si="71"/>
        <v>Ngariam</v>
      </c>
      <c r="G1204" s="71" t="str">
        <f t="shared" si="69"/>
        <v>Katakwi</v>
      </c>
      <c r="H1204" s="78" t="s">
        <v>1493</v>
      </c>
    </row>
    <row r="1205" spans="1:8">
      <c r="A1205" s="77">
        <v>1045</v>
      </c>
      <c r="B1205" s="78" t="s">
        <v>1651</v>
      </c>
      <c r="C1205" s="78" t="s">
        <v>1651</v>
      </c>
      <c r="D1205" s="78" t="s">
        <v>1662</v>
      </c>
      <c r="E1205" s="78"/>
      <c r="F1205" s="71" t="str">
        <f t="shared" si="71"/>
        <v>Ngenge</v>
      </c>
      <c r="G1205" s="71" t="str">
        <f t="shared" si="69"/>
        <v>Kween</v>
      </c>
      <c r="H1205" s="78" t="s">
        <v>1662</v>
      </c>
    </row>
    <row r="1206" spans="1:8">
      <c r="A1206" s="77">
        <v>86</v>
      </c>
      <c r="B1206" s="78" t="s">
        <v>213</v>
      </c>
      <c r="C1206" s="78" t="s">
        <v>1750</v>
      </c>
      <c r="D1206" s="78" t="s">
        <v>1757</v>
      </c>
      <c r="E1206" s="78"/>
      <c r="F1206" s="71" t="str">
        <f t="shared" si="71"/>
        <v>Ngetta</v>
      </c>
      <c r="G1206" s="71" t="str">
        <f t="shared" si="69"/>
        <v>Lira</v>
      </c>
      <c r="H1206" s="78" t="s">
        <v>1757</v>
      </c>
    </row>
    <row r="1207" spans="1:8">
      <c r="A1207" s="77">
        <v>597</v>
      </c>
      <c r="B1207" s="78" t="s">
        <v>429</v>
      </c>
      <c r="C1207" s="78" t="s">
        <v>429</v>
      </c>
      <c r="D1207" s="78" t="s">
        <v>442</v>
      </c>
      <c r="E1207" s="78"/>
      <c r="F1207" s="71" t="str">
        <f t="shared" si="71"/>
        <v>Ngogwe</v>
      </c>
      <c r="G1207" s="71" t="str">
        <f t="shared" si="69"/>
        <v>Buikwe</v>
      </c>
      <c r="H1207" s="78" t="s">
        <v>442</v>
      </c>
    </row>
    <row r="1208" spans="1:8">
      <c r="A1208" s="77">
        <v>279</v>
      </c>
      <c r="B1208" s="78" t="s">
        <v>2172</v>
      </c>
      <c r="C1208" s="78" t="s">
        <v>2173</v>
      </c>
      <c r="D1208" s="78" t="s">
        <v>2180</v>
      </c>
      <c r="E1208" s="78"/>
      <c r="F1208" s="71" t="str">
        <f t="shared" si="71"/>
        <v>Ngoleriet</v>
      </c>
      <c r="G1208" s="71" t="str">
        <f t="shared" si="69"/>
        <v>Napak</v>
      </c>
      <c r="H1208" s="78" t="s">
        <v>2180</v>
      </c>
    </row>
    <row r="1209" spans="1:8">
      <c r="A1209" s="77">
        <v>589</v>
      </c>
      <c r="B1209" s="78" t="s">
        <v>2101</v>
      </c>
      <c r="C1209" s="78" t="s">
        <v>2101</v>
      </c>
      <c r="D1209" s="82" t="s">
        <v>2112</v>
      </c>
      <c r="E1209" s="78"/>
      <c r="F1209" s="71" t="str">
        <f t="shared" ref="F1209:F1210" si="72">D1209&amp;"-"&amp;B1209</f>
        <v>Ngoma-Nakaseke</v>
      </c>
      <c r="G1209" s="71" t="str">
        <f t="shared" si="69"/>
        <v>Nakaseke</v>
      </c>
      <c r="H1209" s="82" t="s">
        <v>2112</v>
      </c>
    </row>
    <row r="1210" spans="1:8">
      <c r="A1210" s="77">
        <v>1279</v>
      </c>
      <c r="B1210" s="78" t="s">
        <v>52</v>
      </c>
      <c r="C1210" s="78" t="s">
        <v>2215</v>
      </c>
      <c r="D1210" s="82" t="s">
        <v>2112</v>
      </c>
      <c r="E1210" s="78"/>
      <c r="F1210" s="71" t="str">
        <f t="shared" si="72"/>
        <v>Ngoma-Ntungamo</v>
      </c>
      <c r="G1210" s="71" t="str">
        <f t="shared" si="69"/>
        <v>Ntungamo</v>
      </c>
      <c r="H1210" s="82" t="s">
        <v>2112</v>
      </c>
    </row>
    <row r="1211" spans="1:8">
      <c r="A1211" s="77">
        <v>590</v>
      </c>
      <c r="B1211" s="78" t="s">
        <v>2101</v>
      </c>
      <c r="C1211" s="78" t="s">
        <v>2101</v>
      </c>
      <c r="D1211" s="78" t="s">
        <v>2111</v>
      </c>
      <c r="E1211" s="78"/>
      <c r="F1211" s="71" t="str">
        <f t="shared" ref="F1211:F1223" si="73">D1211</f>
        <v>Ngoma Town Council</v>
      </c>
      <c r="G1211" s="71" t="str">
        <f t="shared" si="69"/>
        <v>Nakaseke</v>
      </c>
      <c r="H1211" s="78" t="s">
        <v>2111</v>
      </c>
    </row>
    <row r="1212" spans="1:8">
      <c r="A1212" s="77">
        <v>1066</v>
      </c>
      <c r="B1212" s="78" t="s">
        <v>2192</v>
      </c>
      <c r="C1212" s="78" t="s">
        <v>2192</v>
      </c>
      <c r="D1212" s="78" t="s">
        <v>2192</v>
      </c>
      <c r="E1212" s="78"/>
      <c r="F1212" s="71" t="str">
        <f t="shared" si="73"/>
        <v>Ngora</v>
      </c>
      <c r="G1212" s="71" t="str">
        <f t="shared" si="69"/>
        <v>Ngora</v>
      </c>
      <c r="H1212" s="78" t="s">
        <v>2192</v>
      </c>
    </row>
    <row r="1213" spans="1:8">
      <c r="A1213" s="77">
        <v>1067</v>
      </c>
      <c r="B1213" s="78" t="s">
        <v>2192</v>
      </c>
      <c r="C1213" s="78" t="s">
        <v>2192</v>
      </c>
      <c r="D1213" s="78" t="s">
        <v>2195</v>
      </c>
      <c r="E1213" s="78"/>
      <c r="F1213" s="71" t="str">
        <f t="shared" si="73"/>
        <v>Ngora Town Council</v>
      </c>
      <c r="G1213" s="71" t="str">
        <f t="shared" si="69"/>
        <v>Ngora</v>
      </c>
      <c r="H1213" s="78" t="s">
        <v>2195</v>
      </c>
    </row>
    <row r="1214" spans="1:8">
      <c r="A1214" s="77">
        <v>1352</v>
      </c>
      <c r="B1214" s="78" t="s">
        <v>492</v>
      </c>
      <c r="C1214" s="78" t="s">
        <v>492</v>
      </c>
      <c r="D1214" s="78" t="s">
        <v>497</v>
      </c>
      <c r="E1214" s="78"/>
      <c r="F1214" s="71" t="str">
        <f t="shared" si="73"/>
        <v>Ngwedo</v>
      </c>
      <c r="G1214" s="71" t="str">
        <f t="shared" si="69"/>
        <v>Buliisa</v>
      </c>
      <c r="H1214" s="78" t="s">
        <v>497</v>
      </c>
    </row>
    <row r="1215" spans="1:8">
      <c r="A1215" s="77">
        <v>603</v>
      </c>
      <c r="B1215" s="78" t="s">
        <v>429</v>
      </c>
      <c r="C1215" s="79" t="s">
        <v>443</v>
      </c>
      <c r="D1215" s="78" t="s">
        <v>2882</v>
      </c>
      <c r="E1215" s="78"/>
      <c r="F1215" s="72" t="str">
        <f>VLOOKUP(C1215,[2]Municipalities!$C$9:$F$1522,4,FALSE)</f>
        <v>Njeru Municipality</v>
      </c>
      <c r="G1215" s="71" t="str">
        <f t="shared" si="69"/>
        <v>Buikwe</v>
      </c>
      <c r="H1215" s="78" t="s">
        <v>2882</v>
      </c>
    </row>
    <row r="1216" spans="1:8">
      <c r="A1216" s="77">
        <v>644</v>
      </c>
      <c r="B1216" s="78" t="s">
        <v>1664</v>
      </c>
      <c r="C1216" s="78" t="s">
        <v>1525</v>
      </c>
      <c r="D1216" s="78" t="s">
        <v>1692</v>
      </c>
      <c r="E1216" s="78"/>
      <c r="F1216" s="71" t="str">
        <f t="shared" si="73"/>
        <v>Nkandwa</v>
      </c>
      <c r="G1216" s="71" t="str">
        <f t="shared" si="69"/>
        <v>Kyankwanzi</v>
      </c>
      <c r="H1216" s="78" t="s">
        <v>1692</v>
      </c>
    </row>
    <row r="1217" spans="1:8">
      <c r="A1217" s="77">
        <v>598</v>
      </c>
      <c r="B1217" s="78" t="s">
        <v>429</v>
      </c>
      <c r="C1217" s="78" t="s">
        <v>429</v>
      </c>
      <c r="D1217" s="78" t="s">
        <v>444</v>
      </c>
      <c r="E1217" s="78"/>
      <c r="F1217" s="71" t="str">
        <f t="shared" si="73"/>
        <v>Nkokonjeru Town Council</v>
      </c>
      <c r="G1217" s="71" t="str">
        <f t="shared" si="69"/>
        <v>Buikwe</v>
      </c>
      <c r="H1217" s="78" t="s">
        <v>444</v>
      </c>
    </row>
    <row r="1218" spans="1:8">
      <c r="A1218" s="77">
        <v>1305</v>
      </c>
      <c r="B1218" s="78" t="s">
        <v>50</v>
      </c>
      <c r="C1218" s="78" t="s">
        <v>598</v>
      </c>
      <c r="D1218" s="78" t="s">
        <v>1408</v>
      </c>
      <c r="E1218" s="78"/>
      <c r="F1218" s="71" t="str">
        <f t="shared" si="73"/>
        <v>Nkoma</v>
      </c>
      <c r="G1218" s="71" t="str">
        <f t="shared" si="69"/>
        <v>Kamwenge</v>
      </c>
      <c r="H1218" s="78" t="s">
        <v>1408</v>
      </c>
    </row>
    <row r="1219" spans="1:8">
      <c r="A1219" s="77">
        <v>1023</v>
      </c>
      <c r="B1219" s="78" t="s">
        <v>616</v>
      </c>
      <c r="C1219" s="78" t="s">
        <v>617</v>
      </c>
      <c r="D1219" s="78" t="s">
        <v>621</v>
      </c>
      <c r="E1219" s="78"/>
      <c r="F1219" s="71" t="str">
        <f t="shared" si="73"/>
        <v>Nkondo</v>
      </c>
      <c r="G1219" s="71" t="str">
        <f t="shared" si="69"/>
        <v>Buyende</v>
      </c>
      <c r="H1219" s="78" t="s">
        <v>621</v>
      </c>
    </row>
    <row r="1220" spans="1:8">
      <c r="A1220" s="77">
        <v>1503</v>
      </c>
      <c r="B1220" s="78" t="s">
        <v>856</v>
      </c>
      <c r="C1220" s="78" t="s">
        <v>857</v>
      </c>
      <c r="D1220" s="78" t="s">
        <v>868</v>
      </c>
      <c r="E1220" s="78"/>
      <c r="F1220" s="71" t="str">
        <f t="shared" si="73"/>
        <v>Nkooko</v>
      </c>
      <c r="G1220" s="71" t="str">
        <f t="shared" si="69"/>
        <v>Kakumiro</v>
      </c>
      <c r="H1220" s="78" t="s">
        <v>868</v>
      </c>
    </row>
    <row r="1221" spans="1:8">
      <c r="A1221" s="77">
        <v>457</v>
      </c>
      <c r="B1221" s="78" t="s">
        <v>2012</v>
      </c>
      <c r="C1221" s="78" t="s">
        <v>2013</v>
      </c>
      <c r="D1221" s="78" t="s">
        <v>2024</v>
      </c>
      <c r="E1221" s="78"/>
      <c r="F1221" s="71" t="str">
        <f t="shared" si="73"/>
        <v>Nkozi</v>
      </c>
      <c r="G1221" s="71" t="str">
        <f t="shared" si="69"/>
        <v>Mpigi</v>
      </c>
      <c r="H1221" s="78" t="s">
        <v>2024</v>
      </c>
    </row>
    <row r="1222" spans="1:8">
      <c r="A1222" s="77">
        <v>1393</v>
      </c>
      <c r="B1222" s="78" t="s">
        <v>1548</v>
      </c>
      <c r="C1222" s="78" t="s">
        <v>1549</v>
      </c>
      <c r="D1222" s="78" t="s">
        <v>1575</v>
      </c>
      <c r="E1222" s="78"/>
      <c r="F1222" s="71" t="str">
        <f t="shared" si="73"/>
        <v>Nkungu</v>
      </c>
      <c r="G1222" s="71" t="str">
        <f t="shared" si="69"/>
        <v>Kiruhura</v>
      </c>
      <c r="H1222" s="78" t="s">
        <v>1575</v>
      </c>
    </row>
    <row r="1223" spans="1:8">
      <c r="A1223" s="77">
        <v>1449</v>
      </c>
      <c r="B1223" s="78" t="s">
        <v>2197</v>
      </c>
      <c r="C1223" s="78" t="s">
        <v>2197</v>
      </c>
      <c r="D1223" s="78" t="s">
        <v>2204</v>
      </c>
      <c r="E1223" s="78"/>
      <c r="F1223" s="71" t="str">
        <f t="shared" si="73"/>
        <v>Nombe</v>
      </c>
      <c r="G1223" s="71" t="str">
        <f t="shared" si="69"/>
        <v>Ntoroko</v>
      </c>
      <c r="H1223" s="78" t="s">
        <v>2204</v>
      </c>
    </row>
    <row r="1224" spans="1:8" ht="25.5">
      <c r="A1224" s="77">
        <v>1233</v>
      </c>
      <c r="B1224" s="78" t="s">
        <v>1593</v>
      </c>
      <c r="C1224" s="79" t="s">
        <v>1599</v>
      </c>
      <c r="D1224" s="78" t="s">
        <v>2883</v>
      </c>
      <c r="E1224" s="78"/>
      <c r="F1224" s="72" t="str">
        <f>VLOOKUP(C1224,[2]Municipalities!$C$9:$F$1522,4,FALSE)</f>
        <v>Kisoro Municipality</v>
      </c>
      <c r="G1224" s="71" t="str">
        <f t="shared" si="69"/>
        <v>Kisoro</v>
      </c>
      <c r="H1224" s="78" t="s">
        <v>2883</v>
      </c>
    </row>
    <row r="1225" spans="1:8" ht="25.5">
      <c r="A1225" s="77">
        <v>96</v>
      </c>
      <c r="B1225" s="78" t="s">
        <v>279</v>
      </c>
      <c r="C1225" s="79" t="s">
        <v>1995</v>
      </c>
      <c r="D1225" s="82" t="s">
        <v>2884</v>
      </c>
      <c r="E1225" s="78"/>
      <c r="F1225" s="72" t="str">
        <f>VLOOKUP(C1225,[2]Municipalities!$C$9:$F$1522,4,FALSE)</f>
        <v>Moroto Municipality</v>
      </c>
      <c r="G1225" s="71" t="str">
        <f t="shared" si="69"/>
        <v>Moroto</v>
      </c>
      <c r="H1225" s="82" t="s">
        <v>2884</v>
      </c>
    </row>
    <row r="1226" spans="1:8" ht="25.5">
      <c r="A1226" s="77">
        <v>704</v>
      </c>
      <c r="B1226" s="78" t="s">
        <v>688</v>
      </c>
      <c r="C1226" s="79" t="s">
        <v>694</v>
      </c>
      <c r="D1226" s="82" t="s">
        <v>2884</v>
      </c>
      <c r="E1226" s="78"/>
      <c r="F1226" s="72" t="str">
        <f>VLOOKUP(C1226,[2]Municipalities!$C$9:$F$1522,4,FALSE)</f>
        <v>Iganga Municipality</v>
      </c>
      <c r="G1226" s="71" t="str">
        <f t="shared" ref="G1226:G1289" si="74">B1226</f>
        <v>Iganga</v>
      </c>
      <c r="H1226" s="82" t="s">
        <v>2884</v>
      </c>
    </row>
    <row r="1227" spans="1:8" ht="25.5">
      <c r="A1227" s="77">
        <v>737</v>
      </c>
      <c r="B1227" s="78" t="s">
        <v>1376</v>
      </c>
      <c r="C1227" s="79" t="s">
        <v>1382</v>
      </c>
      <c r="D1227" s="82" t="s">
        <v>2884</v>
      </c>
      <c r="E1227" s="78"/>
      <c r="F1227" s="72" t="str">
        <f>VLOOKUP(C1227,[2]Municipalities!$C$9:$F$1522,4,FALSE)</f>
        <v>Kamuli Municipality</v>
      </c>
      <c r="G1227" s="71" t="str">
        <f t="shared" si="74"/>
        <v>Kamuli</v>
      </c>
      <c r="H1227" s="82" t="s">
        <v>2884</v>
      </c>
    </row>
    <row r="1228" spans="1:8" ht="25.5">
      <c r="A1228" s="77">
        <v>794</v>
      </c>
      <c r="B1228" s="78" t="s">
        <v>228</v>
      </c>
      <c r="C1228" s="79" t="s">
        <v>1901</v>
      </c>
      <c r="D1228" s="82" t="s">
        <v>2884</v>
      </c>
      <c r="E1228" s="78"/>
      <c r="F1228" s="72" t="str">
        <f>VLOOKUP(C1228,[2]Municipalities!$C$9:$F$1522,4,FALSE)</f>
        <v>Mbale Municipality</v>
      </c>
      <c r="G1228" s="71" t="str">
        <f t="shared" si="74"/>
        <v>Mbale</v>
      </c>
      <c r="H1228" s="82" t="s">
        <v>2884</v>
      </c>
    </row>
    <row r="1229" spans="1:8" ht="25.5">
      <c r="A1229" s="77">
        <v>815</v>
      </c>
      <c r="B1229" s="78" t="s">
        <v>2433</v>
      </c>
      <c r="C1229" s="79" t="s">
        <v>2438</v>
      </c>
      <c r="D1229" s="82" t="s">
        <v>2884</v>
      </c>
      <c r="E1229" s="78"/>
      <c r="F1229" s="72" t="str">
        <f>VLOOKUP(C1229,[2]Municipalities!$C$9:$F$1522,4,FALSE)</f>
        <v>Soroti Municipality</v>
      </c>
      <c r="G1229" s="71" t="str">
        <f t="shared" si="74"/>
        <v>Soroti</v>
      </c>
      <c r="H1229" s="82" t="s">
        <v>2884</v>
      </c>
    </row>
    <row r="1230" spans="1:8" ht="25.5">
      <c r="A1230" s="77">
        <v>1150</v>
      </c>
      <c r="B1230" s="78" t="s">
        <v>786</v>
      </c>
      <c r="C1230" s="79" t="s">
        <v>789</v>
      </c>
      <c r="D1230" s="82" t="s">
        <v>2884</v>
      </c>
      <c r="E1230" s="78"/>
      <c r="F1230" s="72" t="str">
        <f>VLOOKUP(C1230,[2]Municipalities!$C$9:$F$1522,4,FALSE)</f>
        <v>Kabale Municipality</v>
      </c>
      <c r="G1230" s="71" t="str">
        <f t="shared" si="74"/>
        <v>Kabale</v>
      </c>
      <c r="H1230" s="82" t="s">
        <v>2884</v>
      </c>
    </row>
    <row r="1231" spans="1:8" ht="25.5">
      <c r="A1231" s="77">
        <v>204</v>
      </c>
      <c r="B1231" s="78" t="s">
        <v>1622</v>
      </c>
      <c r="C1231" s="79" t="s">
        <v>1624</v>
      </c>
      <c r="D1231" s="82" t="s">
        <v>2885</v>
      </c>
      <c r="E1231" s="78"/>
      <c r="F1231" s="72" t="str">
        <f>VLOOKUP(C1231,[2]Municipalities!$C$9:$F$1522,4,FALSE)</f>
        <v>Koboko Municipality</v>
      </c>
      <c r="G1231" s="71" t="str">
        <f t="shared" si="74"/>
        <v>Koboko</v>
      </c>
      <c r="H1231" s="82" t="s">
        <v>2885</v>
      </c>
    </row>
    <row r="1232" spans="1:8">
      <c r="A1232" s="77">
        <v>769</v>
      </c>
      <c r="B1232" s="78" t="s">
        <v>1644</v>
      </c>
      <c r="C1232" s="79" t="s">
        <v>1646</v>
      </c>
      <c r="D1232" s="82" t="s">
        <v>2885</v>
      </c>
      <c r="E1232" s="78"/>
      <c r="F1232" s="72" t="str">
        <f>VLOOKUP(C1232,[2]Municipalities!$C$9:$F$1522,4,FALSE)</f>
        <v>Kumi Municipality</v>
      </c>
      <c r="G1232" s="71" t="str">
        <f t="shared" si="74"/>
        <v>Kumi</v>
      </c>
      <c r="H1232" s="82" t="s">
        <v>2885</v>
      </c>
    </row>
    <row r="1233" spans="1:8">
      <c r="A1233" s="77">
        <v>645</v>
      </c>
      <c r="B1233" s="78" t="s">
        <v>1664</v>
      </c>
      <c r="C1233" s="78" t="s">
        <v>1525</v>
      </c>
      <c r="D1233" s="78" t="s">
        <v>1333</v>
      </c>
      <c r="E1233" s="78"/>
      <c r="F1233" s="71" t="str">
        <f t="shared" ref="F1233:F1282" si="75">D1233</f>
        <v>Nsambya</v>
      </c>
      <c r="G1233" s="71" t="str">
        <f t="shared" si="74"/>
        <v>Kyankwanzi</v>
      </c>
      <c r="H1233" s="78" t="s">
        <v>1333</v>
      </c>
    </row>
    <row r="1234" spans="1:8">
      <c r="A1234" s="77">
        <v>1410</v>
      </c>
      <c r="B1234" s="78" t="s">
        <v>418</v>
      </c>
      <c r="C1234" s="78" t="s">
        <v>418</v>
      </c>
      <c r="D1234" s="78" t="s">
        <v>424</v>
      </c>
      <c r="E1234" s="78"/>
      <c r="F1234" s="71" t="str">
        <f t="shared" si="75"/>
        <v>Nsiika Town Council</v>
      </c>
      <c r="G1234" s="71" t="str">
        <f t="shared" si="74"/>
        <v>Buhweju</v>
      </c>
      <c r="H1234" s="78" t="s">
        <v>424</v>
      </c>
    </row>
    <row r="1235" spans="1:8">
      <c r="A1235" s="77">
        <v>996</v>
      </c>
      <c r="B1235" s="78" t="s">
        <v>2163</v>
      </c>
      <c r="C1235" s="78" t="s">
        <v>2164</v>
      </c>
      <c r="D1235" s="78" t="s">
        <v>2170</v>
      </c>
      <c r="E1235" s="78"/>
      <c r="F1235" s="71" t="str">
        <f t="shared" si="75"/>
        <v>Nsinze</v>
      </c>
      <c r="G1235" s="71" t="str">
        <f t="shared" si="74"/>
        <v>Namutumba</v>
      </c>
      <c r="H1235" s="78" t="s">
        <v>2170</v>
      </c>
    </row>
    <row r="1236" spans="1:8">
      <c r="A1236" s="77">
        <v>1111</v>
      </c>
      <c r="B1236" s="78" t="s">
        <v>499</v>
      </c>
      <c r="C1236" s="78" t="s">
        <v>503</v>
      </c>
      <c r="D1236" s="78" t="s">
        <v>517</v>
      </c>
      <c r="E1236" s="78"/>
      <c r="F1236" s="71" t="str">
        <f t="shared" si="75"/>
        <v>Ntandi Town Council</v>
      </c>
      <c r="G1236" s="71" t="str">
        <f t="shared" si="74"/>
        <v>Bundibugyo</v>
      </c>
      <c r="H1236" s="78" t="s">
        <v>517</v>
      </c>
    </row>
    <row r="1237" spans="1:8">
      <c r="A1237" s="77">
        <v>1311</v>
      </c>
      <c r="B1237" s="78" t="s">
        <v>50</v>
      </c>
      <c r="C1237" s="78" t="s">
        <v>1394</v>
      </c>
      <c r="D1237" s="78" t="s">
        <v>1412</v>
      </c>
      <c r="E1237" s="78"/>
      <c r="F1237" s="71" t="str">
        <f t="shared" si="75"/>
        <v>Ntara</v>
      </c>
      <c r="G1237" s="71" t="str">
        <f t="shared" si="74"/>
        <v>Kamwenge</v>
      </c>
      <c r="H1237" s="78" t="s">
        <v>1412</v>
      </c>
    </row>
    <row r="1238" spans="1:8">
      <c r="A1238" s="77">
        <v>484</v>
      </c>
      <c r="B1238" s="78" t="s">
        <v>2053</v>
      </c>
      <c r="C1238" s="78" t="s">
        <v>2053</v>
      </c>
      <c r="D1238" s="78" t="s">
        <v>1499</v>
      </c>
      <c r="E1238" s="78"/>
      <c r="F1238" s="71" t="str">
        <f t="shared" si="75"/>
        <v>Ntenjeru</v>
      </c>
      <c r="G1238" s="71" t="str">
        <f t="shared" si="74"/>
        <v>Mukono</v>
      </c>
      <c r="H1238" s="78" t="s">
        <v>1499</v>
      </c>
    </row>
    <row r="1239" spans="1:8">
      <c r="A1239" s="77">
        <v>1106</v>
      </c>
      <c r="B1239" s="78" t="s">
        <v>499</v>
      </c>
      <c r="C1239" s="78" t="s">
        <v>503</v>
      </c>
      <c r="D1239" s="78" t="s">
        <v>518</v>
      </c>
      <c r="E1239" s="78"/>
      <c r="F1239" s="71" t="str">
        <f t="shared" si="75"/>
        <v>Ntotoro</v>
      </c>
      <c r="G1239" s="71" t="str">
        <f t="shared" si="74"/>
        <v>Bundibugyo</v>
      </c>
      <c r="H1239" s="78" t="s">
        <v>518</v>
      </c>
    </row>
    <row r="1240" spans="1:8">
      <c r="A1240" s="77">
        <v>491</v>
      </c>
      <c r="B1240" s="78" t="s">
        <v>2053</v>
      </c>
      <c r="C1240" s="78" t="s">
        <v>2054</v>
      </c>
      <c r="D1240" s="78" t="s">
        <v>2084</v>
      </c>
      <c r="E1240" s="78"/>
      <c r="F1240" s="71" t="str">
        <f t="shared" si="75"/>
        <v>Ntunda</v>
      </c>
      <c r="G1240" s="71" t="str">
        <f t="shared" si="74"/>
        <v>Mukono</v>
      </c>
      <c r="H1240" s="78" t="s">
        <v>2084</v>
      </c>
    </row>
    <row r="1241" spans="1:8">
      <c r="A1241" s="77">
        <v>1272</v>
      </c>
      <c r="B1241" s="78" t="s">
        <v>52</v>
      </c>
      <c r="C1241" s="78" t="s">
        <v>2211</v>
      </c>
      <c r="D1241" s="78" t="s">
        <v>52</v>
      </c>
      <c r="E1241" s="78"/>
      <c r="F1241" s="71" t="str">
        <f t="shared" si="75"/>
        <v>Ntungamo</v>
      </c>
      <c r="G1241" s="71" t="str">
        <f t="shared" si="74"/>
        <v>Ntungamo</v>
      </c>
      <c r="H1241" s="78" t="s">
        <v>52</v>
      </c>
    </row>
    <row r="1242" spans="1:8">
      <c r="A1242" s="77">
        <v>516</v>
      </c>
      <c r="B1242" s="78" t="s">
        <v>2442</v>
      </c>
      <c r="C1242" s="78" t="s">
        <v>2445</v>
      </c>
      <c r="D1242" s="78" t="s">
        <v>2449</v>
      </c>
      <c r="E1242" s="78"/>
      <c r="F1242" s="71" t="str">
        <f t="shared" si="75"/>
        <v>Ntuusi</v>
      </c>
      <c r="G1242" s="71" t="str">
        <f t="shared" si="74"/>
        <v>Ssembabule</v>
      </c>
      <c r="H1242" s="78" t="s">
        <v>2449</v>
      </c>
    </row>
    <row r="1243" spans="1:8">
      <c r="A1243" s="77">
        <v>646</v>
      </c>
      <c r="B1243" s="78" t="s">
        <v>1664</v>
      </c>
      <c r="C1243" s="78" t="s">
        <v>1525</v>
      </c>
      <c r="D1243" s="78" t="s">
        <v>1693</v>
      </c>
      <c r="E1243" s="78"/>
      <c r="F1243" s="71" t="str">
        <f t="shared" si="75"/>
        <v>Ntwetwe</v>
      </c>
      <c r="G1243" s="71" t="str">
        <f t="shared" si="74"/>
        <v>Kyankwanzi</v>
      </c>
      <c r="H1243" s="78" t="s">
        <v>1693</v>
      </c>
    </row>
    <row r="1244" spans="1:8">
      <c r="A1244" s="77">
        <v>647</v>
      </c>
      <c r="B1244" s="78" t="s">
        <v>1664</v>
      </c>
      <c r="C1244" s="78" t="s">
        <v>1525</v>
      </c>
      <c r="D1244" s="78" t="s">
        <v>1694</v>
      </c>
      <c r="E1244" s="78"/>
      <c r="F1244" s="71" t="str">
        <f t="shared" si="75"/>
        <v>Ntwetwe Town Council</v>
      </c>
      <c r="G1244" s="71" t="str">
        <f t="shared" si="74"/>
        <v>Kyankwanzi</v>
      </c>
      <c r="H1244" s="78" t="s">
        <v>1694</v>
      </c>
    </row>
    <row r="1245" spans="1:8">
      <c r="A1245" s="77">
        <v>1312</v>
      </c>
      <c r="B1245" s="78" t="s">
        <v>50</v>
      </c>
      <c r="C1245" s="78" t="s">
        <v>1394</v>
      </c>
      <c r="D1245" s="78" t="s">
        <v>1413</v>
      </c>
      <c r="E1245" s="78"/>
      <c r="F1245" s="71" t="str">
        <f t="shared" si="75"/>
        <v>Nyabbani</v>
      </c>
      <c r="G1245" s="71" t="str">
        <f t="shared" si="74"/>
        <v>Kamwenge</v>
      </c>
      <c r="H1245" s="78" t="s">
        <v>1413</v>
      </c>
    </row>
    <row r="1246" spans="1:8">
      <c r="A1246" s="77">
        <v>1264</v>
      </c>
      <c r="B1246" s="78" t="s">
        <v>52</v>
      </c>
      <c r="C1246" s="78" t="s">
        <v>2208</v>
      </c>
      <c r="D1246" s="78" t="s">
        <v>2225</v>
      </c>
      <c r="E1246" s="78"/>
      <c r="F1246" s="71" t="str">
        <f t="shared" si="75"/>
        <v>Nyabihoko</v>
      </c>
      <c r="G1246" s="71" t="str">
        <f t="shared" si="74"/>
        <v>Ntungamo</v>
      </c>
      <c r="H1246" s="78" t="s">
        <v>2225</v>
      </c>
    </row>
    <row r="1247" spans="1:8">
      <c r="A1247" s="77">
        <v>1132</v>
      </c>
      <c r="B1247" s="78" t="s">
        <v>39</v>
      </c>
      <c r="C1247" s="78" t="s">
        <v>535</v>
      </c>
      <c r="D1247" s="78" t="s">
        <v>551</v>
      </c>
      <c r="E1247" s="78"/>
      <c r="F1247" s="71" t="str">
        <f t="shared" si="75"/>
        <v>Nyabubare</v>
      </c>
      <c r="G1247" s="71" t="str">
        <f t="shared" si="74"/>
        <v>Bushenyi</v>
      </c>
      <c r="H1247" s="78" t="s">
        <v>551</v>
      </c>
    </row>
    <row r="1248" spans="1:8">
      <c r="A1248" s="77">
        <v>1343</v>
      </c>
      <c r="B1248" s="78" t="s">
        <v>1709</v>
      </c>
      <c r="C1248" s="78" t="s">
        <v>1710</v>
      </c>
      <c r="D1248" s="78" t="s">
        <v>1725</v>
      </c>
      <c r="E1248" s="78"/>
      <c r="F1248" s="71" t="str">
        <f t="shared" si="75"/>
        <v>Nyabuharwa</v>
      </c>
      <c r="G1248" s="71" t="str">
        <f t="shared" si="74"/>
        <v>Kyenjojo</v>
      </c>
      <c r="H1248" s="78" t="s">
        <v>1725</v>
      </c>
    </row>
    <row r="1249" spans="1:8">
      <c r="A1249" s="77">
        <v>1225</v>
      </c>
      <c r="B1249" s="78" t="s">
        <v>1593</v>
      </c>
      <c r="C1249" s="78" t="s">
        <v>1594</v>
      </c>
      <c r="D1249" s="78" t="s">
        <v>1603</v>
      </c>
      <c r="E1249" s="78"/>
      <c r="F1249" s="71" t="str">
        <f t="shared" si="75"/>
        <v>Nyabwishenya</v>
      </c>
      <c r="G1249" s="71" t="str">
        <f t="shared" si="74"/>
        <v>Kisoro</v>
      </c>
      <c r="H1249" s="78" t="s">
        <v>1603</v>
      </c>
    </row>
    <row r="1250" spans="1:8">
      <c r="A1250" s="77">
        <v>209</v>
      </c>
      <c r="B1250" s="78" t="s">
        <v>1834</v>
      </c>
      <c r="C1250" s="78" t="s">
        <v>1834</v>
      </c>
      <c r="D1250" s="78" t="s">
        <v>1836</v>
      </c>
      <c r="E1250" s="78"/>
      <c r="F1250" s="71" t="str">
        <f t="shared" si="75"/>
        <v>Nyadri</v>
      </c>
      <c r="G1250" s="71" t="str">
        <f t="shared" si="74"/>
        <v>Maracha</v>
      </c>
      <c r="H1250" s="78" t="s">
        <v>1836</v>
      </c>
    </row>
    <row r="1251" spans="1:8">
      <c r="A1251" s="77">
        <v>1120</v>
      </c>
      <c r="B1251" s="78" t="s">
        <v>499</v>
      </c>
      <c r="C1251" s="78" t="s">
        <v>500</v>
      </c>
      <c r="D1251" s="78" t="s">
        <v>519</v>
      </c>
      <c r="E1251" s="78"/>
      <c r="F1251" s="71" t="str">
        <f t="shared" si="75"/>
        <v>Nyahuka Town Council</v>
      </c>
      <c r="G1251" s="71" t="str">
        <f t="shared" si="74"/>
        <v>Bundibugyo</v>
      </c>
      <c r="H1251" s="78" t="s">
        <v>519</v>
      </c>
    </row>
    <row r="1252" spans="1:8">
      <c r="A1252" s="77">
        <v>1226</v>
      </c>
      <c r="B1252" s="78" t="s">
        <v>1593</v>
      </c>
      <c r="C1252" s="78" t="s">
        <v>1594</v>
      </c>
      <c r="D1252" s="78" t="s">
        <v>1604</v>
      </c>
      <c r="E1252" s="78"/>
      <c r="F1252" s="71" t="str">
        <f t="shared" si="75"/>
        <v>Nyakabande</v>
      </c>
      <c r="G1252" s="71" t="str">
        <f t="shared" si="74"/>
        <v>Kisoro</v>
      </c>
      <c r="H1252" s="78" t="s">
        <v>1604</v>
      </c>
    </row>
    <row r="1253" spans="1:8" ht="25.5">
      <c r="A1253" s="77">
        <v>1124</v>
      </c>
      <c r="B1253" s="78" t="s">
        <v>39</v>
      </c>
      <c r="C1253" s="79" t="s">
        <v>537</v>
      </c>
      <c r="D1253" s="78" t="s">
        <v>2886</v>
      </c>
      <c r="E1253" s="78"/>
      <c r="F1253" s="72" t="str">
        <f>VLOOKUP(C1253,[2]Municipalities!$C$9:$F$1522,4,FALSE)</f>
        <v>Bushenyi-Ishaka Municipality</v>
      </c>
      <c r="G1253" s="71" t="str">
        <f t="shared" si="74"/>
        <v>Bushenyi</v>
      </c>
      <c r="H1253" s="78" t="s">
        <v>2886</v>
      </c>
    </row>
    <row r="1254" spans="1:8">
      <c r="A1254" s="77">
        <v>1292</v>
      </c>
      <c r="B1254" s="78" t="s">
        <v>41</v>
      </c>
      <c r="C1254" s="78" t="s">
        <v>2359</v>
      </c>
      <c r="D1254" s="78" t="s">
        <v>2369</v>
      </c>
      <c r="E1254" s="78"/>
      <c r="F1254" s="71" t="str">
        <f t="shared" si="75"/>
        <v>Nyakagyeme</v>
      </c>
      <c r="G1254" s="71" t="str">
        <f t="shared" si="74"/>
        <v>Rukungiri</v>
      </c>
      <c r="H1254" s="78" t="s">
        <v>2369</v>
      </c>
    </row>
    <row r="1255" spans="1:8">
      <c r="A1255" s="77">
        <v>1402</v>
      </c>
      <c r="B1255" s="78" t="s">
        <v>1548</v>
      </c>
      <c r="C1255" s="78" t="s">
        <v>1554</v>
      </c>
      <c r="D1255" s="78" t="s">
        <v>1576</v>
      </c>
      <c r="E1255" s="78"/>
      <c r="F1255" s="71" t="str">
        <f t="shared" si="75"/>
        <v>Nyakashashara</v>
      </c>
      <c r="G1255" s="71" t="str">
        <f t="shared" si="74"/>
        <v>Kiruhura</v>
      </c>
      <c r="H1255" s="78" t="s">
        <v>1576</v>
      </c>
    </row>
    <row r="1256" spans="1:8">
      <c r="A1256" s="77">
        <v>1189</v>
      </c>
      <c r="B1256" s="78" t="s">
        <v>37</v>
      </c>
      <c r="C1256" s="78" t="s">
        <v>502</v>
      </c>
      <c r="D1256" s="78" t="s">
        <v>1484</v>
      </c>
      <c r="E1256" s="78"/>
      <c r="F1256" s="71" t="str">
        <f t="shared" si="75"/>
        <v>Nyakatonzi</v>
      </c>
      <c r="G1256" s="71" t="str">
        <f t="shared" si="74"/>
        <v>Kasese</v>
      </c>
      <c r="H1256" s="78" t="s">
        <v>1484</v>
      </c>
    </row>
    <row r="1257" spans="1:8" ht="25.5">
      <c r="A1257" s="77">
        <v>1256</v>
      </c>
      <c r="B1257" s="78" t="s">
        <v>230</v>
      </c>
      <c r="C1257" s="79" t="s">
        <v>1921</v>
      </c>
      <c r="D1257" s="78" t="s">
        <v>2887</v>
      </c>
      <c r="E1257" s="78"/>
      <c r="F1257" s="72" t="str">
        <f>VLOOKUP(C1257,[2]Municipalities!$C$9:$F$1522,4,FALSE)</f>
        <v>Mbarara Municipality</v>
      </c>
      <c r="G1257" s="71" t="str">
        <f t="shared" si="74"/>
        <v>Mbarara</v>
      </c>
      <c r="H1257" s="78" t="s">
        <v>2887</v>
      </c>
    </row>
    <row r="1258" spans="1:8">
      <c r="A1258" s="77">
        <v>1227</v>
      </c>
      <c r="B1258" s="78" t="s">
        <v>1593</v>
      </c>
      <c r="C1258" s="78" t="s">
        <v>1594</v>
      </c>
      <c r="D1258" s="78" t="s">
        <v>1605</v>
      </c>
      <c r="E1258" s="78"/>
      <c r="F1258" s="71" t="str">
        <f t="shared" si="75"/>
        <v>Nyakinama</v>
      </c>
      <c r="G1258" s="71" t="str">
        <f t="shared" si="74"/>
        <v>Kisoro</v>
      </c>
      <c r="H1258" s="78" t="s">
        <v>1605</v>
      </c>
    </row>
    <row r="1259" spans="1:8">
      <c r="A1259" s="77">
        <v>1325</v>
      </c>
      <c r="B1259" s="78" t="s">
        <v>1418</v>
      </c>
      <c r="C1259" s="78" t="s">
        <v>1419</v>
      </c>
      <c r="D1259" s="78" t="s">
        <v>1432</v>
      </c>
      <c r="E1259" s="78"/>
      <c r="F1259" s="71" t="str">
        <f t="shared" si="75"/>
        <v>Nyakinoni</v>
      </c>
      <c r="G1259" s="71" t="str">
        <f t="shared" si="74"/>
        <v>Kanungu</v>
      </c>
      <c r="H1259" s="78" t="s">
        <v>1432</v>
      </c>
    </row>
    <row r="1260" spans="1:8">
      <c r="A1260" s="77">
        <v>1411</v>
      </c>
      <c r="B1260" s="78" t="s">
        <v>418</v>
      </c>
      <c r="C1260" s="78" t="s">
        <v>418</v>
      </c>
      <c r="D1260" s="78" t="s">
        <v>427</v>
      </c>
      <c r="E1260" s="78"/>
      <c r="F1260" s="71" t="str">
        <f t="shared" si="75"/>
        <v>Nyakishana</v>
      </c>
      <c r="G1260" s="71" t="str">
        <f t="shared" si="74"/>
        <v>Buhweju</v>
      </c>
      <c r="H1260" s="78" t="s">
        <v>427</v>
      </c>
    </row>
    <row r="1261" spans="1:8">
      <c r="A1261" s="77">
        <v>1285</v>
      </c>
      <c r="B1261" s="78" t="s">
        <v>41</v>
      </c>
      <c r="C1261" s="78" t="s">
        <v>2364</v>
      </c>
      <c r="D1261" s="78" t="s">
        <v>2370</v>
      </c>
      <c r="E1261" s="78"/>
      <c r="F1261" s="71" t="str">
        <f t="shared" si="75"/>
        <v>Nyakishenyi</v>
      </c>
      <c r="G1261" s="71" t="str">
        <f t="shared" si="74"/>
        <v>Rukungiri</v>
      </c>
      <c r="H1261" s="78" t="s">
        <v>2370</v>
      </c>
    </row>
    <row r="1262" spans="1:8">
      <c r="A1262" s="77">
        <v>1383</v>
      </c>
      <c r="B1262" s="78" t="s">
        <v>53</v>
      </c>
      <c r="C1262" s="78" t="s">
        <v>53</v>
      </c>
      <c r="D1262" s="78" t="s">
        <v>743</v>
      </c>
      <c r="E1262" s="78"/>
      <c r="F1262" s="71" t="str">
        <f t="shared" si="75"/>
        <v>Nyakitunda</v>
      </c>
      <c r="G1262" s="71" t="str">
        <f t="shared" si="74"/>
        <v>Isingiro</v>
      </c>
      <c r="H1262" s="78" t="s">
        <v>743</v>
      </c>
    </row>
    <row r="1263" spans="1:8">
      <c r="A1263" s="77">
        <v>1190</v>
      </c>
      <c r="B1263" s="78" t="s">
        <v>37</v>
      </c>
      <c r="C1263" s="78" t="s">
        <v>502</v>
      </c>
      <c r="D1263" s="78" t="s">
        <v>1485</v>
      </c>
      <c r="E1263" s="78"/>
      <c r="F1263" s="71" t="str">
        <f t="shared" si="75"/>
        <v>Nyakiyumbu</v>
      </c>
      <c r="G1263" s="71" t="str">
        <f t="shared" si="74"/>
        <v>Kasese</v>
      </c>
      <c r="H1263" s="78" t="s">
        <v>1485</v>
      </c>
    </row>
    <row r="1264" spans="1:8">
      <c r="A1264" s="77">
        <v>156</v>
      </c>
      <c r="B1264" s="78" t="s">
        <v>241</v>
      </c>
      <c r="C1264" s="78" t="s">
        <v>242</v>
      </c>
      <c r="D1264" s="78" t="s">
        <v>247</v>
      </c>
      <c r="E1264" s="78"/>
      <c r="F1264" s="71" t="str">
        <f t="shared" si="75"/>
        <v>Nyakwae</v>
      </c>
      <c r="G1264" s="71" t="str">
        <f t="shared" si="74"/>
        <v>Abim</v>
      </c>
      <c r="H1264" s="78" t="s">
        <v>247</v>
      </c>
    </row>
    <row r="1265" spans="1:8">
      <c r="A1265" s="77">
        <v>1273</v>
      </c>
      <c r="B1265" s="78" t="s">
        <v>52</v>
      </c>
      <c r="C1265" s="78" t="s">
        <v>2211</v>
      </c>
      <c r="D1265" s="78" t="s">
        <v>2226</v>
      </c>
      <c r="E1265" s="78"/>
      <c r="F1265" s="71" t="str">
        <f t="shared" si="75"/>
        <v>Nyakyera</v>
      </c>
      <c r="G1265" s="71" t="str">
        <f t="shared" si="74"/>
        <v>Ntungamo</v>
      </c>
      <c r="H1265" s="78" t="s">
        <v>2226</v>
      </c>
    </row>
    <row r="1266" spans="1:8">
      <c r="A1266" s="77">
        <v>1360</v>
      </c>
      <c r="B1266" s="78" t="s">
        <v>44</v>
      </c>
      <c r="C1266" s="78" t="s">
        <v>44</v>
      </c>
      <c r="D1266" s="78" t="s">
        <v>682</v>
      </c>
      <c r="E1266" s="78"/>
      <c r="F1266" s="71" t="str">
        <f t="shared" si="75"/>
        <v>Nyamarebe</v>
      </c>
      <c r="G1266" s="71" t="str">
        <f t="shared" si="74"/>
        <v>Ibanda</v>
      </c>
      <c r="H1266" s="78" t="s">
        <v>682</v>
      </c>
    </row>
    <row r="1267" spans="1:8">
      <c r="A1267" s="77">
        <v>1214</v>
      </c>
      <c r="B1267" s="78" t="s">
        <v>1513</v>
      </c>
      <c r="C1267" s="78" t="s">
        <v>1514</v>
      </c>
      <c r="D1267" s="78" t="s">
        <v>1522</v>
      </c>
      <c r="E1267" s="78"/>
      <c r="F1267" s="71" t="str">
        <f t="shared" si="75"/>
        <v>Nyamarunda</v>
      </c>
      <c r="G1267" s="71" t="str">
        <f t="shared" si="74"/>
        <v>Kibaale</v>
      </c>
      <c r="H1267" s="78" t="s">
        <v>1522</v>
      </c>
    </row>
    <row r="1268" spans="1:8">
      <c r="A1268" s="77">
        <v>1215</v>
      </c>
      <c r="B1268" s="78" t="s">
        <v>1513</v>
      </c>
      <c r="C1268" s="78" t="s">
        <v>1514</v>
      </c>
      <c r="D1268" s="78" t="s">
        <v>1523</v>
      </c>
      <c r="E1268" s="78"/>
      <c r="F1268" s="71" t="str">
        <f t="shared" si="75"/>
        <v>Nyamarwa</v>
      </c>
      <c r="G1268" s="71" t="str">
        <f t="shared" si="74"/>
        <v>Kibaale</v>
      </c>
      <c r="H1268" s="78" t="s">
        <v>1523</v>
      </c>
    </row>
    <row r="1269" spans="1:8">
      <c r="A1269" s="77">
        <v>1326</v>
      </c>
      <c r="B1269" s="78" t="s">
        <v>1418</v>
      </c>
      <c r="C1269" s="78" t="s">
        <v>1419</v>
      </c>
      <c r="D1269" s="78" t="s">
        <v>1433</v>
      </c>
      <c r="E1269" s="78"/>
      <c r="F1269" s="71" t="str">
        <f t="shared" si="75"/>
        <v>Nyamirama</v>
      </c>
      <c r="G1269" s="71" t="str">
        <f t="shared" si="74"/>
        <v>Kanungu</v>
      </c>
      <c r="H1269" s="78" t="s">
        <v>1433</v>
      </c>
    </row>
    <row r="1270" spans="1:8" ht="25.5">
      <c r="A1270" s="77">
        <v>1253</v>
      </c>
      <c r="B1270" s="80" t="s">
        <v>230</v>
      </c>
      <c r="C1270" s="81" t="s">
        <v>1921</v>
      </c>
      <c r="D1270" s="80" t="s">
        <v>2888</v>
      </c>
      <c r="E1270" s="80"/>
      <c r="F1270" s="72" t="str">
        <f>VLOOKUP(C1270,[2]Municipalities!$C$9:$F$1522,4,FALSE)</f>
        <v>Mbarara Municipality</v>
      </c>
      <c r="G1270" s="71" t="str">
        <f t="shared" si="74"/>
        <v>Mbarara</v>
      </c>
      <c r="H1270" s="80" t="s">
        <v>2888</v>
      </c>
    </row>
    <row r="1271" spans="1:8">
      <c r="A1271" s="77">
        <v>1384</v>
      </c>
      <c r="B1271" s="78" t="s">
        <v>53</v>
      </c>
      <c r="C1271" s="78" t="s">
        <v>53</v>
      </c>
      <c r="D1271" s="78" t="s">
        <v>745</v>
      </c>
      <c r="E1271" s="78"/>
      <c r="F1271" s="71" t="str">
        <f t="shared" si="75"/>
        <v>Nyamuyanja</v>
      </c>
      <c r="G1271" s="71" t="str">
        <f t="shared" si="74"/>
        <v>Isingiro</v>
      </c>
      <c r="H1271" s="78" t="s">
        <v>745</v>
      </c>
    </row>
    <row r="1272" spans="1:8" ht="25.5">
      <c r="A1272" s="77">
        <v>1207</v>
      </c>
      <c r="B1272" s="80" t="s">
        <v>37</v>
      </c>
      <c r="C1272" s="81" t="s">
        <v>1462</v>
      </c>
      <c r="D1272" s="80" t="s">
        <v>2889</v>
      </c>
      <c r="E1272" s="80"/>
      <c r="F1272" s="72" t="str">
        <f>VLOOKUP(C1272,[2]Municipalities!$C$9:$F$1522,4,FALSE)</f>
        <v>Kasese Municipality</v>
      </c>
      <c r="G1272" s="71" t="str">
        <f t="shared" si="74"/>
        <v>Kasese</v>
      </c>
      <c r="H1272" s="80" t="s">
        <v>2889</v>
      </c>
    </row>
    <row r="1273" spans="1:8">
      <c r="A1273" s="77">
        <v>1512</v>
      </c>
      <c r="B1273" s="78" t="s">
        <v>793</v>
      </c>
      <c r="C1273" s="78" t="s">
        <v>793</v>
      </c>
      <c r="D1273" s="78" t="s">
        <v>2328</v>
      </c>
      <c r="E1273" s="78"/>
      <c r="F1273" s="71" t="str">
        <f t="shared" si="75"/>
        <v>Nyamweru</v>
      </c>
      <c r="G1273" s="71" t="str">
        <f t="shared" si="74"/>
        <v>Rubanda</v>
      </c>
      <c r="H1273" s="78" t="s">
        <v>2328</v>
      </c>
    </row>
    <row r="1274" spans="1:8">
      <c r="A1274" s="77">
        <v>1327</v>
      </c>
      <c r="B1274" s="78" t="s">
        <v>1418</v>
      </c>
      <c r="C1274" s="78" t="s">
        <v>1419</v>
      </c>
      <c r="D1274" s="78" t="s">
        <v>1434</v>
      </c>
      <c r="E1274" s="78"/>
      <c r="F1274" s="71" t="str">
        <f t="shared" si="75"/>
        <v>Nyanga</v>
      </c>
      <c r="G1274" s="71" t="str">
        <f t="shared" si="74"/>
        <v>Kanungu</v>
      </c>
      <c r="H1274" s="78" t="s">
        <v>1434</v>
      </c>
    </row>
    <row r="1275" spans="1:8" ht="25.5">
      <c r="A1275" s="77">
        <v>1242</v>
      </c>
      <c r="B1275" s="78" t="s">
        <v>1859</v>
      </c>
      <c r="C1275" s="79" t="s">
        <v>1865</v>
      </c>
      <c r="D1275" s="78" t="s">
        <v>2890</v>
      </c>
      <c r="E1275" s="78"/>
      <c r="F1275" s="72" t="str">
        <f>VLOOKUP(C1275,[2]Municipalities!$C$9:$F$1522,4,FALSE)</f>
        <v>Masindi Municipality</v>
      </c>
      <c r="G1275" s="71" t="str">
        <f t="shared" si="74"/>
        <v>Masindi</v>
      </c>
      <c r="H1275" s="78" t="s">
        <v>2890</v>
      </c>
    </row>
    <row r="1276" spans="1:8">
      <c r="A1276" s="77">
        <v>1344</v>
      </c>
      <c r="B1276" s="78" t="s">
        <v>1709</v>
      </c>
      <c r="C1276" s="78" t="s">
        <v>1710</v>
      </c>
      <c r="D1276" s="78" t="s">
        <v>1726</v>
      </c>
      <c r="E1276" s="78"/>
      <c r="F1276" s="71" t="str">
        <f t="shared" si="75"/>
        <v>Nyankwanzi</v>
      </c>
      <c r="G1276" s="71" t="str">
        <f t="shared" si="74"/>
        <v>Kyenjojo</v>
      </c>
      <c r="H1276" s="78" t="s">
        <v>1726</v>
      </c>
    </row>
    <row r="1277" spans="1:8">
      <c r="A1277" s="77">
        <v>1345</v>
      </c>
      <c r="B1277" s="78" t="s">
        <v>1709</v>
      </c>
      <c r="C1277" s="78" t="s">
        <v>1710</v>
      </c>
      <c r="D1277" s="78" t="s">
        <v>1727</v>
      </c>
      <c r="E1277" s="78"/>
      <c r="F1277" s="71" t="str">
        <f t="shared" si="75"/>
        <v>Nyantungo</v>
      </c>
      <c r="G1277" s="71" t="str">
        <f t="shared" si="74"/>
        <v>Kyenjojo</v>
      </c>
      <c r="H1277" s="78" t="s">
        <v>1727</v>
      </c>
    </row>
    <row r="1278" spans="1:8">
      <c r="A1278" s="77">
        <v>299</v>
      </c>
      <c r="B1278" s="78" t="s">
        <v>2726</v>
      </c>
      <c r="C1278" s="78" t="s">
        <v>2727</v>
      </c>
      <c r="D1278" s="78" t="s">
        <v>2731</v>
      </c>
      <c r="E1278" s="78"/>
      <c r="F1278" s="71" t="str">
        <f t="shared" si="75"/>
        <v>Nyapea</v>
      </c>
      <c r="G1278" s="71" t="str">
        <f t="shared" si="74"/>
        <v>Zombo</v>
      </c>
      <c r="H1278" s="78" t="s">
        <v>2731</v>
      </c>
    </row>
    <row r="1279" spans="1:8">
      <c r="A1279" s="77">
        <v>116</v>
      </c>
      <c r="B1279" s="78" t="s">
        <v>2182</v>
      </c>
      <c r="C1279" s="78" t="s">
        <v>2183</v>
      </c>
      <c r="D1279" s="78" t="s">
        <v>2189</v>
      </c>
      <c r="E1279" s="78"/>
      <c r="F1279" s="71" t="str">
        <f t="shared" si="75"/>
        <v>Nyaravur</v>
      </c>
      <c r="G1279" s="71" t="str">
        <f t="shared" si="74"/>
        <v>Nebbi</v>
      </c>
      <c r="H1279" s="78" t="s">
        <v>2189</v>
      </c>
    </row>
    <row r="1280" spans="1:8">
      <c r="A1280" s="77">
        <v>1228</v>
      </c>
      <c r="B1280" s="78" t="s">
        <v>1593</v>
      </c>
      <c r="C1280" s="78" t="s">
        <v>1594</v>
      </c>
      <c r="D1280" s="78" t="s">
        <v>1606</v>
      </c>
      <c r="E1280" s="78"/>
      <c r="F1280" s="71" t="str">
        <f t="shared" si="75"/>
        <v>Nyarubuye</v>
      </c>
      <c r="G1280" s="71" t="str">
        <f t="shared" si="74"/>
        <v>Kisoro</v>
      </c>
      <c r="H1280" s="78" t="s">
        <v>1606</v>
      </c>
    </row>
    <row r="1281" spans="1:8">
      <c r="A1281" s="77">
        <v>1286</v>
      </c>
      <c r="B1281" s="78" t="s">
        <v>41</v>
      </c>
      <c r="C1281" s="78" t="s">
        <v>2364</v>
      </c>
      <c r="D1281" s="78" t="s">
        <v>2371</v>
      </c>
      <c r="E1281" s="78"/>
      <c r="F1281" s="71" t="str">
        <f t="shared" si="75"/>
        <v>Nyarushanje</v>
      </c>
      <c r="G1281" s="71" t="str">
        <f t="shared" si="74"/>
        <v>Rukungiri</v>
      </c>
      <c r="H1281" s="78" t="s">
        <v>2371</v>
      </c>
    </row>
    <row r="1282" spans="1:8">
      <c r="A1282" s="77">
        <v>1229</v>
      </c>
      <c r="B1282" s="78" t="s">
        <v>1593</v>
      </c>
      <c r="C1282" s="78" t="s">
        <v>1594</v>
      </c>
      <c r="D1282" s="78" t="s">
        <v>1607</v>
      </c>
      <c r="E1282" s="78"/>
      <c r="F1282" s="71" t="str">
        <f t="shared" si="75"/>
        <v>Nyarusiza</v>
      </c>
      <c r="G1282" s="71" t="str">
        <f t="shared" si="74"/>
        <v>Kisoro</v>
      </c>
      <c r="H1282" s="78" t="s">
        <v>1607</v>
      </c>
    </row>
    <row r="1283" spans="1:8" ht="25.5">
      <c r="A1283" s="77">
        <v>450</v>
      </c>
      <c r="B1283" s="78" t="s">
        <v>40</v>
      </c>
      <c r="C1283" s="79" t="s">
        <v>1847</v>
      </c>
      <c r="D1283" s="82" t="s">
        <v>2891</v>
      </c>
      <c r="E1283" s="78"/>
      <c r="F1283" s="72" t="str">
        <f>VLOOKUP(C1283,[2]Municipalities!$C$9:$F$1522,4,FALSE)</f>
        <v>Masaka Municipality</v>
      </c>
      <c r="G1283" s="71" t="str">
        <f t="shared" si="74"/>
        <v>Masaka</v>
      </c>
      <c r="H1283" s="82" t="s">
        <v>2891</v>
      </c>
    </row>
    <row r="1284" spans="1:8">
      <c r="A1284" s="77">
        <v>604</v>
      </c>
      <c r="B1284" s="78" t="s">
        <v>429</v>
      </c>
      <c r="C1284" s="79" t="s">
        <v>443</v>
      </c>
      <c r="D1284" s="78" t="s">
        <v>2892</v>
      </c>
      <c r="E1284" s="78"/>
      <c r="F1284" s="72" t="str">
        <f>VLOOKUP(C1284,[2]Municipalities!$C$9:$F$1522,4,FALSE)</f>
        <v>Njeru Municipality</v>
      </c>
      <c r="G1284" s="71" t="str">
        <f t="shared" si="74"/>
        <v>Buikwe</v>
      </c>
      <c r="H1284" s="78" t="s">
        <v>2892</v>
      </c>
    </row>
    <row r="1285" spans="1:8">
      <c r="A1285" s="77">
        <v>767</v>
      </c>
      <c r="B1285" s="78" t="s">
        <v>1644</v>
      </c>
      <c r="C1285" s="78" t="s">
        <v>1644</v>
      </c>
      <c r="D1285" s="78" t="s">
        <v>1648</v>
      </c>
      <c r="E1285" s="78"/>
      <c r="F1285" s="71" t="str">
        <f t="shared" ref="F1285:F1340" si="76">D1285</f>
        <v>Nyero</v>
      </c>
      <c r="G1285" s="71" t="str">
        <f t="shared" si="74"/>
        <v>Kumi</v>
      </c>
      <c r="H1285" s="78" t="s">
        <v>1648</v>
      </c>
    </row>
    <row r="1286" spans="1:8">
      <c r="A1286" s="77">
        <v>440</v>
      </c>
      <c r="B1286" s="78" t="s">
        <v>1768</v>
      </c>
      <c r="C1286" s="78" t="s">
        <v>1770</v>
      </c>
      <c r="D1286" s="78" t="s">
        <v>1787</v>
      </c>
      <c r="E1286" s="78"/>
      <c r="F1286" s="71" t="str">
        <f t="shared" si="76"/>
        <v>Nyimbwa</v>
      </c>
      <c r="G1286" s="71" t="str">
        <f t="shared" si="74"/>
        <v>Luwero</v>
      </c>
      <c r="H1286" s="78" t="s">
        <v>1787</v>
      </c>
    </row>
    <row r="1287" spans="1:8">
      <c r="A1287" s="77">
        <v>789</v>
      </c>
      <c r="B1287" s="78" t="s">
        <v>228</v>
      </c>
      <c r="C1287" s="78" t="s">
        <v>1886</v>
      </c>
      <c r="D1287" s="78" t="s">
        <v>1908</v>
      </c>
      <c r="E1287" s="78"/>
      <c r="F1287" s="71" t="str">
        <f t="shared" si="76"/>
        <v>Nyondo</v>
      </c>
      <c r="G1287" s="71" t="str">
        <f t="shared" si="74"/>
        <v>Mbale</v>
      </c>
      <c r="H1287" s="78" t="s">
        <v>1908</v>
      </c>
    </row>
    <row r="1288" spans="1:8">
      <c r="A1288" s="77">
        <v>1230</v>
      </c>
      <c r="B1288" s="78" t="s">
        <v>1593</v>
      </c>
      <c r="C1288" s="78" t="s">
        <v>1594</v>
      </c>
      <c r="D1288" s="78" t="s">
        <v>1608</v>
      </c>
      <c r="E1288" s="78"/>
      <c r="F1288" s="71" t="str">
        <f t="shared" si="76"/>
        <v>Nyundo</v>
      </c>
      <c r="G1288" s="71" t="str">
        <f t="shared" si="74"/>
        <v>Kisoro</v>
      </c>
      <c r="H1288" s="78" t="s">
        <v>1608</v>
      </c>
    </row>
    <row r="1289" spans="1:8">
      <c r="A1289" s="77">
        <v>900</v>
      </c>
      <c r="B1289" s="78" t="s">
        <v>307</v>
      </c>
      <c r="C1289" s="78" t="s">
        <v>309</v>
      </c>
      <c r="D1289" s="78" t="s">
        <v>317</v>
      </c>
      <c r="E1289" s="78"/>
      <c r="F1289" s="71" t="str">
        <f t="shared" si="76"/>
        <v>Obalanga</v>
      </c>
      <c r="G1289" s="71" t="str">
        <f t="shared" si="74"/>
        <v>Amuria</v>
      </c>
      <c r="H1289" s="78" t="s">
        <v>317</v>
      </c>
    </row>
    <row r="1290" spans="1:8">
      <c r="A1290" s="77">
        <v>844</v>
      </c>
      <c r="B1290" s="78" t="s">
        <v>825</v>
      </c>
      <c r="C1290" s="78" t="s">
        <v>825</v>
      </c>
      <c r="D1290" s="78" t="s">
        <v>834</v>
      </c>
      <c r="E1290" s="78"/>
      <c r="F1290" s="71" t="str">
        <f t="shared" si="76"/>
        <v>Ochero</v>
      </c>
      <c r="G1290" s="71" t="str">
        <f t="shared" ref="G1290:G1353" si="77">B1290</f>
        <v>Kaberamaido</v>
      </c>
      <c r="H1290" s="78" t="s">
        <v>834</v>
      </c>
    </row>
    <row r="1291" spans="1:8">
      <c r="A1291" s="77">
        <v>309</v>
      </c>
      <c r="B1291" s="78" t="s">
        <v>287</v>
      </c>
      <c r="C1291" s="78" t="s">
        <v>287</v>
      </c>
      <c r="D1291" s="78" t="s">
        <v>2247</v>
      </c>
      <c r="E1291" s="78"/>
      <c r="F1291" s="71" t="str">
        <f t="shared" si="76"/>
        <v>Odek</v>
      </c>
      <c r="G1291" s="71" t="str">
        <f t="shared" si="77"/>
        <v>Omoro</v>
      </c>
      <c r="H1291" s="78" t="s">
        <v>2247</v>
      </c>
    </row>
    <row r="1292" spans="1:8">
      <c r="A1292" s="77">
        <v>148</v>
      </c>
      <c r="B1292" s="78" t="s">
        <v>2711</v>
      </c>
      <c r="C1292" s="78" t="s">
        <v>2712</v>
      </c>
      <c r="D1292" s="78" t="s">
        <v>2722</v>
      </c>
      <c r="E1292" s="78"/>
      <c r="F1292" s="71" t="str">
        <f t="shared" si="76"/>
        <v>Odravu</v>
      </c>
      <c r="G1292" s="71" t="str">
        <f t="shared" si="77"/>
        <v>Yumbe</v>
      </c>
      <c r="H1292" s="78" t="s">
        <v>2722</v>
      </c>
    </row>
    <row r="1293" spans="1:8">
      <c r="A1293" s="77">
        <v>44</v>
      </c>
      <c r="B1293" s="78" t="s">
        <v>344</v>
      </c>
      <c r="C1293" s="78" t="s">
        <v>347</v>
      </c>
      <c r="D1293" s="78" t="s">
        <v>362</v>
      </c>
      <c r="E1293" s="78"/>
      <c r="F1293" s="71" t="str">
        <f t="shared" si="76"/>
        <v>Odupi</v>
      </c>
      <c r="G1293" s="71" t="str">
        <f t="shared" si="77"/>
        <v>Arua</v>
      </c>
      <c r="H1293" s="78" t="s">
        <v>362</v>
      </c>
    </row>
    <row r="1294" spans="1:8">
      <c r="A1294" s="77">
        <v>33</v>
      </c>
      <c r="B1294" s="78" t="s">
        <v>344</v>
      </c>
      <c r="C1294" s="78" t="s">
        <v>351</v>
      </c>
      <c r="D1294" s="78" t="s">
        <v>363</v>
      </c>
      <c r="E1294" s="78"/>
      <c r="F1294" s="71" t="str">
        <f t="shared" si="76"/>
        <v>Offaka</v>
      </c>
      <c r="G1294" s="71" t="str">
        <f t="shared" si="77"/>
        <v>Arua</v>
      </c>
      <c r="H1294" s="78" t="s">
        <v>363</v>
      </c>
    </row>
    <row r="1295" spans="1:8">
      <c r="A1295" s="77">
        <v>7</v>
      </c>
      <c r="B1295" s="78" t="s">
        <v>249</v>
      </c>
      <c r="C1295" s="78" t="s">
        <v>250</v>
      </c>
      <c r="D1295" s="78" t="s">
        <v>256</v>
      </c>
      <c r="E1295" s="78"/>
      <c r="F1295" s="71" t="str">
        <f t="shared" si="76"/>
        <v>Ofua</v>
      </c>
      <c r="G1295" s="71" t="str">
        <f t="shared" si="77"/>
        <v>Adjumani</v>
      </c>
      <c r="H1295" s="78" t="s">
        <v>256</v>
      </c>
    </row>
    <row r="1296" spans="1:8">
      <c r="A1296" s="77">
        <v>34</v>
      </c>
      <c r="B1296" s="78" t="s">
        <v>344</v>
      </c>
      <c r="C1296" s="78" t="s">
        <v>351</v>
      </c>
      <c r="D1296" s="78" t="s">
        <v>364</v>
      </c>
      <c r="E1296" s="78"/>
      <c r="F1296" s="71" t="str">
        <f t="shared" si="76"/>
        <v>Ogoko</v>
      </c>
      <c r="G1296" s="71" t="str">
        <f t="shared" si="77"/>
        <v>Arua</v>
      </c>
      <c r="H1296" s="78" t="s">
        <v>364</v>
      </c>
    </row>
    <row r="1297" spans="1:8">
      <c r="A1297" s="77">
        <v>893</v>
      </c>
      <c r="B1297" s="78" t="s">
        <v>307</v>
      </c>
      <c r="C1297" s="78" t="s">
        <v>307</v>
      </c>
      <c r="D1297" s="78" t="s">
        <v>318</v>
      </c>
      <c r="E1297" s="78"/>
      <c r="F1297" s="71" t="str">
        <f t="shared" si="76"/>
        <v>Ogolai</v>
      </c>
      <c r="G1297" s="71" t="str">
        <f t="shared" si="77"/>
        <v>Amuria</v>
      </c>
      <c r="H1297" s="78" t="s">
        <v>318</v>
      </c>
    </row>
    <row r="1298" spans="1:8">
      <c r="A1298" s="77">
        <v>133</v>
      </c>
      <c r="B1298" s="78" t="s">
        <v>2274</v>
      </c>
      <c r="C1298" s="78" t="s">
        <v>2275</v>
      </c>
      <c r="D1298" s="78" t="s">
        <v>2282</v>
      </c>
      <c r="E1298" s="78"/>
      <c r="F1298" s="71" t="str">
        <f t="shared" si="76"/>
        <v>Ogom</v>
      </c>
      <c r="G1298" s="71" t="str">
        <f t="shared" si="77"/>
        <v>Pader</v>
      </c>
      <c r="H1298" s="78" t="s">
        <v>2282</v>
      </c>
    </row>
    <row r="1299" spans="1:8">
      <c r="A1299" s="77">
        <v>289</v>
      </c>
      <c r="B1299" s="78" t="s">
        <v>2251</v>
      </c>
      <c r="C1299" s="78" t="s">
        <v>2251</v>
      </c>
      <c r="D1299" s="78" t="s">
        <v>2253</v>
      </c>
      <c r="E1299" s="78"/>
      <c r="F1299" s="71" t="str">
        <f t="shared" si="76"/>
        <v>Ogor</v>
      </c>
      <c r="G1299" s="71" t="str">
        <f t="shared" si="77"/>
        <v>Otuke</v>
      </c>
      <c r="H1299" s="78" t="s">
        <v>2253</v>
      </c>
    </row>
    <row r="1300" spans="1:8">
      <c r="A1300" s="77">
        <v>87</v>
      </c>
      <c r="B1300" s="78" t="s">
        <v>213</v>
      </c>
      <c r="C1300" s="78" t="s">
        <v>1750</v>
      </c>
      <c r="D1300" s="78" t="s">
        <v>1758</v>
      </c>
      <c r="E1300" s="78"/>
      <c r="F1300" s="71" t="str">
        <f t="shared" si="76"/>
        <v>Ogur</v>
      </c>
      <c r="G1300" s="71" t="str">
        <f t="shared" si="77"/>
        <v>Lira</v>
      </c>
      <c r="H1300" s="78" t="s">
        <v>1758</v>
      </c>
    </row>
    <row r="1301" spans="1:8">
      <c r="A1301" s="77">
        <v>290</v>
      </c>
      <c r="B1301" s="78" t="s">
        <v>2251</v>
      </c>
      <c r="C1301" s="78" t="s">
        <v>2251</v>
      </c>
      <c r="D1301" s="78" t="s">
        <v>2254</v>
      </c>
      <c r="E1301" s="78"/>
      <c r="F1301" s="71" t="str">
        <f t="shared" si="76"/>
        <v>Ogwette</v>
      </c>
      <c r="G1301" s="71" t="str">
        <f t="shared" si="77"/>
        <v>Otuke</v>
      </c>
      <c r="H1301" s="78" t="s">
        <v>2254</v>
      </c>
    </row>
    <row r="1302" spans="1:8">
      <c r="A1302" s="77">
        <v>90</v>
      </c>
      <c r="B1302" s="78" t="s">
        <v>213</v>
      </c>
      <c r="C1302" s="79" t="s">
        <v>1756</v>
      </c>
      <c r="D1302" s="78" t="s">
        <v>2893</v>
      </c>
      <c r="E1302" s="78"/>
      <c r="F1302" s="72" t="str">
        <f>VLOOKUP(C1302,[2]Municipalities!$C$9:$F$1522,4,FALSE)</f>
        <v>Lira Municipality</v>
      </c>
      <c r="G1302" s="71" t="str">
        <f t="shared" si="77"/>
        <v>Lira</v>
      </c>
      <c r="H1302" s="78" t="s">
        <v>2893</v>
      </c>
    </row>
    <row r="1303" spans="1:8">
      <c r="A1303" s="77">
        <v>35</v>
      </c>
      <c r="B1303" s="78" t="s">
        <v>344</v>
      </c>
      <c r="C1303" s="78" t="s">
        <v>351</v>
      </c>
      <c r="D1303" s="78" t="s">
        <v>365</v>
      </c>
      <c r="E1303" s="78"/>
      <c r="F1303" s="71" t="str">
        <f t="shared" si="76"/>
        <v>Okollo</v>
      </c>
      <c r="G1303" s="71" t="str">
        <f t="shared" si="77"/>
        <v>Arua</v>
      </c>
      <c r="H1303" s="78" t="s">
        <v>365</v>
      </c>
    </row>
    <row r="1304" spans="1:8">
      <c r="A1304" s="77">
        <v>901</v>
      </c>
      <c r="B1304" s="78" t="s">
        <v>307</v>
      </c>
      <c r="C1304" s="78" t="s">
        <v>309</v>
      </c>
      <c r="D1304" s="78" t="s">
        <v>319</v>
      </c>
      <c r="E1304" s="78"/>
      <c r="F1304" s="71" t="str">
        <f t="shared" si="76"/>
        <v>Okungur</v>
      </c>
      <c r="G1304" s="71" t="str">
        <f t="shared" si="77"/>
        <v>Amuria</v>
      </c>
      <c r="H1304" s="78" t="s">
        <v>319</v>
      </c>
    </row>
    <row r="1305" spans="1:8">
      <c r="A1305" s="77">
        <v>182</v>
      </c>
      <c r="B1305" s="78" t="s">
        <v>623</v>
      </c>
      <c r="C1305" s="78" t="s">
        <v>623</v>
      </c>
      <c r="D1305" s="78" t="s">
        <v>631</v>
      </c>
      <c r="E1305" s="78"/>
      <c r="F1305" s="71" t="str">
        <f t="shared" si="76"/>
        <v>Okwalongwen</v>
      </c>
      <c r="G1305" s="71" t="str">
        <f t="shared" si="77"/>
        <v>Dokolo</v>
      </c>
      <c r="H1305" s="78" t="s">
        <v>631</v>
      </c>
    </row>
    <row r="1306" spans="1:8">
      <c r="A1306" s="77">
        <v>291</v>
      </c>
      <c r="B1306" s="78" t="s">
        <v>2251</v>
      </c>
      <c r="C1306" s="78" t="s">
        <v>2251</v>
      </c>
      <c r="D1306" s="78" t="s">
        <v>2255</v>
      </c>
      <c r="E1306" s="78"/>
      <c r="F1306" s="71" t="str">
        <f t="shared" si="76"/>
        <v>Okwang</v>
      </c>
      <c r="G1306" s="71" t="str">
        <f t="shared" si="77"/>
        <v>Otuke</v>
      </c>
      <c r="H1306" s="78" t="s">
        <v>2255</v>
      </c>
    </row>
    <row r="1307" spans="1:8">
      <c r="A1307" s="77">
        <v>262</v>
      </c>
      <c r="B1307" s="78" t="s">
        <v>1629</v>
      </c>
      <c r="C1307" s="78" t="s">
        <v>1629</v>
      </c>
      <c r="D1307" s="78" t="s">
        <v>1635</v>
      </c>
      <c r="E1307" s="78"/>
      <c r="F1307" s="71" t="str">
        <f t="shared" si="76"/>
        <v>Okwerodot</v>
      </c>
      <c r="G1307" s="71" t="str">
        <f t="shared" si="77"/>
        <v>Kole</v>
      </c>
      <c r="H1307" s="78" t="s">
        <v>1635</v>
      </c>
    </row>
    <row r="1308" spans="1:8">
      <c r="A1308" s="77">
        <v>183</v>
      </c>
      <c r="B1308" s="78" t="s">
        <v>623</v>
      </c>
      <c r="C1308" s="78" t="s">
        <v>623</v>
      </c>
      <c r="D1308" s="78" t="s">
        <v>632</v>
      </c>
      <c r="E1308" s="78"/>
      <c r="F1308" s="71" t="str">
        <f t="shared" si="76"/>
        <v>Okwongodul</v>
      </c>
      <c r="G1308" s="71" t="str">
        <f t="shared" si="77"/>
        <v>Dokolo</v>
      </c>
      <c r="H1308" s="78" t="s">
        <v>632</v>
      </c>
    </row>
    <row r="1309" spans="1:8">
      <c r="A1309" s="77">
        <v>210</v>
      </c>
      <c r="B1309" s="78" t="s">
        <v>1834</v>
      </c>
      <c r="C1309" s="78" t="s">
        <v>1834</v>
      </c>
      <c r="D1309" s="78" t="s">
        <v>1837</v>
      </c>
      <c r="E1309" s="78"/>
      <c r="F1309" s="71" t="str">
        <f t="shared" si="76"/>
        <v>Oleba</v>
      </c>
      <c r="G1309" s="71" t="str">
        <f t="shared" si="77"/>
        <v>Maracha</v>
      </c>
      <c r="H1309" s="78" t="s">
        <v>1837</v>
      </c>
    </row>
    <row r="1310" spans="1:8">
      <c r="A1310" s="77">
        <v>292</v>
      </c>
      <c r="B1310" s="78" t="s">
        <v>2251</v>
      </c>
      <c r="C1310" s="78" t="s">
        <v>2251</v>
      </c>
      <c r="D1310" s="78" t="s">
        <v>2256</v>
      </c>
      <c r="E1310" s="78"/>
      <c r="F1310" s="71" t="str">
        <f t="shared" si="76"/>
        <v>Olilim</v>
      </c>
      <c r="G1310" s="71" t="str">
        <f t="shared" si="77"/>
        <v>Otuke</v>
      </c>
      <c r="H1310" s="78" t="s">
        <v>2256</v>
      </c>
    </row>
    <row r="1311" spans="1:8">
      <c r="A1311" s="77">
        <v>1076</v>
      </c>
      <c r="B1311" s="78" t="s">
        <v>2377</v>
      </c>
      <c r="C1311" s="78" t="s">
        <v>2377</v>
      </c>
      <c r="D1311" s="78" t="s">
        <v>2385</v>
      </c>
      <c r="E1311" s="78"/>
      <c r="F1311" s="71" t="str">
        <f t="shared" si="76"/>
        <v>Olio</v>
      </c>
      <c r="G1311" s="71" t="str">
        <f t="shared" si="77"/>
        <v>Serere</v>
      </c>
      <c r="H1311" s="78" t="s">
        <v>2385</v>
      </c>
    </row>
    <row r="1312" spans="1:8">
      <c r="A1312" s="77">
        <v>798</v>
      </c>
      <c r="B1312" s="78" t="s">
        <v>2294</v>
      </c>
      <c r="C1312" s="78" t="s">
        <v>2294</v>
      </c>
      <c r="D1312" s="78" t="s">
        <v>2302</v>
      </c>
      <c r="E1312" s="78"/>
      <c r="F1312" s="71" t="str">
        <f t="shared" si="76"/>
        <v>Olok</v>
      </c>
      <c r="G1312" s="71" t="str">
        <f t="shared" si="77"/>
        <v>Pallisa</v>
      </c>
      <c r="H1312" s="78" t="s">
        <v>2302</v>
      </c>
    </row>
    <row r="1313" spans="1:8">
      <c r="A1313" s="77">
        <v>211</v>
      </c>
      <c r="B1313" s="78" t="s">
        <v>1834</v>
      </c>
      <c r="C1313" s="78" t="s">
        <v>1834</v>
      </c>
      <c r="D1313" s="78" t="s">
        <v>1838</v>
      </c>
      <c r="E1313" s="78"/>
      <c r="F1313" s="71" t="str">
        <f t="shared" si="76"/>
        <v>Oluffe</v>
      </c>
      <c r="G1313" s="71" t="str">
        <f t="shared" si="77"/>
        <v>Maracha</v>
      </c>
      <c r="H1313" s="78" t="s">
        <v>1838</v>
      </c>
    </row>
    <row r="1314" spans="1:8">
      <c r="A1314" s="77">
        <v>29</v>
      </c>
      <c r="B1314" s="78" t="s">
        <v>344</v>
      </c>
      <c r="C1314" s="78" t="s">
        <v>345</v>
      </c>
      <c r="D1314" s="78" t="s">
        <v>366</v>
      </c>
      <c r="E1314" s="78"/>
      <c r="F1314" s="71" t="str">
        <f t="shared" si="76"/>
        <v>Oluko</v>
      </c>
      <c r="G1314" s="71" t="str">
        <f t="shared" si="77"/>
        <v>Arua</v>
      </c>
      <c r="H1314" s="78" t="s">
        <v>366</v>
      </c>
    </row>
    <row r="1315" spans="1:8">
      <c r="A1315" s="77">
        <v>212</v>
      </c>
      <c r="B1315" s="78" t="s">
        <v>1834</v>
      </c>
      <c r="C1315" s="78" t="s">
        <v>1834</v>
      </c>
      <c r="D1315" s="78" t="s">
        <v>1839</v>
      </c>
      <c r="E1315" s="78"/>
      <c r="F1315" s="71" t="str">
        <f t="shared" si="76"/>
        <v>Oluvu</v>
      </c>
      <c r="G1315" s="71" t="str">
        <f t="shared" si="77"/>
        <v>Maracha</v>
      </c>
      <c r="H1315" s="78" t="s">
        <v>1839</v>
      </c>
    </row>
    <row r="1316" spans="1:8">
      <c r="A1316" s="77">
        <v>65</v>
      </c>
      <c r="B1316" s="78" t="s">
        <v>220</v>
      </c>
      <c r="C1316" s="78" t="s">
        <v>1611</v>
      </c>
      <c r="D1316" s="78" t="s">
        <v>1619</v>
      </c>
      <c r="E1316" s="78"/>
      <c r="F1316" s="71" t="str">
        <f t="shared" si="76"/>
        <v>Omiya Anyima</v>
      </c>
      <c r="G1316" s="71" t="str">
        <f t="shared" si="77"/>
        <v>Kitgum</v>
      </c>
      <c r="H1316" s="78" t="s">
        <v>1619</v>
      </c>
    </row>
    <row r="1317" spans="1:8">
      <c r="A1317" s="77">
        <v>236</v>
      </c>
      <c r="B1317" s="78" t="s">
        <v>261</v>
      </c>
      <c r="C1317" s="78" t="s">
        <v>261</v>
      </c>
      <c r="D1317" s="78" t="s">
        <v>270</v>
      </c>
      <c r="E1317" s="78"/>
      <c r="F1317" s="71" t="str">
        <f t="shared" si="76"/>
        <v>Omiya Pacwa</v>
      </c>
      <c r="G1317" s="71" t="str">
        <f t="shared" si="77"/>
        <v>Agago</v>
      </c>
      <c r="H1317" s="78" t="s">
        <v>270</v>
      </c>
    </row>
    <row r="1318" spans="1:8">
      <c r="A1318" s="77">
        <v>755</v>
      </c>
      <c r="B1318" s="78" t="s">
        <v>1488</v>
      </c>
      <c r="C1318" s="78" t="s">
        <v>1489</v>
      </c>
      <c r="D1318" s="78" t="s">
        <v>1494</v>
      </c>
      <c r="E1318" s="78"/>
      <c r="F1318" s="71" t="str">
        <f t="shared" si="76"/>
        <v>Omodoi</v>
      </c>
      <c r="G1318" s="71" t="str">
        <f t="shared" si="77"/>
        <v>Katakwi</v>
      </c>
      <c r="H1318" s="78" t="s">
        <v>1494</v>
      </c>
    </row>
    <row r="1319" spans="1:8">
      <c r="A1319" s="77">
        <v>251</v>
      </c>
      <c r="B1319" s="78" t="s">
        <v>278</v>
      </c>
      <c r="C1319" s="78" t="s">
        <v>279</v>
      </c>
      <c r="D1319" s="78" t="s">
        <v>287</v>
      </c>
      <c r="E1319" s="78"/>
      <c r="F1319" s="71" t="str">
        <f t="shared" si="76"/>
        <v>Omoro</v>
      </c>
      <c r="G1319" s="71" t="str">
        <f t="shared" si="77"/>
        <v>Alebtong</v>
      </c>
      <c r="H1319" s="78" t="s">
        <v>287</v>
      </c>
    </row>
    <row r="1320" spans="1:8">
      <c r="A1320" s="77">
        <v>311</v>
      </c>
      <c r="B1320" s="78" t="s">
        <v>287</v>
      </c>
      <c r="C1320" s="78" t="s">
        <v>287</v>
      </c>
      <c r="D1320" s="78" t="s">
        <v>2248</v>
      </c>
      <c r="E1320" s="78"/>
      <c r="F1320" s="71" t="str">
        <f t="shared" si="76"/>
        <v>Omoro Town Council</v>
      </c>
      <c r="G1320" s="71" t="str">
        <f t="shared" si="77"/>
        <v>Omoro</v>
      </c>
      <c r="H1320" s="78" t="s">
        <v>2248</v>
      </c>
    </row>
    <row r="1321" spans="1:8">
      <c r="A1321" s="77">
        <v>237</v>
      </c>
      <c r="B1321" s="78" t="s">
        <v>261</v>
      </c>
      <c r="C1321" s="78" t="s">
        <v>261</v>
      </c>
      <c r="D1321" s="78" t="s">
        <v>271</v>
      </c>
      <c r="E1321" s="78"/>
      <c r="F1321" s="71" t="str">
        <f t="shared" si="76"/>
        <v>Omot</v>
      </c>
      <c r="G1321" s="71" t="str">
        <f t="shared" si="77"/>
        <v>Agago</v>
      </c>
      <c r="H1321" s="78" t="s">
        <v>271</v>
      </c>
    </row>
    <row r="1322" spans="1:8">
      <c r="A1322" s="77">
        <v>43</v>
      </c>
      <c r="B1322" s="78" t="s">
        <v>344</v>
      </c>
      <c r="C1322" s="78" t="s">
        <v>347</v>
      </c>
      <c r="D1322" s="78" t="s">
        <v>367</v>
      </c>
      <c r="E1322" s="78"/>
      <c r="F1322" s="71" t="str">
        <f t="shared" si="76"/>
        <v>Omugo</v>
      </c>
      <c r="G1322" s="71" t="str">
        <f t="shared" si="77"/>
        <v>Arua</v>
      </c>
      <c r="H1322" s="78" t="s">
        <v>367</v>
      </c>
    </row>
    <row r="1323" spans="1:8">
      <c r="A1323" s="77">
        <v>310</v>
      </c>
      <c r="B1323" s="78" t="s">
        <v>287</v>
      </c>
      <c r="C1323" s="78" t="s">
        <v>287</v>
      </c>
      <c r="D1323" s="78" t="s">
        <v>2249</v>
      </c>
      <c r="E1323" s="78"/>
      <c r="F1323" s="71" t="str">
        <f t="shared" si="76"/>
        <v>Ongako</v>
      </c>
      <c r="G1323" s="71" t="str">
        <f t="shared" si="77"/>
        <v>Omoro</v>
      </c>
      <c r="H1323" s="78" t="s">
        <v>2249</v>
      </c>
    </row>
    <row r="1324" spans="1:8">
      <c r="A1324" s="77">
        <v>768</v>
      </c>
      <c r="B1324" s="78" t="s">
        <v>1644</v>
      </c>
      <c r="C1324" s="78" t="s">
        <v>1644</v>
      </c>
      <c r="D1324" s="78" t="s">
        <v>1649</v>
      </c>
      <c r="E1324" s="78"/>
      <c r="F1324" s="71" t="str">
        <f t="shared" si="76"/>
        <v>Ongino</v>
      </c>
      <c r="G1324" s="71" t="str">
        <f t="shared" si="77"/>
        <v>Kumi</v>
      </c>
      <c r="H1324" s="78" t="s">
        <v>1649</v>
      </c>
    </row>
    <row r="1325" spans="1:8">
      <c r="A1325" s="77">
        <v>760</v>
      </c>
      <c r="B1325" s="78" t="s">
        <v>1488</v>
      </c>
      <c r="C1325" s="78" t="s">
        <v>1490</v>
      </c>
      <c r="D1325" s="78" t="s">
        <v>1495</v>
      </c>
      <c r="E1325" s="78"/>
      <c r="F1325" s="71" t="str">
        <f t="shared" si="76"/>
        <v>Ongongoja</v>
      </c>
      <c r="G1325" s="71" t="str">
        <f t="shared" si="77"/>
        <v>Katakwi</v>
      </c>
      <c r="H1325" s="78" t="s">
        <v>1495</v>
      </c>
    </row>
    <row r="1326" spans="1:8" ht="25.5">
      <c r="A1326" s="77">
        <v>1083</v>
      </c>
      <c r="B1326" s="78" t="s">
        <v>593</v>
      </c>
      <c r="C1326" s="78" t="s">
        <v>594</v>
      </c>
      <c r="D1326" s="78" t="s">
        <v>601</v>
      </c>
      <c r="E1326" s="78"/>
      <c r="F1326" s="71" t="str">
        <f t="shared" si="76"/>
        <v>Opwateta</v>
      </c>
      <c r="G1326" s="71" t="str">
        <f t="shared" si="77"/>
        <v>Butebo</v>
      </c>
      <c r="H1326" s="78" t="s">
        <v>601</v>
      </c>
    </row>
    <row r="1327" spans="1:8">
      <c r="A1327" s="77">
        <v>66</v>
      </c>
      <c r="B1327" s="78" t="s">
        <v>220</v>
      </c>
      <c r="C1327" s="78" t="s">
        <v>1611</v>
      </c>
      <c r="D1327" s="78" t="s">
        <v>1620</v>
      </c>
      <c r="E1327" s="78"/>
      <c r="F1327" s="71" t="str">
        <f t="shared" si="76"/>
        <v>Orom</v>
      </c>
      <c r="G1327" s="71" t="str">
        <f t="shared" si="77"/>
        <v>Kitgum</v>
      </c>
      <c r="H1327" s="78" t="s">
        <v>1620</v>
      </c>
    </row>
    <row r="1328" spans="1:8">
      <c r="A1328" s="77">
        <v>1386</v>
      </c>
      <c r="B1328" s="78" t="s">
        <v>53</v>
      </c>
      <c r="C1328" s="78" t="s">
        <v>53</v>
      </c>
      <c r="D1328" s="78" t="s">
        <v>746</v>
      </c>
      <c r="E1328" s="78"/>
      <c r="F1328" s="71" t="str">
        <f t="shared" si="76"/>
        <v>Oruchinga Refugee Camp</v>
      </c>
      <c r="G1328" s="71" t="str">
        <f t="shared" si="77"/>
        <v>Isingiro</v>
      </c>
      <c r="H1328" s="78" t="s">
        <v>746</v>
      </c>
    </row>
    <row r="1329" spans="1:9">
      <c r="A1329" s="77">
        <v>293</v>
      </c>
      <c r="B1329" s="78" t="s">
        <v>2251</v>
      </c>
      <c r="C1329" s="78" t="s">
        <v>2251</v>
      </c>
      <c r="D1329" s="78" t="s">
        <v>2257</v>
      </c>
      <c r="E1329" s="78"/>
      <c r="F1329" s="71" t="str">
        <f t="shared" si="76"/>
        <v>Orum</v>
      </c>
      <c r="G1329" s="71" t="str">
        <f t="shared" si="77"/>
        <v>Otuke</v>
      </c>
      <c r="H1329" s="78" t="s">
        <v>2257</v>
      </c>
    </row>
    <row r="1330" spans="1:9">
      <c r="A1330" s="77">
        <v>894</v>
      </c>
      <c r="B1330" s="78" t="s">
        <v>307</v>
      </c>
      <c r="C1330" s="78" t="s">
        <v>307</v>
      </c>
      <c r="D1330" s="78" t="s">
        <v>320</v>
      </c>
      <c r="E1330" s="78"/>
      <c r="F1330" s="71" t="str">
        <f t="shared" si="76"/>
        <v>Orungo</v>
      </c>
      <c r="G1330" s="71" t="str">
        <f t="shared" si="77"/>
        <v>Amuria</v>
      </c>
      <c r="H1330" s="78" t="s">
        <v>320</v>
      </c>
    </row>
    <row r="1331" spans="1:9">
      <c r="A1331" s="77">
        <v>824</v>
      </c>
      <c r="B1331" s="78" t="s">
        <v>201</v>
      </c>
      <c r="C1331" s="78" t="s">
        <v>201</v>
      </c>
      <c r="D1331" s="78" t="s">
        <v>2469</v>
      </c>
      <c r="E1331" s="78"/>
      <c r="F1331" s="71" t="str">
        <f t="shared" si="76"/>
        <v>Osukuru</v>
      </c>
      <c r="G1331" s="71" t="str">
        <f t="shared" si="77"/>
        <v>Tororo</v>
      </c>
      <c r="H1331" s="78" t="s">
        <v>2469</v>
      </c>
    </row>
    <row r="1332" spans="1:9">
      <c r="A1332" s="77">
        <v>850</v>
      </c>
      <c r="B1332" s="78" t="s">
        <v>825</v>
      </c>
      <c r="C1332" s="78" t="s">
        <v>827</v>
      </c>
      <c r="D1332" s="78" t="s">
        <v>835</v>
      </c>
      <c r="E1332" s="78"/>
      <c r="F1332" s="71" t="str">
        <f t="shared" si="76"/>
        <v>Otuboi</v>
      </c>
      <c r="G1332" s="71" t="str">
        <f t="shared" si="77"/>
        <v>Kaberamaido</v>
      </c>
      <c r="H1332" s="78" t="s">
        <v>835</v>
      </c>
    </row>
    <row r="1333" spans="1:9">
      <c r="A1333" s="77">
        <v>294</v>
      </c>
      <c r="B1333" s="78" t="s">
        <v>2251</v>
      </c>
      <c r="C1333" s="78" t="s">
        <v>2251</v>
      </c>
      <c r="D1333" s="78" t="s">
        <v>2258</v>
      </c>
      <c r="E1333" s="78"/>
      <c r="F1333" s="71" t="str">
        <f t="shared" si="76"/>
        <v>Otuke Town Council</v>
      </c>
      <c r="G1333" s="71" t="str">
        <f t="shared" si="77"/>
        <v>Otuke</v>
      </c>
      <c r="H1333" s="78" t="s">
        <v>2258</v>
      </c>
    </row>
    <row r="1334" spans="1:9">
      <c r="A1334" s="77">
        <v>225</v>
      </c>
      <c r="B1334" s="78" t="s">
        <v>2260</v>
      </c>
      <c r="C1334" s="78" t="s">
        <v>2260</v>
      </c>
      <c r="D1334" s="78" t="s">
        <v>2271</v>
      </c>
      <c r="E1334" s="78"/>
      <c r="F1334" s="71" t="str">
        <f t="shared" si="76"/>
        <v>Otwal</v>
      </c>
      <c r="G1334" s="71" t="str">
        <f t="shared" si="77"/>
        <v>Oyam</v>
      </c>
      <c r="H1334" s="78" t="s">
        <v>2271</v>
      </c>
    </row>
    <row r="1335" spans="1:9">
      <c r="A1335" s="77">
        <v>226</v>
      </c>
      <c r="B1335" s="78" t="s">
        <v>2260</v>
      </c>
      <c r="C1335" s="78" t="s">
        <v>2260</v>
      </c>
      <c r="D1335" s="78" t="s">
        <v>2272</v>
      </c>
      <c r="E1335" s="78"/>
      <c r="F1335" s="71" t="str">
        <f t="shared" si="76"/>
        <v>Oyam Town Council</v>
      </c>
      <c r="G1335" s="71" t="str">
        <f t="shared" si="77"/>
        <v>Oyam</v>
      </c>
      <c r="H1335" s="78" t="s">
        <v>2272</v>
      </c>
    </row>
    <row r="1336" spans="1:9">
      <c r="A1336" s="77">
        <v>1492</v>
      </c>
      <c r="B1336" s="78" t="s">
        <v>837</v>
      </c>
      <c r="C1336" s="78" t="s">
        <v>838</v>
      </c>
      <c r="D1336" s="78" t="s">
        <v>852</v>
      </c>
      <c r="E1336" s="78"/>
      <c r="F1336" s="71" t="str">
        <f t="shared" si="76"/>
        <v>Paacwa</v>
      </c>
      <c r="G1336" s="71" t="str">
        <f t="shared" si="77"/>
        <v>Kagadi</v>
      </c>
      <c r="H1336" s="78" t="s">
        <v>852</v>
      </c>
    </row>
    <row r="1337" spans="1:9">
      <c r="A1337" s="77">
        <v>172</v>
      </c>
      <c r="B1337" s="78" t="s">
        <v>171</v>
      </c>
      <c r="C1337" s="78" t="s">
        <v>323</v>
      </c>
      <c r="D1337" s="78" t="s">
        <v>328</v>
      </c>
      <c r="E1337" s="78"/>
      <c r="F1337" s="71" t="str">
        <f t="shared" si="76"/>
        <v>Pabo</v>
      </c>
      <c r="G1337" s="71" t="str">
        <f t="shared" si="77"/>
        <v>Amuru</v>
      </c>
      <c r="H1337" s="78" t="s">
        <v>328</v>
      </c>
    </row>
    <row r="1338" spans="1:9">
      <c r="A1338" s="77">
        <v>9</v>
      </c>
      <c r="B1338" s="78" t="s">
        <v>249</v>
      </c>
      <c r="C1338" s="78" t="s">
        <v>250</v>
      </c>
      <c r="D1338" s="78" t="s">
        <v>257</v>
      </c>
      <c r="E1338" s="78"/>
      <c r="F1338" s="71" t="str">
        <f t="shared" si="76"/>
        <v>Pacara</v>
      </c>
      <c r="G1338" s="71" t="str">
        <f t="shared" si="77"/>
        <v>Adjumani</v>
      </c>
      <c r="H1338" s="78" t="s">
        <v>257</v>
      </c>
    </row>
    <row r="1339" spans="1:9">
      <c r="A1339" s="77">
        <v>134</v>
      </c>
      <c r="B1339" s="78" t="s">
        <v>2274</v>
      </c>
      <c r="C1339" s="78" t="s">
        <v>2275</v>
      </c>
      <c r="D1339" s="78" t="s">
        <v>2274</v>
      </c>
      <c r="E1339" s="78"/>
      <c r="F1339" s="71" t="str">
        <f t="shared" si="76"/>
        <v>Pader</v>
      </c>
      <c r="G1339" s="71" t="str">
        <f t="shared" si="77"/>
        <v>Pader</v>
      </c>
      <c r="H1339" s="78" t="s">
        <v>2274</v>
      </c>
    </row>
    <row r="1340" spans="1:9">
      <c r="A1340" s="77">
        <v>135</v>
      </c>
      <c r="B1340" s="78" t="s">
        <v>2274</v>
      </c>
      <c r="C1340" s="78" t="s">
        <v>2275</v>
      </c>
      <c r="D1340" s="78" t="s">
        <v>2283</v>
      </c>
      <c r="E1340" s="78"/>
      <c r="F1340" s="71" t="str">
        <f t="shared" si="76"/>
        <v>Pader Town Council</v>
      </c>
      <c r="G1340" s="71" t="str">
        <f t="shared" si="77"/>
        <v>Pader</v>
      </c>
      <c r="H1340" s="78" t="s">
        <v>2283</v>
      </c>
    </row>
    <row r="1341" spans="1:9">
      <c r="A1341" s="77">
        <v>269</v>
      </c>
      <c r="B1341" s="78" t="s">
        <v>222</v>
      </c>
      <c r="C1341" s="78" t="s">
        <v>222</v>
      </c>
      <c r="D1341" s="82" t="s">
        <v>2894</v>
      </c>
      <c r="E1341" s="78"/>
      <c r="F1341" s="82" t="s">
        <v>1746</v>
      </c>
      <c r="G1341" s="71" t="str">
        <f t="shared" si="77"/>
        <v>Lamwo</v>
      </c>
      <c r="H1341" s="82" t="s">
        <v>2894</v>
      </c>
    </row>
    <row r="1342" spans="1:9">
      <c r="A1342" s="77">
        <v>273</v>
      </c>
      <c r="B1342" s="78" t="s">
        <v>222</v>
      </c>
      <c r="C1342" s="78" t="s">
        <v>222</v>
      </c>
      <c r="D1342" s="78" t="s">
        <v>2895</v>
      </c>
      <c r="E1342" s="78"/>
      <c r="F1342" s="82" t="s">
        <v>1746</v>
      </c>
      <c r="G1342" s="71" t="str">
        <f t="shared" si="77"/>
        <v>Lamwo</v>
      </c>
      <c r="H1342" s="78" t="s">
        <v>2895</v>
      </c>
      <c r="I1342" s="83" t="s">
        <v>2795</v>
      </c>
    </row>
    <row r="1343" spans="1:9">
      <c r="A1343" s="77">
        <v>267</v>
      </c>
      <c r="B1343" s="78" t="s">
        <v>222</v>
      </c>
      <c r="C1343" s="78" t="s">
        <v>222</v>
      </c>
      <c r="D1343" s="82" t="s">
        <v>2896</v>
      </c>
      <c r="E1343" s="78"/>
      <c r="F1343" s="82" t="s">
        <v>1746</v>
      </c>
      <c r="G1343" s="71" t="str">
        <f t="shared" si="77"/>
        <v>Lamwo</v>
      </c>
      <c r="H1343" s="82" t="s">
        <v>2896</v>
      </c>
      <c r="I1343" s="83" t="s">
        <v>2795</v>
      </c>
    </row>
    <row r="1344" spans="1:9" ht="25.5">
      <c r="A1344" s="77">
        <v>68</v>
      </c>
      <c r="B1344" s="78" t="s">
        <v>220</v>
      </c>
      <c r="C1344" s="79" t="s">
        <v>1612</v>
      </c>
      <c r="D1344" s="78" t="s">
        <v>2897</v>
      </c>
      <c r="E1344" s="78"/>
      <c r="F1344" s="72" t="str">
        <f>VLOOKUP(C1344,[2]Municipalities!$C$9:$F$1522,4,FALSE)</f>
        <v>Kitgum Municipality</v>
      </c>
      <c r="G1344" s="71" t="str">
        <f t="shared" si="77"/>
        <v>Kitgum</v>
      </c>
      <c r="H1344" s="78" t="s">
        <v>2897</v>
      </c>
    </row>
    <row r="1345" spans="1:9">
      <c r="A1345" s="77">
        <v>52</v>
      </c>
      <c r="B1345" s="78" t="s">
        <v>172</v>
      </c>
      <c r="C1345" s="78" t="s">
        <v>640</v>
      </c>
      <c r="D1345" s="78" t="s">
        <v>645</v>
      </c>
      <c r="E1345" s="78"/>
      <c r="F1345" s="71" t="str">
        <f t="shared" ref="F1345:F1354" si="78">D1345</f>
        <v>Paicho</v>
      </c>
      <c r="G1345" s="71" t="str">
        <f t="shared" si="77"/>
        <v>Gulu</v>
      </c>
      <c r="H1345" s="78" t="s">
        <v>645</v>
      </c>
    </row>
    <row r="1346" spans="1:9">
      <c r="A1346" s="77">
        <v>300</v>
      </c>
      <c r="B1346" s="78" t="s">
        <v>2726</v>
      </c>
      <c r="C1346" s="78" t="s">
        <v>2727</v>
      </c>
      <c r="D1346" s="78" t="s">
        <v>2732</v>
      </c>
      <c r="E1346" s="78"/>
      <c r="F1346" s="71" t="str">
        <f t="shared" si="78"/>
        <v>Paidha</v>
      </c>
      <c r="G1346" s="71" t="str">
        <f t="shared" si="77"/>
        <v>Zombo</v>
      </c>
      <c r="H1346" s="78" t="s">
        <v>2732</v>
      </c>
    </row>
    <row r="1347" spans="1:9">
      <c r="A1347" s="77">
        <v>301</v>
      </c>
      <c r="B1347" s="78" t="s">
        <v>2726</v>
      </c>
      <c r="C1347" s="78" t="s">
        <v>2727</v>
      </c>
      <c r="D1347" s="78" t="s">
        <v>2733</v>
      </c>
      <c r="E1347" s="78"/>
      <c r="F1347" s="71" t="str">
        <f t="shared" si="78"/>
        <v>Paidha Town Council</v>
      </c>
      <c r="G1347" s="71" t="str">
        <f t="shared" si="77"/>
        <v>Zombo</v>
      </c>
      <c r="H1347" s="78" t="s">
        <v>2733</v>
      </c>
    </row>
    <row r="1348" spans="1:9">
      <c r="A1348" s="77">
        <v>238</v>
      </c>
      <c r="B1348" s="78" t="s">
        <v>261</v>
      </c>
      <c r="C1348" s="78" t="s">
        <v>261</v>
      </c>
      <c r="D1348" s="78" t="s">
        <v>272</v>
      </c>
      <c r="E1348" s="78"/>
      <c r="F1348" s="71" t="str">
        <f t="shared" si="78"/>
        <v>Paimol</v>
      </c>
      <c r="G1348" s="71" t="str">
        <f t="shared" si="77"/>
        <v>Agago</v>
      </c>
      <c r="H1348" s="78" t="s">
        <v>272</v>
      </c>
    </row>
    <row r="1349" spans="1:9">
      <c r="A1349" s="77">
        <v>136</v>
      </c>
      <c r="B1349" s="78" t="s">
        <v>2274</v>
      </c>
      <c r="C1349" s="78" t="s">
        <v>2275</v>
      </c>
      <c r="D1349" s="78" t="s">
        <v>2284</v>
      </c>
      <c r="E1349" s="78"/>
      <c r="F1349" s="71" t="str">
        <f t="shared" si="78"/>
        <v>Pajule</v>
      </c>
      <c r="G1349" s="71" t="str">
        <f t="shared" si="77"/>
        <v>Pader</v>
      </c>
      <c r="H1349" s="78" t="s">
        <v>2284</v>
      </c>
    </row>
    <row r="1350" spans="1:9">
      <c r="A1350" s="77">
        <v>30</v>
      </c>
      <c r="B1350" s="78" t="s">
        <v>344</v>
      </c>
      <c r="C1350" s="78" t="s">
        <v>345</v>
      </c>
      <c r="D1350" s="78" t="s">
        <v>368</v>
      </c>
      <c r="E1350" s="78"/>
      <c r="F1350" s="71" t="str">
        <f t="shared" si="78"/>
        <v>Pajulu</v>
      </c>
      <c r="G1350" s="71" t="str">
        <f t="shared" si="77"/>
        <v>Arua</v>
      </c>
      <c r="H1350" s="78" t="s">
        <v>368</v>
      </c>
    </row>
    <row r="1351" spans="1:9">
      <c r="A1351" s="77">
        <v>1239</v>
      </c>
      <c r="B1351" s="78" t="s">
        <v>1859</v>
      </c>
      <c r="C1351" s="78" t="s">
        <v>1863</v>
      </c>
      <c r="D1351" s="78" t="s">
        <v>1867</v>
      </c>
      <c r="E1351" s="78"/>
      <c r="F1351" s="71" t="str">
        <f t="shared" si="78"/>
        <v>Pakanyi</v>
      </c>
      <c r="G1351" s="71" t="str">
        <f t="shared" si="77"/>
        <v>Masindi</v>
      </c>
      <c r="H1351" s="78" t="s">
        <v>1867</v>
      </c>
    </row>
    <row r="1352" spans="1:9">
      <c r="A1352" s="77">
        <v>10</v>
      </c>
      <c r="B1352" s="78" t="s">
        <v>249</v>
      </c>
      <c r="C1352" s="78" t="s">
        <v>250</v>
      </c>
      <c r="D1352" s="78" t="s">
        <v>258</v>
      </c>
      <c r="E1352" s="78"/>
      <c r="F1352" s="71" t="str">
        <f t="shared" si="78"/>
        <v>Pakele</v>
      </c>
      <c r="G1352" s="71" t="str">
        <f t="shared" si="77"/>
        <v>Adjumani</v>
      </c>
      <c r="H1352" s="78" t="s">
        <v>258</v>
      </c>
    </row>
    <row r="1353" spans="1:9">
      <c r="A1353" s="77">
        <v>313</v>
      </c>
      <c r="B1353" s="78" t="s">
        <v>231</v>
      </c>
      <c r="C1353" s="78" t="s">
        <v>2287</v>
      </c>
      <c r="D1353" s="78" t="s">
        <v>231</v>
      </c>
      <c r="E1353" s="78"/>
      <c r="F1353" s="71" t="str">
        <f t="shared" si="78"/>
        <v>Pakwach</v>
      </c>
      <c r="G1353" s="71" t="str">
        <f t="shared" si="77"/>
        <v>Pakwach</v>
      </c>
      <c r="H1353" s="78" t="s">
        <v>231</v>
      </c>
    </row>
    <row r="1354" spans="1:9">
      <c r="A1354" s="77">
        <v>314</v>
      </c>
      <c r="B1354" s="78" t="s">
        <v>231</v>
      </c>
      <c r="C1354" s="78" t="s">
        <v>2287</v>
      </c>
      <c r="D1354" s="78" t="s">
        <v>2289</v>
      </c>
      <c r="E1354" s="78"/>
      <c r="F1354" s="71" t="str">
        <f t="shared" si="78"/>
        <v>Pakwach Town Council</v>
      </c>
      <c r="G1354" s="71" t="str">
        <f t="shared" ref="G1354:G1417" si="79">B1354</f>
        <v>Pakwach</v>
      </c>
      <c r="H1354" s="78" t="s">
        <v>2289</v>
      </c>
    </row>
    <row r="1355" spans="1:9">
      <c r="A1355" s="77">
        <v>265</v>
      </c>
      <c r="B1355" s="78" t="s">
        <v>222</v>
      </c>
      <c r="C1355" s="78" t="s">
        <v>222</v>
      </c>
      <c r="D1355" s="82" t="s">
        <v>2898</v>
      </c>
      <c r="E1355" s="78"/>
      <c r="F1355" s="82" t="s">
        <v>1747</v>
      </c>
      <c r="G1355" s="71" t="str">
        <f t="shared" si="79"/>
        <v>Lamwo</v>
      </c>
      <c r="H1355" s="82" t="s">
        <v>2898</v>
      </c>
    </row>
    <row r="1356" spans="1:9">
      <c r="A1356" s="77">
        <v>270</v>
      </c>
      <c r="B1356" s="78" t="s">
        <v>222</v>
      </c>
      <c r="C1356" s="78" t="s">
        <v>222</v>
      </c>
      <c r="D1356" s="82" t="s">
        <v>2899</v>
      </c>
      <c r="E1356" s="78"/>
      <c r="F1356" s="82" t="s">
        <v>1747</v>
      </c>
      <c r="G1356" s="71" t="str">
        <f t="shared" si="79"/>
        <v>Lamwo</v>
      </c>
      <c r="H1356" s="82" t="s">
        <v>2899</v>
      </c>
      <c r="I1356" s="83" t="s">
        <v>2795</v>
      </c>
    </row>
    <row r="1357" spans="1:9">
      <c r="A1357" s="77">
        <v>271</v>
      </c>
      <c r="B1357" s="78" t="s">
        <v>222</v>
      </c>
      <c r="C1357" s="78" t="s">
        <v>222</v>
      </c>
      <c r="D1357" s="82" t="s">
        <v>2900</v>
      </c>
      <c r="E1357" s="78"/>
      <c r="F1357" s="82" t="s">
        <v>1747</v>
      </c>
      <c r="G1357" s="71" t="str">
        <f t="shared" si="79"/>
        <v>Lamwo</v>
      </c>
      <c r="H1357" s="82" t="s">
        <v>2900</v>
      </c>
      <c r="I1357" s="83" t="s">
        <v>2795</v>
      </c>
    </row>
    <row r="1358" spans="1:9">
      <c r="A1358" s="77">
        <v>761</v>
      </c>
      <c r="B1358" s="78" t="s">
        <v>1488</v>
      </c>
      <c r="C1358" s="78" t="s">
        <v>1490</v>
      </c>
      <c r="D1358" s="78" t="s">
        <v>1496</v>
      </c>
      <c r="E1358" s="78"/>
      <c r="F1358" s="71" t="str">
        <f t="shared" ref="F1358:F1388" si="80">D1358</f>
        <v>Palam</v>
      </c>
      <c r="G1358" s="71" t="str">
        <f t="shared" si="79"/>
        <v>Katakwi</v>
      </c>
      <c r="H1358" s="78" t="s">
        <v>1496</v>
      </c>
    </row>
    <row r="1359" spans="1:9">
      <c r="A1359" s="77">
        <v>799</v>
      </c>
      <c r="B1359" s="78" t="s">
        <v>2294</v>
      </c>
      <c r="C1359" s="78" t="s">
        <v>2294</v>
      </c>
      <c r="D1359" s="78" t="s">
        <v>2294</v>
      </c>
      <c r="E1359" s="78"/>
      <c r="F1359" s="71" t="str">
        <f t="shared" si="80"/>
        <v>Pallisa</v>
      </c>
      <c r="G1359" s="71" t="str">
        <f t="shared" si="79"/>
        <v>Pallisa</v>
      </c>
      <c r="H1359" s="78" t="s">
        <v>2294</v>
      </c>
    </row>
    <row r="1360" spans="1:9">
      <c r="A1360" s="77">
        <v>800</v>
      </c>
      <c r="B1360" s="78" t="s">
        <v>2294</v>
      </c>
      <c r="C1360" s="78" t="s">
        <v>2294</v>
      </c>
      <c r="D1360" s="78" t="s">
        <v>2303</v>
      </c>
      <c r="E1360" s="78"/>
      <c r="F1360" s="71" t="str">
        <f t="shared" si="80"/>
        <v>Pallisa Town Council</v>
      </c>
      <c r="G1360" s="71" t="str">
        <f t="shared" si="79"/>
        <v>Pallisa</v>
      </c>
      <c r="H1360" s="78" t="s">
        <v>2303</v>
      </c>
    </row>
    <row r="1361" spans="1:8">
      <c r="A1361" s="77">
        <v>272</v>
      </c>
      <c r="B1361" s="78" t="s">
        <v>222</v>
      </c>
      <c r="C1361" s="78" t="s">
        <v>222</v>
      </c>
      <c r="D1361" s="78" t="s">
        <v>1748</v>
      </c>
      <c r="E1361" s="78"/>
      <c r="F1361" s="71" t="str">
        <f t="shared" si="80"/>
        <v>Paloga</v>
      </c>
      <c r="G1361" s="71" t="str">
        <f t="shared" si="79"/>
        <v>Lamwo</v>
      </c>
      <c r="H1361" s="78" t="s">
        <v>1748</v>
      </c>
    </row>
    <row r="1362" spans="1:8" ht="25.5">
      <c r="A1362" s="77">
        <v>69</v>
      </c>
      <c r="B1362" s="80" t="s">
        <v>220</v>
      </c>
      <c r="C1362" s="81" t="s">
        <v>1612</v>
      </c>
      <c r="D1362" s="80" t="s">
        <v>2901</v>
      </c>
      <c r="E1362" s="80"/>
      <c r="F1362" s="72" t="str">
        <f>VLOOKUP(C1362,[2]Municipalities!$C$9:$F$1522,4,FALSE)</f>
        <v>Kitgum Municipality</v>
      </c>
      <c r="G1362" s="71" t="str">
        <f t="shared" si="79"/>
        <v>Kitgum</v>
      </c>
      <c r="H1362" s="80" t="s">
        <v>2901</v>
      </c>
    </row>
    <row r="1363" spans="1:8">
      <c r="A1363" s="77">
        <v>74</v>
      </c>
      <c r="B1363" s="78" t="s">
        <v>1637</v>
      </c>
      <c r="C1363" s="78" t="s">
        <v>1638</v>
      </c>
      <c r="D1363" s="78" t="s">
        <v>1641</v>
      </c>
      <c r="E1363" s="78"/>
      <c r="F1363" s="71" t="str">
        <f t="shared" si="80"/>
        <v>Panyangara</v>
      </c>
      <c r="G1363" s="71" t="str">
        <f t="shared" si="79"/>
        <v>Kotido</v>
      </c>
      <c r="H1363" s="78" t="s">
        <v>1641</v>
      </c>
    </row>
    <row r="1364" spans="1:8">
      <c r="A1364" s="77">
        <v>315</v>
      </c>
      <c r="B1364" s="78" t="s">
        <v>231</v>
      </c>
      <c r="C1364" s="78" t="s">
        <v>2287</v>
      </c>
      <c r="D1364" s="78" t="s">
        <v>2290</v>
      </c>
      <c r="E1364" s="78"/>
      <c r="F1364" s="71" t="str">
        <f t="shared" si="80"/>
        <v>Panyango</v>
      </c>
      <c r="G1364" s="71" t="str">
        <f t="shared" si="79"/>
        <v>Pakwach</v>
      </c>
      <c r="H1364" s="78" t="s">
        <v>2290</v>
      </c>
    </row>
    <row r="1365" spans="1:8">
      <c r="A1365" s="77">
        <v>316</v>
      </c>
      <c r="B1365" s="78" t="s">
        <v>231</v>
      </c>
      <c r="C1365" s="78" t="s">
        <v>2287</v>
      </c>
      <c r="D1365" s="78" t="s">
        <v>2291</v>
      </c>
      <c r="E1365" s="78"/>
      <c r="F1365" s="71" t="str">
        <f t="shared" si="80"/>
        <v>Panyimur</v>
      </c>
      <c r="G1365" s="71" t="str">
        <f t="shared" si="79"/>
        <v>Pakwach</v>
      </c>
      <c r="H1365" s="78" t="s">
        <v>2291</v>
      </c>
    </row>
    <row r="1366" spans="1:8">
      <c r="A1366" s="77">
        <v>239</v>
      </c>
      <c r="B1366" s="78" t="s">
        <v>261</v>
      </c>
      <c r="C1366" s="78" t="s">
        <v>261</v>
      </c>
      <c r="D1366" s="78" t="s">
        <v>273</v>
      </c>
      <c r="E1366" s="78"/>
      <c r="F1366" s="71" t="str">
        <f t="shared" si="80"/>
        <v>Parabongo</v>
      </c>
      <c r="G1366" s="71" t="str">
        <f t="shared" si="79"/>
        <v>Agago</v>
      </c>
      <c r="H1366" s="78" t="s">
        <v>273</v>
      </c>
    </row>
    <row r="1367" spans="1:8">
      <c r="A1367" s="77">
        <v>117</v>
      </c>
      <c r="B1367" s="78" t="s">
        <v>2182</v>
      </c>
      <c r="C1367" s="78" t="s">
        <v>2183</v>
      </c>
      <c r="D1367" s="78" t="s">
        <v>2190</v>
      </c>
      <c r="E1367" s="78"/>
      <c r="F1367" s="71" t="str">
        <f t="shared" si="80"/>
        <v>Parombo</v>
      </c>
      <c r="G1367" s="71" t="str">
        <f t="shared" si="79"/>
        <v>Nebbi</v>
      </c>
      <c r="H1367" s="78" t="s">
        <v>2190</v>
      </c>
    </row>
    <row r="1368" spans="1:8">
      <c r="A1368" s="77">
        <v>240</v>
      </c>
      <c r="B1368" s="78" t="s">
        <v>261</v>
      </c>
      <c r="C1368" s="78" t="s">
        <v>261</v>
      </c>
      <c r="D1368" s="78" t="s">
        <v>274</v>
      </c>
      <c r="E1368" s="78"/>
      <c r="F1368" s="71" t="str">
        <f t="shared" si="80"/>
        <v>Patongo</v>
      </c>
      <c r="G1368" s="71" t="str">
        <f t="shared" si="79"/>
        <v>Agago</v>
      </c>
      <c r="H1368" s="78" t="s">
        <v>274</v>
      </c>
    </row>
    <row r="1369" spans="1:8">
      <c r="A1369" s="77">
        <v>241</v>
      </c>
      <c r="B1369" s="78" t="s">
        <v>261</v>
      </c>
      <c r="C1369" s="78" t="s">
        <v>261</v>
      </c>
      <c r="D1369" s="78" t="s">
        <v>275</v>
      </c>
      <c r="E1369" s="78"/>
      <c r="F1369" s="71" t="str">
        <f t="shared" si="80"/>
        <v>Patongo Town Council</v>
      </c>
      <c r="G1369" s="71" t="str">
        <f t="shared" si="79"/>
        <v>Agago</v>
      </c>
      <c r="H1369" s="78" t="s">
        <v>275</v>
      </c>
    </row>
    <row r="1370" spans="1:8">
      <c r="A1370" s="77">
        <v>36</v>
      </c>
      <c r="B1370" s="78" t="s">
        <v>344</v>
      </c>
      <c r="C1370" s="78" t="s">
        <v>351</v>
      </c>
      <c r="D1370" s="78" t="s">
        <v>369</v>
      </c>
      <c r="E1370" s="78"/>
      <c r="F1370" s="71" t="str">
        <f t="shared" si="80"/>
        <v>Pawor</v>
      </c>
      <c r="G1370" s="71" t="str">
        <f t="shared" si="79"/>
        <v>Arua</v>
      </c>
      <c r="H1370" s="78" t="s">
        <v>369</v>
      </c>
    </row>
    <row r="1371" spans="1:8">
      <c r="A1371" s="77">
        <v>835</v>
      </c>
      <c r="B1371" s="78" t="s">
        <v>201</v>
      </c>
      <c r="C1371" s="78" t="s">
        <v>2455</v>
      </c>
      <c r="D1371" s="78" t="s">
        <v>2470</v>
      </c>
      <c r="E1371" s="78"/>
      <c r="F1371" s="71" t="str">
        <f t="shared" si="80"/>
        <v>Paya</v>
      </c>
      <c r="G1371" s="71" t="str">
        <f t="shared" si="79"/>
        <v>Tororo</v>
      </c>
      <c r="H1371" s="78" t="s">
        <v>2470</v>
      </c>
    </row>
    <row r="1372" spans="1:8">
      <c r="A1372" s="77">
        <v>57</v>
      </c>
      <c r="B1372" s="78" t="s">
        <v>172</v>
      </c>
      <c r="C1372" s="79" t="s">
        <v>642</v>
      </c>
      <c r="D1372" s="78" t="s">
        <v>2902</v>
      </c>
      <c r="E1372" s="78"/>
      <c r="F1372" s="72" t="str">
        <f>VLOOKUP(C1372,[2]Municipalities!$C$9:$F$1522,4,FALSE)</f>
        <v>Gulu Municipality</v>
      </c>
      <c r="G1372" s="71" t="str">
        <f t="shared" si="79"/>
        <v>Gulu</v>
      </c>
      <c r="H1372" s="78" t="s">
        <v>2902</v>
      </c>
    </row>
    <row r="1373" spans="1:8" ht="25.5">
      <c r="A1373" s="77">
        <v>1084</v>
      </c>
      <c r="B1373" s="78" t="s">
        <v>593</v>
      </c>
      <c r="C1373" s="78" t="s">
        <v>594</v>
      </c>
      <c r="D1373" s="78" t="s">
        <v>602</v>
      </c>
      <c r="E1373" s="78"/>
      <c r="F1373" s="71" t="str">
        <f t="shared" si="80"/>
        <v>Petete</v>
      </c>
      <c r="G1373" s="71" t="str">
        <f t="shared" si="79"/>
        <v>Butebo</v>
      </c>
      <c r="H1373" s="78" t="s">
        <v>602</v>
      </c>
    </row>
    <row r="1374" spans="1:8">
      <c r="A1374" s="77">
        <v>836</v>
      </c>
      <c r="B1374" s="78" t="s">
        <v>201</v>
      </c>
      <c r="C1374" s="78" t="s">
        <v>2455</v>
      </c>
      <c r="D1374" s="78" t="s">
        <v>2471</v>
      </c>
      <c r="E1374" s="78"/>
      <c r="F1374" s="71" t="str">
        <f t="shared" si="80"/>
        <v>Petta</v>
      </c>
      <c r="G1374" s="71" t="str">
        <f t="shared" si="79"/>
        <v>Tororo</v>
      </c>
      <c r="H1374" s="78" t="s">
        <v>2471</v>
      </c>
    </row>
    <row r="1375" spans="1:8">
      <c r="A1375" s="77">
        <v>1072</v>
      </c>
      <c r="B1375" s="78" t="s">
        <v>2377</v>
      </c>
      <c r="C1375" s="78" t="s">
        <v>2379</v>
      </c>
      <c r="D1375" s="78" t="s">
        <v>2386</v>
      </c>
      <c r="E1375" s="78"/>
      <c r="F1375" s="71" t="str">
        <f t="shared" si="80"/>
        <v>Pingire</v>
      </c>
      <c r="G1375" s="71" t="str">
        <f t="shared" si="79"/>
        <v>Serere</v>
      </c>
      <c r="H1375" s="78" t="s">
        <v>2386</v>
      </c>
    </row>
    <row r="1376" spans="1:8">
      <c r="A1376" s="77">
        <v>137</v>
      </c>
      <c r="B1376" s="78" t="s">
        <v>2274</v>
      </c>
      <c r="C1376" s="78" t="s">
        <v>2275</v>
      </c>
      <c r="D1376" s="78" t="s">
        <v>2285</v>
      </c>
      <c r="E1376" s="78"/>
      <c r="F1376" s="71" t="str">
        <f t="shared" si="80"/>
        <v>Puranga</v>
      </c>
      <c r="G1376" s="71" t="str">
        <f t="shared" si="79"/>
        <v>Pader</v>
      </c>
      <c r="H1376" s="78" t="s">
        <v>2285</v>
      </c>
    </row>
    <row r="1377" spans="1:8">
      <c r="A1377" s="77">
        <v>286</v>
      </c>
      <c r="B1377" s="78" t="s">
        <v>2238</v>
      </c>
      <c r="C1377" s="78" t="s">
        <v>2238</v>
      </c>
      <c r="D1377" s="78" t="s">
        <v>2242</v>
      </c>
      <c r="E1377" s="78"/>
      <c r="F1377" s="71" t="str">
        <f t="shared" si="80"/>
        <v>Purongo</v>
      </c>
      <c r="G1377" s="71" t="str">
        <f t="shared" si="79"/>
        <v>Nwoya</v>
      </c>
      <c r="H1377" s="78" t="s">
        <v>2242</v>
      </c>
    </row>
    <row r="1378" spans="1:8">
      <c r="A1378" s="77">
        <v>801</v>
      </c>
      <c r="B1378" s="78" t="s">
        <v>2294</v>
      </c>
      <c r="C1378" s="78" t="s">
        <v>2294</v>
      </c>
      <c r="D1378" s="78" t="s">
        <v>2304</v>
      </c>
      <c r="E1378" s="78"/>
      <c r="F1378" s="71" t="str">
        <f t="shared" si="80"/>
        <v>Puti-Puti</v>
      </c>
      <c r="G1378" s="71" t="str">
        <f t="shared" si="79"/>
        <v>Pallisa</v>
      </c>
      <c r="H1378" s="78" t="s">
        <v>2304</v>
      </c>
    </row>
    <row r="1379" spans="1:8">
      <c r="A1379" s="77">
        <v>91</v>
      </c>
      <c r="B1379" s="78" t="s">
        <v>213</v>
      </c>
      <c r="C1379" s="79" t="s">
        <v>1756</v>
      </c>
      <c r="D1379" s="78" t="s">
        <v>2903</v>
      </c>
      <c r="E1379" s="78"/>
      <c r="F1379" s="72" t="str">
        <f>VLOOKUP(C1379,[2]Municipalities!$C$9:$F$1522,4,FALSE)</f>
        <v>Lira Municipality</v>
      </c>
      <c r="G1379" s="71" t="str">
        <f t="shared" si="79"/>
        <v>Lira</v>
      </c>
      <c r="H1379" s="78" t="s">
        <v>2903</v>
      </c>
    </row>
    <row r="1380" spans="1:8">
      <c r="A1380" s="77">
        <v>514</v>
      </c>
      <c r="B1380" s="78" t="s">
        <v>192</v>
      </c>
      <c r="C1380" s="78" t="s">
        <v>1733</v>
      </c>
      <c r="D1380" s="78" t="s">
        <v>2318</v>
      </c>
      <c r="E1380" s="78"/>
      <c r="F1380" s="71" t="str">
        <f t="shared" si="80"/>
        <v>Rakai Town Council</v>
      </c>
      <c r="G1380" s="71" t="str">
        <f t="shared" si="79"/>
        <v>Rakai</v>
      </c>
      <c r="H1380" s="78" t="s">
        <v>2318</v>
      </c>
    </row>
    <row r="1381" spans="1:8">
      <c r="A1381" s="77">
        <v>72</v>
      </c>
      <c r="B1381" s="78" t="s">
        <v>1637</v>
      </c>
      <c r="C1381" s="78" t="s">
        <v>1638</v>
      </c>
      <c r="D1381" s="78" t="s">
        <v>1642</v>
      </c>
      <c r="E1381" s="78"/>
      <c r="F1381" s="71" t="str">
        <f t="shared" si="80"/>
        <v>Rengen</v>
      </c>
      <c r="G1381" s="71" t="str">
        <f t="shared" si="79"/>
        <v>Kotido</v>
      </c>
      <c r="H1381" s="78" t="s">
        <v>1642</v>
      </c>
    </row>
    <row r="1382" spans="1:8">
      <c r="A1382" s="77">
        <v>37</v>
      </c>
      <c r="B1382" s="78" t="s">
        <v>344</v>
      </c>
      <c r="C1382" s="78" t="s">
        <v>351</v>
      </c>
      <c r="D1382" s="78" t="s">
        <v>370</v>
      </c>
      <c r="E1382" s="78"/>
      <c r="F1382" s="71" t="str">
        <f t="shared" si="80"/>
        <v>Rhino Camp</v>
      </c>
      <c r="G1382" s="71" t="str">
        <f t="shared" si="79"/>
        <v>Arua</v>
      </c>
      <c r="H1382" s="78" t="s">
        <v>370</v>
      </c>
    </row>
    <row r="1383" spans="1:8">
      <c r="A1383" s="77">
        <v>38</v>
      </c>
      <c r="B1383" s="78" t="s">
        <v>344</v>
      </c>
      <c r="C1383" s="78" t="s">
        <v>351</v>
      </c>
      <c r="D1383" s="78" t="s">
        <v>371</v>
      </c>
      <c r="E1383" s="78"/>
      <c r="F1383" s="71" t="str">
        <f t="shared" si="80"/>
        <v>Rigbo</v>
      </c>
      <c r="G1383" s="71" t="str">
        <f t="shared" si="79"/>
        <v>Arua</v>
      </c>
      <c r="H1383" s="78" t="s">
        <v>371</v>
      </c>
    </row>
    <row r="1384" spans="1:8">
      <c r="A1384" s="77">
        <v>23</v>
      </c>
      <c r="B1384" s="80" t="s">
        <v>344</v>
      </c>
      <c r="C1384" s="81" t="s">
        <v>354</v>
      </c>
      <c r="D1384" s="80" t="s">
        <v>2904</v>
      </c>
      <c r="E1384" s="80"/>
      <c r="F1384" s="72" t="str">
        <f>VLOOKUP(C1384,[2]Municipalities!$C$9:$F$1522,4,FALSE)</f>
        <v>Arua Municipality</v>
      </c>
      <c r="G1384" s="71" t="str">
        <f t="shared" si="79"/>
        <v>Arua</v>
      </c>
      <c r="H1384" s="80" t="s">
        <v>2904</v>
      </c>
    </row>
    <row r="1385" spans="1:8">
      <c r="A1385" s="77">
        <v>945</v>
      </c>
      <c r="B1385" s="78" t="s">
        <v>458</v>
      </c>
      <c r="C1385" s="78" t="s">
        <v>459</v>
      </c>
      <c r="D1385" s="78" t="s">
        <v>467</v>
      </c>
      <c r="E1385" s="78"/>
      <c r="F1385" s="71" t="str">
        <f t="shared" si="80"/>
        <v>Riwo</v>
      </c>
      <c r="G1385" s="71" t="str">
        <f t="shared" si="79"/>
        <v>Bukwo</v>
      </c>
      <c r="H1385" s="78" t="s">
        <v>467</v>
      </c>
    </row>
    <row r="1386" spans="1:8">
      <c r="A1386" s="77">
        <v>149</v>
      </c>
      <c r="B1386" s="78" t="s">
        <v>2711</v>
      </c>
      <c r="C1386" s="78" t="s">
        <v>2712</v>
      </c>
      <c r="D1386" s="78" t="s">
        <v>2723</v>
      </c>
      <c r="E1386" s="78"/>
      <c r="F1386" s="71" t="str">
        <f t="shared" si="80"/>
        <v>Romogi</v>
      </c>
      <c r="G1386" s="71" t="str">
        <f t="shared" si="79"/>
        <v>Yumbe</v>
      </c>
      <c r="H1386" s="78" t="s">
        <v>2723</v>
      </c>
    </row>
    <row r="1387" spans="1:8">
      <c r="A1387" s="77">
        <v>1280</v>
      </c>
      <c r="B1387" s="78" t="s">
        <v>52</v>
      </c>
      <c r="C1387" s="78" t="s">
        <v>2215</v>
      </c>
      <c r="D1387" s="78" t="s">
        <v>66</v>
      </c>
      <c r="E1387" s="78"/>
      <c r="F1387" s="71" t="str">
        <f t="shared" si="80"/>
        <v>Rubaare</v>
      </c>
      <c r="G1387" s="71" t="str">
        <f t="shared" si="79"/>
        <v>Ntungamo</v>
      </c>
      <c r="H1387" s="78" t="s">
        <v>66</v>
      </c>
    </row>
    <row r="1388" spans="1:8">
      <c r="A1388" s="77">
        <v>1281</v>
      </c>
      <c r="B1388" s="78" t="s">
        <v>52</v>
      </c>
      <c r="C1388" s="78" t="s">
        <v>2215</v>
      </c>
      <c r="D1388" s="78" t="s">
        <v>2229</v>
      </c>
      <c r="E1388" s="78"/>
      <c r="F1388" s="71" t="str">
        <f t="shared" si="80"/>
        <v>Rubaare Town Council</v>
      </c>
      <c r="G1388" s="71" t="str">
        <f t="shared" si="79"/>
        <v>Ntungamo</v>
      </c>
      <c r="H1388" s="78" t="s">
        <v>2229</v>
      </c>
    </row>
    <row r="1389" spans="1:8">
      <c r="A1389" s="77">
        <v>364</v>
      </c>
      <c r="B1389" s="78" t="s">
        <v>183</v>
      </c>
      <c r="C1389" s="78" t="s">
        <v>899</v>
      </c>
      <c r="D1389" s="78" t="s">
        <v>920</v>
      </c>
      <c r="E1389" s="78" t="s">
        <v>919</v>
      </c>
      <c r="F1389" s="78" t="s">
        <v>919</v>
      </c>
      <c r="G1389" s="71" t="str">
        <f t="shared" si="79"/>
        <v>Kampala</v>
      </c>
      <c r="H1389" s="78" t="s">
        <v>920</v>
      </c>
    </row>
    <row r="1390" spans="1:8">
      <c r="A1390" s="77">
        <v>365</v>
      </c>
      <c r="B1390" s="78" t="s">
        <v>183</v>
      </c>
      <c r="C1390" s="78" t="s">
        <v>899</v>
      </c>
      <c r="D1390" s="78" t="s">
        <v>920</v>
      </c>
      <c r="E1390" s="78" t="s">
        <v>1115</v>
      </c>
      <c r="F1390" s="78" t="s">
        <v>1115</v>
      </c>
      <c r="G1390" s="71" t="str">
        <f t="shared" si="79"/>
        <v>Kampala</v>
      </c>
      <c r="H1390" s="78" t="s">
        <v>920</v>
      </c>
    </row>
    <row r="1391" spans="1:8">
      <c r="A1391" s="77">
        <v>366</v>
      </c>
      <c r="B1391" s="78" t="s">
        <v>183</v>
      </c>
      <c r="C1391" s="78" t="s">
        <v>899</v>
      </c>
      <c r="D1391" s="78" t="s">
        <v>920</v>
      </c>
      <c r="E1391" s="78" t="s">
        <v>1136</v>
      </c>
      <c r="F1391" s="78" t="s">
        <v>1136</v>
      </c>
      <c r="G1391" s="71" t="str">
        <f t="shared" si="79"/>
        <v>Kampala</v>
      </c>
      <c r="H1391" s="78" t="s">
        <v>920</v>
      </c>
    </row>
    <row r="1392" spans="1:8">
      <c r="A1392" s="77">
        <v>367</v>
      </c>
      <c r="B1392" s="78" t="s">
        <v>183</v>
      </c>
      <c r="C1392" s="78" t="s">
        <v>899</v>
      </c>
      <c r="D1392" s="78" t="s">
        <v>920</v>
      </c>
      <c r="E1392" s="78" t="s">
        <v>1212</v>
      </c>
      <c r="F1392" s="78" t="s">
        <v>1212</v>
      </c>
      <c r="G1392" s="71" t="str">
        <f t="shared" si="79"/>
        <v>Kampala</v>
      </c>
      <c r="H1392" s="78" t="s">
        <v>920</v>
      </c>
    </row>
    <row r="1393" spans="1:9">
      <c r="A1393" s="77">
        <v>368</v>
      </c>
      <c r="B1393" s="78" t="s">
        <v>183</v>
      </c>
      <c r="C1393" s="78" t="s">
        <v>899</v>
      </c>
      <c r="D1393" s="78" t="s">
        <v>920</v>
      </c>
      <c r="E1393" s="78" t="s">
        <v>610</v>
      </c>
      <c r="F1393" s="78" t="s">
        <v>610</v>
      </c>
      <c r="G1393" s="71" t="str">
        <f t="shared" si="79"/>
        <v>Kampala</v>
      </c>
      <c r="H1393" s="78" t="s">
        <v>920</v>
      </c>
    </row>
    <row r="1394" spans="1:9">
      <c r="A1394" s="77">
        <v>369</v>
      </c>
      <c r="B1394" s="78" t="s">
        <v>183</v>
      </c>
      <c r="C1394" s="78" t="s">
        <v>899</v>
      </c>
      <c r="D1394" s="78" t="s">
        <v>920</v>
      </c>
      <c r="E1394" s="78" t="s">
        <v>1214</v>
      </c>
      <c r="F1394" s="78" t="s">
        <v>1214</v>
      </c>
      <c r="G1394" s="71" t="str">
        <f t="shared" si="79"/>
        <v>Kampala</v>
      </c>
      <c r="H1394" s="78" t="s">
        <v>920</v>
      </c>
    </row>
    <row r="1395" spans="1:9">
      <c r="A1395" s="77">
        <v>370</v>
      </c>
      <c r="B1395" s="78" t="s">
        <v>183</v>
      </c>
      <c r="C1395" s="78" t="s">
        <v>899</v>
      </c>
      <c r="D1395" s="78" t="s">
        <v>920</v>
      </c>
      <c r="E1395" s="78" t="s">
        <v>1255</v>
      </c>
      <c r="F1395" s="78" t="s">
        <v>1255</v>
      </c>
      <c r="G1395" s="71" t="str">
        <f t="shared" si="79"/>
        <v>Kampala</v>
      </c>
      <c r="H1395" s="78" t="s">
        <v>920</v>
      </c>
    </row>
    <row r="1396" spans="1:9">
      <c r="A1396" s="77">
        <v>371</v>
      </c>
      <c r="B1396" s="78" t="s">
        <v>183</v>
      </c>
      <c r="C1396" s="78" t="s">
        <v>899</v>
      </c>
      <c r="D1396" s="78" t="s">
        <v>920</v>
      </c>
      <c r="E1396" s="82" t="s">
        <v>2905</v>
      </c>
      <c r="F1396" s="82" t="s">
        <v>1280</v>
      </c>
      <c r="G1396" s="71" t="str">
        <f t="shared" si="79"/>
        <v>Kampala</v>
      </c>
      <c r="H1396" s="78" t="s">
        <v>920</v>
      </c>
    </row>
    <row r="1397" spans="1:9">
      <c r="A1397" s="77">
        <v>372</v>
      </c>
      <c r="B1397" s="78" t="s">
        <v>183</v>
      </c>
      <c r="C1397" s="78" t="s">
        <v>899</v>
      </c>
      <c r="D1397" s="78" t="s">
        <v>920</v>
      </c>
      <c r="E1397" s="82" t="s">
        <v>2906</v>
      </c>
      <c r="F1397" s="82" t="s">
        <v>1280</v>
      </c>
      <c r="G1397" s="71" t="str">
        <f t="shared" si="79"/>
        <v>Kampala</v>
      </c>
      <c r="H1397" s="78" t="s">
        <v>920</v>
      </c>
      <c r="I1397" s="83" t="s">
        <v>2795</v>
      </c>
    </row>
    <row r="1398" spans="1:9">
      <c r="A1398" s="77">
        <v>373</v>
      </c>
      <c r="B1398" s="78" t="s">
        <v>183</v>
      </c>
      <c r="C1398" s="78" t="s">
        <v>899</v>
      </c>
      <c r="D1398" s="78" t="s">
        <v>920</v>
      </c>
      <c r="E1398" s="78" t="s">
        <v>1322</v>
      </c>
      <c r="F1398" s="78" t="s">
        <v>1322</v>
      </c>
      <c r="G1398" s="71" t="str">
        <f t="shared" si="79"/>
        <v>Kampala</v>
      </c>
      <c r="H1398" s="78" t="s">
        <v>920</v>
      </c>
    </row>
    <row r="1399" spans="1:9">
      <c r="A1399" s="77">
        <v>374</v>
      </c>
      <c r="B1399" s="78" t="s">
        <v>183</v>
      </c>
      <c r="C1399" s="78" t="s">
        <v>899</v>
      </c>
      <c r="D1399" s="78" t="s">
        <v>920</v>
      </c>
      <c r="E1399" s="82" t="s">
        <v>2907</v>
      </c>
      <c r="F1399" s="78" t="s">
        <v>1326</v>
      </c>
      <c r="G1399" s="71" t="str">
        <f t="shared" si="79"/>
        <v>Kampala</v>
      </c>
      <c r="H1399" s="78" t="s">
        <v>920</v>
      </c>
    </row>
    <row r="1400" spans="1:9">
      <c r="A1400" s="77">
        <v>375</v>
      </c>
      <c r="B1400" s="78" t="s">
        <v>183</v>
      </c>
      <c r="C1400" s="78" t="s">
        <v>899</v>
      </c>
      <c r="D1400" s="78" t="s">
        <v>920</v>
      </c>
      <c r="E1400" s="78" t="s">
        <v>185</v>
      </c>
      <c r="F1400" s="78" t="s">
        <v>185</v>
      </c>
      <c r="G1400" s="71" t="str">
        <f t="shared" si="79"/>
        <v>Kampala</v>
      </c>
      <c r="H1400" s="78" t="s">
        <v>920</v>
      </c>
    </row>
    <row r="1401" spans="1:9">
      <c r="A1401" s="77">
        <v>376</v>
      </c>
      <c r="B1401" s="78" t="s">
        <v>183</v>
      </c>
      <c r="C1401" s="78" t="s">
        <v>899</v>
      </c>
      <c r="D1401" s="78" t="s">
        <v>920</v>
      </c>
      <c r="E1401" s="78" t="s">
        <v>227</v>
      </c>
      <c r="F1401" s="78" t="s">
        <v>227</v>
      </c>
      <c r="G1401" s="71" t="str">
        <f t="shared" si="79"/>
        <v>Kampala</v>
      </c>
      <c r="H1401" s="78" t="s">
        <v>920</v>
      </c>
    </row>
    <row r="1402" spans="1:9">
      <c r="A1402" s="77">
        <v>1514</v>
      </c>
      <c r="B1402" s="78" t="s">
        <v>793</v>
      </c>
      <c r="C1402" s="78" t="s">
        <v>793</v>
      </c>
      <c r="D1402" s="78" t="s">
        <v>2329</v>
      </c>
      <c r="E1402" s="78"/>
      <c r="F1402" s="71" t="str">
        <f t="shared" ref="F1402" si="81">D1402</f>
        <v>Rubanda Town Council</v>
      </c>
      <c r="G1402" s="71" t="str">
        <f t="shared" si="79"/>
        <v>Rubanda</v>
      </c>
      <c r="H1402" s="78" t="s">
        <v>2329</v>
      </c>
    </row>
    <row r="1403" spans="1:9">
      <c r="A1403" s="77">
        <v>1160</v>
      </c>
      <c r="B1403" s="78" t="s">
        <v>786</v>
      </c>
      <c r="C1403" s="78" t="s">
        <v>787</v>
      </c>
      <c r="D1403" s="82" t="s">
        <v>2908</v>
      </c>
      <c r="E1403" s="78"/>
      <c r="F1403" s="71" t="str">
        <f t="shared" ref="F1403:F1404" si="82">D1403&amp;"-"&amp;B1403</f>
        <v>Rubaya-Kabale</v>
      </c>
      <c r="G1403" s="71" t="str">
        <f t="shared" si="79"/>
        <v>Kabale</v>
      </c>
      <c r="H1403" s="82" t="s">
        <v>2908</v>
      </c>
    </row>
    <row r="1404" spans="1:9">
      <c r="A1404" s="77">
        <v>1248</v>
      </c>
      <c r="B1404" s="78" t="s">
        <v>230</v>
      </c>
      <c r="C1404" s="78" t="s">
        <v>1911</v>
      </c>
      <c r="D1404" s="82" t="s">
        <v>2908</v>
      </c>
      <c r="E1404" s="78"/>
      <c r="F1404" s="71" t="str">
        <f t="shared" si="82"/>
        <v>Rubaya-Mbarara</v>
      </c>
      <c r="G1404" s="71" t="str">
        <f t="shared" si="79"/>
        <v>Mbarara</v>
      </c>
      <c r="H1404" s="82" t="s">
        <v>2908</v>
      </c>
    </row>
    <row r="1405" spans="1:9">
      <c r="A1405" s="77">
        <v>1249</v>
      </c>
      <c r="B1405" s="78" t="s">
        <v>230</v>
      </c>
      <c r="C1405" s="78" t="s">
        <v>1911</v>
      </c>
      <c r="D1405" s="78" t="s">
        <v>1947</v>
      </c>
      <c r="E1405" s="78"/>
      <c r="F1405" s="71" t="str">
        <f t="shared" ref="F1405:F1412" si="83">D1405</f>
        <v>Rubindi</v>
      </c>
      <c r="G1405" s="71" t="str">
        <f t="shared" si="79"/>
        <v>Mbarara</v>
      </c>
      <c r="H1405" s="78" t="s">
        <v>1947</v>
      </c>
    </row>
    <row r="1406" spans="1:9">
      <c r="A1406" s="77">
        <v>1455</v>
      </c>
      <c r="B1406" s="78" t="s">
        <v>2332</v>
      </c>
      <c r="C1406" s="78" t="s">
        <v>54</v>
      </c>
      <c r="D1406" s="78" t="s">
        <v>2339</v>
      </c>
      <c r="E1406" s="78"/>
      <c r="F1406" s="71" t="str">
        <f t="shared" si="83"/>
        <v>Rubiriziri Town Council</v>
      </c>
      <c r="G1406" s="71" t="str">
        <f t="shared" si="79"/>
        <v>Rubirizi</v>
      </c>
      <c r="H1406" s="78" t="s">
        <v>2339</v>
      </c>
    </row>
    <row r="1407" spans="1:9">
      <c r="A1407" s="77">
        <v>1521</v>
      </c>
      <c r="B1407" s="78" t="s">
        <v>523</v>
      </c>
      <c r="C1407" s="78" t="s">
        <v>523</v>
      </c>
      <c r="D1407" s="78" t="s">
        <v>531</v>
      </c>
      <c r="E1407" s="78"/>
      <c r="F1407" s="71" t="str">
        <f t="shared" si="83"/>
        <v>Rubona Town Council</v>
      </c>
      <c r="G1407" s="71" t="str">
        <f t="shared" si="79"/>
        <v>Bunyangabu</v>
      </c>
      <c r="H1407" s="78" t="s">
        <v>531</v>
      </c>
    </row>
    <row r="1408" spans="1:9">
      <c r="A1408" s="77">
        <v>837</v>
      </c>
      <c r="B1408" s="78" t="s">
        <v>201</v>
      </c>
      <c r="C1408" s="78" t="s">
        <v>2455</v>
      </c>
      <c r="D1408" s="78" t="s">
        <v>2472</v>
      </c>
      <c r="E1408" s="78"/>
      <c r="F1408" s="71" t="str">
        <f t="shared" si="83"/>
        <v>Rubongi</v>
      </c>
      <c r="G1408" s="71" t="str">
        <f t="shared" si="79"/>
        <v>Tororo</v>
      </c>
      <c r="H1408" s="78" t="s">
        <v>2472</v>
      </c>
    </row>
    <row r="1409" spans="1:8">
      <c r="A1409" s="77">
        <v>1385</v>
      </c>
      <c r="B1409" s="78" t="s">
        <v>53</v>
      </c>
      <c r="C1409" s="78" t="s">
        <v>53</v>
      </c>
      <c r="D1409" s="78" t="s">
        <v>747</v>
      </c>
      <c r="E1409" s="78"/>
      <c r="F1409" s="71" t="str">
        <f t="shared" si="83"/>
        <v>Ruborogota</v>
      </c>
      <c r="G1409" s="71" t="str">
        <f t="shared" si="79"/>
        <v>Isingiro</v>
      </c>
      <c r="H1409" s="78" t="s">
        <v>747</v>
      </c>
    </row>
    <row r="1410" spans="1:8">
      <c r="A1410" s="77">
        <v>1231</v>
      </c>
      <c r="B1410" s="78" t="s">
        <v>1593</v>
      </c>
      <c r="C1410" s="78" t="s">
        <v>1594</v>
      </c>
      <c r="D1410" s="78" t="s">
        <v>1609</v>
      </c>
      <c r="E1410" s="78"/>
      <c r="F1410" s="71" t="str">
        <f t="shared" si="83"/>
        <v>Rubuguri Town Council</v>
      </c>
      <c r="G1410" s="71" t="str">
        <f t="shared" si="79"/>
        <v>Kisoro</v>
      </c>
      <c r="H1410" s="78" t="s">
        <v>1609</v>
      </c>
    </row>
    <row r="1411" spans="1:8">
      <c r="A1411" s="77">
        <v>1370</v>
      </c>
      <c r="B1411" s="78" t="s">
        <v>53</v>
      </c>
      <c r="C1411" s="78" t="s">
        <v>715</v>
      </c>
      <c r="D1411" s="78" t="s">
        <v>748</v>
      </c>
      <c r="E1411" s="78"/>
      <c r="F1411" s="71" t="str">
        <f t="shared" si="83"/>
        <v>Rugaaga</v>
      </c>
      <c r="G1411" s="71" t="str">
        <f t="shared" si="79"/>
        <v>Isingiro</v>
      </c>
      <c r="H1411" s="78" t="s">
        <v>748</v>
      </c>
    </row>
    <row r="1412" spans="1:8">
      <c r="A1412" s="77">
        <v>1260</v>
      </c>
      <c r="B1412" s="78" t="s">
        <v>230</v>
      </c>
      <c r="C1412" s="78" t="s">
        <v>1913</v>
      </c>
      <c r="D1412" s="78" t="s">
        <v>1949</v>
      </c>
      <c r="E1412" s="78"/>
      <c r="F1412" s="71" t="str">
        <f t="shared" si="83"/>
        <v>Rugando</v>
      </c>
      <c r="G1412" s="71" t="str">
        <f t="shared" si="79"/>
        <v>Mbarara</v>
      </c>
      <c r="H1412" s="78" t="s">
        <v>1949</v>
      </c>
    </row>
    <row r="1413" spans="1:8">
      <c r="A1413" s="77">
        <v>1282</v>
      </c>
      <c r="B1413" s="78" t="s">
        <v>52</v>
      </c>
      <c r="C1413" s="78" t="s">
        <v>2215</v>
      </c>
      <c r="D1413" s="82" t="s">
        <v>2909</v>
      </c>
      <c r="E1413" s="78"/>
      <c r="F1413" s="71" t="str">
        <f t="shared" ref="F1413:F1414" si="84">D1413&amp;"-"&amp;B1413</f>
        <v>Rugarama-Ntungamo</v>
      </c>
      <c r="G1413" s="71" t="str">
        <f t="shared" si="79"/>
        <v>Ntungamo</v>
      </c>
      <c r="H1413" s="82" t="s">
        <v>2909</v>
      </c>
    </row>
    <row r="1414" spans="1:8">
      <c r="A1414" s="77">
        <v>1469</v>
      </c>
      <c r="B1414" s="78" t="s">
        <v>42</v>
      </c>
      <c r="C1414" s="78" t="s">
        <v>42</v>
      </c>
      <c r="D1414" s="82" t="s">
        <v>2909</v>
      </c>
      <c r="E1414" s="78"/>
      <c r="F1414" s="71" t="str">
        <f t="shared" si="84"/>
        <v>Rugarama-Sheema</v>
      </c>
      <c r="G1414" s="71" t="str">
        <f t="shared" si="79"/>
        <v>Sheema</v>
      </c>
      <c r="H1414" s="82" t="s">
        <v>2909</v>
      </c>
    </row>
    <row r="1415" spans="1:8">
      <c r="A1415" s="77">
        <v>1493</v>
      </c>
      <c r="B1415" s="78" t="s">
        <v>837</v>
      </c>
      <c r="C1415" s="78" t="s">
        <v>838</v>
      </c>
      <c r="D1415" s="78" t="s">
        <v>853</v>
      </c>
      <c r="E1415" s="78"/>
      <c r="F1415" s="71" t="str">
        <f t="shared" ref="F1415:F1428" si="85">D1415</f>
        <v>Rugashari</v>
      </c>
      <c r="G1415" s="71" t="str">
        <f t="shared" si="79"/>
        <v>Kagadi</v>
      </c>
      <c r="H1415" s="78" t="s">
        <v>853</v>
      </c>
    </row>
    <row r="1416" spans="1:8">
      <c r="A1416" s="77">
        <v>1328</v>
      </c>
      <c r="B1416" s="78" t="s">
        <v>1418</v>
      </c>
      <c r="C1416" s="78" t="s">
        <v>1419</v>
      </c>
      <c r="D1416" s="78" t="s">
        <v>1435</v>
      </c>
      <c r="E1416" s="78"/>
      <c r="F1416" s="71" t="str">
        <f t="shared" si="85"/>
        <v>Rugyeyo</v>
      </c>
      <c r="G1416" s="71" t="str">
        <f t="shared" si="79"/>
        <v>Kanungu</v>
      </c>
      <c r="H1416" s="78" t="s">
        <v>1435</v>
      </c>
    </row>
    <row r="1417" spans="1:8">
      <c r="A1417" s="77">
        <v>1274</v>
      </c>
      <c r="B1417" s="78" t="s">
        <v>52</v>
      </c>
      <c r="C1417" s="78" t="s">
        <v>2211</v>
      </c>
      <c r="D1417" s="78" t="s">
        <v>2211</v>
      </c>
      <c r="E1417" s="78"/>
      <c r="F1417" s="71" t="str">
        <f t="shared" si="85"/>
        <v>Ruhaama</v>
      </c>
      <c r="G1417" s="71" t="str">
        <f t="shared" si="79"/>
        <v>Ntungamo</v>
      </c>
      <c r="H1417" s="78" t="s">
        <v>2211</v>
      </c>
    </row>
    <row r="1418" spans="1:8">
      <c r="A1418" s="77">
        <v>1513</v>
      </c>
      <c r="B1418" s="78" t="s">
        <v>793</v>
      </c>
      <c r="C1418" s="78" t="s">
        <v>793</v>
      </c>
      <c r="D1418" s="78" t="s">
        <v>2330</v>
      </c>
      <c r="E1418" s="78"/>
      <c r="F1418" s="71" t="str">
        <f t="shared" si="85"/>
        <v>Ruhija</v>
      </c>
      <c r="G1418" s="71" t="str">
        <f t="shared" ref="G1418:G1481" si="86">B1418</f>
        <v>Rubanda</v>
      </c>
      <c r="H1418" s="78" t="s">
        <v>2330</v>
      </c>
    </row>
    <row r="1419" spans="1:8">
      <c r="A1419" s="77">
        <v>1293</v>
      </c>
      <c r="B1419" s="78" t="s">
        <v>41</v>
      </c>
      <c r="C1419" s="78" t="s">
        <v>2359</v>
      </c>
      <c r="D1419" s="78" t="s">
        <v>1956</v>
      </c>
      <c r="E1419" s="78"/>
      <c r="F1419" s="71" t="str">
        <f t="shared" si="85"/>
        <v>Ruhinda</v>
      </c>
      <c r="G1419" s="71" t="str">
        <f t="shared" si="86"/>
        <v>Rukungiri</v>
      </c>
      <c r="H1419" s="78" t="s">
        <v>1956</v>
      </c>
    </row>
    <row r="1420" spans="1:8">
      <c r="A1420" s="77">
        <v>1133</v>
      </c>
      <c r="B1420" s="78" t="s">
        <v>39</v>
      </c>
      <c r="C1420" s="78" t="s">
        <v>535</v>
      </c>
      <c r="D1420" s="78" t="s">
        <v>553</v>
      </c>
      <c r="E1420" s="78"/>
      <c r="F1420" s="71" t="str">
        <f t="shared" si="85"/>
        <v>Ruhumuro</v>
      </c>
      <c r="G1420" s="71" t="str">
        <f t="shared" si="86"/>
        <v>Bushenyi</v>
      </c>
      <c r="H1420" s="78" t="s">
        <v>553</v>
      </c>
    </row>
    <row r="1421" spans="1:8">
      <c r="A1421" s="77">
        <v>1361</v>
      </c>
      <c r="B1421" s="78" t="s">
        <v>44</v>
      </c>
      <c r="C1421" s="78" t="s">
        <v>44</v>
      </c>
      <c r="D1421" s="78" t="s">
        <v>683</v>
      </c>
      <c r="E1421" s="78"/>
      <c r="F1421" s="71" t="str">
        <f t="shared" si="85"/>
        <v>Rukiri</v>
      </c>
      <c r="G1421" s="71" t="str">
        <f t="shared" si="86"/>
        <v>Ibanda</v>
      </c>
      <c r="H1421" s="78" t="s">
        <v>683</v>
      </c>
    </row>
    <row r="1422" spans="1:8">
      <c r="A1422" s="77">
        <v>1204</v>
      </c>
      <c r="B1422" s="78" t="s">
        <v>37</v>
      </c>
      <c r="C1422" s="78" t="s">
        <v>1452</v>
      </c>
      <c r="D1422" s="78" t="s">
        <v>1486</v>
      </c>
      <c r="E1422" s="78"/>
      <c r="F1422" s="71" t="str">
        <f t="shared" si="85"/>
        <v>Rukoki</v>
      </c>
      <c r="G1422" s="71" t="str">
        <f t="shared" si="86"/>
        <v>Kasese</v>
      </c>
      <c r="H1422" s="78" t="s">
        <v>1486</v>
      </c>
    </row>
    <row r="1423" spans="1:8">
      <c r="A1423" s="77">
        <v>1275</v>
      </c>
      <c r="B1423" s="78" t="s">
        <v>52</v>
      </c>
      <c r="C1423" s="78" t="s">
        <v>2211</v>
      </c>
      <c r="D1423" s="78" t="s">
        <v>2231</v>
      </c>
      <c r="E1423" s="78"/>
      <c r="F1423" s="71" t="str">
        <f t="shared" si="85"/>
        <v>Rukoni East</v>
      </c>
      <c r="G1423" s="71" t="str">
        <f t="shared" si="86"/>
        <v>Ntungamo</v>
      </c>
      <c r="H1423" s="78" t="s">
        <v>2231</v>
      </c>
    </row>
    <row r="1424" spans="1:8">
      <c r="A1424" s="77">
        <v>1276</v>
      </c>
      <c r="B1424" s="78" t="s">
        <v>52</v>
      </c>
      <c r="C1424" s="78" t="s">
        <v>2211</v>
      </c>
      <c r="D1424" s="78" t="s">
        <v>2232</v>
      </c>
      <c r="E1424" s="78"/>
      <c r="F1424" s="71" t="str">
        <f t="shared" si="85"/>
        <v>Rukoni West</v>
      </c>
      <c r="G1424" s="71" t="str">
        <f t="shared" si="86"/>
        <v>Ntungamo</v>
      </c>
      <c r="H1424" s="78" t="s">
        <v>2232</v>
      </c>
    </row>
    <row r="1425" spans="1:8">
      <c r="A1425" s="77">
        <v>94</v>
      </c>
      <c r="B1425" s="78" t="s">
        <v>279</v>
      </c>
      <c r="C1425" s="78" t="s">
        <v>1994</v>
      </c>
      <c r="D1425" s="78" t="s">
        <v>1998</v>
      </c>
      <c r="E1425" s="78"/>
      <c r="F1425" s="71" t="str">
        <f t="shared" si="85"/>
        <v>Rupa</v>
      </c>
      <c r="G1425" s="71" t="str">
        <f t="shared" si="86"/>
        <v>Moroto</v>
      </c>
      <c r="H1425" s="78" t="s">
        <v>1998</v>
      </c>
    </row>
    <row r="1426" spans="1:8">
      <c r="A1426" s="77">
        <v>1441</v>
      </c>
      <c r="B1426" s="78" t="s">
        <v>51</v>
      </c>
      <c r="C1426" s="78" t="s">
        <v>1956</v>
      </c>
      <c r="D1426" s="78" t="s">
        <v>1966</v>
      </c>
      <c r="E1426" s="78"/>
      <c r="F1426" s="71" t="str">
        <f t="shared" si="85"/>
        <v>Rurehe</v>
      </c>
      <c r="G1426" s="71" t="str">
        <f t="shared" si="86"/>
        <v>Mitooma</v>
      </c>
      <c r="H1426" s="78" t="s">
        <v>1966</v>
      </c>
    </row>
    <row r="1427" spans="1:8">
      <c r="A1427" s="77">
        <v>1362</v>
      </c>
      <c r="B1427" s="78" t="s">
        <v>44</v>
      </c>
      <c r="C1427" s="78" t="s">
        <v>44</v>
      </c>
      <c r="D1427" s="78" t="s">
        <v>686</v>
      </c>
      <c r="E1427" s="78"/>
      <c r="F1427" s="71" t="str">
        <f t="shared" si="85"/>
        <v>Rushango Town Council</v>
      </c>
      <c r="G1427" s="71" t="str">
        <f t="shared" si="86"/>
        <v>Ibanda</v>
      </c>
      <c r="H1427" s="78" t="s">
        <v>686</v>
      </c>
    </row>
    <row r="1428" spans="1:8">
      <c r="A1428" s="77">
        <v>1371</v>
      </c>
      <c r="B1428" s="78" t="s">
        <v>53</v>
      </c>
      <c r="C1428" s="78" t="s">
        <v>715</v>
      </c>
      <c r="D1428" s="78" t="s">
        <v>751</v>
      </c>
      <c r="E1428" s="78"/>
      <c r="F1428" s="71" t="str">
        <f t="shared" si="85"/>
        <v>Rushasha</v>
      </c>
      <c r="G1428" s="71" t="str">
        <f t="shared" si="86"/>
        <v>Isingiro</v>
      </c>
      <c r="H1428" s="78" t="s">
        <v>751</v>
      </c>
    </row>
    <row r="1429" spans="1:8">
      <c r="A1429" s="77">
        <v>1173</v>
      </c>
      <c r="B1429" s="78" t="s">
        <v>803</v>
      </c>
      <c r="C1429" s="78" t="s">
        <v>804</v>
      </c>
      <c r="D1429" s="82" t="s">
        <v>2910</v>
      </c>
      <c r="E1429" s="78"/>
      <c r="F1429" s="71" t="str">
        <f t="shared" ref="F1429:F1430" si="87">D1429&amp;"-"&amp;B1429</f>
        <v>Ruteete-Kabarole</v>
      </c>
      <c r="G1429" s="71" t="str">
        <f t="shared" si="86"/>
        <v>Kabarole</v>
      </c>
      <c r="H1429" s="82" t="s">
        <v>2910</v>
      </c>
    </row>
    <row r="1430" spans="1:8">
      <c r="A1430" s="77">
        <v>1494</v>
      </c>
      <c r="B1430" s="78" t="s">
        <v>837</v>
      </c>
      <c r="C1430" s="78" t="s">
        <v>838</v>
      </c>
      <c r="D1430" s="82" t="s">
        <v>2910</v>
      </c>
      <c r="E1430" s="78"/>
      <c r="F1430" s="71" t="str">
        <f t="shared" si="87"/>
        <v>Ruteete-Kagadi</v>
      </c>
      <c r="G1430" s="71" t="str">
        <f t="shared" si="86"/>
        <v>Kagadi</v>
      </c>
      <c r="H1430" s="82" t="s">
        <v>2910</v>
      </c>
    </row>
    <row r="1431" spans="1:8">
      <c r="A1431" s="77">
        <v>1329</v>
      </c>
      <c r="B1431" s="78" t="s">
        <v>1418</v>
      </c>
      <c r="C1431" s="78" t="s">
        <v>1419</v>
      </c>
      <c r="D1431" s="78" t="s">
        <v>1436</v>
      </c>
      <c r="E1431" s="78"/>
      <c r="F1431" s="71" t="str">
        <f t="shared" ref="F1431:F1470" si="88">D1431</f>
        <v>Rutenga</v>
      </c>
      <c r="G1431" s="71" t="str">
        <f t="shared" si="86"/>
        <v>Kanungu</v>
      </c>
      <c r="H1431" s="78" t="s">
        <v>1436</v>
      </c>
    </row>
    <row r="1432" spans="1:8">
      <c r="A1432" s="77">
        <v>1456</v>
      </c>
      <c r="B1432" s="78" t="s">
        <v>2332</v>
      </c>
      <c r="C1432" s="78" t="s">
        <v>54</v>
      </c>
      <c r="D1432" s="78" t="s">
        <v>2344</v>
      </c>
      <c r="E1432" s="78"/>
      <c r="F1432" s="71" t="str">
        <f t="shared" si="88"/>
        <v>Rutoto</v>
      </c>
      <c r="G1432" s="71" t="str">
        <f t="shared" si="86"/>
        <v>Rubirizi</v>
      </c>
      <c r="H1432" s="78" t="s">
        <v>2344</v>
      </c>
    </row>
    <row r="1433" spans="1:8">
      <c r="A1433" s="77">
        <v>1427</v>
      </c>
      <c r="B1433" s="78" t="s">
        <v>1697</v>
      </c>
      <c r="C1433" s="78" t="s">
        <v>1698</v>
      </c>
      <c r="D1433" s="78" t="s">
        <v>1706</v>
      </c>
      <c r="E1433" s="78"/>
      <c r="F1433" s="71" t="str">
        <f t="shared" si="88"/>
        <v>Ruyonza</v>
      </c>
      <c r="G1433" s="71" t="str">
        <f t="shared" si="86"/>
        <v>Kyegegwa</v>
      </c>
      <c r="H1433" s="78" t="s">
        <v>1706</v>
      </c>
    </row>
    <row r="1434" spans="1:8">
      <c r="A1434" s="77">
        <v>1530</v>
      </c>
      <c r="B1434" s="78" t="s">
        <v>2349</v>
      </c>
      <c r="C1434" s="78" t="s">
        <v>2349</v>
      </c>
      <c r="D1434" s="78" t="s">
        <v>2911</v>
      </c>
      <c r="E1434" s="78"/>
      <c r="F1434" s="71" t="str">
        <f t="shared" si="88"/>
        <v>Rwamucucu</v>
      </c>
      <c r="G1434" s="71" t="str">
        <f t="shared" si="86"/>
        <v>Rukiga</v>
      </c>
      <c r="H1434" s="78" t="s">
        <v>2911</v>
      </c>
    </row>
    <row r="1435" spans="1:8">
      <c r="A1435" s="77">
        <v>1306</v>
      </c>
      <c r="B1435" s="78" t="s">
        <v>50</v>
      </c>
      <c r="C1435" s="78" t="s">
        <v>598</v>
      </c>
      <c r="D1435" s="78" t="s">
        <v>1414</v>
      </c>
      <c r="E1435" s="78"/>
      <c r="F1435" s="71" t="str">
        <f t="shared" si="88"/>
        <v>Rwamwanja Refugee Camp</v>
      </c>
      <c r="G1435" s="71" t="str">
        <f t="shared" si="86"/>
        <v>Kamwenge</v>
      </c>
      <c r="H1435" s="78" t="s">
        <v>1414</v>
      </c>
    </row>
    <row r="1436" spans="1:8">
      <c r="A1436" s="77">
        <v>1250</v>
      </c>
      <c r="B1436" s="78" t="s">
        <v>230</v>
      </c>
      <c r="C1436" s="78" t="s">
        <v>1911</v>
      </c>
      <c r="D1436" s="78" t="s">
        <v>1950</v>
      </c>
      <c r="E1436" s="78"/>
      <c r="F1436" s="71" t="str">
        <f t="shared" si="88"/>
        <v>Rwanyamahembe</v>
      </c>
      <c r="G1436" s="71" t="str">
        <f t="shared" si="86"/>
        <v>Mbarara</v>
      </c>
      <c r="H1436" s="78" t="s">
        <v>1950</v>
      </c>
    </row>
    <row r="1437" spans="1:8">
      <c r="A1437" s="77">
        <v>1265</v>
      </c>
      <c r="B1437" s="78" t="s">
        <v>52</v>
      </c>
      <c r="C1437" s="78" t="s">
        <v>2208</v>
      </c>
      <c r="D1437" s="78" t="s">
        <v>2234</v>
      </c>
      <c r="E1437" s="78"/>
      <c r="F1437" s="71" t="str">
        <f t="shared" si="88"/>
        <v>Rwashamaire Town Council</v>
      </c>
      <c r="G1437" s="71" t="str">
        <f t="shared" si="86"/>
        <v>Ntungamo</v>
      </c>
      <c r="H1437" s="78" t="s">
        <v>2234</v>
      </c>
    </row>
    <row r="1438" spans="1:8">
      <c r="A1438" s="77">
        <v>1450</v>
      </c>
      <c r="B1438" s="78" t="s">
        <v>2197</v>
      </c>
      <c r="C1438" s="78" t="s">
        <v>2197</v>
      </c>
      <c r="D1438" s="78" t="s">
        <v>2205</v>
      </c>
      <c r="E1438" s="78"/>
      <c r="F1438" s="71" t="str">
        <f t="shared" si="88"/>
        <v>Rwebisengo</v>
      </c>
      <c r="G1438" s="71" t="str">
        <f t="shared" si="86"/>
        <v>Ntoroko</v>
      </c>
      <c r="H1438" s="78" t="s">
        <v>2205</v>
      </c>
    </row>
    <row r="1439" spans="1:8">
      <c r="A1439" s="77">
        <v>1451</v>
      </c>
      <c r="B1439" s="78" t="s">
        <v>2197</v>
      </c>
      <c r="C1439" s="78" t="s">
        <v>2197</v>
      </c>
      <c r="D1439" s="78" t="s">
        <v>2206</v>
      </c>
      <c r="E1439" s="78"/>
      <c r="F1439" s="71" t="str">
        <f t="shared" si="88"/>
        <v>Rwebisengo Town Council</v>
      </c>
      <c r="G1439" s="71" t="str">
        <f t="shared" si="86"/>
        <v>Ntoroko</v>
      </c>
      <c r="H1439" s="78" t="s">
        <v>2206</v>
      </c>
    </row>
    <row r="1440" spans="1:8">
      <c r="A1440" s="77">
        <v>1277</v>
      </c>
      <c r="B1440" s="78" t="s">
        <v>52</v>
      </c>
      <c r="C1440" s="78" t="s">
        <v>2211</v>
      </c>
      <c r="D1440" s="78" t="s">
        <v>2236</v>
      </c>
      <c r="E1440" s="78"/>
      <c r="F1440" s="71" t="str">
        <f t="shared" si="88"/>
        <v>Rweikiniro</v>
      </c>
      <c r="G1440" s="71" t="str">
        <f t="shared" si="86"/>
        <v>Ntungamo</v>
      </c>
      <c r="H1440" s="78" t="s">
        <v>2236</v>
      </c>
    </row>
    <row r="1441" spans="1:8">
      <c r="A1441" s="77">
        <v>1394</v>
      </c>
      <c r="B1441" s="78" t="s">
        <v>1548</v>
      </c>
      <c r="C1441" s="78" t="s">
        <v>1549</v>
      </c>
      <c r="D1441" s="78" t="s">
        <v>1578</v>
      </c>
      <c r="E1441" s="78"/>
      <c r="F1441" s="71" t="str">
        <f t="shared" si="88"/>
        <v>Rwemikoma</v>
      </c>
      <c r="G1441" s="71" t="str">
        <f t="shared" si="86"/>
        <v>Kiruhura</v>
      </c>
      <c r="H1441" s="78" t="s">
        <v>1578</v>
      </c>
    </row>
    <row r="1442" spans="1:8">
      <c r="A1442" s="77">
        <v>1412</v>
      </c>
      <c r="B1442" s="78" t="s">
        <v>418</v>
      </c>
      <c r="C1442" s="78" t="s">
        <v>418</v>
      </c>
      <c r="D1442" s="78" t="s">
        <v>428</v>
      </c>
      <c r="E1442" s="78"/>
      <c r="F1442" s="71" t="str">
        <f t="shared" si="88"/>
        <v>Rwengwe</v>
      </c>
      <c r="G1442" s="71" t="str">
        <f t="shared" si="86"/>
        <v>Buhweju</v>
      </c>
      <c r="H1442" s="78" t="s">
        <v>428</v>
      </c>
    </row>
    <row r="1443" spans="1:8">
      <c r="A1443" s="77">
        <v>1428</v>
      </c>
      <c r="B1443" s="78" t="s">
        <v>1697</v>
      </c>
      <c r="C1443" s="78" t="s">
        <v>1698</v>
      </c>
      <c r="D1443" s="78" t="s">
        <v>1707</v>
      </c>
      <c r="E1443" s="78"/>
      <c r="F1443" s="71" t="str">
        <f t="shared" si="88"/>
        <v>Rwentuha</v>
      </c>
      <c r="G1443" s="71" t="str">
        <f t="shared" si="86"/>
        <v>Kyegegwa</v>
      </c>
      <c r="H1443" s="78" t="s">
        <v>1707</v>
      </c>
    </row>
    <row r="1444" spans="1:8">
      <c r="A1444" s="77">
        <v>1522</v>
      </c>
      <c r="B1444" s="78" t="s">
        <v>523</v>
      </c>
      <c r="C1444" s="78" t="s">
        <v>523</v>
      </c>
      <c r="D1444" s="78" t="s">
        <v>532</v>
      </c>
      <c r="E1444" s="78"/>
      <c r="F1444" s="71" t="str">
        <f t="shared" si="88"/>
        <v>Rwimi</v>
      </c>
      <c r="G1444" s="71" t="str">
        <f t="shared" si="86"/>
        <v>Bunyangabu</v>
      </c>
      <c r="H1444" s="78" t="s">
        <v>532</v>
      </c>
    </row>
    <row r="1445" spans="1:8">
      <c r="A1445" s="77">
        <v>1523</v>
      </c>
      <c r="B1445" s="78" t="s">
        <v>523</v>
      </c>
      <c r="C1445" s="78" t="s">
        <v>523</v>
      </c>
      <c r="D1445" s="78" t="s">
        <v>533</v>
      </c>
      <c r="E1445" s="78"/>
      <c r="F1445" s="71" t="str">
        <f t="shared" si="88"/>
        <v>Rwimi Town Council</v>
      </c>
      <c r="G1445" s="71" t="str">
        <f t="shared" si="86"/>
        <v>Bunyangabu</v>
      </c>
      <c r="H1445" s="78" t="s">
        <v>533</v>
      </c>
    </row>
    <row r="1446" spans="1:8">
      <c r="A1446" s="77">
        <v>1161</v>
      </c>
      <c r="B1446" s="78" t="s">
        <v>786</v>
      </c>
      <c r="C1446" s="78" t="s">
        <v>787</v>
      </c>
      <c r="D1446" s="78" t="s">
        <v>801</v>
      </c>
      <c r="E1446" s="78"/>
      <c r="F1446" s="71" t="str">
        <f t="shared" si="88"/>
        <v>Ryakirimira Town Council</v>
      </c>
      <c r="G1446" s="71" t="str">
        <f t="shared" si="86"/>
        <v>Kabale</v>
      </c>
      <c r="H1446" s="78" t="s">
        <v>801</v>
      </c>
    </row>
    <row r="1447" spans="1:8">
      <c r="A1447" s="77">
        <v>1457</v>
      </c>
      <c r="B1447" s="78" t="s">
        <v>2332</v>
      </c>
      <c r="C1447" s="78" t="s">
        <v>54</v>
      </c>
      <c r="D1447" s="78" t="s">
        <v>2345</v>
      </c>
      <c r="E1447" s="78"/>
      <c r="F1447" s="71" t="str">
        <f t="shared" si="88"/>
        <v>Ryeru</v>
      </c>
      <c r="G1447" s="71" t="str">
        <f t="shared" si="86"/>
        <v>Rubirizi</v>
      </c>
      <c r="H1447" s="78" t="s">
        <v>2345</v>
      </c>
    </row>
    <row r="1448" spans="1:8">
      <c r="A1448" s="77">
        <v>1403</v>
      </c>
      <c r="B1448" s="78" t="s">
        <v>1548</v>
      </c>
      <c r="C1448" s="78" t="s">
        <v>1554</v>
      </c>
      <c r="D1448" s="78" t="s">
        <v>1579</v>
      </c>
      <c r="E1448" s="78"/>
      <c r="F1448" s="71" t="str">
        <f t="shared" si="88"/>
        <v>Sanga</v>
      </c>
      <c r="G1448" s="71" t="str">
        <f t="shared" si="86"/>
        <v>Kiruhura</v>
      </c>
      <c r="H1448" s="78" t="s">
        <v>1579</v>
      </c>
    </row>
    <row r="1449" spans="1:8">
      <c r="A1449" s="77">
        <v>1404</v>
      </c>
      <c r="B1449" s="78" t="s">
        <v>1548</v>
      </c>
      <c r="C1449" s="78" t="s">
        <v>1554</v>
      </c>
      <c r="D1449" s="78" t="s">
        <v>1580</v>
      </c>
      <c r="E1449" s="78"/>
      <c r="F1449" s="71" t="str">
        <f t="shared" si="88"/>
        <v>Sanga Town Council</v>
      </c>
      <c r="G1449" s="71" t="str">
        <f t="shared" si="86"/>
        <v>Kiruhura</v>
      </c>
      <c r="H1449" s="78" t="s">
        <v>1580</v>
      </c>
    </row>
    <row r="1450" spans="1:8">
      <c r="A1450" s="77">
        <v>492</v>
      </c>
      <c r="B1450" s="78" t="s">
        <v>2053</v>
      </c>
      <c r="C1450" s="78" t="s">
        <v>2054</v>
      </c>
      <c r="D1450" s="78" t="s">
        <v>2088</v>
      </c>
      <c r="E1450" s="78"/>
      <c r="F1450" s="71" t="str">
        <f t="shared" si="88"/>
        <v>Seeta Namuganga</v>
      </c>
      <c r="G1450" s="71" t="str">
        <f t="shared" si="86"/>
        <v>Mukono</v>
      </c>
      <c r="H1450" s="78" t="s">
        <v>2088</v>
      </c>
    </row>
    <row r="1451" spans="1:8">
      <c r="A1451" s="77">
        <v>522</v>
      </c>
      <c r="B1451" s="78" t="s">
        <v>2442</v>
      </c>
      <c r="C1451" s="78" t="s">
        <v>2443</v>
      </c>
      <c r="D1451" s="78" t="s">
        <v>2450</v>
      </c>
      <c r="E1451" s="78"/>
      <c r="F1451" s="71" t="str">
        <f t="shared" si="88"/>
        <v>Sembabule Town Council</v>
      </c>
      <c r="G1451" s="71" t="str">
        <f t="shared" si="86"/>
        <v>Ssembabule</v>
      </c>
      <c r="H1451" s="78" t="s">
        <v>2450</v>
      </c>
    </row>
    <row r="1452" spans="1:8">
      <c r="A1452" s="77">
        <v>591</v>
      </c>
      <c r="B1452" s="78" t="s">
        <v>2101</v>
      </c>
      <c r="C1452" s="78" t="s">
        <v>2101</v>
      </c>
      <c r="D1452" s="78" t="s">
        <v>2114</v>
      </c>
      <c r="E1452" s="78"/>
      <c r="F1452" s="71" t="str">
        <f t="shared" si="88"/>
        <v>Semuto</v>
      </c>
      <c r="G1452" s="71" t="str">
        <f t="shared" si="86"/>
        <v>Nakaseke</v>
      </c>
      <c r="H1452" s="78" t="s">
        <v>2114</v>
      </c>
    </row>
    <row r="1453" spans="1:8">
      <c r="A1453" s="77">
        <v>592</v>
      </c>
      <c r="B1453" s="78" t="s">
        <v>2101</v>
      </c>
      <c r="C1453" s="78" t="s">
        <v>2101</v>
      </c>
      <c r="D1453" s="78" t="s">
        <v>2117</v>
      </c>
      <c r="E1453" s="78"/>
      <c r="F1453" s="71" t="str">
        <f t="shared" si="88"/>
        <v>Semuto Town Council</v>
      </c>
      <c r="G1453" s="71" t="str">
        <f t="shared" si="86"/>
        <v>Nakaseke</v>
      </c>
      <c r="H1453" s="78" t="s">
        <v>2117</v>
      </c>
    </row>
    <row r="1454" spans="1:8">
      <c r="A1454" s="77">
        <v>946</v>
      </c>
      <c r="B1454" s="78" t="s">
        <v>458</v>
      </c>
      <c r="C1454" s="78" t="s">
        <v>459</v>
      </c>
      <c r="D1454" s="78" t="s">
        <v>468</v>
      </c>
      <c r="E1454" s="78"/>
      <c r="F1454" s="71" t="str">
        <f t="shared" si="88"/>
        <v>Senendet</v>
      </c>
      <c r="G1454" s="71" t="str">
        <f t="shared" si="86"/>
        <v>Bukwo</v>
      </c>
      <c r="H1454" s="78" t="s">
        <v>468</v>
      </c>
    </row>
    <row r="1455" spans="1:8">
      <c r="A1455" s="77">
        <v>1077</v>
      </c>
      <c r="B1455" s="78" t="s">
        <v>2377</v>
      </c>
      <c r="C1455" s="78" t="s">
        <v>2377</v>
      </c>
      <c r="D1455" s="78" t="s">
        <v>2387</v>
      </c>
      <c r="E1455" s="78"/>
      <c r="F1455" s="71" t="str">
        <f t="shared" si="88"/>
        <v>Serere Town Council</v>
      </c>
      <c r="G1455" s="71" t="str">
        <f t="shared" si="86"/>
        <v>Serere</v>
      </c>
      <c r="H1455" s="78" t="s">
        <v>2387</v>
      </c>
    </row>
    <row r="1456" spans="1:8" ht="25.5">
      <c r="A1456" s="77">
        <v>1476</v>
      </c>
      <c r="B1456" s="80" t="s">
        <v>42</v>
      </c>
      <c r="C1456" s="81" t="s">
        <v>2390</v>
      </c>
      <c r="D1456" s="80" t="s">
        <v>2912</v>
      </c>
      <c r="E1456" s="80"/>
      <c r="F1456" s="72" t="str">
        <f>VLOOKUP(C1456,[2]Municipalities!$C$9:$F$1522,4,FALSE)</f>
        <v>Sheema Municipality</v>
      </c>
      <c r="G1456" s="71" t="str">
        <f t="shared" si="86"/>
        <v>Sheema</v>
      </c>
      <c r="H1456" s="80" t="s">
        <v>2912</v>
      </c>
    </row>
    <row r="1457" spans="1:8">
      <c r="A1457" s="77">
        <v>1470</v>
      </c>
      <c r="B1457" s="78" t="s">
        <v>42</v>
      </c>
      <c r="C1457" s="78" t="s">
        <v>42</v>
      </c>
      <c r="D1457" s="78" t="s">
        <v>2407</v>
      </c>
      <c r="E1457" s="78"/>
      <c r="F1457" s="71" t="str">
        <f t="shared" si="88"/>
        <v>Shuuku</v>
      </c>
      <c r="G1457" s="71" t="str">
        <f t="shared" si="86"/>
        <v>Sheema</v>
      </c>
      <c r="H1457" s="78" t="s">
        <v>2407</v>
      </c>
    </row>
    <row r="1458" spans="1:8">
      <c r="A1458" s="77">
        <v>1471</v>
      </c>
      <c r="B1458" s="78" t="s">
        <v>42</v>
      </c>
      <c r="C1458" s="78" t="s">
        <v>42</v>
      </c>
      <c r="D1458" s="78" t="s">
        <v>2408</v>
      </c>
      <c r="E1458" s="78"/>
      <c r="F1458" s="71" t="str">
        <f t="shared" si="88"/>
        <v>Shuuku Town Council</v>
      </c>
      <c r="G1458" s="71" t="str">
        <f t="shared" si="86"/>
        <v>Sheema</v>
      </c>
      <c r="H1458" s="78" t="s">
        <v>2408</v>
      </c>
    </row>
    <row r="1459" spans="1:8">
      <c r="A1459" s="77">
        <v>985</v>
      </c>
      <c r="B1459" s="78" t="s">
        <v>1815</v>
      </c>
      <c r="C1459" s="78" t="s">
        <v>1816</v>
      </c>
      <c r="D1459" s="78" t="s">
        <v>1830</v>
      </c>
      <c r="E1459" s="78"/>
      <c r="F1459" s="71" t="str">
        <f t="shared" si="88"/>
        <v>Sibanga</v>
      </c>
      <c r="G1459" s="71" t="str">
        <f t="shared" si="86"/>
        <v>Manafwa</v>
      </c>
      <c r="H1459" s="78" t="s">
        <v>1830</v>
      </c>
    </row>
    <row r="1460" spans="1:8">
      <c r="A1460" s="77">
        <v>197</v>
      </c>
      <c r="B1460" s="78" t="s">
        <v>770</v>
      </c>
      <c r="C1460" s="78" t="s">
        <v>771</v>
      </c>
      <c r="D1460" s="78" t="s">
        <v>784</v>
      </c>
      <c r="E1460" s="78"/>
      <c r="F1460" s="71" t="str">
        <f t="shared" si="88"/>
        <v>Sidok</v>
      </c>
      <c r="G1460" s="71" t="str">
        <f t="shared" si="86"/>
        <v>Kaabong</v>
      </c>
      <c r="H1460" s="78" t="s">
        <v>784</v>
      </c>
    </row>
    <row r="1461" spans="1:8">
      <c r="A1461" s="77">
        <v>1062</v>
      </c>
      <c r="B1461" s="78" t="s">
        <v>2133</v>
      </c>
      <c r="C1461" s="78" t="s">
        <v>2134</v>
      </c>
      <c r="D1461" s="78" t="s">
        <v>2143</v>
      </c>
      <c r="E1461" s="78"/>
      <c r="F1461" s="71" t="str">
        <f t="shared" si="88"/>
        <v>Sigulu Island</v>
      </c>
      <c r="G1461" s="71" t="str">
        <f t="shared" si="86"/>
        <v>Namayingo</v>
      </c>
      <c r="H1461" s="78" t="s">
        <v>2143</v>
      </c>
    </row>
    <row r="1462" spans="1:8">
      <c r="A1462" s="77">
        <v>696</v>
      </c>
      <c r="B1462" s="78" t="s">
        <v>555</v>
      </c>
      <c r="C1462" s="78" t="s">
        <v>556</v>
      </c>
      <c r="D1462" s="78" t="s">
        <v>571</v>
      </c>
      <c r="E1462" s="78"/>
      <c r="F1462" s="71" t="str">
        <f t="shared" si="88"/>
        <v>Sikuda</v>
      </c>
      <c r="G1462" s="71" t="str">
        <f t="shared" si="86"/>
        <v>Busia</v>
      </c>
      <c r="H1462" s="78" t="s">
        <v>571</v>
      </c>
    </row>
    <row r="1463" spans="1:8">
      <c r="A1463" s="77">
        <v>1004</v>
      </c>
      <c r="B1463" s="78" t="s">
        <v>472</v>
      </c>
      <c r="C1463" s="78" t="s">
        <v>472</v>
      </c>
      <c r="D1463" s="78" t="s">
        <v>489</v>
      </c>
      <c r="E1463" s="78"/>
      <c r="F1463" s="71" t="str">
        <f t="shared" si="88"/>
        <v>Simu</v>
      </c>
      <c r="G1463" s="71" t="str">
        <f t="shared" si="86"/>
        <v>Bulambuli</v>
      </c>
      <c r="H1463" s="78" t="s">
        <v>489</v>
      </c>
    </row>
    <row r="1464" spans="1:8">
      <c r="A1464" s="77">
        <v>1107</v>
      </c>
      <c r="B1464" s="78" t="s">
        <v>499</v>
      </c>
      <c r="C1464" s="78" t="s">
        <v>503</v>
      </c>
      <c r="D1464" s="78" t="s">
        <v>520</v>
      </c>
      <c r="E1464" s="78"/>
      <c r="F1464" s="71" t="str">
        <f t="shared" si="88"/>
        <v>Sindila</v>
      </c>
      <c r="G1464" s="71" t="str">
        <f t="shared" si="86"/>
        <v>Bundibugyo</v>
      </c>
      <c r="H1464" s="78" t="s">
        <v>520</v>
      </c>
    </row>
    <row r="1465" spans="1:8">
      <c r="A1465" s="77">
        <v>749</v>
      </c>
      <c r="B1465" s="78" t="s">
        <v>1438</v>
      </c>
      <c r="C1465" s="78" t="s">
        <v>1439</v>
      </c>
      <c r="D1465" s="78" t="s">
        <v>1450</v>
      </c>
      <c r="E1465" s="78"/>
      <c r="F1465" s="71" t="str">
        <f t="shared" si="88"/>
        <v>Sipi</v>
      </c>
      <c r="G1465" s="71" t="str">
        <f t="shared" si="86"/>
        <v>Kapchorwa</v>
      </c>
      <c r="H1465" s="78" t="s">
        <v>1450</v>
      </c>
    </row>
    <row r="1466" spans="1:8">
      <c r="A1466" s="77">
        <v>884</v>
      </c>
      <c r="B1466" s="78" t="s">
        <v>2410</v>
      </c>
      <c r="C1466" s="78" t="s">
        <v>2411</v>
      </c>
      <c r="D1466" s="78" t="s">
        <v>2430</v>
      </c>
      <c r="E1466" s="78"/>
      <c r="F1466" s="71" t="str">
        <f t="shared" si="88"/>
        <v>Sironko Town Council</v>
      </c>
      <c r="G1466" s="71" t="str">
        <f t="shared" si="86"/>
        <v>Sironko</v>
      </c>
      <c r="H1466" s="78" t="s">
        <v>2430</v>
      </c>
    </row>
    <row r="1467" spans="1:8">
      <c r="A1467" s="77">
        <v>1016</v>
      </c>
      <c r="B1467" s="78" t="s">
        <v>472</v>
      </c>
      <c r="C1467" s="78" t="s">
        <v>472</v>
      </c>
      <c r="D1467" s="78" t="s">
        <v>490</v>
      </c>
      <c r="E1467" s="78"/>
      <c r="F1467" s="71" t="str">
        <f t="shared" si="88"/>
        <v>Sisiyi</v>
      </c>
      <c r="G1467" s="71" t="str">
        <f t="shared" si="86"/>
        <v>Bulambuli</v>
      </c>
      <c r="H1467" s="78" t="s">
        <v>490</v>
      </c>
    </row>
    <row r="1468" spans="1:8">
      <c r="A1468" s="77">
        <v>986</v>
      </c>
      <c r="B1468" s="78" t="s">
        <v>1815</v>
      </c>
      <c r="C1468" s="78" t="s">
        <v>1816</v>
      </c>
      <c r="D1468" s="78" t="s">
        <v>1831</v>
      </c>
      <c r="E1468" s="78"/>
      <c r="F1468" s="71" t="str">
        <f t="shared" si="88"/>
        <v>Sisuni</v>
      </c>
      <c r="G1468" s="71" t="str">
        <f t="shared" si="86"/>
        <v>Manafwa</v>
      </c>
      <c r="H1468" s="78" t="s">
        <v>1831</v>
      </c>
    </row>
    <row r="1469" spans="1:8">
      <c r="A1469" s="77">
        <v>838</v>
      </c>
      <c r="B1469" s="78" t="s">
        <v>201</v>
      </c>
      <c r="C1469" s="78" t="s">
        <v>2455</v>
      </c>
      <c r="D1469" s="78" t="s">
        <v>2473</v>
      </c>
      <c r="E1469" s="78"/>
      <c r="F1469" s="71" t="str">
        <f t="shared" si="88"/>
        <v>Sop-Sop</v>
      </c>
      <c r="G1469" s="71" t="str">
        <f t="shared" si="86"/>
        <v>Tororo</v>
      </c>
      <c r="H1469" s="78" t="s">
        <v>2473</v>
      </c>
    </row>
    <row r="1470" spans="1:8">
      <c r="A1470" s="77">
        <v>812</v>
      </c>
      <c r="B1470" s="78" t="s">
        <v>2433</v>
      </c>
      <c r="C1470" s="78" t="s">
        <v>2433</v>
      </c>
      <c r="D1470" s="78" t="s">
        <v>2433</v>
      </c>
      <c r="E1470" s="78"/>
      <c r="F1470" s="71" t="str">
        <f t="shared" si="88"/>
        <v>Soroti</v>
      </c>
      <c r="G1470" s="71" t="str">
        <f t="shared" si="86"/>
        <v>Soroti</v>
      </c>
      <c r="H1470" s="78" t="s">
        <v>2433</v>
      </c>
    </row>
    <row r="1471" spans="1:8" ht="25.5">
      <c r="A1471" s="77">
        <v>1234</v>
      </c>
      <c r="B1471" s="78" t="s">
        <v>1593</v>
      </c>
      <c r="C1471" s="79" t="s">
        <v>1599</v>
      </c>
      <c r="D1471" s="78" t="s">
        <v>2913</v>
      </c>
      <c r="E1471" s="78"/>
      <c r="F1471" s="72" t="str">
        <f>VLOOKUP(C1471,[2]Municipalities!$C$9:$F$1522,4,FALSE)</f>
        <v>Kisoro Municipality</v>
      </c>
      <c r="G1471" s="71" t="str">
        <f t="shared" si="86"/>
        <v>Kisoro</v>
      </c>
      <c r="H1471" s="78" t="s">
        <v>2913</v>
      </c>
    </row>
    <row r="1472" spans="1:8" ht="25.5">
      <c r="A1472" s="77">
        <v>205</v>
      </c>
      <c r="B1472" s="78" t="s">
        <v>1622</v>
      </c>
      <c r="C1472" s="79" t="s">
        <v>1624</v>
      </c>
      <c r="D1472" s="82" t="s">
        <v>2914</v>
      </c>
      <c r="E1472" s="78"/>
      <c r="F1472" s="72" t="str">
        <f>VLOOKUP(C1472,[2]Municipalities!$C$9:$F$1522,4,FALSE)</f>
        <v>Koboko Municipality</v>
      </c>
      <c r="G1472" s="71" t="str">
        <f t="shared" si="86"/>
        <v>Koboko</v>
      </c>
      <c r="H1472" s="82" t="s">
        <v>2914</v>
      </c>
    </row>
    <row r="1473" spans="1:8" ht="25.5">
      <c r="A1473" s="77">
        <v>477</v>
      </c>
      <c r="B1473" s="78" t="s">
        <v>2026</v>
      </c>
      <c r="C1473" s="79" t="s">
        <v>2045</v>
      </c>
      <c r="D1473" s="82" t="s">
        <v>2914</v>
      </c>
      <c r="E1473" s="78"/>
      <c r="F1473" s="72" t="str">
        <f>VLOOKUP(C1473,[2]Municipalities!$C$9:$F$1522,4,FALSE)</f>
        <v>Mubende Municipality</v>
      </c>
      <c r="G1473" s="71" t="str">
        <f t="shared" si="86"/>
        <v>Mubende</v>
      </c>
      <c r="H1473" s="82" t="s">
        <v>2914</v>
      </c>
    </row>
    <row r="1474" spans="1:8" ht="25.5">
      <c r="A1474" s="77">
        <v>738</v>
      </c>
      <c r="B1474" s="78" t="s">
        <v>1376</v>
      </c>
      <c r="C1474" s="79" t="s">
        <v>1382</v>
      </c>
      <c r="D1474" s="82" t="s">
        <v>2914</v>
      </c>
      <c r="E1474" s="78"/>
      <c r="F1474" s="72" t="str">
        <f>VLOOKUP(C1474,[2]Municipalities!$C$9:$F$1522,4,FALSE)</f>
        <v>Kamuli Municipality</v>
      </c>
      <c r="G1474" s="71" t="str">
        <f t="shared" si="86"/>
        <v>Kamuli</v>
      </c>
      <c r="H1474" s="82" t="s">
        <v>2914</v>
      </c>
    </row>
    <row r="1475" spans="1:8">
      <c r="A1475" s="77">
        <v>770</v>
      </c>
      <c r="B1475" s="78" t="s">
        <v>1644</v>
      </c>
      <c r="C1475" s="79" t="s">
        <v>1646</v>
      </c>
      <c r="D1475" s="82" t="s">
        <v>2914</v>
      </c>
      <c r="E1475" s="78"/>
      <c r="F1475" s="72" t="str">
        <f>VLOOKUP(C1475,[2]Municipalities!$C$9:$F$1522,4,FALSE)</f>
        <v>Kumi Municipality</v>
      </c>
      <c r="G1475" s="71" t="str">
        <f t="shared" si="86"/>
        <v>Kumi</v>
      </c>
      <c r="H1475" s="82" t="s">
        <v>2914</v>
      </c>
    </row>
    <row r="1476" spans="1:8" ht="25.5">
      <c r="A1476" s="77">
        <v>1151</v>
      </c>
      <c r="B1476" s="78" t="s">
        <v>786</v>
      </c>
      <c r="C1476" s="79" t="s">
        <v>789</v>
      </c>
      <c r="D1476" s="82" t="s">
        <v>2914</v>
      </c>
      <c r="E1476" s="78"/>
      <c r="F1476" s="72" t="str">
        <f>VLOOKUP(C1476,[2]Municipalities!$C$9:$F$1522,4,FALSE)</f>
        <v>Kabale Municipality</v>
      </c>
      <c r="G1476" s="71" t="str">
        <f t="shared" si="86"/>
        <v>Kabale</v>
      </c>
      <c r="H1476" s="82" t="s">
        <v>2914</v>
      </c>
    </row>
    <row r="1477" spans="1:8" ht="25.5">
      <c r="A1477" s="77">
        <v>1176</v>
      </c>
      <c r="B1477" s="78" t="s">
        <v>803</v>
      </c>
      <c r="C1477" s="79" t="s">
        <v>806</v>
      </c>
      <c r="D1477" s="82" t="s">
        <v>2914</v>
      </c>
      <c r="E1477" s="78"/>
      <c r="F1477" s="72" t="str">
        <f>VLOOKUP(C1477,[2]Municipalities!$C$9:$F$1522,4,FALSE)</f>
        <v>Fort Portal Municipality</v>
      </c>
      <c r="G1477" s="71" t="str">
        <f t="shared" si="86"/>
        <v>Kabarole</v>
      </c>
      <c r="H1477" s="82" t="s">
        <v>2914</v>
      </c>
    </row>
    <row r="1478" spans="1:8" ht="25.5">
      <c r="A1478" s="77">
        <v>1295</v>
      </c>
      <c r="B1478" s="78" t="s">
        <v>41</v>
      </c>
      <c r="C1478" s="79" t="s">
        <v>2373</v>
      </c>
      <c r="D1478" s="82" t="s">
        <v>2914</v>
      </c>
      <c r="E1478" s="78"/>
      <c r="F1478" s="72" t="str">
        <f>VLOOKUP(C1478,[2]Municipalities!$C$9:$F$1522,4,FALSE)</f>
        <v>Rukungiri Municipality</v>
      </c>
      <c r="G1478" s="71" t="str">
        <f t="shared" si="86"/>
        <v>Rukungiri</v>
      </c>
      <c r="H1478" s="82" t="s">
        <v>2914</v>
      </c>
    </row>
    <row r="1479" spans="1:8" ht="25.5">
      <c r="A1479" s="77">
        <v>97</v>
      </c>
      <c r="B1479" s="78" t="s">
        <v>279</v>
      </c>
      <c r="C1479" s="79" t="s">
        <v>1995</v>
      </c>
      <c r="D1479" s="82" t="s">
        <v>2915</v>
      </c>
      <c r="E1479" s="78"/>
      <c r="F1479" s="72" t="str">
        <f>VLOOKUP(C1479,[2]Municipalities!$C$9:$F$1522,4,FALSE)</f>
        <v>Moroto Municipality</v>
      </c>
      <c r="G1479" s="71" t="str">
        <f t="shared" si="86"/>
        <v>Moroto</v>
      </c>
      <c r="H1479" s="82" t="s">
        <v>2915</v>
      </c>
    </row>
    <row r="1480" spans="1:8">
      <c r="A1480" s="77">
        <v>574</v>
      </c>
      <c r="B1480" s="78" t="s">
        <v>1968</v>
      </c>
      <c r="C1480" s="78" t="s">
        <v>1968</v>
      </c>
      <c r="D1480" s="78" t="s">
        <v>1992</v>
      </c>
      <c r="E1480" s="78"/>
      <c r="F1480" s="71" t="str">
        <f t="shared" ref="F1480:F1484" si="89">D1480</f>
        <v>Ssekanyonyi</v>
      </c>
      <c r="G1480" s="71" t="str">
        <f t="shared" si="86"/>
        <v>Mityana</v>
      </c>
      <c r="H1480" s="78" t="s">
        <v>1992</v>
      </c>
    </row>
    <row r="1481" spans="1:8">
      <c r="A1481" s="77">
        <v>599</v>
      </c>
      <c r="B1481" s="78" t="s">
        <v>429</v>
      </c>
      <c r="C1481" s="78" t="s">
        <v>429</v>
      </c>
      <c r="D1481" s="78" t="s">
        <v>445</v>
      </c>
      <c r="E1481" s="78"/>
      <c r="F1481" s="71" t="str">
        <f t="shared" si="89"/>
        <v>Ssi-Bukunja</v>
      </c>
      <c r="G1481" s="71" t="str">
        <f t="shared" si="86"/>
        <v>Buikwe</v>
      </c>
      <c r="H1481" s="78" t="s">
        <v>445</v>
      </c>
    </row>
    <row r="1482" spans="1:8">
      <c r="A1482" s="77">
        <v>947</v>
      </c>
      <c r="B1482" s="78" t="s">
        <v>458</v>
      </c>
      <c r="C1482" s="78" t="s">
        <v>459</v>
      </c>
      <c r="D1482" s="78" t="s">
        <v>469</v>
      </c>
      <c r="E1482" s="78"/>
      <c r="F1482" s="71" t="str">
        <f t="shared" si="89"/>
        <v>Suam</v>
      </c>
      <c r="G1482" s="71" t="str">
        <f t="shared" ref="G1482:G1532" si="90">B1482</f>
        <v>Bukwo</v>
      </c>
      <c r="H1482" s="78" t="s">
        <v>469</v>
      </c>
    </row>
    <row r="1483" spans="1:8">
      <c r="A1483" s="77">
        <v>95</v>
      </c>
      <c r="B1483" s="78" t="s">
        <v>279</v>
      </c>
      <c r="C1483" s="78" t="s">
        <v>1994</v>
      </c>
      <c r="D1483" s="78" t="s">
        <v>1999</v>
      </c>
      <c r="E1483" s="78"/>
      <c r="F1483" s="71" t="str">
        <f t="shared" si="89"/>
        <v>Tapac</v>
      </c>
      <c r="G1483" s="71" t="str">
        <f t="shared" si="90"/>
        <v>Moroto</v>
      </c>
      <c r="H1483" s="78" t="s">
        <v>1999</v>
      </c>
    </row>
    <row r="1484" spans="1:8">
      <c r="A1484" s="77">
        <v>213</v>
      </c>
      <c r="B1484" s="78" t="s">
        <v>1834</v>
      </c>
      <c r="C1484" s="78" t="s">
        <v>1834</v>
      </c>
      <c r="D1484" s="78" t="s">
        <v>1840</v>
      </c>
      <c r="E1484" s="78"/>
      <c r="F1484" s="71" t="str">
        <f t="shared" si="89"/>
        <v>Tara</v>
      </c>
      <c r="G1484" s="71" t="str">
        <f t="shared" si="90"/>
        <v>Maracha</v>
      </c>
      <c r="H1484" s="78" t="s">
        <v>1840</v>
      </c>
    </row>
    <row r="1485" spans="1:8" ht="25.5">
      <c r="A1485" s="77">
        <v>109</v>
      </c>
      <c r="B1485" s="78" t="s">
        <v>2182</v>
      </c>
      <c r="C1485" s="79" t="s">
        <v>2188</v>
      </c>
      <c r="D1485" s="78" t="s">
        <v>2916</v>
      </c>
      <c r="E1485" s="78"/>
      <c r="F1485" s="72" t="str">
        <f>VLOOKUP(C1485,[2]Municipalities!$C$9:$F$1522,4,FALSE)</f>
        <v>Nebbi Municipality</v>
      </c>
      <c r="G1485" s="71" t="str">
        <f t="shared" si="90"/>
        <v>Nebbi</v>
      </c>
      <c r="H1485" s="78" t="s">
        <v>2916</v>
      </c>
    </row>
    <row r="1486" spans="1:8">
      <c r="A1486" s="77">
        <v>1033</v>
      </c>
      <c r="B1486" s="78" t="s">
        <v>1538</v>
      </c>
      <c r="C1486" s="78" t="s">
        <v>1538</v>
      </c>
      <c r="D1486" s="78" t="s">
        <v>1546</v>
      </c>
      <c r="E1486" s="78"/>
      <c r="F1486" s="71" t="str">
        <f t="shared" ref="F1486:F1489" si="91">D1486</f>
        <v>Tirinyi</v>
      </c>
      <c r="G1486" s="71" t="str">
        <f t="shared" si="90"/>
        <v>Kibuku</v>
      </c>
      <c r="H1486" s="78" t="s">
        <v>1546</v>
      </c>
    </row>
    <row r="1487" spans="1:8">
      <c r="A1487" s="77">
        <v>1121</v>
      </c>
      <c r="B1487" s="78" t="s">
        <v>499</v>
      </c>
      <c r="C1487" s="78" t="s">
        <v>500</v>
      </c>
      <c r="D1487" s="78" t="s">
        <v>521</v>
      </c>
      <c r="E1487" s="78"/>
      <c r="F1487" s="71" t="str">
        <f t="shared" si="91"/>
        <v>Tokwe</v>
      </c>
      <c r="G1487" s="71" t="str">
        <f t="shared" si="90"/>
        <v>Bundibugyo</v>
      </c>
      <c r="H1487" s="78" t="s">
        <v>521</v>
      </c>
    </row>
    <row r="1488" spans="1:8">
      <c r="A1488" s="77">
        <v>756</v>
      </c>
      <c r="B1488" s="78" t="s">
        <v>1488</v>
      </c>
      <c r="C1488" s="78" t="s">
        <v>1489</v>
      </c>
      <c r="D1488" s="78" t="s">
        <v>1489</v>
      </c>
      <c r="E1488" s="78"/>
      <c r="F1488" s="71" t="str">
        <f t="shared" si="91"/>
        <v>Toroma</v>
      </c>
      <c r="G1488" s="71" t="str">
        <f t="shared" si="90"/>
        <v>Katakwi</v>
      </c>
      <c r="H1488" s="78" t="s">
        <v>1489</v>
      </c>
    </row>
    <row r="1489" spans="1:8">
      <c r="A1489" s="77">
        <v>1099</v>
      </c>
      <c r="B1489" s="78" t="s">
        <v>2145</v>
      </c>
      <c r="C1489" s="78" t="s">
        <v>2145</v>
      </c>
      <c r="D1489" s="78" t="s">
        <v>2161</v>
      </c>
      <c r="E1489" s="78"/>
      <c r="F1489" s="71" t="str">
        <f t="shared" si="91"/>
        <v>Tsekululu</v>
      </c>
      <c r="G1489" s="71" t="str">
        <f t="shared" si="90"/>
        <v>Namisindwa</v>
      </c>
      <c r="H1489" s="78" t="s">
        <v>2161</v>
      </c>
    </row>
    <row r="1490" spans="1:8" ht="25.5">
      <c r="A1490" s="77">
        <v>578</v>
      </c>
      <c r="B1490" s="78" t="s">
        <v>1968</v>
      </c>
      <c r="C1490" s="79" t="s">
        <v>1972</v>
      </c>
      <c r="D1490" s="78" t="s">
        <v>2917</v>
      </c>
      <c r="E1490" s="78"/>
      <c r="F1490" s="72" t="str">
        <f>VLOOKUP(C1490,[2]Municipalities!$C$9:$F$1522,4,FALSE)</f>
        <v>Mityana Municipality</v>
      </c>
      <c r="G1490" s="71" t="str">
        <f t="shared" si="90"/>
        <v>Mityana</v>
      </c>
      <c r="H1490" s="78" t="s">
        <v>2917</v>
      </c>
    </row>
    <row r="1491" spans="1:8">
      <c r="A1491" s="77">
        <v>808</v>
      </c>
      <c r="B1491" s="78" t="s">
        <v>2433</v>
      </c>
      <c r="C1491" s="78" t="s">
        <v>2433</v>
      </c>
      <c r="D1491" s="78" t="s">
        <v>2440</v>
      </c>
      <c r="E1491" s="78"/>
      <c r="F1491" s="71" t="str">
        <f t="shared" ref="F1491:F1502" si="92">D1491</f>
        <v>Tubur</v>
      </c>
      <c r="G1491" s="71" t="str">
        <f t="shared" si="90"/>
        <v>Soroti</v>
      </c>
      <c r="H1491" s="78" t="s">
        <v>2440</v>
      </c>
    </row>
    <row r="1492" spans="1:8">
      <c r="A1492" s="77">
        <v>948</v>
      </c>
      <c r="B1492" s="78" t="s">
        <v>458</v>
      </c>
      <c r="C1492" s="78" t="s">
        <v>459</v>
      </c>
      <c r="D1492" s="78" t="s">
        <v>470</v>
      </c>
      <c r="E1492" s="78"/>
      <c r="F1492" s="71" t="str">
        <f t="shared" si="92"/>
        <v>Tulel</v>
      </c>
      <c r="G1492" s="71" t="str">
        <f t="shared" si="90"/>
        <v>Bukwo</v>
      </c>
      <c r="H1492" s="78" t="s">
        <v>470</v>
      </c>
    </row>
    <row r="1493" spans="1:8">
      <c r="A1493" s="77">
        <v>8</v>
      </c>
      <c r="B1493" s="78" t="s">
        <v>249</v>
      </c>
      <c r="C1493" s="78" t="s">
        <v>250</v>
      </c>
      <c r="D1493" s="78" t="s">
        <v>259</v>
      </c>
      <c r="E1493" s="78"/>
      <c r="F1493" s="71" t="str">
        <f t="shared" si="92"/>
        <v>Ukusijoni</v>
      </c>
      <c r="G1493" s="71" t="str">
        <f t="shared" si="90"/>
        <v>Adjumani</v>
      </c>
      <c r="H1493" s="78" t="s">
        <v>259</v>
      </c>
    </row>
    <row r="1494" spans="1:8">
      <c r="A1494" s="77">
        <v>39</v>
      </c>
      <c r="B1494" s="78" t="s">
        <v>344</v>
      </c>
      <c r="C1494" s="78" t="s">
        <v>351</v>
      </c>
      <c r="D1494" s="78" t="s">
        <v>372</v>
      </c>
      <c r="E1494" s="78"/>
      <c r="F1494" s="71" t="str">
        <f t="shared" si="92"/>
        <v>Uleppi</v>
      </c>
      <c r="G1494" s="71" t="str">
        <f t="shared" si="90"/>
        <v>Arua</v>
      </c>
      <c r="H1494" s="78" t="s">
        <v>372</v>
      </c>
    </row>
    <row r="1495" spans="1:8">
      <c r="A1495" s="77">
        <v>53</v>
      </c>
      <c r="B1495" s="78" t="s">
        <v>172</v>
      </c>
      <c r="C1495" s="78" t="s">
        <v>640</v>
      </c>
      <c r="D1495" s="78" t="s">
        <v>646</v>
      </c>
      <c r="E1495" s="78"/>
      <c r="F1495" s="71" t="str">
        <f t="shared" si="92"/>
        <v>Unyama</v>
      </c>
      <c r="G1495" s="71" t="str">
        <f t="shared" si="90"/>
        <v>Gulu</v>
      </c>
      <c r="H1495" s="78" t="s">
        <v>646</v>
      </c>
    </row>
    <row r="1496" spans="1:8">
      <c r="A1496" s="77">
        <v>45</v>
      </c>
      <c r="B1496" s="78" t="s">
        <v>344</v>
      </c>
      <c r="C1496" s="78" t="s">
        <v>347</v>
      </c>
      <c r="D1496" s="78" t="s">
        <v>373</v>
      </c>
      <c r="E1496" s="78"/>
      <c r="F1496" s="71" t="str">
        <f t="shared" si="92"/>
        <v>Uriama</v>
      </c>
      <c r="G1496" s="71" t="str">
        <f t="shared" si="90"/>
        <v>Arua</v>
      </c>
      <c r="H1496" s="78" t="s">
        <v>373</v>
      </c>
    </row>
    <row r="1497" spans="1:8">
      <c r="A1497" s="77">
        <v>762</v>
      </c>
      <c r="B1497" s="78" t="s">
        <v>1488</v>
      </c>
      <c r="C1497" s="78" t="s">
        <v>1490</v>
      </c>
      <c r="D1497" s="78" t="s">
        <v>1490</v>
      </c>
      <c r="E1497" s="78"/>
      <c r="F1497" s="71" t="str">
        <f t="shared" si="92"/>
        <v>Usuk</v>
      </c>
      <c r="G1497" s="71" t="str">
        <f t="shared" si="90"/>
        <v>Katakwi</v>
      </c>
      <c r="H1497" s="78" t="s">
        <v>1490</v>
      </c>
    </row>
    <row r="1498" spans="1:8">
      <c r="A1498" s="77">
        <v>49</v>
      </c>
      <c r="B1498" s="78" t="s">
        <v>344</v>
      </c>
      <c r="C1498" s="78" t="s">
        <v>349</v>
      </c>
      <c r="D1498" s="78" t="s">
        <v>349</v>
      </c>
      <c r="E1498" s="78"/>
      <c r="F1498" s="71" t="str">
        <f t="shared" si="92"/>
        <v>Vurra</v>
      </c>
      <c r="G1498" s="71" t="str">
        <f t="shared" si="90"/>
        <v>Arua</v>
      </c>
      <c r="H1498" s="78" t="s">
        <v>349</v>
      </c>
    </row>
    <row r="1499" spans="1:8">
      <c r="A1499" s="77">
        <v>503</v>
      </c>
      <c r="B1499" s="78" t="s">
        <v>2120</v>
      </c>
      <c r="C1499" s="78" t="s">
        <v>1863</v>
      </c>
      <c r="D1499" s="78" t="s">
        <v>2132</v>
      </c>
      <c r="E1499" s="78"/>
      <c r="F1499" s="71" t="str">
        <f t="shared" si="92"/>
        <v>Wabinyonyi</v>
      </c>
      <c r="G1499" s="71" t="str">
        <f t="shared" si="90"/>
        <v>Nakasongola</v>
      </c>
      <c r="H1499" s="78" t="s">
        <v>2132</v>
      </c>
    </row>
    <row r="1500" spans="1:8">
      <c r="A1500" s="77">
        <v>317</v>
      </c>
      <c r="B1500" s="78" t="s">
        <v>231</v>
      </c>
      <c r="C1500" s="78" t="s">
        <v>2287</v>
      </c>
      <c r="D1500" s="78" t="s">
        <v>2292</v>
      </c>
      <c r="E1500" s="78"/>
      <c r="F1500" s="71" t="str">
        <f t="shared" si="92"/>
        <v>Wadelai</v>
      </c>
      <c r="G1500" s="71" t="str">
        <f t="shared" si="90"/>
        <v>Pakwach</v>
      </c>
      <c r="H1500" s="78" t="s">
        <v>2292</v>
      </c>
    </row>
    <row r="1501" spans="1:8">
      <c r="A1501" s="77">
        <v>1053</v>
      </c>
      <c r="B1501" s="78" t="s">
        <v>1759</v>
      </c>
      <c r="C1501" s="78" t="s">
        <v>1759</v>
      </c>
      <c r="D1501" s="78" t="s">
        <v>1766</v>
      </c>
      <c r="E1501" s="78"/>
      <c r="F1501" s="71" t="str">
        <f t="shared" si="92"/>
        <v>Waibuga</v>
      </c>
      <c r="G1501" s="71" t="str">
        <f t="shared" si="90"/>
        <v>Luuka</v>
      </c>
      <c r="H1501" s="78" t="s">
        <v>1766</v>
      </c>
    </row>
    <row r="1502" spans="1:8">
      <c r="A1502" s="77">
        <v>863</v>
      </c>
      <c r="B1502" s="78" t="s">
        <v>1869</v>
      </c>
      <c r="C1502" s="78" t="s">
        <v>1870</v>
      </c>
      <c r="D1502" s="78" t="s">
        <v>1884</v>
      </c>
      <c r="E1502" s="78"/>
      <c r="F1502" s="71" t="str">
        <f t="shared" si="92"/>
        <v>Wairasa</v>
      </c>
      <c r="G1502" s="71" t="str">
        <f t="shared" si="90"/>
        <v>Mayuge</v>
      </c>
      <c r="H1502" s="78" t="s">
        <v>1884</v>
      </c>
    </row>
    <row r="1503" spans="1:8">
      <c r="A1503" s="77">
        <v>605</v>
      </c>
      <c r="B1503" s="78" t="s">
        <v>429</v>
      </c>
      <c r="C1503" s="79" t="s">
        <v>443</v>
      </c>
      <c r="D1503" s="78" t="s">
        <v>2918</v>
      </c>
      <c r="E1503" s="78"/>
      <c r="F1503" s="72" t="str">
        <f>VLOOKUP(C1503,[2]Municipalities!$C$9:$F$1522,4,FALSE)</f>
        <v>Njeru Municipality</v>
      </c>
      <c r="G1503" s="71" t="str">
        <f t="shared" si="90"/>
        <v>Buikwe</v>
      </c>
      <c r="H1503" s="78" t="s">
        <v>2918</v>
      </c>
    </row>
    <row r="1504" spans="1:8">
      <c r="A1504" s="77">
        <v>544</v>
      </c>
      <c r="B1504" s="78" t="s">
        <v>2477</v>
      </c>
      <c r="C1504" s="78" t="s">
        <v>2481</v>
      </c>
      <c r="D1504" s="78" t="s">
        <v>2477</v>
      </c>
      <c r="E1504" s="78"/>
      <c r="F1504" s="71" t="str">
        <f t="shared" ref="F1504:F1507" si="93">D1504</f>
        <v>Wakiso</v>
      </c>
      <c r="G1504" s="71" t="str">
        <f t="shared" si="90"/>
        <v>Wakiso</v>
      </c>
      <c r="H1504" s="78" t="s">
        <v>2477</v>
      </c>
    </row>
    <row r="1505" spans="1:8">
      <c r="A1505" s="77">
        <v>545</v>
      </c>
      <c r="B1505" s="78" t="s">
        <v>2477</v>
      </c>
      <c r="C1505" s="78" t="s">
        <v>2481</v>
      </c>
      <c r="D1505" s="78" t="s">
        <v>2708</v>
      </c>
      <c r="E1505" s="78"/>
      <c r="F1505" s="71" t="str">
        <f t="shared" si="93"/>
        <v>Wakiso Town Council</v>
      </c>
      <c r="G1505" s="71" t="str">
        <f t="shared" si="90"/>
        <v>Wakiso</v>
      </c>
      <c r="H1505" s="78" t="s">
        <v>2708</v>
      </c>
    </row>
    <row r="1506" spans="1:8">
      <c r="A1506" s="77">
        <v>593</v>
      </c>
      <c r="B1506" s="78" t="s">
        <v>2101</v>
      </c>
      <c r="C1506" s="78" t="s">
        <v>2101</v>
      </c>
      <c r="D1506" s="78" t="s">
        <v>2118</v>
      </c>
      <c r="E1506" s="78"/>
      <c r="F1506" s="71" t="str">
        <f t="shared" si="93"/>
        <v>Wakyato</v>
      </c>
      <c r="G1506" s="71" t="str">
        <f t="shared" si="90"/>
        <v>Nakaseke</v>
      </c>
      <c r="H1506" s="78" t="s">
        <v>2118</v>
      </c>
    </row>
    <row r="1507" spans="1:8">
      <c r="A1507" s="77">
        <v>790</v>
      </c>
      <c r="B1507" s="78" t="s">
        <v>228</v>
      </c>
      <c r="C1507" s="78" t="s">
        <v>1886</v>
      </c>
      <c r="D1507" s="78" t="s">
        <v>1909</v>
      </c>
      <c r="E1507" s="78"/>
      <c r="F1507" s="71" t="str">
        <f t="shared" si="93"/>
        <v>Wanale</v>
      </c>
      <c r="G1507" s="71" t="str">
        <f t="shared" si="90"/>
        <v>Mbale</v>
      </c>
      <c r="H1507" s="78" t="s">
        <v>1909</v>
      </c>
    </row>
    <row r="1508" spans="1:8" ht="25.5">
      <c r="A1508" s="77">
        <v>795</v>
      </c>
      <c r="B1508" s="78" t="s">
        <v>228</v>
      </c>
      <c r="C1508" s="79" t="s">
        <v>1901</v>
      </c>
      <c r="D1508" s="78" t="s">
        <v>2919</v>
      </c>
      <c r="E1508" s="78"/>
      <c r="F1508" s="72" t="str">
        <f>VLOOKUP(C1508,[2]Municipalities!$C$9:$F$1522,4,FALSE)</f>
        <v>Mbale Municipality</v>
      </c>
      <c r="G1508" s="71" t="str">
        <f t="shared" si="90"/>
        <v>Mbale</v>
      </c>
      <c r="H1508" s="78" t="s">
        <v>2919</v>
      </c>
    </row>
    <row r="1509" spans="1:8">
      <c r="A1509" s="77">
        <v>736</v>
      </c>
      <c r="B1509" s="78" t="s">
        <v>1376</v>
      </c>
      <c r="C1509" s="78" t="s">
        <v>1379</v>
      </c>
      <c r="D1509" s="78" t="s">
        <v>1390</v>
      </c>
      <c r="E1509" s="78"/>
      <c r="F1509" s="71" t="str">
        <f t="shared" ref="F1509:F1512" si="94">D1509</f>
        <v>Wankole</v>
      </c>
      <c r="G1509" s="71" t="str">
        <f t="shared" si="90"/>
        <v>Kamuli</v>
      </c>
      <c r="H1509" s="78" t="s">
        <v>1390</v>
      </c>
    </row>
    <row r="1510" spans="1:8">
      <c r="A1510" s="77">
        <v>302</v>
      </c>
      <c r="B1510" s="78" t="s">
        <v>2726</v>
      </c>
      <c r="C1510" s="78" t="s">
        <v>2727</v>
      </c>
      <c r="D1510" s="78" t="s">
        <v>2734</v>
      </c>
      <c r="E1510" s="78"/>
      <c r="F1510" s="71" t="str">
        <f t="shared" si="94"/>
        <v>Warr</v>
      </c>
      <c r="G1510" s="71" t="str">
        <f t="shared" si="90"/>
        <v>Zombo</v>
      </c>
      <c r="H1510" s="78" t="s">
        <v>2734</v>
      </c>
    </row>
    <row r="1511" spans="1:8">
      <c r="A1511" s="77">
        <v>648</v>
      </c>
      <c r="B1511" s="78" t="s">
        <v>1664</v>
      </c>
      <c r="C1511" s="78" t="s">
        <v>1525</v>
      </c>
      <c r="D1511" s="78" t="s">
        <v>1695</v>
      </c>
      <c r="E1511" s="78"/>
      <c r="F1511" s="71" t="str">
        <f t="shared" si="94"/>
        <v>Wattuba</v>
      </c>
      <c r="G1511" s="71" t="str">
        <f t="shared" si="90"/>
        <v>Kyankwanzi</v>
      </c>
      <c r="H1511" s="78" t="s">
        <v>1695</v>
      </c>
    </row>
    <row r="1512" spans="1:8">
      <c r="A1512" s="77">
        <v>895</v>
      </c>
      <c r="B1512" s="78" t="s">
        <v>307</v>
      </c>
      <c r="C1512" s="78" t="s">
        <v>307</v>
      </c>
      <c r="D1512" s="78" t="s">
        <v>321</v>
      </c>
      <c r="E1512" s="78"/>
      <c r="F1512" s="71" t="str">
        <f t="shared" si="94"/>
        <v>Wera</v>
      </c>
      <c r="G1512" s="71" t="str">
        <f t="shared" si="90"/>
        <v>Amuria</v>
      </c>
      <c r="H1512" s="78" t="s">
        <v>321</v>
      </c>
    </row>
    <row r="1513" spans="1:8" ht="25.5">
      <c r="A1513" s="77">
        <v>206</v>
      </c>
      <c r="B1513" s="78" t="s">
        <v>1622</v>
      </c>
      <c r="C1513" s="79" t="s">
        <v>1624</v>
      </c>
      <c r="D1513" s="82" t="s">
        <v>2920</v>
      </c>
      <c r="E1513" s="78"/>
      <c r="F1513" s="72" t="str">
        <f>VLOOKUP(C1513,[2]Municipalities!$C$9:$F$1522,4,FALSE)</f>
        <v>Koboko Municipality</v>
      </c>
      <c r="G1513" s="71" t="str">
        <f t="shared" si="90"/>
        <v>Koboko</v>
      </c>
      <c r="H1513" s="82" t="s">
        <v>2920</v>
      </c>
    </row>
    <row r="1514" spans="1:8" ht="25.5">
      <c r="A1514" s="77">
        <v>476</v>
      </c>
      <c r="B1514" s="78" t="s">
        <v>2026</v>
      </c>
      <c r="C1514" s="79" t="s">
        <v>2045</v>
      </c>
      <c r="D1514" s="82" t="s">
        <v>2920</v>
      </c>
      <c r="E1514" s="78"/>
      <c r="F1514" s="72" t="str">
        <f>VLOOKUP(C1514,[2]Municipalities!$C$9:$F$1522,4,FALSE)</f>
        <v>Mubende Municipality</v>
      </c>
      <c r="G1514" s="71" t="str">
        <f t="shared" si="90"/>
        <v>Mubende</v>
      </c>
      <c r="H1514" s="82" t="s">
        <v>2920</v>
      </c>
    </row>
    <row r="1515" spans="1:8" ht="25.5">
      <c r="A1515" s="77">
        <v>670</v>
      </c>
      <c r="B1515" s="78" t="s">
        <v>405</v>
      </c>
      <c r="C1515" s="79" t="s">
        <v>407</v>
      </c>
      <c r="D1515" s="82" t="s">
        <v>2920</v>
      </c>
      <c r="E1515" s="78"/>
      <c r="F1515" s="72" t="str">
        <f>VLOOKUP(C1515,[2]Municipalities!$C$9:$F$1522,4,FALSE)</f>
        <v>Bugiri Municipality</v>
      </c>
      <c r="G1515" s="71" t="str">
        <f t="shared" si="90"/>
        <v>Bugiri</v>
      </c>
      <c r="H1515" s="82" t="s">
        <v>2920</v>
      </c>
    </row>
    <row r="1516" spans="1:8" ht="25.5">
      <c r="A1516" s="77">
        <v>682</v>
      </c>
      <c r="B1516" s="78" t="s">
        <v>555</v>
      </c>
      <c r="C1516" s="79" t="s">
        <v>558</v>
      </c>
      <c r="D1516" s="82" t="s">
        <v>2920</v>
      </c>
      <c r="E1516" s="78"/>
      <c r="F1516" s="72" t="str">
        <f>VLOOKUP(C1516,[2]Municipalities!$C$9:$F$1522,4,FALSE)</f>
        <v>Busia Municipality</v>
      </c>
      <c r="G1516" s="71" t="str">
        <f t="shared" si="90"/>
        <v>Busia</v>
      </c>
      <c r="H1516" s="82" t="s">
        <v>2920</v>
      </c>
    </row>
    <row r="1517" spans="1:8" ht="25.5">
      <c r="A1517" s="77">
        <v>752</v>
      </c>
      <c r="B1517" s="78" t="s">
        <v>1438</v>
      </c>
      <c r="C1517" s="79" t="s">
        <v>1444</v>
      </c>
      <c r="D1517" s="82" t="s">
        <v>2920</v>
      </c>
      <c r="E1517" s="78"/>
      <c r="F1517" s="72" t="str">
        <f>VLOOKUP(C1517,[2]Municipalities!$C$9:$F$1522,4,FALSE)</f>
        <v>Kapchorwa Municipality</v>
      </c>
      <c r="G1517" s="71" t="str">
        <f t="shared" si="90"/>
        <v>Kapchorwa</v>
      </c>
      <c r="H1517" s="82" t="s">
        <v>2920</v>
      </c>
    </row>
    <row r="1518" spans="1:8" ht="25.5">
      <c r="A1518" s="77">
        <v>817</v>
      </c>
      <c r="B1518" s="78" t="s">
        <v>2433</v>
      </c>
      <c r="C1518" s="79" t="s">
        <v>2438</v>
      </c>
      <c r="D1518" s="82" t="s">
        <v>2920</v>
      </c>
      <c r="E1518" s="78"/>
      <c r="F1518" s="72" t="str">
        <f>VLOOKUP(C1518,[2]Municipalities!$C$9:$F$1522,4,FALSE)</f>
        <v>Soroti Municipality</v>
      </c>
      <c r="G1518" s="71" t="str">
        <f t="shared" si="90"/>
        <v>Soroti</v>
      </c>
      <c r="H1518" s="82" t="s">
        <v>2920</v>
      </c>
    </row>
    <row r="1519" spans="1:8" ht="25.5">
      <c r="A1519" s="77">
        <v>826</v>
      </c>
      <c r="B1519" s="78" t="s">
        <v>201</v>
      </c>
      <c r="C1519" s="79" t="s">
        <v>2474</v>
      </c>
      <c r="D1519" s="82" t="s">
        <v>2920</v>
      </c>
      <c r="E1519" s="78"/>
      <c r="F1519" s="72" t="str">
        <f>VLOOKUP(C1519,[2]Municipalities!$C$9:$F$1522,4,FALSE)</f>
        <v>Tororo Municipality</v>
      </c>
      <c r="G1519" s="71" t="str">
        <f t="shared" si="90"/>
        <v>Tororo</v>
      </c>
      <c r="H1519" s="82" t="s">
        <v>2920</v>
      </c>
    </row>
    <row r="1520" spans="1:8" ht="25.5">
      <c r="A1520" s="77">
        <v>1177</v>
      </c>
      <c r="B1520" s="78" t="s">
        <v>803</v>
      </c>
      <c r="C1520" s="79" t="s">
        <v>806</v>
      </c>
      <c r="D1520" s="82" t="s">
        <v>2920</v>
      </c>
      <c r="E1520" s="78"/>
      <c r="F1520" s="72" t="str">
        <f>VLOOKUP(C1520,[2]Municipalities!$C$9:$F$1522,4,FALSE)</f>
        <v>Fort Portal Municipality</v>
      </c>
      <c r="G1520" s="71" t="str">
        <f t="shared" si="90"/>
        <v>Kabarole</v>
      </c>
      <c r="H1520" s="82" t="s">
        <v>2920</v>
      </c>
    </row>
    <row r="1521" spans="1:8" ht="25.5">
      <c r="A1521" s="77">
        <v>1269</v>
      </c>
      <c r="B1521" s="78" t="s">
        <v>52</v>
      </c>
      <c r="C1521" s="79" t="s">
        <v>2219</v>
      </c>
      <c r="D1521" s="82" t="s">
        <v>2920</v>
      </c>
      <c r="E1521" s="78"/>
      <c r="F1521" s="72" t="str">
        <f>VLOOKUP(C1521,[2]Municipalities!$C$9:$F$1522,4,FALSE)</f>
        <v>Ntungamo Municipality</v>
      </c>
      <c r="G1521" s="71" t="str">
        <f t="shared" si="90"/>
        <v>Ntungamo</v>
      </c>
      <c r="H1521" s="82" t="s">
        <v>2920</v>
      </c>
    </row>
    <row r="1522" spans="1:8" ht="25.5">
      <c r="A1522" s="77">
        <v>1296</v>
      </c>
      <c r="B1522" s="78" t="s">
        <v>41</v>
      </c>
      <c r="C1522" s="79" t="s">
        <v>2373</v>
      </c>
      <c r="D1522" s="82" t="s">
        <v>2920</v>
      </c>
      <c r="E1522" s="78"/>
      <c r="F1522" s="72" t="str">
        <f>VLOOKUP(C1522,[2]Municipalities!$C$9:$F$1522,4,FALSE)</f>
        <v>Rukungiri Municipality</v>
      </c>
      <c r="G1522" s="71" t="str">
        <f t="shared" si="90"/>
        <v>Rukungiri</v>
      </c>
      <c r="H1522" s="82" t="s">
        <v>2920</v>
      </c>
    </row>
    <row r="1523" spans="1:8">
      <c r="A1523" s="77">
        <v>987</v>
      </c>
      <c r="B1523" s="78" t="s">
        <v>1815</v>
      </c>
      <c r="C1523" s="78" t="s">
        <v>1816</v>
      </c>
      <c r="D1523" s="78" t="s">
        <v>1832</v>
      </c>
      <c r="E1523" s="78"/>
      <c r="F1523" s="71" t="str">
        <f t="shared" ref="F1523:F1532" si="95">D1523</f>
        <v>Weswa</v>
      </c>
      <c r="G1523" s="71" t="str">
        <f t="shared" si="90"/>
        <v>Manafwa</v>
      </c>
      <c r="H1523" s="78" t="s">
        <v>1832</v>
      </c>
    </row>
    <row r="1524" spans="1:8">
      <c r="A1524" s="77">
        <v>896</v>
      </c>
      <c r="B1524" s="78" t="s">
        <v>307</v>
      </c>
      <c r="C1524" s="78" t="s">
        <v>307</v>
      </c>
      <c r="D1524" s="78" t="s">
        <v>322</v>
      </c>
      <c r="E1524" s="78"/>
      <c r="F1524" s="71" t="str">
        <f t="shared" si="95"/>
        <v>Willa</v>
      </c>
      <c r="G1524" s="71" t="str">
        <f t="shared" si="90"/>
        <v>Amuria</v>
      </c>
      <c r="H1524" s="78" t="s">
        <v>322</v>
      </c>
    </row>
    <row r="1525" spans="1:8">
      <c r="A1525" s="77">
        <v>441</v>
      </c>
      <c r="B1525" s="78" t="s">
        <v>1768</v>
      </c>
      <c r="C1525" s="78" t="s">
        <v>1770</v>
      </c>
      <c r="D1525" s="78" t="s">
        <v>1788</v>
      </c>
      <c r="E1525" s="78"/>
      <c r="F1525" s="71" t="str">
        <f t="shared" si="95"/>
        <v>Wobulenzi Town Council</v>
      </c>
      <c r="G1525" s="71" t="str">
        <f t="shared" si="90"/>
        <v>Luwero</v>
      </c>
      <c r="H1525" s="78" t="s">
        <v>1788</v>
      </c>
    </row>
    <row r="1526" spans="1:8">
      <c r="A1526" s="77">
        <v>242</v>
      </c>
      <c r="B1526" s="78" t="s">
        <v>261</v>
      </c>
      <c r="C1526" s="78" t="s">
        <v>261</v>
      </c>
      <c r="D1526" s="78" t="s">
        <v>276</v>
      </c>
      <c r="E1526" s="78"/>
      <c r="F1526" s="71" t="str">
        <f t="shared" si="95"/>
        <v>Wol</v>
      </c>
      <c r="G1526" s="71" t="str">
        <f t="shared" si="90"/>
        <v>Agago</v>
      </c>
      <c r="H1526" s="78" t="s">
        <v>276</v>
      </c>
    </row>
    <row r="1527" spans="1:8">
      <c r="A1527" s="77">
        <v>214</v>
      </c>
      <c r="B1527" s="78" t="s">
        <v>1834</v>
      </c>
      <c r="C1527" s="78" t="s">
        <v>1834</v>
      </c>
      <c r="D1527" s="78" t="s">
        <v>1841</v>
      </c>
      <c r="E1527" s="78"/>
      <c r="F1527" s="71" t="str">
        <f t="shared" si="95"/>
        <v>Yivu</v>
      </c>
      <c r="G1527" s="71" t="str">
        <f t="shared" si="90"/>
        <v>Maracha</v>
      </c>
      <c r="H1527" s="78" t="s">
        <v>1841</v>
      </c>
    </row>
    <row r="1528" spans="1:8">
      <c r="A1528" s="77">
        <v>150</v>
      </c>
      <c r="B1528" s="78" t="s">
        <v>2711</v>
      </c>
      <c r="C1528" s="78" t="s">
        <v>2712</v>
      </c>
      <c r="D1528" s="78" t="s">
        <v>2724</v>
      </c>
      <c r="E1528" s="78"/>
      <c r="F1528" s="71" t="str">
        <f t="shared" si="95"/>
        <v>Yumbe Town Council</v>
      </c>
      <c r="G1528" s="71" t="str">
        <f t="shared" si="90"/>
        <v>Yumbe</v>
      </c>
      <c r="H1528" s="78" t="s">
        <v>2724</v>
      </c>
    </row>
    <row r="1529" spans="1:8">
      <c r="A1529" s="77">
        <v>885</v>
      </c>
      <c r="B1529" s="78" t="s">
        <v>2410</v>
      </c>
      <c r="C1529" s="78" t="s">
        <v>2411</v>
      </c>
      <c r="D1529" s="78" t="s">
        <v>2431</v>
      </c>
      <c r="E1529" s="78"/>
      <c r="F1529" s="71" t="str">
        <f t="shared" si="95"/>
        <v>Zesui</v>
      </c>
      <c r="G1529" s="71" t="str">
        <f t="shared" si="90"/>
        <v>Sironko</v>
      </c>
      <c r="H1529" s="78" t="s">
        <v>2431</v>
      </c>
    </row>
    <row r="1530" spans="1:8">
      <c r="A1530" s="77">
        <v>303</v>
      </c>
      <c r="B1530" s="78" t="s">
        <v>2726</v>
      </c>
      <c r="C1530" s="78" t="s">
        <v>2727</v>
      </c>
      <c r="D1530" s="78" t="s">
        <v>2735</v>
      </c>
      <c r="E1530" s="78"/>
      <c r="F1530" s="71" t="str">
        <f t="shared" si="95"/>
        <v>Zeu</v>
      </c>
      <c r="G1530" s="71" t="str">
        <f t="shared" si="90"/>
        <v>Zombo</v>
      </c>
      <c r="H1530" s="78" t="s">
        <v>2735</v>
      </c>
    </row>
    <row r="1531" spans="1:8">
      <c r="A1531" s="77">
        <v>433</v>
      </c>
      <c r="B1531" s="78" t="s">
        <v>1768</v>
      </c>
      <c r="C1531" s="78" t="s">
        <v>1767</v>
      </c>
      <c r="D1531" s="78" t="s">
        <v>1792</v>
      </c>
      <c r="E1531" s="78"/>
      <c r="F1531" s="71" t="str">
        <f t="shared" si="95"/>
        <v>Zirobwe</v>
      </c>
      <c r="G1531" s="71" t="str">
        <f t="shared" si="90"/>
        <v>Luwero</v>
      </c>
      <c r="H1531" s="78" t="s">
        <v>1792</v>
      </c>
    </row>
    <row r="1532" spans="1:8">
      <c r="A1532" s="77">
        <v>304</v>
      </c>
      <c r="B1532" s="78" t="s">
        <v>2726</v>
      </c>
      <c r="C1532" s="78" t="s">
        <v>2727</v>
      </c>
      <c r="D1532" s="78" t="s">
        <v>2736</v>
      </c>
      <c r="E1532" s="78"/>
      <c r="F1532" s="71" t="str">
        <f t="shared" si="95"/>
        <v>Zombo Town Council</v>
      </c>
      <c r="G1532" s="71" t="str">
        <f t="shared" si="90"/>
        <v>Zombo</v>
      </c>
      <c r="H1532" s="78" t="s">
        <v>2736</v>
      </c>
    </row>
  </sheetData>
  <autoFilter ref="A1:E1532" xr:uid="{00000000-0009-0000-0000-000002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98"/>
  <sheetViews>
    <sheetView topLeftCell="B1" zoomScale="75" zoomScaleNormal="75" zoomScaleSheetLayoutView="80" workbookViewId="0">
      <selection activeCell="B9" sqref="B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140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1" t="s">
        <v>159</v>
      </c>
      <c r="E4" s="1" t="s">
        <v>76</v>
      </c>
      <c r="F4" s="140" t="s">
        <v>166</v>
      </c>
      <c r="G4" s="141"/>
      <c r="I4" s="27" t="s">
        <v>77</v>
      </c>
      <c r="J4" s="5"/>
      <c r="K4" s="5"/>
      <c r="L4" s="52" t="s">
        <v>167</v>
      </c>
      <c r="M4" s="2"/>
      <c r="N4" s="1" t="s">
        <v>79</v>
      </c>
      <c r="O4" s="142" t="s">
        <v>160</v>
      </c>
      <c r="P4" s="143"/>
      <c r="Q4" s="143"/>
      <c r="R4" s="143"/>
      <c r="S4" s="143"/>
      <c r="T4" s="143"/>
      <c r="V4" s="1" t="s">
        <v>80</v>
      </c>
      <c r="W4" s="43" t="s">
        <v>161</v>
      </c>
      <c r="Y4" s="27" t="s">
        <v>6</v>
      </c>
      <c r="Z4" s="54" t="s">
        <v>158</v>
      </c>
      <c r="AA4" s="32" t="s">
        <v>7</v>
      </c>
      <c r="AB4" s="54" t="s">
        <v>81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78</v>
      </c>
      <c r="J5" s="2"/>
      <c r="K5" s="2"/>
      <c r="L5" s="53" t="s">
        <v>168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0" t="s">
        <v>67</v>
      </c>
      <c r="D7" s="132" t="s">
        <v>9</v>
      </c>
      <c r="E7" s="130" t="s">
        <v>35</v>
      </c>
      <c r="F7" s="147" t="s">
        <v>12</v>
      </c>
      <c r="G7" s="148"/>
      <c r="H7" s="149"/>
      <c r="I7" s="132" t="s">
        <v>70</v>
      </c>
      <c r="J7" s="130" t="s">
        <v>15</v>
      </c>
      <c r="K7" s="130" t="s">
        <v>141</v>
      </c>
      <c r="L7" s="147" t="s">
        <v>17</v>
      </c>
      <c r="M7" s="148"/>
      <c r="N7" s="149"/>
      <c r="O7" s="132" t="s">
        <v>71</v>
      </c>
      <c r="P7" s="130" t="s">
        <v>18</v>
      </c>
      <c r="Q7" s="130" t="s">
        <v>142</v>
      </c>
      <c r="R7" s="130" t="s">
        <v>143</v>
      </c>
      <c r="S7" s="130" t="s">
        <v>145</v>
      </c>
      <c r="T7" s="130" t="s">
        <v>144</v>
      </c>
      <c r="U7" s="130" t="s">
        <v>72</v>
      </c>
      <c r="V7" s="136" t="s">
        <v>75</v>
      </c>
      <c r="W7" s="137"/>
      <c r="X7" s="138"/>
      <c r="Y7" s="130" t="s">
        <v>74</v>
      </c>
      <c r="Z7" s="130" t="s">
        <v>148</v>
      </c>
      <c r="AA7" s="132" t="s">
        <v>20</v>
      </c>
      <c r="AB7" s="134" t="s">
        <v>21</v>
      </c>
      <c r="AD7" s="19"/>
    </row>
    <row r="8" spans="2:35" ht="38.25" customHeight="1">
      <c r="B8" s="145"/>
      <c r="C8" s="131"/>
      <c r="D8" s="133"/>
      <c r="E8" s="146"/>
      <c r="F8" s="23" t="s">
        <v>82</v>
      </c>
      <c r="G8" s="23" t="s">
        <v>68</v>
      </c>
      <c r="H8" s="24" t="s">
        <v>69</v>
      </c>
      <c r="I8" s="133"/>
      <c r="J8" s="131"/>
      <c r="K8" s="131"/>
      <c r="L8" s="23" t="s">
        <v>82</v>
      </c>
      <c r="M8" s="23" t="s">
        <v>68</v>
      </c>
      <c r="N8" s="23" t="s">
        <v>69</v>
      </c>
      <c r="O8" s="133"/>
      <c r="P8" s="131"/>
      <c r="Q8" s="131"/>
      <c r="R8" s="131"/>
      <c r="S8" s="131"/>
      <c r="T8" s="131"/>
      <c r="U8" s="131"/>
      <c r="V8" s="29" t="s">
        <v>73</v>
      </c>
      <c r="W8" s="30" t="s">
        <v>146</v>
      </c>
      <c r="X8" s="30" t="s">
        <v>147</v>
      </c>
      <c r="Y8" s="131"/>
      <c r="Z8" s="131"/>
      <c r="AA8" s="133"/>
      <c r="AB8" s="135"/>
    </row>
    <row r="9" spans="2:35" s="19" customFormat="1">
      <c r="B9" s="40">
        <v>0.32569444444444445</v>
      </c>
      <c r="C9" s="40"/>
      <c r="D9" s="41">
        <v>1</v>
      </c>
      <c r="E9" s="41">
        <v>2</v>
      </c>
      <c r="F9" s="42" t="s">
        <v>170</v>
      </c>
      <c r="G9" s="42" t="s">
        <v>171</v>
      </c>
      <c r="H9" s="42" t="s">
        <v>179</v>
      </c>
      <c r="I9" s="42"/>
      <c r="J9" s="42">
        <v>2</v>
      </c>
      <c r="K9" s="25" t="str">
        <f>VLOOKUP(J9,Key!$E$2:$F$9,2,FALSE)</f>
        <v>Work</v>
      </c>
      <c r="L9" s="42" t="s">
        <v>181</v>
      </c>
      <c r="M9" s="43" t="s">
        <v>182</v>
      </c>
      <c r="N9" s="50" t="s">
        <v>179</v>
      </c>
      <c r="O9" s="43"/>
      <c r="P9" s="43">
        <v>5</v>
      </c>
      <c r="Q9" s="25" t="str">
        <f>VLOOKUP(P9,Key!$E$2:$F$9,2,FALSE)</f>
        <v>Tourism</v>
      </c>
      <c r="R9" s="25" t="str">
        <f>K9&amp;"-"&amp;Q9</f>
        <v>Work-Tourism</v>
      </c>
      <c r="S9" s="49"/>
      <c r="T9" s="49">
        <v>5</v>
      </c>
      <c r="U9" s="58">
        <v>4</v>
      </c>
      <c r="V9" s="58"/>
      <c r="W9" s="49"/>
      <c r="X9" s="49"/>
      <c r="Y9" s="50"/>
      <c r="Z9" s="59"/>
      <c r="AA9" s="25"/>
      <c r="AB9" s="25"/>
    </row>
    <row r="10" spans="2:35">
      <c r="B10" s="40">
        <v>0.3298611111111111</v>
      </c>
      <c r="C10" s="40"/>
      <c r="D10" s="41">
        <v>6</v>
      </c>
      <c r="E10" s="41">
        <v>1</v>
      </c>
      <c r="F10" s="42" t="s">
        <v>170</v>
      </c>
      <c r="G10" s="42" t="s">
        <v>171</v>
      </c>
      <c r="H10" s="42" t="s">
        <v>179</v>
      </c>
      <c r="I10" s="42"/>
      <c r="J10" s="42">
        <v>2</v>
      </c>
      <c r="K10" s="25" t="str">
        <f>VLOOKUP(J10,Key!$E$2:$F$9,2,FALSE)</f>
        <v>Work</v>
      </c>
      <c r="L10" s="42" t="s">
        <v>168</v>
      </c>
      <c r="M10" s="43" t="s">
        <v>171</v>
      </c>
      <c r="N10" s="50" t="s">
        <v>179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0.3</v>
      </c>
      <c r="U10" s="58">
        <v>1</v>
      </c>
      <c r="V10" s="58"/>
      <c r="W10" s="49"/>
      <c r="X10" s="49"/>
      <c r="Y10" s="50"/>
      <c r="Z10" s="59"/>
      <c r="AA10" s="25"/>
      <c r="AB10" s="25"/>
    </row>
    <row r="11" spans="2:35">
      <c r="B11" s="40">
        <v>0.33194444444444443</v>
      </c>
      <c r="C11" s="40"/>
      <c r="D11" s="41">
        <v>1</v>
      </c>
      <c r="E11" s="41">
        <v>2</v>
      </c>
      <c r="F11" s="42" t="s">
        <v>167</v>
      </c>
      <c r="G11" s="42" t="s">
        <v>172</v>
      </c>
      <c r="H11" s="42" t="s">
        <v>179</v>
      </c>
      <c r="I11" s="42"/>
      <c r="J11" s="42">
        <v>2</v>
      </c>
      <c r="K11" s="25" t="str">
        <f>VLOOKUP(J11,Key!$E$2:$F$9,2,FALSE)</f>
        <v>Work</v>
      </c>
      <c r="L11" s="42" t="s">
        <v>172</v>
      </c>
      <c r="M11" s="43" t="s">
        <v>172</v>
      </c>
      <c r="N11" s="50" t="s">
        <v>179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9"/>
      <c r="T11" s="49">
        <v>3</v>
      </c>
      <c r="U11" s="58">
        <v>2</v>
      </c>
      <c r="V11" s="58"/>
      <c r="W11" s="49"/>
      <c r="X11" s="49"/>
      <c r="Y11" s="50"/>
      <c r="Z11" s="59"/>
      <c r="AA11" s="25"/>
      <c r="AB11" s="25"/>
    </row>
    <row r="12" spans="2:35">
      <c r="B12" s="40">
        <v>0.3347222222222222</v>
      </c>
      <c r="C12" s="40"/>
      <c r="D12" s="41">
        <v>8</v>
      </c>
      <c r="E12" s="41">
        <v>2</v>
      </c>
      <c r="F12" s="42" t="s">
        <v>170</v>
      </c>
      <c r="G12" s="42" t="s">
        <v>172</v>
      </c>
      <c r="H12" s="42" t="s">
        <v>179</v>
      </c>
      <c r="I12" s="42"/>
      <c r="J12" s="42">
        <v>2</v>
      </c>
      <c r="K12" s="25" t="str">
        <f>VLOOKUP(J12,Key!$E$2:$F$9,2,FALSE)</f>
        <v>Work</v>
      </c>
      <c r="L12" s="42" t="s">
        <v>172</v>
      </c>
      <c r="M12" s="43" t="s">
        <v>172</v>
      </c>
      <c r="N12" s="50" t="s">
        <v>179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2</v>
      </c>
      <c r="U12" s="58">
        <v>2</v>
      </c>
      <c r="V12" s="58">
        <v>9</v>
      </c>
      <c r="W12" s="49">
        <v>3</v>
      </c>
      <c r="X12" s="49"/>
      <c r="Y12" s="50"/>
      <c r="Z12" s="59"/>
      <c r="AA12" s="25"/>
      <c r="AB12" s="25"/>
    </row>
    <row r="13" spans="2:35">
      <c r="B13" s="40">
        <v>0.33958333333333335</v>
      </c>
      <c r="C13" s="40"/>
      <c r="D13" s="41">
        <v>9</v>
      </c>
      <c r="E13" s="41">
        <v>2</v>
      </c>
      <c r="F13" s="42" t="s">
        <v>173</v>
      </c>
      <c r="G13" s="42" t="s">
        <v>167</v>
      </c>
      <c r="H13" s="42" t="s">
        <v>180</v>
      </c>
      <c r="I13" s="42"/>
      <c r="J13" s="42">
        <v>1</v>
      </c>
      <c r="K13" s="25" t="str">
        <f>VLOOKUP(J13,Key!$E$2:$F$9,2,FALSE)</f>
        <v>Home</v>
      </c>
      <c r="L13" s="42" t="s">
        <v>183</v>
      </c>
      <c r="M13" s="43" t="s">
        <v>183</v>
      </c>
      <c r="N13" s="50" t="s">
        <v>179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Home-Home</v>
      </c>
      <c r="S13" s="49"/>
      <c r="T13" s="49">
        <v>15</v>
      </c>
      <c r="U13" s="58">
        <v>3</v>
      </c>
      <c r="V13" s="58">
        <v>5</v>
      </c>
      <c r="W13" s="49">
        <v>5</v>
      </c>
      <c r="X13" s="49"/>
      <c r="Y13" s="50"/>
      <c r="Z13" s="59"/>
      <c r="AA13" s="25"/>
      <c r="AB13" s="25"/>
    </row>
    <row r="14" spans="2:35">
      <c r="B14" s="40">
        <v>0.36527777777777781</v>
      </c>
      <c r="C14" s="40"/>
      <c r="D14" s="41">
        <v>1</v>
      </c>
      <c r="E14" s="41"/>
      <c r="F14" s="42" t="s">
        <v>174</v>
      </c>
      <c r="G14" s="42" t="s">
        <v>167</v>
      </c>
      <c r="H14" s="42" t="s">
        <v>180</v>
      </c>
      <c r="I14" s="42"/>
      <c r="J14" s="42">
        <v>2</v>
      </c>
      <c r="K14" s="25" t="str">
        <f>VLOOKUP(J14,Key!$E$2:$F$9,2,FALSE)</f>
        <v>Work</v>
      </c>
      <c r="L14" s="42" t="s">
        <v>172</v>
      </c>
      <c r="M14" s="43" t="s">
        <v>172</v>
      </c>
      <c r="N14" s="50" t="s">
        <v>179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1.5</v>
      </c>
      <c r="U14" s="58">
        <v>3</v>
      </c>
      <c r="V14" s="58"/>
      <c r="W14" s="49"/>
      <c r="X14" s="49"/>
      <c r="Y14" s="50"/>
      <c r="Z14" s="59"/>
      <c r="AA14" s="25"/>
      <c r="AB14" s="25"/>
    </row>
    <row r="15" spans="2:35">
      <c r="B15" s="40">
        <v>0.36944444444444446</v>
      </c>
      <c r="C15" s="40"/>
      <c r="D15" s="41">
        <v>8</v>
      </c>
      <c r="E15" s="41">
        <v>2</v>
      </c>
      <c r="F15" s="42" t="s">
        <v>173</v>
      </c>
      <c r="G15" s="42" t="s">
        <v>167</v>
      </c>
      <c r="H15" s="42" t="s">
        <v>180</v>
      </c>
      <c r="I15" s="42"/>
      <c r="J15" s="42">
        <v>1</v>
      </c>
      <c r="K15" s="25" t="str">
        <f>VLOOKUP(J15,Key!$E$2:$F$9,2,FALSE)</f>
        <v>Home</v>
      </c>
      <c r="L15" s="42" t="s">
        <v>183</v>
      </c>
      <c r="M15" s="43" t="s">
        <v>183</v>
      </c>
      <c r="N15" s="50" t="s">
        <v>179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9"/>
      <c r="T15" s="49">
        <v>48</v>
      </c>
      <c r="U15" s="58">
        <v>3</v>
      </c>
      <c r="V15" s="58"/>
      <c r="W15" s="49">
        <v>12</v>
      </c>
      <c r="X15" s="49"/>
      <c r="Y15" s="50"/>
      <c r="Z15" s="59"/>
      <c r="AA15" s="25"/>
      <c r="AB15" s="25"/>
    </row>
    <row r="16" spans="2:35">
      <c r="B16" s="40">
        <v>0.37708333333333338</v>
      </c>
      <c r="C16" s="40"/>
      <c r="D16" s="41">
        <v>8</v>
      </c>
      <c r="E16" s="41">
        <v>2</v>
      </c>
      <c r="F16" s="42" t="s">
        <v>173</v>
      </c>
      <c r="G16" s="42" t="s">
        <v>167</v>
      </c>
      <c r="H16" s="42" t="s">
        <v>180</v>
      </c>
      <c r="I16" s="42"/>
      <c r="J16" s="42">
        <v>2</v>
      </c>
      <c r="K16" s="25" t="str">
        <f>VLOOKUP(J16,Key!$E$2:$F$9,2,FALSE)</f>
        <v>Work</v>
      </c>
      <c r="L16" s="42" t="s">
        <v>184</v>
      </c>
      <c r="M16" s="43" t="s">
        <v>184</v>
      </c>
      <c r="N16" s="50" t="s">
        <v>200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72</v>
      </c>
      <c r="U16" s="58">
        <v>4</v>
      </c>
      <c r="V16" s="58">
        <v>5</v>
      </c>
      <c r="W16" s="49">
        <v>14</v>
      </c>
      <c r="X16" s="49"/>
      <c r="Y16" s="50"/>
      <c r="Z16" s="59"/>
      <c r="AA16" s="25"/>
      <c r="AB16" s="25"/>
    </row>
    <row r="17" spans="2:28">
      <c r="B17" s="40">
        <v>0.3833333333333333</v>
      </c>
      <c r="C17" s="40"/>
      <c r="D17" s="41">
        <v>9</v>
      </c>
      <c r="E17" s="41">
        <v>2</v>
      </c>
      <c r="F17" s="42" t="s">
        <v>173</v>
      </c>
      <c r="G17" s="42" t="s">
        <v>167</v>
      </c>
      <c r="H17" s="42" t="s">
        <v>180</v>
      </c>
      <c r="I17" s="42"/>
      <c r="J17" s="42">
        <v>1</v>
      </c>
      <c r="K17" s="25" t="str">
        <f>VLOOKUP(J17,Key!$E$2:$F$9,2,FALSE)</f>
        <v>Home</v>
      </c>
      <c r="L17" s="42" t="s">
        <v>185</v>
      </c>
      <c r="M17" s="43" t="s">
        <v>183</v>
      </c>
      <c r="N17" s="50" t="s">
        <v>179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9"/>
      <c r="T17" s="49">
        <v>12</v>
      </c>
      <c r="U17" s="58">
        <v>3</v>
      </c>
      <c r="V17" s="58">
        <v>1</v>
      </c>
      <c r="W17" s="49">
        <v>25</v>
      </c>
      <c r="X17" s="49"/>
      <c r="Y17" s="50"/>
      <c r="Z17" s="59"/>
      <c r="AA17" s="25"/>
      <c r="AB17" s="25"/>
    </row>
    <row r="18" spans="2:28">
      <c r="B18" s="40">
        <v>0.40208333333333335</v>
      </c>
      <c r="C18" s="40"/>
      <c r="D18" s="41">
        <v>9</v>
      </c>
      <c r="E18" s="41">
        <v>1</v>
      </c>
      <c r="F18" s="42" t="s">
        <v>173</v>
      </c>
      <c r="G18" s="42" t="s">
        <v>167</v>
      </c>
      <c r="H18" s="42" t="s">
        <v>180</v>
      </c>
      <c r="I18" s="42"/>
      <c r="J18" s="42">
        <v>1</v>
      </c>
      <c r="K18" s="25" t="str">
        <f>VLOOKUP(J18,Key!$E$2:$F$9,2,FALSE)</f>
        <v>Home</v>
      </c>
      <c r="L18" s="42" t="s">
        <v>186</v>
      </c>
      <c r="M18" s="43" t="s">
        <v>186</v>
      </c>
      <c r="N18" s="50" t="s">
        <v>179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9"/>
      <c r="T18" s="49">
        <v>12</v>
      </c>
      <c r="U18" s="58">
        <v>3</v>
      </c>
      <c r="V18" s="58">
        <v>8</v>
      </c>
      <c r="W18" s="49">
        <v>30</v>
      </c>
      <c r="X18" s="49"/>
      <c r="Y18" s="50"/>
      <c r="Z18" s="59"/>
      <c r="AA18" s="25"/>
      <c r="AB18" s="25"/>
    </row>
    <row r="19" spans="2:28">
      <c r="B19" s="40">
        <v>0.40763888888888888</v>
      </c>
      <c r="C19" s="40"/>
      <c r="D19" s="41">
        <v>8</v>
      </c>
      <c r="E19" s="41">
        <v>1</v>
      </c>
      <c r="F19" s="42" t="s">
        <v>173</v>
      </c>
      <c r="G19" s="42" t="s">
        <v>167</v>
      </c>
      <c r="H19" s="42" t="s">
        <v>180</v>
      </c>
      <c r="I19" s="42"/>
      <c r="J19" s="42">
        <v>2</v>
      </c>
      <c r="K19" s="25" t="str">
        <f>VLOOKUP(J19,Key!$E$2:$F$9,2,FALSE)</f>
        <v>Work</v>
      </c>
      <c r="L19" s="42" t="s">
        <v>185</v>
      </c>
      <c r="M19" s="43" t="s">
        <v>183</v>
      </c>
      <c r="N19" s="50" t="s">
        <v>179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49"/>
      <c r="T19" s="49">
        <v>16</v>
      </c>
      <c r="U19" s="58">
        <v>3</v>
      </c>
      <c r="V19" s="58">
        <v>9</v>
      </c>
      <c r="W19" s="49">
        <v>30</v>
      </c>
      <c r="X19" s="49"/>
      <c r="Y19" s="50"/>
      <c r="Z19" s="59"/>
      <c r="AA19" s="25"/>
      <c r="AB19" s="25"/>
    </row>
    <row r="20" spans="2:28">
      <c r="B20" s="40">
        <v>0.41180555555555554</v>
      </c>
      <c r="C20" s="40"/>
      <c r="D20" s="41">
        <v>6</v>
      </c>
      <c r="E20" s="41">
        <v>65</v>
      </c>
      <c r="F20" s="42" t="s">
        <v>175</v>
      </c>
      <c r="G20" s="42" t="s">
        <v>171</v>
      </c>
      <c r="H20" s="42" t="s">
        <v>179</v>
      </c>
      <c r="I20" s="42"/>
      <c r="J20" s="42">
        <v>1</v>
      </c>
      <c r="K20" s="25" t="str">
        <f>VLOOKUP(J20,Key!$E$2:$F$9,2,FALSE)</f>
        <v>Home</v>
      </c>
      <c r="L20" s="42" t="s">
        <v>187</v>
      </c>
      <c r="M20" s="43" t="s">
        <v>171</v>
      </c>
      <c r="N20" s="50" t="s">
        <v>179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9"/>
      <c r="T20" s="49">
        <v>0.5</v>
      </c>
      <c r="U20" s="58">
        <v>2</v>
      </c>
      <c r="V20" s="58"/>
      <c r="W20" s="49"/>
      <c r="X20" s="49"/>
      <c r="Y20" s="50"/>
      <c r="Z20" s="59"/>
      <c r="AA20" s="25"/>
      <c r="AB20" s="25"/>
    </row>
    <row r="21" spans="2:28">
      <c r="B21" s="40">
        <v>0.41736111111111113</v>
      </c>
      <c r="C21" s="40"/>
      <c r="D21" s="41">
        <v>6</v>
      </c>
      <c r="E21" s="41">
        <v>50</v>
      </c>
      <c r="F21" s="42" t="s">
        <v>176</v>
      </c>
      <c r="G21" s="42" t="s">
        <v>171</v>
      </c>
      <c r="H21" s="42" t="s">
        <v>179</v>
      </c>
      <c r="I21" s="42"/>
      <c r="J21" s="42">
        <v>1</v>
      </c>
      <c r="K21" s="25" t="str">
        <f>VLOOKUP(J21,Key!$E$2:$F$9,2,FALSE)</f>
        <v>Home</v>
      </c>
      <c r="L21" s="42" t="s">
        <v>168</v>
      </c>
      <c r="M21" s="43" t="s">
        <v>171</v>
      </c>
      <c r="N21" s="50" t="s">
        <v>179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9"/>
      <c r="T21" s="49">
        <v>0.75</v>
      </c>
      <c r="U21" s="58">
        <v>1</v>
      </c>
      <c r="V21" s="58"/>
      <c r="W21" s="49">
        <v>9</v>
      </c>
      <c r="X21" s="49"/>
      <c r="Y21" s="50"/>
      <c r="Z21" s="59"/>
      <c r="AA21" s="25"/>
      <c r="AB21" s="25"/>
    </row>
    <row r="22" spans="2:28">
      <c r="B22" s="40">
        <v>0.41944444444444445</v>
      </c>
      <c r="C22" s="40"/>
      <c r="D22" s="41">
        <v>7</v>
      </c>
      <c r="E22" s="41">
        <v>1</v>
      </c>
      <c r="F22" s="42" t="s">
        <v>167</v>
      </c>
      <c r="G22" s="42" t="s">
        <v>171</v>
      </c>
      <c r="H22" s="42" t="s">
        <v>179</v>
      </c>
      <c r="I22" s="42"/>
      <c r="J22" s="42">
        <v>2</v>
      </c>
      <c r="K22" s="25" t="str">
        <f>VLOOKUP(J22,Key!$E$2:$F$9,2,FALSE)</f>
        <v>Work</v>
      </c>
      <c r="L22" s="42" t="s">
        <v>188</v>
      </c>
      <c r="M22" s="43" t="s">
        <v>183</v>
      </c>
      <c r="N22" s="50" t="s">
        <v>179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49"/>
      <c r="T22" s="49">
        <v>48</v>
      </c>
      <c r="U22" s="58">
        <v>3</v>
      </c>
      <c r="V22" s="58">
        <v>8</v>
      </c>
      <c r="W22" s="49">
        <v>3</v>
      </c>
      <c r="X22" s="49"/>
      <c r="Y22" s="50"/>
      <c r="Z22" s="59"/>
      <c r="AA22" s="25"/>
      <c r="AB22" s="25"/>
    </row>
    <row r="23" spans="2:28">
      <c r="B23" s="40">
        <v>0.42291666666666666</v>
      </c>
      <c r="C23" s="40"/>
      <c r="D23" s="41">
        <v>7</v>
      </c>
      <c r="E23" s="41">
        <v>3</v>
      </c>
      <c r="F23" s="42" t="s">
        <v>177</v>
      </c>
      <c r="G23" s="42" t="s">
        <v>171</v>
      </c>
      <c r="H23" s="42" t="s">
        <v>179</v>
      </c>
      <c r="I23" s="42"/>
      <c r="J23" s="42">
        <v>2</v>
      </c>
      <c r="K23" s="25" t="str">
        <f>VLOOKUP(J23,Key!$E$2:$F$9,2,FALSE)</f>
        <v>Work</v>
      </c>
      <c r="L23" s="42" t="s">
        <v>183</v>
      </c>
      <c r="M23" s="43" t="s">
        <v>183</v>
      </c>
      <c r="N23" s="50" t="s">
        <v>179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49"/>
      <c r="T23" s="49">
        <v>12</v>
      </c>
      <c r="U23" s="58">
        <v>3</v>
      </c>
      <c r="V23" s="58">
        <v>8</v>
      </c>
      <c r="W23" s="49"/>
      <c r="X23" s="49"/>
      <c r="Y23" s="50"/>
      <c r="Z23" s="59"/>
      <c r="AA23" s="25"/>
      <c r="AB23" s="25"/>
    </row>
    <row r="24" spans="2:28">
      <c r="B24" s="40">
        <v>0.42638888888888887</v>
      </c>
      <c r="C24" s="40"/>
      <c r="D24" s="41">
        <v>9</v>
      </c>
      <c r="E24" s="41">
        <v>2</v>
      </c>
      <c r="F24" s="42" t="s">
        <v>173</v>
      </c>
      <c r="G24" s="42" t="s">
        <v>167</v>
      </c>
      <c r="H24" s="42" t="s">
        <v>180</v>
      </c>
      <c r="I24" s="42"/>
      <c r="J24" s="42">
        <v>2</v>
      </c>
      <c r="K24" s="25" t="str">
        <f>VLOOKUP(J24,Key!$E$2:$F$9,2,FALSE)</f>
        <v>Work</v>
      </c>
      <c r="L24" s="42" t="s">
        <v>189</v>
      </c>
      <c r="M24" s="43" t="s">
        <v>190</v>
      </c>
      <c r="N24" s="50" t="s">
        <v>179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9"/>
      <c r="T24" s="49">
        <v>72</v>
      </c>
      <c r="U24" s="58">
        <v>3</v>
      </c>
      <c r="V24" s="58">
        <v>6</v>
      </c>
      <c r="W24" s="49">
        <v>28</v>
      </c>
      <c r="X24" s="49"/>
      <c r="Y24" s="50"/>
      <c r="Z24" s="59"/>
      <c r="AA24" s="25"/>
      <c r="AB24" s="25"/>
    </row>
    <row r="25" spans="2:28">
      <c r="B25" s="40">
        <v>0.43888888888888888</v>
      </c>
      <c r="C25" s="40"/>
      <c r="D25" s="41">
        <v>8</v>
      </c>
      <c r="E25" s="41">
        <v>2</v>
      </c>
      <c r="F25" s="42" t="s">
        <v>168</v>
      </c>
      <c r="G25" s="42" t="s">
        <v>171</v>
      </c>
      <c r="H25" s="42" t="s">
        <v>179</v>
      </c>
      <c r="I25" s="42"/>
      <c r="J25" s="42">
        <v>2</v>
      </c>
      <c r="K25" s="25" t="str">
        <f>VLOOKUP(J25,Key!$E$2:$F$9,2,FALSE)</f>
        <v>Work</v>
      </c>
      <c r="L25" s="42" t="s">
        <v>183</v>
      </c>
      <c r="M25" s="43" t="s">
        <v>183</v>
      </c>
      <c r="N25" s="50" t="s">
        <v>179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49"/>
      <c r="T25" s="49">
        <v>12</v>
      </c>
      <c r="U25" s="58">
        <v>3</v>
      </c>
      <c r="V25" s="58">
        <v>5</v>
      </c>
      <c r="W25" s="49">
        <v>12</v>
      </c>
      <c r="X25" s="49"/>
      <c r="Y25" s="50"/>
      <c r="Z25" s="59"/>
      <c r="AA25" s="25"/>
      <c r="AB25" s="25"/>
    </row>
    <row r="26" spans="2:28">
      <c r="B26" s="40">
        <v>0.44305555555555554</v>
      </c>
      <c r="C26" s="40"/>
      <c r="D26" s="41">
        <v>1</v>
      </c>
      <c r="E26" s="41">
        <v>7</v>
      </c>
      <c r="F26" s="42" t="s">
        <v>170</v>
      </c>
      <c r="G26" s="42" t="s">
        <v>171</v>
      </c>
      <c r="H26" s="42" t="s">
        <v>179</v>
      </c>
      <c r="I26" s="42"/>
      <c r="J26" s="42">
        <v>2</v>
      </c>
      <c r="K26" s="25" t="str">
        <f>VLOOKUP(J26,Key!$E$2:$F$9,2,FALSE)</f>
        <v>Work</v>
      </c>
      <c r="L26" s="42" t="s">
        <v>172</v>
      </c>
      <c r="M26" s="43" t="s">
        <v>172</v>
      </c>
      <c r="N26" s="50" t="s">
        <v>179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2</v>
      </c>
      <c r="U26" s="58">
        <v>2</v>
      </c>
      <c r="V26" s="58"/>
      <c r="W26" s="49"/>
      <c r="X26" s="49"/>
      <c r="Y26" s="50"/>
      <c r="Z26" s="59"/>
      <c r="AA26" s="25"/>
      <c r="AB26" s="25"/>
    </row>
    <row r="27" spans="2:28">
      <c r="B27" s="40">
        <v>0.44930555555555557</v>
      </c>
      <c r="C27" s="40"/>
      <c r="D27" s="41">
        <v>1</v>
      </c>
      <c r="E27" s="41">
        <v>1</v>
      </c>
      <c r="F27" s="42" t="s">
        <v>173</v>
      </c>
      <c r="G27" s="42" t="s">
        <v>167</v>
      </c>
      <c r="H27" s="42" t="s">
        <v>180</v>
      </c>
      <c r="I27" s="42"/>
      <c r="J27" s="42">
        <v>8</v>
      </c>
      <c r="K27" s="25" t="str">
        <f>VLOOKUP(J27,Key!$E$2:$F$9,2,FALSE)</f>
        <v>Others</v>
      </c>
      <c r="L27" s="42" t="s">
        <v>191</v>
      </c>
      <c r="M27" s="43" t="s">
        <v>192</v>
      </c>
      <c r="N27" s="50" t="s">
        <v>179</v>
      </c>
      <c r="O27" s="43"/>
      <c r="P27" s="43">
        <v>8</v>
      </c>
      <c r="Q27" s="25" t="str">
        <f>VLOOKUP(P27,Key!$E$2:$F$9,2,FALSE)</f>
        <v>Others</v>
      </c>
      <c r="R27" s="25" t="str">
        <f t="shared" si="0"/>
        <v>Others-Others</v>
      </c>
      <c r="S27" s="49"/>
      <c r="T27" s="49">
        <v>48</v>
      </c>
      <c r="U27" s="58">
        <v>5</v>
      </c>
      <c r="V27" s="58"/>
      <c r="W27" s="49"/>
      <c r="X27" s="49"/>
      <c r="Y27" s="50"/>
      <c r="Z27" s="59"/>
      <c r="AA27" s="25"/>
      <c r="AB27" s="25"/>
    </row>
    <row r="28" spans="2:28">
      <c r="B28" s="40">
        <v>0.4513888888888889</v>
      </c>
      <c r="C28" s="40"/>
      <c r="D28" s="41">
        <v>1</v>
      </c>
      <c r="E28" s="41">
        <v>5</v>
      </c>
      <c r="F28" s="42" t="s">
        <v>170</v>
      </c>
      <c r="G28" s="42" t="s">
        <v>171</v>
      </c>
      <c r="H28" s="42" t="s">
        <v>179</v>
      </c>
      <c r="I28" s="42"/>
      <c r="J28" s="42">
        <v>1</v>
      </c>
      <c r="K28" s="25" t="str">
        <f>VLOOKUP(J28,Key!$E$2:$F$9,2,FALSE)</f>
        <v>Home</v>
      </c>
      <c r="L28" s="42" t="s">
        <v>172</v>
      </c>
      <c r="M28" s="43" t="s">
        <v>172</v>
      </c>
      <c r="N28" s="50" t="s">
        <v>179</v>
      </c>
      <c r="O28" s="43"/>
      <c r="P28" s="43">
        <v>7</v>
      </c>
      <c r="Q28" s="25" t="str">
        <f>VLOOKUP(P28,Key!$E$2:$F$9,2,FALSE)</f>
        <v>Hospital</v>
      </c>
      <c r="R28" s="25" t="str">
        <f t="shared" si="0"/>
        <v>Home-Hospital</v>
      </c>
      <c r="S28" s="49"/>
      <c r="T28" s="49">
        <v>2</v>
      </c>
      <c r="U28" s="58">
        <v>4</v>
      </c>
      <c r="V28" s="58"/>
      <c r="W28" s="49"/>
      <c r="X28" s="49"/>
      <c r="Y28" s="50"/>
      <c r="Z28" s="59"/>
      <c r="AA28" s="25"/>
      <c r="AB28" s="25"/>
    </row>
    <row r="29" spans="2:28">
      <c r="B29" s="40">
        <v>0.46388888888888885</v>
      </c>
      <c r="C29" s="40"/>
      <c r="D29" s="41">
        <v>5</v>
      </c>
      <c r="E29" s="41">
        <v>20</v>
      </c>
      <c r="F29" s="42" t="s">
        <v>170</v>
      </c>
      <c r="G29" s="42" t="s">
        <v>171</v>
      </c>
      <c r="H29" s="42" t="s">
        <v>179</v>
      </c>
      <c r="I29" s="42"/>
      <c r="J29" s="42">
        <v>2</v>
      </c>
      <c r="K29" s="25" t="str">
        <f>VLOOKUP(J29,Key!$E$2:$F$9,2,FALSE)</f>
        <v>Work</v>
      </c>
      <c r="L29" s="42" t="s">
        <v>183</v>
      </c>
      <c r="M29" s="43" t="s">
        <v>183</v>
      </c>
      <c r="N29" s="50" t="s">
        <v>179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9</v>
      </c>
      <c r="U29" s="58">
        <v>2</v>
      </c>
      <c r="V29" s="58"/>
      <c r="W29" s="49"/>
      <c r="X29" s="49"/>
      <c r="Y29" s="50"/>
      <c r="Z29" s="59"/>
      <c r="AA29" s="25"/>
      <c r="AB29" s="25"/>
    </row>
    <row r="30" spans="2:28">
      <c r="B30" s="40">
        <v>0.47291666666666665</v>
      </c>
      <c r="C30" s="40"/>
      <c r="D30" s="41">
        <v>1</v>
      </c>
      <c r="E30" s="41">
        <v>6</v>
      </c>
      <c r="F30" s="42" t="s">
        <v>170</v>
      </c>
      <c r="G30" s="42" t="s">
        <v>171</v>
      </c>
      <c r="H30" s="42" t="s">
        <v>179</v>
      </c>
      <c r="I30" s="42"/>
      <c r="J30" s="42">
        <v>1</v>
      </c>
      <c r="K30" s="25" t="str">
        <f>VLOOKUP(J30,Key!$E$2:$F$9,2,FALSE)</f>
        <v>Home</v>
      </c>
      <c r="L30" s="42" t="s">
        <v>172</v>
      </c>
      <c r="M30" s="43" t="s">
        <v>172</v>
      </c>
      <c r="N30" s="50" t="s">
        <v>179</v>
      </c>
      <c r="O30" s="43"/>
      <c r="P30" s="43">
        <v>7</v>
      </c>
      <c r="Q30" s="25" t="str">
        <f>VLOOKUP(P30,Key!$E$2:$F$9,2,FALSE)</f>
        <v>Hospital</v>
      </c>
      <c r="R30" s="25" t="str">
        <f t="shared" si="0"/>
        <v>Home-Hospital</v>
      </c>
      <c r="S30" s="49"/>
      <c r="T30" s="49">
        <v>2</v>
      </c>
      <c r="U30" s="58">
        <v>2</v>
      </c>
      <c r="V30" s="58"/>
      <c r="W30" s="49"/>
      <c r="X30" s="49"/>
      <c r="Y30" s="50"/>
      <c r="Z30" s="59"/>
      <c r="AA30" s="25"/>
      <c r="AB30" s="25"/>
    </row>
    <row r="31" spans="2:28">
      <c r="B31" s="40">
        <v>0.4770833333333333</v>
      </c>
      <c r="C31" s="40"/>
      <c r="D31" s="41">
        <v>9</v>
      </c>
      <c r="E31" s="41">
        <v>3</v>
      </c>
      <c r="F31" s="42" t="s">
        <v>173</v>
      </c>
      <c r="G31" s="42" t="s">
        <v>167</v>
      </c>
      <c r="H31" s="42" t="s">
        <v>180</v>
      </c>
      <c r="I31" s="42"/>
      <c r="J31" s="42">
        <v>2</v>
      </c>
      <c r="K31" s="25" t="str">
        <f>VLOOKUP(J31,Key!$E$2:$F$9,2,FALSE)</f>
        <v>Work</v>
      </c>
      <c r="L31" s="42" t="s">
        <v>183</v>
      </c>
      <c r="M31" s="43" t="s">
        <v>183</v>
      </c>
      <c r="N31" s="50" t="s">
        <v>179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168</v>
      </c>
      <c r="U31" s="58">
        <v>3</v>
      </c>
      <c r="V31" s="58">
        <v>7</v>
      </c>
      <c r="W31" s="49">
        <v>20</v>
      </c>
      <c r="X31" s="49"/>
      <c r="Y31" s="50"/>
      <c r="Z31" s="59"/>
      <c r="AA31" s="25"/>
      <c r="AB31" s="25"/>
    </row>
    <row r="32" spans="2:28">
      <c r="B32" s="40">
        <v>0.47986111111111113</v>
      </c>
      <c r="C32" s="40"/>
      <c r="D32" s="41">
        <v>6</v>
      </c>
      <c r="E32" s="41">
        <v>10</v>
      </c>
      <c r="F32" s="42" t="s">
        <v>170</v>
      </c>
      <c r="G32" s="42" t="s">
        <v>171</v>
      </c>
      <c r="H32" s="42" t="s">
        <v>179</v>
      </c>
      <c r="I32" s="42"/>
      <c r="J32" s="42">
        <v>1</v>
      </c>
      <c r="K32" s="25" t="str">
        <f>VLOOKUP(J32,Key!$E$2:$F$9,2,FALSE)</f>
        <v>Home</v>
      </c>
      <c r="L32" s="42" t="s">
        <v>168</v>
      </c>
      <c r="M32" s="43" t="s">
        <v>171</v>
      </c>
      <c r="N32" s="50" t="s">
        <v>179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9"/>
      <c r="T32" s="49">
        <v>0.7</v>
      </c>
      <c r="U32" s="58">
        <v>2</v>
      </c>
      <c r="V32" s="58"/>
      <c r="W32" s="49"/>
      <c r="X32" s="49"/>
      <c r="Y32" s="50"/>
      <c r="Z32" s="59"/>
      <c r="AA32" s="25"/>
      <c r="AB32" s="25"/>
    </row>
    <row r="33" spans="2:28">
      <c r="B33" s="40">
        <v>0.4909722222222222</v>
      </c>
      <c r="C33" s="40"/>
      <c r="D33" s="41">
        <v>1</v>
      </c>
      <c r="E33" s="41">
        <v>3</v>
      </c>
      <c r="F33" s="42" t="s">
        <v>170</v>
      </c>
      <c r="G33" s="42" t="s">
        <v>171</v>
      </c>
      <c r="H33" s="42" t="s">
        <v>179</v>
      </c>
      <c r="I33" s="42"/>
      <c r="J33" s="42">
        <v>2</v>
      </c>
      <c r="K33" s="25" t="str">
        <f>VLOOKUP(J33,Key!$E$2:$F$9,2,FALSE)</f>
        <v>Work</v>
      </c>
      <c r="L33" s="42" t="s">
        <v>172</v>
      </c>
      <c r="M33" s="43" t="s">
        <v>172</v>
      </c>
      <c r="N33" s="50" t="s">
        <v>179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2</v>
      </c>
      <c r="U33" s="58">
        <v>1</v>
      </c>
      <c r="V33" s="58"/>
      <c r="W33" s="49"/>
      <c r="X33" s="49"/>
      <c r="Y33" s="50"/>
      <c r="Z33" s="59"/>
      <c r="AA33" s="25"/>
      <c r="AB33" s="25"/>
    </row>
    <row r="34" spans="2:28">
      <c r="B34" s="40">
        <v>0.49374999999999997</v>
      </c>
      <c r="C34" s="40"/>
      <c r="D34" s="41">
        <v>9</v>
      </c>
      <c r="E34" s="41">
        <v>3</v>
      </c>
      <c r="F34" s="42" t="s">
        <v>173</v>
      </c>
      <c r="G34" s="42" t="s">
        <v>167</v>
      </c>
      <c r="H34" s="42" t="s">
        <v>180</v>
      </c>
      <c r="I34" s="42"/>
      <c r="J34" s="42">
        <v>2</v>
      </c>
      <c r="K34" s="25" t="str">
        <f>VLOOKUP(J34,Key!$E$2:$F$9,2,FALSE)</f>
        <v>Work</v>
      </c>
      <c r="L34" s="42" t="s">
        <v>193</v>
      </c>
      <c r="M34" s="43" t="s">
        <v>194</v>
      </c>
      <c r="N34" s="50" t="s">
        <v>179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9"/>
      <c r="T34" s="49">
        <v>120</v>
      </c>
      <c r="U34" s="58">
        <v>3</v>
      </c>
      <c r="V34" s="58">
        <v>7</v>
      </c>
      <c r="W34" s="49">
        <v>7</v>
      </c>
      <c r="X34" s="49"/>
      <c r="Y34" s="50"/>
      <c r="Z34" s="59"/>
      <c r="AA34" s="25"/>
      <c r="AB34" s="25"/>
    </row>
    <row r="35" spans="2:28">
      <c r="B35" s="40">
        <v>0.50347222222222221</v>
      </c>
      <c r="C35" s="40"/>
      <c r="D35" s="41">
        <v>7</v>
      </c>
      <c r="E35" s="41">
        <v>3</v>
      </c>
      <c r="F35" s="42" t="s">
        <v>170</v>
      </c>
      <c r="G35" s="42" t="s">
        <v>171</v>
      </c>
      <c r="H35" s="42" t="s">
        <v>179</v>
      </c>
      <c r="I35" s="42"/>
      <c r="J35" s="42">
        <v>2</v>
      </c>
      <c r="K35" s="25" t="str">
        <f>VLOOKUP(J35,Key!$E$2:$F$9,2,FALSE)</f>
        <v>Work</v>
      </c>
      <c r="L35" s="42" t="s">
        <v>172</v>
      </c>
      <c r="M35" s="43" t="s">
        <v>172</v>
      </c>
      <c r="N35" s="50" t="s">
        <v>179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9"/>
      <c r="T35" s="49">
        <v>2</v>
      </c>
      <c r="U35" s="58">
        <v>3</v>
      </c>
      <c r="V35" s="58">
        <v>8</v>
      </c>
      <c r="W35" s="49">
        <v>3.5</v>
      </c>
      <c r="X35" s="49"/>
      <c r="Y35" s="50"/>
      <c r="Z35" s="59"/>
      <c r="AA35" s="25"/>
      <c r="AB35" s="25"/>
    </row>
    <row r="36" spans="2:28">
      <c r="B36" s="40">
        <v>0.50763888888888886</v>
      </c>
      <c r="C36" s="40"/>
      <c r="D36" s="41">
        <v>5</v>
      </c>
      <c r="E36" s="41">
        <v>24</v>
      </c>
      <c r="F36" s="42" t="s">
        <v>170</v>
      </c>
      <c r="G36" s="42" t="s">
        <v>171</v>
      </c>
      <c r="H36" s="42" t="s">
        <v>179</v>
      </c>
      <c r="I36" s="42"/>
      <c r="J36" s="42">
        <v>2</v>
      </c>
      <c r="K36" s="25" t="str">
        <f>VLOOKUP(J36,Key!$E$2:$F$9,2,FALSE)</f>
        <v>Work</v>
      </c>
      <c r="L36" s="42" t="s">
        <v>183</v>
      </c>
      <c r="M36" s="43" t="s">
        <v>183</v>
      </c>
      <c r="N36" s="50" t="s">
        <v>179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11</v>
      </c>
      <c r="U36" s="58">
        <v>2</v>
      </c>
      <c r="V36" s="58"/>
      <c r="W36" s="49"/>
      <c r="X36" s="49"/>
      <c r="Y36" s="50"/>
      <c r="Z36" s="59"/>
      <c r="AA36" s="25"/>
      <c r="AB36" s="25"/>
    </row>
    <row r="37" spans="2:28">
      <c r="B37" s="40">
        <v>0.5180555555555556</v>
      </c>
      <c r="C37" s="40"/>
      <c r="D37" s="41">
        <v>6</v>
      </c>
      <c r="E37" s="41">
        <v>1</v>
      </c>
      <c r="F37" s="42" t="s">
        <v>170</v>
      </c>
      <c r="G37" s="42" t="s">
        <v>171</v>
      </c>
      <c r="H37" s="42" t="s">
        <v>179</v>
      </c>
      <c r="I37" s="42"/>
      <c r="J37" s="42">
        <v>2</v>
      </c>
      <c r="K37" s="25" t="str">
        <f>VLOOKUP(J37,Key!$E$2:$F$9,2,FALSE)</f>
        <v>Work</v>
      </c>
      <c r="L37" s="42" t="s">
        <v>172</v>
      </c>
      <c r="M37" s="43" t="s">
        <v>172</v>
      </c>
      <c r="N37" s="50" t="s">
        <v>179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3</v>
      </c>
      <c r="U37" s="58">
        <v>3</v>
      </c>
      <c r="V37" s="58"/>
      <c r="W37" s="49"/>
      <c r="X37" s="49"/>
      <c r="Y37" s="50"/>
      <c r="Z37" s="59"/>
      <c r="AA37" s="25"/>
      <c r="AB37" s="25"/>
    </row>
    <row r="38" spans="2:28">
      <c r="B38" s="40">
        <v>0.51944444444444449</v>
      </c>
      <c r="C38" s="40"/>
      <c r="D38" s="41">
        <v>7</v>
      </c>
      <c r="E38" s="41">
        <v>2</v>
      </c>
      <c r="F38" s="42" t="s">
        <v>170</v>
      </c>
      <c r="G38" s="42" t="s">
        <v>171</v>
      </c>
      <c r="H38" s="42" t="s">
        <v>179</v>
      </c>
      <c r="I38" s="42"/>
      <c r="J38" s="42">
        <v>8</v>
      </c>
      <c r="K38" s="25" t="str">
        <f>VLOOKUP(J38,Key!$E$2:$F$9,2,FALSE)</f>
        <v>Others</v>
      </c>
      <c r="L38" s="42" t="s">
        <v>171</v>
      </c>
      <c r="M38" s="43" t="s">
        <v>171</v>
      </c>
      <c r="N38" s="50" t="s">
        <v>179</v>
      </c>
      <c r="O38" s="43"/>
      <c r="P38" s="43">
        <v>8</v>
      </c>
      <c r="Q38" s="25" t="str">
        <f>VLOOKUP(P38,Key!$E$2:$F$9,2,FALSE)</f>
        <v>Others</v>
      </c>
      <c r="R38" s="25" t="str">
        <f t="shared" ref="R38:R98" si="1">K38&amp;"-"&amp;Q38</f>
        <v>Others-Others</v>
      </c>
      <c r="S38" s="49"/>
      <c r="T38" s="49">
        <v>2</v>
      </c>
      <c r="U38" s="58">
        <v>4</v>
      </c>
      <c r="V38" s="58"/>
      <c r="W38" s="49"/>
      <c r="X38" s="49"/>
      <c r="Y38" s="50"/>
      <c r="Z38" s="59"/>
      <c r="AA38" s="25"/>
      <c r="AB38" s="25"/>
    </row>
    <row r="39" spans="2:28">
      <c r="B39" s="40">
        <v>0.53611111111111109</v>
      </c>
      <c r="C39" s="40"/>
      <c r="D39" s="41">
        <v>7</v>
      </c>
      <c r="E39" s="41">
        <v>3</v>
      </c>
      <c r="F39" s="42" t="s">
        <v>173</v>
      </c>
      <c r="G39" s="42" t="s">
        <v>167</v>
      </c>
      <c r="H39" s="42" t="s">
        <v>180</v>
      </c>
      <c r="I39" s="42"/>
      <c r="J39" s="42">
        <v>2</v>
      </c>
      <c r="K39" s="25" t="str">
        <f>VLOOKUP(J39,Key!$E$2:$F$9,2,FALSE)</f>
        <v>Work</v>
      </c>
      <c r="L39" s="42" t="s">
        <v>183</v>
      </c>
      <c r="M39" s="43" t="s">
        <v>183</v>
      </c>
      <c r="N39" s="50" t="s">
        <v>179</v>
      </c>
      <c r="O39" s="43"/>
      <c r="P39" s="43">
        <v>1</v>
      </c>
      <c r="Q39" s="25" t="str">
        <f>VLOOKUP(P39,Key!$E$2:$F$9,2,FALSE)</f>
        <v>Home</v>
      </c>
      <c r="R39" s="25" t="str">
        <f t="shared" si="1"/>
        <v>Work-Home</v>
      </c>
      <c r="S39" s="49"/>
      <c r="T39" s="49">
        <v>15</v>
      </c>
      <c r="U39" s="58">
        <v>3</v>
      </c>
      <c r="V39" s="58">
        <v>8</v>
      </c>
      <c r="W39" s="49">
        <v>12</v>
      </c>
      <c r="X39" s="49"/>
      <c r="Y39" s="50"/>
      <c r="Z39" s="59"/>
      <c r="AA39" s="25"/>
      <c r="AB39" s="25"/>
    </row>
    <row r="40" spans="2:28">
      <c r="B40" s="40">
        <v>0.54722222222222217</v>
      </c>
      <c r="C40" s="40"/>
      <c r="D40" s="41">
        <v>9</v>
      </c>
      <c r="E40" s="41">
        <v>1</v>
      </c>
      <c r="F40" s="42" t="s">
        <v>178</v>
      </c>
      <c r="G40" s="42" t="s">
        <v>171</v>
      </c>
      <c r="H40" s="42" t="s">
        <v>179</v>
      </c>
      <c r="I40" s="42"/>
      <c r="J40" s="42">
        <v>1</v>
      </c>
      <c r="K40" s="25" t="str">
        <f>VLOOKUP(J40,Key!$E$2:$F$9,2,FALSE)</f>
        <v>Home</v>
      </c>
      <c r="L40" s="42" t="s">
        <v>168</v>
      </c>
      <c r="M40" s="43" t="s">
        <v>171</v>
      </c>
      <c r="N40" s="50" t="s">
        <v>179</v>
      </c>
      <c r="O40" s="43"/>
      <c r="P40" s="43">
        <v>7</v>
      </c>
      <c r="Q40" s="25" t="str">
        <f>VLOOKUP(P40,Key!$E$2:$F$9,2,FALSE)</f>
        <v>Hospital</v>
      </c>
      <c r="R40" s="25" t="str">
        <f t="shared" si="1"/>
        <v>Home-Hospital</v>
      </c>
      <c r="S40" s="49"/>
      <c r="T40" s="49">
        <v>3</v>
      </c>
      <c r="U40" s="58">
        <v>1</v>
      </c>
      <c r="V40" s="58"/>
      <c r="W40" s="49"/>
      <c r="X40" s="49"/>
      <c r="Y40" s="50"/>
      <c r="Z40" s="59"/>
      <c r="AA40" s="25"/>
      <c r="AB40" s="25"/>
    </row>
    <row r="41" spans="2:28">
      <c r="B41" s="40">
        <v>0.55208333333333337</v>
      </c>
      <c r="C41" s="40"/>
      <c r="D41" s="41">
        <v>8</v>
      </c>
      <c r="E41" s="41">
        <v>2</v>
      </c>
      <c r="F41" s="42" t="s">
        <v>173</v>
      </c>
      <c r="G41" s="42" t="s">
        <v>167</v>
      </c>
      <c r="H41" s="42" t="s">
        <v>180</v>
      </c>
      <c r="I41" s="42"/>
      <c r="J41" s="42">
        <v>2</v>
      </c>
      <c r="K41" s="25" t="str">
        <f>VLOOKUP(J41,Key!$E$2:$F$9,2,FALSE)</f>
        <v>Work</v>
      </c>
      <c r="L41" s="42" t="s">
        <v>195</v>
      </c>
      <c r="M41" s="43" t="s">
        <v>183</v>
      </c>
      <c r="N41" s="50" t="s">
        <v>179</v>
      </c>
      <c r="O41" s="43"/>
      <c r="P41" s="43">
        <v>1</v>
      </c>
      <c r="Q41" s="25" t="str">
        <f>VLOOKUP(P41,Key!$E$2:$F$9,2,FALSE)</f>
        <v>Home</v>
      </c>
      <c r="R41" s="25" t="str">
        <f t="shared" si="1"/>
        <v>Work-Home</v>
      </c>
      <c r="S41" s="49"/>
      <c r="T41" s="49">
        <v>9</v>
      </c>
      <c r="U41" s="58">
        <v>3</v>
      </c>
      <c r="V41" s="58">
        <v>9</v>
      </c>
      <c r="W41" s="49">
        <v>28</v>
      </c>
      <c r="X41" s="49"/>
      <c r="Y41" s="50"/>
      <c r="Z41" s="59"/>
      <c r="AA41" s="25"/>
      <c r="AB41" s="25"/>
    </row>
    <row r="42" spans="2:28">
      <c r="B42" s="40">
        <v>0.55625000000000002</v>
      </c>
      <c r="C42" s="40"/>
      <c r="D42" s="41">
        <v>1</v>
      </c>
      <c r="E42" s="41">
        <v>5</v>
      </c>
      <c r="F42" s="42" t="s">
        <v>170</v>
      </c>
      <c r="G42" s="42" t="s">
        <v>171</v>
      </c>
      <c r="H42" s="42" t="s">
        <v>179</v>
      </c>
      <c r="I42" s="42"/>
      <c r="J42" s="42">
        <v>2</v>
      </c>
      <c r="K42" s="25" t="str">
        <f>VLOOKUP(J42,Key!$E$2:$F$9,2,FALSE)</f>
        <v>Work</v>
      </c>
      <c r="L42" s="42" t="s">
        <v>172</v>
      </c>
      <c r="M42" s="43" t="s">
        <v>172</v>
      </c>
      <c r="N42" s="50" t="s">
        <v>179</v>
      </c>
      <c r="O42" s="43"/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49"/>
      <c r="T42" s="49">
        <v>2</v>
      </c>
      <c r="U42" s="58">
        <v>2</v>
      </c>
      <c r="V42" s="58"/>
      <c r="W42" s="49"/>
      <c r="X42" s="49"/>
      <c r="Y42" s="50"/>
      <c r="Z42" s="59"/>
      <c r="AA42" s="25"/>
      <c r="AB42" s="25"/>
    </row>
    <row r="43" spans="2:28">
      <c r="B43" s="40">
        <v>0.55902777777777779</v>
      </c>
      <c r="C43" s="40"/>
      <c r="D43" s="41">
        <v>1</v>
      </c>
      <c r="E43" s="41">
        <v>1</v>
      </c>
      <c r="F43" s="42" t="s">
        <v>173</v>
      </c>
      <c r="G43" s="42" t="s">
        <v>167</v>
      </c>
      <c r="H43" s="42" t="s">
        <v>180</v>
      </c>
      <c r="I43" s="42"/>
      <c r="J43" s="42">
        <v>1</v>
      </c>
      <c r="K43" s="25" t="str">
        <f>VLOOKUP(J43,Key!$E$2:$F$9,2,FALSE)</f>
        <v>Home</v>
      </c>
      <c r="L43" s="42" t="s">
        <v>172</v>
      </c>
      <c r="M43" s="43" t="s">
        <v>172</v>
      </c>
      <c r="N43" s="50" t="s">
        <v>179</v>
      </c>
      <c r="O43" s="43"/>
      <c r="P43" s="43">
        <v>6</v>
      </c>
      <c r="Q43" s="25" t="str">
        <f>VLOOKUP(P43,Key!$E$2:$F$9,2,FALSE)</f>
        <v>Leisure/Social</v>
      </c>
      <c r="R43" s="25" t="str">
        <f t="shared" si="1"/>
        <v>Home-Leisure/Social</v>
      </c>
      <c r="S43" s="49"/>
      <c r="T43" s="49">
        <v>4</v>
      </c>
      <c r="U43" s="58">
        <v>4</v>
      </c>
      <c r="V43" s="58"/>
      <c r="W43" s="49"/>
      <c r="X43" s="49"/>
      <c r="Y43" s="50"/>
      <c r="Z43" s="59"/>
      <c r="AA43" s="25"/>
      <c r="AB43" s="25"/>
    </row>
    <row r="44" spans="2:28">
      <c r="B44" s="40">
        <v>0.5708333333333333</v>
      </c>
      <c r="C44" s="40"/>
      <c r="D44" s="41">
        <v>1</v>
      </c>
      <c r="E44" s="41">
        <v>5</v>
      </c>
      <c r="F44" s="42" t="s">
        <v>170</v>
      </c>
      <c r="G44" s="42" t="s">
        <v>171</v>
      </c>
      <c r="H44" s="42" t="s">
        <v>179</v>
      </c>
      <c r="I44" s="42"/>
      <c r="J44" s="42">
        <v>2</v>
      </c>
      <c r="K44" s="25" t="str">
        <f>VLOOKUP(J44,Key!$E$2:$F$9,2,FALSE)</f>
        <v>Work</v>
      </c>
      <c r="L44" s="42" t="s">
        <v>172</v>
      </c>
      <c r="M44" s="43" t="s">
        <v>172</v>
      </c>
      <c r="N44" s="50" t="s">
        <v>179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9"/>
      <c r="T44" s="49">
        <v>1.5</v>
      </c>
      <c r="U44" s="58">
        <v>1</v>
      </c>
      <c r="V44" s="58"/>
      <c r="W44" s="49"/>
      <c r="X44" s="49"/>
      <c r="Y44" s="50"/>
      <c r="Z44" s="59"/>
      <c r="AA44" s="25"/>
      <c r="AB44" s="25"/>
    </row>
    <row r="45" spans="2:28">
      <c r="B45" s="40">
        <v>0.57361111111111118</v>
      </c>
      <c r="C45" s="40"/>
      <c r="D45" s="41">
        <v>2</v>
      </c>
      <c r="E45" s="41">
        <v>3</v>
      </c>
      <c r="F45" s="42" t="s">
        <v>178</v>
      </c>
      <c r="G45" s="42" t="s">
        <v>171</v>
      </c>
      <c r="H45" s="42" t="s">
        <v>179</v>
      </c>
      <c r="I45" s="42"/>
      <c r="J45" s="42">
        <v>1</v>
      </c>
      <c r="K45" s="25" t="str">
        <f>VLOOKUP(J45,Key!$E$2:$F$9,2,FALSE)</f>
        <v>Home</v>
      </c>
      <c r="L45" s="42" t="s">
        <v>172</v>
      </c>
      <c r="M45" s="43" t="s">
        <v>172</v>
      </c>
      <c r="N45" s="50" t="s">
        <v>179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9"/>
      <c r="T45" s="49">
        <v>1</v>
      </c>
      <c r="U45" s="58">
        <v>1</v>
      </c>
      <c r="V45" s="58"/>
      <c r="W45" s="49"/>
      <c r="X45" s="49"/>
      <c r="Y45" s="50"/>
      <c r="Z45" s="59"/>
      <c r="AA45" s="25"/>
      <c r="AB45" s="25"/>
    </row>
    <row r="46" spans="2:28">
      <c r="B46" s="40">
        <v>0.60625000000000007</v>
      </c>
      <c r="C46" s="40"/>
      <c r="D46" s="41">
        <v>7</v>
      </c>
      <c r="E46" s="41">
        <v>2</v>
      </c>
      <c r="F46" s="42" t="s">
        <v>170</v>
      </c>
      <c r="G46" s="42" t="s">
        <v>171</v>
      </c>
      <c r="H46" s="42" t="s">
        <v>179</v>
      </c>
      <c r="I46" s="42"/>
      <c r="J46" s="42">
        <v>2</v>
      </c>
      <c r="K46" s="25" t="str">
        <f>VLOOKUP(J46,Key!$E$2:$F$9,2,FALSE)</f>
        <v>Work</v>
      </c>
      <c r="L46" s="42" t="s">
        <v>196</v>
      </c>
      <c r="M46" s="43" t="s">
        <v>197</v>
      </c>
      <c r="N46" s="50" t="s">
        <v>179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9"/>
      <c r="T46" s="49">
        <v>4</v>
      </c>
      <c r="U46" s="58">
        <v>2</v>
      </c>
      <c r="V46" s="58">
        <v>9</v>
      </c>
      <c r="W46" s="49">
        <v>4</v>
      </c>
      <c r="X46" s="49"/>
      <c r="Y46" s="50"/>
      <c r="Z46" s="59"/>
      <c r="AA46" s="25"/>
      <c r="AB46" s="25"/>
    </row>
    <row r="47" spans="2:28">
      <c r="B47" s="40">
        <v>0.60972222222222217</v>
      </c>
      <c r="C47" s="40"/>
      <c r="D47" s="41">
        <v>8</v>
      </c>
      <c r="E47" s="41">
        <v>2</v>
      </c>
      <c r="F47" s="42" t="s">
        <v>173</v>
      </c>
      <c r="G47" s="42" t="s">
        <v>167</v>
      </c>
      <c r="H47" s="42" t="s">
        <v>180</v>
      </c>
      <c r="I47" s="42"/>
      <c r="J47" s="42">
        <v>2</v>
      </c>
      <c r="K47" s="25" t="str">
        <f>VLOOKUP(J47,Key!$E$2:$F$9,2,FALSE)</f>
        <v>Work</v>
      </c>
      <c r="L47" s="42" t="s">
        <v>189</v>
      </c>
      <c r="M47" s="43" t="s">
        <v>190</v>
      </c>
      <c r="N47" s="50" t="s">
        <v>200</v>
      </c>
      <c r="O47" s="43"/>
      <c r="P47" s="43">
        <v>1</v>
      </c>
      <c r="Q47" s="25" t="str">
        <f>VLOOKUP(P47,Key!$E$2:$F$9,2,FALSE)</f>
        <v>Home</v>
      </c>
      <c r="R47" s="25" t="str">
        <f t="shared" si="1"/>
        <v>Work-Home</v>
      </c>
      <c r="S47" s="49"/>
      <c r="T47" s="49">
        <v>15</v>
      </c>
      <c r="U47" s="58">
        <v>3</v>
      </c>
      <c r="V47" s="58">
        <v>6</v>
      </c>
      <c r="W47" s="49">
        <v>28</v>
      </c>
      <c r="X47" s="49"/>
      <c r="Y47" s="50"/>
      <c r="Z47" s="59"/>
      <c r="AA47" s="25"/>
      <c r="AB47" s="25"/>
    </row>
    <row r="48" spans="2:28">
      <c r="B48" s="40">
        <v>0.61319444444444449</v>
      </c>
      <c r="C48" s="40"/>
      <c r="D48" s="41">
        <v>8</v>
      </c>
      <c r="E48" s="41">
        <v>3</v>
      </c>
      <c r="F48" s="42" t="s">
        <v>173</v>
      </c>
      <c r="G48" s="42" t="s">
        <v>167</v>
      </c>
      <c r="H48" s="42" t="s">
        <v>180</v>
      </c>
      <c r="I48" s="42"/>
      <c r="J48" s="42">
        <v>2</v>
      </c>
      <c r="K48" s="25" t="str">
        <f>VLOOKUP(J48,Key!$E$2:$F$9,2,FALSE)</f>
        <v>Work</v>
      </c>
      <c r="L48" s="42" t="s">
        <v>40</v>
      </c>
      <c r="M48" s="43" t="s">
        <v>40</v>
      </c>
      <c r="N48" s="50" t="s">
        <v>179</v>
      </c>
      <c r="O48" s="43"/>
      <c r="P48" s="43">
        <v>1</v>
      </c>
      <c r="Q48" s="25" t="str">
        <f>VLOOKUP(P48,Key!$E$2:$F$9,2,FALSE)</f>
        <v>Home</v>
      </c>
      <c r="R48" s="25" t="str">
        <f t="shared" si="1"/>
        <v>Work-Home</v>
      </c>
      <c r="S48" s="49"/>
      <c r="T48" s="49">
        <v>14</v>
      </c>
      <c r="U48" s="58">
        <v>3</v>
      </c>
      <c r="V48" s="58">
        <v>9</v>
      </c>
      <c r="W48" s="49">
        <v>9</v>
      </c>
      <c r="X48" s="49"/>
      <c r="Y48" s="50"/>
      <c r="Z48" s="59"/>
      <c r="AA48" s="25"/>
      <c r="AB48" s="25"/>
    </row>
    <row r="49" spans="2:28">
      <c r="B49" s="40">
        <v>0.62361111111111112</v>
      </c>
      <c r="C49" s="40"/>
      <c r="D49" s="41">
        <v>1</v>
      </c>
      <c r="E49" s="41">
        <v>4</v>
      </c>
      <c r="F49" s="42" t="s">
        <v>170</v>
      </c>
      <c r="G49" s="42" t="s">
        <v>171</v>
      </c>
      <c r="H49" s="42" t="s">
        <v>179</v>
      </c>
      <c r="I49" s="42"/>
      <c r="J49" s="42">
        <v>2</v>
      </c>
      <c r="K49" s="25" t="str">
        <f>VLOOKUP(J49,Key!$E$2:$F$9,2,FALSE)</f>
        <v>Work</v>
      </c>
      <c r="L49" s="42" t="s">
        <v>172</v>
      </c>
      <c r="M49" s="43" t="s">
        <v>172</v>
      </c>
      <c r="N49" s="50" t="s">
        <v>179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9"/>
      <c r="T49" s="49">
        <v>2</v>
      </c>
      <c r="U49" s="58">
        <v>1</v>
      </c>
      <c r="V49" s="58"/>
      <c r="W49" s="49"/>
      <c r="X49" s="49"/>
      <c r="Y49" s="50"/>
      <c r="Z49" s="59"/>
      <c r="AA49" s="25"/>
      <c r="AB49" s="25"/>
    </row>
    <row r="50" spans="2:28">
      <c r="B50" s="40">
        <v>0.62638888888888888</v>
      </c>
      <c r="C50" s="40"/>
      <c r="D50" s="41">
        <v>1</v>
      </c>
      <c r="E50" s="41">
        <v>5</v>
      </c>
      <c r="F50" s="42" t="s">
        <v>170</v>
      </c>
      <c r="G50" s="42" t="s">
        <v>171</v>
      </c>
      <c r="H50" s="42" t="s">
        <v>179</v>
      </c>
      <c r="I50" s="42"/>
      <c r="J50" s="42">
        <v>2</v>
      </c>
      <c r="K50" s="25" t="str">
        <f>VLOOKUP(J50,Key!$E$2:$F$9,2,FALSE)</f>
        <v>Work</v>
      </c>
      <c r="L50" s="42" t="s">
        <v>172</v>
      </c>
      <c r="M50" s="43" t="s">
        <v>172</v>
      </c>
      <c r="N50" s="50" t="s">
        <v>179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9"/>
      <c r="T50" s="49">
        <v>1</v>
      </c>
      <c r="U50" s="58">
        <v>1</v>
      </c>
      <c r="V50" s="58"/>
      <c r="W50" s="49"/>
      <c r="X50" s="49"/>
      <c r="Y50" s="50"/>
      <c r="Z50" s="59"/>
      <c r="AA50" s="25"/>
      <c r="AB50" s="25"/>
    </row>
    <row r="51" spans="2:28">
      <c r="B51" s="40">
        <v>0.63124999999999998</v>
      </c>
      <c r="C51" s="40"/>
      <c r="D51" s="41">
        <v>9</v>
      </c>
      <c r="E51" s="41">
        <v>1</v>
      </c>
      <c r="F51" s="42" t="s">
        <v>173</v>
      </c>
      <c r="G51" s="42" t="s">
        <v>167</v>
      </c>
      <c r="H51" s="42" t="s">
        <v>180</v>
      </c>
      <c r="I51" s="42"/>
      <c r="J51" s="42">
        <v>2</v>
      </c>
      <c r="K51" s="25" t="str">
        <f>VLOOKUP(J51,Key!$E$2:$F$9,2,FALSE)</f>
        <v>Work</v>
      </c>
      <c r="L51" s="42" t="s">
        <v>183</v>
      </c>
      <c r="M51" s="43" t="s">
        <v>183</v>
      </c>
      <c r="N51" s="50" t="s">
        <v>179</v>
      </c>
      <c r="O51" s="43"/>
      <c r="P51" s="43">
        <v>1</v>
      </c>
      <c r="Q51" s="25" t="str">
        <f>VLOOKUP(P51,Key!$E$2:$F$9,2,FALSE)</f>
        <v>Home</v>
      </c>
      <c r="R51" s="25" t="str">
        <f t="shared" si="1"/>
        <v>Work-Home</v>
      </c>
      <c r="S51" s="49"/>
      <c r="T51" s="49">
        <v>96</v>
      </c>
      <c r="U51" s="58">
        <v>4</v>
      </c>
      <c r="V51" s="58">
        <v>4</v>
      </c>
      <c r="W51" s="49">
        <v>30</v>
      </c>
      <c r="X51" s="49"/>
      <c r="Y51" s="50"/>
      <c r="Z51" s="59"/>
      <c r="AA51" s="25"/>
      <c r="AB51" s="25"/>
    </row>
    <row r="52" spans="2:28">
      <c r="B52" s="40">
        <v>0.6333333333333333</v>
      </c>
      <c r="C52" s="40"/>
      <c r="D52" s="41">
        <v>8</v>
      </c>
      <c r="E52" s="41">
        <v>3</v>
      </c>
      <c r="F52" s="42" t="s">
        <v>170</v>
      </c>
      <c r="G52" s="42" t="s">
        <v>171</v>
      </c>
      <c r="H52" s="42" t="s">
        <v>179</v>
      </c>
      <c r="I52" s="42"/>
      <c r="J52" s="42">
        <v>2</v>
      </c>
      <c r="K52" s="25" t="str">
        <f>VLOOKUP(J52,Key!$E$2:$F$9,2,FALSE)</f>
        <v>Work</v>
      </c>
      <c r="L52" s="42" t="s">
        <v>172</v>
      </c>
      <c r="M52" s="43" t="s">
        <v>172</v>
      </c>
      <c r="N52" s="50" t="s">
        <v>179</v>
      </c>
      <c r="O52" s="43"/>
      <c r="P52" s="43">
        <v>1</v>
      </c>
      <c r="Q52" s="25" t="str">
        <f>VLOOKUP(P52,Key!$E$2:$F$9,2,FALSE)</f>
        <v>Home</v>
      </c>
      <c r="R52" s="25" t="str">
        <f t="shared" si="1"/>
        <v>Work-Home</v>
      </c>
      <c r="S52" s="49"/>
      <c r="T52" s="49">
        <v>2</v>
      </c>
      <c r="U52" s="58">
        <v>1</v>
      </c>
      <c r="V52" s="58"/>
      <c r="W52" s="49"/>
      <c r="X52" s="49"/>
      <c r="Y52" s="50"/>
      <c r="Z52" s="59"/>
      <c r="AA52" s="25"/>
      <c r="AB52" s="25"/>
    </row>
    <row r="53" spans="2:28">
      <c r="B53" s="40">
        <v>0.63541666666666663</v>
      </c>
      <c r="C53" s="40"/>
      <c r="D53" s="41">
        <v>9</v>
      </c>
      <c r="E53" s="41">
        <v>1</v>
      </c>
      <c r="F53" s="42" t="s">
        <v>173</v>
      </c>
      <c r="G53" s="42" t="s">
        <v>167</v>
      </c>
      <c r="H53" s="42" t="s">
        <v>180</v>
      </c>
      <c r="I53" s="42"/>
      <c r="J53" s="42">
        <v>2</v>
      </c>
      <c r="K53" s="25" t="str">
        <f>VLOOKUP(J53,Key!$E$2:$F$9,2,FALSE)</f>
        <v>Work</v>
      </c>
      <c r="L53" s="42" t="s">
        <v>190</v>
      </c>
      <c r="M53" s="43" t="s">
        <v>190</v>
      </c>
      <c r="N53" s="50" t="s">
        <v>200</v>
      </c>
      <c r="O53" s="43"/>
      <c r="P53" s="43">
        <v>1</v>
      </c>
      <c r="Q53" s="25" t="str">
        <f>VLOOKUP(P53,Key!$E$2:$F$9,2,FALSE)</f>
        <v>Home</v>
      </c>
      <c r="R53" s="25" t="str">
        <f t="shared" si="1"/>
        <v>Work-Home</v>
      </c>
      <c r="S53" s="49"/>
      <c r="T53" s="49">
        <v>20</v>
      </c>
      <c r="U53" s="58">
        <v>3</v>
      </c>
      <c r="V53" s="58">
        <v>4</v>
      </c>
      <c r="W53" s="49">
        <v>15</v>
      </c>
      <c r="X53" s="49"/>
      <c r="Y53" s="50"/>
      <c r="Z53" s="59"/>
      <c r="AA53" s="25"/>
      <c r="AB53" s="25"/>
    </row>
    <row r="54" spans="2:28">
      <c r="B54" s="40">
        <v>0.64027777777777783</v>
      </c>
      <c r="C54" s="40"/>
      <c r="D54" s="41">
        <v>5</v>
      </c>
      <c r="E54" s="41">
        <v>25</v>
      </c>
      <c r="F54" s="42" t="s">
        <v>173</v>
      </c>
      <c r="G54" s="42" t="s">
        <v>167</v>
      </c>
      <c r="H54" s="42" t="s">
        <v>180</v>
      </c>
      <c r="I54" s="42"/>
      <c r="J54" s="42">
        <v>2</v>
      </c>
      <c r="K54" s="25" t="str">
        <f>VLOOKUP(J54,Key!$E$2:$F$9,2,FALSE)</f>
        <v>Work</v>
      </c>
      <c r="L54" s="42" t="s">
        <v>183</v>
      </c>
      <c r="M54" s="43" t="s">
        <v>183</v>
      </c>
      <c r="N54" s="50" t="s">
        <v>179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9"/>
      <c r="T54" s="49">
        <v>24</v>
      </c>
      <c r="U54" s="58">
        <v>2</v>
      </c>
      <c r="V54" s="58"/>
      <c r="W54" s="49"/>
      <c r="X54" s="49"/>
      <c r="Y54" s="50"/>
      <c r="Z54" s="59"/>
      <c r="AA54" s="25"/>
      <c r="AB54" s="25"/>
    </row>
    <row r="55" spans="2:28">
      <c r="B55" s="40">
        <v>0.64444444444444449</v>
      </c>
      <c r="C55" s="40"/>
      <c r="D55" s="41">
        <v>9</v>
      </c>
      <c r="E55" s="41">
        <v>2</v>
      </c>
      <c r="F55" s="42" t="s">
        <v>173</v>
      </c>
      <c r="G55" s="42" t="s">
        <v>167</v>
      </c>
      <c r="H55" s="42" t="s">
        <v>180</v>
      </c>
      <c r="I55" s="42"/>
      <c r="J55" s="42">
        <v>2</v>
      </c>
      <c r="K55" s="25" t="str">
        <f>VLOOKUP(J55,Key!$E$2:$F$9,2,FALSE)</f>
        <v>Work</v>
      </c>
      <c r="L55" s="42" t="s">
        <v>183</v>
      </c>
      <c r="M55" s="43" t="s">
        <v>183</v>
      </c>
      <c r="N55" s="50" t="s">
        <v>179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9"/>
      <c r="T55" s="49">
        <v>48</v>
      </c>
      <c r="U55" s="58">
        <v>3</v>
      </c>
      <c r="V55" s="58">
        <v>8</v>
      </c>
      <c r="W55" s="49">
        <v>19</v>
      </c>
      <c r="X55" s="49"/>
      <c r="Y55" s="50"/>
      <c r="Z55" s="59"/>
      <c r="AA55" s="25"/>
      <c r="AB55" s="25"/>
    </row>
    <row r="56" spans="2:28">
      <c r="B56" s="40">
        <v>0.64861111111111114</v>
      </c>
      <c r="C56" s="40"/>
      <c r="D56" s="41">
        <v>5</v>
      </c>
      <c r="E56" s="41">
        <v>20</v>
      </c>
      <c r="F56" s="42" t="s">
        <v>173</v>
      </c>
      <c r="G56" s="42" t="s">
        <v>167</v>
      </c>
      <c r="H56" s="42" t="s">
        <v>179</v>
      </c>
      <c r="I56" s="42"/>
      <c r="J56" s="42">
        <v>2</v>
      </c>
      <c r="K56" s="25" t="str">
        <f>VLOOKUP(J56,Key!$E$2:$F$9,2,FALSE)</f>
        <v>Work</v>
      </c>
      <c r="L56" s="42" t="s">
        <v>183</v>
      </c>
      <c r="M56" s="43" t="s">
        <v>183</v>
      </c>
      <c r="N56" s="50" t="s">
        <v>179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9"/>
      <c r="T56" s="49">
        <v>48</v>
      </c>
      <c r="U56" s="58">
        <v>3</v>
      </c>
      <c r="V56" s="58"/>
      <c r="W56" s="49"/>
      <c r="X56" s="49"/>
      <c r="Y56" s="50"/>
      <c r="Z56" s="59"/>
      <c r="AA56" s="25"/>
      <c r="AB56" s="25"/>
    </row>
    <row r="57" spans="2:28">
      <c r="B57" s="40">
        <v>0.65138888888888891</v>
      </c>
      <c r="C57" s="40"/>
      <c r="D57" s="41">
        <v>9</v>
      </c>
      <c r="E57" s="41">
        <v>1</v>
      </c>
      <c r="F57" s="42" t="s">
        <v>173</v>
      </c>
      <c r="G57" s="42" t="s">
        <v>167</v>
      </c>
      <c r="H57" s="42" t="s">
        <v>179</v>
      </c>
      <c r="I57" s="42"/>
      <c r="J57" s="42">
        <v>2</v>
      </c>
      <c r="K57" s="25" t="str">
        <f>VLOOKUP(J57,Key!$E$2:$F$9,2,FALSE)</f>
        <v>Work</v>
      </c>
      <c r="L57" s="42" t="s">
        <v>189</v>
      </c>
      <c r="M57" s="43" t="s">
        <v>190</v>
      </c>
      <c r="N57" s="50" t="s">
        <v>200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9"/>
      <c r="T57" s="49">
        <v>48</v>
      </c>
      <c r="U57" s="58">
        <v>3</v>
      </c>
      <c r="V57" s="58">
        <v>6</v>
      </c>
      <c r="W57" s="49">
        <v>26</v>
      </c>
      <c r="X57" s="49"/>
      <c r="Y57" s="50"/>
      <c r="Z57" s="59"/>
      <c r="AA57" s="25"/>
      <c r="AB57" s="25"/>
    </row>
    <row r="58" spans="2:28">
      <c r="B58" s="40">
        <v>0.65416666666666667</v>
      </c>
      <c r="C58" s="40"/>
      <c r="D58" s="41">
        <v>5</v>
      </c>
      <c r="E58" s="41">
        <v>15</v>
      </c>
      <c r="F58" s="42" t="s">
        <v>173</v>
      </c>
      <c r="G58" s="42" t="s">
        <v>167</v>
      </c>
      <c r="H58" s="42" t="s">
        <v>179</v>
      </c>
      <c r="I58" s="42"/>
      <c r="J58" s="42">
        <v>2</v>
      </c>
      <c r="K58" s="25" t="str">
        <f>VLOOKUP(J58,Key!$E$2:$F$9,2,FALSE)</f>
        <v>Work</v>
      </c>
      <c r="L58" s="42" t="s">
        <v>183</v>
      </c>
      <c r="M58" s="43" t="s">
        <v>183</v>
      </c>
      <c r="N58" s="50" t="s">
        <v>179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9"/>
      <c r="T58" s="49">
        <v>48</v>
      </c>
      <c r="U58" s="58">
        <v>3</v>
      </c>
      <c r="V58" s="58"/>
      <c r="W58" s="49"/>
      <c r="X58" s="49"/>
      <c r="Y58" s="50"/>
      <c r="Z58" s="59"/>
      <c r="AA58" s="25"/>
      <c r="AB58" s="25"/>
    </row>
    <row r="59" spans="2:28">
      <c r="B59" s="40">
        <v>0.65833333333333333</v>
      </c>
      <c r="C59" s="40"/>
      <c r="D59" s="41">
        <v>1</v>
      </c>
      <c r="E59" s="41">
        <v>2</v>
      </c>
      <c r="F59" s="42" t="s">
        <v>170</v>
      </c>
      <c r="G59" s="42" t="s">
        <v>171</v>
      </c>
      <c r="H59" s="42" t="s">
        <v>179</v>
      </c>
      <c r="I59" s="42"/>
      <c r="J59" s="42">
        <v>2</v>
      </c>
      <c r="K59" s="25" t="str">
        <f>VLOOKUP(J59,Key!$E$2:$F$9,2,FALSE)</f>
        <v>Work</v>
      </c>
      <c r="L59" s="42" t="s">
        <v>198</v>
      </c>
      <c r="M59" s="43" t="s">
        <v>183</v>
      </c>
      <c r="N59" s="50" t="s">
        <v>179</v>
      </c>
      <c r="O59" s="43"/>
      <c r="P59" s="43">
        <v>1</v>
      </c>
      <c r="Q59" s="25" t="str">
        <f>VLOOKUP(P59,Key!$E$2:$F$9,2,FALSE)</f>
        <v>Home</v>
      </c>
      <c r="R59" s="25" t="str">
        <f t="shared" si="1"/>
        <v>Work-Home</v>
      </c>
      <c r="S59" s="49"/>
      <c r="T59" s="49">
        <v>6</v>
      </c>
      <c r="U59" s="58">
        <v>4</v>
      </c>
      <c r="V59" s="58"/>
      <c r="W59" s="49"/>
      <c r="X59" s="49"/>
      <c r="Y59" s="50"/>
      <c r="Z59" s="59"/>
      <c r="AA59" s="25"/>
      <c r="AB59" s="25"/>
    </row>
    <row r="60" spans="2:28">
      <c r="B60" s="40">
        <v>0.66319444444444442</v>
      </c>
      <c r="C60" s="40"/>
      <c r="D60" s="41">
        <v>5</v>
      </c>
      <c r="E60" s="41">
        <v>30</v>
      </c>
      <c r="F60" s="42" t="s">
        <v>173</v>
      </c>
      <c r="G60" s="42" t="s">
        <v>167</v>
      </c>
      <c r="H60" s="42" t="s">
        <v>180</v>
      </c>
      <c r="I60" s="42"/>
      <c r="J60" s="42">
        <v>2</v>
      </c>
      <c r="K60" s="25" t="str">
        <f>VLOOKUP(J60,Key!$E$2:$F$9,2,FALSE)</f>
        <v>Work</v>
      </c>
      <c r="L60" s="42" t="s">
        <v>183</v>
      </c>
      <c r="M60" s="43" t="s">
        <v>183</v>
      </c>
      <c r="N60" s="50" t="s">
        <v>179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9"/>
      <c r="T60" s="49">
        <v>72</v>
      </c>
      <c r="U60" s="58">
        <v>3</v>
      </c>
      <c r="V60" s="58"/>
      <c r="W60" s="49"/>
      <c r="X60" s="49"/>
      <c r="Y60" s="50"/>
      <c r="Z60" s="59"/>
      <c r="AA60" s="25"/>
      <c r="AB60" s="25"/>
    </row>
    <row r="61" spans="2:28">
      <c r="B61" s="40">
        <v>0.66666666666666663</v>
      </c>
      <c r="C61" s="40"/>
      <c r="D61" s="41">
        <v>1</v>
      </c>
      <c r="E61" s="41">
        <v>3</v>
      </c>
      <c r="F61" s="42" t="s">
        <v>170</v>
      </c>
      <c r="G61" s="42" t="s">
        <v>171</v>
      </c>
      <c r="H61" s="42" t="s">
        <v>179</v>
      </c>
      <c r="I61" s="42"/>
      <c r="J61" s="42">
        <v>2</v>
      </c>
      <c r="K61" s="25" t="str">
        <f>VLOOKUP(J61,Key!$E$2:$F$9,2,FALSE)</f>
        <v>Work</v>
      </c>
      <c r="L61" s="42" t="s">
        <v>168</v>
      </c>
      <c r="M61" s="43" t="s">
        <v>171</v>
      </c>
      <c r="N61" s="50" t="s">
        <v>179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49"/>
      <c r="T61" s="49">
        <v>0.5</v>
      </c>
      <c r="U61" s="58">
        <v>2</v>
      </c>
      <c r="V61" s="58"/>
      <c r="W61" s="49"/>
      <c r="X61" s="49"/>
      <c r="Y61" s="50"/>
      <c r="Z61" s="59"/>
      <c r="AA61" s="25"/>
      <c r="AB61" s="25"/>
    </row>
    <row r="62" spans="2:28">
      <c r="B62" s="40">
        <v>0.67222222222222217</v>
      </c>
      <c r="C62" s="40"/>
      <c r="D62" s="41">
        <v>9</v>
      </c>
      <c r="E62" s="41">
        <v>1</v>
      </c>
      <c r="F62" s="42" t="s">
        <v>173</v>
      </c>
      <c r="G62" s="42" t="s">
        <v>167</v>
      </c>
      <c r="H62" s="42" t="s">
        <v>180</v>
      </c>
      <c r="I62" s="42"/>
      <c r="J62" s="42">
        <v>2</v>
      </c>
      <c r="K62" s="25" t="str">
        <f>VLOOKUP(J62,Key!$E$2:$F$9,2,FALSE)</f>
        <v>Work</v>
      </c>
      <c r="L62" s="42" t="s">
        <v>189</v>
      </c>
      <c r="M62" s="43" t="s">
        <v>190</v>
      </c>
      <c r="N62" s="50" t="s">
        <v>200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9"/>
      <c r="T62" s="49">
        <v>72</v>
      </c>
      <c r="U62" s="58">
        <v>3</v>
      </c>
      <c r="V62" s="58">
        <v>8</v>
      </c>
      <c r="W62" s="49">
        <v>19</v>
      </c>
      <c r="X62" s="49"/>
      <c r="Y62" s="50"/>
      <c r="Z62" s="59"/>
      <c r="AA62" s="25"/>
      <c r="AB62" s="25"/>
    </row>
    <row r="63" spans="2:28">
      <c r="B63" s="40">
        <v>0.67569444444444438</v>
      </c>
      <c r="C63" s="40"/>
      <c r="D63" s="41">
        <v>8</v>
      </c>
      <c r="E63" s="41">
        <v>2</v>
      </c>
      <c r="F63" s="42" t="s">
        <v>170</v>
      </c>
      <c r="G63" s="42" t="s">
        <v>171</v>
      </c>
      <c r="H63" s="42" t="s">
        <v>179</v>
      </c>
      <c r="I63" s="42"/>
      <c r="J63" s="42">
        <v>2</v>
      </c>
      <c r="K63" s="25" t="str">
        <f>VLOOKUP(J63,Key!$E$2:$F$9,2,FALSE)</f>
        <v>Work</v>
      </c>
      <c r="L63" s="42" t="s">
        <v>188</v>
      </c>
      <c r="M63" s="43" t="s">
        <v>183</v>
      </c>
      <c r="N63" s="50" t="s">
        <v>179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9"/>
      <c r="T63" s="49">
        <v>12</v>
      </c>
      <c r="U63" s="58">
        <v>3</v>
      </c>
      <c r="V63" s="58">
        <v>8</v>
      </c>
      <c r="W63" s="49">
        <v>15</v>
      </c>
      <c r="X63" s="49"/>
      <c r="Y63" s="50"/>
      <c r="Z63" s="59"/>
      <c r="AA63" s="25"/>
      <c r="AB63" s="25"/>
    </row>
    <row r="64" spans="2:28">
      <c r="B64" s="40">
        <v>0.68263888888888891</v>
      </c>
      <c r="C64" s="40"/>
      <c r="D64" s="41">
        <v>5</v>
      </c>
      <c r="E64" s="41">
        <v>20</v>
      </c>
      <c r="F64" s="42" t="s">
        <v>173</v>
      </c>
      <c r="G64" s="42" t="s">
        <v>167</v>
      </c>
      <c r="H64" s="42" t="s">
        <v>180</v>
      </c>
      <c r="I64" s="42"/>
      <c r="J64" s="42">
        <v>2</v>
      </c>
      <c r="K64" s="25" t="str">
        <f>VLOOKUP(J64,Key!$E$2:$F$9,2,FALSE)</f>
        <v>Work</v>
      </c>
      <c r="L64" s="42" t="s">
        <v>55</v>
      </c>
      <c r="M64" s="43" t="s">
        <v>190</v>
      </c>
      <c r="N64" s="50" t="s">
        <v>200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9"/>
      <c r="T64" s="49">
        <v>72</v>
      </c>
      <c r="U64" s="58">
        <v>3</v>
      </c>
      <c r="V64" s="58"/>
      <c r="W64" s="49"/>
      <c r="X64" s="49"/>
      <c r="Y64" s="50"/>
      <c r="Z64" s="59"/>
      <c r="AA64" s="25"/>
      <c r="AB64" s="25"/>
    </row>
    <row r="65" spans="2:28">
      <c r="B65" s="40">
        <v>0.68402777777777779</v>
      </c>
      <c r="C65" s="40"/>
      <c r="D65" s="41">
        <v>1</v>
      </c>
      <c r="E65" s="41">
        <v>2</v>
      </c>
      <c r="F65" s="42" t="s">
        <v>170</v>
      </c>
      <c r="G65" s="42" t="s">
        <v>171</v>
      </c>
      <c r="H65" s="42" t="s">
        <v>179</v>
      </c>
      <c r="I65" s="42"/>
      <c r="J65" s="42">
        <v>2</v>
      </c>
      <c r="K65" s="25" t="str">
        <f>VLOOKUP(J65,Key!$E$2:$F$9,2,FALSE)</f>
        <v>Work</v>
      </c>
      <c r="L65" s="42" t="s">
        <v>168</v>
      </c>
      <c r="M65" s="43" t="s">
        <v>171</v>
      </c>
      <c r="N65" s="50" t="s">
        <v>179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49"/>
      <c r="T65" s="49">
        <v>0.5</v>
      </c>
      <c r="U65" s="58">
        <v>2</v>
      </c>
      <c r="V65" s="58"/>
      <c r="W65" s="49"/>
      <c r="X65" s="49"/>
      <c r="Y65" s="50"/>
      <c r="Z65" s="59"/>
      <c r="AA65" s="25"/>
      <c r="AB65" s="25"/>
    </row>
    <row r="66" spans="2:28">
      <c r="B66" s="40">
        <v>0.68680555555555556</v>
      </c>
      <c r="C66" s="40"/>
      <c r="D66" s="41">
        <v>1</v>
      </c>
      <c r="E66" s="41">
        <v>1</v>
      </c>
      <c r="F66" s="42" t="s">
        <v>167</v>
      </c>
      <c r="G66" s="42" t="s">
        <v>172</v>
      </c>
      <c r="H66" s="42" t="s">
        <v>179</v>
      </c>
      <c r="I66" s="42"/>
      <c r="J66" s="42">
        <v>2</v>
      </c>
      <c r="K66" s="25" t="str">
        <f>VLOOKUP(J66,Key!$E$2:$F$9,2,FALSE)</f>
        <v>Work</v>
      </c>
      <c r="L66" s="42" t="s">
        <v>172</v>
      </c>
      <c r="M66" s="43" t="s">
        <v>172</v>
      </c>
      <c r="N66" s="50" t="s">
        <v>179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9"/>
      <c r="T66" s="49">
        <v>4</v>
      </c>
      <c r="U66" s="58">
        <v>2</v>
      </c>
      <c r="V66" s="58">
        <v>9</v>
      </c>
      <c r="W66" s="49">
        <v>7</v>
      </c>
      <c r="X66" s="49"/>
      <c r="Y66" s="50"/>
      <c r="Z66" s="59"/>
      <c r="AA66" s="25"/>
      <c r="AB66" s="25"/>
    </row>
    <row r="67" spans="2:28">
      <c r="B67" s="40">
        <v>0.68819444444444444</v>
      </c>
      <c r="C67" s="40"/>
      <c r="D67" s="41">
        <v>9</v>
      </c>
      <c r="E67" s="41">
        <v>1</v>
      </c>
      <c r="F67" s="42" t="s">
        <v>173</v>
      </c>
      <c r="G67" s="42" t="s">
        <v>167</v>
      </c>
      <c r="H67" s="42" t="s">
        <v>180</v>
      </c>
      <c r="I67" s="42"/>
      <c r="J67" s="42">
        <v>2</v>
      </c>
      <c r="K67" s="25" t="str">
        <f>VLOOKUP(J67,Key!$E$2:$F$9,2,FALSE)</f>
        <v>Work</v>
      </c>
      <c r="L67" s="42" t="s">
        <v>199</v>
      </c>
      <c r="M67" s="43" t="s">
        <v>183</v>
      </c>
      <c r="N67" s="50" t="s">
        <v>179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9"/>
      <c r="T67" s="49">
        <v>48</v>
      </c>
      <c r="U67" s="58">
        <v>3</v>
      </c>
      <c r="V67" s="58">
        <v>9</v>
      </c>
      <c r="W67" s="49">
        <v>19</v>
      </c>
      <c r="X67" s="49"/>
      <c r="Y67" s="50"/>
      <c r="Z67" s="59"/>
      <c r="AA67" s="25"/>
      <c r="AB67" s="25"/>
    </row>
    <row r="68" spans="2:28">
      <c r="B68" s="40">
        <v>0.69097222222222221</v>
      </c>
      <c r="C68" s="40"/>
      <c r="D68" s="41">
        <v>1</v>
      </c>
      <c r="E68" s="41">
        <v>1</v>
      </c>
      <c r="F68" s="42" t="s">
        <v>167</v>
      </c>
      <c r="G68" s="42" t="s">
        <v>172</v>
      </c>
      <c r="H68" s="42" t="s">
        <v>179</v>
      </c>
      <c r="I68" s="42"/>
      <c r="J68" s="42">
        <v>2</v>
      </c>
      <c r="K68" s="25" t="str">
        <f>VLOOKUP(J68,Key!$E$2:$F$9,2,FALSE)</f>
        <v>Work</v>
      </c>
      <c r="L68" s="42" t="s">
        <v>168</v>
      </c>
      <c r="M68" s="43" t="s">
        <v>171</v>
      </c>
      <c r="N68" s="50" t="s">
        <v>179</v>
      </c>
      <c r="O68" s="43"/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49"/>
      <c r="T68" s="49">
        <v>3</v>
      </c>
      <c r="U68" s="58">
        <v>2</v>
      </c>
      <c r="V68" s="58"/>
      <c r="W68" s="49"/>
      <c r="X68" s="49"/>
      <c r="Y68" s="50"/>
      <c r="Z68" s="59"/>
      <c r="AA68" s="25"/>
      <c r="AB68" s="25"/>
    </row>
    <row r="69" spans="2:28">
      <c r="B69" s="40">
        <v>0.69236111111111109</v>
      </c>
      <c r="C69" s="40"/>
      <c r="D69" s="41">
        <v>8</v>
      </c>
      <c r="E69" s="41">
        <v>2</v>
      </c>
      <c r="F69" s="42" t="s">
        <v>173</v>
      </c>
      <c r="G69" s="42" t="s">
        <v>167</v>
      </c>
      <c r="H69" s="42" t="s">
        <v>180</v>
      </c>
      <c r="I69" s="42"/>
      <c r="J69" s="42">
        <v>2</v>
      </c>
      <c r="K69" s="25" t="str">
        <f>VLOOKUP(J69,Key!$E$2:$F$9,2,FALSE)</f>
        <v>Work</v>
      </c>
      <c r="L69" s="42" t="s">
        <v>184</v>
      </c>
      <c r="M69" s="43" t="s">
        <v>184</v>
      </c>
      <c r="N69" s="50" t="s">
        <v>200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9"/>
      <c r="T69" s="49">
        <v>72</v>
      </c>
      <c r="U69" s="58">
        <v>3</v>
      </c>
      <c r="V69" s="58">
        <v>6</v>
      </c>
      <c r="W69" s="49">
        <v>20</v>
      </c>
      <c r="X69" s="49"/>
      <c r="Y69" s="50"/>
      <c r="Z69" s="59"/>
      <c r="AA69" s="25"/>
      <c r="AB69" s="25"/>
    </row>
    <row r="70" spans="2:28">
      <c r="B70" s="40">
        <v>0.69444444444444453</v>
      </c>
      <c r="C70" s="40"/>
      <c r="D70" s="41">
        <v>9</v>
      </c>
      <c r="E70" s="41">
        <v>3</v>
      </c>
      <c r="F70" s="42" t="s">
        <v>173</v>
      </c>
      <c r="G70" s="42" t="s">
        <v>167</v>
      </c>
      <c r="H70" s="42" t="s">
        <v>180</v>
      </c>
      <c r="I70" s="42"/>
      <c r="J70" s="42">
        <v>2</v>
      </c>
      <c r="K70" s="25" t="str">
        <f>VLOOKUP(J70,Key!$E$2:$F$9,2,FALSE)</f>
        <v>Work</v>
      </c>
      <c r="L70" s="42" t="s">
        <v>184</v>
      </c>
      <c r="M70" s="43" t="s">
        <v>184</v>
      </c>
      <c r="N70" s="50" t="s">
        <v>200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9"/>
      <c r="T70" s="49">
        <v>168</v>
      </c>
      <c r="U70" s="58">
        <v>3</v>
      </c>
      <c r="V70" s="58">
        <v>8</v>
      </c>
      <c r="W70" s="49">
        <v>20</v>
      </c>
      <c r="X70" s="49"/>
      <c r="Y70" s="50"/>
      <c r="Z70" s="59"/>
      <c r="AA70" s="25"/>
      <c r="AB70" s="25"/>
    </row>
    <row r="71" spans="2:28">
      <c r="B71" s="40">
        <v>0.69652777777777775</v>
      </c>
      <c r="C71" s="40"/>
      <c r="D71" s="41">
        <v>1</v>
      </c>
      <c r="E71" s="41">
        <v>6</v>
      </c>
      <c r="F71" s="42" t="s">
        <v>170</v>
      </c>
      <c r="G71" s="42" t="s">
        <v>171</v>
      </c>
      <c r="H71" s="42" t="s">
        <v>179</v>
      </c>
      <c r="I71" s="42"/>
      <c r="J71" s="42">
        <v>2</v>
      </c>
      <c r="K71" s="25" t="str">
        <f>VLOOKUP(J71,Key!$E$2:$F$9,2,FALSE)</f>
        <v>Work</v>
      </c>
      <c r="L71" s="42" t="s">
        <v>172</v>
      </c>
      <c r="M71" s="43" t="s">
        <v>172</v>
      </c>
      <c r="N71" s="50" t="s">
        <v>179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9"/>
      <c r="T71" s="49">
        <v>105</v>
      </c>
      <c r="U71" s="58">
        <v>1</v>
      </c>
      <c r="V71" s="58"/>
      <c r="W71" s="49"/>
      <c r="X71" s="49"/>
      <c r="Y71" s="50"/>
      <c r="Z71" s="59"/>
      <c r="AA71" s="25"/>
      <c r="AB71" s="25"/>
    </row>
    <row r="72" spans="2:28">
      <c r="B72" s="40">
        <v>0.69861111111111107</v>
      </c>
      <c r="C72" s="40"/>
      <c r="D72" s="41">
        <v>1</v>
      </c>
      <c r="E72" s="41">
        <v>2</v>
      </c>
      <c r="F72" s="42" t="s">
        <v>170</v>
      </c>
      <c r="G72" s="42" t="s">
        <v>171</v>
      </c>
      <c r="H72" s="42" t="s">
        <v>179</v>
      </c>
      <c r="I72" s="42"/>
      <c r="J72" s="42">
        <v>2</v>
      </c>
      <c r="K72" s="25" t="str">
        <f>VLOOKUP(J72,Key!$E$2:$F$9,2,FALSE)</f>
        <v>Work</v>
      </c>
      <c r="L72" s="42" t="s">
        <v>168</v>
      </c>
      <c r="M72" s="43" t="s">
        <v>171</v>
      </c>
      <c r="N72" s="50" t="s">
        <v>179</v>
      </c>
      <c r="O72" s="43"/>
      <c r="P72" s="43">
        <v>1</v>
      </c>
      <c r="Q72" s="25" t="str">
        <f>VLOOKUP(P72,Key!$E$2:$F$9,2,FALSE)</f>
        <v>Home</v>
      </c>
      <c r="R72" s="25" t="str">
        <f t="shared" si="1"/>
        <v>Work-Home</v>
      </c>
      <c r="S72" s="49"/>
      <c r="T72" s="49">
        <v>0.7</v>
      </c>
      <c r="U72" s="58">
        <v>2</v>
      </c>
      <c r="V72" s="58"/>
      <c r="W72" s="49"/>
      <c r="X72" s="49"/>
      <c r="Y72" s="50"/>
      <c r="Z72" s="59"/>
      <c r="AA72" s="25"/>
      <c r="AB72" s="25"/>
    </row>
    <row r="73" spans="2:28">
      <c r="B73" s="40">
        <v>0.70138888888888884</v>
      </c>
      <c r="C73" s="40"/>
      <c r="D73" s="41">
        <v>1</v>
      </c>
      <c r="E73" s="41">
        <v>2</v>
      </c>
      <c r="F73" s="42" t="s">
        <v>167</v>
      </c>
      <c r="G73" s="42" t="s">
        <v>172</v>
      </c>
      <c r="H73" s="42" t="s">
        <v>179</v>
      </c>
      <c r="I73" s="42"/>
      <c r="J73" s="42">
        <v>2</v>
      </c>
      <c r="K73" s="25" t="str">
        <f>VLOOKUP(J73,Key!$E$2:$F$9,2,FALSE)</f>
        <v>Work</v>
      </c>
      <c r="L73" s="42" t="s">
        <v>172</v>
      </c>
      <c r="M73" s="43" t="s">
        <v>172</v>
      </c>
      <c r="N73" s="50" t="s">
        <v>179</v>
      </c>
      <c r="O73" s="43"/>
      <c r="P73" s="43">
        <v>6</v>
      </c>
      <c r="Q73" s="25" t="str">
        <f>VLOOKUP(P73,Key!$E$2:$F$9,2,FALSE)</f>
        <v>Leisure/Social</v>
      </c>
      <c r="R73" s="25" t="str">
        <f t="shared" si="1"/>
        <v>Work-Leisure/Social</v>
      </c>
      <c r="S73" s="49"/>
      <c r="T73" s="49">
        <v>7</v>
      </c>
      <c r="U73" s="58">
        <v>4</v>
      </c>
      <c r="V73" s="58"/>
      <c r="W73" s="49"/>
      <c r="X73" s="49"/>
      <c r="Y73" s="50"/>
      <c r="Z73" s="59"/>
      <c r="AA73" s="25"/>
      <c r="AB73" s="25"/>
    </row>
    <row r="74" spans="2:28">
      <c r="B74" s="40">
        <v>0.70486111111111116</v>
      </c>
      <c r="C74" s="40"/>
      <c r="D74" s="41">
        <v>1</v>
      </c>
      <c r="E74" s="41">
        <v>7</v>
      </c>
      <c r="F74" s="42" t="s">
        <v>170</v>
      </c>
      <c r="G74" s="42" t="s">
        <v>171</v>
      </c>
      <c r="H74" s="42" t="s">
        <v>179</v>
      </c>
      <c r="I74" s="42"/>
      <c r="J74" s="42">
        <v>2</v>
      </c>
      <c r="K74" s="25" t="str">
        <f>VLOOKUP(J74,Key!$E$2:$F$9,2,FALSE)</f>
        <v>Work</v>
      </c>
      <c r="L74" s="42" t="s">
        <v>172</v>
      </c>
      <c r="M74" s="43" t="s">
        <v>172</v>
      </c>
      <c r="N74" s="50" t="s">
        <v>179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9"/>
      <c r="T74" s="49">
        <v>2</v>
      </c>
      <c r="U74" s="58">
        <v>1</v>
      </c>
      <c r="V74" s="58"/>
      <c r="W74" s="49"/>
      <c r="X74" s="49"/>
      <c r="Y74" s="50"/>
      <c r="Z74" s="59"/>
      <c r="AA74" s="25"/>
      <c r="AB74" s="25"/>
    </row>
    <row r="75" spans="2:28">
      <c r="B75" s="40">
        <v>0.7055555555555556</v>
      </c>
      <c r="C75" s="40"/>
      <c r="D75" s="41">
        <v>5</v>
      </c>
      <c r="E75" s="41">
        <v>25</v>
      </c>
      <c r="F75" s="42" t="s">
        <v>173</v>
      </c>
      <c r="G75" s="42" t="s">
        <v>167</v>
      </c>
      <c r="H75" s="42" t="s">
        <v>180</v>
      </c>
      <c r="I75" s="42"/>
      <c r="J75" s="42">
        <v>2</v>
      </c>
      <c r="K75" s="25" t="str">
        <f>VLOOKUP(J75,Key!$E$2:$F$9,2,FALSE)</f>
        <v>Work</v>
      </c>
      <c r="L75" s="42" t="s">
        <v>183</v>
      </c>
      <c r="M75" s="43" t="s">
        <v>183</v>
      </c>
      <c r="N75" s="50" t="s">
        <v>179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24</v>
      </c>
      <c r="U75" s="58">
        <v>3</v>
      </c>
      <c r="V75" s="58"/>
      <c r="W75" s="49"/>
      <c r="X75" s="49"/>
      <c r="Y75" s="50"/>
      <c r="Z75" s="59"/>
      <c r="AA75" s="25"/>
      <c r="AB75" s="25"/>
    </row>
    <row r="76" spans="2:28">
      <c r="B76" s="40">
        <v>0.70624999999999993</v>
      </c>
      <c r="C76" s="40"/>
      <c r="D76" s="41">
        <v>6</v>
      </c>
      <c r="E76" s="41">
        <v>60</v>
      </c>
      <c r="F76" s="42" t="s">
        <v>170</v>
      </c>
      <c r="G76" s="42" t="s">
        <v>171</v>
      </c>
      <c r="H76" s="42" t="s">
        <v>179</v>
      </c>
      <c r="I76" s="42"/>
      <c r="J76" s="42">
        <v>2</v>
      </c>
      <c r="K76" s="25" t="str">
        <f>VLOOKUP(J76,Key!$E$2:$F$9,2,FALSE)</f>
        <v>Work</v>
      </c>
      <c r="L76" s="42" t="s">
        <v>168</v>
      </c>
      <c r="M76" s="43" t="s">
        <v>171</v>
      </c>
      <c r="N76" s="50" t="s">
        <v>179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0.7</v>
      </c>
      <c r="U76" s="58">
        <v>1</v>
      </c>
      <c r="V76" s="58"/>
      <c r="W76" s="49"/>
      <c r="X76" s="49"/>
      <c r="Y76" s="50"/>
      <c r="Z76" s="59"/>
      <c r="AA76" s="25"/>
      <c r="AB76" s="25"/>
    </row>
    <row r="77" spans="2:28">
      <c r="B77" s="40">
        <v>0.70763888888888893</v>
      </c>
      <c r="C77" s="40"/>
      <c r="D77" s="41">
        <v>9</v>
      </c>
      <c r="E77" s="41">
        <v>1</v>
      </c>
      <c r="F77" s="42" t="s">
        <v>173</v>
      </c>
      <c r="G77" s="42" t="s">
        <v>167</v>
      </c>
      <c r="H77" s="42" t="s">
        <v>180</v>
      </c>
      <c r="I77" s="42"/>
      <c r="J77" s="42">
        <v>2</v>
      </c>
      <c r="K77" s="25" t="str">
        <f>VLOOKUP(J77,Key!$E$2:$F$9,2,FALSE)</f>
        <v>Work</v>
      </c>
      <c r="L77" s="42" t="s">
        <v>184</v>
      </c>
      <c r="M77" s="43" t="s">
        <v>184</v>
      </c>
      <c r="N77" s="50" t="s">
        <v>200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36</v>
      </c>
      <c r="U77" s="58">
        <v>3</v>
      </c>
      <c r="V77" s="58">
        <v>7</v>
      </c>
      <c r="W77" s="49">
        <v>19</v>
      </c>
      <c r="X77" s="49"/>
      <c r="Y77" s="50"/>
      <c r="Z77" s="59"/>
      <c r="AA77" s="25"/>
      <c r="AB77" s="25"/>
    </row>
    <row r="78" spans="2:28">
      <c r="B78" s="40">
        <v>0.7104166666666667</v>
      </c>
      <c r="C78" s="40"/>
      <c r="D78" s="41">
        <v>1</v>
      </c>
      <c r="E78" s="41">
        <v>4</v>
      </c>
      <c r="F78" s="42" t="s">
        <v>170</v>
      </c>
      <c r="G78" s="42" t="s">
        <v>171</v>
      </c>
      <c r="H78" s="42" t="s">
        <v>179</v>
      </c>
      <c r="I78" s="42"/>
      <c r="J78" s="42">
        <v>2</v>
      </c>
      <c r="K78" s="25" t="str">
        <f>VLOOKUP(J78,Key!$E$2:$F$9,2,FALSE)</f>
        <v>Work</v>
      </c>
      <c r="L78" s="42" t="s">
        <v>172</v>
      </c>
      <c r="M78" s="43" t="s">
        <v>172</v>
      </c>
      <c r="N78" s="50" t="s">
        <v>179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2</v>
      </c>
      <c r="U78" s="58">
        <v>1</v>
      </c>
      <c r="V78" s="58"/>
      <c r="W78" s="49"/>
      <c r="X78" s="49"/>
      <c r="Y78" s="50"/>
      <c r="Z78" s="59"/>
      <c r="AA78" s="25"/>
      <c r="AB78" s="25"/>
    </row>
    <row r="79" spans="2:28">
      <c r="B79" s="40">
        <v>0.71111111111111114</v>
      </c>
      <c r="C79" s="40"/>
      <c r="D79" s="41">
        <v>1</v>
      </c>
      <c r="E79" s="41">
        <v>5</v>
      </c>
      <c r="F79" s="42" t="s">
        <v>170</v>
      </c>
      <c r="G79" s="42" t="s">
        <v>171</v>
      </c>
      <c r="H79" s="42" t="s">
        <v>179</v>
      </c>
      <c r="I79" s="42"/>
      <c r="J79" s="42">
        <v>2</v>
      </c>
      <c r="K79" s="25" t="str">
        <f>VLOOKUP(J79,Key!$E$2:$F$9,2,FALSE)</f>
        <v>Work</v>
      </c>
      <c r="L79" s="42" t="s">
        <v>172</v>
      </c>
      <c r="M79" s="43" t="s">
        <v>172</v>
      </c>
      <c r="N79" s="50" t="s">
        <v>179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2</v>
      </c>
      <c r="U79" s="58">
        <v>1</v>
      </c>
      <c r="V79" s="58"/>
      <c r="W79" s="49"/>
      <c r="X79" s="49"/>
      <c r="Y79" s="50"/>
      <c r="Z79" s="59"/>
      <c r="AA79" s="25"/>
      <c r="AB79" s="25"/>
    </row>
    <row r="80" spans="2:28">
      <c r="B80" s="40">
        <v>0.71319444444444446</v>
      </c>
      <c r="C80" s="40"/>
      <c r="D80" s="41">
        <v>1</v>
      </c>
      <c r="E80" s="41">
        <v>2</v>
      </c>
      <c r="F80" s="42" t="s">
        <v>170</v>
      </c>
      <c r="G80" s="42" t="s">
        <v>171</v>
      </c>
      <c r="H80" s="42" t="s">
        <v>179</v>
      </c>
      <c r="I80" s="42"/>
      <c r="J80" s="42">
        <v>2</v>
      </c>
      <c r="K80" s="25" t="str">
        <f>VLOOKUP(J80,Key!$E$2:$F$9,2,FALSE)</f>
        <v>Work</v>
      </c>
      <c r="L80" s="42" t="s">
        <v>172</v>
      </c>
      <c r="M80" s="43" t="s">
        <v>172</v>
      </c>
      <c r="N80" s="50" t="s">
        <v>179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49"/>
      <c r="T80" s="49">
        <v>1</v>
      </c>
      <c r="U80" s="58">
        <v>1</v>
      </c>
      <c r="V80" s="58"/>
      <c r="W80" s="49"/>
      <c r="X80" s="49"/>
      <c r="Y80" s="50"/>
      <c r="Z80" s="59"/>
      <c r="AA80" s="25"/>
      <c r="AB80" s="25"/>
    </row>
    <row r="81" spans="2:28">
      <c r="B81" s="40">
        <v>0.71458333333333324</v>
      </c>
      <c r="C81" s="40"/>
      <c r="D81" s="41">
        <v>4</v>
      </c>
      <c r="E81" s="41">
        <v>10</v>
      </c>
      <c r="F81" s="42" t="s">
        <v>167</v>
      </c>
      <c r="G81" s="42" t="s">
        <v>172</v>
      </c>
      <c r="H81" s="42" t="s">
        <v>179</v>
      </c>
      <c r="I81" s="42"/>
      <c r="J81" s="42">
        <v>5</v>
      </c>
      <c r="K81" s="25" t="str">
        <f>VLOOKUP(J81,Key!$E$2:$F$9,2,FALSE)</f>
        <v>Tourism</v>
      </c>
      <c r="L81" s="42" t="s">
        <v>172</v>
      </c>
      <c r="M81" s="43" t="s">
        <v>172</v>
      </c>
      <c r="N81" s="50" t="s">
        <v>179</v>
      </c>
      <c r="O81" s="43"/>
      <c r="P81" s="43">
        <v>1</v>
      </c>
      <c r="Q81" s="25" t="str">
        <f>VLOOKUP(P81,Key!$E$2:$F$9,2,FALSE)</f>
        <v>Home</v>
      </c>
      <c r="R81" s="25" t="str">
        <f t="shared" si="1"/>
        <v>Tourism-Home</v>
      </c>
      <c r="S81" s="49"/>
      <c r="T81" s="49"/>
      <c r="U81" s="58">
        <v>4</v>
      </c>
      <c r="V81" s="58"/>
      <c r="W81" s="49"/>
      <c r="X81" s="49"/>
      <c r="Y81" s="50"/>
      <c r="Z81" s="59"/>
      <c r="AA81" s="25"/>
      <c r="AB81" s="25"/>
    </row>
    <row r="82" spans="2:28">
      <c r="B82" s="40">
        <v>0.71666666666666667</v>
      </c>
      <c r="C82" s="40"/>
      <c r="D82" s="41">
        <v>1</v>
      </c>
      <c r="E82" s="41">
        <v>3</v>
      </c>
      <c r="F82" s="42" t="s">
        <v>170</v>
      </c>
      <c r="G82" s="42" t="s">
        <v>171</v>
      </c>
      <c r="H82" s="42" t="s">
        <v>179</v>
      </c>
      <c r="I82" s="42"/>
      <c r="J82" s="42">
        <v>2</v>
      </c>
      <c r="K82" s="25" t="str">
        <f>VLOOKUP(J82,Key!$E$2:$F$9,2,FALSE)</f>
        <v>Work</v>
      </c>
      <c r="L82" s="42" t="s">
        <v>172</v>
      </c>
      <c r="M82" s="43" t="s">
        <v>172</v>
      </c>
      <c r="N82" s="50" t="s">
        <v>179</v>
      </c>
      <c r="O82" s="43"/>
      <c r="P82" s="43">
        <v>7</v>
      </c>
      <c r="Q82" s="25" t="str">
        <f>VLOOKUP(P82,Key!$E$2:$F$9,2,FALSE)</f>
        <v>Hospital</v>
      </c>
      <c r="R82" s="25" t="str">
        <f t="shared" si="1"/>
        <v>Work-Hospital</v>
      </c>
      <c r="S82" s="49"/>
      <c r="T82" s="49">
        <v>3</v>
      </c>
      <c r="U82" s="58">
        <v>3</v>
      </c>
      <c r="V82" s="58"/>
      <c r="W82" s="49"/>
      <c r="X82" s="49"/>
      <c r="Y82" s="50"/>
      <c r="Z82" s="59"/>
      <c r="AA82" s="25"/>
      <c r="AB82" s="25"/>
    </row>
    <row r="83" spans="2:28">
      <c r="B83" s="40">
        <v>0.71944444444444444</v>
      </c>
      <c r="C83" s="40"/>
      <c r="D83" s="41">
        <v>1</v>
      </c>
      <c r="E83" s="41">
        <v>3</v>
      </c>
      <c r="F83" s="42" t="s">
        <v>170</v>
      </c>
      <c r="G83" s="42" t="s">
        <v>171</v>
      </c>
      <c r="H83" s="42" t="s">
        <v>179</v>
      </c>
      <c r="I83" s="42"/>
      <c r="J83" s="42">
        <v>2</v>
      </c>
      <c r="K83" s="25" t="str">
        <f>VLOOKUP(J83,Key!$E$2:$F$9,2,FALSE)</f>
        <v>Work</v>
      </c>
      <c r="L83" s="42" t="s">
        <v>172</v>
      </c>
      <c r="M83" s="43" t="s">
        <v>172</v>
      </c>
      <c r="N83" s="50" t="s">
        <v>179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2</v>
      </c>
      <c r="U83" s="58">
        <v>1</v>
      </c>
      <c r="V83" s="58"/>
      <c r="W83" s="49"/>
      <c r="X83" s="49"/>
      <c r="Y83" s="50"/>
      <c r="Z83" s="59"/>
      <c r="AA83" s="25"/>
      <c r="AB83" s="25"/>
    </row>
    <row r="84" spans="2:28">
      <c r="B84" s="40">
        <v>0.72083333333333333</v>
      </c>
      <c r="C84" s="40"/>
      <c r="D84" s="41">
        <v>6</v>
      </c>
      <c r="E84" s="41">
        <v>50</v>
      </c>
      <c r="F84" s="42" t="s">
        <v>170</v>
      </c>
      <c r="G84" s="42" t="s">
        <v>171</v>
      </c>
      <c r="H84" s="42" t="s">
        <v>179</v>
      </c>
      <c r="I84" s="42"/>
      <c r="J84" s="42">
        <v>2</v>
      </c>
      <c r="K84" s="25" t="str">
        <f>VLOOKUP(J84,Key!$E$2:$F$9,2,FALSE)</f>
        <v>Work</v>
      </c>
      <c r="L84" s="42" t="s">
        <v>168</v>
      </c>
      <c r="M84" s="43" t="s">
        <v>171</v>
      </c>
      <c r="N84" s="50" t="s">
        <v>179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0.5</v>
      </c>
      <c r="U84" s="58">
        <v>1</v>
      </c>
      <c r="V84" s="58"/>
      <c r="W84" s="49"/>
      <c r="X84" s="49"/>
      <c r="Y84" s="50"/>
      <c r="Z84" s="59"/>
      <c r="AA84" s="25"/>
      <c r="AB84" s="25"/>
    </row>
    <row r="85" spans="2:28">
      <c r="B85" s="40">
        <v>0.72291666666666676</v>
      </c>
      <c r="C85" s="40"/>
      <c r="D85" s="41">
        <v>6</v>
      </c>
      <c r="E85" s="41">
        <v>55</v>
      </c>
      <c r="F85" s="42" t="s">
        <v>167</v>
      </c>
      <c r="G85" s="42" t="s">
        <v>172</v>
      </c>
      <c r="H85" s="42" t="s">
        <v>179</v>
      </c>
      <c r="I85" s="42"/>
      <c r="J85" s="42">
        <v>2</v>
      </c>
      <c r="K85" s="25" t="str">
        <f>VLOOKUP(J85,Key!$E$2:$F$9,2,FALSE)</f>
        <v>Work</v>
      </c>
      <c r="L85" s="42" t="s">
        <v>168</v>
      </c>
      <c r="M85" s="43" t="s">
        <v>171</v>
      </c>
      <c r="N85" s="50" t="s">
        <v>179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3</v>
      </c>
      <c r="U85" s="58">
        <v>1</v>
      </c>
      <c r="V85" s="58"/>
      <c r="W85" s="49"/>
      <c r="X85" s="49"/>
      <c r="Y85" s="50"/>
      <c r="Z85" s="59"/>
      <c r="AA85" s="25"/>
      <c r="AB85" s="25"/>
    </row>
    <row r="86" spans="2:28">
      <c r="B86" s="40">
        <v>0.72499999999999998</v>
      </c>
      <c r="C86" s="40"/>
      <c r="D86" s="41">
        <v>7</v>
      </c>
      <c r="E86" s="41">
        <v>3</v>
      </c>
      <c r="F86" s="42" t="s">
        <v>170</v>
      </c>
      <c r="G86" s="42" t="s">
        <v>171</v>
      </c>
      <c r="H86" s="42" t="s">
        <v>179</v>
      </c>
      <c r="I86" s="42"/>
      <c r="J86" s="42">
        <v>2</v>
      </c>
      <c r="K86" s="25" t="str">
        <f>VLOOKUP(J86,Key!$E$2:$F$9,2,FALSE)</f>
        <v>Work</v>
      </c>
      <c r="L86" s="42" t="s">
        <v>172</v>
      </c>
      <c r="M86" s="43" t="s">
        <v>172</v>
      </c>
      <c r="N86" s="50" t="s">
        <v>179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2</v>
      </c>
      <c r="U86" s="58">
        <v>1</v>
      </c>
      <c r="V86" s="58">
        <v>9</v>
      </c>
      <c r="W86" s="49">
        <v>5</v>
      </c>
      <c r="X86" s="49"/>
      <c r="Y86" s="50"/>
      <c r="Z86" s="59"/>
      <c r="AA86" s="25"/>
      <c r="AB86" s="25"/>
    </row>
    <row r="87" spans="2:28">
      <c r="B87" s="40">
        <v>0.7284722222222223</v>
      </c>
      <c r="C87" s="40"/>
      <c r="D87" s="41">
        <v>9</v>
      </c>
      <c r="E87" s="41">
        <v>2</v>
      </c>
      <c r="F87" s="42" t="s">
        <v>173</v>
      </c>
      <c r="G87" s="42" t="s">
        <v>167</v>
      </c>
      <c r="H87" s="42" t="s">
        <v>180</v>
      </c>
      <c r="I87" s="42"/>
      <c r="J87" s="42">
        <v>2</v>
      </c>
      <c r="K87" s="25" t="str">
        <f>VLOOKUP(J87,Key!$E$2:$F$9,2,FALSE)</f>
        <v>Work</v>
      </c>
      <c r="L87" s="42" t="s">
        <v>183</v>
      </c>
      <c r="M87" s="43" t="s">
        <v>183</v>
      </c>
      <c r="N87" s="50" t="s">
        <v>179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24</v>
      </c>
      <c r="U87" s="58">
        <v>3</v>
      </c>
      <c r="V87" s="58">
        <v>7</v>
      </c>
      <c r="W87" s="49">
        <v>19</v>
      </c>
      <c r="X87" s="49"/>
      <c r="Y87" s="50"/>
      <c r="Z87" s="59"/>
      <c r="AA87" s="25"/>
      <c r="AB87" s="25"/>
    </row>
    <row r="88" spans="2:28">
      <c r="B88" s="40">
        <v>0.72986111111111107</v>
      </c>
      <c r="C88" s="40"/>
      <c r="D88" s="41">
        <v>1</v>
      </c>
      <c r="E88" s="41">
        <v>2</v>
      </c>
      <c r="F88" s="42" t="s">
        <v>170</v>
      </c>
      <c r="G88" s="42" t="s">
        <v>171</v>
      </c>
      <c r="H88" s="42" t="s">
        <v>179</v>
      </c>
      <c r="I88" s="42"/>
      <c r="J88" s="42">
        <v>1</v>
      </c>
      <c r="K88" s="25" t="str">
        <f>VLOOKUP(J88,Key!$E$2:$F$9,2,FALSE)</f>
        <v>Home</v>
      </c>
      <c r="L88" s="42" t="s">
        <v>172</v>
      </c>
      <c r="M88" s="43" t="s">
        <v>172</v>
      </c>
      <c r="N88" s="50" t="s">
        <v>179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49"/>
      <c r="T88" s="49">
        <v>1</v>
      </c>
      <c r="U88" s="58">
        <v>4</v>
      </c>
      <c r="V88" s="58"/>
      <c r="W88" s="49"/>
      <c r="X88" s="49"/>
      <c r="Y88" s="50"/>
      <c r="Z88" s="59"/>
      <c r="AA88" s="25"/>
      <c r="AB88" s="25"/>
    </row>
    <row r="89" spans="2:28">
      <c r="B89" s="40">
        <v>0.7319444444444444</v>
      </c>
      <c r="C89" s="40"/>
      <c r="D89" s="41">
        <v>1</v>
      </c>
      <c r="E89" s="41">
        <v>1</v>
      </c>
      <c r="F89" s="42" t="s">
        <v>170</v>
      </c>
      <c r="G89" s="42" t="s">
        <v>171</v>
      </c>
      <c r="H89" s="42" t="s">
        <v>179</v>
      </c>
      <c r="I89" s="42"/>
      <c r="J89" s="42">
        <v>2</v>
      </c>
      <c r="K89" s="25" t="str">
        <f>VLOOKUP(J89,Key!$E$2:$F$9,2,FALSE)</f>
        <v>Work</v>
      </c>
      <c r="L89" s="42" t="s">
        <v>172</v>
      </c>
      <c r="M89" s="43" t="s">
        <v>172</v>
      </c>
      <c r="N89" s="50" t="s">
        <v>179</v>
      </c>
      <c r="O89" s="43"/>
      <c r="P89" s="43">
        <v>3</v>
      </c>
      <c r="Q89" s="25" t="str">
        <f>VLOOKUP(P89,Key!$E$2:$F$9,2,FALSE)</f>
        <v>Study</v>
      </c>
      <c r="R89" s="25" t="str">
        <f t="shared" si="1"/>
        <v>Work-Study</v>
      </c>
      <c r="S89" s="49"/>
      <c r="T89" s="49">
        <v>2</v>
      </c>
      <c r="U89" s="58">
        <v>3</v>
      </c>
      <c r="V89" s="58"/>
      <c r="W89" s="49"/>
      <c r="X89" s="49"/>
      <c r="Y89" s="50"/>
      <c r="Z89" s="59"/>
      <c r="AA89" s="25"/>
      <c r="AB89" s="25"/>
    </row>
    <row r="90" spans="2:28">
      <c r="B90" s="40">
        <v>0.73472222222222217</v>
      </c>
      <c r="C90" s="40"/>
      <c r="D90" s="41">
        <v>8</v>
      </c>
      <c r="E90" s="41">
        <v>3</v>
      </c>
      <c r="F90" s="42" t="s">
        <v>170</v>
      </c>
      <c r="G90" s="42" t="s">
        <v>171</v>
      </c>
      <c r="H90" s="42" t="s">
        <v>179</v>
      </c>
      <c r="I90" s="42"/>
      <c r="J90" s="42">
        <v>2</v>
      </c>
      <c r="K90" s="25" t="str">
        <f>VLOOKUP(J90,Key!$E$2:$F$9,2,FALSE)</f>
        <v>Work</v>
      </c>
      <c r="L90" s="42" t="s">
        <v>183</v>
      </c>
      <c r="M90" s="43" t="s">
        <v>183</v>
      </c>
      <c r="N90" s="50" t="s">
        <v>179</v>
      </c>
      <c r="O90" s="43"/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9"/>
      <c r="T90" s="49">
        <v>24</v>
      </c>
      <c r="U90" s="58">
        <v>3</v>
      </c>
      <c r="V90" s="58">
        <v>9</v>
      </c>
      <c r="W90" s="49">
        <v>12</v>
      </c>
      <c r="X90" s="49"/>
      <c r="Y90" s="50"/>
      <c r="Z90" s="59"/>
      <c r="AA90" s="25"/>
      <c r="AB90" s="25"/>
    </row>
    <row r="91" spans="2:28">
      <c r="B91" s="40">
        <v>0.7368055555555556</v>
      </c>
      <c r="C91" s="40"/>
      <c r="D91" s="41">
        <v>6</v>
      </c>
      <c r="E91" s="41">
        <v>1</v>
      </c>
      <c r="F91" s="42" t="s">
        <v>170</v>
      </c>
      <c r="G91" s="42" t="s">
        <v>171</v>
      </c>
      <c r="H91" s="42" t="s">
        <v>179</v>
      </c>
      <c r="I91" s="42"/>
      <c r="J91" s="42">
        <v>2</v>
      </c>
      <c r="K91" s="25" t="str">
        <f>VLOOKUP(J91,Key!$E$2:$F$9,2,FALSE)</f>
        <v>Work</v>
      </c>
      <c r="L91" s="42" t="s">
        <v>168</v>
      </c>
      <c r="M91" s="43" t="s">
        <v>171</v>
      </c>
      <c r="N91" s="50" t="s">
        <v>179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0.5</v>
      </c>
      <c r="U91" s="58">
        <v>1</v>
      </c>
      <c r="V91" s="58"/>
      <c r="W91" s="49"/>
      <c r="X91" s="49"/>
      <c r="Y91" s="50"/>
      <c r="Z91" s="59"/>
      <c r="AA91" s="25"/>
      <c r="AB91" s="25"/>
    </row>
    <row r="92" spans="2:28">
      <c r="B92" s="40">
        <v>0.73888888888888893</v>
      </c>
      <c r="C92" s="40"/>
      <c r="D92" s="41">
        <v>1</v>
      </c>
      <c r="E92" s="41">
        <v>2</v>
      </c>
      <c r="F92" s="42" t="s">
        <v>170</v>
      </c>
      <c r="G92" s="42" t="s">
        <v>171</v>
      </c>
      <c r="H92" s="42" t="s">
        <v>179</v>
      </c>
      <c r="I92" s="42"/>
      <c r="J92" s="42">
        <v>1</v>
      </c>
      <c r="K92" s="25" t="str">
        <f>VLOOKUP(J92,Key!$E$2:$F$9,2,FALSE)</f>
        <v>Home</v>
      </c>
      <c r="L92" s="42" t="s">
        <v>172</v>
      </c>
      <c r="M92" s="43" t="s">
        <v>172</v>
      </c>
      <c r="N92" s="50" t="s">
        <v>179</v>
      </c>
      <c r="O92" s="43"/>
      <c r="P92" s="43">
        <v>7</v>
      </c>
      <c r="Q92" s="25" t="str">
        <f>VLOOKUP(P92,Key!$E$2:$F$9,2,FALSE)</f>
        <v>Hospital</v>
      </c>
      <c r="R92" s="25" t="str">
        <f t="shared" si="1"/>
        <v>Home-Hospital</v>
      </c>
      <c r="S92" s="49"/>
      <c r="T92" s="49">
        <v>2</v>
      </c>
      <c r="U92" s="58">
        <v>3</v>
      </c>
      <c r="V92" s="58"/>
      <c r="W92" s="49"/>
      <c r="X92" s="49"/>
      <c r="Y92" s="50"/>
      <c r="Z92" s="59"/>
      <c r="AA92" s="25"/>
      <c r="AB92" s="25"/>
    </row>
    <row r="93" spans="2:28">
      <c r="B93" s="40">
        <v>0.7402777777777777</v>
      </c>
      <c r="C93" s="40"/>
      <c r="D93" s="41">
        <v>9</v>
      </c>
      <c r="E93" s="41">
        <v>1</v>
      </c>
      <c r="F93" s="42" t="s">
        <v>170</v>
      </c>
      <c r="G93" s="42" t="s">
        <v>171</v>
      </c>
      <c r="H93" s="42" t="s">
        <v>179</v>
      </c>
      <c r="I93" s="42"/>
      <c r="J93" s="42">
        <v>2</v>
      </c>
      <c r="K93" s="25" t="str">
        <f>VLOOKUP(J93,Key!$E$2:$F$9,2,FALSE)</f>
        <v>Work</v>
      </c>
      <c r="L93" s="42" t="s">
        <v>168</v>
      </c>
      <c r="M93" s="43" t="s">
        <v>172</v>
      </c>
      <c r="N93" s="50" t="s">
        <v>179</v>
      </c>
      <c r="O93" s="43"/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49"/>
      <c r="T93" s="49">
        <v>0.7</v>
      </c>
      <c r="U93" s="58">
        <v>1</v>
      </c>
      <c r="V93" s="58"/>
      <c r="W93" s="49"/>
      <c r="X93" s="49"/>
      <c r="Y93" s="50"/>
      <c r="Z93" s="59"/>
      <c r="AA93" s="25"/>
      <c r="AB93" s="25"/>
    </row>
    <row r="94" spans="2:28">
      <c r="B94" s="40">
        <v>0.77361111111111114</v>
      </c>
      <c r="C94" s="40"/>
      <c r="D94" s="41">
        <v>1</v>
      </c>
      <c r="E94" s="41">
        <v>2</v>
      </c>
      <c r="F94" s="42" t="s">
        <v>170</v>
      </c>
      <c r="G94" s="42" t="s">
        <v>171</v>
      </c>
      <c r="H94" s="42" t="s">
        <v>179</v>
      </c>
      <c r="I94" s="42"/>
      <c r="J94" s="42">
        <v>2</v>
      </c>
      <c r="K94" s="25" t="str">
        <f>VLOOKUP(J94,Key!$E$2:$F$9,2,FALSE)</f>
        <v>Work</v>
      </c>
      <c r="L94" s="42" t="s">
        <v>172</v>
      </c>
      <c r="M94" s="43" t="s">
        <v>172</v>
      </c>
      <c r="N94" s="50" t="s">
        <v>179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3</v>
      </c>
      <c r="U94" s="58">
        <v>3</v>
      </c>
      <c r="V94" s="58"/>
      <c r="W94" s="49"/>
      <c r="X94" s="49"/>
      <c r="Y94" s="50"/>
      <c r="Z94" s="59"/>
      <c r="AA94" s="25"/>
      <c r="AB94" s="25"/>
    </row>
    <row r="95" spans="2:28">
      <c r="B95" s="40">
        <v>0.77569444444444446</v>
      </c>
      <c r="C95" s="40"/>
      <c r="D95" s="41">
        <v>8</v>
      </c>
      <c r="E95" s="41">
        <v>3</v>
      </c>
      <c r="F95" s="42" t="s">
        <v>167</v>
      </c>
      <c r="G95" s="42" t="s">
        <v>172</v>
      </c>
      <c r="H95" s="42" t="s">
        <v>179</v>
      </c>
      <c r="I95" s="42"/>
      <c r="J95" s="42">
        <v>2</v>
      </c>
      <c r="K95" s="25" t="str">
        <f>VLOOKUP(J95,Key!$E$2:$F$9,2,FALSE)</f>
        <v>Work</v>
      </c>
      <c r="L95" s="42" t="s">
        <v>183</v>
      </c>
      <c r="M95" s="43" t="s">
        <v>183</v>
      </c>
      <c r="N95" s="50" t="s">
        <v>179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49"/>
      <c r="T95" s="49">
        <v>10</v>
      </c>
      <c r="U95" s="58">
        <v>3</v>
      </c>
      <c r="V95" s="58">
        <v>5</v>
      </c>
      <c r="W95" s="49">
        <v>15</v>
      </c>
      <c r="X95" s="49"/>
      <c r="Y95" s="50"/>
      <c r="Z95" s="59"/>
      <c r="AA95" s="25"/>
      <c r="AB95" s="25"/>
    </row>
    <row r="96" spans="2:28">
      <c r="B96" s="40">
        <v>0.77777777777777779</v>
      </c>
      <c r="C96" s="40"/>
      <c r="D96" s="41">
        <v>9</v>
      </c>
      <c r="E96" s="41">
        <v>1</v>
      </c>
      <c r="F96" s="42" t="s">
        <v>176</v>
      </c>
      <c r="G96" s="42" t="s">
        <v>172</v>
      </c>
      <c r="H96" s="42" t="s">
        <v>179</v>
      </c>
      <c r="I96" s="42"/>
      <c r="J96" s="42">
        <v>2</v>
      </c>
      <c r="K96" s="25" t="str">
        <f>VLOOKUP(J96,Key!$E$2:$F$9,2,FALSE)</f>
        <v>Work</v>
      </c>
      <c r="L96" s="42" t="s">
        <v>176</v>
      </c>
      <c r="M96" s="43" t="s">
        <v>172</v>
      </c>
      <c r="N96" s="50" t="s">
        <v>179</v>
      </c>
      <c r="O96" s="43"/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49"/>
      <c r="T96" s="49">
        <v>0.1</v>
      </c>
      <c r="U96" s="58">
        <v>1</v>
      </c>
      <c r="V96" s="58"/>
      <c r="W96" s="49"/>
      <c r="X96" s="49"/>
      <c r="Y96" s="50"/>
      <c r="Z96" s="59"/>
      <c r="AA96" s="25"/>
      <c r="AB96" s="25"/>
    </row>
    <row r="97" spans="2:28">
      <c r="B97" s="40">
        <v>0.78125</v>
      </c>
      <c r="C97" s="40"/>
      <c r="D97" s="41">
        <v>6</v>
      </c>
      <c r="E97" s="41">
        <v>1</v>
      </c>
      <c r="F97" s="42" t="s">
        <v>170</v>
      </c>
      <c r="G97" s="42" t="s">
        <v>171</v>
      </c>
      <c r="H97" s="42" t="s">
        <v>179</v>
      </c>
      <c r="I97" s="42"/>
      <c r="J97" s="42">
        <v>2</v>
      </c>
      <c r="K97" s="25" t="str">
        <f>VLOOKUP(J97,Key!$E$2:$F$9,2,FALSE)</f>
        <v>Work</v>
      </c>
      <c r="L97" s="42" t="s">
        <v>168</v>
      </c>
      <c r="M97" s="43" t="s">
        <v>171</v>
      </c>
      <c r="N97" s="50" t="s">
        <v>179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0.7</v>
      </c>
      <c r="U97" s="58">
        <v>1</v>
      </c>
      <c r="V97" s="58"/>
      <c r="W97" s="49"/>
      <c r="X97" s="49"/>
      <c r="Y97" s="50"/>
      <c r="Z97" s="59"/>
      <c r="AA97" s="25"/>
      <c r="AB97" s="25"/>
    </row>
    <row r="98" spans="2:28">
      <c r="B98" s="40">
        <v>0.78680555555555554</v>
      </c>
      <c r="C98" s="40"/>
      <c r="D98" s="41">
        <v>7</v>
      </c>
      <c r="E98" s="41">
        <v>4</v>
      </c>
      <c r="F98" s="42" t="s">
        <v>170</v>
      </c>
      <c r="G98" s="42" t="s">
        <v>171</v>
      </c>
      <c r="H98" s="42" t="s">
        <v>179</v>
      </c>
      <c r="I98" s="42"/>
      <c r="J98" s="42">
        <v>2</v>
      </c>
      <c r="K98" s="25" t="str">
        <f>VLOOKUP(J98,Key!$E$2:$F$9,2,FALSE)</f>
        <v>Work</v>
      </c>
      <c r="L98" s="42" t="s">
        <v>172</v>
      </c>
      <c r="M98" s="43" t="s">
        <v>172</v>
      </c>
      <c r="N98" s="50" t="s">
        <v>179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>
        <v>1</v>
      </c>
      <c r="U98" s="58">
        <v>1</v>
      </c>
      <c r="V98" s="58">
        <v>9</v>
      </c>
      <c r="W98" s="49">
        <v>2</v>
      </c>
      <c r="X98" s="49"/>
      <c r="Y98" s="50"/>
      <c r="Z98" s="59"/>
      <c r="AA98" s="25"/>
      <c r="AB98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9" t="s">
        <v>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4" t="s">
        <v>8</v>
      </c>
      <c r="C7" s="132" t="s">
        <v>9</v>
      </c>
      <c r="D7" s="132" t="s">
        <v>10</v>
      </c>
      <c r="E7" s="132" t="s">
        <v>11</v>
      </c>
      <c r="F7" s="132" t="s">
        <v>12</v>
      </c>
      <c r="G7" s="132"/>
      <c r="H7" s="132" t="s">
        <v>15</v>
      </c>
      <c r="I7" s="132" t="s">
        <v>16</v>
      </c>
      <c r="J7" s="132" t="s">
        <v>17</v>
      </c>
      <c r="K7" s="132"/>
      <c r="L7" s="132" t="s">
        <v>18</v>
      </c>
      <c r="M7" s="132" t="s">
        <v>19</v>
      </c>
      <c r="N7" s="132" t="s">
        <v>20</v>
      </c>
      <c r="O7" s="134" t="s">
        <v>21</v>
      </c>
      <c r="P7" s="153" t="s">
        <v>27</v>
      </c>
      <c r="Q7" s="154"/>
    </row>
    <row r="8" spans="2:25" ht="24.75" customHeight="1" thickBot="1">
      <c r="B8" s="157"/>
      <c r="C8" s="158"/>
      <c r="D8" s="158"/>
      <c r="E8" s="158"/>
      <c r="F8" s="18" t="s">
        <v>13</v>
      </c>
      <c r="G8" s="18" t="s">
        <v>14</v>
      </c>
      <c r="H8" s="158"/>
      <c r="I8" s="158"/>
      <c r="J8" s="18" t="s">
        <v>13</v>
      </c>
      <c r="K8" s="18" t="s">
        <v>14</v>
      </c>
      <c r="L8" s="158"/>
      <c r="M8" s="158"/>
      <c r="N8" s="158"/>
      <c r="O8" s="159"/>
      <c r="P8" s="155"/>
      <c r="Q8" s="15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58"/>
  <sheetViews>
    <sheetView topLeftCell="H24" zoomScale="75" zoomScaleNormal="75" zoomScaleSheetLayoutView="80" workbookViewId="0">
      <selection activeCell="B9" sqref="B9:AB5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140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'01.08 Nimule-Atiak'!C4</f>
        <v>01.08.19</v>
      </c>
      <c r="E4" s="1" t="s">
        <v>76</v>
      </c>
      <c r="F4" s="160" t="str">
        <f>'01.08 Nimule-Atiak'!F4:G4</f>
        <v>Atiak Nimule</v>
      </c>
      <c r="G4" s="161"/>
      <c r="I4" s="27" t="s">
        <v>77</v>
      </c>
      <c r="J4" s="5"/>
      <c r="K4" s="5"/>
      <c r="L4" s="52" t="s">
        <v>168</v>
      </c>
      <c r="M4" s="2"/>
      <c r="N4" s="1" t="s">
        <v>79</v>
      </c>
      <c r="O4" s="142" t="s">
        <v>162</v>
      </c>
      <c r="P4" s="143"/>
      <c r="Q4" s="143"/>
      <c r="R4" s="143"/>
      <c r="S4" s="143"/>
      <c r="T4" s="143"/>
      <c r="V4" s="1" t="s">
        <v>80</v>
      </c>
      <c r="W4" s="55" t="str">
        <f>'01.08 Nimule-Atiak'!W4</f>
        <v>Isaac</v>
      </c>
      <c r="Y4" s="27" t="s">
        <v>6</v>
      </c>
      <c r="Z4" s="39" t="str">
        <f>'01.08 Nimule-Atiak'!Z4</f>
        <v>Sheba N</v>
      </c>
      <c r="AA4" s="32" t="s">
        <v>7</v>
      </c>
      <c r="AB4" s="39" t="str">
        <f>'01.08 Nimule-Atiak'!AB4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78</v>
      </c>
      <c r="J5" s="2"/>
      <c r="K5" s="2"/>
      <c r="L5" s="53" t="s">
        <v>167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0" t="s">
        <v>67</v>
      </c>
      <c r="D7" s="132" t="s">
        <v>9</v>
      </c>
      <c r="E7" s="130" t="s">
        <v>35</v>
      </c>
      <c r="F7" s="147" t="s">
        <v>12</v>
      </c>
      <c r="G7" s="148"/>
      <c r="H7" s="149"/>
      <c r="I7" s="132" t="s">
        <v>70</v>
      </c>
      <c r="J7" s="130" t="s">
        <v>15</v>
      </c>
      <c r="K7" s="130" t="s">
        <v>141</v>
      </c>
      <c r="L7" s="147" t="s">
        <v>17</v>
      </c>
      <c r="M7" s="148"/>
      <c r="N7" s="149"/>
      <c r="O7" s="132" t="s">
        <v>71</v>
      </c>
      <c r="P7" s="130" t="s">
        <v>18</v>
      </c>
      <c r="Q7" s="130" t="s">
        <v>142</v>
      </c>
      <c r="R7" s="130" t="s">
        <v>143</v>
      </c>
      <c r="S7" s="130" t="s">
        <v>145</v>
      </c>
      <c r="T7" s="130" t="s">
        <v>144</v>
      </c>
      <c r="U7" s="130" t="s">
        <v>72</v>
      </c>
      <c r="V7" s="136" t="s">
        <v>75</v>
      </c>
      <c r="W7" s="137"/>
      <c r="X7" s="138"/>
      <c r="Y7" s="130" t="s">
        <v>74</v>
      </c>
      <c r="Z7" s="130" t="s">
        <v>148</v>
      </c>
      <c r="AA7" s="132" t="s">
        <v>20</v>
      </c>
      <c r="AB7" s="134" t="s">
        <v>21</v>
      </c>
      <c r="AD7" s="19"/>
    </row>
    <row r="8" spans="2:35" ht="38.25" customHeight="1">
      <c r="B8" s="145"/>
      <c r="C8" s="131"/>
      <c r="D8" s="133"/>
      <c r="E8" s="146"/>
      <c r="F8" s="23" t="s">
        <v>82</v>
      </c>
      <c r="G8" s="23" t="s">
        <v>68</v>
      </c>
      <c r="H8" s="24" t="s">
        <v>69</v>
      </c>
      <c r="I8" s="133"/>
      <c r="J8" s="131"/>
      <c r="K8" s="131"/>
      <c r="L8" s="23" t="s">
        <v>82</v>
      </c>
      <c r="M8" s="23" t="s">
        <v>68</v>
      </c>
      <c r="N8" s="23" t="s">
        <v>69</v>
      </c>
      <c r="O8" s="133"/>
      <c r="P8" s="131"/>
      <c r="Q8" s="131"/>
      <c r="R8" s="131"/>
      <c r="S8" s="131"/>
      <c r="T8" s="131"/>
      <c r="U8" s="131"/>
      <c r="V8" s="29" t="s">
        <v>73</v>
      </c>
      <c r="W8" s="30" t="s">
        <v>146</v>
      </c>
      <c r="X8" s="30" t="s">
        <v>147</v>
      </c>
      <c r="Y8" s="131"/>
      <c r="Z8" s="131"/>
      <c r="AA8" s="133"/>
      <c r="AB8" s="135"/>
    </row>
    <row r="9" spans="2:35" s="19" customFormat="1">
      <c r="B9" s="40">
        <v>0.30555555555555552</v>
      </c>
      <c r="C9" s="40"/>
      <c r="D9" s="41">
        <v>8</v>
      </c>
      <c r="E9" s="42">
        <v>1</v>
      </c>
      <c r="F9" s="42" t="s">
        <v>183</v>
      </c>
      <c r="G9" s="43" t="s">
        <v>183</v>
      </c>
      <c r="H9" s="42" t="s">
        <v>179</v>
      </c>
      <c r="I9" s="43"/>
      <c r="J9" s="43">
        <v>2</v>
      </c>
      <c r="K9" s="25" t="str">
        <f>VLOOKUP(J9,Key!$E$2:$F$9,2,FALSE)</f>
        <v>Work</v>
      </c>
      <c r="L9" s="42" t="s">
        <v>173</v>
      </c>
      <c r="M9" s="43" t="s">
        <v>167</v>
      </c>
      <c r="N9" s="42" t="s">
        <v>212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24</v>
      </c>
      <c r="U9" s="43">
        <v>4</v>
      </c>
      <c r="V9" s="43">
        <v>5</v>
      </c>
      <c r="W9" s="49"/>
      <c r="X9" s="49"/>
      <c r="Y9" s="50"/>
      <c r="Z9" s="62"/>
      <c r="AA9" s="25"/>
      <c r="AB9" s="25"/>
    </row>
    <row r="10" spans="2:35">
      <c r="B10" s="40">
        <v>0.31736111111111115</v>
      </c>
      <c r="C10" s="40"/>
      <c r="D10" s="41">
        <v>9</v>
      </c>
      <c r="E10" s="42">
        <v>1</v>
      </c>
      <c r="F10" s="42" t="s">
        <v>185</v>
      </c>
      <c r="G10" s="43" t="s">
        <v>183</v>
      </c>
      <c r="H10" s="42" t="s">
        <v>179</v>
      </c>
      <c r="I10" s="43"/>
      <c r="J10" s="43">
        <v>2</v>
      </c>
      <c r="K10" s="25" t="str">
        <f>VLOOKUP(J10,Key!$E$2:$F$9,2,FALSE)</f>
        <v>Work</v>
      </c>
      <c r="L10" s="42" t="s">
        <v>170</v>
      </c>
      <c r="M10" s="43" t="s">
        <v>171</v>
      </c>
      <c r="N10" s="42" t="s">
        <v>179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12</v>
      </c>
      <c r="U10" s="43">
        <v>4</v>
      </c>
      <c r="V10" s="43">
        <v>9</v>
      </c>
      <c r="W10" s="49"/>
      <c r="X10" s="49"/>
      <c r="Y10" s="50"/>
      <c r="Z10" s="62"/>
      <c r="AA10" s="25"/>
      <c r="AB10" s="25"/>
    </row>
    <row r="11" spans="2:35">
      <c r="B11" s="40">
        <v>0.32013888888888892</v>
      </c>
      <c r="C11" s="40"/>
      <c r="D11" s="41">
        <v>1</v>
      </c>
      <c r="E11" s="42">
        <v>4</v>
      </c>
      <c r="F11" s="42" t="s">
        <v>172</v>
      </c>
      <c r="G11" s="43" t="s">
        <v>172</v>
      </c>
      <c r="H11" s="42" t="s">
        <v>179</v>
      </c>
      <c r="I11" s="43"/>
      <c r="J11" s="43">
        <v>2</v>
      </c>
      <c r="K11" s="25" t="str">
        <f>VLOOKUP(J11,Key!$E$2:$F$9,2,FALSE)</f>
        <v>Work</v>
      </c>
      <c r="L11" s="42" t="s">
        <v>170</v>
      </c>
      <c r="M11" s="43" t="s">
        <v>171</v>
      </c>
      <c r="N11" s="42" t="s">
        <v>179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2</v>
      </c>
      <c r="U11" s="43">
        <v>2</v>
      </c>
      <c r="V11" s="43"/>
      <c r="W11" s="49"/>
      <c r="X11" s="49"/>
      <c r="Y11" s="50"/>
      <c r="Z11" s="62"/>
      <c r="AA11" s="25"/>
      <c r="AB11" s="25"/>
    </row>
    <row r="12" spans="2:35">
      <c r="B12" s="40">
        <v>0.3298611111111111</v>
      </c>
      <c r="C12" s="40"/>
      <c r="D12" s="41">
        <v>2</v>
      </c>
      <c r="E12" s="42">
        <v>1</v>
      </c>
      <c r="F12" s="42" t="s">
        <v>172</v>
      </c>
      <c r="G12" s="43" t="s">
        <v>172</v>
      </c>
      <c r="H12" s="42" t="s">
        <v>179</v>
      </c>
      <c r="I12" s="43"/>
      <c r="J12" s="43">
        <v>2</v>
      </c>
      <c r="K12" s="25" t="str">
        <f>VLOOKUP(J12,Key!$E$2:$F$9,2,FALSE)</f>
        <v>Work</v>
      </c>
      <c r="L12" s="42" t="s">
        <v>170</v>
      </c>
      <c r="M12" s="43" t="s">
        <v>171</v>
      </c>
      <c r="N12" s="42" t="s">
        <v>179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2</v>
      </c>
      <c r="U12" s="43">
        <v>2</v>
      </c>
      <c r="V12" s="43">
        <v>9</v>
      </c>
      <c r="W12" s="49"/>
      <c r="X12" s="49"/>
      <c r="Y12" s="50"/>
      <c r="Z12" s="62"/>
      <c r="AA12" s="25"/>
      <c r="AB12" s="25"/>
    </row>
    <row r="13" spans="2:35">
      <c r="B13" s="40">
        <v>0.33819444444444446</v>
      </c>
      <c r="C13" s="40"/>
      <c r="D13" s="41">
        <v>8</v>
      </c>
      <c r="E13" s="42">
        <v>1</v>
      </c>
      <c r="F13" s="42" t="s">
        <v>183</v>
      </c>
      <c r="G13" s="43" t="s">
        <v>183</v>
      </c>
      <c r="H13" s="42" t="s">
        <v>179</v>
      </c>
      <c r="I13" s="43"/>
      <c r="J13" s="43">
        <v>4</v>
      </c>
      <c r="K13" s="25" t="str">
        <f>VLOOKUP(J13,Key!$E$2:$F$9,2,FALSE)</f>
        <v>Commercial</v>
      </c>
      <c r="L13" s="42" t="s">
        <v>173</v>
      </c>
      <c r="M13" s="43" t="s">
        <v>167</v>
      </c>
      <c r="N13" s="42" t="s">
        <v>212</v>
      </c>
      <c r="O13" s="43"/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49"/>
      <c r="T13" s="49">
        <v>72</v>
      </c>
      <c r="U13" s="43">
        <v>5</v>
      </c>
      <c r="V13" s="43">
        <v>9</v>
      </c>
      <c r="W13" s="49"/>
      <c r="X13" s="49"/>
      <c r="Y13" s="50"/>
      <c r="Z13" s="62"/>
      <c r="AA13" s="25"/>
      <c r="AB13" s="25"/>
    </row>
    <row r="14" spans="2:35">
      <c r="B14" s="40">
        <v>0.35416666666666669</v>
      </c>
      <c r="C14" s="40"/>
      <c r="D14" s="41">
        <v>2</v>
      </c>
      <c r="E14" s="42">
        <v>4</v>
      </c>
      <c r="F14" s="42" t="s">
        <v>172</v>
      </c>
      <c r="G14" s="43" t="s">
        <v>172</v>
      </c>
      <c r="H14" s="42" t="s">
        <v>179</v>
      </c>
      <c r="I14" s="43"/>
      <c r="J14" s="43">
        <v>2</v>
      </c>
      <c r="K14" s="25" t="str">
        <f>VLOOKUP(J14,Key!$E$2:$F$9,2,FALSE)</f>
        <v>Work</v>
      </c>
      <c r="L14" s="42" t="s">
        <v>170</v>
      </c>
      <c r="M14" s="43" t="s">
        <v>171</v>
      </c>
      <c r="N14" s="42" t="s">
        <v>179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2</v>
      </c>
      <c r="U14" s="43">
        <v>1</v>
      </c>
      <c r="V14" s="43"/>
      <c r="W14" s="49"/>
      <c r="X14" s="49"/>
      <c r="Y14" s="50"/>
      <c r="Z14" s="62"/>
      <c r="AA14" s="25"/>
      <c r="AB14" s="25"/>
    </row>
    <row r="15" spans="2:35">
      <c r="B15" s="40">
        <v>0.36805555555555558</v>
      </c>
      <c r="C15" s="40"/>
      <c r="D15" s="41">
        <v>9</v>
      </c>
      <c r="E15" s="42">
        <v>2</v>
      </c>
      <c r="F15" s="42" t="s">
        <v>184</v>
      </c>
      <c r="G15" s="43" t="s">
        <v>184</v>
      </c>
      <c r="H15" s="42" t="s">
        <v>200</v>
      </c>
      <c r="I15" s="43"/>
      <c r="J15" s="43">
        <v>2</v>
      </c>
      <c r="K15" s="25" t="str">
        <f>VLOOKUP(J15,Key!$E$2:$F$9,2,FALSE)</f>
        <v>Work</v>
      </c>
      <c r="L15" s="42" t="s">
        <v>173</v>
      </c>
      <c r="M15" s="43" t="s">
        <v>167</v>
      </c>
      <c r="N15" s="42" t="s">
        <v>212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120</v>
      </c>
      <c r="U15" s="43">
        <v>4</v>
      </c>
      <c r="V15" s="43">
        <v>7</v>
      </c>
      <c r="W15" s="49"/>
      <c r="X15" s="49"/>
      <c r="Y15" s="50"/>
      <c r="Z15" s="62"/>
      <c r="AA15" s="25"/>
      <c r="AB15" s="25"/>
    </row>
    <row r="16" spans="2:35">
      <c r="B16" s="40">
        <v>0.37152777777777773</v>
      </c>
      <c r="C16" s="40"/>
      <c r="D16" s="41">
        <v>9</v>
      </c>
      <c r="E16" s="42">
        <v>1</v>
      </c>
      <c r="F16" s="42" t="s">
        <v>189</v>
      </c>
      <c r="G16" s="43" t="s">
        <v>190</v>
      </c>
      <c r="H16" s="42" t="s">
        <v>200</v>
      </c>
      <c r="I16" s="43"/>
      <c r="J16" s="43">
        <v>2</v>
      </c>
      <c r="K16" s="25" t="str">
        <f>VLOOKUP(J16,Key!$E$2:$F$9,2,FALSE)</f>
        <v>Work</v>
      </c>
      <c r="L16" s="42" t="s">
        <v>173</v>
      </c>
      <c r="M16" s="43" t="s">
        <v>167</v>
      </c>
      <c r="N16" s="42" t="s">
        <v>212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72</v>
      </c>
      <c r="U16" s="43">
        <v>4</v>
      </c>
      <c r="V16" s="43">
        <v>6</v>
      </c>
      <c r="W16" s="49"/>
      <c r="X16" s="49"/>
      <c r="Y16" s="50"/>
      <c r="Z16" s="62"/>
      <c r="AA16" s="25"/>
      <c r="AB16" s="25"/>
    </row>
    <row r="17" spans="2:28">
      <c r="B17" s="40">
        <v>0.37222222222222223</v>
      </c>
      <c r="C17" s="40"/>
      <c r="D17" s="41">
        <v>8</v>
      </c>
      <c r="E17" s="42">
        <v>3</v>
      </c>
      <c r="F17" s="42" t="s">
        <v>184</v>
      </c>
      <c r="G17" s="43" t="s">
        <v>184</v>
      </c>
      <c r="H17" s="42" t="s">
        <v>200</v>
      </c>
      <c r="I17" s="43"/>
      <c r="J17" s="43">
        <v>2</v>
      </c>
      <c r="K17" s="25" t="str">
        <f>VLOOKUP(J17,Key!$E$2:$F$9,2,FALSE)</f>
        <v>Work</v>
      </c>
      <c r="L17" s="42" t="s">
        <v>173</v>
      </c>
      <c r="M17" s="43" t="s">
        <v>167</v>
      </c>
      <c r="N17" s="42" t="s">
        <v>212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168</v>
      </c>
      <c r="U17" s="43">
        <v>4</v>
      </c>
      <c r="V17" s="43"/>
      <c r="W17" s="49"/>
      <c r="X17" s="49"/>
      <c r="Y17" s="50"/>
      <c r="Z17" s="62"/>
      <c r="AA17" s="25"/>
      <c r="AB17" s="25"/>
    </row>
    <row r="18" spans="2:28">
      <c r="B18" s="40">
        <v>0.38125000000000003</v>
      </c>
      <c r="C18" s="40"/>
      <c r="D18" s="41">
        <v>9</v>
      </c>
      <c r="E18" s="42">
        <v>1</v>
      </c>
      <c r="F18" s="42" t="s">
        <v>183</v>
      </c>
      <c r="G18" s="43" t="s">
        <v>183</v>
      </c>
      <c r="H18" s="42" t="s">
        <v>179</v>
      </c>
      <c r="I18" s="43"/>
      <c r="J18" s="43">
        <v>1</v>
      </c>
      <c r="K18" s="25" t="str">
        <f>VLOOKUP(J18,Key!$E$2:$F$9,2,FALSE)</f>
        <v>Home</v>
      </c>
      <c r="L18" s="42" t="s">
        <v>170</v>
      </c>
      <c r="M18" s="43" t="s">
        <v>171</v>
      </c>
      <c r="N18" s="42" t="s">
        <v>179</v>
      </c>
      <c r="O18" s="43"/>
      <c r="P18" s="43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49"/>
      <c r="T18" s="49">
        <v>7</v>
      </c>
      <c r="U18" s="43">
        <v>4</v>
      </c>
      <c r="V18" s="43"/>
      <c r="W18" s="49"/>
      <c r="X18" s="49"/>
      <c r="Y18" s="50"/>
      <c r="Z18" s="62"/>
      <c r="AA18" s="25"/>
      <c r="AB18" s="25"/>
    </row>
    <row r="19" spans="2:28">
      <c r="B19" s="40">
        <v>0.3833333333333333</v>
      </c>
      <c r="C19" s="40"/>
      <c r="D19" s="41">
        <v>9</v>
      </c>
      <c r="E19" s="42">
        <v>1</v>
      </c>
      <c r="F19" s="42" t="s">
        <v>186</v>
      </c>
      <c r="G19" s="43" t="s">
        <v>186</v>
      </c>
      <c r="H19" s="42" t="s">
        <v>179</v>
      </c>
      <c r="I19" s="43"/>
      <c r="J19" s="43">
        <v>2</v>
      </c>
      <c r="K19" s="25" t="str">
        <f>VLOOKUP(J19,Key!$E$2:$F$9,2,FALSE)</f>
        <v>Work</v>
      </c>
      <c r="L19" s="42" t="s">
        <v>173</v>
      </c>
      <c r="M19" s="43" t="s">
        <v>167</v>
      </c>
      <c r="N19" s="42" t="s">
        <v>212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36</v>
      </c>
      <c r="U19" s="43">
        <v>4</v>
      </c>
      <c r="V19" s="43">
        <v>4</v>
      </c>
      <c r="W19" s="49"/>
      <c r="X19" s="49"/>
      <c r="Y19" s="50"/>
      <c r="Z19" s="62"/>
      <c r="AA19" s="25"/>
      <c r="AB19" s="25"/>
    </row>
    <row r="20" spans="2:28">
      <c r="B20" s="40">
        <v>0.38541666666666669</v>
      </c>
      <c r="C20" s="40"/>
      <c r="D20" s="41">
        <v>1</v>
      </c>
      <c r="E20" s="42">
        <v>1</v>
      </c>
      <c r="F20" s="42" t="s">
        <v>172</v>
      </c>
      <c r="G20" s="43" t="s">
        <v>172</v>
      </c>
      <c r="H20" s="42" t="s">
        <v>179</v>
      </c>
      <c r="I20" s="43"/>
      <c r="J20" s="43">
        <v>2</v>
      </c>
      <c r="K20" s="25" t="str">
        <f>VLOOKUP(J20,Key!$E$2:$F$9,2,FALSE)</f>
        <v>Work</v>
      </c>
      <c r="L20" s="42" t="s">
        <v>170</v>
      </c>
      <c r="M20" s="43" t="s">
        <v>171</v>
      </c>
      <c r="N20" s="42" t="s">
        <v>179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1.5</v>
      </c>
      <c r="U20" s="43">
        <v>1</v>
      </c>
      <c r="V20" s="43"/>
      <c r="W20" s="49"/>
      <c r="X20" s="49"/>
      <c r="Y20" s="50"/>
      <c r="Z20" s="62"/>
      <c r="AA20" s="25"/>
      <c r="AB20" s="25"/>
    </row>
    <row r="21" spans="2:28">
      <c r="B21" s="40">
        <v>0.3888888888888889</v>
      </c>
      <c r="C21" s="40"/>
      <c r="D21" s="41">
        <v>8</v>
      </c>
      <c r="E21" s="42">
        <v>1</v>
      </c>
      <c r="F21" s="42" t="s">
        <v>183</v>
      </c>
      <c r="G21" s="43" t="s">
        <v>183</v>
      </c>
      <c r="H21" s="42" t="s">
        <v>179</v>
      </c>
      <c r="I21" s="43"/>
      <c r="J21" s="43">
        <v>2</v>
      </c>
      <c r="K21" s="25" t="str">
        <f>VLOOKUP(J21,Key!$E$2:$F$9,2,FALSE)</f>
        <v>Work</v>
      </c>
      <c r="L21" s="42" t="s">
        <v>173</v>
      </c>
      <c r="M21" s="43" t="s">
        <v>167</v>
      </c>
      <c r="N21" s="42" t="s">
        <v>212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24</v>
      </c>
      <c r="U21" s="43">
        <v>4</v>
      </c>
      <c r="V21" s="43">
        <v>5</v>
      </c>
      <c r="W21" s="49"/>
      <c r="X21" s="49"/>
      <c r="Y21" s="50"/>
      <c r="Z21" s="62"/>
      <c r="AA21" s="25"/>
      <c r="AB21" s="25"/>
    </row>
    <row r="22" spans="2:28">
      <c r="B22" s="40">
        <v>0.40277777777777773</v>
      </c>
      <c r="C22" s="40"/>
      <c r="D22" s="41">
        <v>2</v>
      </c>
      <c r="E22" s="42">
        <v>1</v>
      </c>
      <c r="F22" s="42" t="s">
        <v>172</v>
      </c>
      <c r="G22" s="43" t="s">
        <v>172</v>
      </c>
      <c r="H22" s="42" t="s">
        <v>179</v>
      </c>
      <c r="I22" s="43"/>
      <c r="J22" s="43">
        <v>8</v>
      </c>
      <c r="K22" s="25" t="str">
        <f>VLOOKUP(J22,Key!$E$2:$F$9,2,FALSE)</f>
        <v>Others</v>
      </c>
      <c r="L22" s="42" t="s">
        <v>170</v>
      </c>
      <c r="M22" s="43" t="s">
        <v>171</v>
      </c>
      <c r="N22" s="42" t="s">
        <v>179</v>
      </c>
      <c r="O22" s="43"/>
      <c r="P22" s="43">
        <v>8</v>
      </c>
      <c r="Q22" s="25" t="str">
        <f>VLOOKUP(P22,Key!$E$2:$F$9,2,FALSE)</f>
        <v>Others</v>
      </c>
      <c r="R22" s="25" t="str">
        <f t="shared" si="0"/>
        <v>Others-Others</v>
      </c>
      <c r="S22" s="49"/>
      <c r="T22" s="49">
        <v>1.5</v>
      </c>
      <c r="U22" s="43">
        <v>4</v>
      </c>
      <c r="V22" s="43"/>
      <c r="W22" s="49"/>
      <c r="X22" s="49"/>
      <c r="Y22" s="50"/>
      <c r="Z22" s="62"/>
      <c r="AA22" s="25"/>
      <c r="AB22" s="25"/>
    </row>
    <row r="23" spans="2:28">
      <c r="B23" s="40">
        <v>0.40625</v>
      </c>
      <c r="C23" s="40"/>
      <c r="D23" s="41">
        <v>9</v>
      </c>
      <c r="E23" s="42">
        <v>2</v>
      </c>
      <c r="F23" s="42" t="s">
        <v>183</v>
      </c>
      <c r="G23" s="43" t="s">
        <v>183</v>
      </c>
      <c r="H23" s="42" t="s">
        <v>179</v>
      </c>
      <c r="I23" s="43"/>
      <c r="J23" s="43">
        <v>2</v>
      </c>
      <c r="K23" s="25" t="str">
        <f>VLOOKUP(J23,Key!$E$2:$F$9,2,FALSE)</f>
        <v>Work</v>
      </c>
      <c r="L23" s="42" t="s">
        <v>173</v>
      </c>
      <c r="M23" s="43" t="s">
        <v>167</v>
      </c>
      <c r="N23" s="42" t="s">
        <v>212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168</v>
      </c>
      <c r="U23" s="43">
        <v>6</v>
      </c>
      <c r="V23" s="43">
        <v>9</v>
      </c>
      <c r="W23" s="49"/>
      <c r="X23" s="49"/>
      <c r="Y23" s="50"/>
      <c r="Z23" s="62"/>
      <c r="AA23" s="25"/>
      <c r="AB23" s="25"/>
    </row>
    <row r="24" spans="2:28">
      <c r="B24" s="40">
        <v>0.40763888888888888</v>
      </c>
      <c r="C24" s="40"/>
      <c r="D24" s="41">
        <v>8</v>
      </c>
      <c r="E24" s="42">
        <v>1</v>
      </c>
      <c r="F24" s="42" t="s">
        <v>185</v>
      </c>
      <c r="G24" s="43" t="s">
        <v>183</v>
      </c>
      <c r="H24" s="42" t="s">
        <v>179</v>
      </c>
      <c r="I24" s="43"/>
      <c r="J24" s="43">
        <v>2</v>
      </c>
      <c r="K24" s="25" t="str">
        <f>VLOOKUP(J24,Key!$E$2:$F$9,2,FALSE)</f>
        <v>Work</v>
      </c>
      <c r="L24" s="42" t="s">
        <v>170</v>
      </c>
      <c r="M24" s="43" t="s">
        <v>171</v>
      </c>
      <c r="N24" s="42" t="s">
        <v>179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12</v>
      </c>
      <c r="U24" s="43">
        <v>4</v>
      </c>
      <c r="V24" s="43">
        <v>9</v>
      </c>
      <c r="W24" s="49"/>
      <c r="X24" s="49"/>
      <c r="Y24" s="50"/>
      <c r="Z24" s="62"/>
      <c r="AA24" s="25"/>
      <c r="AB24" s="25"/>
    </row>
    <row r="25" spans="2:28">
      <c r="B25" s="40">
        <v>0.41319444444444442</v>
      </c>
      <c r="C25" s="40"/>
      <c r="D25" s="41">
        <v>1</v>
      </c>
      <c r="E25" s="42">
        <v>4</v>
      </c>
      <c r="F25" s="42" t="s">
        <v>172</v>
      </c>
      <c r="G25" s="43" t="s">
        <v>172</v>
      </c>
      <c r="H25" s="42" t="s">
        <v>179</v>
      </c>
      <c r="I25" s="43"/>
      <c r="J25" s="43">
        <v>2</v>
      </c>
      <c r="K25" s="25" t="str">
        <f>VLOOKUP(J25,Key!$E$2:$F$9,2,FALSE)</f>
        <v>Work</v>
      </c>
      <c r="L25" s="42" t="s">
        <v>170</v>
      </c>
      <c r="M25" s="43" t="s">
        <v>171</v>
      </c>
      <c r="N25" s="42" t="s">
        <v>179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2</v>
      </c>
      <c r="U25" s="43">
        <v>2</v>
      </c>
      <c r="V25" s="43"/>
      <c r="W25" s="49"/>
      <c r="X25" s="49"/>
      <c r="Y25" s="50"/>
      <c r="Z25" s="62"/>
      <c r="AA25" s="25"/>
      <c r="AB25" s="25"/>
    </row>
    <row r="26" spans="2:28">
      <c r="B26" s="40">
        <v>0.4201388888888889</v>
      </c>
      <c r="C26" s="40"/>
      <c r="D26" s="41">
        <v>9</v>
      </c>
      <c r="E26" s="42">
        <v>1</v>
      </c>
      <c r="F26" s="42" t="s">
        <v>185</v>
      </c>
      <c r="G26" s="43" t="s">
        <v>183</v>
      </c>
      <c r="H26" s="42" t="s">
        <v>179</v>
      </c>
      <c r="I26" s="43"/>
      <c r="J26" s="43">
        <v>2</v>
      </c>
      <c r="K26" s="25" t="str">
        <f>VLOOKUP(J26,Key!$E$2:$F$9,2,FALSE)</f>
        <v>Work</v>
      </c>
      <c r="L26" s="42" t="s">
        <v>173</v>
      </c>
      <c r="M26" s="43" t="s">
        <v>167</v>
      </c>
      <c r="N26" s="42" t="s">
        <v>212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48</v>
      </c>
      <c r="U26" s="43">
        <v>4</v>
      </c>
      <c r="V26" s="43">
        <v>5</v>
      </c>
      <c r="W26" s="49"/>
      <c r="X26" s="49"/>
      <c r="Y26" s="50"/>
      <c r="Z26" s="62"/>
      <c r="AA26" s="25"/>
      <c r="AB26" s="25"/>
    </row>
    <row r="27" spans="2:28">
      <c r="B27" s="40">
        <v>0.42499999999999999</v>
      </c>
      <c r="C27" s="40"/>
      <c r="D27" s="41">
        <v>8</v>
      </c>
      <c r="E27" s="42">
        <v>1</v>
      </c>
      <c r="F27" s="42" t="s">
        <v>189</v>
      </c>
      <c r="G27" s="43" t="s">
        <v>190</v>
      </c>
      <c r="H27" s="42" t="s">
        <v>200</v>
      </c>
      <c r="I27" s="43"/>
      <c r="J27" s="43">
        <v>2</v>
      </c>
      <c r="K27" s="25" t="str">
        <f>VLOOKUP(J27,Key!$E$2:$F$9,2,FALSE)</f>
        <v>Work</v>
      </c>
      <c r="L27" s="42" t="s">
        <v>173</v>
      </c>
      <c r="M27" s="43" t="s">
        <v>167</v>
      </c>
      <c r="N27" s="42" t="s">
        <v>212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96</v>
      </c>
      <c r="U27" s="43">
        <v>4</v>
      </c>
      <c r="V27" s="43">
        <v>6</v>
      </c>
      <c r="W27" s="49"/>
      <c r="X27" s="49"/>
      <c r="Y27" s="50"/>
      <c r="Z27" s="62"/>
      <c r="AA27" s="25"/>
      <c r="AB27" s="25"/>
    </row>
    <row r="28" spans="2:28">
      <c r="B28" s="40">
        <v>0.4284722222222222</v>
      </c>
      <c r="C28" s="40"/>
      <c r="D28" s="41">
        <v>2</v>
      </c>
      <c r="E28" s="42">
        <v>4</v>
      </c>
      <c r="F28" s="42" t="s">
        <v>172</v>
      </c>
      <c r="G28" s="43" t="s">
        <v>172</v>
      </c>
      <c r="H28" s="42" t="s">
        <v>179</v>
      </c>
      <c r="I28" s="43"/>
      <c r="J28" s="43">
        <v>2</v>
      </c>
      <c r="K28" s="25" t="str">
        <f>VLOOKUP(J28,Key!$E$2:$F$9,2,FALSE)</f>
        <v>Work</v>
      </c>
      <c r="L28" s="42" t="s">
        <v>170</v>
      </c>
      <c r="M28" s="43" t="s">
        <v>171</v>
      </c>
      <c r="N28" s="42" t="s">
        <v>179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2</v>
      </c>
      <c r="U28" s="43">
        <v>2</v>
      </c>
      <c r="V28" s="43"/>
      <c r="W28" s="49"/>
      <c r="X28" s="49"/>
      <c r="Y28" s="50"/>
      <c r="Z28" s="62"/>
      <c r="AA28" s="25"/>
      <c r="AB28" s="25"/>
    </row>
    <row r="29" spans="2:28">
      <c r="B29" s="40">
        <v>0.45833333333333331</v>
      </c>
      <c r="C29" s="40"/>
      <c r="D29" s="41">
        <v>1</v>
      </c>
      <c r="E29" s="42">
        <v>1</v>
      </c>
      <c r="F29" s="42" t="s">
        <v>172</v>
      </c>
      <c r="G29" s="43" t="s">
        <v>172</v>
      </c>
      <c r="H29" s="42" t="s">
        <v>179</v>
      </c>
      <c r="I29" s="43"/>
      <c r="J29" s="43">
        <v>1</v>
      </c>
      <c r="K29" s="25" t="str">
        <f>VLOOKUP(J29,Key!$E$2:$F$9,2,FALSE)</f>
        <v>Home</v>
      </c>
      <c r="L29" s="42" t="s">
        <v>170</v>
      </c>
      <c r="M29" s="43" t="s">
        <v>171</v>
      </c>
      <c r="N29" s="42" t="s">
        <v>179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49"/>
      <c r="T29" s="49">
        <v>2</v>
      </c>
      <c r="U29" s="43">
        <v>6</v>
      </c>
      <c r="V29" s="43"/>
      <c r="W29" s="49"/>
      <c r="X29" s="49"/>
      <c r="Y29" s="50"/>
      <c r="Z29" s="62"/>
      <c r="AA29" s="25"/>
      <c r="AB29" s="25"/>
    </row>
    <row r="30" spans="2:28">
      <c r="B30" s="40">
        <v>0.46180555555555558</v>
      </c>
      <c r="C30" s="40"/>
      <c r="D30" s="41">
        <v>1</v>
      </c>
      <c r="E30" s="42">
        <v>2</v>
      </c>
      <c r="F30" s="42" t="s">
        <v>172</v>
      </c>
      <c r="G30" s="43" t="s">
        <v>172</v>
      </c>
      <c r="H30" s="42" t="s">
        <v>179</v>
      </c>
      <c r="I30" s="43"/>
      <c r="J30" s="43">
        <v>1</v>
      </c>
      <c r="K30" s="25" t="str">
        <f>VLOOKUP(J30,Key!$E$2:$F$9,2,FALSE)</f>
        <v>Home</v>
      </c>
      <c r="L30" s="42" t="s">
        <v>170</v>
      </c>
      <c r="M30" s="43" t="s">
        <v>171</v>
      </c>
      <c r="N30" s="42" t="s">
        <v>179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Home-Home</v>
      </c>
      <c r="S30" s="49"/>
      <c r="T30" s="49">
        <v>1.5</v>
      </c>
      <c r="U30" s="43">
        <v>1</v>
      </c>
      <c r="V30" s="43"/>
      <c r="W30" s="49"/>
      <c r="X30" s="49"/>
      <c r="Y30" s="50"/>
      <c r="Z30" s="62"/>
      <c r="AA30" s="25"/>
      <c r="AB30" s="25"/>
    </row>
    <row r="31" spans="2:28">
      <c r="B31" s="40">
        <v>0.4694444444444445</v>
      </c>
      <c r="C31" s="40"/>
      <c r="D31" s="41">
        <v>2</v>
      </c>
      <c r="E31" s="42">
        <v>3</v>
      </c>
      <c r="F31" s="42" t="s">
        <v>172</v>
      </c>
      <c r="G31" s="43" t="s">
        <v>172</v>
      </c>
      <c r="H31" s="42" t="s">
        <v>179</v>
      </c>
      <c r="I31" s="43"/>
      <c r="J31" s="43">
        <v>2</v>
      </c>
      <c r="K31" s="25" t="str">
        <f>VLOOKUP(J31,Key!$E$2:$F$9,2,FALSE)</f>
        <v>Work</v>
      </c>
      <c r="L31" s="42" t="s">
        <v>170</v>
      </c>
      <c r="M31" s="43" t="s">
        <v>171</v>
      </c>
      <c r="N31" s="42" t="s">
        <v>179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1.5</v>
      </c>
      <c r="U31" s="43">
        <v>2</v>
      </c>
      <c r="V31" s="43"/>
      <c r="W31" s="49"/>
      <c r="X31" s="49"/>
      <c r="Y31" s="50"/>
      <c r="Z31" s="62"/>
      <c r="AA31" s="25"/>
      <c r="AB31" s="25"/>
    </row>
    <row r="32" spans="2:28">
      <c r="B32" s="40">
        <v>0.4861111111111111</v>
      </c>
      <c r="C32" s="40"/>
      <c r="D32" s="41">
        <v>2</v>
      </c>
      <c r="E32" s="42">
        <v>1</v>
      </c>
      <c r="F32" s="42" t="s">
        <v>172</v>
      </c>
      <c r="G32" s="43" t="s">
        <v>172</v>
      </c>
      <c r="H32" s="42" t="s">
        <v>179</v>
      </c>
      <c r="I32" s="43"/>
      <c r="J32" s="43">
        <v>2</v>
      </c>
      <c r="K32" s="25" t="str">
        <f>VLOOKUP(J32,Key!$E$2:$F$9,2,FALSE)</f>
        <v>Work</v>
      </c>
      <c r="L32" s="42" t="s">
        <v>170</v>
      </c>
      <c r="M32" s="43" t="s">
        <v>171</v>
      </c>
      <c r="N32" s="42" t="s">
        <v>179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2</v>
      </c>
      <c r="U32" s="43">
        <v>2</v>
      </c>
      <c r="V32" s="43">
        <v>9</v>
      </c>
      <c r="W32" s="49"/>
      <c r="X32" s="49"/>
      <c r="Y32" s="50"/>
      <c r="Z32" s="62"/>
      <c r="AA32" s="25"/>
      <c r="AB32" s="25"/>
    </row>
    <row r="33" spans="2:28">
      <c r="B33" s="40">
        <v>0.5</v>
      </c>
      <c r="C33" s="40"/>
      <c r="D33" s="41">
        <v>9</v>
      </c>
      <c r="E33" s="42">
        <v>1</v>
      </c>
      <c r="F33" s="42" t="s">
        <v>184</v>
      </c>
      <c r="G33" s="43" t="s">
        <v>184</v>
      </c>
      <c r="H33" s="42" t="s">
        <v>200</v>
      </c>
      <c r="I33" s="43"/>
      <c r="J33" s="43">
        <v>7</v>
      </c>
      <c r="K33" s="25" t="str">
        <f>VLOOKUP(J33,Key!$E$2:$F$9,2,FALSE)</f>
        <v>Hospital</v>
      </c>
      <c r="L33" s="42" t="s">
        <v>173</v>
      </c>
      <c r="M33" s="43" t="s">
        <v>167</v>
      </c>
      <c r="N33" s="42" t="s">
        <v>212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Hospital-Commercial</v>
      </c>
      <c r="S33" s="49"/>
      <c r="T33" s="49">
        <v>96</v>
      </c>
      <c r="U33" s="43">
        <v>4</v>
      </c>
      <c r="V33" s="43">
        <v>7</v>
      </c>
      <c r="W33" s="49"/>
      <c r="X33" s="49"/>
      <c r="Y33" s="50"/>
      <c r="Z33" s="62"/>
      <c r="AA33" s="25"/>
      <c r="AB33" s="25"/>
    </row>
    <row r="34" spans="2:28">
      <c r="B34" s="40">
        <v>0.51041666666666663</v>
      </c>
      <c r="C34" s="40"/>
      <c r="D34" s="41">
        <v>8</v>
      </c>
      <c r="E34" s="42">
        <v>2</v>
      </c>
      <c r="F34" s="42" t="s">
        <v>201</v>
      </c>
      <c r="G34" s="43" t="s">
        <v>201</v>
      </c>
      <c r="H34" s="42" t="s">
        <v>179</v>
      </c>
      <c r="I34" s="43"/>
      <c r="J34" s="43">
        <v>4</v>
      </c>
      <c r="K34" s="25" t="str">
        <f>VLOOKUP(J34,Key!$E$2:$F$9,2,FALSE)</f>
        <v>Commercial</v>
      </c>
      <c r="L34" s="42" t="s">
        <v>173</v>
      </c>
      <c r="M34" s="43" t="s">
        <v>167</v>
      </c>
      <c r="N34" s="42" t="s">
        <v>212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9"/>
      <c r="T34" s="49">
        <v>24</v>
      </c>
      <c r="U34" s="43">
        <v>4</v>
      </c>
      <c r="V34" s="43">
        <v>7</v>
      </c>
      <c r="W34" s="49"/>
      <c r="X34" s="49"/>
      <c r="Y34" s="50"/>
      <c r="Z34" s="62"/>
      <c r="AA34" s="25"/>
      <c r="AB34" s="25"/>
    </row>
    <row r="35" spans="2:28">
      <c r="B35" s="40">
        <v>0.51458333333333328</v>
      </c>
      <c r="C35" s="40"/>
      <c r="D35" s="41">
        <v>9</v>
      </c>
      <c r="E35" s="42">
        <v>1</v>
      </c>
      <c r="F35" s="42" t="s">
        <v>201</v>
      </c>
      <c r="G35" s="43" t="s">
        <v>201</v>
      </c>
      <c r="H35" s="42" t="s">
        <v>179</v>
      </c>
      <c r="I35" s="43"/>
      <c r="J35" s="43">
        <v>4</v>
      </c>
      <c r="K35" s="25" t="str">
        <f>VLOOKUP(J35,Key!$E$2:$F$9,2,FALSE)</f>
        <v>Commercial</v>
      </c>
      <c r="L35" s="42" t="s">
        <v>173</v>
      </c>
      <c r="M35" s="43" t="s">
        <v>167</v>
      </c>
      <c r="N35" s="42" t="s">
        <v>212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9"/>
      <c r="T35" s="49">
        <v>48</v>
      </c>
      <c r="U35" s="43">
        <v>6</v>
      </c>
      <c r="V35" s="43">
        <v>7</v>
      </c>
      <c r="W35" s="49"/>
      <c r="X35" s="49"/>
      <c r="Y35" s="50"/>
      <c r="Z35" s="62"/>
      <c r="AA35" s="25"/>
      <c r="AB35" s="25"/>
    </row>
    <row r="36" spans="2:28">
      <c r="B36" s="40">
        <v>0.52083333333333337</v>
      </c>
      <c r="C36" s="40"/>
      <c r="D36" s="41">
        <v>8</v>
      </c>
      <c r="E36" s="42">
        <v>2</v>
      </c>
      <c r="F36" s="42" t="s">
        <v>183</v>
      </c>
      <c r="G36" s="43" t="s">
        <v>183</v>
      </c>
      <c r="H36" s="42" t="s">
        <v>179</v>
      </c>
      <c r="I36" s="43"/>
      <c r="J36" s="43">
        <v>4</v>
      </c>
      <c r="K36" s="25" t="str">
        <f>VLOOKUP(J36,Key!$E$2:$F$9,2,FALSE)</f>
        <v>Commercial</v>
      </c>
      <c r="L36" s="42" t="s">
        <v>173</v>
      </c>
      <c r="M36" s="43" t="s">
        <v>167</v>
      </c>
      <c r="N36" s="42" t="s">
        <v>212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49"/>
      <c r="T36" s="49">
        <v>72</v>
      </c>
      <c r="U36" s="43">
        <v>5</v>
      </c>
      <c r="V36" s="43">
        <v>9</v>
      </c>
      <c r="W36" s="49"/>
      <c r="X36" s="49"/>
      <c r="Y36" s="50"/>
      <c r="Z36" s="62"/>
      <c r="AA36" s="25"/>
      <c r="AB36" s="25"/>
    </row>
    <row r="37" spans="2:28">
      <c r="B37" s="40">
        <v>0.52777777777777779</v>
      </c>
      <c r="C37" s="40"/>
      <c r="D37" s="41">
        <v>9</v>
      </c>
      <c r="E37" s="42">
        <v>2</v>
      </c>
      <c r="F37" s="42" t="s">
        <v>202</v>
      </c>
      <c r="G37" s="43" t="s">
        <v>183</v>
      </c>
      <c r="H37" s="42" t="s">
        <v>179</v>
      </c>
      <c r="I37" s="43"/>
      <c r="J37" s="43">
        <v>4</v>
      </c>
      <c r="K37" s="25" t="str">
        <f>VLOOKUP(J37,Key!$E$2:$F$9,2,FALSE)</f>
        <v>Commercial</v>
      </c>
      <c r="L37" s="42" t="s">
        <v>170</v>
      </c>
      <c r="M37" s="43" t="s">
        <v>171</v>
      </c>
      <c r="N37" s="42" t="s">
        <v>179</v>
      </c>
      <c r="O37" s="43"/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49"/>
      <c r="T37" s="49">
        <v>24</v>
      </c>
      <c r="U37" s="43">
        <v>4</v>
      </c>
      <c r="V37" s="43">
        <v>7</v>
      </c>
      <c r="W37" s="49"/>
      <c r="X37" s="49"/>
      <c r="Y37" s="50"/>
      <c r="Z37" s="62"/>
      <c r="AA37" s="25"/>
      <c r="AB37" s="25"/>
    </row>
    <row r="38" spans="2:28">
      <c r="B38" s="40">
        <v>0.53125</v>
      </c>
      <c r="C38" s="40"/>
      <c r="D38" s="44">
        <v>2</v>
      </c>
      <c r="E38" s="42">
        <v>1</v>
      </c>
      <c r="F38" s="42" t="s">
        <v>203</v>
      </c>
      <c r="G38" s="42" t="s">
        <v>183</v>
      </c>
      <c r="H38" s="42" t="s">
        <v>179</v>
      </c>
      <c r="I38" s="60"/>
      <c r="J38" s="60">
        <v>2</v>
      </c>
      <c r="K38" s="25" t="str">
        <f>VLOOKUP(J38,Key!$E$2:$F$9,2,FALSE)</f>
        <v>Work</v>
      </c>
      <c r="L38" s="42" t="s">
        <v>173</v>
      </c>
      <c r="M38" s="66" t="s">
        <v>167</v>
      </c>
      <c r="N38" s="42" t="s">
        <v>180</v>
      </c>
      <c r="O38" s="46"/>
      <c r="P38" s="46">
        <v>2</v>
      </c>
      <c r="Q38" s="25" t="str">
        <f>VLOOKUP(P38,Key!$E$2:$F$9,2,FALSE)</f>
        <v>Work</v>
      </c>
      <c r="R38" s="25" t="str">
        <f t="shared" ref="R38:R58" si="1">K38&amp;"-"&amp;Q38</f>
        <v>Work-Work</v>
      </c>
      <c r="S38" s="61"/>
      <c r="T38" s="61">
        <v>24</v>
      </c>
      <c r="U38" s="46">
        <v>4</v>
      </c>
      <c r="V38" s="46"/>
      <c r="W38" s="61"/>
      <c r="X38" s="61"/>
      <c r="Y38" s="48"/>
      <c r="Z38" s="63"/>
      <c r="AA38" s="25"/>
      <c r="AB38" s="25"/>
    </row>
    <row r="39" spans="2:28">
      <c r="B39" s="40">
        <v>0.54652777777777783</v>
      </c>
      <c r="C39" s="40"/>
      <c r="D39" s="45">
        <v>1</v>
      </c>
      <c r="E39" s="42">
        <v>4</v>
      </c>
      <c r="F39" s="42" t="s">
        <v>172</v>
      </c>
      <c r="G39" s="42" t="s">
        <v>172</v>
      </c>
      <c r="H39" s="42" t="s">
        <v>179</v>
      </c>
      <c r="I39" s="60"/>
      <c r="J39" s="60">
        <v>2</v>
      </c>
      <c r="K39" s="25" t="str">
        <f>VLOOKUP(J39,Key!$E$2:$F$9,2,FALSE)</f>
        <v>Work</v>
      </c>
      <c r="L39" s="42" t="s">
        <v>170</v>
      </c>
      <c r="M39" s="66" t="s">
        <v>171</v>
      </c>
      <c r="N39" s="42" t="s">
        <v>179</v>
      </c>
      <c r="O39" s="46"/>
      <c r="P39" s="46">
        <v>2</v>
      </c>
      <c r="Q39" s="25" t="str">
        <f>VLOOKUP(P39,Key!$E$2:$F$9,2,FALSE)</f>
        <v>Work</v>
      </c>
      <c r="R39" s="25" t="str">
        <f t="shared" si="1"/>
        <v>Work-Work</v>
      </c>
      <c r="S39" s="61"/>
      <c r="T39" s="61">
        <v>2</v>
      </c>
      <c r="U39" s="46">
        <v>1</v>
      </c>
      <c r="V39" s="46"/>
      <c r="W39" s="61"/>
      <c r="X39" s="61"/>
      <c r="Y39" s="48"/>
      <c r="Z39" s="63"/>
      <c r="AA39" s="25"/>
      <c r="AB39" s="25"/>
    </row>
    <row r="40" spans="2:28">
      <c r="B40" s="40">
        <v>0.55208333333333337</v>
      </c>
      <c r="C40" s="40"/>
      <c r="D40" s="45">
        <v>1</v>
      </c>
      <c r="E40" s="42">
        <v>5</v>
      </c>
      <c r="F40" s="42" t="s">
        <v>172</v>
      </c>
      <c r="G40" s="42" t="s">
        <v>172</v>
      </c>
      <c r="H40" s="42" t="s">
        <v>179</v>
      </c>
      <c r="I40" s="60"/>
      <c r="J40" s="60">
        <v>2</v>
      </c>
      <c r="K40" s="25" t="str">
        <f>VLOOKUP(J40,Key!$E$2:$F$9,2,FALSE)</f>
        <v>Work</v>
      </c>
      <c r="L40" s="42" t="s">
        <v>170</v>
      </c>
      <c r="M40" s="66" t="s">
        <v>171</v>
      </c>
      <c r="N40" s="42" t="s">
        <v>179</v>
      </c>
      <c r="O40" s="46"/>
      <c r="P40" s="46">
        <v>2</v>
      </c>
      <c r="Q40" s="25" t="str">
        <f>VLOOKUP(P40,Key!$E$2:$F$9,2,FALSE)</f>
        <v>Work</v>
      </c>
      <c r="R40" s="25" t="str">
        <f t="shared" si="1"/>
        <v>Work-Work</v>
      </c>
      <c r="S40" s="61"/>
      <c r="T40" s="61">
        <v>2</v>
      </c>
      <c r="U40" s="46">
        <v>1</v>
      </c>
      <c r="V40" s="46">
        <v>10</v>
      </c>
      <c r="W40" s="61"/>
      <c r="X40" s="61"/>
      <c r="Y40" s="48"/>
      <c r="Z40" s="63"/>
      <c r="AA40" s="25"/>
      <c r="AB40" s="25"/>
    </row>
    <row r="41" spans="2:28">
      <c r="B41" s="40">
        <v>0.55625000000000002</v>
      </c>
      <c r="C41" s="40"/>
      <c r="D41" s="44">
        <v>2</v>
      </c>
      <c r="E41" s="45">
        <v>5</v>
      </c>
      <c r="F41" s="42" t="s">
        <v>172</v>
      </c>
      <c r="G41" s="42" t="s">
        <v>172</v>
      </c>
      <c r="H41" s="42" t="s">
        <v>179</v>
      </c>
      <c r="I41" s="60"/>
      <c r="J41" s="60">
        <v>2</v>
      </c>
      <c r="K41" s="25" t="str">
        <f>VLOOKUP(J41,Key!$E$2:$F$9,2,FALSE)</f>
        <v>Work</v>
      </c>
      <c r="L41" s="42" t="s">
        <v>170</v>
      </c>
      <c r="M41" s="66" t="s">
        <v>171</v>
      </c>
      <c r="N41" s="42" t="s">
        <v>179</v>
      </c>
      <c r="O41" s="46"/>
      <c r="P41" s="46">
        <v>2</v>
      </c>
      <c r="Q41" s="25" t="str">
        <f>VLOOKUP(P41,Key!$E$2:$F$9,2,FALSE)</f>
        <v>Work</v>
      </c>
      <c r="R41" s="25" t="str">
        <f t="shared" si="1"/>
        <v>Work-Work</v>
      </c>
      <c r="S41" s="61"/>
      <c r="T41" s="61">
        <v>2</v>
      </c>
      <c r="U41" s="46">
        <v>1</v>
      </c>
      <c r="V41" s="46"/>
      <c r="W41" s="61"/>
      <c r="X41" s="61"/>
      <c r="Y41" s="48"/>
      <c r="Z41" s="63"/>
      <c r="AA41" s="25"/>
      <c r="AB41" s="25"/>
    </row>
    <row r="42" spans="2:28">
      <c r="B42" s="40">
        <v>0.5625</v>
      </c>
      <c r="C42" s="40"/>
      <c r="D42" s="44">
        <v>2</v>
      </c>
      <c r="E42" s="45">
        <v>2</v>
      </c>
      <c r="F42" s="42" t="s">
        <v>172</v>
      </c>
      <c r="G42" s="42" t="s">
        <v>172</v>
      </c>
      <c r="H42" s="42" t="s">
        <v>179</v>
      </c>
      <c r="I42" s="60"/>
      <c r="J42" s="60">
        <v>2</v>
      </c>
      <c r="K42" s="25" t="str">
        <f>VLOOKUP(J42,Key!$E$2:$F$9,2,FALSE)</f>
        <v>Work</v>
      </c>
      <c r="L42" s="42" t="s">
        <v>170</v>
      </c>
      <c r="M42" s="66" t="s">
        <v>171</v>
      </c>
      <c r="N42" s="42" t="s">
        <v>179</v>
      </c>
      <c r="O42" s="46"/>
      <c r="P42" s="46">
        <v>2</v>
      </c>
      <c r="Q42" s="25" t="str">
        <f>VLOOKUP(P42,Key!$E$2:$F$9,2,FALSE)</f>
        <v>Work</v>
      </c>
      <c r="R42" s="25" t="str">
        <f t="shared" si="1"/>
        <v>Work-Work</v>
      </c>
      <c r="S42" s="61"/>
      <c r="T42" s="61">
        <v>2</v>
      </c>
      <c r="U42" s="46">
        <v>1</v>
      </c>
      <c r="V42" s="46"/>
      <c r="W42" s="61"/>
      <c r="X42" s="61"/>
      <c r="Y42" s="48"/>
      <c r="Z42" s="63"/>
      <c r="AA42" s="25"/>
      <c r="AB42" s="25"/>
    </row>
    <row r="43" spans="2:28">
      <c r="B43" s="40">
        <v>0.56597222222222221</v>
      </c>
      <c r="C43" s="40"/>
      <c r="D43" s="45">
        <v>1</v>
      </c>
      <c r="E43" s="45">
        <v>1</v>
      </c>
      <c r="F43" s="42" t="s">
        <v>172</v>
      </c>
      <c r="G43" s="42" t="s">
        <v>172</v>
      </c>
      <c r="H43" s="42" t="s">
        <v>179</v>
      </c>
      <c r="I43" s="60"/>
      <c r="J43" s="60">
        <v>2</v>
      </c>
      <c r="K43" s="25" t="str">
        <f>VLOOKUP(J43,Key!$E$2:$F$9,2,FALSE)</f>
        <v>Work</v>
      </c>
      <c r="L43" s="42" t="s">
        <v>170</v>
      </c>
      <c r="M43" s="66" t="s">
        <v>171</v>
      </c>
      <c r="N43" s="42" t="s">
        <v>179</v>
      </c>
      <c r="O43" s="46"/>
      <c r="P43" s="46">
        <v>2</v>
      </c>
      <c r="Q43" s="25" t="str">
        <f>VLOOKUP(P43,Key!$E$2:$F$9,2,FALSE)</f>
        <v>Work</v>
      </c>
      <c r="R43" s="25" t="str">
        <f t="shared" si="1"/>
        <v>Work-Work</v>
      </c>
      <c r="S43" s="61"/>
      <c r="T43" s="61">
        <v>1</v>
      </c>
      <c r="U43" s="46">
        <v>4</v>
      </c>
      <c r="V43" s="46"/>
      <c r="W43" s="61"/>
      <c r="X43" s="61"/>
      <c r="Y43" s="48"/>
      <c r="Z43" s="63"/>
      <c r="AA43" s="25"/>
      <c r="AB43" s="25"/>
    </row>
    <row r="44" spans="2:28">
      <c r="B44" s="40">
        <v>0.57291666666666663</v>
      </c>
      <c r="C44" s="40"/>
      <c r="D44" s="44">
        <v>2</v>
      </c>
      <c r="E44" s="45">
        <v>1</v>
      </c>
      <c r="F44" s="42" t="s">
        <v>172</v>
      </c>
      <c r="G44" s="42" t="s">
        <v>172</v>
      </c>
      <c r="H44" s="42" t="s">
        <v>179</v>
      </c>
      <c r="I44" s="60"/>
      <c r="J44" s="60">
        <v>2</v>
      </c>
      <c r="K44" s="25" t="str">
        <f>VLOOKUP(J44,Key!$E$2:$F$9,2,FALSE)</f>
        <v>Work</v>
      </c>
      <c r="L44" s="42" t="s">
        <v>208</v>
      </c>
      <c r="M44" s="66" t="s">
        <v>171</v>
      </c>
      <c r="N44" s="42" t="s">
        <v>179</v>
      </c>
      <c r="O44" s="46"/>
      <c r="P44" s="46">
        <v>2</v>
      </c>
      <c r="Q44" s="25" t="str">
        <f>VLOOKUP(P44,Key!$E$2:$F$9,2,FALSE)</f>
        <v>Work</v>
      </c>
      <c r="R44" s="25" t="str">
        <f t="shared" si="1"/>
        <v>Work-Work</v>
      </c>
      <c r="S44" s="61"/>
      <c r="T44" s="61">
        <v>1</v>
      </c>
      <c r="U44" s="46">
        <v>3</v>
      </c>
      <c r="V44" s="46"/>
      <c r="W44" s="61"/>
      <c r="X44" s="61"/>
      <c r="Y44" s="48"/>
      <c r="Z44" s="63"/>
      <c r="AA44" s="25"/>
      <c r="AB44" s="25"/>
    </row>
    <row r="45" spans="2:28">
      <c r="B45" s="40">
        <v>0.60416666666666663</v>
      </c>
      <c r="C45" s="40"/>
      <c r="D45" s="45">
        <v>9</v>
      </c>
      <c r="E45" s="42">
        <v>1</v>
      </c>
      <c r="F45" s="42" t="s">
        <v>204</v>
      </c>
      <c r="G45" s="42" t="s">
        <v>183</v>
      </c>
      <c r="H45" s="42" t="s">
        <v>179</v>
      </c>
      <c r="I45" s="60"/>
      <c r="J45" s="60">
        <v>4</v>
      </c>
      <c r="K45" s="25" t="str">
        <f>VLOOKUP(J45,Key!$E$2:$F$9,2,FALSE)</f>
        <v>Commercial</v>
      </c>
      <c r="L45" s="41" t="s">
        <v>173</v>
      </c>
      <c r="M45" s="66" t="s">
        <v>167</v>
      </c>
      <c r="N45" s="42" t="s">
        <v>180</v>
      </c>
      <c r="O45" s="46"/>
      <c r="P45" s="46">
        <v>4</v>
      </c>
      <c r="Q45" s="25" t="str">
        <f>VLOOKUP(P45,Key!$E$2:$F$9,2,FALSE)</f>
        <v>Commercial</v>
      </c>
      <c r="R45" s="25" t="str">
        <f t="shared" si="1"/>
        <v>Commercial-Commercial</v>
      </c>
      <c r="S45" s="61"/>
      <c r="T45" s="61">
        <v>48</v>
      </c>
      <c r="U45" s="46">
        <v>6</v>
      </c>
      <c r="V45" s="46">
        <v>3</v>
      </c>
      <c r="W45" s="61"/>
      <c r="X45" s="61"/>
      <c r="Y45" s="47"/>
      <c r="Z45" s="63"/>
      <c r="AA45" s="25"/>
      <c r="AB45" s="25"/>
    </row>
    <row r="46" spans="2:28">
      <c r="B46" s="40">
        <v>0.61111111111111105</v>
      </c>
      <c r="C46" s="40"/>
      <c r="D46" s="44">
        <v>9</v>
      </c>
      <c r="E46" s="45">
        <v>2</v>
      </c>
      <c r="F46" s="42" t="s">
        <v>189</v>
      </c>
      <c r="G46" s="42" t="s">
        <v>190</v>
      </c>
      <c r="H46" s="42" t="s">
        <v>200</v>
      </c>
      <c r="I46" s="60"/>
      <c r="J46" s="60">
        <v>4</v>
      </c>
      <c r="K46" s="25" t="str">
        <f>VLOOKUP(J46,Key!$E$2:$F$9,2,FALSE)</f>
        <v>Commercial</v>
      </c>
      <c r="L46" s="42" t="s">
        <v>173</v>
      </c>
      <c r="M46" s="66" t="s">
        <v>167</v>
      </c>
      <c r="N46" s="42" t="s">
        <v>180</v>
      </c>
      <c r="O46" s="46"/>
      <c r="P46" s="46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61"/>
      <c r="T46" s="61">
        <v>240</v>
      </c>
      <c r="U46" s="46">
        <v>4</v>
      </c>
      <c r="V46" s="46">
        <v>6</v>
      </c>
      <c r="W46" s="61"/>
      <c r="X46" s="61"/>
      <c r="Y46" s="47"/>
      <c r="Z46" s="63"/>
      <c r="AA46" s="25"/>
      <c r="AB46" s="25"/>
    </row>
    <row r="47" spans="2:28">
      <c r="B47" s="40">
        <v>0.62152777777777779</v>
      </c>
      <c r="C47" s="40"/>
      <c r="D47" s="45">
        <v>2</v>
      </c>
      <c r="E47" s="45">
        <v>2</v>
      </c>
      <c r="F47" s="42" t="s">
        <v>205</v>
      </c>
      <c r="G47" s="42" t="s">
        <v>183</v>
      </c>
      <c r="H47" s="42" t="s">
        <v>179</v>
      </c>
      <c r="I47" s="60"/>
      <c r="J47" s="60">
        <v>4</v>
      </c>
      <c r="K47" s="25" t="str">
        <f>VLOOKUP(J47,Key!$E$2:$F$9,2,FALSE)</f>
        <v>Commercial</v>
      </c>
      <c r="L47" s="42" t="s">
        <v>173</v>
      </c>
      <c r="M47" s="66" t="s">
        <v>167</v>
      </c>
      <c r="N47" s="42" t="s">
        <v>180</v>
      </c>
      <c r="O47" s="46"/>
      <c r="P47" s="46">
        <v>4</v>
      </c>
      <c r="Q47" s="25" t="str">
        <f>VLOOKUP(P47,Key!$E$2:$F$9,2,FALSE)</f>
        <v>Commercial</v>
      </c>
      <c r="R47" s="25" t="str">
        <f t="shared" si="1"/>
        <v>Commercial-Commercial</v>
      </c>
      <c r="S47" s="61"/>
      <c r="T47" s="61">
        <v>9</v>
      </c>
      <c r="U47" s="46">
        <v>4</v>
      </c>
      <c r="V47" s="46"/>
      <c r="W47" s="61"/>
      <c r="X47" s="61"/>
      <c r="Y47" s="47"/>
      <c r="Z47" s="63"/>
      <c r="AA47" s="25"/>
      <c r="AB47" s="25"/>
    </row>
    <row r="48" spans="2:28">
      <c r="B48" s="40">
        <v>0.63194444444444442</v>
      </c>
      <c r="C48" s="40"/>
      <c r="D48" s="44">
        <v>1</v>
      </c>
      <c r="E48" s="42">
        <v>4</v>
      </c>
      <c r="F48" s="42" t="s">
        <v>206</v>
      </c>
      <c r="G48" s="42" t="s">
        <v>171</v>
      </c>
      <c r="H48" s="42" t="s">
        <v>179</v>
      </c>
      <c r="I48" s="60"/>
      <c r="J48" s="60">
        <v>4</v>
      </c>
      <c r="K48" s="25" t="str">
        <f>VLOOKUP(J48,Key!$E$2:$F$9,2,FALSE)</f>
        <v>Commercial</v>
      </c>
      <c r="L48" s="42" t="s">
        <v>170</v>
      </c>
      <c r="M48" s="66" t="s">
        <v>171</v>
      </c>
      <c r="N48" s="42" t="s">
        <v>179</v>
      </c>
      <c r="O48" s="46"/>
      <c r="P48" s="46">
        <v>4</v>
      </c>
      <c r="Q48" s="25" t="str">
        <f>VLOOKUP(P48,Key!$E$2:$F$9,2,FALSE)</f>
        <v>Commercial</v>
      </c>
      <c r="R48" s="25" t="str">
        <f t="shared" si="1"/>
        <v>Commercial-Commercial</v>
      </c>
      <c r="S48" s="61"/>
      <c r="T48" s="61">
        <v>0.7</v>
      </c>
      <c r="U48" s="46">
        <v>3</v>
      </c>
      <c r="V48" s="46"/>
      <c r="W48" s="61"/>
      <c r="X48" s="61"/>
      <c r="Y48" s="47"/>
      <c r="Z48" s="63"/>
      <c r="AA48" s="25"/>
      <c r="AB48" s="25"/>
    </row>
    <row r="49" spans="2:28">
      <c r="B49" s="40">
        <v>0.63541666666666663</v>
      </c>
      <c r="C49" s="40"/>
      <c r="D49" s="45">
        <v>2</v>
      </c>
      <c r="E49" s="45">
        <v>4</v>
      </c>
      <c r="F49" s="42" t="s">
        <v>207</v>
      </c>
      <c r="G49" s="42" t="s">
        <v>171</v>
      </c>
      <c r="H49" s="42" t="s">
        <v>179</v>
      </c>
      <c r="I49" s="60"/>
      <c r="J49" s="60">
        <v>4</v>
      </c>
      <c r="K49" s="25" t="str">
        <f>VLOOKUP(J49,Key!$E$2:$F$9,2,FALSE)</f>
        <v>Commercial</v>
      </c>
      <c r="L49" s="42" t="s">
        <v>170</v>
      </c>
      <c r="M49" s="66" t="s">
        <v>171</v>
      </c>
      <c r="N49" s="42" t="s">
        <v>179</v>
      </c>
      <c r="O49" s="46"/>
      <c r="P49" s="46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61"/>
      <c r="T49" s="61">
        <v>1.5</v>
      </c>
      <c r="U49" s="46">
        <v>1</v>
      </c>
      <c r="V49" s="46">
        <v>9</v>
      </c>
      <c r="W49" s="61"/>
      <c r="X49" s="61"/>
      <c r="Y49" s="47"/>
      <c r="Z49" s="63"/>
      <c r="AA49" s="25"/>
      <c r="AB49" s="25"/>
    </row>
    <row r="50" spans="2:28">
      <c r="B50" s="40">
        <v>0.64930555555555558</v>
      </c>
      <c r="C50" s="40"/>
      <c r="D50" s="44">
        <v>1</v>
      </c>
      <c r="E50" s="45">
        <v>4</v>
      </c>
      <c r="F50" s="42" t="s">
        <v>172</v>
      </c>
      <c r="G50" s="42" t="s">
        <v>172</v>
      </c>
      <c r="H50" s="42" t="s">
        <v>179</v>
      </c>
      <c r="I50" s="60"/>
      <c r="J50" s="60">
        <v>4</v>
      </c>
      <c r="K50" s="25" t="str">
        <f>VLOOKUP(J50,Key!$E$2:$F$9,2,FALSE)</f>
        <v>Commercial</v>
      </c>
      <c r="L50" s="42" t="s">
        <v>170</v>
      </c>
      <c r="M50" s="66" t="s">
        <v>171</v>
      </c>
      <c r="N50" s="42" t="s">
        <v>179</v>
      </c>
      <c r="O50" s="46"/>
      <c r="P50" s="46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61"/>
      <c r="T50" s="61">
        <v>1.5</v>
      </c>
      <c r="U50" s="46">
        <v>1</v>
      </c>
      <c r="V50" s="46"/>
      <c r="W50" s="61"/>
      <c r="X50" s="61"/>
      <c r="Y50" s="47"/>
      <c r="Z50" s="63"/>
      <c r="AA50" s="25"/>
      <c r="AB50" s="25"/>
    </row>
    <row r="51" spans="2:28">
      <c r="B51" s="40">
        <v>0.67708333333333337</v>
      </c>
      <c r="C51" s="40"/>
      <c r="D51" s="45">
        <v>2</v>
      </c>
      <c r="E51" s="45">
        <v>4</v>
      </c>
      <c r="F51" s="42" t="s">
        <v>172</v>
      </c>
      <c r="G51" s="42" t="s">
        <v>172</v>
      </c>
      <c r="H51" s="42" t="s">
        <v>179</v>
      </c>
      <c r="I51" s="60"/>
      <c r="J51" s="60">
        <v>4</v>
      </c>
      <c r="K51" s="25" t="str">
        <f>VLOOKUP(J51,Key!$E$2:$F$9,2,FALSE)</f>
        <v>Commercial</v>
      </c>
      <c r="L51" s="42" t="s">
        <v>170</v>
      </c>
      <c r="M51" s="66" t="s">
        <v>171</v>
      </c>
      <c r="N51" s="42" t="s">
        <v>179</v>
      </c>
      <c r="O51" s="46"/>
      <c r="P51" s="46">
        <v>4</v>
      </c>
      <c r="Q51" s="25" t="str">
        <f>VLOOKUP(P51,Key!$E$2:$F$9,2,FALSE)</f>
        <v>Commercial</v>
      </c>
      <c r="R51" s="25" t="str">
        <f t="shared" si="1"/>
        <v>Commercial-Commercial</v>
      </c>
      <c r="S51" s="61"/>
      <c r="T51" s="61">
        <v>1.5</v>
      </c>
      <c r="U51" s="46">
        <v>1</v>
      </c>
      <c r="V51" s="46">
        <v>5</v>
      </c>
      <c r="W51" s="61"/>
      <c r="X51" s="61"/>
      <c r="Y51" s="47"/>
      <c r="Z51" s="63"/>
      <c r="AA51" s="25"/>
      <c r="AB51" s="25"/>
    </row>
    <row r="52" spans="2:28">
      <c r="B52" s="40">
        <v>0.68402777777777779</v>
      </c>
      <c r="C52" s="40"/>
      <c r="D52" s="45">
        <v>1</v>
      </c>
      <c r="E52" s="45">
        <v>1</v>
      </c>
      <c r="F52" s="42" t="s">
        <v>172</v>
      </c>
      <c r="G52" s="42" t="s">
        <v>172</v>
      </c>
      <c r="H52" s="42" t="s">
        <v>179</v>
      </c>
      <c r="I52" s="60"/>
      <c r="J52" s="60">
        <v>2</v>
      </c>
      <c r="K52" s="25" t="str">
        <f>VLOOKUP(J52,Key!$E$2:$F$9,2,FALSE)</f>
        <v>Work</v>
      </c>
      <c r="L52" s="42" t="s">
        <v>170</v>
      </c>
      <c r="M52" s="66" t="s">
        <v>171</v>
      </c>
      <c r="N52" s="42" t="s">
        <v>179</v>
      </c>
      <c r="O52" s="46"/>
      <c r="P52" s="46">
        <v>1</v>
      </c>
      <c r="Q52" s="25" t="str">
        <f>VLOOKUP(P52,Key!$E$2:$F$9,2,FALSE)</f>
        <v>Home</v>
      </c>
      <c r="R52" s="25" t="str">
        <f t="shared" si="1"/>
        <v>Work-Home</v>
      </c>
      <c r="S52" s="61"/>
      <c r="T52" s="61">
        <v>1.5</v>
      </c>
      <c r="U52" s="46">
        <v>4</v>
      </c>
      <c r="V52" s="46"/>
      <c r="W52" s="61"/>
      <c r="X52" s="61"/>
      <c r="Y52" s="47"/>
      <c r="Z52" s="63"/>
      <c r="AA52" s="25"/>
      <c r="AB52" s="25"/>
    </row>
    <row r="53" spans="2:28">
      <c r="B53" s="40">
        <v>0.68611111111111101</v>
      </c>
      <c r="C53" s="40"/>
      <c r="D53" s="45">
        <v>1</v>
      </c>
      <c r="E53" s="45">
        <v>4</v>
      </c>
      <c r="F53" s="42" t="s">
        <v>172</v>
      </c>
      <c r="G53" s="42" t="s">
        <v>172</v>
      </c>
      <c r="H53" s="42" t="s">
        <v>179</v>
      </c>
      <c r="I53" s="60"/>
      <c r="J53" s="60">
        <v>4</v>
      </c>
      <c r="K53" s="25" t="str">
        <f>VLOOKUP(J53,Key!$E$2:$F$9,2,FALSE)</f>
        <v>Commercial</v>
      </c>
      <c r="L53" s="42" t="s">
        <v>170</v>
      </c>
      <c r="M53" s="66" t="s">
        <v>171</v>
      </c>
      <c r="N53" s="42" t="s">
        <v>179</v>
      </c>
      <c r="O53" s="46"/>
      <c r="P53" s="46">
        <v>4</v>
      </c>
      <c r="Q53" s="25" t="str">
        <f>VLOOKUP(P53,Key!$E$2:$F$9,2,FALSE)</f>
        <v>Commercial</v>
      </c>
      <c r="R53" s="25" t="str">
        <f t="shared" si="1"/>
        <v>Commercial-Commercial</v>
      </c>
      <c r="S53" s="61"/>
      <c r="T53" s="61">
        <v>1.5</v>
      </c>
      <c r="U53" s="46">
        <v>2</v>
      </c>
      <c r="V53" s="46"/>
      <c r="W53" s="61"/>
      <c r="X53" s="61"/>
      <c r="Y53" s="47"/>
      <c r="Z53" s="63"/>
      <c r="AA53" s="25"/>
      <c r="AB53" s="25"/>
    </row>
    <row r="54" spans="2:28">
      <c r="B54" s="40">
        <v>0.69444444444444453</v>
      </c>
      <c r="C54" s="40"/>
      <c r="D54" s="44">
        <v>1</v>
      </c>
      <c r="E54" s="45">
        <v>3</v>
      </c>
      <c r="F54" s="42" t="s">
        <v>172</v>
      </c>
      <c r="G54" s="42" t="s">
        <v>172</v>
      </c>
      <c r="H54" s="42" t="s">
        <v>179</v>
      </c>
      <c r="I54" s="60"/>
      <c r="J54" s="60">
        <v>2</v>
      </c>
      <c r="K54" s="25" t="str">
        <f>VLOOKUP(J54,Key!$E$2:$F$9,2,FALSE)</f>
        <v>Work</v>
      </c>
      <c r="L54" s="42" t="s">
        <v>170</v>
      </c>
      <c r="M54" s="66" t="s">
        <v>171</v>
      </c>
      <c r="N54" s="42" t="s">
        <v>179</v>
      </c>
      <c r="O54" s="46"/>
      <c r="P54" s="46">
        <v>1</v>
      </c>
      <c r="Q54" s="25" t="str">
        <f>VLOOKUP(P54,Key!$E$2:$F$9,2,FALSE)</f>
        <v>Home</v>
      </c>
      <c r="R54" s="25" t="str">
        <f t="shared" si="1"/>
        <v>Work-Home</v>
      </c>
      <c r="S54" s="61"/>
      <c r="T54" s="61">
        <v>2</v>
      </c>
      <c r="U54" s="46">
        <v>3</v>
      </c>
      <c r="V54" s="46"/>
      <c r="W54" s="61"/>
      <c r="X54" s="61"/>
      <c r="Y54" s="47"/>
      <c r="Z54" s="63"/>
      <c r="AA54" s="25"/>
      <c r="AB54" s="25"/>
    </row>
    <row r="55" spans="2:28">
      <c r="B55" s="40">
        <v>0.73263888888888884</v>
      </c>
      <c r="C55" s="40"/>
      <c r="D55" s="45">
        <v>9</v>
      </c>
      <c r="E55" s="45">
        <v>4</v>
      </c>
      <c r="F55" s="42" t="s">
        <v>39</v>
      </c>
      <c r="G55" s="42" t="s">
        <v>39</v>
      </c>
      <c r="H55" s="42" t="s">
        <v>179</v>
      </c>
      <c r="I55" s="60"/>
      <c r="J55" s="60">
        <v>4</v>
      </c>
      <c r="K55" s="25" t="str">
        <f>VLOOKUP(J55,Key!$E$2:$F$9,2,FALSE)</f>
        <v>Commercial</v>
      </c>
      <c r="L55" s="42" t="s">
        <v>173</v>
      </c>
      <c r="M55" s="66" t="s">
        <v>167</v>
      </c>
      <c r="N55" s="42" t="s">
        <v>180</v>
      </c>
      <c r="O55" s="46"/>
      <c r="P55" s="46">
        <v>4</v>
      </c>
      <c r="Q55" s="25" t="str">
        <f>VLOOKUP(P55,Key!$E$2:$F$9,2,FALSE)</f>
        <v>Commercial</v>
      </c>
      <c r="R55" s="25" t="str">
        <f t="shared" si="1"/>
        <v>Commercial-Commercial</v>
      </c>
      <c r="S55" s="61"/>
      <c r="T55" s="61">
        <v>48</v>
      </c>
      <c r="U55" s="46">
        <v>4</v>
      </c>
      <c r="V55" s="46">
        <v>9</v>
      </c>
      <c r="W55" s="61"/>
      <c r="X55" s="61"/>
      <c r="Y55" s="47"/>
      <c r="Z55" s="63"/>
      <c r="AA55" s="25"/>
      <c r="AB55" s="25"/>
    </row>
    <row r="56" spans="2:28">
      <c r="B56" s="40">
        <v>0.74652777777777779</v>
      </c>
      <c r="C56" s="40"/>
      <c r="D56" s="45">
        <v>2</v>
      </c>
      <c r="E56" s="45">
        <v>7</v>
      </c>
      <c r="F56" s="42" t="s">
        <v>172</v>
      </c>
      <c r="G56" s="42" t="s">
        <v>172</v>
      </c>
      <c r="H56" s="42" t="s">
        <v>179</v>
      </c>
      <c r="I56" s="60"/>
      <c r="J56" s="60">
        <v>4</v>
      </c>
      <c r="K56" s="25" t="str">
        <f>VLOOKUP(J56,Key!$E$2:$F$9,2,FALSE)</f>
        <v>Commercial</v>
      </c>
      <c r="L56" s="42" t="s">
        <v>170</v>
      </c>
      <c r="M56" s="66" t="s">
        <v>171</v>
      </c>
      <c r="N56" s="42" t="s">
        <v>179</v>
      </c>
      <c r="O56" s="46"/>
      <c r="P56" s="46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61"/>
      <c r="T56" s="61">
        <v>2.5</v>
      </c>
      <c r="U56" s="46">
        <v>1</v>
      </c>
      <c r="V56" s="46"/>
      <c r="W56" s="61"/>
      <c r="X56" s="61"/>
      <c r="Y56" s="47"/>
      <c r="Z56" s="63"/>
      <c r="AA56" s="25"/>
      <c r="AB56" s="25"/>
    </row>
    <row r="57" spans="2:28">
      <c r="B57" s="40">
        <v>0.75</v>
      </c>
      <c r="C57" s="40"/>
      <c r="D57" s="45">
        <v>2</v>
      </c>
      <c r="E57" s="45">
        <v>8</v>
      </c>
      <c r="F57" s="42" t="s">
        <v>168</v>
      </c>
      <c r="G57" s="42" t="s">
        <v>171</v>
      </c>
      <c r="H57" s="42" t="s">
        <v>179</v>
      </c>
      <c r="I57" s="60"/>
      <c r="J57" s="60">
        <v>4</v>
      </c>
      <c r="K57" s="25" t="str">
        <f>VLOOKUP(J57,Key!$E$2:$F$9,2,FALSE)</f>
        <v>Commercial</v>
      </c>
      <c r="L57" s="42" t="s">
        <v>168</v>
      </c>
      <c r="M57" s="66" t="s">
        <v>171</v>
      </c>
      <c r="N57" s="42" t="s">
        <v>179</v>
      </c>
      <c r="O57" s="46"/>
      <c r="P57" s="46">
        <v>4</v>
      </c>
      <c r="Q57" s="25" t="str">
        <f>VLOOKUP(P57,Key!$E$2:$F$9,2,FALSE)</f>
        <v>Commercial</v>
      </c>
      <c r="R57" s="25" t="str">
        <f t="shared" si="1"/>
        <v>Commercial-Commercial</v>
      </c>
      <c r="S57" s="61"/>
      <c r="T57" s="61">
        <v>1</v>
      </c>
      <c r="U57" s="46">
        <v>1</v>
      </c>
      <c r="V57" s="46"/>
      <c r="W57" s="61"/>
      <c r="X57" s="61"/>
      <c r="Y57" s="47"/>
      <c r="Z57" s="63"/>
      <c r="AA57" s="25"/>
      <c r="AB57" s="25"/>
    </row>
    <row r="58" spans="2:28">
      <c r="B58" s="40">
        <v>0.75694444444444453</v>
      </c>
      <c r="C58" s="40"/>
      <c r="D58" s="45">
        <v>1</v>
      </c>
      <c r="E58" s="45">
        <v>3</v>
      </c>
      <c r="F58" s="42" t="s">
        <v>172</v>
      </c>
      <c r="G58" s="42" t="s">
        <v>172</v>
      </c>
      <c r="H58" s="42" t="s">
        <v>179</v>
      </c>
      <c r="I58" s="60"/>
      <c r="J58" s="60">
        <v>4</v>
      </c>
      <c r="K58" s="25" t="str">
        <f>VLOOKUP(J58,Key!$E$2:$F$9,2,FALSE)</f>
        <v>Commercial</v>
      </c>
      <c r="L58" s="42" t="s">
        <v>170</v>
      </c>
      <c r="M58" s="66" t="s">
        <v>171</v>
      </c>
      <c r="N58" s="42" t="s">
        <v>179</v>
      </c>
      <c r="O58" s="46"/>
      <c r="P58" s="46">
        <v>4</v>
      </c>
      <c r="Q58" s="25" t="str">
        <f>VLOOKUP(P58,Key!$E$2:$F$9,2,FALSE)</f>
        <v>Commercial</v>
      </c>
      <c r="R58" s="25" t="str">
        <f t="shared" si="1"/>
        <v>Commercial-Commercial</v>
      </c>
      <c r="S58" s="61"/>
      <c r="T58" s="61">
        <v>3</v>
      </c>
      <c r="U58" s="46">
        <v>2</v>
      </c>
      <c r="V58" s="46"/>
      <c r="W58" s="61"/>
      <c r="X58" s="61"/>
      <c r="Y58" s="47"/>
      <c r="Z58" s="63"/>
      <c r="AA58" s="25"/>
      <c r="AB58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11"/>
  <sheetViews>
    <sheetView topLeftCell="A77" zoomScale="75" zoomScaleNormal="75" zoomScaleSheetLayoutView="80" workbookViewId="0">
      <selection activeCell="B9" sqref="B9:AB11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140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163</v>
      </c>
      <c r="E4" s="1" t="s">
        <v>76</v>
      </c>
      <c r="F4" s="160" t="str">
        <f>'01.08 Nimule-Atiak'!F4:G4</f>
        <v>Atiak Nimule</v>
      </c>
      <c r="G4" s="161"/>
      <c r="I4" s="27" t="s">
        <v>77</v>
      </c>
      <c r="J4" s="5"/>
      <c r="K4" s="5"/>
      <c r="L4" s="52" t="s">
        <v>167</v>
      </c>
      <c r="M4" s="2"/>
      <c r="N4" s="1" t="s">
        <v>79</v>
      </c>
      <c r="O4" s="142" t="s">
        <v>164</v>
      </c>
      <c r="P4" s="143"/>
      <c r="Q4" s="143"/>
      <c r="R4" s="143"/>
      <c r="S4" s="143"/>
      <c r="T4" s="143"/>
      <c r="V4" s="1" t="s">
        <v>80</v>
      </c>
      <c r="W4" s="55" t="str">
        <f>'01.08 Nimule-Atiak'!W4</f>
        <v>Isaac</v>
      </c>
      <c r="Y4" s="27" t="s">
        <v>6</v>
      </c>
      <c r="Z4" s="39" t="str">
        <f>'01.08 Nimule-Atiak'!Z4</f>
        <v>Sheba N</v>
      </c>
      <c r="AA4" s="32" t="s">
        <v>7</v>
      </c>
      <c r="AB4" s="39" t="str">
        <f>'01.08 Nimule-Atiak'!AB4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78</v>
      </c>
      <c r="J5" s="2"/>
      <c r="K5" s="2"/>
      <c r="L5" s="53" t="s">
        <v>168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0" t="s">
        <v>67</v>
      </c>
      <c r="D7" s="132" t="s">
        <v>9</v>
      </c>
      <c r="E7" s="130" t="s">
        <v>35</v>
      </c>
      <c r="F7" s="147" t="s">
        <v>12</v>
      </c>
      <c r="G7" s="148"/>
      <c r="H7" s="149"/>
      <c r="I7" s="132" t="s">
        <v>70</v>
      </c>
      <c r="J7" s="130" t="s">
        <v>15</v>
      </c>
      <c r="K7" s="130" t="s">
        <v>141</v>
      </c>
      <c r="L7" s="147" t="s">
        <v>17</v>
      </c>
      <c r="M7" s="148"/>
      <c r="N7" s="149"/>
      <c r="O7" s="132" t="s">
        <v>71</v>
      </c>
      <c r="P7" s="130" t="s">
        <v>18</v>
      </c>
      <c r="Q7" s="130" t="s">
        <v>142</v>
      </c>
      <c r="R7" s="130" t="s">
        <v>143</v>
      </c>
      <c r="S7" s="130" t="s">
        <v>145</v>
      </c>
      <c r="T7" s="130" t="s">
        <v>144</v>
      </c>
      <c r="U7" s="130" t="s">
        <v>72</v>
      </c>
      <c r="V7" s="136" t="s">
        <v>75</v>
      </c>
      <c r="W7" s="137"/>
      <c r="X7" s="138"/>
      <c r="Y7" s="130" t="s">
        <v>74</v>
      </c>
      <c r="Z7" s="130" t="s">
        <v>148</v>
      </c>
      <c r="AA7" s="132" t="s">
        <v>20</v>
      </c>
      <c r="AB7" s="134" t="s">
        <v>21</v>
      </c>
      <c r="AD7" s="19"/>
    </row>
    <row r="8" spans="2:35" ht="38.25" customHeight="1">
      <c r="B8" s="145"/>
      <c r="C8" s="131"/>
      <c r="D8" s="133"/>
      <c r="E8" s="146"/>
      <c r="F8" s="23" t="s">
        <v>82</v>
      </c>
      <c r="G8" s="23" t="s">
        <v>68</v>
      </c>
      <c r="H8" s="24" t="s">
        <v>69</v>
      </c>
      <c r="I8" s="133"/>
      <c r="J8" s="131"/>
      <c r="K8" s="131"/>
      <c r="L8" s="23" t="s">
        <v>82</v>
      </c>
      <c r="M8" s="23" t="s">
        <v>68</v>
      </c>
      <c r="N8" s="23" t="s">
        <v>69</v>
      </c>
      <c r="O8" s="133"/>
      <c r="P8" s="131"/>
      <c r="Q8" s="131"/>
      <c r="R8" s="131"/>
      <c r="S8" s="131"/>
      <c r="T8" s="131"/>
      <c r="U8" s="131"/>
      <c r="V8" s="29" t="s">
        <v>73</v>
      </c>
      <c r="W8" s="30" t="s">
        <v>146</v>
      </c>
      <c r="X8" s="30" t="s">
        <v>147</v>
      </c>
      <c r="Y8" s="131"/>
      <c r="Z8" s="131"/>
      <c r="AA8" s="133"/>
      <c r="AB8" s="135"/>
    </row>
    <row r="9" spans="2:35" s="19" customFormat="1">
      <c r="B9" s="40">
        <v>0.3</v>
      </c>
      <c r="C9" s="40"/>
      <c r="D9" s="41">
        <v>2</v>
      </c>
      <c r="E9" s="42">
        <v>2</v>
      </c>
      <c r="F9" s="42" t="s">
        <v>167</v>
      </c>
      <c r="G9" s="43" t="s">
        <v>172</v>
      </c>
      <c r="H9" s="42" t="s">
        <v>179</v>
      </c>
      <c r="I9" s="43"/>
      <c r="J9" s="43">
        <v>2</v>
      </c>
      <c r="K9" s="25" t="str">
        <f>VLOOKUP(J9,Key!$E$2:$F$9,2,FALSE)</f>
        <v>Work</v>
      </c>
      <c r="L9" s="42" t="s">
        <v>172</v>
      </c>
      <c r="M9" s="43" t="s">
        <v>172</v>
      </c>
      <c r="N9" s="42" t="s">
        <v>179</v>
      </c>
      <c r="O9" s="43"/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49"/>
      <c r="T9" s="49">
        <v>3</v>
      </c>
      <c r="U9" s="43">
        <v>2</v>
      </c>
      <c r="V9" s="43"/>
      <c r="W9" s="49">
        <v>0</v>
      </c>
      <c r="X9" s="49"/>
      <c r="Y9" s="50"/>
      <c r="Z9" s="59"/>
      <c r="AA9" s="25"/>
      <c r="AB9" s="25"/>
    </row>
    <row r="10" spans="2:35">
      <c r="B10" s="40">
        <v>0.31388888888888888</v>
      </c>
      <c r="C10" s="40"/>
      <c r="D10" s="41">
        <v>1</v>
      </c>
      <c r="E10" s="42"/>
      <c r="F10" s="42" t="s">
        <v>167</v>
      </c>
      <c r="G10" s="43" t="s">
        <v>172</v>
      </c>
      <c r="H10" s="42" t="s">
        <v>179</v>
      </c>
      <c r="I10" s="43"/>
      <c r="J10" s="43">
        <v>2</v>
      </c>
      <c r="K10" s="25" t="str">
        <f>VLOOKUP(J10,Key!$E$2:$F$9,2,FALSE)</f>
        <v>Work</v>
      </c>
      <c r="L10" s="42" t="s">
        <v>172</v>
      </c>
      <c r="M10" s="43" t="s">
        <v>172</v>
      </c>
      <c r="N10" s="42" t="s">
        <v>179</v>
      </c>
      <c r="O10" s="43"/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9"/>
      <c r="T10" s="49">
        <v>1.5</v>
      </c>
      <c r="U10" s="43">
        <v>3</v>
      </c>
      <c r="V10" s="43"/>
      <c r="W10" s="49">
        <v>0</v>
      </c>
      <c r="X10" s="49"/>
      <c r="Y10" s="50"/>
      <c r="Z10" s="59"/>
      <c r="AA10" s="25"/>
      <c r="AB10" s="25"/>
    </row>
    <row r="11" spans="2:35">
      <c r="B11" s="40">
        <v>0.31597222222222221</v>
      </c>
      <c r="C11" s="40"/>
      <c r="D11" s="41">
        <v>8</v>
      </c>
      <c r="E11" s="42">
        <v>2</v>
      </c>
      <c r="F11" s="42" t="s">
        <v>173</v>
      </c>
      <c r="G11" s="43" t="s">
        <v>167</v>
      </c>
      <c r="H11" s="42" t="s">
        <v>212</v>
      </c>
      <c r="I11" s="43"/>
      <c r="J11" s="43">
        <v>2</v>
      </c>
      <c r="K11" s="25" t="str">
        <f>VLOOKUP(J11,Key!$E$2:$F$9,2,FALSE)</f>
        <v>Work</v>
      </c>
      <c r="L11" s="42" t="s">
        <v>185</v>
      </c>
      <c r="M11" s="43" t="s">
        <v>183</v>
      </c>
      <c r="N11" s="42" t="s">
        <v>179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12</v>
      </c>
      <c r="U11" s="43">
        <v>3</v>
      </c>
      <c r="V11" s="43">
        <v>1</v>
      </c>
      <c r="W11" s="49">
        <v>25</v>
      </c>
      <c r="X11" s="49"/>
      <c r="Y11" s="50"/>
      <c r="Z11" s="59"/>
      <c r="AA11" s="25"/>
      <c r="AB11" s="25"/>
    </row>
    <row r="12" spans="2:35">
      <c r="B12" s="40">
        <v>0.32777777777777778</v>
      </c>
      <c r="C12" s="40"/>
      <c r="D12" s="41">
        <v>1</v>
      </c>
      <c r="E12" s="42">
        <v>1</v>
      </c>
      <c r="F12" s="42" t="s">
        <v>175</v>
      </c>
      <c r="G12" s="43" t="s">
        <v>171</v>
      </c>
      <c r="H12" s="42" t="s">
        <v>179</v>
      </c>
      <c r="I12" s="43"/>
      <c r="J12" s="43">
        <v>1</v>
      </c>
      <c r="K12" s="25" t="str">
        <f>VLOOKUP(J12,Key!$E$2:$F$9,2,FALSE)</f>
        <v>Home</v>
      </c>
      <c r="L12" s="42" t="s">
        <v>187</v>
      </c>
      <c r="M12" s="43" t="s">
        <v>171</v>
      </c>
      <c r="N12" s="42" t="s">
        <v>179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9"/>
      <c r="T12" s="49">
        <v>0.5</v>
      </c>
      <c r="U12" s="43">
        <v>2</v>
      </c>
      <c r="V12" s="43"/>
      <c r="W12" s="49">
        <v>0</v>
      </c>
      <c r="X12" s="49"/>
      <c r="Y12" s="50"/>
      <c r="Z12" s="59"/>
      <c r="AA12" s="25"/>
      <c r="AB12" s="25"/>
    </row>
    <row r="13" spans="2:35">
      <c r="B13" s="40">
        <v>0.34236111111111112</v>
      </c>
      <c r="C13" s="40"/>
      <c r="D13" s="41">
        <v>8</v>
      </c>
      <c r="E13" s="42">
        <v>3</v>
      </c>
      <c r="F13" s="42" t="s">
        <v>177</v>
      </c>
      <c r="G13" s="43" t="s">
        <v>171</v>
      </c>
      <c r="H13" s="42" t="s">
        <v>179</v>
      </c>
      <c r="I13" s="43"/>
      <c r="J13" s="43">
        <v>2</v>
      </c>
      <c r="K13" s="25" t="str">
        <f>VLOOKUP(J13,Key!$E$2:$F$9,2,FALSE)</f>
        <v>Work</v>
      </c>
      <c r="L13" s="42" t="s">
        <v>183</v>
      </c>
      <c r="M13" s="43" t="s">
        <v>183</v>
      </c>
      <c r="N13" s="42" t="s">
        <v>179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9"/>
      <c r="T13" s="49">
        <v>12</v>
      </c>
      <c r="U13" s="43">
        <v>3</v>
      </c>
      <c r="V13" s="43">
        <v>8</v>
      </c>
      <c r="W13" s="49">
        <v>0</v>
      </c>
      <c r="X13" s="49"/>
      <c r="Y13" s="50"/>
      <c r="Z13" s="59"/>
      <c r="AA13" s="25"/>
      <c r="AB13" s="25"/>
    </row>
    <row r="14" spans="2:35">
      <c r="B14" s="40">
        <v>0.34583333333333338</v>
      </c>
      <c r="C14" s="40"/>
      <c r="D14" s="41">
        <v>2</v>
      </c>
      <c r="E14" s="42">
        <v>4</v>
      </c>
      <c r="F14" s="42" t="s">
        <v>170</v>
      </c>
      <c r="G14" s="43" t="s">
        <v>171</v>
      </c>
      <c r="H14" s="42" t="s">
        <v>179</v>
      </c>
      <c r="I14" s="43"/>
      <c r="J14" s="43">
        <v>2</v>
      </c>
      <c r="K14" s="25" t="str">
        <f>VLOOKUP(J14,Key!$E$2:$F$9,2,FALSE)</f>
        <v>Work</v>
      </c>
      <c r="L14" s="42" t="s">
        <v>172</v>
      </c>
      <c r="M14" s="43" t="s">
        <v>172</v>
      </c>
      <c r="N14" s="42" t="s">
        <v>179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2</v>
      </c>
      <c r="U14" s="43">
        <v>2</v>
      </c>
      <c r="V14" s="43"/>
      <c r="W14" s="49">
        <v>0</v>
      </c>
      <c r="X14" s="49"/>
      <c r="Y14" s="50"/>
      <c r="Z14" s="59"/>
      <c r="AA14" s="25"/>
      <c r="AB14" s="25"/>
    </row>
    <row r="15" spans="2:35">
      <c r="B15" s="40">
        <v>0.35416666666666669</v>
      </c>
      <c r="C15" s="40"/>
      <c r="D15" s="41">
        <v>2</v>
      </c>
      <c r="E15" s="42">
        <v>5</v>
      </c>
      <c r="F15" s="42" t="s">
        <v>170</v>
      </c>
      <c r="G15" s="43" t="s">
        <v>171</v>
      </c>
      <c r="H15" s="42" t="s">
        <v>179</v>
      </c>
      <c r="I15" s="43"/>
      <c r="J15" s="43">
        <v>1</v>
      </c>
      <c r="K15" s="25" t="str">
        <f>VLOOKUP(J15,Key!$E$2:$F$9,2,FALSE)</f>
        <v>Home</v>
      </c>
      <c r="L15" s="42" t="s">
        <v>183</v>
      </c>
      <c r="M15" s="43" t="s">
        <v>183</v>
      </c>
      <c r="N15" s="42" t="s">
        <v>179</v>
      </c>
      <c r="O15" s="43"/>
      <c r="P15" s="43">
        <v>7</v>
      </c>
      <c r="Q15" s="25" t="str">
        <f>VLOOKUP(P15,Key!$E$2:$F$9,2,FALSE)</f>
        <v>Hospital</v>
      </c>
      <c r="R15" s="25" t="str">
        <f t="shared" si="0"/>
        <v>Home-Hospital</v>
      </c>
      <c r="S15" s="49"/>
      <c r="T15" s="49">
        <v>2</v>
      </c>
      <c r="U15" s="43">
        <v>4</v>
      </c>
      <c r="V15" s="43"/>
      <c r="W15" s="49">
        <v>0</v>
      </c>
      <c r="X15" s="49"/>
      <c r="Y15" s="50"/>
      <c r="Z15" s="59"/>
      <c r="AA15" s="25"/>
      <c r="AB15" s="25"/>
    </row>
    <row r="16" spans="2:35">
      <c r="B16" s="40">
        <v>0.35902777777777778</v>
      </c>
      <c r="C16" s="40"/>
      <c r="D16" s="41">
        <v>9</v>
      </c>
      <c r="E16" s="42">
        <v>3</v>
      </c>
      <c r="F16" s="42" t="s">
        <v>170</v>
      </c>
      <c r="G16" s="43" t="s">
        <v>171</v>
      </c>
      <c r="H16" s="42" t="s">
        <v>179</v>
      </c>
      <c r="I16" s="43"/>
      <c r="J16" s="43">
        <v>2</v>
      </c>
      <c r="K16" s="25" t="str">
        <f>VLOOKUP(J16,Key!$E$2:$F$9,2,FALSE)</f>
        <v>Work</v>
      </c>
      <c r="L16" s="42" t="s">
        <v>183</v>
      </c>
      <c r="M16" s="43" t="s">
        <v>183</v>
      </c>
      <c r="N16" s="42" t="s">
        <v>179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168</v>
      </c>
      <c r="U16" s="43">
        <v>3</v>
      </c>
      <c r="V16" s="43">
        <v>7</v>
      </c>
      <c r="W16" s="49">
        <v>20</v>
      </c>
      <c r="X16" s="49"/>
      <c r="Y16" s="50"/>
      <c r="Z16" s="59"/>
      <c r="AA16" s="25"/>
      <c r="AB16" s="25"/>
    </row>
    <row r="17" spans="2:28">
      <c r="B17" s="40">
        <v>0.36180555555555555</v>
      </c>
      <c r="C17" s="40"/>
      <c r="D17" s="41">
        <v>8</v>
      </c>
      <c r="E17" s="42">
        <v>3</v>
      </c>
      <c r="F17" s="42" t="s">
        <v>170</v>
      </c>
      <c r="G17" s="43" t="s">
        <v>171</v>
      </c>
      <c r="H17" s="42" t="s">
        <v>179</v>
      </c>
      <c r="I17" s="43"/>
      <c r="J17" s="43">
        <v>2</v>
      </c>
      <c r="K17" s="25" t="str">
        <f>VLOOKUP(J17,Key!$E$2:$F$9,2,FALSE)</f>
        <v>Work</v>
      </c>
      <c r="L17" s="42" t="s">
        <v>183</v>
      </c>
      <c r="M17" s="43" t="s">
        <v>183</v>
      </c>
      <c r="N17" s="42" t="s">
        <v>179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120</v>
      </c>
      <c r="U17" s="43">
        <v>3</v>
      </c>
      <c r="V17" s="43">
        <v>7</v>
      </c>
      <c r="W17" s="49">
        <v>7</v>
      </c>
      <c r="X17" s="49"/>
      <c r="Y17" s="50"/>
      <c r="Z17" s="59"/>
      <c r="AA17" s="25"/>
      <c r="AB17" s="25"/>
    </row>
    <row r="18" spans="2:28">
      <c r="B18" s="40">
        <v>0.37013888888888885</v>
      </c>
      <c r="C18" s="40"/>
      <c r="D18" s="41">
        <v>9</v>
      </c>
      <c r="E18" s="42">
        <v>3</v>
      </c>
      <c r="F18" s="42" t="s">
        <v>173</v>
      </c>
      <c r="G18" s="43" t="s">
        <v>167</v>
      </c>
      <c r="H18" s="42" t="s">
        <v>212</v>
      </c>
      <c r="I18" s="43"/>
      <c r="J18" s="43">
        <v>2</v>
      </c>
      <c r="K18" s="25" t="str">
        <f>VLOOKUP(J18,Key!$E$2:$F$9,2,FALSE)</f>
        <v>Work</v>
      </c>
      <c r="L18" s="42" t="s">
        <v>40</v>
      </c>
      <c r="M18" s="43" t="s">
        <v>40</v>
      </c>
      <c r="N18" s="42" t="s">
        <v>179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49"/>
      <c r="T18" s="49">
        <v>14</v>
      </c>
      <c r="U18" s="43">
        <v>3</v>
      </c>
      <c r="V18" s="43">
        <v>9</v>
      </c>
      <c r="W18" s="49">
        <v>9</v>
      </c>
      <c r="X18" s="49"/>
      <c r="Y18" s="50"/>
      <c r="Z18" s="59"/>
      <c r="AA18" s="25"/>
      <c r="AB18" s="25"/>
    </row>
    <row r="19" spans="2:28">
      <c r="B19" s="40">
        <v>0.37847222222222227</v>
      </c>
      <c r="C19" s="40"/>
      <c r="D19" s="41">
        <v>9</v>
      </c>
      <c r="E19" s="42">
        <v>1</v>
      </c>
      <c r="F19" s="42" t="s">
        <v>170</v>
      </c>
      <c r="G19" s="43" t="s">
        <v>171</v>
      </c>
      <c r="H19" s="42" t="s">
        <v>179</v>
      </c>
      <c r="I19" s="43"/>
      <c r="J19" s="43">
        <v>2</v>
      </c>
      <c r="K19" s="25" t="str">
        <f>VLOOKUP(J19,Key!$E$2:$F$9,2,FALSE)</f>
        <v>Work</v>
      </c>
      <c r="L19" s="42" t="s">
        <v>190</v>
      </c>
      <c r="M19" s="43" t="s">
        <v>190</v>
      </c>
      <c r="N19" s="42" t="s">
        <v>200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49"/>
      <c r="T19" s="49">
        <v>20</v>
      </c>
      <c r="U19" s="43">
        <v>3</v>
      </c>
      <c r="V19" s="43">
        <v>4</v>
      </c>
      <c r="W19" s="49">
        <v>15</v>
      </c>
      <c r="X19" s="49"/>
      <c r="Y19" s="50"/>
      <c r="Z19" s="59"/>
      <c r="AA19" s="25"/>
      <c r="AB19" s="25"/>
    </row>
    <row r="20" spans="2:28">
      <c r="B20" s="40">
        <v>0.3833333333333333</v>
      </c>
      <c r="C20" s="40"/>
      <c r="D20" s="41">
        <v>5</v>
      </c>
      <c r="E20" s="42">
        <v>30</v>
      </c>
      <c r="F20" s="42" t="s">
        <v>173</v>
      </c>
      <c r="G20" s="43" t="s">
        <v>167</v>
      </c>
      <c r="H20" s="42" t="s">
        <v>212</v>
      </c>
      <c r="I20" s="43"/>
      <c r="J20" s="43">
        <v>4</v>
      </c>
      <c r="K20" s="25" t="str">
        <f>VLOOKUP(J20,Key!$E$2:$F$9,2,FALSE)</f>
        <v>Commercial</v>
      </c>
      <c r="L20" s="42" t="s">
        <v>183</v>
      </c>
      <c r="M20" s="43" t="s">
        <v>183</v>
      </c>
      <c r="N20" s="42" t="s">
        <v>179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9"/>
      <c r="T20" s="49">
        <v>48</v>
      </c>
      <c r="U20" s="43">
        <v>3</v>
      </c>
      <c r="V20" s="43"/>
      <c r="W20" s="49">
        <v>0</v>
      </c>
      <c r="X20" s="49"/>
      <c r="Y20" s="50"/>
      <c r="Z20" s="59"/>
      <c r="AA20" s="25"/>
      <c r="AB20" s="25"/>
    </row>
    <row r="21" spans="2:28">
      <c r="B21" s="40">
        <v>0.39097222222222222</v>
      </c>
      <c r="C21" s="40"/>
      <c r="D21" s="41">
        <v>9</v>
      </c>
      <c r="E21" s="42">
        <v>2</v>
      </c>
      <c r="F21" s="42" t="s">
        <v>170</v>
      </c>
      <c r="G21" s="43" t="s">
        <v>171</v>
      </c>
      <c r="H21" s="42" t="s">
        <v>179</v>
      </c>
      <c r="I21" s="43"/>
      <c r="J21" s="43">
        <v>2</v>
      </c>
      <c r="K21" s="25" t="str">
        <f>VLOOKUP(J21,Key!$E$2:$F$9,2,FALSE)</f>
        <v>Work</v>
      </c>
      <c r="L21" s="42" t="s">
        <v>183</v>
      </c>
      <c r="M21" s="43" t="s">
        <v>183</v>
      </c>
      <c r="N21" s="42" t="s">
        <v>179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12</v>
      </c>
      <c r="U21" s="43">
        <v>3</v>
      </c>
      <c r="V21" s="43">
        <v>8</v>
      </c>
      <c r="W21" s="49">
        <v>15</v>
      </c>
      <c r="X21" s="49"/>
      <c r="Y21" s="50"/>
      <c r="Z21" s="59"/>
      <c r="AA21" s="25"/>
      <c r="AB21" s="25"/>
    </row>
    <row r="22" spans="2:28">
      <c r="B22" s="40">
        <v>0.39861111111111108</v>
      </c>
      <c r="C22" s="40"/>
      <c r="D22" s="41">
        <v>2</v>
      </c>
      <c r="E22" s="42">
        <v>5</v>
      </c>
      <c r="F22" s="42" t="s">
        <v>170</v>
      </c>
      <c r="G22" s="43" t="s">
        <v>171</v>
      </c>
      <c r="H22" s="42" t="s">
        <v>179</v>
      </c>
      <c r="I22" s="43"/>
      <c r="J22" s="43">
        <v>2</v>
      </c>
      <c r="K22" s="25" t="str">
        <f>VLOOKUP(J22,Key!$E$2:$F$9,2,FALSE)</f>
        <v>Work</v>
      </c>
      <c r="L22" s="42" t="s">
        <v>172</v>
      </c>
      <c r="M22" s="43" t="s">
        <v>172</v>
      </c>
      <c r="N22" s="42" t="s">
        <v>179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2</v>
      </c>
      <c r="U22" s="43">
        <v>1</v>
      </c>
      <c r="V22" s="43"/>
      <c r="W22" s="49">
        <v>0</v>
      </c>
      <c r="X22" s="49"/>
      <c r="Y22" s="50"/>
      <c r="Z22" s="59"/>
      <c r="AA22" s="25"/>
      <c r="AB22" s="25"/>
    </row>
    <row r="23" spans="2:28">
      <c r="B23" s="40">
        <v>0.40347222222222223</v>
      </c>
      <c r="C23" s="40"/>
      <c r="D23" s="41">
        <v>2</v>
      </c>
      <c r="E23" s="42">
        <v>4</v>
      </c>
      <c r="F23" s="42" t="s">
        <v>170</v>
      </c>
      <c r="G23" s="43" t="s">
        <v>171</v>
      </c>
      <c r="H23" s="42" t="s">
        <v>179</v>
      </c>
      <c r="I23" s="43"/>
      <c r="J23" s="43">
        <v>2</v>
      </c>
      <c r="K23" s="25" t="str">
        <f>VLOOKUP(J23,Key!$E$2:$F$9,2,FALSE)</f>
        <v>Work</v>
      </c>
      <c r="L23" s="42" t="s">
        <v>172</v>
      </c>
      <c r="M23" s="43" t="s">
        <v>172</v>
      </c>
      <c r="N23" s="42" t="s">
        <v>179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2</v>
      </c>
      <c r="U23" s="43">
        <v>1</v>
      </c>
      <c r="V23" s="43"/>
      <c r="W23" s="49">
        <v>0</v>
      </c>
      <c r="X23" s="49"/>
      <c r="Y23" s="50"/>
      <c r="Z23" s="59"/>
      <c r="AA23" s="25"/>
      <c r="AB23" s="25"/>
    </row>
    <row r="24" spans="2:28">
      <c r="B24" s="40">
        <v>0.4145833333333333</v>
      </c>
      <c r="C24" s="40"/>
      <c r="D24" s="41">
        <v>1</v>
      </c>
      <c r="E24" s="42">
        <v>3</v>
      </c>
      <c r="F24" s="42" t="s">
        <v>170</v>
      </c>
      <c r="G24" s="43" t="s">
        <v>171</v>
      </c>
      <c r="H24" s="42" t="s">
        <v>179</v>
      </c>
      <c r="I24" s="43"/>
      <c r="J24" s="43">
        <v>2</v>
      </c>
      <c r="K24" s="25" t="str">
        <f>VLOOKUP(J24,Key!$E$2:$F$9,2,FALSE)</f>
        <v>Work</v>
      </c>
      <c r="L24" s="42" t="s">
        <v>183</v>
      </c>
      <c r="M24" s="43" t="s">
        <v>183</v>
      </c>
      <c r="N24" s="42" t="s">
        <v>179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3</v>
      </c>
      <c r="U24" s="43">
        <v>1</v>
      </c>
      <c r="V24" s="43"/>
      <c r="W24" s="49">
        <v>0</v>
      </c>
      <c r="X24" s="49"/>
      <c r="Y24" s="50"/>
      <c r="Z24" s="59"/>
      <c r="AA24" s="25"/>
      <c r="AB24" s="25"/>
    </row>
    <row r="25" spans="2:28">
      <c r="B25" s="40">
        <v>0.41875000000000001</v>
      </c>
      <c r="C25" s="40"/>
      <c r="D25" s="41">
        <v>1</v>
      </c>
      <c r="E25" s="42">
        <v>3</v>
      </c>
      <c r="F25" s="42" t="s">
        <v>170</v>
      </c>
      <c r="G25" s="43" t="s">
        <v>171</v>
      </c>
      <c r="H25" s="42" t="s">
        <v>179</v>
      </c>
      <c r="I25" s="43"/>
      <c r="J25" s="43">
        <v>1</v>
      </c>
      <c r="K25" s="25" t="str">
        <f>VLOOKUP(J25,Key!$E$2:$F$9,2,FALSE)</f>
        <v>Home</v>
      </c>
      <c r="L25" s="42" t="s">
        <v>172</v>
      </c>
      <c r="M25" s="43" t="s">
        <v>172</v>
      </c>
      <c r="N25" s="42" t="s">
        <v>179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9"/>
      <c r="T25" s="49">
        <v>2</v>
      </c>
      <c r="U25" s="43">
        <v>3</v>
      </c>
      <c r="V25" s="43"/>
      <c r="W25" s="49">
        <v>0</v>
      </c>
      <c r="X25" s="49"/>
      <c r="Y25" s="50"/>
      <c r="Z25" s="59"/>
      <c r="AA25" s="25"/>
      <c r="AB25" s="25"/>
    </row>
    <row r="26" spans="2:28">
      <c r="B26" s="40">
        <v>0.42222222222222222</v>
      </c>
      <c r="C26" s="40"/>
      <c r="D26" s="41">
        <v>9</v>
      </c>
      <c r="E26" s="42">
        <v>2</v>
      </c>
      <c r="F26" s="42" t="s">
        <v>173</v>
      </c>
      <c r="G26" s="43" t="s">
        <v>167</v>
      </c>
      <c r="H26" s="42" t="s">
        <v>212</v>
      </c>
      <c r="I26" s="43"/>
      <c r="J26" s="43">
        <v>2</v>
      </c>
      <c r="K26" s="25" t="str">
        <f>VLOOKUP(J26,Key!$E$2:$F$9,2,FALSE)</f>
        <v>Work</v>
      </c>
      <c r="L26" s="42" t="s">
        <v>184</v>
      </c>
      <c r="M26" s="43" t="s">
        <v>184</v>
      </c>
      <c r="N26" s="42" t="s">
        <v>200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48</v>
      </c>
      <c r="U26" s="43">
        <v>3</v>
      </c>
      <c r="V26" s="43">
        <v>2</v>
      </c>
      <c r="W26" s="49">
        <v>25</v>
      </c>
      <c r="X26" s="49"/>
      <c r="Y26" s="50"/>
      <c r="Z26" s="59"/>
      <c r="AA26" s="25"/>
      <c r="AB26" s="25"/>
    </row>
    <row r="27" spans="2:28">
      <c r="B27" s="40">
        <v>0.4236111111111111</v>
      </c>
      <c r="C27" s="40"/>
      <c r="D27" s="41">
        <v>5</v>
      </c>
      <c r="E27" s="42">
        <v>27</v>
      </c>
      <c r="F27" s="42" t="s">
        <v>170</v>
      </c>
      <c r="G27" s="43" t="s">
        <v>171</v>
      </c>
      <c r="H27" s="42" t="s">
        <v>179</v>
      </c>
      <c r="I27" s="43"/>
      <c r="J27" s="43">
        <v>2</v>
      </c>
      <c r="K27" s="25" t="str">
        <f>VLOOKUP(J27,Key!$E$2:$F$9,2,FALSE)</f>
        <v>Work</v>
      </c>
      <c r="L27" s="42" t="s">
        <v>183</v>
      </c>
      <c r="M27" s="43" t="s">
        <v>183</v>
      </c>
      <c r="N27" s="42" t="s">
        <v>179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8</v>
      </c>
      <c r="U27" s="43">
        <v>2</v>
      </c>
      <c r="V27" s="43"/>
      <c r="W27" s="49">
        <v>0</v>
      </c>
      <c r="X27" s="49"/>
      <c r="Y27" s="50"/>
      <c r="Z27" s="59"/>
      <c r="AA27" s="25"/>
      <c r="AB27" s="25"/>
    </row>
    <row r="28" spans="2:28">
      <c r="B28" s="40">
        <v>0.43055555555555558</v>
      </c>
      <c r="C28" s="40"/>
      <c r="D28" s="41">
        <v>8</v>
      </c>
      <c r="E28" s="42">
        <v>2</v>
      </c>
      <c r="F28" s="42" t="s">
        <v>170</v>
      </c>
      <c r="G28" s="43" t="s">
        <v>171</v>
      </c>
      <c r="H28" s="42" t="s">
        <v>179</v>
      </c>
      <c r="I28" s="43"/>
      <c r="J28" s="43">
        <v>2</v>
      </c>
      <c r="K28" s="25" t="str">
        <f>VLOOKUP(J28,Key!$E$2:$F$9,2,FALSE)</f>
        <v>Work</v>
      </c>
      <c r="L28" s="42" t="s">
        <v>172</v>
      </c>
      <c r="M28" s="43" t="s">
        <v>172</v>
      </c>
      <c r="N28" s="42" t="s">
        <v>179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4</v>
      </c>
      <c r="U28" s="43">
        <v>2</v>
      </c>
      <c r="V28" s="43">
        <v>9</v>
      </c>
      <c r="W28" s="49">
        <v>6</v>
      </c>
      <c r="X28" s="49"/>
      <c r="Y28" s="50"/>
      <c r="Z28" s="59"/>
      <c r="AA28" s="25"/>
      <c r="AB28" s="25"/>
    </row>
    <row r="29" spans="2:28">
      <c r="B29" s="40">
        <v>0.43541666666666662</v>
      </c>
      <c r="C29" s="40"/>
      <c r="D29" s="41">
        <v>9</v>
      </c>
      <c r="E29" s="42">
        <v>2</v>
      </c>
      <c r="F29" s="42" t="s">
        <v>173</v>
      </c>
      <c r="G29" s="43" t="s">
        <v>167</v>
      </c>
      <c r="H29" s="42" t="s">
        <v>212</v>
      </c>
      <c r="I29" s="43"/>
      <c r="J29" s="43">
        <v>2</v>
      </c>
      <c r="K29" s="25" t="str">
        <f>VLOOKUP(J29,Key!$E$2:$F$9,2,FALSE)</f>
        <v>Work</v>
      </c>
      <c r="L29" s="42" t="s">
        <v>183</v>
      </c>
      <c r="M29" s="43" t="s">
        <v>183</v>
      </c>
      <c r="N29" s="42" t="s">
        <v>179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48</v>
      </c>
      <c r="U29" s="43">
        <v>3</v>
      </c>
      <c r="V29" s="43">
        <v>8</v>
      </c>
      <c r="W29" s="49">
        <v>30</v>
      </c>
      <c r="X29" s="49"/>
      <c r="Y29" s="50"/>
      <c r="Z29" s="59"/>
      <c r="AA29" s="25"/>
      <c r="AB29" s="25"/>
    </row>
    <row r="30" spans="2:28">
      <c r="B30" s="40">
        <v>0.43958333333333338</v>
      </c>
      <c r="C30" s="40"/>
      <c r="D30" s="41">
        <v>8</v>
      </c>
      <c r="E30" s="42">
        <v>2</v>
      </c>
      <c r="F30" s="42" t="s">
        <v>173</v>
      </c>
      <c r="G30" s="43" t="s">
        <v>167</v>
      </c>
      <c r="H30" s="42" t="s">
        <v>212</v>
      </c>
      <c r="I30" s="43"/>
      <c r="J30" s="43">
        <v>2</v>
      </c>
      <c r="K30" s="25" t="str">
        <f>VLOOKUP(J30,Key!$E$2:$F$9,2,FALSE)</f>
        <v>Work</v>
      </c>
      <c r="L30" s="42" t="s">
        <v>63</v>
      </c>
      <c r="M30" s="43" t="s">
        <v>183</v>
      </c>
      <c r="N30" s="42" t="s">
        <v>179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24</v>
      </c>
      <c r="U30" s="43">
        <v>3</v>
      </c>
      <c r="V30" s="43">
        <v>6</v>
      </c>
      <c r="W30" s="49">
        <v>22</v>
      </c>
      <c r="X30" s="49"/>
      <c r="Y30" s="50"/>
      <c r="Z30" s="59"/>
      <c r="AA30" s="25"/>
      <c r="AB30" s="25"/>
    </row>
    <row r="31" spans="2:28">
      <c r="B31" s="40">
        <v>0.44305555555555554</v>
      </c>
      <c r="C31" s="40"/>
      <c r="D31" s="41">
        <v>9</v>
      </c>
      <c r="E31" s="42">
        <v>2</v>
      </c>
      <c r="F31" s="42" t="s">
        <v>173</v>
      </c>
      <c r="G31" s="43" t="s">
        <v>167</v>
      </c>
      <c r="H31" s="42" t="s">
        <v>212</v>
      </c>
      <c r="I31" s="43"/>
      <c r="J31" s="43">
        <v>2</v>
      </c>
      <c r="K31" s="25" t="str">
        <f>VLOOKUP(J31,Key!$E$2:$F$9,2,FALSE)</f>
        <v>Work</v>
      </c>
      <c r="L31" s="42" t="s">
        <v>183</v>
      </c>
      <c r="M31" s="43" t="s">
        <v>183</v>
      </c>
      <c r="N31" s="42" t="s">
        <v>179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16</v>
      </c>
      <c r="U31" s="43">
        <v>3</v>
      </c>
      <c r="V31" s="43">
        <v>8</v>
      </c>
      <c r="W31" s="49">
        <v>25</v>
      </c>
      <c r="X31" s="49"/>
      <c r="Y31" s="50"/>
      <c r="Z31" s="59"/>
      <c r="AA31" s="25"/>
      <c r="AB31" s="25"/>
    </row>
    <row r="32" spans="2:28">
      <c r="B32" s="40">
        <v>0.44722222222222219</v>
      </c>
      <c r="C32" s="40"/>
      <c r="D32" s="41">
        <v>8</v>
      </c>
      <c r="E32" s="42">
        <v>2</v>
      </c>
      <c r="F32" s="42" t="s">
        <v>173</v>
      </c>
      <c r="G32" s="43" t="s">
        <v>167</v>
      </c>
      <c r="H32" s="42" t="s">
        <v>212</v>
      </c>
      <c r="I32" s="43"/>
      <c r="J32" s="43">
        <v>2</v>
      </c>
      <c r="K32" s="25" t="str">
        <f>VLOOKUP(J32,Key!$E$2:$F$9,2,FALSE)</f>
        <v>Work</v>
      </c>
      <c r="L32" s="42" t="s">
        <v>183</v>
      </c>
      <c r="M32" s="43" t="s">
        <v>183</v>
      </c>
      <c r="N32" s="42" t="s">
        <v>179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24</v>
      </c>
      <c r="U32" s="43">
        <v>3</v>
      </c>
      <c r="V32" s="43">
        <v>7</v>
      </c>
      <c r="W32" s="49">
        <v>2</v>
      </c>
      <c r="X32" s="49"/>
      <c r="Y32" s="50"/>
      <c r="Z32" s="59"/>
      <c r="AA32" s="25"/>
      <c r="AB32" s="25"/>
    </row>
    <row r="33" spans="2:28">
      <c r="B33" s="40">
        <v>0.44930555555555557</v>
      </c>
      <c r="C33" s="40"/>
      <c r="D33" s="41">
        <v>2</v>
      </c>
      <c r="E33" s="42">
        <v>2</v>
      </c>
      <c r="F33" s="42" t="s">
        <v>170</v>
      </c>
      <c r="G33" s="43" t="s">
        <v>171</v>
      </c>
      <c r="H33" s="42" t="s">
        <v>179</v>
      </c>
      <c r="I33" s="43"/>
      <c r="J33" s="43">
        <v>2</v>
      </c>
      <c r="K33" s="25" t="str">
        <f>VLOOKUP(J33,Key!$E$2:$F$9,2,FALSE)</f>
        <v>Work</v>
      </c>
      <c r="L33" s="42" t="s">
        <v>172</v>
      </c>
      <c r="M33" s="43" t="s">
        <v>172</v>
      </c>
      <c r="N33" s="42" t="s">
        <v>179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2</v>
      </c>
      <c r="U33" s="43">
        <v>2</v>
      </c>
      <c r="V33" s="43">
        <v>5</v>
      </c>
      <c r="W33" s="49">
        <v>0</v>
      </c>
      <c r="X33" s="49"/>
      <c r="Y33" s="50"/>
      <c r="Z33" s="59"/>
      <c r="AA33" s="25"/>
      <c r="AB33" s="25"/>
    </row>
    <row r="34" spans="2:28">
      <c r="B34" s="40">
        <v>0.45277777777777778</v>
      </c>
      <c r="C34" s="40"/>
      <c r="D34" s="41">
        <v>6</v>
      </c>
      <c r="E34" s="42">
        <v>1</v>
      </c>
      <c r="F34" s="42" t="s">
        <v>170</v>
      </c>
      <c r="G34" s="43" t="s">
        <v>171</v>
      </c>
      <c r="H34" s="42" t="s">
        <v>179</v>
      </c>
      <c r="I34" s="43"/>
      <c r="J34" s="43">
        <v>2</v>
      </c>
      <c r="K34" s="25" t="str">
        <f>VLOOKUP(J34,Key!$E$2:$F$9,2,FALSE)</f>
        <v>Work</v>
      </c>
      <c r="L34" s="42" t="s">
        <v>168</v>
      </c>
      <c r="M34" s="43" t="s">
        <v>171</v>
      </c>
      <c r="N34" s="42" t="s">
        <v>179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0.5</v>
      </c>
      <c r="U34" s="43">
        <v>1</v>
      </c>
      <c r="V34" s="43"/>
      <c r="W34" s="49">
        <v>0</v>
      </c>
      <c r="X34" s="49"/>
      <c r="Y34" s="50"/>
      <c r="Z34" s="59"/>
      <c r="AA34" s="25"/>
      <c r="AB34" s="25"/>
    </row>
    <row r="35" spans="2:28">
      <c r="B35" s="40">
        <v>0.45624999999999999</v>
      </c>
      <c r="C35" s="40"/>
      <c r="D35" s="41">
        <v>8</v>
      </c>
      <c r="E35" s="42">
        <v>2</v>
      </c>
      <c r="F35" s="42" t="s">
        <v>173</v>
      </c>
      <c r="G35" s="43" t="s">
        <v>167</v>
      </c>
      <c r="H35" s="42" t="s">
        <v>212</v>
      </c>
      <c r="I35" s="43"/>
      <c r="J35" s="43">
        <v>2</v>
      </c>
      <c r="K35" s="25" t="str">
        <f>VLOOKUP(J35,Key!$E$2:$F$9,2,FALSE)</f>
        <v>Work</v>
      </c>
      <c r="L35" s="42" t="s">
        <v>183</v>
      </c>
      <c r="M35" s="43" t="s">
        <v>183</v>
      </c>
      <c r="N35" s="42" t="s">
        <v>179</v>
      </c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49"/>
      <c r="T35" s="49">
        <v>24</v>
      </c>
      <c r="U35" s="43">
        <v>3</v>
      </c>
      <c r="V35" s="43">
        <v>9</v>
      </c>
      <c r="W35" s="49">
        <v>12</v>
      </c>
      <c r="X35" s="49"/>
      <c r="Y35" s="50"/>
      <c r="Z35" s="59"/>
      <c r="AA35" s="25"/>
      <c r="AB35" s="25"/>
    </row>
    <row r="36" spans="2:28">
      <c r="B36" s="40">
        <v>0.45902777777777781</v>
      </c>
      <c r="C36" s="40"/>
      <c r="D36" s="41">
        <v>1</v>
      </c>
      <c r="E36" s="42">
        <v>7</v>
      </c>
      <c r="F36" s="42" t="s">
        <v>170</v>
      </c>
      <c r="G36" s="43" t="s">
        <v>171</v>
      </c>
      <c r="H36" s="42" t="s">
        <v>179</v>
      </c>
      <c r="I36" s="43"/>
      <c r="J36" s="43">
        <v>2</v>
      </c>
      <c r="K36" s="25" t="str">
        <f>VLOOKUP(J36,Key!$E$2:$F$9,2,FALSE)</f>
        <v>Work</v>
      </c>
      <c r="L36" s="42" t="s">
        <v>172</v>
      </c>
      <c r="M36" s="43" t="s">
        <v>172</v>
      </c>
      <c r="N36" s="42" t="s">
        <v>179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2</v>
      </c>
      <c r="U36" s="43">
        <v>1</v>
      </c>
      <c r="V36" s="43"/>
      <c r="W36" s="49">
        <v>0</v>
      </c>
      <c r="X36" s="49"/>
      <c r="Y36" s="50"/>
      <c r="Z36" s="59"/>
      <c r="AA36" s="25"/>
      <c r="AB36" s="25"/>
    </row>
    <row r="37" spans="2:28">
      <c r="B37" s="40">
        <v>0.46180555555555558</v>
      </c>
      <c r="C37" s="40"/>
      <c r="D37" s="41">
        <v>1</v>
      </c>
      <c r="E37" s="42">
        <v>7</v>
      </c>
      <c r="F37" s="42" t="s">
        <v>170</v>
      </c>
      <c r="G37" s="43" t="s">
        <v>171</v>
      </c>
      <c r="H37" s="42" t="s">
        <v>179</v>
      </c>
      <c r="I37" s="43"/>
      <c r="J37" s="43">
        <v>2</v>
      </c>
      <c r="K37" s="25" t="str">
        <f>VLOOKUP(J37,Key!$E$2:$F$9,2,FALSE)</f>
        <v>Work</v>
      </c>
      <c r="L37" s="42" t="s">
        <v>172</v>
      </c>
      <c r="M37" s="43" t="s">
        <v>172</v>
      </c>
      <c r="N37" s="42" t="s">
        <v>179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2</v>
      </c>
      <c r="U37" s="43">
        <v>1</v>
      </c>
      <c r="V37" s="43"/>
      <c r="W37" s="49">
        <v>0</v>
      </c>
      <c r="X37" s="49"/>
      <c r="Y37" s="50"/>
      <c r="Z37" s="59"/>
      <c r="AA37" s="25"/>
      <c r="AB37" s="25"/>
    </row>
    <row r="38" spans="2:28">
      <c r="B38" s="40">
        <v>0.46597222222222223</v>
      </c>
      <c r="C38" s="40"/>
      <c r="D38" s="41">
        <v>8</v>
      </c>
      <c r="E38" s="42">
        <v>3</v>
      </c>
      <c r="F38" s="42" t="s">
        <v>170</v>
      </c>
      <c r="G38" s="43" t="s">
        <v>171</v>
      </c>
      <c r="H38" s="42" t="s">
        <v>179</v>
      </c>
      <c r="I38" s="43"/>
      <c r="J38" s="43">
        <v>2</v>
      </c>
      <c r="K38" s="25" t="str">
        <f>VLOOKUP(J38,Key!$E$2:$F$9,2,FALSE)</f>
        <v>Work</v>
      </c>
      <c r="L38" s="42" t="s">
        <v>28</v>
      </c>
      <c r="M38" s="43" t="s">
        <v>183</v>
      </c>
      <c r="N38" s="42" t="s">
        <v>179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9"/>
      <c r="T38" s="49">
        <v>12</v>
      </c>
      <c r="U38" s="43">
        <v>4</v>
      </c>
      <c r="V38" s="43">
        <v>7</v>
      </c>
      <c r="W38" s="49">
        <v>50</v>
      </c>
      <c r="X38" s="49"/>
      <c r="Y38" s="50"/>
      <c r="Z38" s="59"/>
      <c r="AA38" s="25"/>
      <c r="AB38" s="25"/>
    </row>
    <row r="39" spans="2:28">
      <c r="B39" s="40">
        <v>0.48125000000000001</v>
      </c>
      <c r="C39" s="40"/>
      <c r="D39" s="41">
        <v>1</v>
      </c>
      <c r="E39" s="42">
        <v>6</v>
      </c>
      <c r="F39" s="42" t="s">
        <v>170</v>
      </c>
      <c r="G39" s="43" t="s">
        <v>171</v>
      </c>
      <c r="H39" s="42" t="s">
        <v>179</v>
      </c>
      <c r="I39" s="43"/>
      <c r="J39" s="43">
        <v>2</v>
      </c>
      <c r="K39" s="25" t="str">
        <f>VLOOKUP(J39,Key!$E$2:$F$9,2,FALSE)</f>
        <v>Work</v>
      </c>
      <c r="L39" s="42" t="s">
        <v>172</v>
      </c>
      <c r="M39" s="43" t="s">
        <v>172</v>
      </c>
      <c r="N39" s="42" t="s">
        <v>179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9"/>
      <c r="T39" s="49">
        <v>2</v>
      </c>
      <c r="U39" s="43">
        <v>1</v>
      </c>
      <c r="V39" s="43"/>
      <c r="W39" s="49">
        <v>0</v>
      </c>
      <c r="X39" s="49"/>
      <c r="Y39" s="50"/>
      <c r="Z39" s="59"/>
      <c r="AA39" s="25"/>
      <c r="AB39" s="25"/>
    </row>
    <row r="40" spans="2:28">
      <c r="B40" s="40">
        <v>0.48888888888888887</v>
      </c>
      <c r="C40" s="40"/>
      <c r="D40" s="41">
        <v>9</v>
      </c>
      <c r="E40" s="42">
        <v>2</v>
      </c>
      <c r="F40" s="42" t="s">
        <v>173</v>
      </c>
      <c r="G40" s="43" t="s">
        <v>167</v>
      </c>
      <c r="H40" s="42" t="s">
        <v>212</v>
      </c>
      <c r="I40" s="43"/>
      <c r="J40" s="43">
        <v>2</v>
      </c>
      <c r="K40" s="25" t="str">
        <f>VLOOKUP(J40,Key!$E$2:$F$9,2,FALSE)</f>
        <v>Work</v>
      </c>
      <c r="L40" s="42" t="s">
        <v>172</v>
      </c>
      <c r="M40" s="43" t="s">
        <v>172</v>
      </c>
      <c r="N40" s="42" t="s">
        <v>179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9"/>
      <c r="T40" s="49">
        <v>4</v>
      </c>
      <c r="U40" s="43">
        <v>3</v>
      </c>
      <c r="V40" s="43">
        <v>8</v>
      </c>
      <c r="W40" s="49">
        <v>10</v>
      </c>
      <c r="X40" s="49"/>
      <c r="Y40" s="50"/>
      <c r="Z40" s="59"/>
      <c r="AA40" s="25"/>
      <c r="AB40" s="25"/>
    </row>
    <row r="41" spans="2:28">
      <c r="B41" s="40">
        <v>0.49236111111111108</v>
      </c>
      <c r="C41" s="40"/>
      <c r="D41" s="41">
        <v>9</v>
      </c>
      <c r="E41" s="42">
        <v>2</v>
      </c>
      <c r="F41" s="42" t="s">
        <v>173</v>
      </c>
      <c r="G41" s="43" t="s">
        <v>167</v>
      </c>
      <c r="H41" s="42" t="s">
        <v>212</v>
      </c>
      <c r="I41" s="43"/>
      <c r="J41" s="43">
        <v>2</v>
      </c>
      <c r="K41" s="25" t="str">
        <f>VLOOKUP(J41,Key!$E$2:$F$9,2,FALSE)</f>
        <v>Work</v>
      </c>
      <c r="L41" s="42" t="s">
        <v>185</v>
      </c>
      <c r="M41" s="43" t="s">
        <v>183</v>
      </c>
      <c r="N41" s="42" t="s">
        <v>179</v>
      </c>
      <c r="O41" s="43"/>
      <c r="P41" s="43">
        <v>1</v>
      </c>
      <c r="Q41" s="25" t="str">
        <f>VLOOKUP(P41,Key!$E$2:$F$9,2,FALSE)</f>
        <v>Home</v>
      </c>
      <c r="R41" s="25" t="str">
        <f t="shared" si="1"/>
        <v>Work-Home</v>
      </c>
      <c r="S41" s="49"/>
      <c r="T41" s="49">
        <v>12</v>
      </c>
      <c r="U41" s="43">
        <v>3</v>
      </c>
      <c r="V41" s="43">
        <v>8</v>
      </c>
      <c r="W41" s="49">
        <v>27</v>
      </c>
      <c r="X41" s="49"/>
      <c r="Y41" s="50"/>
      <c r="Z41" s="59"/>
      <c r="AA41" s="25"/>
      <c r="AB41" s="25"/>
    </row>
    <row r="42" spans="2:28">
      <c r="B42" s="40">
        <v>0.49791666666666662</v>
      </c>
      <c r="C42" s="40"/>
      <c r="D42" s="41">
        <v>6</v>
      </c>
      <c r="E42" s="42">
        <v>2</v>
      </c>
      <c r="F42" s="42" t="s">
        <v>170</v>
      </c>
      <c r="G42" s="43" t="s">
        <v>171</v>
      </c>
      <c r="H42" s="42" t="s">
        <v>179</v>
      </c>
      <c r="I42" s="43"/>
      <c r="J42" s="43">
        <v>2</v>
      </c>
      <c r="K42" s="25" t="str">
        <f>VLOOKUP(J42,Key!$E$2:$F$9,2,FALSE)</f>
        <v>Work</v>
      </c>
      <c r="L42" s="42" t="s">
        <v>168</v>
      </c>
      <c r="M42" s="43" t="s">
        <v>171</v>
      </c>
      <c r="N42" s="42" t="s">
        <v>179</v>
      </c>
      <c r="O42" s="43"/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49"/>
      <c r="T42" s="49"/>
      <c r="U42" s="43">
        <v>1</v>
      </c>
      <c r="V42" s="43"/>
      <c r="W42" s="49">
        <v>0</v>
      </c>
      <c r="X42" s="49"/>
      <c r="Y42" s="50"/>
      <c r="Z42" s="59"/>
      <c r="AA42" s="25"/>
      <c r="AB42" s="25"/>
    </row>
    <row r="43" spans="2:28">
      <c r="B43" s="40">
        <v>0.5</v>
      </c>
      <c r="C43" s="40"/>
      <c r="D43" s="41">
        <v>2</v>
      </c>
      <c r="E43" s="42">
        <v>6</v>
      </c>
      <c r="F43" s="42" t="s">
        <v>170</v>
      </c>
      <c r="G43" s="43" t="s">
        <v>171</v>
      </c>
      <c r="H43" s="42" t="s">
        <v>179</v>
      </c>
      <c r="I43" s="43"/>
      <c r="J43" s="43">
        <v>2</v>
      </c>
      <c r="K43" s="25" t="str">
        <f>VLOOKUP(J43,Key!$E$2:$F$9,2,FALSE)</f>
        <v>Work</v>
      </c>
      <c r="L43" s="42" t="s">
        <v>172</v>
      </c>
      <c r="M43" s="43" t="s">
        <v>172</v>
      </c>
      <c r="N43" s="42" t="s">
        <v>179</v>
      </c>
      <c r="O43" s="43"/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49"/>
      <c r="T43" s="49">
        <v>1.5</v>
      </c>
      <c r="U43" s="43">
        <v>1</v>
      </c>
      <c r="V43" s="43"/>
      <c r="W43" s="49">
        <v>0</v>
      </c>
      <c r="X43" s="49"/>
      <c r="Y43" s="50"/>
      <c r="Z43" s="59"/>
      <c r="AA43" s="25"/>
      <c r="AB43" s="25"/>
    </row>
    <row r="44" spans="2:28">
      <c r="B44" s="40">
        <v>0.50347222222222221</v>
      </c>
      <c r="C44" s="40"/>
      <c r="D44" s="41">
        <v>8</v>
      </c>
      <c r="E44" s="42">
        <v>3</v>
      </c>
      <c r="F44" s="42" t="s">
        <v>170</v>
      </c>
      <c r="G44" s="43" t="s">
        <v>171</v>
      </c>
      <c r="H44" s="42" t="s">
        <v>179</v>
      </c>
      <c r="I44" s="43"/>
      <c r="J44" s="43">
        <v>2</v>
      </c>
      <c r="K44" s="25" t="str">
        <f>VLOOKUP(J44,Key!$E$2:$F$9,2,FALSE)</f>
        <v>Work</v>
      </c>
      <c r="L44" s="42" t="s">
        <v>168</v>
      </c>
      <c r="M44" s="43" t="s">
        <v>171</v>
      </c>
      <c r="N44" s="42" t="s">
        <v>179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9"/>
      <c r="T44" s="49">
        <v>1</v>
      </c>
      <c r="U44" s="43">
        <v>1</v>
      </c>
      <c r="V44" s="43">
        <v>5</v>
      </c>
      <c r="W44" s="49">
        <v>2</v>
      </c>
      <c r="X44" s="49"/>
      <c r="Y44" s="50"/>
      <c r="Z44" s="59"/>
      <c r="AA44" s="25"/>
      <c r="AB44" s="25"/>
    </row>
    <row r="45" spans="2:28">
      <c r="B45" s="40">
        <v>0.50902777777777775</v>
      </c>
      <c r="C45" s="40"/>
      <c r="D45" s="41">
        <v>1</v>
      </c>
      <c r="E45" s="42">
        <v>6</v>
      </c>
      <c r="F45" s="42" t="s">
        <v>170</v>
      </c>
      <c r="G45" s="43" t="s">
        <v>171</v>
      </c>
      <c r="H45" s="42" t="s">
        <v>179</v>
      </c>
      <c r="I45" s="43"/>
      <c r="J45" s="43">
        <v>2</v>
      </c>
      <c r="K45" s="25" t="str">
        <f>VLOOKUP(J45,Key!$E$2:$F$9,2,FALSE)</f>
        <v>Work</v>
      </c>
      <c r="L45" s="42" t="s">
        <v>172</v>
      </c>
      <c r="M45" s="43" t="s">
        <v>172</v>
      </c>
      <c r="N45" s="42" t="s">
        <v>179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9"/>
      <c r="T45" s="49">
        <v>1.5</v>
      </c>
      <c r="U45" s="43">
        <v>1</v>
      </c>
      <c r="V45" s="43"/>
      <c r="W45" s="49">
        <v>0</v>
      </c>
      <c r="X45" s="49"/>
      <c r="Y45" s="50"/>
      <c r="Z45" s="59"/>
      <c r="AA45" s="25"/>
      <c r="AB45" s="25"/>
    </row>
    <row r="46" spans="2:28">
      <c r="B46" s="40">
        <v>0.5229166666666667</v>
      </c>
      <c r="C46" s="40"/>
      <c r="D46" s="41">
        <v>9</v>
      </c>
      <c r="E46" s="42">
        <v>2</v>
      </c>
      <c r="F46" s="42" t="s">
        <v>173</v>
      </c>
      <c r="G46" s="43" t="s">
        <v>167</v>
      </c>
      <c r="H46" s="42" t="s">
        <v>212</v>
      </c>
      <c r="I46" s="43"/>
      <c r="J46" s="43">
        <v>2</v>
      </c>
      <c r="K46" s="25" t="str">
        <f>VLOOKUP(J46,Key!$E$2:$F$9,2,FALSE)</f>
        <v>Work</v>
      </c>
      <c r="L46" s="42" t="s">
        <v>183</v>
      </c>
      <c r="M46" s="43" t="s">
        <v>183</v>
      </c>
      <c r="N46" s="42" t="s">
        <v>179</v>
      </c>
      <c r="O46" s="43"/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49"/>
      <c r="T46" s="49">
        <v>12</v>
      </c>
      <c r="U46" s="43">
        <v>3</v>
      </c>
      <c r="V46" s="43">
        <v>9</v>
      </c>
      <c r="W46" s="49">
        <v>5</v>
      </c>
      <c r="X46" s="49"/>
      <c r="Y46" s="50"/>
      <c r="Z46" s="59"/>
      <c r="AA46" s="25"/>
      <c r="AB46" s="25"/>
    </row>
    <row r="47" spans="2:28">
      <c r="B47" s="40">
        <v>0.52569444444444446</v>
      </c>
      <c r="C47" s="40"/>
      <c r="D47" s="41">
        <v>2</v>
      </c>
      <c r="E47" s="42">
        <v>3</v>
      </c>
      <c r="F47" s="42" t="s">
        <v>170</v>
      </c>
      <c r="G47" s="43" t="s">
        <v>171</v>
      </c>
      <c r="H47" s="42" t="s">
        <v>179</v>
      </c>
      <c r="I47" s="43"/>
      <c r="J47" s="43">
        <v>2</v>
      </c>
      <c r="K47" s="25" t="str">
        <f>VLOOKUP(J47,Key!$E$2:$F$9,2,FALSE)</f>
        <v>Work</v>
      </c>
      <c r="L47" s="42" t="s">
        <v>172</v>
      </c>
      <c r="M47" s="43" t="s">
        <v>172</v>
      </c>
      <c r="N47" s="42" t="s">
        <v>179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9"/>
      <c r="T47" s="49">
        <v>2</v>
      </c>
      <c r="U47" s="43">
        <v>1</v>
      </c>
      <c r="V47" s="43">
        <v>5</v>
      </c>
      <c r="W47" s="49">
        <v>0</v>
      </c>
      <c r="X47" s="49"/>
      <c r="Y47" s="50"/>
      <c r="Z47" s="59"/>
      <c r="AA47" s="25"/>
      <c r="AB47" s="25"/>
    </row>
    <row r="48" spans="2:28">
      <c r="B48" s="40">
        <v>0.52638888888888891</v>
      </c>
      <c r="C48" s="40"/>
      <c r="D48" s="41">
        <v>1</v>
      </c>
      <c r="E48" s="42">
        <v>3</v>
      </c>
      <c r="F48" s="42" t="s">
        <v>170</v>
      </c>
      <c r="G48" s="43" t="s">
        <v>171</v>
      </c>
      <c r="H48" s="42" t="s">
        <v>179</v>
      </c>
      <c r="I48" s="43"/>
      <c r="J48" s="43">
        <v>2</v>
      </c>
      <c r="K48" s="25" t="str">
        <f>VLOOKUP(J48,Key!$E$2:$F$9,2,FALSE)</f>
        <v>Work</v>
      </c>
      <c r="L48" s="42" t="s">
        <v>172</v>
      </c>
      <c r="M48" s="43" t="s">
        <v>172</v>
      </c>
      <c r="N48" s="42" t="s">
        <v>179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9"/>
      <c r="T48" s="49">
        <v>2</v>
      </c>
      <c r="U48" s="43">
        <v>1</v>
      </c>
      <c r="V48" s="43">
        <v>5</v>
      </c>
      <c r="W48" s="49">
        <v>0</v>
      </c>
      <c r="X48" s="49"/>
      <c r="Y48" s="50"/>
      <c r="Z48" s="59"/>
      <c r="AA48" s="25"/>
      <c r="AB48" s="25"/>
    </row>
    <row r="49" spans="2:28">
      <c r="B49" s="40">
        <v>0.52916666666666667</v>
      </c>
      <c r="C49" s="40"/>
      <c r="D49" s="41">
        <v>9</v>
      </c>
      <c r="E49" s="42">
        <v>2</v>
      </c>
      <c r="F49" s="42" t="s">
        <v>173</v>
      </c>
      <c r="G49" s="43" t="s">
        <v>167</v>
      </c>
      <c r="H49" s="42" t="s">
        <v>212</v>
      </c>
      <c r="I49" s="43"/>
      <c r="J49" s="43">
        <v>2</v>
      </c>
      <c r="K49" s="25" t="str">
        <f>VLOOKUP(J49,Key!$E$2:$F$9,2,FALSE)</f>
        <v>Work</v>
      </c>
      <c r="L49" s="42" t="s">
        <v>184</v>
      </c>
      <c r="M49" s="43" t="s">
        <v>184</v>
      </c>
      <c r="N49" s="42" t="s">
        <v>200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9"/>
      <c r="T49" s="49">
        <v>24</v>
      </c>
      <c r="U49" s="43">
        <v>3</v>
      </c>
      <c r="V49" s="43">
        <v>8</v>
      </c>
      <c r="W49" s="49">
        <v>20</v>
      </c>
      <c r="X49" s="49"/>
      <c r="Y49" s="50"/>
      <c r="Z49" s="59"/>
      <c r="AA49" s="25"/>
      <c r="AB49" s="25"/>
    </row>
    <row r="50" spans="2:28">
      <c r="B50" s="40">
        <v>0.53333333333333333</v>
      </c>
      <c r="C50" s="40"/>
      <c r="D50" s="41">
        <v>1</v>
      </c>
      <c r="E50" s="42">
        <v>6</v>
      </c>
      <c r="F50" s="42" t="s">
        <v>170</v>
      </c>
      <c r="G50" s="43" t="s">
        <v>171</v>
      </c>
      <c r="H50" s="42" t="s">
        <v>179</v>
      </c>
      <c r="I50" s="43"/>
      <c r="J50" s="43">
        <v>2</v>
      </c>
      <c r="K50" s="25" t="str">
        <f>VLOOKUP(J50,Key!$E$2:$F$9,2,FALSE)</f>
        <v>Work</v>
      </c>
      <c r="L50" s="42" t="s">
        <v>172</v>
      </c>
      <c r="M50" s="43" t="s">
        <v>172</v>
      </c>
      <c r="N50" s="42" t="s">
        <v>179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9"/>
      <c r="T50" s="49">
        <v>1.5</v>
      </c>
      <c r="U50" s="43">
        <v>1</v>
      </c>
      <c r="V50" s="43"/>
      <c r="W50" s="49">
        <v>0</v>
      </c>
      <c r="X50" s="49"/>
      <c r="Y50" s="50"/>
      <c r="Z50" s="59"/>
      <c r="AA50" s="25"/>
      <c r="AB50" s="25"/>
    </row>
    <row r="51" spans="2:28">
      <c r="B51" s="40">
        <v>0.53611111111111109</v>
      </c>
      <c r="C51" s="40"/>
      <c r="D51" s="41">
        <v>1</v>
      </c>
      <c r="E51" s="42">
        <v>5</v>
      </c>
      <c r="F51" s="42" t="s">
        <v>170</v>
      </c>
      <c r="G51" s="43" t="s">
        <v>171</v>
      </c>
      <c r="H51" s="42" t="s">
        <v>179</v>
      </c>
      <c r="I51" s="43"/>
      <c r="J51" s="43">
        <v>2</v>
      </c>
      <c r="K51" s="25" t="str">
        <f>VLOOKUP(J51,Key!$E$2:$F$9,2,FALSE)</f>
        <v>Work</v>
      </c>
      <c r="L51" s="42" t="s">
        <v>172</v>
      </c>
      <c r="M51" s="43" t="s">
        <v>172</v>
      </c>
      <c r="N51" s="42" t="s">
        <v>179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9"/>
      <c r="T51" s="49">
        <v>1</v>
      </c>
      <c r="U51" s="43">
        <v>1</v>
      </c>
      <c r="V51" s="43"/>
      <c r="W51" s="49">
        <v>0</v>
      </c>
      <c r="X51" s="49"/>
      <c r="Y51" s="50"/>
      <c r="Z51" s="59"/>
      <c r="AA51" s="25"/>
      <c r="AB51" s="25"/>
    </row>
    <row r="52" spans="2:28">
      <c r="B52" s="40">
        <v>0.53819444444444442</v>
      </c>
      <c r="C52" s="40"/>
      <c r="D52" s="41">
        <v>2</v>
      </c>
      <c r="E52" s="42">
        <v>3</v>
      </c>
      <c r="F52" s="42" t="s">
        <v>170</v>
      </c>
      <c r="G52" s="43" t="s">
        <v>171</v>
      </c>
      <c r="H52" s="42" t="s">
        <v>179</v>
      </c>
      <c r="I52" s="43"/>
      <c r="J52" s="43">
        <v>2</v>
      </c>
      <c r="K52" s="25" t="str">
        <f>VLOOKUP(J52,Key!$E$2:$F$9,2,FALSE)</f>
        <v>Work</v>
      </c>
      <c r="L52" s="42" t="s">
        <v>172</v>
      </c>
      <c r="M52" s="43" t="s">
        <v>172</v>
      </c>
      <c r="N52" s="42" t="s">
        <v>179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9"/>
      <c r="T52" s="49">
        <v>3</v>
      </c>
      <c r="U52" s="43">
        <v>1</v>
      </c>
      <c r="V52" s="43"/>
      <c r="W52" s="49">
        <v>0</v>
      </c>
      <c r="X52" s="49"/>
      <c r="Y52" s="50"/>
      <c r="Z52" s="59"/>
      <c r="AA52" s="25"/>
      <c r="AB52" s="25"/>
    </row>
    <row r="53" spans="2:28">
      <c r="B53" s="40">
        <v>0.54305555555555551</v>
      </c>
      <c r="C53" s="40"/>
      <c r="D53" s="41">
        <v>7</v>
      </c>
      <c r="E53" s="42">
        <v>2</v>
      </c>
      <c r="F53" s="42" t="s">
        <v>173</v>
      </c>
      <c r="G53" s="43" t="s">
        <v>167</v>
      </c>
      <c r="H53" s="42" t="s">
        <v>212</v>
      </c>
      <c r="I53" s="43"/>
      <c r="J53" s="43">
        <v>2</v>
      </c>
      <c r="K53" s="25" t="str">
        <f>VLOOKUP(J53,Key!$E$2:$F$9,2,FALSE)</f>
        <v>Work</v>
      </c>
      <c r="L53" s="42" t="s">
        <v>183</v>
      </c>
      <c r="M53" s="43" t="s">
        <v>183</v>
      </c>
      <c r="N53" s="42" t="s">
        <v>179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9"/>
      <c r="T53" s="49">
        <v>24</v>
      </c>
      <c r="U53" s="43">
        <v>3</v>
      </c>
      <c r="V53" s="43">
        <v>4</v>
      </c>
      <c r="W53" s="49">
        <v>5</v>
      </c>
      <c r="X53" s="49"/>
      <c r="Y53" s="50"/>
      <c r="Z53" s="59"/>
      <c r="AA53" s="25"/>
      <c r="AB53" s="25"/>
    </row>
    <row r="54" spans="2:28">
      <c r="B54" s="40">
        <v>0.54513888888888895</v>
      </c>
      <c r="C54" s="40"/>
      <c r="D54" s="41">
        <v>6</v>
      </c>
      <c r="E54" s="42">
        <v>60</v>
      </c>
      <c r="F54" s="42" t="s">
        <v>170</v>
      </c>
      <c r="G54" s="43" t="s">
        <v>171</v>
      </c>
      <c r="H54" s="42" t="s">
        <v>179</v>
      </c>
      <c r="I54" s="43"/>
      <c r="J54" s="43">
        <v>2</v>
      </c>
      <c r="K54" s="25" t="str">
        <f>VLOOKUP(J54,Key!$E$2:$F$9,2,FALSE)</f>
        <v>Work</v>
      </c>
      <c r="L54" s="42" t="s">
        <v>168</v>
      </c>
      <c r="M54" s="43" t="s">
        <v>171</v>
      </c>
      <c r="N54" s="42" t="s">
        <v>179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9"/>
      <c r="T54" s="49">
        <v>0.3</v>
      </c>
      <c r="U54" s="43">
        <v>1</v>
      </c>
      <c r="V54" s="43"/>
      <c r="W54" s="49">
        <v>0</v>
      </c>
      <c r="X54" s="49"/>
      <c r="Y54" s="50"/>
      <c r="Z54" s="59"/>
      <c r="AA54" s="25"/>
      <c r="AB54" s="25"/>
    </row>
    <row r="55" spans="2:28">
      <c r="B55" s="40">
        <v>0.54861111111111105</v>
      </c>
      <c r="C55" s="40"/>
      <c r="D55" s="41">
        <v>7</v>
      </c>
      <c r="E55" s="42">
        <v>2</v>
      </c>
      <c r="F55" s="42" t="s">
        <v>173</v>
      </c>
      <c r="G55" s="43" t="s">
        <v>167</v>
      </c>
      <c r="H55" s="42" t="s">
        <v>212</v>
      </c>
      <c r="I55" s="43"/>
      <c r="J55" s="43">
        <v>2</v>
      </c>
      <c r="K55" s="25" t="str">
        <f>VLOOKUP(J55,Key!$E$2:$F$9,2,FALSE)</f>
        <v>Work</v>
      </c>
      <c r="L55" s="42" t="s">
        <v>184</v>
      </c>
      <c r="M55" s="43" t="s">
        <v>184</v>
      </c>
      <c r="N55" s="42" t="s">
        <v>200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49"/>
      <c r="T55" s="49">
        <v>32</v>
      </c>
      <c r="U55" s="43">
        <v>3</v>
      </c>
      <c r="V55" s="43">
        <v>6</v>
      </c>
      <c r="W55" s="49">
        <v>25</v>
      </c>
      <c r="X55" s="49"/>
      <c r="Y55" s="50"/>
      <c r="Z55" s="59"/>
      <c r="AA55" s="25"/>
      <c r="AB55" s="25"/>
    </row>
    <row r="56" spans="2:28">
      <c r="B56" s="40">
        <v>0.55138888888888882</v>
      </c>
      <c r="C56" s="40"/>
      <c r="D56" s="41">
        <v>9</v>
      </c>
      <c r="E56" s="42">
        <v>2</v>
      </c>
      <c r="F56" s="42" t="s">
        <v>173</v>
      </c>
      <c r="G56" s="43" t="s">
        <v>167</v>
      </c>
      <c r="H56" s="42" t="s">
        <v>212</v>
      </c>
      <c r="I56" s="43"/>
      <c r="J56" s="43">
        <v>2</v>
      </c>
      <c r="K56" s="25" t="str">
        <f>VLOOKUP(J56,Key!$E$2:$F$9,2,FALSE)</f>
        <v>Work</v>
      </c>
      <c r="L56" s="42" t="s">
        <v>201</v>
      </c>
      <c r="M56" s="43" t="s">
        <v>201</v>
      </c>
      <c r="N56" s="42" t="s">
        <v>179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9"/>
      <c r="T56" s="49">
        <v>12</v>
      </c>
      <c r="U56" s="43">
        <v>3</v>
      </c>
      <c r="V56" s="43">
        <v>7</v>
      </c>
      <c r="W56" s="49">
        <v>19</v>
      </c>
      <c r="X56" s="49"/>
      <c r="Y56" s="50"/>
      <c r="Z56" s="59"/>
      <c r="AA56" s="25"/>
      <c r="AB56" s="25"/>
    </row>
    <row r="57" spans="2:28">
      <c r="B57" s="40">
        <v>0.55486111111111114</v>
      </c>
      <c r="C57" s="40"/>
      <c r="D57" s="41">
        <v>7</v>
      </c>
      <c r="E57" s="42">
        <v>2</v>
      </c>
      <c r="F57" s="42" t="s">
        <v>173</v>
      </c>
      <c r="G57" s="43" t="s">
        <v>167</v>
      </c>
      <c r="H57" s="42" t="s">
        <v>212</v>
      </c>
      <c r="I57" s="43"/>
      <c r="J57" s="43">
        <v>2</v>
      </c>
      <c r="K57" s="25" t="str">
        <f>VLOOKUP(J57,Key!$E$2:$F$9,2,FALSE)</f>
        <v>Work</v>
      </c>
      <c r="L57" s="42" t="s">
        <v>189</v>
      </c>
      <c r="M57" s="43" t="s">
        <v>190</v>
      </c>
      <c r="N57" s="42" t="s">
        <v>200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9"/>
      <c r="T57" s="49">
        <v>24</v>
      </c>
      <c r="U57" s="43">
        <v>3</v>
      </c>
      <c r="V57" s="43">
        <v>6</v>
      </c>
      <c r="W57" s="49">
        <v>28</v>
      </c>
      <c r="X57" s="49"/>
      <c r="Y57" s="50"/>
      <c r="Z57" s="59"/>
      <c r="AA57" s="25"/>
      <c r="AB57" s="25"/>
    </row>
    <row r="58" spans="2:28">
      <c r="B58" s="40">
        <v>0.55625000000000002</v>
      </c>
      <c r="C58" s="40"/>
      <c r="D58" s="41">
        <v>1</v>
      </c>
      <c r="E58" s="42">
        <v>7</v>
      </c>
      <c r="F58" s="42" t="s">
        <v>170</v>
      </c>
      <c r="G58" s="43" t="s">
        <v>171</v>
      </c>
      <c r="H58" s="42" t="s">
        <v>179</v>
      </c>
      <c r="I58" s="43"/>
      <c r="J58" s="43">
        <v>2</v>
      </c>
      <c r="K58" s="25" t="str">
        <f>VLOOKUP(J58,Key!$E$2:$F$9,2,FALSE)</f>
        <v>Work</v>
      </c>
      <c r="L58" s="42" t="s">
        <v>172</v>
      </c>
      <c r="M58" s="43" t="s">
        <v>172</v>
      </c>
      <c r="N58" s="42" t="s">
        <v>179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9"/>
      <c r="T58" s="49">
        <v>2</v>
      </c>
      <c r="U58" s="43">
        <v>1</v>
      </c>
      <c r="V58" s="43"/>
      <c r="W58" s="49">
        <v>0</v>
      </c>
      <c r="X58" s="49"/>
      <c r="Y58" s="50"/>
      <c r="Z58" s="59"/>
      <c r="AA58" s="25"/>
      <c r="AB58" s="25"/>
    </row>
    <row r="59" spans="2:28">
      <c r="B59" s="40">
        <v>0.55763888888888891</v>
      </c>
      <c r="C59" s="40"/>
      <c r="D59" s="41">
        <v>6</v>
      </c>
      <c r="E59" s="42">
        <v>55</v>
      </c>
      <c r="F59" s="42" t="s">
        <v>170</v>
      </c>
      <c r="G59" s="43" t="s">
        <v>171</v>
      </c>
      <c r="H59" s="42" t="s">
        <v>179</v>
      </c>
      <c r="I59" s="43"/>
      <c r="J59" s="43">
        <v>2</v>
      </c>
      <c r="K59" s="25" t="str">
        <f>VLOOKUP(J59,Key!$E$2:$F$9,2,FALSE)</f>
        <v>Work</v>
      </c>
      <c r="L59" s="42" t="s">
        <v>168</v>
      </c>
      <c r="M59" s="43" t="s">
        <v>171</v>
      </c>
      <c r="N59" s="42" t="s">
        <v>179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9"/>
      <c r="T59" s="49">
        <v>0.3</v>
      </c>
      <c r="U59" s="43">
        <v>1</v>
      </c>
      <c r="V59" s="43"/>
      <c r="W59" s="49">
        <v>0</v>
      </c>
      <c r="X59" s="49"/>
      <c r="Y59" s="50"/>
      <c r="Z59" s="59"/>
      <c r="AA59" s="25"/>
      <c r="AB59" s="25"/>
    </row>
    <row r="60" spans="2:28">
      <c r="B60" s="40">
        <v>0.56041666666666667</v>
      </c>
      <c r="C60" s="40"/>
      <c r="D60" s="41">
        <v>1</v>
      </c>
      <c r="E60" s="42">
        <v>6</v>
      </c>
      <c r="F60" s="42" t="s">
        <v>170</v>
      </c>
      <c r="G60" s="43" t="s">
        <v>171</v>
      </c>
      <c r="H60" s="42" t="s">
        <v>179</v>
      </c>
      <c r="I60" s="43"/>
      <c r="J60" s="43">
        <v>2</v>
      </c>
      <c r="K60" s="25" t="str">
        <f>VLOOKUP(J60,Key!$E$2:$F$9,2,FALSE)</f>
        <v>Work</v>
      </c>
      <c r="L60" s="42" t="s">
        <v>172</v>
      </c>
      <c r="M60" s="43" t="s">
        <v>172</v>
      </c>
      <c r="N60" s="42" t="s">
        <v>179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9"/>
      <c r="T60" s="49">
        <v>1.5</v>
      </c>
      <c r="U60" s="43">
        <v>1</v>
      </c>
      <c r="V60" s="43"/>
      <c r="W60" s="49">
        <v>0</v>
      </c>
      <c r="X60" s="49"/>
      <c r="Y60" s="50"/>
      <c r="Z60" s="59"/>
      <c r="AA60" s="25"/>
      <c r="AB60" s="25"/>
    </row>
    <row r="61" spans="2:28">
      <c r="B61" s="40">
        <v>0.56736111111111109</v>
      </c>
      <c r="C61" s="40"/>
      <c r="D61" s="41">
        <v>8</v>
      </c>
      <c r="E61" s="42">
        <v>4</v>
      </c>
      <c r="F61" s="42" t="s">
        <v>173</v>
      </c>
      <c r="G61" s="43" t="s">
        <v>167</v>
      </c>
      <c r="H61" s="42" t="s">
        <v>212</v>
      </c>
      <c r="I61" s="43"/>
      <c r="J61" s="43">
        <v>2</v>
      </c>
      <c r="K61" s="25" t="str">
        <f>VLOOKUP(J61,Key!$E$2:$F$9,2,FALSE)</f>
        <v>Work</v>
      </c>
      <c r="L61" s="42" t="s">
        <v>213</v>
      </c>
      <c r="M61" s="43" t="s">
        <v>213</v>
      </c>
      <c r="N61" s="42" t="s">
        <v>179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49"/>
      <c r="T61" s="49">
        <v>12</v>
      </c>
      <c r="U61" s="43">
        <v>3</v>
      </c>
      <c r="V61" s="43">
        <v>9</v>
      </c>
      <c r="W61" s="49">
        <v>6</v>
      </c>
      <c r="X61" s="49"/>
      <c r="Y61" s="50"/>
      <c r="Z61" s="59"/>
      <c r="AA61" s="25"/>
      <c r="AB61" s="25"/>
    </row>
    <row r="62" spans="2:28">
      <c r="B62" s="40">
        <v>0.56874999999999998</v>
      </c>
      <c r="C62" s="40"/>
      <c r="D62" s="41">
        <v>1</v>
      </c>
      <c r="E62" s="42">
        <v>5</v>
      </c>
      <c r="F62" s="42" t="s">
        <v>170</v>
      </c>
      <c r="G62" s="43" t="s">
        <v>171</v>
      </c>
      <c r="H62" s="42" t="s">
        <v>179</v>
      </c>
      <c r="I62" s="43"/>
      <c r="J62" s="43">
        <v>2</v>
      </c>
      <c r="K62" s="25" t="str">
        <f>VLOOKUP(J62,Key!$E$2:$F$9,2,FALSE)</f>
        <v>Work</v>
      </c>
      <c r="L62" s="42" t="s">
        <v>172</v>
      </c>
      <c r="M62" s="43" t="s">
        <v>172</v>
      </c>
      <c r="N62" s="42" t="s">
        <v>179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9"/>
      <c r="T62" s="49">
        <v>1</v>
      </c>
      <c r="U62" s="43">
        <v>1</v>
      </c>
      <c r="V62" s="43"/>
      <c r="W62" s="49">
        <v>0</v>
      </c>
      <c r="X62" s="49"/>
      <c r="Y62" s="50"/>
      <c r="Z62" s="59"/>
      <c r="AA62" s="25"/>
      <c r="AB62" s="25"/>
    </row>
    <row r="63" spans="2:28">
      <c r="B63" s="40">
        <v>0.57152777777777775</v>
      </c>
      <c r="C63" s="40"/>
      <c r="D63" s="41">
        <v>8</v>
      </c>
      <c r="E63" s="42">
        <v>2</v>
      </c>
      <c r="F63" s="42" t="s">
        <v>173</v>
      </c>
      <c r="G63" s="43" t="s">
        <v>167</v>
      </c>
      <c r="H63" s="42" t="s">
        <v>212</v>
      </c>
      <c r="I63" s="43"/>
      <c r="J63" s="43">
        <v>2</v>
      </c>
      <c r="K63" s="25" t="str">
        <f>VLOOKUP(J63,Key!$E$2:$F$9,2,FALSE)</f>
        <v>Work</v>
      </c>
      <c r="L63" s="42" t="s">
        <v>198</v>
      </c>
      <c r="M63" s="43" t="s">
        <v>183</v>
      </c>
      <c r="N63" s="42" t="s">
        <v>179</v>
      </c>
      <c r="O63" s="43"/>
      <c r="P63" s="43">
        <v>1</v>
      </c>
      <c r="Q63" s="25" t="str">
        <f>VLOOKUP(P63,Key!$E$2:$F$9,2,FALSE)</f>
        <v>Home</v>
      </c>
      <c r="R63" s="25" t="str">
        <f t="shared" si="1"/>
        <v>Work-Home</v>
      </c>
      <c r="S63" s="49"/>
      <c r="T63" s="49">
        <v>24</v>
      </c>
      <c r="U63" s="43">
        <v>3</v>
      </c>
      <c r="V63" s="43">
        <v>6</v>
      </c>
      <c r="W63" s="49">
        <v>29</v>
      </c>
      <c r="X63" s="49"/>
      <c r="Y63" s="50"/>
      <c r="Z63" s="59"/>
      <c r="AA63" s="25"/>
      <c r="AB63" s="25"/>
    </row>
    <row r="64" spans="2:28">
      <c r="B64" s="40">
        <v>0.57500000000000007</v>
      </c>
      <c r="C64" s="40"/>
      <c r="D64" s="41">
        <v>8</v>
      </c>
      <c r="E64" s="42">
        <v>1</v>
      </c>
      <c r="F64" s="42" t="s">
        <v>173</v>
      </c>
      <c r="G64" s="43" t="s">
        <v>167</v>
      </c>
      <c r="H64" s="42" t="s">
        <v>212</v>
      </c>
      <c r="I64" s="43"/>
      <c r="J64" s="43">
        <v>2</v>
      </c>
      <c r="K64" s="25" t="str">
        <f>VLOOKUP(J64,Key!$E$2:$F$9,2,FALSE)</f>
        <v>Work</v>
      </c>
      <c r="L64" s="42" t="s">
        <v>183</v>
      </c>
      <c r="M64" s="43" t="s">
        <v>183</v>
      </c>
      <c r="N64" s="42" t="s">
        <v>179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9"/>
      <c r="T64" s="49">
        <v>15</v>
      </c>
      <c r="U64" s="43">
        <v>3</v>
      </c>
      <c r="V64" s="43">
        <v>6</v>
      </c>
      <c r="W64" s="49">
        <v>30</v>
      </c>
      <c r="X64" s="49"/>
      <c r="Y64" s="50"/>
      <c r="Z64" s="59"/>
      <c r="AA64" s="25"/>
      <c r="AB64" s="25"/>
    </row>
    <row r="65" spans="2:28">
      <c r="B65" s="40">
        <v>0.58194444444444449</v>
      </c>
      <c r="C65" s="40"/>
      <c r="D65" s="41">
        <v>9</v>
      </c>
      <c r="E65" s="42">
        <v>4</v>
      </c>
      <c r="F65" s="42" t="s">
        <v>173</v>
      </c>
      <c r="G65" s="43" t="s">
        <v>167</v>
      </c>
      <c r="H65" s="42" t="s">
        <v>212</v>
      </c>
      <c r="I65" s="43"/>
      <c r="J65" s="43">
        <v>2</v>
      </c>
      <c r="K65" s="25" t="str">
        <f>VLOOKUP(J65,Key!$E$2:$F$9,2,FALSE)</f>
        <v>Work</v>
      </c>
      <c r="L65" s="42" t="s">
        <v>40</v>
      </c>
      <c r="M65" s="43" t="s">
        <v>40</v>
      </c>
      <c r="N65" s="42" t="s">
        <v>179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49"/>
      <c r="T65" s="49">
        <v>8</v>
      </c>
      <c r="U65" s="43">
        <v>3</v>
      </c>
      <c r="V65" s="43">
        <v>9</v>
      </c>
      <c r="W65" s="49">
        <v>20</v>
      </c>
      <c r="X65" s="49"/>
      <c r="Y65" s="50"/>
      <c r="Z65" s="59"/>
      <c r="AA65" s="25"/>
      <c r="AB65" s="25"/>
    </row>
    <row r="66" spans="2:28">
      <c r="B66" s="40">
        <v>0.58333333333333337</v>
      </c>
      <c r="C66" s="40"/>
      <c r="D66" s="41">
        <v>1</v>
      </c>
      <c r="E66" s="42">
        <v>6</v>
      </c>
      <c r="F66" s="42" t="s">
        <v>170</v>
      </c>
      <c r="G66" s="43" t="s">
        <v>171</v>
      </c>
      <c r="H66" s="42" t="s">
        <v>179</v>
      </c>
      <c r="I66" s="43"/>
      <c r="J66" s="43">
        <v>2</v>
      </c>
      <c r="K66" s="25" t="str">
        <f>VLOOKUP(J66,Key!$E$2:$F$9,2,FALSE)</f>
        <v>Work</v>
      </c>
      <c r="L66" s="42" t="s">
        <v>172</v>
      </c>
      <c r="M66" s="43" t="s">
        <v>172</v>
      </c>
      <c r="N66" s="42" t="s">
        <v>179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9"/>
      <c r="T66" s="49">
        <v>1.5</v>
      </c>
      <c r="U66" s="43">
        <v>1</v>
      </c>
      <c r="V66" s="43"/>
      <c r="W66" s="49">
        <v>0</v>
      </c>
      <c r="X66" s="49"/>
      <c r="Y66" s="50"/>
      <c r="Z66" s="59"/>
      <c r="AA66" s="25"/>
      <c r="AB66" s="25"/>
    </row>
    <row r="67" spans="2:28">
      <c r="B67" s="40">
        <v>0.58888888888888891</v>
      </c>
      <c r="C67" s="40"/>
      <c r="D67" s="41">
        <v>1</v>
      </c>
      <c r="E67" s="42">
        <v>6</v>
      </c>
      <c r="F67" s="42" t="s">
        <v>170</v>
      </c>
      <c r="G67" s="43" t="s">
        <v>171</v>
      </c>
      <c r="H67" s="42" t="s">
        <v>179</v>
      </c>
      <c r="I67" s="43"/>
      <c r="J67" s="43">
        <v>2</v>
      </c>
      <c r="K67" s="25" t="str">
        <f>VLOOKUP(J67,Key!$E$2:$F$9,2,FALSE)</f>
        <v>Work</v>
      </c>
      <c r="L67" s="42" t="s">
        <v>172</v>
      </c>
      <c r="M67" s="43" t="s">
        <v>172</v>
      </c>
      <c r="N67" s="42" t="s">
        <v>179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9"/>
      <c r="T67" s="49">
        <v>2</v>
      </c>
      <c r="U67" s="43">
        <v>1</v>
      </c>
      <c r="V67" s="43"/>
      <c r="W67" s="49">
        <v>0</v>
      </c>
      <c r="X67" s="49"/>
      <c r="Y67" s="50"/>
      <c r="Z67" s="59"/>
      <c r="AA67" s="25"/>
      <c r="AB67" s="25"/>
    </row>
    <row r="68" spans="2:28">
      <c r="B68" s="40">
        <v>0.59513888888888888</v>
      </c>
      <c r="C68" s="40"/>
      <c r="D68" s="41">
        <v>5</v>
      </c>
      <c r="E68" s="42">
        <v>30</v>
      </c>
      <c r="F68" s="42" t="s">
        <v>173</v>
      </c>
      <c r="G68" s="43" t="s">
        <v>167</v>
      </c>
      <c r="H68" s="42" t="s">
        <v>212</v>
      </c>
      <c r="I68" s="43"/>
      <c r="J68" s="43">
        <v>2</v>
      </c>
      <c r="K68" s="25" t="str">
        <f>VLOOKUP(J68,Key!$E$2:$F$9,2,FALSE)</f>
        <v>Work</v>
      </c>
      <c r="L68" s="42" t="s">
        <v>183</v>
      </c>
      <c r="M68" s="43" t="s">
        <v>183</v>
      </c>
      <c r="N68" s="42" t="s">
        <v>179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9"/>
      <c r="T68" s="49">
        <v>24</v>
      </c>
      <c r="U68" s="43">
        <v>3</v>
      </c>
      <c r="V68" s="43"/>
      <c r="W68" s="49">
        <v>0</v>
      </c>
      <c r="X68" s="49"/>
      <c r="Y68" s="50"/>
      <c r="Z68" s="59"/>
      <c r="AA68" s="25"/>
      <c r="AB68" s="25"/>
    </row>
    <row r="69" spans="2:28">
      <c r="B69" s="40">
        <v>0.59930555555555554</v>
      </c>
      <c r="C69" s="40"/>
      <c r="D69" s="41">
        <v>6</v>
      </c>
      <c r="E69" s="42">
        <v>46</v>
      </c>
      <c r="F69" s="42" t="s">
        <v>170</v>
      </c>
      <c r="G69" s="43" t="s">
        <v>171</v>
      </c>
      <c r="H69" s="42" t="s">
        <v>179</v>
      </c>
      <c r="I69" s="43"/>
      <c r="J69" s="43">
        <v>2</v>
      </c>
      <c r="K69" s="25" t="str">
        <f>VLOOKUP(J69,Key!$E$2:$F$9,2,FALSE)</f>
        <v>Work</v>
      </c>
      <c r="L69" s="42" t="s">
        <v>168</v>
      </c>
      <c r="M69" s="43" t="s">
        <v>171</v>
      </c>
      <c r="N69" s="42" t="s">
        <v>179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9"/>
      <c r="T69" s="49">
        <v>0.25</v>
      </c>
      <c r="U69" s="43">
        <v>1</v>
      </c>
      <c r="V69" s="43"/>
      <c r="W69" s="49">
        <v>0</v>
      </c>
      <c r="X69" s="49"/>
      <c r="Y69" s="50"/>
      <c r="Z69" s="59"/>
      <c r="AA69" s="25"/>
      <c r="AB69" s="25"/>
    </row>
    <row r="70" spans="2:28">
      <c r="B70" s="40">
        <v>0.60416666666666663</v>
      </c>
      <c r="C70" s="40"/>
      <c r="D70" s="41">
        <v>1</v>
      </c>
      <c r="E70" s="42">
        <v>5</v>
      </c>
      <c r="F70" s="42" t="s">
        <v>170</v>
      </c>
      <c r="G70" s="43" t="s">
        <v>171</v>
      </c>
      <c r="H70" s="42" t="s">
        <v>179</v>
      </c>
      <c r="I70" s="43"/>
      <c r="J70" s="43">
        <v>2</v>
      </c>
      <c r="K70" s="25" t="str">
        <f>VLOOKUP(J70,Key!$E$2:$F$9,2,FALSE)</f>
        <v>Work</v>
      </c>
      <c r="L70" s="42" t="s">
        <v>172</v>
      </c>
      <c r="M70" s="43" t="s">
        <v>172</v>
      </c>
      <c r="N70" s="42" t="s">
        <v>179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9"/>
      <c r="T70" s="49">
        <v>1.5</v>
      </c>
      <c r="U70" s="43">
        <v>1</v>
      </c>
      <c r="V70" s="43"/>
      <c r="W70" s="49">
        <v>0</v>
      </c>
      <c r="X70" s="49"/>
      <c r="Y70" s="50"/>
      <c r="Z70" s="59"/>
      <c r="AA70" s="25"/>
      <c r="AB70" s="25"/>
    </row>
    <row r="71" spans="2:28">
      <c r="B71" s="40">
        <v>0.625</v>
      </c>
      <c r="C71" s="40"/>
      <c r="D71" s="41">
        <v>2</v>
      </c>
      <c r="E71" s="42">
        <v>2</v>
      </c>
      <c r="F71" s="42" t="s">
        <v>170</v>
      </c>
      <c r="G71" s="43" t="s">
        <v>171</v>
      </c>
      <c r="H71" s="42" t="s">
        <v>179</v>
      </c>
      <c r="I71" s="43"/>
      <c r="J71" s="43">
        <v>2</v>
      </c>
      <c r="K71" s="25" t="str">
        <f>VLOOKUP(J71,Key!$E$2:$F$9,2,FALSE)</f>
        <v>Work</v>
      </c>
      <c r="L71" s="42" t="s">
        <v>172</v>
      </c>
      <c r="M71" s="43" t="s">
        <v>172</v>
      </c>
      <c r="N71" s="42" t="s">
        <v>179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9"/>
      <c r="T71" s="49">
        <v>1</v>
      </c>
      <c r="U71" s="43">
        <v>1</v>
      </c>
      <c r="V71" s="43">
        <v>8</v>
      </c>
      <c r="W71" s="49">
        <v>2</v>
      </c>
      <c r="X71" s="49"/>
      <c r="Y71" s="50"/>
      <c r="Z71" s="59"/>
      <c r="AA71" s="25"/>
      <c r="AB71" s="25"/>
    </row>
    <row r="72" spans="2:28">
      <c r="B72" s="40">
        <v>0.62847222222222221</v>
      </c>
      <c r="C72" s="40"/>
      <c r="D72" s="41">
        <v>1</v>
      </c>
      <c r="E72" s="42">
        <v>6</v>
      </c>
      <c r="F72" s="42" t="s">
        <v>170</v>
      </c>
      <c r="G72" s="43" t="s">
        <v>171</v>
      </c>
      <c r="H72" s="42" t="s">
        <v>179</v>
      </c>
      <c r="I72" s="43"/>
      <c r="J72" s="43">
        <v>2</v>
      </c>
      <c r="K72" s="25" t="str">
        <f>VLOOKUP(J72,Key!$E$2:$F$9,2,FALSE)</f>
        <v>Work</v>
      </c>
      <c r="L72" s="42" t="s">
        <v>172</v>
      </c>
      <c r="M72" s="43" t="s">
        <v>172</v>
      </c>
      <c r="N72" s="42" t="s">
        <v>179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9"/>
      <c r="T72" s="49">
        <v>2</v>
      </c>
      <c r="U72" s="43">
        <v>1</v>
      </c>
      <c r="V72" s="43"/>
      <c r="W72" s="49">
        <v>0</v>
      </c>
      <c r="X72" s="49"/>
      <c r="Y72" s="50"/>
      <c r="Z72" s="59"/>
      <c r="AA72" s="25"/>
      <c r="AB72" s="25"/>
    </row>
    <row r="73" spans="2:28">
      <c r="B73" s="40">
        <v>0.63680555555555551</v>
      </c>
      <c r="C73" s="40"/>
      <c r="D73" s="41">
        <v>9</v>
      </c>
      <c r="E73" s="42">
        <v>2</v>
      </c>
      <c r="F73" s="42" t="s">
        <v>173</v>
      </c>
      <c r="G73" s="43" t="s">
        <v>167</v>
      </c>
      <c r="H73" s="42" t="s">
        <v>212</v>
      </c>
      <c r="I73" s="43"/>
      <c r="J73" s="43">
        <v>2</v>
      </c>
      <c r="K73" s="25" t="str">
        <f>VLOOKUP(J73,Key!$E$2:$F$9,2,FALSE)</f>
        <v>Work</v>
      </c>
      <c r="L73" s="42" t="s">
        <v>189</v>
      </c>
      <c r="M73" s="43" t="s">
        <v>190</v>
      </c>
      <c r="N73" s="42" t="s">
        <v>200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9"/>
      <c r="T73" s="49">
        <v>24</v>
      </c>
      <c r="U73" s="43">
        <v>3</v>
      </c>
      <c r="V73" s="43">
        <v>4</v>
      </c>
      <c r="W73" s="49">
        <v>25</v>
      </c>
      <c r="X73" s="49"/>
      <c r="Y73" s="50"/>
      <c r="Z73" s="59"/>
      <c r="AA73" s="25"/>
      <c r="AB73" s="25"/>
    </row>
    <row r="74" spans="2:28">
      <c r="B74" s="40">
        <v>0.63888888888888895</v>
      </c>
      <c r="C74" s="40"/>
      <c r="D74" s="41">
        <v>9</v>
      </c>
      <c r="E74" s="42">
        <v>2</v>
      </c>
      <c r="F74" s="42" t="s">
        <v>167</v>
      </c>
      <c r="G74" s="43" t="s">
        <v>167</v>
      </c>
      <c r="H74" s="42" t="s">
        <v>212</v>
      </c>
      <c r="I74" s="43"/>
      <c r="J74" s="43">
        <v>2</v>
      </c>
      <c r="K74" s="25" t="str">
        <f>VLOOKUP(J74,Key!$E$2:$F$9,2,FALSE)</f>
        <v>Work</v>
      </c>
      <c r="L74" s="42" t="s">
        <v>183</v>
      </c>
      <c r="M74" s="43" t="s">
        <v>183</v>
      </c>
      <c r="N74" s="42" t="s">
        <v>179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9"/>
      <c r="T74" s="49">
        <v>32</v>
      </c>
      <c r="U74" s="43">
        <v>3</v>
      </c>
      <c r="V74" s="43">
        <v>1</v>
      </c>
      <c r="W74" s="49">
        <v>25</v>
      </c>
      <c r="X74" s="49"/>
      <c r="Y74" s="50"/>
      <c r="Z74" s="59"/>
      <c r="AA74" s="25"/>
      <c r="AB74" s="25"/>
    </row>
    <row r="75" spans="2:28">
      <c r="B75" s="40">
        <v>0.64583333333333337</v>
      </c>
      <c r="C75" s="40"/>
      <c r="D75" s="41">
        <v>8</v>
      </c>
      <c r="E75" s="42">
        <v>2</v>
      </c>
      <c r="F75" s="42" t="s">
        <v>173</v>
      </c>
      <c r="G75" s="43" t="s">
        <v>167</v>
      </c>
      <c r="H75" s="42" t="s">
        <v>212</v>
      </c>
      <c r="I75" s="43"/>
      <c r="J75" s="43">
        <v>2</v>
      </c>
      <c r="K75" s="25" t="str">
        <f>VLOOKUP(J75,Key!$E$2:$F$9,2,FALSE)</f>
        <v>Work</v>
      </c>
      <c r="L75" s="42" t="s">
        <v>190</v>
      </c>
      <c r="M75" s="43" t="s">
        <v>190</v>
      </c>
      <c r="N75" s="42" t="s">
        <v>200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96</v>
      </c>
      <c r="U75" s="43">
        <v>3</v>
      </c>
      <c r="V75" s="43">
        <v>7</v>
      </c>
      <c r="W75" s="49">
        <v>2</v>
      </c>
      <c r="X75" s="49"/>
      <c r="Y75" s="50"/>
      <c r="Z75" s="59"/>
      <c r="AA75" s="25"/>
      <c r="AB75" s="25"/>
    </row>
    <row r="76" spans="2:28">
      <c r="B76" s="40">
        <v>0.6479166666666667</v>
      </c>
      <c r="C76" s="40"/>
      <c r="D76" s="41">
        <v>1</v>
      </c>
      <c r="E76" s="42">
        <v>1</v>
      </c>
      <c r="F76" s="42" t="s">
        <v>209</v>
      </c>
      <c r="G76" s="43" t="s">
        <v>167</v>
      </c>
      <c r="H76" s="42" t="s">
        <v>212</v>
      </c>
      <c r="I76" s="43"/>
      <c r="J76" s="43">
        <v>2</v>
      </c>
      <c r="K76" s="25" t="str">
        <f>VLOOKUP(J76,Key!$E$2:$F$9,2,FALSE)</f>
        <v>Work</v>
      </c>
      <c r="L76" s="42" t="s">
        <v>214</v>
      </c>
      <c r="M76" s="43" t="s">
        <v>183</v>
      </c>
      <c r="N76" s="42" t="s">
        <v>179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9"/>
      <c r="T76" s="49">
        <v>15</v>
      </c>
      <c r="U76" s="43">
        <v>3</v>
      </c>
      <c r="V76" s="43"/>
      <c r="W76" s="49">
        <v>0</v>
      </c>
      <c r="X76" s="49"/>
      <c r="Y76" s="50"/>
      <c r="Z76" s="59"/>
      <c r="AA76" s="25"/>
      <c r="AB76" s="25"/>
    </row>
    <row r="77" spans="2:28">
      <c r="B77" s="40">
        <v>0.65069444444444446</v>
      </c>
      <c r="C77" s="40"/>
      <c r="D77" s="41">
        <v>9</v>
      </c>
      <c r="E77" s="42">
        <v>1</v>
      </c>
      <c r="F77" s="42" t="s">
        <v>173</v>
      </c>
      <c r="G77" s="43" t="s">
        <v>167</v>
      </c>
      <c r="H77" s="42" t="s">
        <v>212</v>
      </c>
      <c r="I77" s="43"/>
      <c r="J77" s="43">
        <v>2</v>
      </c>
      <c r="K77" s="25" t="str">
        <f>VLOOKUP(J77,Key!$E$2:$F$9,2,FALSE)</f>
        <v>Work</v>
      </c>
      <c r="L77" s="42" t="s">
        <v>183</v>
      </c>
      <c r="M77" s="43" t="s">
        <v>183</v>
      </c>
      <c r="N77" s="42" t="s">
        <v>179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32</v>
      </c>
      <c r="U77" s="43">
        <v>3</v>
      </c>
      <c r="V77" s="43">
        <v>7</v>
      </c>
      <c r="W77" s="49">
        <v>30</v>
      </c>
      <c r="X77" s="49"/>
      <c r="Y77" s="50"/>
      <c r="Z77" s="59"/>
      <c r="AA77" s="25"/>
      <c r="AB77" s="25"/>
    </row>
    <row r="78" spans="2:28">
      <c r="B78" s="40">
        <v>0.65208333333333335</v>
      </c>
      <c r="C78" s="40"/>
      <c r="D78" s="41">
        <v>1</v>
      </c>
      <c r="E78" s="42">
        <v>2</v>
      </c>
      <c r="F78" s="42" t="s">
        <v>170</v>
      </c>
      <c r="G78" s="43" t="s">
        <v>171</v>
      </c>
      <c r="H78" s="42" t="s">
        <v>179</v>
      </c>
      <c r="I78" s="43"/>
      <c r="J78" s="43">
        <v>2</v>
      </c>
      <c r="K78" s="25" t="str">
        <f>VLOOKUP(J78,Key!$E$2:$F$9,2,FALSE)</f>
        <v>Work</v>
      </c>
      <c r="L78" s="42" t="s">
        <v>168</v>
      </c>
      <c r="M78" s="43" t="s">
        <v>171</v>
      </c>
      <c r="N78" s="42" t="s">
        <v>179</v>
      </c>
      <c r="O78" s="43"/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9"/>
      <c r="T78" s="49">
        <v>0.7</v>
      </c>
      <c r="U78" s="43">
        <v>1</v>
      </c>
      <c r="V78" s="43"/>
      <c r="W78" s="49">
        <v>0</v>
      </c>
      <c r="X78" s="49"/>
      <c r="Y78" s="50"/>
      <c r="Z78" s="59"/>
      <c r="AA78" s="25"/>
      <c r="AB78" s="25"/>
    </row>
    <row r="79" spans="2:28">
      <c r="B79" s="40">
        <v>0.65277777777777779</v>
      </c>
      <c r="C79" s="40"/>
      <c r="D79" s="41">
        <v>6</v>
      </c>
      <c r="E79" s="42">
        <v>55</v>
      </c>
      <c r="F79" s="42" t="s">
        <v>170</v>
      </c>
      <c r="G79" s="43" t="s">
        <v>171</v>
      </c>
      <c r="H79" s="42" t="s">
        <v>179</v>
      </c>
      <c r="I79" s="43"/>
      <c r="J79" s="43">
        <v>2</v>
      </c>
      <c r="K79" s="25" t="str">
        <f>VLOOKUP(J79,Key!$E$2:$F$9,2,FALSE)</f>
        <v>Work</v>
      </c>
      <c r="L79" s="42" t="s">
        <v>168</v>
      </c>
      <c r="M79" s="43" t="s">
        <v>171</v>
      </c>
      <c r="N79" s="42" t="s">
        <v>179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0.5</v>
      </c>
      <c r="U79" s="43">
        <v>1</v>
      </c>
      <c r="V79" s="43"/>
      <c r="W79" s="49">
        <v>0</v>
      </c>
      <c r="X79" s="49"/>
      <c r="Y79" s="50"/>
      <c r="Z79" s="59"/>
      <c r="AA79" s="25"/>
      <c r="AB79" s="25"/>
    </row>
    <row r="80" spans="2:28">
      <c r="B80" s="40">
        <v>0.65625</v>
      </c>
      <c r="C80" s="40"/>
      <c r="D80" s="41">
        <v>8</v>
      </c>
      <c r="E80" s="42">
        <v>2</v>
      </c>
      <c r="F80" s="42" t="s">
        <v>173</v>
      </c>
      <c r="G80" s="43" t="s">
        <v>167</v>
      </c>
      <c r="H80" s="42" t="s">
        <v>212</v>
      </c>
      <c r="I80" s="43"/>
      <c r="J80" s="43">
        <v>2</v>
      </c>
      <c r="K80" s="25" t="str">
        <f>VLOOKUP(J80,Key!$E$2:$F$9,2,FALSE)</f>
        <v>Work</v>
      </c>
      <c r="L80" s="42" t="s">
        <v>183</v>
      </c>
      <c r="M80" s="43" t="s">
        <v>183</v>
      </c>
      <c r="N80" s="42" t="s">
        <v>179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>
        <v>24</v>
      </c>
      <c r="U80" s="43">
        <v>3</v>
      </c>
      <c r="V80" s="43">
        <v>5</v>
      </c>
      <c r="W80" s="49">
        <v>22</v>
      </c>
      <c r="X80" s="49"/>
      <c r="Y80" s="50"/>
      <c r="Z80" s="59"/>
      <c r="AA80" s="25"/>
      <c r="AB80" s="25"/>
    </row>
    <row r="81" spans="2:28">
      <c r="B81" s="40">
        <v>0.65833333333333333</v>
      </c>
      <c r="C81" s="40"/>
      <c r="D81" s="41">
        <v>8</v>
      </c>
      <c r="E81" s="42">
        <v>2</v>
      </c>
      <c r="F81" s="42" t="s">
        <v>173</v>
      </c>
      <c r="G81" s="43" t="s">
        <v>167</v>
      </c>
      <c r="H81" s="42" t="s">
        <v>212</v>
      </c>
      <c r="I81" s="43"/>
      <c r="J81" s="43">
        <v>2</v>
      </c>
      <c r="K81" s="25" t="str">
        <f>VLOOKUP(J81,Key!$E$2:$F$9,2,FALSE)</f>
        <v>Work</v>
      </c>
      <c r="L81" s="42" t="s">
        <v>185</v>
      </c>
      <c r="M81" s="43" t="s">
        <v>183</v>
      </c>
      <c r="N81" s="42" t="s">
        <v>179</v>
      </c>
      <c r="O81" s="43"/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49"/>
      <c r="T81" s="49">
        <v>15</v>
      </c>
      <c r="U81" s="43">
        <v>3</v>
      </c>
      <c r="V81" s="43">
        <v>9</v>
      </c>
      <c r="W81" s="49">
        <v>15</v>
      </c>
      <c r="X81" s="49"/>
      <c r="Y81" s="50"/>
      <c r="Z81" s="59"/>
      <c r="AA81" s="25"/>
      <c r="AB81" s="25"/>
    </row>
    <row r="82" spans="2:28">
      <c r="B82" s="40">
        <v>0.66111111111111109</v>
      </c>
      <c r="C82" s="40"/>
      <c r="D82" s="41">
        <v>1</v>
      </c>
      <c r="E82" s="42">
        <v>6</v>
      </c>
      <c r="F82" s="42" t="s">
        <v>170</v>
      </c>
      <c r="G82" s="43" t="s">
        <v>171</v>
      </c>
      <c r="H82" s="42" t="s">
        <v>179</v>
      </c>
      <c r="I82" s="43"/>
      <c r="J82" s="43">
        <v>2</v>
      </c>
      <c r="K82" s="25" t="str">
        <f>VLOOKUP(J82,Key!$E$2:$F$9,2,FALSE)</f>
        <v>Work</v>
      </c>
      <c r="L82" s="42" t="s">
        <v>172</v>
      </c>
      <c r="M82" s="43" t="s">
        <v>172</v>
      </c>
      <c r="N82" s="42" t="s">
        <v>179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>
        <v>1.5</v>
      </c>
      <c r="U82" s="43">
        <v>1</v>
      </c>
      <c r="V82" s="43"/>
      <c r="W82" s="49">
        <v>0</v>
      </c>
      <c r="X82" s="49"/>
      <c r="Y82" s="50"/>
      <c r="Z82" s="59"/>
      <c r="AA82" s="25"/>
      <c r="AB82" s="25"/>
    </row>
    <row r="83" spans="2:28">
      <c r="B83" s="40">
        <v>0.66319444444444442</v>
      </c>
      <c r="C83" s="40"/>
      <c r="D83" s="41">
        <v>1</v>
      </c>
      <c r="E83" s="42">
        <v>7</v>
      </c>
      <c r="F83" s="42" t="s">
        <v>170</v>
      </c>
      <c r="G83" s="43" t="s">
        <v>171</v>
      </c>
      <c r="H83" s="42" t="s">
        <v>179</v>
      </c>
      <c r="I83" s="43"/>
      <c r="J83" s="43">
        <v>2</v>
      </c>
      <c r="K83" s="25" t="str">
        <f>VLOOKUP(J83,Key!$E$2:$F$9,2,FALSE)</f>
        <v>Work</v>
      </c>
      <c r="L83" s="42" t="s">
        <v>172</v>
      </c>
      <c r="M83" s="43" t="s">
        <v>172</v>
      </c>
      <c r="N83" s="42" t="s">
        <v>179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1.5</v>
      </c>
      <c r="U83" s="43">
        <v>1</v>
      </c>
      <c r="V83" s="43"/>
      <c r="W83" s="49"/>
      <c r="X83" s="49"/>
      <c r="Y83" s="50"/>
      <c r="Z83" s="59"/>
      <c r="AA83" s="25"/>
      <c r="AB83" s="25"/>
    </row>
    <row r="84" spans="2:28">
      <c r="B84" s="40">
        <v>0.66597222222222219</v>
      </c>
      <c r="C84" s="40"/>
      <c r="D84" s="41">
        <v>1</v>
      </c>
      <c r="E84" s="42">
        <v>1</v>
      </c>
      <c r="F84" s="42" t="s">
        <v>209</v>
      </c>
      <c r="G84" s="43" t="s">
        <v>167</v>
      </c>
      <c r="H84" s="42" t="s">
        <v>212</v>
      </c>
      <c r="I84" s="43"/>
      <c r="J84" s="43">
        <v>2</v>
      </c>
      <c r="K84" s="25" t="str">
        <f>VLOOKUP(J84,Key!$E$2:$F$9,2,FALSE)</f>
        <v>Work</v>
      </c>
      <c r="L84" s="42" t="s">
        <v>168</v>
      </c>
      <c r="M84" s="43" t="s">
        <v>171</v>
      </c>
      <c r="N84" s="42" t="s">
        <v>179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49"/>
      <c r="T84" s="49"/>
      <c r="U84" s="43">
        <v>3</v>
      </c>
      <c r="V84" s="43"/>
      <c r="W84" s="49">
        <v>0</v>
      </c>
      <c r="X84" s="49"/>
      <c r="Y84" s="50"/>
      <c r="Z84" s="59"/>
      <c r="AA84" s="25"/>
      <c r="AB84" s="25"/>
    </row>
    <row r="85" spans="2:28">
      <c r="B85" s="40">
        <v>0.66805555555555562</v>
      </c>
      <c r="C85" s="40"/>
      <c r="D85" s="41">
        <v>9</v>
      </c>
      <c r="E85" s="42">
        <v>2</v>
      </c>
      <c r="F85" s="42" t="s">
        <v>173</v>
      </c>
      <c r="G85" s="43" t="s">
        <v>167</v>
      </c>
      <c r="H85" s="42" t="s">
        <v>212</v>
      </c>
      <c r="I85" s="43"/>
      <c r="J85" s="43">
        <v>2</v>
      </c>
      <c r="K85" s="25" t="str">
        <f>VLOOKUP(J85,Key!$E$2:$F$9,2,FALSE)</f>
        <v>Work</v>
      </c>
      <c r="L85" s="42" t="s">
        <v>189</v>
      </c>
      <c r="M85" s="43" t="s">
        <v>190</v>
      </c>
      <c r="N85" s="42" t="s">
        <v>200</v>
      </c>
      <c r="O85" s="43"/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49"/>
      <c r="T85" s="49">
        <v>36</v>
      </c>
      <c r="U85" s="43">
        <v>3</v>
      </c>
      <c r="V85" s="43">
        <v>6</v>
      </c>
      <c r="W85" s="49">
        <v>25</v>
      </c>
      <c r="X85" s="49"/>
      <c r="Y85" s="50"/>
      <c r="Z85" s="59"/>
      <c r="AA85" s="25"/>
      <c r="AB85" s="25"/>
    </row>
    <row r="86" spans="2:28">
      <c r="B86" s="40">
        <v>0.67152777777777783</v>
      </c>
      <c r="C86" s="40"/>
      <c r="D86" s="41">
        <v>9</v>
      </c>
      <c r="E86" s="42">
        <v>3</v>
      </c>
      <c r="F86" s="42" t="s">
        <v>173</v>
      </c>
      <c r="G86" s="43" t="s">
        <v>167</v>
      </c>
      <c r="H86" s="42" t="s">
        <v>212</v>
      </c>
      <c r="I86" s="43"/>
      <c r="J86" s="43">
        <v>2</v>
      </c>
      <c r="K86" s="25" t="str">
        <f>VLOOKUP(J86,Key!$E$2:$F$9,2,FALSE)</f>
        <v>Work</v>
      </c>
      <c r="L86" s="42" t="s">
        <v>184</v>
      </c>
      <c r="M86" s="43" t="s">
        <v>184</v>
      </c>
      <c r="N86" s="42" t="s">
        <v>200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36</v>
      </c>
      <c r="U86" s="43">
        <v>3</v>
      </c>
      <c r="V86" s="43">
        <v>6</v>
      </c>
      <c r="W86" s="49">
        <v>27</v>
      </c>
      <c r="X86" s="49"/>
      <c r="Y86" s="50"/>
      <c r="Z86" s="59"/>
      <c r="AA86" s="25"/>
      <c r="AB86" s="25"/>
    </row>
    <row r="87" spans="2:28">
      <c r="B87" s="40">
        <v>0.67291666666666661</v>
      </c>
      <c r="C87" s="40"/>
      <c r="D87" s="41">
        <v>1</v>
      </c>
      <c r="E87" s="42">
        <v>8</v>
      </c>
      <c r="F87" s="42" t="s">
        <v>170</v>
      </c>
      <c r="G87" s="43" t="s">
        <v>171</v>
      </c>
      <c r="H87" s="42" t="s">
        <v>179</v>
      </c>
      <c r="I87" s="43"/>
      <c r="J87" s="43">
        <v>2</v>
      </c>
      <c r="K87" s="25" t="str">
        <f>VLOOKUP(J87,Key!$E$2:$F$9,2,FALSE)</f>
        <v>Work</v>
      </c>
      <c r="L87" s="42" t="s">
        <v>172</v>
      </c>
      <c r="M87" s="43" t="s">
        <v>172</v>
      </c>
      <c r="N87" s="42" t="s">
        <v>179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1.5</v>
      </c>
      <c r="U87" s="43">
        <v>1</v>
      </c>
      <c r="V87" s="43"/>
      <c r="W87" s="49">
        <v>0</v>
      </c>
      <c r="X87" s="49"/>
      <c r="Y87" s="50"/>
      <c r="Z87" s="59"/>
      <c r="AA87" s="25"/>
      <c r="AB87" s="25"/>
    </row>
    <row r="88" spans="2:28">
      <c r="B88" s="40">
        <v>0.67569444444444438</v>
      </c>
      <c r="C88" s="40"/>
      <c r="D88" s="41">
        <v>1</v>
      </c>
      <c r="E88" s="42">
        <v>6</v>
      </c>
      <c r="F88" s="42" t="s">
        <v>170</v>
      </c>
      <c r="G88" s="43" t="s">
        <v>171</v>
      </c>
      <c r="H88" s="42" t="s">
        <v>179</v>
      </c>
      <c r="I88" s="43"/>
      <c r="J88" s="43">
        <v>2</v>
      </c>
      <c r="K88" s="25" t="str">
        <f>VLOOKUP(J88,Key!$E$2:$F$9,2,FALSE)</f>
        <v>Work</v>
      </c>
      <c r="L88" s="42" t="s">
        <v>172</v>
      </c>
      <c r="M88" s="43" t="s">
        <v>172</v>
      </c>
      <c r="N88" s="42" t="s">
        <v>179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9"/>
      <c r="T88" s="49">
        <v>1.5</v>
      </c>
      <c r="U88" s="43">
        <v>1</v>
      </c>
      <c r="V88" s="43"/>
      <c r="W88" s="49">
        <v>0</v>
      </c>
      <c r="X88" s="49"/>
      <c r="Y88" s="50"/>
      <c r="Z88" s="59"/>
      <c r="AA88" s="25"/>
      <c r="AB88" s="25"/>
    </row>
    <row r="89" spans="2:28">
      <c r="B89" s="40">
        <v>0.67847222222222225</v>
      </c>
      <c r="C89" s="40"/>
      <c r="D89" s="41">
        <v>6</v>
      </c>
      <c r="E89" s="42">
        <v>45</v>
      </c>
      <c r="F89" s="42" t="s">
        <v>170</v>
      </c>
      <c r="G89" s="43" t="s">
        <v>171</v>
      </c>
      <c r="H89" s="42" t="s">
        <v>179</v>
      </c>
      <c r="I89" s="43"/>
      <c r="J89" s="43">
        <v>2</v>
      </c>
      <c r="K89" s="25" t="str">
        <f>VLOOKUP(J89,Key!$E$2:$F$9,2,FALSE)</f>
        <v>Work</v>
      </c>
      <c r="L89" s="42" t="s">
        <v>168</v>
      </c>
      <c r="M89" s="43" t="s">
        <v>171</v>
      </c>
      <c r="N89" s="42" t="s">
        <v>179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0.3</v>
      </c>
      <c r="U89" s="43">
        <v>1</v>
      </c>
      <c r="V89" s="43"/>
      <c r="W89" s="49">
        <v>0</v>
      </c>
      <c r="X89" s="49"/>
      <c r="Y89" s="50"/>
      <c r="Z89" s="59"/>
      <c r="AA89" s="25"/>
      <c r="AB89" s="25"/>
    </row>
    <row r="90" spans="2:28">
      <c r="B90" s="40">
        <v>0.68194444444444446</v>
      </c>
      <c r="C90" s="40"/>
      <c r="D90" s="41">
        <v>8</v>
      </c>
      <c r="E90" s="42">
        <v>2</v>
      </c>
      <c r="F90" s="42" t="s">
        <v>173</v>
      </c>
      <c r="G90" s="43" t="s">
        <v>167</v>
      </c>
      <c r="H90" s="42" t="s">
        <v>212</v>
      </c>
      <c r="I90" s="43"/>
      <c r="J90" s="43">
        <v>2</v>
      </c>
      <c r="K90" s="25" t="str">
        <f>VLOOKUP(J90,Key!$E$2:$F$9,2,FALSE)</f>
        <v>Work</v>
      </c>
      <c r="L90" s="42" t="s">
        <v>183</v>
      </c>
      <c r="M90" s="43" t="s">
        <v>183</v>
      </c>
      <c r="N90" s="42" t="s">
        <v>179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16</v>
      </c>
      <c r="U90" s="43">
        <v>3</v>
      </c>
      <c r="V90" s="43">
        <v>1</v>
      </c>
      <c r="W90" s="49">
        <v>19</v>
      </c>
      <c r="X90" s="49"/>
      <c r="Y90" s="50"/>
      <c r="Z90" s="59"/>
      <c r="AA90" s="25"/>
      <c r="AB90" s="25"/>
    </row>
    <row r="91" spans="2:28">
      <c r="B91" s="40">
        <v>0.68541666666666667</v>
      </c>
      <c r="C91" s="40"/>
      <c r="D91" s="41">
        <v>1</v>
      </c>
      <c r="E91" s="42">
        <v>7</v>
      </c>
      <c r="F91" s="42" t="s">
        <v>170</v>
      </c>
      <c r="G91" s="43" t="s">
        <v>171</v>
      </c>
      <c r="H91" s="42" t="s">
        <v>179</v>
      </c>
      <c r="I91" s="43"/>
      <c r="J91" s="43">
        <v>2</v>
      </c>
      <c r="K91" s="25" t="str">
        <f>VLOOKUP(J91,Key!$E$2:$F$9,2,FALSE)</f>
        <v>Work</v>
      </c>
      <c r="L91" s="42" t="s">
        <v>172</v>
      </c>
      <c r="M91" s="43" t="s">
        <v>172</v>
      </c>
      <c r="N91" s="42" t="s">
        <v>179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1.5</v>
      </c>
      <c r="U91" s="43">
        <v>1</v>
      </c>
      <c r="V91" s="43"/>
      <c r="W91" s="49">
        <v>0</v>
      </c>
      <c r="X91" s="49"/>
      <c r="Y91" s="50"/>
      <c r="Z91" s="59"/>
      <c r="AA91" s="25"/>
      <c r="AB91" s="25"/>
    </row>
    <row r="92" spans="2:28">
      <c r="B92" s="40">
        <v>0.6875</v>
      </c>
      <c r="C92" s="40"/>
      <c r="D92" s="41">
        <v>8</v>
      </c>
      <c r="E92" s="42">
        <v>3</v>
      </c>
      <c r="F92" s="42" t="s">
        <v>173</v>
      </c>
      <c r="G92" s="43" t="s">
        <v>167</v>
      </c>
      <c r="H92" s="42" t="s">
        <v>212</v>
      </c>
      <c r="I92" s="43"/>
      <c r="J92" s="43">
        <v>2</v>
      </c>
      <c r="K92" s="25" t="str">
        <f>VLOOKUP(J92,Key!$E$2:$F$9,2,FALSE)</f>
        <v>Work</v>
      </c>
      <c r="L92" s="42" t="s">
        <v>183</v>
      </c>
      <c r="M92" s="43" t="s">
        <v>183</v>
      </c>
      <c r="N92" s="42" t="s">
        <v>179</v>
      </c>
      <c r="O92" s="43"/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49"/>
      <c r="T92" s="49">
        <v>24</v>
      </c>
      <c r="U92" s="43">
        <v>3</v>
      </c>
      <c r="V92" s="43">
        <v>3</v>
      </c>
      <c r="W92" s="49">
        <v>18</v>
      </c>
      <c r="X92" s="49"/>
      <c r="Y92" s="50"/>
      <c r="Z92" s="59"/>
      <c r="AA92" s="25"/>
      <c r="AB92" s="25"/>
    </row>
    <row r="93" spans="2:28">
      <c r="B93" s="40">
        <v>0.69027777777777777</v>
      </c>
      <c r="C93" s="40"/>
      <c r="D93" s="41">
        <v>9</v>
      </c>
      <c r="E93" s="42"/>
      <c r="F93" s="42" t="s">
        <v>176</v>
      </c>
      <c r="G93" s="43" t="s">
        <v>172</v>
      </c>
      <c r="H93" s="42" t="s">
        <v>179</v>
      </c>
      <c r="I93" s="43"/>
      <c r="J93" s="43">
        <v>1</v>
      </c>
      <c r="K93" s="25" t="str">
        <f>VLOOKUP(J93,Key!$E$2:$F$9,2,FALSE)</f>
        <v>Home</v>
      </c>
      <c r="L93" s="42" t="s">
        <v>176</v>
      </c>
      <c r="M93" s="43" t="s">
        <v>172</v>
      </c>
      <c r="N93" s="42" t="s">
        <v>179</v>
      </c>
      <c r="O93" s="43"/>
      <c r="P93" s="43">
        <v>1</v>
      </c>
      <c r="Q93" s="25" t="str">
        <f>VLOOKUP(P93,Key!$E$2:$F$9,2,FALSE)</f>
        <v>Home</v>
      </c>
      <c r="R93" s="25" t="str">
        <f t="shared" si="1"/>
        <v>Home-Home</v>
      </c>
      <c r="S93" s="49"/>
      <c r="T93" s="49">
        <v>0.1</v>
      </c>
      <c r="U93" s="43">
        <v>1</v>
      </c>
      <c r="V93" s="43"/>
      <c r="W93" s="49">
        <v>0</v>
      </c>
      <c r="X93" s="49"/>
      <c r="Y93" s="50"/>
      <c r="Z93" s="59"/>
      <c r="AA93" s="25"/>
      <c r="AB93" s="25"/>
    </row>
    <row r="94" spans="2:28">
      <c r="B94" s="40">
        <v>0.69305555555555554</v>
      </c>
      <c r="C94" s="40"/>
      <c r="D94" s="41">
        <v>9</v>
      </c>
      <c r="E94" s="42">
        <v>2</v>
      </c>
      <c r="F94" s="42" t="s">
        <v>173</v>
      </c>
      <c r="G94" s="43" t="s">
        <v>167</v>
      </c>
      <c r="H94" s="42" t="s">
        <v>212</v>
      </c>
      <c r="I94" s="43"/>
      <c r="J94" s="43">
        <v>2</v>
      </c>
      <c r="K94" s="25" t="str">
        <f>VLOOKUP(J94,Key!$E$2:$F$9,2,FALSE)</f>
        <v>Work</v>
      </c>
      <c r="L94" s="42" t="s">
        <v>183</v>
      </c>
      <c r="M94" s="43" t="s">
        <v>183</v>
      </c>
      <c r="N94" s="42" t="s">
        <v>179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34</v>
      </c>
      <c r="U94" s="43">
        <v>3</v>
      </c>
      <c r="V94" s="43">
        <v>9</v>
      </c>
      <c r="W94" s="49">
        <v>20</v>
      </c>
      <c r="X94" s="49"/>
      <c r="Y94" s="50"/>
      <c r="Z94" s="59"/>
      <c r="AA94" s="25"/>
      <c r="AB94" s="25"/>
    </row>
    <row r="95" spans="2:28">
      <c r="B95" s="40">
        <v>0.70833333333333337</v>
      </c>
      <c r="C95" s="40"/>
      <c r="D95" s="41">
        <v>8</v>
      </c>
      <c r="E95" s="42">
        <v>2</v>
      </c>
      <c r="F95" s="42" t="s">
        <v>173</v>
      </c>
      <c r="G95" s="43" t="s">
        <v>167</v>
      </c>
      <c r="H95" s="42" t="s">
        <v>212</v>
      </c>
      <c r="I95" s="43"/>
      <c r="J95" s="43">
        <v>2</v>
      </c>
      <c r="K95" s="25" t="str">
        <f>VLOOKUP(J95,Key!$E$2:$F$9,2,FALSE)</f>
        <v>Work</v>
      </c>
      <c r="L95" s="42" t="s">
        <v>189</v>
      </c>
      <c r="M95" s="43" t="s">
        <v>190</v>
      </c>
      <c r="N95" s="42" t="s">
        <v>200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49"/>
      <c r="T95" s="49">
        <v>20</v>
      </c>
      <c r="U95" s="43">
        <v>3</v>
      </c>
      <c r="V95" s="43">
        <v>6</v>
      </c>
      <c r="W95" s="49">
        <v>27</v>
      </c>
      <c r="X95" s="49"/>
      <c r="Y95" s="50"/>
      <c r="Z95" s="59"/>
      <c r="AA95" s="25"/>
      <c r="AB95" s="25"/>
    </row>
    <row r="96" spans="2:28">
      <c r="B96" s="40">
        <v>0.71250000000000002</v>
      </c>
      <c r="C96" s="40"/>
      <c r="D96" s="41">
        <v>8</v>
      </c>
      <c r="E96" s="42">
        <v>3</v>
      </c>
      <c r="F96" s="42" t="s">
        <v>173</v>
      </c>
      <c r="G96" s="43" t="s">
        <v>167</v>
      </c>
      <c r="H96" s="42" t="s">
        <v>212</v>
      </c>
      <c r="I96" s="43"/>
      <c r="J96" s="43">
        <v>2</v>
      </c>
      <c r="K96" s="25" t="str">
        <f>VLOOKUP(J96,Key!$E$2:$F$9,2,FALSE)</f>
        <v>Work</v>
      </c>
      <c r="L96" s="42" t="s">
        <v>186</v>
      </c>
      <c r="M96" s="43" t="s">
        <v>186</v>
      </c>
      <c r="N96" s="42" t="s">
        <v>179</v>
      </c>
      <c r="O96" s="43"/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49"/>
      <c r="T96" s="49">
        <v>12</v>
      </c>
      <c r="U96" s="43">
        <v>3</v>
      </c>
      <c r="V96" s="43">
        <v>7</v>
      </c>
      <c r="W96" s="49">
        <v>25</v>
      </c>
      <c r="X96" s="49"/>
      <c r="Y96" s="50"/>
      <c r="Z96" s="59"/>
      <c r="AA96" s="25"/>
      <c r="AB96" s="25"/>
    </row>
    <row r="97" spans="2:28">
      <c r="B97" s="40">
        <v>0.71458333333333324</v>
      </c>
      <c r="C97" s="40"/>
      <c r="D97" s="41">
        <v>1</v>
      </c>
      <c r="E97" s="42">
        <v>5</v>
      </c>
      <c r="F97" s="42" t="s">
        <v>170</v>
      </c>
      <c r="G97" s="43" t="s">
        <v>171</v>
      </c>
      <c r="H97" s="42" t="s">
        <v>179</v>
      </c>
      <c r="I97" s="43"/>
      <c r="J97" s="43">
        <v>2</v>
      </c>
      <c r="K97" s="25" t="str">
        <f>VLOOKUP(J97,Key!$E$2:$F$9,2,FALSE)</f>
        <v>Work</v>
      </c>
      <c r="L97" s="42" t="s">
        <v>172</v>
      </c>
      <c r="M97" s="43" t="s">
        <v>172</v>
      </c>
      <c r="N97" s="42" t="s">
        <v>179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1.5</v>
      </c>
      <c r="U97" s="43">
        <v>1</v>
      </c>
      <c r="V97" s="43"/>
      <c r="W97" s="49">
        <v>0</v>
      </c>
      <c r="X97" s="49"/>
      <c r="Y97" s="50"/>
      <c r="Z97" s="59"/>
      <c r="AA97" s="25"/>
      <c r="AB97" s="25"/>
    </row>
    <row r="98" spans="2:28">
      <c r="B98" s="40">
        <v>0.71875</v>
      </c>
      <c r="C98" s="40"/>
      <c r="D98" s="41">
        <v>8</v>
      </c>
      <c r="E98" s="42">
        <v>2</v>
      </c>
      <c r="F98" s="42" t="s">
        <v>173</v>
      </c>
      <c r="G98" s="43" t="s">
        <v>167</v>
      </c>
      <c r="H98" s="42" t="s">
        <v>212</v>
      </c>
      <c r="I98" s="43"/>
      <c r="J98" s="43">
        <v>2</v>
      </c>
      <c r="K98" s="25" t="str">
        <f>VLOOKUP(J98,Key!$E$2:$F$9,2,FALSE)</f>
        <v>Work</v>
      </c>
      <c r="L98" s="42" t="s">
        <v>190</v>
      </c>
      <c r="M98" s="43" t="s">
        <v>190</v>
      </c>
      <c r="N98" s="42" t="s">
        <v>200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>
        <v>15</v>
      </c>
      <c r="U98" s="43">
        <v>3</v>
      </c>
      <c r="V98" s="43">
        <v>8</v>
      </c>
      <c r="W98" s="49">
        <v>30</v>
      </c>
      <c r="X98" s="49"/>
      <c r="Y98" s="50"/>
      <c r="Z98" s="59"/>
      <c r="AA98" s="25"/>
      <c r="AB98" s="25"/>
    </row>
    <row r="99" spans="2:28">
      <c r="B99" s="40">
        <v>0.72152777777777777</v>
      </c>
      <c r="C99" s="40"/>
      <c r="D99" s="41">
        <v>9</v>
      </c>
      <c r="E99" s="42">
        <v>2</v>
      </c>
      <c r="F99" s="42" t="s">
        <v>173</v>
      </c>
      <c r="G99" s="43" t="s">
        <v>167</v>
      </c>
      <c r="H99" s="42" t="s">
        <v>212</v>
      </c>
      <c r="I99" s="43"/>
      <c r="J99" s="43">
        <v>2</v>
      </c>
      <c r="K99" s="25" t="str">
        <f>VLOOKUP(J99,Key!$E$2:$F$9,2,FALSE)</f>
        <v>Work</v>
      </c>
      <c r="L99" s="42" t="s">
        <v>190</v>
      </c>
      <c r="M99" s="43" t="s">
        <v>190</v>
      </c>
      <c r="N99" s="42" t="s">
        <v>200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24</v>
      </c>
      <c r="U99" s="43">
        <v>3</v>
      </c>
      <c r="V99" s="43">
        <v>3</v>
      </c>
      <c r="W99" s="49">
        <v>12</v>
      </c>
      <c r="X99" s="49"/>
      <c r="Y99" s="50"/>
      <c r="Z99" s="59"/>
      <c r="AA99" s="25"/>
      <c r="AB99" s="25"/>
    </row>
    <row r="100" spans="2:28">
      <c r="B100" s="40">
        <v>0.72499999999999998</v>
      </c>
      <c r="C100" s="40"/>
      <c r="D100" s="41">
        <v>1</v>
      </c>
      <c r="E100" s="42">
        <v>7</v>
      </c>
      <c r="F100" s="42" t="s">
        <v>170</v>
      </c>
      <c r="G100" s="43" t="s">
        <v>171</v>
      </c>
      <c r="H100" s="42" t="s">
        <v>179</v>
      </c>
      <c r="I100" s="43"/>
      <c r="J100" s="43">
        <v>2</v>
      </c>
      <c r="K100" s="25" t="str">
        <f>VLOOKUP(J100,Key!$E$2:$F$9,2,FALSE)</f>
        <v>Work</v>
      </c>
      <c r="L100" s="42" t="s">
        <v>172</v>
      </c>
      <c r="M100" s="43" t="s">
        <v>172</v>
      </c>
      <c r="N100" s="42" t="s">
        <v>179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2</v>
      </c>
      <c r="U100" s="43">
        <v>1</v>
      </c>
      <c r="V100" s="43"/>
      <c r="W100" s="49">
        <v>0</v>
      </c>
      <c r="X100" s="49"/>
      <c r="Y100" s="50"/>
      <c r="Z100" s="59"/>
      <c r="AA100" s="25"/>
      <c r="AB100" s="25"/>
    </row>
    <row r="101" spans="2:28">
      <c r="B101" s="40">
        <v>0.7284722222222223</v>
      </c>
      <c r="C101" s="40"/>
      <c r="D101" s="41">
        <v>9</v>
      </c>
      <c r="E101" s="42">
        <v>2</v>
      </c>
      <c r="F101" s="42" t="s">
        <v>173</v>
      </c>
      <c r="G101" s="43" t="s">
        <v>167</v>
      </c>
      <c r="H101" s="42" t="s">
        <v>212</v>
      </c>
      <c r="I101" s="43"/>
      <c r="J101" s="43">
        <v>2</v>
      </c>
      <c r="K101" s="25" t="str">
        <f>VLOOKUP(J101,Key!$E$2:$F$9,2,FALSE)</f>
        <v>Work</v>
      </c>
      <c r="L101" s="42" t="s">
        <v>183</v>
      </c>
      <c r="M101" s="43" t="s">
        <v>183</v>
      </c>
      <c r="N101" s="42" t="s">
        <v>179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>
        <v>12</v>
      </c>
      <c r="U101" s="43">
        <v>3</v>
      </c>
      <c r="V101" s="43">
        <v>6</v>
      </c>
      <c r="W101" s="49">
        <v>28</v>
      </c>
      <c r="X101" s="49"/>
      <c r="Y101" s="50"/>
      <c r="Z101" s="59"/>
      <c r="AA101" s="25"/>
      <c r="AB101" s="25"/>
    </row>
    <row r="102" spans="2:28">
      <c r="B102" s="40">
        <v>0.73125000000000007</v>
      </c>
      <c r="C102" s="40"/>
      <c r="D102" s="41">
        <v>8</v>
      </c>
      <c r="E102" s="42">
        <v>1</v>
      </c>
      <c r="F102" s="42" t="s">
        <v>170</v>
      </c>
      <c r="G102" s="43" t="s">
        <v>171</v>
      </c>
      <c r="H102" s="42" t="s">
        <v>179</v>
      </c>
      <c r="I102" s="43"/>
      <c r="J102" s="43">
        <v>2</v>
      </c>
      <c r="K102" s="25" t="str">
        <f>VLOOKUP(J102,Key!$E$2:$F$9,2,FALSE)</f>
        <v>Work</v>
      </c>
      <c r="L102" s="42" t="s">
        <v>183</v>
      </c>
      <c r="M102" s="43" t="s">
        <v>183</v>
      </c>
      <c r="N102" s="42" t="s">
        <v>179</v>
      </c>
      <c r="O102" s="43"/>
      <c r="P102" s="43">
        <v>1</v>
      </c>
      <c r="Q102" s="25" t="str">
        <f>VLOOKUP(P102,Key!$E$2:$F$9,2,FALSE)</f>
        <v>Home</v>
      </c>
      <c r="R102" s="25" t="str">
        <f t="shared" ref="R102:R111" si="2">K102&amp;"-"&amp;Q102</f>
        <v>Work-Home</v>
      </c>
      <c r="S102" s="49"/>
      <c r="T102" s="49">
        <v>15</v>
      </c>
      <c r="U102" s="43">
        <v>3</v>
      </c>
      <c r="V102" s="43">
        <v>9</v>
      </c>
      <c r="W102" s="49">
        <v>9</v>
      </c>
      <c r="X102" s="49"/>
      <c r="Y102" s="50"/>
      <c r="Z102" s="59"/>
      <c r="AA102" s="25"/>
      <c r="AB102" s="25"/>
    </row>
    <row r="103" spans="2:28">
      <c r="B103" s="40">
        <v>0.73125000000000007</v>
      </c>
      <c r="C103" s="40"/>
      <c r="D103" s="41">
        <v>2</v>
      </c>
      <c r="E103" s="42">
        <v>2</v>
      </c>
      <c r="F103" s="42" t="s">
        <v>210</v>
      </c>
      <c r="G103" s="43" t="s">
        <v>171</v>
      </c>
      <c r="H103" s="42" t="s">
        <v>179</v>
      </c>
      <c r="I103" s="43"/>
      <c r="J103" s="43">
        <v>4</v>
      </c>
      <c r="K103" s="25" t="str">
        <f>VLOOKUP(J103,Key!$E$2:$F$9,2,FALSE)</f>
        <v>Commercial</v>
      </c>
      <c r="L103" s="42" t="s">
        <v>172</v>
      </c>
      <c r="M103" s="43" t="s">
        <v>172</v>
      </c>
      <c r="N103" s="42" t="s">
        <v>179</v>
      </c>
      <c r="O103" s="43"/>
      <c r="P103" s="43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49"/>
      <c r="T103" s="49">
        <v>2</v>
      </c>
      <c r="U103" s="43">
        <v>2</v>
      </c>
      <c r="V103" s="43"/>
      <c r="W103" s="49">
        <v>0</v>
      </c>
      <c r="X103" s="49"/>
      <c r="Y103" s="50"/>
      <c r="Z103" s="59"/>
      <c r="AA103" s="25"/>
      <c r="AB103" s="25"/>
    </row>
    <row r="104" spans="2:28">
      <c r="B104" s="40">
        <v>0.73611111111111116</v>
      </c>
      <c r="C104" s="40"/>
      <c r="D104" s="41">
        <v>8</v>
      </c>
      <c r="E104" s="42">
        <v>2</v>
      </c>
      <c r="F104" s="42" t="s">
        <v>173</v>
      </c>
      <c r="G104" s="43" t="s">
        <v>167</v>
      </c>
      <c r="H104" s="42" t="s">
        <v>212</v>
      </c>
      <c r="I104" s="43"/>
      <c r="J104" s="43">
        <v>4</v>
      </c>
      <c r="K104" s="25" t="str">
        <f>VLOOKUP(J104,Key!$E$2:$F$9,2,FALSE)</f>
        <v>Commercial</v>
      </c>
      <c r="L104" s="42" t="s">
        <v>183</v>
      </c>
      <c r="M104" s="43" t="s">
        <v>183</v>
      </c>
      <c r="N104" s="42" t="s">
        <v>179</v>
      </c>
      <c r="O104" s="43"/>
      <c r="P104" s="43">
        <v>1</v>
      </c>
      <c r="Q104" s="25" t="str">
        <f>VLOOKUP(P104,Key!$E$2:$F$9,2,FALSE)</f>
        <v>Home</v>
      </c>
      <c r="R104" s="25" t="str">
        <f t="shared" si="2"/>
        <v>Commercial-Home</v>
      </c>
      <c r="S104" s="49"/>
      <c r="T104" s="49">
        <v>24</v>
      </c>
      <c r="U104" s="43">
        <v>3</v>
      </c>
      <c r="V104" s="43">
        <v>6</v>
      </c>
      <c r="W104" s="49">
        <v>29</v>
      </c>
      <c r="X104" s="49"/>
      <c r="Y104" s="50"/>
      <c r="Z104" s="59"/>
      <c r="AA104" s="25"/>
      <c r="AB104" s="25"/>
    </row>
    <row r="105" spans="2:28" ht="12" customHeight="1">
      <c r="B105" s="40">
        <v>0.74652777777777779</v>
      </c>
      <c r="C105" s="40"/>
      <c r="D105" s="41">
        <v>9</v>
      </c>
      <c r="E105" s="42"/>
      <c r="F105" s="42" t="s">
        <v>176</v>
      </c>
      <c r="G105" s="43" t="s">
        <v>171</v>
      </c>
      <c r="H105" s="42" t="s">
        <v>179</v>
      </c>
      <c r="I105" s="43"/>
      <c r="J105" s="43">
        <v>6</v>
      </c>
      <c r="K105" s="25" t="str">
        <f>VLOOKUP(J105,Key!$E$2:$F$9,2,FALSE)</f>
        <v>Leisure/Social</v>
      </c>
      <c r="L105" s="42" t="s">
        <v>168</v>
      </c>
      <c r="M105" s="43" t="s">
        <v>171</v>
      </c>
      <c r="N105" s="42" t="s">
        <v>179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Leisure/Social-Work</v>
      </c>
      <c r="S105" s="49"/>
      <c r="T105" s="49">
        <v>0.5</v>
      </c>
      <c r="U105" s="43">
        <v>3</v>
      </c>
      <c r="V105" s="43"/>
      <c r="W105" s="49">
        <v>0</v>
      </c>
      <c r="X105" s="49"/>
      <c r="Y105" s="50"/>
      <c r="Z105" s="59"/>
      <c r="AA105" s="25"/>
      <c r="AB105" s="25"/>
    </row>
    <row r="106" spans="2:28">
      <c r="B106" s="40">
        <v>0.74930555555555556</v>
      </c>
      <c r="C106" s="40"/>
      <c r="D106" s="41">
        <v>1</v>
      </c>
      <c r="E106" s="42">
        <v>2</v>
      </c>
      <c r="F106" s="42" t="s">
        <v>170</v>
      </c>
      <c r="G106" s="43" t="s">
        <v>171</v>
      </c>
      <c r="H106" s="42" t="s">
        <v>179</v>
      </c>
      <c r="I106" s="43"/>
      <c r="J106" s="43">
        <v>2</v>
      </c>
      <c r="K106" s="25" t="str">
        <f>VLOOKUP(J106,Key!$E$2:$F$9,2,FALSE)</f>
        <v>Work</v>
      </c>
      <c r="L106" s="42" t="s">
        <v>172</v>
      </c>
      <c r="M106" s="43" t="s">
        <v>172</v>
      </c>
      <c r="N106" s="42" t="s">
        <v>179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9"/>
      <c r="T106" s="49">
        <v>2</v>
      </c>
      <c r="U106" s="43">
        <v>3</v>
      </c>
      <c r="V106" s="43"/>
      <c r="W106" s="49">
        <v>0</v>
      </c>
      <c r="X106" s="49"/>
      <c r="Y106" s="50"/>
      <c r="Z106" s="59"/>
      <c r="AA106" s="25"/>
      <c r="AB106" s="25"/>
    </row>
    <row r="107" spans="2:28">
      <c r="B107" s="40">
        <v>0.75208333333333333</v>
      </c>
      <c r="C107" s="40"/>
      <c r="D107" s="41">
        <v>9</v>
      </c>
      <c r="E107" s="42">
        <v>2</v>
      </c>
      <c r="F107" s="42" t="s">
        <v>173</v>
      </c>
      <c r="G107" s="43" t="s">
        <v>167</v>
      </c>
      <c r="H107" s="42" t="s">
        <v>212</v>
      </c>
      <c r="I107" s="43"/>
      <c r="J107" s="43">
        <v>4</v>
      </c>
      <c r="K107" s="25" t="str">
        <f>VLOOKUP(J107,Key!$E$2:$F$9,2,FALSE)</f>
        <v>Commercial</v>
      </c>
      <c r="L107" s="42" t="s">
        <v>183</v>
      </c>
      <c r="M107" s="43" t="s">
        <v>183</v>
      </c>
      <c r="N107" s="42" t="s">
        <v>179</v>
      </c>
      <c r="O107" s="43"/>
      <c r="P107" s="43">
        <v>1</v>
      </c>
      <c r="Q107" s="25" t="str">
        <f>VLOOKUP(P107,Key!$E$2:$F$9,2,FALSE)</f>
        <v>Home</v>
      </c>
      <c r="R107" s="25" t="str">
        <f t="shared" si="2"/>
        <v>Commercial-Home</v>
      </c>
      <c r="S107" s="49"/>
      <c r="T107" s="49">
        <v>22</v>
      </c>
      <c r="U107" s="43">
        <v>3</v>
      </c>
      <c r="V107" s="43">
        <v>1</v>
      </c>
      <c r="W107" s="49">
        <v>27</v>
      </c>
      <c r="X107" s="49"/>
      <c r="Y107" s="50"/>
      <c r="Z107" s="59"/>
      <c r="AA107" s="25"/>
      <c r="AB107" s="25"/>
    </row>
    <row r="108" spans="2:28">
      <c r="B108" s="40">
        <v>0.75624999999999998</v>
      </c>
      <c r="C108" s="40"/>
      <c r="D108" s="41">
        <v>9</v>
      </c>
      <c r="E108" s="42">
        <v>2</v>
      </c>
      <c r="F108" s="42" t="s">
        <v>173</v>
      </c>
      <c r="G108" s="43" t="s">
        <v>167</v>
      </c>
      <c r="H108" s="42" t="s">
        <v>212</v>
      </c>
      <c r="I108" s="43"/>
      <c r="J108" s="43">
        <v>4</v>
      </c>
      <c r="K108" s="25" t="str">
        <f>VLOOKUP(J108,Key!$E$2:$F$9,2,FALSE)</f>
        <v>Commercial</v>
      </c>
      <c r="L108" s="42" t="s">
        <v>215</v>
      </c>
      <c r="M108" s="43" t="s">
        <v>190</v>
      </c>
      <c r="N108" s="42" t="s">
        <v>200</v>
      </c>
      <c r="O108" s="43"/>
      <c r="P108" s="43">
        <v>1</v>
      </c>
      <c r="Q108" s="25" t="str">
        <f>VLOOKUP(P108,Key!$E$2:$F$9,2,FALSE)</f>
        <v>Home</v>
      </c>
      <c r="R108" s="25" t="str">
        <f t="shared" si="2"/>
        <v>Commercial-Home</v>
      </c>
      <c r="S108" s="49"/>
      <c r="T108" s="49">
        <v>24</v>
      </c>
      <c r="U108" s="43">
        <v>3</v>
      </c>
      <c r="V108" s="43">
        <v>5</v>
      </c>
      <c r="W108" s="49">
        <v>30</v>
      </c>
      <c r="X108" s="49"/>
      <c r="Y108" s="50"/>
      <c r="Z108" s="59"/>
      <c r="AA108" s="25"/>
      <c r="AB108" s="25"/>
    </row>
    <row r="109" spans="2:28">
      <c r="B109" s="40">
        <v>0.76250000000000007</v>
      </c>
      <c r="C109" s="40"/>
      <c r="D109" s="41">
        <v>6</v>
      </c>
      <c r="E109" s="42">
        <v>1</v>
      </c>
      <c r="F109" s="42" t="s">
        <v>170</v>
      </c>
      <c r="G109" s="43" t="s">
        <v>171</v>
      </c>
      <c r="H109" s="42" t="s">
        <v>179</v>
      </c>
      <c r="I109" s="43"/>
      <c r="J109" s="43">
        <v>2</v>
      </c>
      <c r="K109" s="25" t="str">
        <f>VLOOKUP(J109,Key!$E$2:$F$9,2,FALSE)</f>
        <v>Work</v>
      </c>
      <c r="L109" s="42" t="s">
        <v>168</v>
      </c>
      <c r="M109" s="43" t="s">
        <v>171</v>
      </c>
      <c r="N109" s="42" t="s">
        <v>179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49"/>
      <c r="T109" s="49">
        <v>0.3</v>
      </c>
      <c r="U109" s="43">
        <v>1</v>
      </c>
      <c r="V109" s="43"/>
      <c r="W109" s="49">
        <v>0</v>
      </c>
      <c r="X109" s="49"/>
      <c r="Y109" s="50"/>
      <c r="Z109" s="59"/>
      <c r="AA109" s="25"/>
      <c r="AB109" s="25"/>
    </row>
    <row r="110" spans="2:28">
      <c r="B110" s="40">
        <v>0.7729166666666667</v>
      </c>
      <c r="C110" s="40"/>
      <c r="D110" s="41">
        <v>9</v>
      </c>
      <c r="E110" s="42">
        <v>3</v>
      </c>
      <c r="F110" s="42" t="s">
        <v>176</v>
      </c>
      <c r="G110" s="43" t="s">
        <v>171</v>
      </c>
      <c r="H110" s="42" t="s">
        <v>179</v>
      </c>
      <c r="I110" s="43"/>
      <c r="J110" s="43">
        <v>2</v>
      </c>
      <c r="K110" s="25" t="str">
        <f>VLOOKUP(J110,Key!$E$2:$F$9,2,FALSE)</f>
        <v>Work</v>
      </c>
      <c r="L110" s="42" t="s">
        <v>168</v>
      </c>
      <c r="M110" s="43" t="s">
        <v>171</v>
      </c>
      <c r="N110" s="42" t="s">
        <v>179</v>
      </c>
      <c r="O110" s="43"/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49"/>
      <c r="T110" s="49">
        <v>0.5</v>
      </c>
      <c r="U110" s="43">
        <v>1</v>
      </c>
      <c r="V110" s="43"/>
      <c r="W110" s="49">
        <v>0</v>
      </c>
      <c r="X110" s="49"/>
      <c r="Y110" s="50"/>
      <c r="Z110" s="59"/>
      <c r="AA110" s="25"/>
      <c r="AB110" s="25"/>
    </row>
    <row r="111" spans="2:28">
      <c r="B111" s="40">
        <v>0.77569444444444446</v>
      </c>
      <c r="C111" s="40"/>
      <c r="D111" s="41">
        <v>8</v>
      </c>
      <c r="E111" s="42">
        <v>2</v>
      </c>
      <c r="F111" s="42" t="s">
        <v>211</v>
      </c>
      <c r="G111" s="43" t="s">
        <v>171</v>
      </c>
      <c r="H111" s="42" t="s">
        <v>179</v>
      </c>
      <c r="I111" s="43"/>
      <c r="J111" s="43">
        <v>2</v>
      </c>
      <c r="K111" s="25" t="str">
        <f>VLOOKUP(J111,Key!$E$2:$F$9,2,FALSE)</f>
        <v>Work</v>
      </c>
      <c r="L111" s="42" t="s">
        <v>168</v>
      </c>
      <c r="M111" s="43" t="s">
        <v>171</v>
      </c>
      <c r="N111" s="42" t="s">
        <v>179</v>
      </c>
      <c r="O111" s="43"/>
      <c r="P111" s="43">
        <v>1</v>
      </c>
      <c r="Q111" s="25" t="str">
        <f>VLOOKUP(P111,Key!$E$2:$F$9,2,FALSE)</f>
        <v>Home</v>
      </c>
      <c r="R111" s="25" t="str">
        <f t="shared" si="2"/>
        <v>Work-Home</v>
      </c>
      <c r="S111" s="49"/>
      <c r="T111" s="49">
        <v>0.7</v>
      </c>
      <c r="U111" s="43">
        <v>1</v>
      </c>
      <c r="V111" s="43">
        <v>10</v>
      </c>
      <c r="W111" s="49">
        <v>0</v>
      </c>
      <c r="X111" s="49"/>
      <c r="Y111" s="50"/>
      <c r="Z111" s="59"/>
      <c r="AA111" s="25"/>
      <c r="AB11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41"/>
  <sheetViews>
    <sheetView topLeftCell="G9" zoomScale="75" zoomScaleNormal="75" zoomScaleSheetLayoutView="80" workbookViewId="0">
      <selection activeCell="B9" sqref="B9:AB4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140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'02.08 Nimule-Atiak'!C4</f>
        <v>02.08.19</v>
      </c>
      <c r="E4" s="1" t="s">
        <v>76</v>
      </c>
      <c r="F4" s="160" t="str">
        <f>'02.08 Nimule-Atiak'!F4:G4</f>
        <v>Atiak Nimule</v>
      </c>
      <c r="G4" s="161"/>
      <c r="I4" s="27" t="s">
        <v>77</v>
      </c>
      <c r="J4" s="5"/>
      <c r="K4" s="5"/>
      <c r="L4" s="52" t="s">
        <v>168</v>
      </c>
      <c r="M4" s="2"/>
      <c r="N4" s="1" t="s">
        <v>79</v>
      </c>
      <c r="O4" s="142" t="s">
        <v>165</v>
      </c>
      <c r="P4" s="143"/>
      <c r="Q4" s="143"/>
      <c r="R4" s="143"/>
      <c r="S4" s="143"/>
      <c r="T4" s="143"/>
      <c r="V4" s="1" t="s">
        <v>80</v>
      </c>
      <c r="W4" s="55" t="str">
        <f>'02.08 Nimule-Atiak'!W4</f>
        <v>Isaac</v>
      </c>
      <c r="Y4" s="27" t="s">
        <v>6</v>
      </c>
      <c r="Z4" s="39" t="str">
        <f>'02.08 Nimule-Atiak'!Z4</f>
        <v>Sheba N</v>
      </c>
      <c r="AA4" s="32" t="s">
        <v>7</v>
      </c>
      <c r="AB4" s="39" t="str">
        <f>'02.08 Nimule-Atiak'!AB4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78</v>
      </c>
      <c r="J5" s="2"/>
      <c r="K5" s="2"/>
      <c r="L5" s="53" t="s">
        <v>167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0" t="s">
        <v>67</v>
      </c>
      <c r="D7" s="132" t="s">
        <v>9</v>
      </c>
      <c r="E7" s="130" t="s">
        <v>35</v>
      </c>
      <c r="F7" s="147" t="s">
        <v>12</v>
      </c>
      <c r="G7" s="148"/>
      <c r="H7" s="149"/>
      <c r="I7" s="132" t="s">
        <v>70</v>
      </c>
      <c r="J7" s="130" t="s">
        <v>15</v>
      </c>
      <c r="K7" s="130" t="s">
        <v>141</v>
      </c>
      <c r="L7" s="147" t="s">
        <v>17</v>
      </c>
      <c r="M7" s="148"/>
      <c r="N7" s="149"/>
      <c r="O7" s="132" t="s">
        <v>71</v>
      </c>
      <c r="P7" s="130" t="s">
        <v>18</v>
      </c>
      <c r="Q7" s="130" t="s">
        <v>142</v>
      </c>
      <c r="R7" s="130" t="s">
        <v>143</v>
      </c>
      <c r="S7" s="130" t="s">
        <v>145</v>
      </c>
      <c r="T7" s="130" t="s">
        <v>144</v>
      </c>
      <c r="U7" s="130" t="s">
        <v>72</v>
      </c>
      <c r="V7" s="136" t="s">
        <v>75</v>
      </c>
      <c r="W7" s="137"/>
      <c r="X7" s="138"/>
      <c r="Y7" s="130" t="s">
        <v>74</v>
      </c>
      <c r="Z7" s="130" t="s">
        <v>148</v>
      </c>
      <c r="AA7" s="132" t="s">
        <v>20</v>
      </c>
      <c r="AB7" s="134" t="s">
        <v>21</v>
      </c>
      <c r="AD7" s="19"/>
    </row>
    <row r="8" spans="2:35" ht="38.25" customHeight="1">
      <c r="B8" s="145"/>
      <c r="C8" s="131"/>
      <c r="D8" s="133"/>
      <c r="E8" s="146"/>
      <c r="F8" s="23" t="s">
        <v>82</v>
      </c>
      <c r="G8" s="23" t="s">
        <v>68</v>
      </c>
      <c r="H8" s="24" t="s">
        <v>69</v>
      </c>
      <c r="I8" s="133"/>
      <c r="J8" s="131"/>
      <c r="K8" s="131"/>
      <c r="L8" s="23" t="s">
        <v>82</v>
      </c>
      <c r="M8" s="23" t="s">
        <v>68</v>
      </c>
      <c r="N8" s="23" t="s">
        <v>69</v>
      </c>
      <c r="O8" s="133"/>
      <c r="P8" s="131"/>
      <c r="Q8" s="131"/>
      <c r="R8" s="131"/>
      <c r="S8" s="131"/>
      <c r="T8" s="131"/>
      <c r="U8" s="131"/>
      <c r="V8" s="29" t="s">
        <v>73</v>
      </c>
      <c r="W8" s="30" t="s">
        <v>146</v>
      </c>
      <c r="X8" s="30" t="s">
        <v>147</v>
      </c>
      <c r="Y8" s="131"/>
      <c r="Z8" s="131"/>
      <c r="AA8" s="133"/>
      <c r="AB8" s="135"/>
    </row>
    <row r="9" spans="2:35" s="19" customFormat="1">
      <c r="B9" s="40">
        <v>0.30902777777777779</v>
      </c>
      <c r="C9" s="40"/>
      <c r="D9" s="41">
        <v>1</v>
      </c>
      <c r="E9" s="42">
        <v>1</v>
      </c>
      <c r="F9" s="42" t="s">
        <v>184</v>
      </c>
      <c r="G9" s="43" t="s">
        <v>184</v>
      </c>
      <c r="H9" s="42" t="s">
        <v>200</v>
      </c>
      <c r="I9" s="43"/>
      <c r="J9" s="43">
        <v>4</v>
      </c>
      <c r="K9" s="25" t="str">
        <f>VLOOKUP(J9,Key!$E$2:$F$9,2,FALSE)</f>
        <v>Commercial</v>
      </c>
      <c r="L9" s="42" t="s">
        <v>170</v>
      </c>
      <c r="M9" s="43" t="s">
        <v>171</v>
      </c>
      <c r="N9" s="42" t="s">
        <v>179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49"/>
      <c r="T9" s="49">
        <v>72</v>
      </c>
      <c r="U9" s="43">
        <v>4</v>
      </c>
      <c r="V9" s="43"/>
      <c r="W9" s="49"/>
      <c r="X9" s="49"/>
      <c r="Y9" s="50"/>
      <c r="Z9" s="59"/>
      <c r="AA9" s="25"/>
      <c r="AB9" s="25"/>
    </row>
    <row r="10" spans="2:35">
      <c r="B10" s="40">
        <v>0.31597222222222221</v>
      </c>
      <c r="C10" s="40"/>
      <c r="D10" s="41">
        <v>1</v>
      </c>
      <c r="E10" s="42">
        <v>1</v>
      </c>
      <c r="F10" s="42" t="s">
        <v>204</v>
      </c>
      <c r="G10" s="43" t="s">
        <v>183</v>
      </c>
      <c r="H10" s="42" t="s">
        <v>179</v>
      </c>
      <c r="I10" s="43"/>
      <c r="J10" s="43">
        <v>4</v>
      </c>
      <c r="K10" s="25" t="str">
        <f>VLOOKUP(J10,Key!$E$2:$F$9,2,FALSE)</f>
        <v>Commercial</v>
      </c>
      <c r="L10" s="42" t="s">
        <v>170</v>
      </c>
      <c r="M10" s="43" t="s">
        <v>171</v>
      </c>
      <c r="N10" s="42" t="s">
        <v>179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Commercial-Commercial</v>
      </c>
      <c r="S10" s="49"/>
      <c r="T10" s="49">
        <v>24</v>
      </c>
      <c r="U10" s="43">
        <v>4</v>
      </c>
      <c r="V10" s="43"/>
      <c r="W10" s="49"/>
      <c r="X10" s="49"/>
      <c r="Y10" s="50"/>
      <c r="Z10" s="59"/>
      <c r="AA10" s="25"/>
      <c r="AB10" s="25"/>
    </row>
    <row r="11" spans="2:35">
      <c r="B11" s="40">
        <v>0.32430555555555557</v>
      </c>
      <c r="C11" s="40"/>
      <c r="D11" s="41">
        <v>9</v>
      </c>
      <c r="E11" s="42">
        <v>1</v>
      </c>
      <c r="F11" s="42" t="s">
        <v>189</v>
      </c>
      <c r="G11" s="43" t="s">
        <v>190</v>
      </c>
      <c r="H11" s="42" t="s">
        <v>200</v>
      </c>
      <c r="I11" s="43"/>
      <c r="J11" s="43">
        <v>4</v>
      </c>
      <c r="K11" s="25" t="str">
        <f>VLOOKUP(J11,Key!$E$2:$F$9,2,FALSE)</f>
        <v>Commercial</v>
      </c>
      <c r="L11" s="42" t="s">
        <v>173</v>
      </c>
      <c r="M11" s="43" t="s">
        <v>167</v>
      </c>
      <c r="N11" s="42" t="s">
        <v>212</v>
      </c>
      <c r="O11" s="43"/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9"/>
      <c r="T11" s="49">
        <v>120</v>
      </c>
      <c r="U11" s="43">
        <v>4</v>
      </c>
      <c r="V11" s="43">
        <v>6</v>
      </c>
      <c r="W11" s="49"/>
      <c r="X11" s="49"/>
      <c r="Y11" s="50"/>
      <c r="Z11" s="59"/>
      <c r="AA11" s="25"/>
      <c r="AB11" s="25"/>
    </row>
    <row r="12" spans="2:35">
      <c r="B12" s="40">
        <v>0.3263888888888889</v>
      </c>
      <c r="C12" s="40"/>
      <c r="D12" s="41">
        <v>9</v>
      </c>
      <c r="E12" s="42">
        <v>1</v>
      </c>
      <c r="F12" s="42" t="s">
        <v>216</v>
      </c>
      <c r="G12" s="43" t="s">
        <v>183</v>
      </c>
      <c r="H12" s="42" t="s">
        <v>179</v>
      </c>
      <c r="I12" s="43"/>
      <c r="J12" s="43">
        <v>4</v>
      </c>
      <c r="K12" s="25" t="str">
        <f>VLOOKUP(J12,Key!$E$2:$F$9,2,FALSE)</f>
        <v>Commercial</v>
      </c>
      <c r="L12" s="42" t="s">
        <v>173</v>
      </c>
      <c r="M12" s="43" t="s">
        <v>167</v>
      </c>
      <c r="N12" s="42" t="s">
        <v>212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49"/>
      <c r="T12" s="49">
        <v>72</v>
      </c>
      <c r="U12" s="43">
        <v>4</v>
      </c>
      <c r="V12" s="43">
        <v>8</v>
      </c>
      <c r="W12" s="49"/>
      <c r="X12" s="49"/>
      <c r="Y12" s="50"/>
      <c r="Z12" s="59"/>
      <c r="AA12" s="25"/>
      <c r="AB12" s="25"/>
    </row>
    <row r="13" spans="2:35">
      <c r="B13" s="40">
        <v>0.33333333333333331</v>
      </c>
      <c r="C13" s="40"/>
      <c r="D13" s="41">
        <v>8</v>
      </c>
      <c r="E13" s="42">
        <v>2</v>
      </c>
      <c r="F13" s="42" t="s">
        <v>204</v>
      </c>
      <c r="G13" s="43" t="s">
        <v>183</v>
      </c>
      <c r="H13" s="42" t="s">
        <v>179</v>
      </c>
      <c r="I13" s="43"/>
      <c r="J13" s="43">
        <v>4</v>
      </c>
      <c r="K13" s="25" t="str">
        <f>VLOOKUP(J13,Key!$E$2:$F$9,2,FALSE)</f>
        <v>Commercial</v>
      </c>
      <c r="L13" s="42" t="s">
        <v>173</v>
      </c>
      <c r="M13" s="43" t="s">
        <v>167</v>
      </c>
      <c r="N13" s="42" t="s">
        <v>212</v>
      </c>
      <c r="O13" s="43"/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49"/>
      <c r="T13" s="49">
        <v>11</v>
      </c>
      <c r="U13" s="43">
        <v>4</v>
      </c>
      <c r="V13" s="43"/>
      <c r="W13" s="49"/>
      <c r="X13" s="49"/>
      <c r="Y13" s="50"/>
      <c r="Z13" s="59"/>
      <c r="AA13" s="25"/>
      <c r="AB13" s="25"/>
    </row>
    <row r="14" spans="2:35">
      <c r="B14" s="40">
        <v>0.35069444444444442</v>
      </c>
      <c r="C14" s="40"/>
      <c r="D14" s="41">
        <v>2</v>
      </c>
      <c r="E14" s="42">
        <v>1</v>
      </c>
      <c r="F14" s="42" t="s">
        <v>172</v>
      </c>
      <c r="G14" s="43" t="s">
        <v>172</v>
      </c>
      <c r="H14" s="42" t="s">
        <v>179</v>
      </c>
      <c r="I14" s="43"/>
      <c r="J14" s="43">
        <v>4</v>
      </c>
      <c r="K14" s="25" t="str">
        <f>VLOOKUP(J14,Key!$E$2:$F$9,2,FALSE)</f>
        <v>Commercial</v>
      </c>
      <c r="L14" s="42" t="s">
        <v>170</v>
      </c>
      <c r="M14" s="43" t="s">
        <v>171</v>
      </c>
      <c r="N14" s="42" t="s">
        <v>179</v>
      </c>
      <c r="O14" s="43"/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49"/>
      <c r="T14" s="49">
        <v>2</v>
      </c>
      <c r="U14" s="43">
        <v>2</v>
      </c>
      <c r="V14" s="43"/>
      <c r="W14" s="49"/>
      <c r="X14" s="49"/>
      <c r="Y14" s="50"/>
      <c r="Z14" s="59"/>
      <c r="AA14" s="25"/>
      <c r="AB14" s="25"/>
    </row>
    <row r="15" spans="2:35">
      <c r="B15" s="40">
        <v>0.3527777777777778</v>
      </c>
      <c r="C15" s="40"/>
      <c r="D15" s="41">
        <v>8</v>
      </c>
      <c r="E15" s="42">
        <v>1</v>
      </c>
      <c r="F15" s="42" t="s">
        <v>204</v>
      </c>
      <c r="G15" s="43" t="s">
        <v>183</v>
      </c>
      <c r="H15" s="42" t="s">
        <v>179</v>
      </c>
      <c r="I15" s="43"/>
      <c r="J15" s="43">
        <v>4</v>
      </c>
      <c r="K15" s="25" t="str">
        <f>VLOOKUP(J15,Key!$E$2:$F$9,2,FALSE)</f>
        <v>Commercial</v>
      </c>
      <c r="L15" s="42" t="s">
        <v>173</v>
      </c>
      <c r="M15" s="43" t="s">
        <v>167</v>
      </c>
      <c r="N15" s="42" t="s">
        <v>212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49"/>
      <c r="T15" s="49">
        <v>24</v>
      </c>
      <c r="U15" s="43">
        <v>4</v>
      </c>
      <c r="V15" s="43">
        <v>5</v>
      </c>
      <c r="W15" s="49"/>
      <c r="X15" s="49"/>
      <c r="Y15" s="50"/>
      <c r="Z15" s="59"/>
      <c r="AA15" s="25"/>
      <c r="AB15" s="25"/>
    </row>
    <row r="16" spans="2:35">
      <c r="B16" s="40">
        <v>0.35833333333333334</v>
      </c>
      <c r="C16" s="40"/>
      <c r="D16" s="41">
        <v>8</v>
      </c>
      <c r="E16" s="42">
        <v>2</v>
      </c>
      <c r="F16" s="42" t="s">
        <v>217</v>
      </c>
      <c r="G16" s="43" t="s">
        <v>183</v>
      </c>
      <c r="H16" s="42" t="s">
        <v>179</v>
      </c>
      <c r="I16" s="43"/>
      <c r="J16" s="43">
        <v>4</v>
      </c>
      <c r="K16" s="25" t="str">
        <f>VLOOKUP(J16,Key!$E$2:$F$9,2,FALSE)</f>
        <v>Commercial</v>
      </c>
      <c r="L16" s="42" t="s">
        <v>173</v>
      </c>
      <c r="M16" s="43" t="s">
        <v>167</v>
      </c>
      <c r="N16" s="42" t="s">
        <v>212</v>
      </c>
      <c r="O16" s="43"/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9"/>
      <c r="T16" s="49">
        <v>24</v>
      </c>
      <c r="U16" s="43">
        <v>4</v>
      </c>
      <c r="V16" s="43">
        <v>9</v>
      </c>
      <c r="W16" s="49"/>
      <c r="X16" s="49"/>
      <c r="Y16" s="50"/>
      <c r="Z16" s="59"/>
      <c r="AA16" s="25"/>
      <c r="AB16" s="25"/>
    </row>
    <row r="17" spans="2:28">
      <c r="B17" s="40">
        <v>0.375</v>
      </c>
      <c r="C17" s="40"/>
      <c r="D17" s="41">
        <v>9</v>
      </c>
      <c r="E17" s="42">
        <v>1</v>
      </c>
      <c r="F17" s="42" t="s">
        <v>218</v>
      </c>
      <c r="G17" s="43" t="s">
        <v>183</v>
      </c>
      <c r="H17" s="42" t="s">
        <v>179</v>
      </c>
      <c r="I17" s="43"/>
      <c r="J17" s="43">
        <v>4</v>
      </c>
      <c r="K17" s="25" t="str">
        <f>VLOOKUP(J17,Key!$E$2:$F$9,2,FALSE)</f>
        <v>Commercial</v>
      </c>
      <c r="L17" s="42" t="s">
        <v>173</v>
      </c>
      <c r="M17" s="43" t="s">
        <v>167</v>
      </c>
      <c r="N17" s="42" t="s">
        <v>212</v>
      </c>
      <c r="O17" s="43"/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49"/>
      <c r="T17" s="49">
        <v>72</v>
      </c>
      <c r="U17" s="43">
        <v>4</v>
      </c>
      <c r="V17" s="43">
        <v>5</v>
      </c>
      <c r="W17" s="49"/>
      <c r="X17" s="49"/>
      <c r="Y17" s="50"/>
      <c r="Z17" s="59"/>
      <c r="AA17" s="25"/>
      <c r="AB17" s="25"/>
    </row>
    <row r="18" spans="2:28">
      <c r="B18" s="40">
        <v>0.38541666666666669</v>
      </c>
      <c r="C18" s="40"/>
      <c r="D18" s="41">
        <v>9</v>
      </c>
      <c r="E18" s="42">
        <v>1</v>
      </c>
      <c r="F18" s="42" t="s">
        <v>189</v>
      </c>
      <c r="G18" s="43" t="s">
        <v>190</v>
      </c>
      <c r="H18" s="42" t="s">
        <v>200</v>
      </c>
      <c r="I18" s="43"/>
      <c r="J18" s="43">
        <v>4</v>
      </c>
      <c r="K18" s="25" t="str">
        <f>VLOOKUP(J18,Key!$E$2:$F$9,2,FALSE)</f>
        <v>Commercial</v>
      </c>
      <c r="L18" s="42" t="s">
        <v>173</v>
      </c>
      <c r="M18" s="43" t="s">
        <v>167</v>
      </c>
      <c r="N18" s="42" t="s">
        <v>212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49"/>
      <c r="T18" s="49">
        <v>96</v>
      </c>
      <c r="U18" s="43">
        <v>4</v>
      </c>
      <c r="V18" s="43">
        <v>6</v>
      </c>
      <c r="W18" s="49"/>
      <c r="X18" s="49"/>
      <c r="Y18" s="50"/>
      <c r="Z18" s="59"/>
      <c r="AA18" s="25"/>
      <c r="AB18" s="25"/>
    </row>
    <row r="19" spans="2:28">
      <c r="B19" s="40">
        <v>0.3888888888888889</v>
      </c>
      <c r="C19" s="40"/>
      <c r="D19" s="41">
        <v>7</v>
      </c>
      <c r="E19" s="42">
        <v>1</v>
      </c>
      <c r="F19" s="42" t="s">
        <v>190</v>
      </c>
      <c r="G19" s="43" t="s">
        <v>190</v>
      </c>
      <c r="H19" s="42" t="s">
        <v>200</v>
      </c>
      <c r="I19" s="43"/>
      <c r="J19" s="43">
        <v>4</v>
      </c>
      <c r="K19" s="25" t="str">
        <f>VLOOKUP(J19,Key!$E$2:$F$9,2,FALSE)</f>
        <v>Commercial</v>
      </c>
      <c r="L19" s="42" t="s">
        <v>173</v>
      </c>
      <c r="M19" s="43" t="s">
        <v>167</v>
      </c>
      <c r="N19" s="42" t="s">
        <v>212</v>
      </c>
      <c r="O19" s="43"/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9"/>
      <c r="T19" s="49">
        <v>120</v>
      </c>
      <c r="U19" s="43">
        <v>4</v>
      </c>
      <c r="V19" s="43">
        <v>4</v>
      </c>
      <c r="W19" s="49"/>
      <c r="X19" s="49"/>
      <c r="Y19" s="50"/>
      <c r="Z19" s="59"/>
      <c r="AA19" s="25"/>
      <c r="AB19" s="25"/>
    </row>
    <row r="20" spans="2:28">
      <c r="B20" s="40">
        <v>0.4201388888888889</v>
      </c>
      <c r="C20" s="40"/>
      <c r="D20" s="41">
        <v>1</v>
      </c>
      <c r="E20" s="42">
        <v>1</v>
      </c>
      <c r="F20" s="42" t="s">
        <v>172</v>
      </c>
      <c r="G20" s="43" t="s">
        <v>172</v>
      </c>
      <c r="H20" s="42" t="s">
        <v>179</v>
      </c>
      <c r="I20" s="43"/>
      <c r="J20" s="43">
        <v>1</v>
      </c>
      <c r="K20" s="25" t="str">
        <f>VLOOKUP(J20,Key!$E$2:$F$9,2,FALSE)</f>
        <v>Home</v>
      </c>
      <c r="L20" s="42" t="s">
        <v>170</v>
      </c>
      <c r="M20" s="43" t="s">
        <v>171</v>
      </c>
      <c r="N20" s="42" t="s">
        <v>179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9"/>
      <c r="T20" s="49">
        <v>2</v>
      </c>
      <c r="U20" s="43">
        <v>4</v>
      </c>
      <c r="V20" s="43"/>
      <c r="W20" s="49"/>
      <c r="X20" s="49"/>
      <c r="Y20" s="50"/>
      <c r="Z20" s="59"/>
      <c r="AA20" s="25"/>
      <c r="AB20" s="25"/>
    </row>
    <row r="21" spans="2:28">
      <c r="B21" s="40">
        <v>0.43402777777777773</v>
      </c>
      <c r="C21" s="40"/>
      <c r="D21" s="41">
        <v>2</v>
      </c>
      <c r="E21" s="42">
        <v>3</v>
      </c>
      <c r="F21" s="42" t="s">
        <v>206</v>
      </c>
      <c r="G21" s="43" t="s">
        <v>171</v>
      </c>
      <c r="H21" s="42" t="s">
        <v>179</v>
      </c>
      <c r="I21" s="43"/>
      <c r="J21" s="43">
        <v>4</v>
      </c>
      <c r="K21" s="25" t="str">
        <f>VLOOKUP(J21,Key!$E$2:$F$9,2,FALSE)</f>
        <v>Commercial</v>
      </c>
      <c r="L21" s="42" t="s">
        <v>170</v>
      </c>
      <c r="M21" s="43" t="s">
        <v>171</v>
      </c>
      <c r="N21" s="42" t="s">
        <v>179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9"/>
      <c r="T21" s="49">
        <v>1</v>
      </c>
      <c r="U21" s="43">
        <v>2</v>
      </c>
      <c r="V21" s="43"/>
      <c r="W21" s="49"/>
      <c r="X21" s="49"/>
      <c r="Y21" s="50"/>
      <c r="Z21" s="59"/>
      <c r="AA21" s="25"/>
      <c r="AB21" s="25"/>
    </row>
    <row r="22" spans="2:28">
      <c r="B22" s="40">
        <v>0.4513888888888889</v>
      </c>
      <c r="C22" s="40"/>
      <c r="D22" s="41">
        <v>1</v>
      </c>
      <c r="E22" s="42">
        <v>2</v>
      </c>
      <c r="F22" s="42" t="s">
        <v>208</v>
      </c>
      <c r="G22" s="43" t="s">
        <v>171</v>
      </c>
      <c r="H22" s="42" t="s">
        <v>179</v>
      </c>
      <c r="I22" s="43"/>
      <c r="J22" s="43">
        <v>4</v>
      </c>
      <c r="K22" s="25" t="str">
        <f>VLOOKUP(J22,Key!$E$2:$F$9,2,FALSE)</f>
        <v>Commercial</v>
      </c>
      <c r="L22" s="42" t="s">
        <v>170</v>
      </c>
      <c r="M22" s="43" t="s">
        <v>171</v>
      </c>
      <c r="N22" s="42" t="s">
        <v>179</v>
      </c>
      <c r="O22" s="43"/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9"/>
      <c r="T22" s="49">
        <v>2</v>
      </c>
      <c r="U22" s="43">
        <v>2</v>
      </c>
      <c r="V22" s="43"/>
      <c r="W22" s="49"/>
      <c r="X22" s="49"/>
      <c r="Y22" s="50"/>
      <c r="Z22" s="59"/>
      <c r="AA22" s="25"/>
      <c r="AB22" s="25"/>
    </row>
    <row r="23" spans="2:28">
      <c r="B23" s="40">
        <v>0.46180555555555558</v>
      </c>
      <c r="C23" s="40"/>
      <c r="D23" s="41">
        <v>1</v>
      </c>
      <c r="E23" s="42">
        <v>2</v>
      </c>
      <c r="F23" s="42" t="s">
        <v>172</v>
      </c>
      <c r="G23" s="43" t="s">
        <v>172</v>
      </c>
      <c r="H23" s="42" t="s">
        <v>179</v>
      </c>
      <c r="I23" s="43"/>
      <c r="J23" s="43">
        <v>4</v>
      </c>
      <c r="K23" s="25" t="str">
        <f>VLOOKUP(J23,Key!$E$2:$F$9,2,FALSE)</f>
        <v>Commercial</v>
      </c>
      <c r="L23" s="42" t="s">
        <v>170</v>
      </c>
      <c r="M23" s="43" t="s">
        <v>171</v>
      </c>
      <c r="N23" s="42" t="s">
        <v>179</v>
      </c>
      <c r="O23" s="43"/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49"/>
      <c r="T23" s="49">
        <v>1.5</v>
      </c>
      <c r="U23" s="43">
        <v>2</v>
      </c>
      <c r="V23" s="43"/>
      <c r="W23" s="49"/>
      <c r="X23" s="49"/>
      <c r="Y23" s="50"/>
      <c r="Z23" s="59"/>
      <c r="AA23" s="25"/>
      <c r="AB23" s="25"/>
    </row>
    <row r="24" spans="2:28">
      <c r="B24" s="40">
        <v>0.47222222222222227</v>
      </c>
      <c r="C24" s="40"/>
      <c r="D24" s="41">
        <v>2</v>
      </c>
      <c r="E24" s="42">
        <v>1</v>
      </c>
      <c r="F24" s="42" t="s">
        <v>172</v>
      </c>
      <c r="G24" s="43" t="s">
        <v>172</v>
      </c>
      <c r="H24" s="42" t="s">
        <v>179</v>
      </c>
      <c r="I24" s="43"/>
      <c r="J24" s="43">
        <v>4</v>
      </c>
      <c r="K24" s="25" t="str">
        <f>VLOOKUP(J24,Key!$E$2:$F$9,2,FALSE)</f>
        <v>Commercial</v>
      </c>
      <c r="L24" s="42" t="s">
        <v>208</v>
      </c>
      <c r="M24" s="43" t="s">
        <v>171</v>
      </c>
      <c r="N24" s="42" t="s">
        <v>179</v>
      </c>
      <c r="O24" s="43"/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49"/>
      <c r="T24" s="49">
        <v>1.5</v>
      </c>
      <c r="U24" s="43">
        <v>3</v>
      </c>
      <c r="V24" s="43">
        <v>6</v>
      </c>
      <c r="W24" s="49"/>
      <c r="X24" s="49"/>
      <c r="Y24" s="50"/>
      <c r="Z24" s="59"/>
      <c r="AA24" s="25"/>
      <c r="AB24" s="25"/>
    </row>
    <row r="25" spans="2:28">
      <c r="B25" s="40">
        <v>0.4826388888888889</v>
      </c>
      <c r="C25" s="40"/>
      <c r="D25" s="41">
        <v>9</v>
      </c>
      <c r="E25" s="42">
        <v>1</v>
      </c>
      <c r="F25" s="42" t="s">
        <v>204</v>
      </c>
      <c r="G25" s="43" t="s">
        <v>183</v>
      </c>
      <c r="H25" s="42" t="s">
        <v>179</v>
      </c>
      <c r="I25" s="43"/>
      <c r="J25" s="43">
        <v>4</v>
      </c>
      <c r="K25" s="25" t="str">
        <f>VLOOKUP(J25,Key!$E$2:$F$9,2,FALSE)</f>
        <v>Commercial</v>
      </c>
      <c r="L25" s="42" t="s">
        <v>173</v>
      </c>
      <c r="M25" s="43" t="s">
        <v>167</v>
      </c>
      <c r="N25" s="42" t="s">
        <v>212</v>
      </c>
      <c r="O25" s="43"/>
      <c r="P25" s="43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49"/>
      <c r="T25" s="49">
        <v>96</v>
      </c>
      <c r="U25" s="43">
        <v>4</v>
      </c>
      <c r="V25" s="43">
        <v>8</v>
      </c>
      <c r="W25" s="49"/>
      <c r="X25" s="49"/>
      <c r="Y25" s="50"/>
      <c r="Z25" s="59"/>
      <c r="AA25" s="25"/>
      <c r="AB25" s="25"/>
    </row>
    <row r="26" spans="2:28">
      <c r="B26" s="40">
        <v>0.4916666666666667</v>
      </c>
      <c r="C26" s="40"/>
      <c r="D26" s="41">
        <v>9</v>
      </c>
      <c r="E26" s="42">
        <v>1</v>
      </c>
      <c r="F26" s="42" t="s">
        <v>204</v>
      </c>
      <c r="G26" s="43" t="s">
        <v>183</v>
      </c>
      <c r="H26" s="42" t="s">
        <v>179</v>
      </c>
      <c r="I26" s="43"/>
      <c r="J26" s="43">
        <v>4</v>
      </c>
      <c r="K26" s="25" t="str">
        <f>VLOOKUP(J26,Key!$E$2:$F$9,2,FALSE)</f>
        <v>Commercial</v>
      </c>
      <c r="L26" s="42" t="s">
        <v>173</v>
      </c>
      <c r="M26" s="43" t="s">
        <v>167</v>
      </c>
      <c r="N26" s="42" t="s">
        <v>212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9"/>
      <c r="T26" s="49">
        <v>48</v>
      </c>
      <c r="U26" s="43">
        <v>4</v>
      </c>
      <c r="V26" s="43"/>
      <c r="W26" s="49"/>
      <c r="X26" s="49"/>
      <c r="Y26" s="50"/>
      <c r="Z26" s="59"/>
      <c r="AA26" s="25"/>
      <c r="AB26" s="25"/>
    </row>
    <row r="27" spans="2:28">
      <c r="B27" s="40">
        <v>0.49652777777777773</v>
      </c>
      <c r="C27" s="40"/>
      <c r="D27" s="41">
        <v>1</v>
      </c>
      <c r="E27" s="42">
        <v>2</v>
      </c>
      <c r="F27" s="42" t="s">
        <v>172</v>
      </c>
      <c r="G27" s="43" t="s">
        <v>172</v>
      </c>
      <c r="H27" s="42" t="s">
        <v>179</v>
      </c>
      <c r="I27" s="43"/>
      <c r="J27" s="43">
        <v>4</v>
      </c>
      <c r="K27" s="25" t="str">
        <f>VLOOKUP(J27,Key!$E$2:$F$9,2,FALSE)</f>
        <v>Commercial</v>
      </c>
      <c r="L27" s="42" t="s">
        <v>170</v>
      </c>
      <c r="M27" s="43" t="s">
        <v>171</v>
      </c>
      <c r="N27" s="42" t="s">
        <v>179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Commercial-Home</v>
      </c>
      <c r="S27" s="49"/>
      <c r="T27" s="49">
        <v>1.5</v>
      </c>
      <c r="U27" s="43">
        <v>3</v>
      </c>
      <c r="V27" s="43"/>
      <c r="W27" s="49"/>
      <c r="X27" s="49"/>
      <c r="Y27" s="50"/>
      <c r="Z27" s="59"/>
      <c r="AA27" s="25"/>
      <c r="AB27" s="25"/>
    </row>
    <row r="28" spans="2:28">
      <c r="B28" s="40">
        <v>0.51041666666666663</v>
      </c>
      <c r="C28" s="40"/>
      <c r="D28" s="41">
        <v>2</v>
      </c>
      <c r="E28" s="42">
        <v>1</v>
      </c>
      <c r="F28" s="42" t="s">
        <v>168</v>
      </c>
      <c r="G28" s="43" t="s">
        <v>171</v>
      </c>
      <c r="H28" s="42" t="s">
        <v>179</v>
      </c>
      <c r="I28" s="43"/>
      <c r="J28" s="43">
        <v>4</v>
      </c>
      <c r="K28" s="25" t="str">
        <f>VLOOKUP(J28,Key!$E$2:$F$9,2,FALSE)</f>
        <v>Commercial</v>
      </c>
      <c r="L28" s="42" t="s">
        <v>224</v>
      </c>
      <c r="M28" s="43" t="s">
        <v>171</v>
      </c>
      <c r="N28" s="42" t="s">
        <v>179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49"/>
      <c r="T28" s="49">
        <v>0.5</v>
      </c>
      <c r="U28" s="43">
        <v>1</v>
      </c>
      <c r="V28" s="43"/>
      <c r="W28" s="49"/>
      <c r="X28" s="49"/>
      <c r="Y28" s="50"/>
      <c r="Z28" s="59"/>
      <c r="AA28" s="25"/>
      <c r="AB28" s="25"/>
    </row>
    <row r="29" spans="2:28">
      <c r="B29" s="40">
        <v>0.51666666666666672</v>
      </c>
      <c r="C29" s="40"/>
      <c r="D29" s="41">
        <v>1</v>
      </c>
      <c r="E29" s="42">
        <v>1</v>
      </c>
      <c r="F29" s="42" t="s">
        <v>219</v>
      </c>
      <c r="G29" s="43" t="s">
        <v>171</v>
      </c>
      <c r="H29" s="42" t="s">
        <v>179</v>
      </c>
      <c r="I29" s="43"/>
      <c r="J29" s="43">
        <v>4</v>
      </c>
      <c r="K29" s="25" t="str">
        <f>VLOOKUP(J29,Key!$E$2:$F$9,2,FALSE)</f>
        <v>Commercial</v>
      </c>
      <c r="L29" s="42" t="s">
        <v>170</v>
      </c>
      <c r="M29" s="43" t="s">
        <v>171</v>
      </c>
      <c r="N29" s="42" t="s">
        <v>179</v>
      </c>
      <c r="O29" s="43"/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49"/>
      <c r="T29" s="49">
        <v>1.5</v>
      </c>
      <c r="U29" s="43">
        <v>4</v>
      </c>
      <c r="V29" s="43"/>
      <c r="W29" s="49"/>
      <c r="X29" s="49"/>
      <c r="Y29" s="50"/>
      <c r="Z29" s="59"/>
      <c r="AA29" s="25"/>
      <c r="AB29" s="25"/>
    </row>
    <row r="30" spans="2:28">
      <c r="B30" s="40">
        <v>0.53263888888888888</v>
      </c>
      <c r="C30" s="40"/>
      <c r="D30" s="41">
        <v>3</v>
      </c>
      <c r="E30" s="42">
        <v>1</v>
      </c>
      <c r="F30" s="42" t="s">
        <v>172</v>
      </c>
      <c r="G30" s="43" t="s">
        <v>172</v>
      </c>
      <c r="H30" s="42" t="s">
        <v>179</v>
      </c>
      <c r="I30" s="43"/>
      <c r="J30" s="43">
        <v>4</v>
      </c>
      <c r="K30" s="25" t="str">
        <f>VLOOKUP(J30,Key!$E$2:$F$9,2,FALSE)</f>
        <v>Commercial</v>
      </c>
      <c r="L30" s="42" t="s">
        <v>170</v>
      </c>
      <c r="M30" s="43" t="s">
        <v>171</v>
      </c>
      <c r="N30" s="42" t="s">
        <v>179</v>
      </c>
      <c r="O30" s="43"/>
      <c r="P30" s="43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49"/>
      <c r="T30" s="49">
        <v>2</v>
      </c>
      <c r="U30" s="43">
        <v>4</v>
      </c>
      <c r="V30" s="43"/>
      <c r="W30" s="49"/>
      <c r="X30" s="49"/>
      <c r="Y30" s="50"/>
      <c r="Z30" s="59"/>
      <c r="AA30" s="25"/>
      <c r="AB30" s="25"/>
    </row>
    <row r="31" spans="2:28">
      <c r="B31" s="40">
        <v>0.54513888888888895</v>
      </c>
      <c r="C31" s="40"/>
      <c r="D31" s="41">
        <v>3</v>
      </c>
      <c r="E31" s="42">
        <v>2</v>
      </c>
      <c r="F31" s="42" t="s">
        <v>220</v>
      </c>
      <c r="G31" s="43" t="s">
        <v>220</v>
      </c>
      <c r="H31" s="42" t="s">
        <v>179</v>
      </c>
      <c r="I31" s="43"/>
      <c r="J31" s="43">
        <v>4</v>
      </c>
      <c r="K31" s="25" t="str">
        <f>VLOOKUP(J31,Key!$E$2:$F$9,2,FALSE)</f>
        <v>Commercial</v>
      </c>
      <c r="L31" s="42" t="s">
        <v>170</v>
      </c>
      <c r="M31" s="43" t="s">
        <v>171</v>
      </c>
      <c r="N31" s="42" t="s">
        <v>179</v>
      </c>
      <c r="O31" s="43"/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49"/>
      <c r="T31" s="49">
        <v>6</v>
      </c>
      <c r="U31" s="43">
        <v>4</v>
      </c>
      <c r="V31" s="43">
        <v>8</v>
      </c>
      <c r="W31" s="49"/>
      <c r="X31" s="49"/>
      <c r="Y31" s="50"/>
      <c r="Z31" s="59"/>
      <c r="AA31" s="25"/>
      <c r="AB31" s="25"/>
    </row>
    <row r="32" spans="2:28">
      <c r="B32" s="40">
        <v>0.56597222222222221</v>
      </c>
      <c r="C32" s="40"/>
      <c r="D32" s="41">
        <v>1</v>
      </c>
      <c r="E32" s="42">
        <v>4</v>
      </c>
      <c r="F32" s="42" t="s">
        <v>221</v>
      </c>
      <c r="G32" s="43" t="s">
        <v>222</v>
      </c>
      <c r="H32" s="42" t="s">
        <v>179</v>
      </c>
      <c r="I32" s="43"/>
      <c r="J32" s="43">
        <v>2</v>
      </c>
      <c r="K32" s="25" t="str">
        <f>VLOOKUP(J32,Key!$E$2:$F$9,2,FALSE)</f>
        <v>Work</v>
      </c>
      <c r="L32" s="42" t="s">
        <v>208</v>
      </c>
      <c r="M32" s="43" t="s">
        <v>171</v>
      </c>
      <c r="N32" s="42" t="s">
        <v>179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49"/>
      <c r="T32" s="49">
        <v>2.5</v>
      </c>
      <c r="U32" s="43">
        <v>5</v>
      </c>
      <c r="V32" s="43"/>
      <c r="W32" s="49"/>
      <c r="X32" s="49"/>
      <c r="Y32" s="50"/>
      <c r="Z32" s="59"/>
      <c r="AA32" s="25"/>
      <c r="AB32" s="25"/>
    </row>
    <row r="33" spans="2:28">
      <c r="B33" s="40">
        <v>0.59583333333333333</v>
      </c>
      <c r="C33" s="40"/>
      <c r="D33" s="41">
        <v>2</v>
      </c>
      <c r="E33" s="42">
        <v>4</v>
      </c>
      <c r="F33" s="42" t="s">
        <v>172</v>
      </c>
      <c r="G33" s="43" t="s">
        <v>172</v>
      </c>
      <c r="H33" s="42" t="s">
        <v>179</v>
      </c>
      <c r="I33" s="43"/>
      <c r="J33" s="43">
        <v>4</v>
      </c>
      <c r="K33" s="25" t="str">
        <f>VLOOKUP(J33,Key!$E$2:$F$9,2,FALSE)</f>
        <v>Commercial</v>
      </c>
      <c r="L33" s="42" t="s">
        <v>170</v>
      </c>
      <c r="M33" s="43" t="s">
        <v>171</v>
      </c>
      <c r="N33" s="42" t="s">
        <v>179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49"/>
      <c r="T33" s="49">
        <v>2</v>
      </c>
      <c r="U33" s="43">
        <v>2</v>
      </c>
      <c r="V33" s="43">
        <v>9</v>
      </c>
      <c r="W33" s="49"/>
      <c r="X33" s="49"/>
      <c r="Y33" s="50"/>
      <c r="Z33" s="59"/>
      <c r="AA33" s="25"/>
      <c r="AB33" s="25"/>
    </row>
    <row r="34" spans="2:28">
      <c r="B34" s="40">
        <v>0.61805555555555558</v>
      </c>
      <c r="C34" s="40"/>
      <c r="D34" s="41">
        <v>1</v>
      </c>
      <c r="E34" s="42">
        <v>2</v>
      </c>
      <c r="F34" s="42" t="s">
        <v>188</v>
      </c>
      <c r="G34" s="43" t="s">
        <v>183</v>
      </c>
      <c r="H34" s="42" t="s">
        <v>179</v>
      </c>
      <c r="I34" s="43"/>
      <c r="J34" s="43">
        <v>2</v>
      </c>
      <c r="K34" s="25" t="str">
        <f>VLOOKUP(J34,Key!$E$2:$F$9,2,FALSE)</f>
        <v>Work</v>
      </c>
      <c r="L34" s="42" t="s">
        <v>208</v>
      </c>
      <c r="M34" s="43" t="s">
        <v>171</v>
      </c>
      <c r="N34" s="42" t="s">
        <v>179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9"/>
      <c r="T34" s="49">
        <v>8</v>
      </c>
      <c r="U34" s="43">
        <v>4</v>
      </c>
      <c r="V34" s="43"/>
      <c r="W34" s="49"/>
      <c r="X34" s="49"/>
      <c r="Y34" s="50"/>
      <c r="Z34" s="59"/>
      <c r="AA34" s="25"/>
      <c r="AB34" s="25"/>
    </row>
    <row r="35" spans="2:28">
      <c r="B35" s="40">
        <v>0.62708333333333333</v>
      </c>
      <c r="C35" s="40"/>
      <c r="D35" s="41">
        <v>8</v>
      </c>
      <c r="E35" s="42">
        <v>1</v>
      </c>
      <c r="F35" s="42" t="s">
        <v>223</v>
      </c>
      <c r="G35" s="43" t="s">
        <v>183</v>
      </c>
      <c r="H35" s="42" t="s">
        <v>179</v>
      </c>
      <c r="I35" s="43"/>
      <c r="J35" s="43">
        <v>4</v>
      </c>
      <c r="K35" s="25" t="str">
        <f>VLOOKUP(J35,Key!$E$2:$F$9,2,FALSE)</f>
        <v>Commercial</v>
      </c>
      <c r="L35" s="42" t="s">
        <v>173</v>
      </c>
      <c r="M35" s="43" t="s">
        <v>167</v>
      </c>
      <c r="N35" s="42" t="s">
        <v>212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9"/>
      <c r="T35" s="49">
        <v>48</v>
      </c>
      <c r="U35" s="43">
        <v>4</v>
      </c>
      <c r="V35" s="43">
        <v>8</v>
      </c>
      <c r="W35" s="49"/>
      <c r="X35" s="49"/>
      <c r="Y35" s="50"/>
      <c r="Z35" s="59"/>
      <c r="AA35" s="25"/>
      <c r="AB35" s="25"/>
    </row>
    <row r="36" spans="2:28">
      <c r="B36" s="40">
        <v>0.63888888888888895</v>
      </c>
      <c r="C36" s="40"/>
      <c r="D36" s="41">
        <v>2</v>
      </c>
      <c r="E36" s="42">
        <v>6</v>
      </c>
      <c r="F36" s="42" t="s">
        <v>172</v>
      </c>
      <c r="G36" s="43" t="s">
        <v>172</v>
      </c>
      <c r="H36" s="42" t="s">
        <v>179</v>
      </c>
      <c r="I36" s="43"/>
      <c r="J36" s="43">
        <v>4</v>
      </c>
      <c r="K36" s="25" t="str">
        <f>VLOOKUP(J36,Key!$E$2:$F$9,2,FALSE)</f>
        <v>Commercial</v>
      </c>
      <c r="L36" s="42" t="s">
        <v>170</v>
      </c>
      <c r="M36" s="43" t="s">
        <v>171</v>
      </c>
      <c r="N36" s="42" t="s">
        <v>179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49"/>
      <c r="T36" s="49">
        <v>2</v>
      </c>
      <c r="U36" s="43">
        <v>2</v>
      </c>
      <c r="V36" s="43"/>
      <c r="W36" s="49"/>
      <c r="X36" s="49"/>
      <c r="Y36" s="50"/>
      <c r="Z36" s="59"/>
      <c r="AA36" s="25"/>
      <c r="AB36" s="25"/>
    </row>
    <row r="37" spans="2:28">
      <c r="B37" s="40">
        <v>0.71180555555555547</v>
      </c>
      <c r="C37" s="40"/>
      <c r="D37" s="41">
        <v>9</v>
      </c>
      <c r="E37" s="42">
        <v>1</v>
      </c>
      <c r="F37" s="42" t="s">
        <v>190</v>
      </c>
      <c r="G37" s="43" t="s">
        <v>190</v>
      </c>
      <c r="H37" s="42" t="s">
        <v>200</v>
      </c>
      <c r="I37" s="43"/>
      <c r="J37" s="43">
        <v>4</v>
      </c>
      <c r="K37" s="25" t="str">
        <f>VLOOKUP(J37,Key!$E$2:$F$9,2,FALSE)</f>
        <v>Commercial</v>
      </c>
      <c r="L37" s="42" t="s">
        <v>173</v>
      </c>
      <c r="M37" s="43" t="s">
        <v>167</v>
      </c>
      <c r="N37" s="42" t="s">
        <v>212</v>
      </c>
      <c r="O37" s="43"/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49"/>
      <c r="T37" s="49">
        <v>48</v>
      </c>
      <c r="U37" s="43">
        <v>4</v>
      </c>
      <c r="V37" s="43">
        <v>5</v>
      </c>
      <c r="W37" s="49"/>
      <c r="X37" s="49"/>
      <c r="Y37" s="50"/>
      <c r="Z37" s="59"/>
      <c r="AA37" s="25"/>
      <c r="AB37" s="25"/>
    </row>
    <row r="38" spans="2:28">
      <c r="B38" s="40">
        <v>0.71875</v>
      </c>
      <c r="C38" s="40"/>
      <c r="D38" s="41">
        <v>9</v>
      </c>
      <c r="E38" s="42">
        <v>1</v>
      </c>
      <c r="F38" s="42" t="s">
        <v>189</v>
      </c>
      <c r="G38" s="43" t="s">
        <v>190</v>
      </c>
      <c r="H38" s="42" t="s">
        <v>200</v>
      </c>
      <c r="I38" s="43"/>
      <c r="J38" s="43">
        <v>4</v>
      </c>
      <c r="K38" s="25" t="str">
        <f>VLOOKUP(J38,Key!$E$2:$F$9,2,FALSE)</f>
        <v>Commercial</v>
      </c>
      <c r="L38" s="42" t="s">
        <v>173</v>
      </c>
      <c r="M38" s="43" t="s">
        <v>167</v>
      </c>
      <c r="N38" s="42" t="s">
        <v>212</v>
      </c>
      <c r="O38" s="43"/>
      <c r="P38" s="43">
        <v>4</v>
      </c>
      <c r="Q38" s="25" t="str">
        <f>VLOOKUP(P38,Key!$E$2:$F$9,2,FALSE)</f>
        <v>Commercial</v>
      </c>
      <c r="R38" s="25" t="str">
        <f t="shared" ref="R38:R41" si="1">K38&amp;"-"&amp;Q38</f>
        <v>Commercial-Commercial</v>
      </c>
      <c r="S38" s="49"/>
      <c r="T38" s="49">
        <v>96</v>
      </c>
      <c r="U38" s="43">
        <v>4</v>
      </c>
      <c r="V38" s="43">
        <v>6</v>
      </c>
      <c r="W38" s="49"/>
      <c r="X38" s="49"/>
      <c r="Y38" s="50"/>
      <c r="Z38" s="59"/>
      <c r="AA38" s="25"/>
      <c r="AB38" s="25"/>
    </row>
    <row r="39" spans="2:28">
      <c r="B39" s="40">
        <v>0.72569444444444453</v>
      </c>
      <c r="C39" s="40"/>
      <c r="D39" s="41">
        <v>8</v>
      </c>
      <c r="E39" s="42">
        <v>1</v>
      </c>
      <c r="F39" s="42" t="s">
        <v>189</v>
      </c>
      <c r="G39" s="43" t="s">
        <v>190</v>
      </c>
      <c r="H39" s="42" t="s">
        <v>200</v>
      </c>
      <c r="I39" s="43"/>
      <c r="J39" s="43">
        <v>4</v>
      </c>
      <c r="K39" s="25" t="str">
        <f>VLOOKUP(J39,Key!$E$2:$F$9,2,FALSE)</f>
        <v>Commercial</v>
      </c>
      <c r="L39" s="42" t="s">
        <v>173</v>
      </c>
      <c r="M39" s="43" t="s">
        <v>167</v>
      </c>
      <c r="N39" s="42" t="s">
        <v>212</v>
      </c>
      <c r="O39" s="43"/>
      <c r="P39" s="43">
        <v>4</v>
      </c>
      <c r="Q39" s="25" t="str">
        <f>VLOOKUP(P39,Key!$E$2:$F$9,2,FALSE)</f>
        <v>Commercial</v>
      </c>
      <c r="R39" s="25" t="str">
        <f t="shared" si="1"/>
        <v>Commercial-Commercial</v>
      </c>
      <c r="S39" s="49"/>
      <c r="T39" s="49">
        <v>96</v>
      </c>
      <c r="U39" s="43">
        <v>4</v>
      </c>
      <c r="V39" s="43">
        <v>6</v>
      </c>
      <c r="W39" s="49"/>
      <c r="X39" s="49"/>
      <c r="Y39" s="50"/>
      <c r="Z39" s="59"/>
      <c r="AA39" s="25"/>
      <c r="AB39" s="25"/>
    </row>
    <row r="40" spans="2:28">
      <c r="B40" s="40">
        <v>0.75</v>
      </c>
      <c r="C40" s="40"/>
      <c r="D40" s="41">
        <v>8</v>
      </c>
      <c r="E40" s="42">
        <v>2</v>
      </c>
      <c r="F40" s="42" t="s">
        <v>206</v>
      </c>
      <c r="G40" s="43" t="s">
        <v>171</v>
      </c>
      <c r="H40" s="42" t="s">
        <v>179</v>
      </c>
      <c r="I40" s="43"/>
      <c r="J40" s="43">
        <v>4</v>
      </c>
      <c r="K40" s="25" t="str">
        <f>VLOOKUP(J40,Key!$E$2:$F$9,2,FALSE)</f>
        <v>Commercial</v>
      </c>
      <c r="L40" s="42" t="s">
        <v>225</v>
      </c>
      <c r="M40" s="43" t="s">
        <v>171</v>
      </c>
      <c r="N40" s="42" t="s">
        <v>179</v>
      </c>
      <c r="O40" s="43"/>
      <c r="P40" s="43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49"/>
      <c r="T40" s="49">
        <v>0.5</v>
      </c>
      <c r="U40" s="43">
        <v>4</v>
      </c>
      <c r="V40" s="43"/>
      <c r="W40" s="49"/>
      <c r="X40" s="49"/>
      <c r="Y40" s="50"/>
      <c r="Z40" s="59"/>
      <c r="AA40" s="25"/>
      <c r="AB40" s="25"/>
    </row>
    <row r="41" spans="2:28">
      <c r="B41" s="40">
        <v>0.76527777777777783</v>
      </c>
      <c r="C41" s="40"/>
      <c r="D41" s="41">
        <v>9</v>
      </c>
      <c r="E41" s="42">
        <v>1</v>
      </c>
      <c r="F41" s="42" t="s">
        <v>204</v>
      </c>
      <c r="G41" s="43" t="s">
        <v>183</v>
      </c>
      <c r="H41" s="42" t="s">
        <v>179</v>
      </c>
      <c r="I41" s="43"/>
      <c r="J41" s="43">
        <v>4</v>
      </c>
      <c r="K41" s="25" t="str">
        <f>VLOOKUP(J41,Key!$E$2:$F$9,2,FALSE)</f>
        <v>Commercial</v>
      </c>
      <c r="L41" s="42" t="s">
        <v>173</v>
      </c>
      <c r="M41" s="43" t="s">
        <v>167</v>
      </c>
      <c r="N41" s="42" t="s">
        <v>212</v>
      </c>
      <c r="O41" s="43"/>
      <c r="P41" s="43">
        <v>4</v>
      </c>
      <c r="Q41" s="25" t="str">
        <f>VLOOKUP(P41,Key!$E$2:$F$9,2,FALSE)</f>
        <v>Commercial</v>
      </c>
      <c r="R41" s="25" t="str">
        <f t="shared" si="1"/>
        <v>Commercial-Commercial</v>
      </c>
      <c r="S41" s="49"/>
      <c r="T41" s="49">
        <v>48</v>
      </c>
      <c r="U41" s="43">
        <v>4</v>
      </c>
      <c r="V41" s="43">
        <v>5</v>
      </c>
      <c r="W41" s="49"/>
      <c r="X41" s="49"/>
      <c r="Y41" s="50"/>
      <c r="Z41" s="59"/>
      <c r="AA41" s="25"/>
      <c r="AB4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I90"/>
  <sheetViews>
    <sheetView topLeftCell="F56" zoomScale="75" zoomScaleNormal="75" zoomScaleSheetLayoutView="80" workbookViewId="0">
      <selection activeCell="B9" sqref="B9:AB9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140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</row>
    <row r="4" spans="2:35" ht="15" customHeight="1">
      <c r="B4" s="26" t="s">
        <v>2</v>
      </c>
      <c r="C4" s="31" t="s">
        <v>169</v>
      </c>
      <c r="E4" s="1" t="s">
        <v>76</v>
      </c>
      <c r="F4" s="160" t="str">
        <f>'01.08 Nimule-Atiak'!F4:G4</f>
        <v>Atiak Nimule</v>
      </c>
      <c r="G4" s="161"/>
      <c r="I4" s="27" t="s">
        <v>77</v>
      </c>
      <c r="J4" s="5"/>
      <c r="K4" s="5"/>
      <c r="L4" s="52" t="s">
        <v>167</v>
      </c>
      <c r="M4" s="65"/>
      <c r="N4" s="1" t="s">
        <v>79</v>
      </c>
      <c r="O4" s="142" t="s">
        <v>164</v>
      </c>
      <c r="P4" s="143"/>
      <c r="Q4" s="143"/>
      <c r="R4" s="143"/>
      <c r="S4" s="143"/>
      <c r="T4" s="143"/>
      <c r="V4" s="1" t="s">
        <v>80</v>
      </c>
      <c r="W4" s="55" t="str">
        <f>'01.08 Nimule-Atiak'!W4</f>
        <v>Isaac</v>
      </c>
      <c r="Y4" s="27" t="s">
        <v>6</v>
      </c>
      <c r="Z4" s="39" t="str">
        <f>'01.08 Nimule-Atiak'!Z4</f>
        <v>Sheba N</v>
      </c>
      <c r="AA4" s="32" t="s">
        <v>7</v>
      </c>
      <c r="AB4" s="39" t="str">
        <f>'01.08 Nimule-Atiak'!AB4</f>
        <v>Isaac M.</v>
      </c>
      <c r="AE4" s="10"/>
      <c r="AF4" s="5"/>
    </row>
    <row r="5" spans="2:35" ht="15" customHeight="1">
      <c r="B5" s="65"/>
      <c r="C5" s="65"/>
      <c r="D5" s="65"/>
      <c r="E5" s="22"/>
      <c r="F5" s="65"/>
      <c r="G5" s="65"/>
      <c r="I5" s="28" t="s">
        <v>78</v>
      </c>
      <c r="J5" s="65"/>
      <c r="K5" s="65"/>
      <c r="L5" s="53" t="s">
        <v>168</v>
      </c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</row>
    <row r="6" spans="2:35" ht="13.5" thickBot="1"/>
    <row r="7" spans="2:35" ht="30.75" customHeight="1">
      <c r="B7" s="144" t="s">
        <v>34</v>
      </c>
      <c r="C7" s="130" t="s">
        <v>67</v>
      </c>
      <c r="D7" s="132" t="s">
        <v>9</v>
      </c>
      <c r="E7" s="130" t="s">
        <v>35</v>
      </c>
      <c r="F7" s="147" t="s">
        <v>12</v>
      </c>
      <c r="G7" s="148"/>
      <c r="H7" s="149"/>
      <c r="I7" s="132" t="s">
        <v>70</v>
      </c>
      <c r="J7" s="130" t="s">
        <v>15</v>
      </c>
      <c r="K7" s="130" t="s">
        <v>141</v>
      </c>
      <c r="L7" s="147" t="s">
        <v>17</v>
      </c>
      <c r="M7" s="148"/>
      <c r="N7" s="149"/>
      <c r="O7" s="132" t="s">
        <v>71</v>
      </c>
      <c r="P7" s="130" t="s">
        <v>18</v>
      </c>
      <c r="Q7" s="130" t="s">
        <v>142</v>
      </c>
      <c r="R7" s="130" t="s">
        <v>143</v>
      </c>
      <c r="S7" s="130" t="s">
        <v>145</v>
      </c>
      <c r="T7" s="130" t="s">
        <v>144</v>
      </c>
      <c r="U7" s="130" t="s">
        <v>72</v>
      </c>
      <c r="V7" s="136" t="s">
        <v>75</v>
      </c>
      <c r="W7" s="137"/>
      <c r="X7" s="138"/>
      <c r="Y7" s="130" t="s">
        <v>74</v>
      </c>
      <c r="Z7" s="130" t="s">
        <v>148</v>
      </c>
      <c r="AA7" s="132" t="s">
        <v>20</v>
      </c>
      <c r="AB7" s="134" t="s">
        <v>21</v>
      </c>
      <c r="AD7" s="19"/>
    </row>
    <row r="8" spans="2:35" ht="38.25" customHeight="1">
      <c r="B8" s="145"/>
      <c r="C8" s="131"/>
      <c r="D8" s="133"/>
      <c r="E8" s="146"/>
      <c r="F8" s="64" t="s">
        <v>82</v>
      </c>
      <c r="G8" s="64" t="s">
        <v>68</v>
      </c>
      <c r="H8" s="24" t="s">
        <v>69</v>
      </c>
      <c r="I8" s="133"/>
      <c r="J8" s="131"/>
      <c r="K8" s="131"/>
      <c r="L8" s="64" t="s">
        <v>82</v>
      </c>
      <c r="M8" s="64" t="s">
        <v>68</v>
      </c>
      <c r="N8" s="64" t="s">
        <v>69</v>
      </c>
      <c r="O8" s="133"/>
      <c r="P8" s="131"/>
      <c r="Q8" s="131"/>
      <c r="R8" s="131"/>
      <c r="S8" s="131"/>
      <c r="T8" s="131"/>
      <c r="U8" s="131"/>
      <c r="V8" s="29" t="s">
        <v>73</v>
      </c>
      <c r="W8" s="30" t="s">
        <v>146</v>
      </c>
      <c r="X8" s="30" t="s">
        <v>147</v>
      </c>
      <c r="Y8" s="131"/>
      <c r="Z8" s="131"/>
      <c r="AA8" s="133"/>
      <c r="AB8" s="135"/>
    </row>
    <row r="9" spans="2:35" s="19" customFormat="1">
      <c r="B9" s="40">
        <v>0.3</v>
      </c>
      <c r="C9" s="40"/>
      <c r="D9" s="41">
        <v>9</v>
      </c>
      <c r="E9" s="42">
        <v>2</v>
      </c>
      <c r="F9" s="42" t="s">
        <v>173</v>
      </c>
      <c r="G9" s="43" t="s">
        <v>167</v>
      </c>
      <c r="H9" s="42" t="s">
        <v>212</v>
      </c>
      <c r="I9" s="43"/>
      <c r="J9" s="43">
        <v>4</v>
      </c>
      <c r="K9" s="25" t="str">
        <f>VLOOKUP(J9,Key!$E$2:$F$9,2,FALSE)</f>
        <v>Commercial</v>
      </c>
      <c r="L9" s="42" t="s">
        <v>61</v>
      </c>
      <c r="M9" s="43" t="s">
        <v>183</v>
      </c>
      <c r="N9" s="42" t="s">
        <v>179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49"/>
      <c r="T9" s="49">
        <v>24</v>
      </c>
      <c r="U9" s="43">
        <v>3</v>
      </c>
      <c r="V9" s="43">
        <v>8</v>
      </c>
      <c r="W9" s="49">
        <v>20</v>
      </c>
      <c r="X9" s="49"/>
      <c r="Y9" s="50"/>
      <c r="Z9" s="59"/>
      <c r="AA9" s="25"/>
      <c r="AB9" s="25"/>
    </row>
    <row r="10" spans="2:35">
      <c r="B10" s="40">
        <v>0.32083333333333336</v>
      </c>
      <c r="C10" s="40"/>
      <c r="D10" s="41">
        <v>8</v>
      </c>
      <c r="E10" s="42">
        <v>1</v>
      </c>
      <c r="F10" s="42" t="s">
        <v>173</v>
      </c>
      <c r="G10" s="43" t="s">
        <v>167</v>
      </c>
      <c r="H10" s="42" t="s">
        <v>212</v>
      </c>
      <c r="I10" s="43"/>
      <c r="J10" s="43">
        <v>4</v>
      </c>
      <c r="K10" s="25" t="str">
        <f>VLOOKUP(J10,Key!$E$2:$F$9,2,FALSE)</f>
        <v>Commercial</v>
      </c>
      <c r="L10" s="42" t="s">
        <v>184</v>
      </c>
      <c r="M10" s="43" t="s">
        <v>184</v>
      </c>
      <c r="N10" s="42" t="s">
        <v>200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73" si="0">K10&amp;"-"&amp;Q10</f>
        <v>Commercial-Commercial</v>
      </c>
      <c r="S10" s="49"/>
      <c r="T10" s="49">
        <v>24</v>
      </c>
      <c r="U10" s="43">
        <v>3</v>
      </c>
      <c r="V10" s="43">
        <v>8</v>
      </c>
      <c r="W10" s="49">
        <v>25</v>
      </c>
      <c r="X10" s="49"/>
      <c r="Y10" s="50"/>
      <c r="Z10" s="59"/>
      <c r="AA10" s="25"/>
      <c r="AB10" s="25"/>
    </row>
    <row r="11" spans="2:35">
      <c r="B11" s="40">
        <v>0.30486111111111108</v>
      </c>
      <c r="C11" s="40"/>
      <c r="D11" s="41">
        <v>2</v>
      </c>
      <c r="E11" s="42">
        <v>5</v>
      </c>
      <c r="F11" s="42" t="s">
        <v>170</v>
      </c>
      <c r="G11" s="43" t="s">
        <v>171</v>
      </c>
      <c r="H11" s="42" t="s">
        <v>179</v>
      </c>
      <c r="I11" s="43"/>
      <c r="J11" s="43">
        <v>2</v>
      </c>
      <c r="K11" s="25" t="str">
        <f>VLOOKUP(J11,Key!$E$2:$F$9,2,FALSE)</f>
        <v>Work</v>
      </c>
      <c r="L11" s="42" t="s">
        <v>172</v>
      </c>
      <c r="M11" s="43" t="s">
        <v>172</v>
      </c>
      <c r="N11" s="42" t="s">
        <v>179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9"/>
      <c r="T11" s="49">
        <v>2</v>
      </c>
      <c r="U11" s="43">
        <v>1</v>
      </c>
      <c r="V11" s="43"/>
      <c r="W11" s="49">
        <v>0</v>
      </c>
      <c r="X11" s="49"/>
      <c r="Y11" s="50"/>
      <c r="Z11" s="59"/>
      <c r="AA11" s="25"/>
      <c r="AB11" s="25"/>
    </row>
    <row r="12" spans="2:35">
      <c r="B12" s="40">
        <v>0.3347222222222222</v>
      </c>
      <c r="C12" s="40"/>
      <c r="D12" s="41">
        <v>9</v>
      </c>
      <c r="E12" s="42">
        <v>2</v>
      </c>
      <c r="F12" s="42" t="s">
        <v>170</v>
      </c>
      <c r="G12" s="43" t="s">
        <v>171</v>
      </c>
      <c r="H12" s="42" t="s">
        <v>179</v>
      </c>
      <c r="I12" s="43"/>
      <c r="J12" s="43">
        <v>2</v>
      </c>
      <c r="K12" s="25" t="str">
        <f>VLOOKUP(J12,Key!$E$2:$F$9,2,FALSE)</f>
        <v>Work</v>
      </c>
      <c r="L12" s="42" t="s">
        <v>61</v>
      </c>
      <c r="M12" s="43" t="s">
        <v>183</v>
      </c>
      <c r="N12" s="42" t="s">
        <v>179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24</v>
      </c>
      <c r="U12" s="43">
        <v>3</v>
      </c>
      <c r="V12" s="43">
        <v>6</v>
      </c>
      <c r="W12" s="49">
        <v>32</v>
      </c>
      <c r="X12" s="49"/>
      <c r="Y12" s="50"/>
      <c r="Z12" s="59"/>
      <c r="AA12" s="25"/>
      <c r="AB12" s="25"/>
    </row>
    <row r="13" spans="2:35">
      <c r="B13" s="40">
        <v>0.33819444444444446</v>
      </c>
      <c r="C13" s="40"/>
      <c r="D13" s="41">
        <v>8</v>
      </c>
      <c r="E13" s="42">
        <v>2</v>
      </c>
      <c r="F13" s="42" t="s">
        <v>173</v>
      </c>
      <c r="G13" s="43" t="s">
        <v>167</v>
      </c>
      <c r="H13" s="42" t="s">
        <v>212</v>
      </c>
      <c r="I13" s="43"/>
      <c r="J13" s="43">
        <v>4</v>
      </c>
      <c r="K13" s="25" t="str">
        <f>VLOOKUP(J13,Key!$E$2:$F$9,2,FALSE)</f>
        <v>Commercial</v>
      </c>
      <c r="L13" s="42" t="s">
        <v>61</v>
      </c>
      <c r="M13" s="43" t="s">
        <v>183</v>
      </c>
      <c r="N13" s="42" t="s">
        <v>179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Commercial-Home</v>
      </c>
      <c r="S13" s="49"/>
      <c r="T13" s="49">
        <v>24</v>
      </c>
      <c r="U13" s="43">
        <v>2</v>
      </c>
      <c r="V13" s="43">
        <v>7</v>
      </c>
      <c r="W13" s="49">
        <v>20</v>
      </c>
      <c r="X13" s="49"/>
      <c r="Y13" s="50"/>
      <c r="Z13" s="59"/>
      <c r="AA13" s="25"/>
      <c r="AB13" s="25"/>
    </row>
    <row r="14" spans="2:35">
      <c r="B14" s="40">
        <v>0.34583333333333338</v>
      </c>
      <c r="C14" s="40"/>
      <c r="D14" s="41">
        <v>1</v>
      </c>
      <c r="E14" s="42">
        <v>2</v>
      </c>
      <c r="F14" s="42" t="s">
        <v>210</v>
      </c>
      <c r="G14" s="43" t="s">
        <v>171</v>
      </c>
      <c r="H14" s="42" t="s">
        <v>179</v>
      </c>
      <c r="I14" s="43"/>
      <c r="J14" s="43">
        <v>1</v>
      </c>
      <c r="K14" s="25" t="str">
        <f>VLOOKUP(J14,Key!$E$2:$F$9,2,FALSE)</f>
        <v>Home</v>
      </c>
      <c r="L14" s="42" t="s">
        <v>172</v>
      </c>
      <c r="M14" s="43" t="s">
        <v>172</v>
      </c>
      <c r="N14" s="42" t="s">
        <v>179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9"/>
      <c r="T14" s="49">
        <v>1.5</v>
      </c>
      <c r="U14" s="43">
        <v>2</v>
      </c>
      <c r="V14" s="43"/>
      <c r="W14" s="49">
        <v>0</v>
      </c>
      <c r="X14" s="49"/>
      <c r="Y14" s="50"/>
      <c r="Z14" s="59"/>
      <c r="AA14" s="25"/>
      <c r="AB14" s="25"/>
    </row>
    <row r="15" spans="2:35">
      <c r="B15" s="40">
        <v>0.3659722222222222</v>
      </c>
      <c r="C15" s="40"/>
      <c r="D15" s="41">
        <v>9</v>
      </c>
      <c r="E15" s="42">
        <v>2</v>
      </c>
      <c r="F15" s="42" t="s">
        <v>173</v>
      </c>
      <c r="G15" s="43" t="s">
        <v>167</v>
      </c>
      <c r="H15" s="42" t="s">
        <v>212</v>
      </c>
      <c r="I15" s="43"/>
      <c r="J15" s="43">
        <v>4</v>
      </c>
      <c r="K15" s="25" t="str">
        <f>VLOOKUP(J15,Key!$E$2:$F$9,2,FALSE)</f>
        <v>Commercial</v>
      </c>
      <c r="L15" s="42" t="s">
        <v>183</v>
      </c>
      <c r="M15" s="43" t="s">
        <v>183</v>
      </c>
      <c r="N15" s="42" t="s">
        <v>179</v>
      </c>
      <c r="O15" s="43"/>
      <c r="P15" s="43">
        <v>1</v>
      </c>
      <c r="Q15" s="25" t="str">
        <f>VLOOKUP(P15,Key!$E$2:$F$9,2,FALSE)</f>
        <v>Home</v>
      </c>
      <c r="R15" s="25" t="str">
        <f t="shared" si="0"/>
        <v>Commercial-Home</v>
      </c>
      <c r="S15" s="49"/>
      <c r="T15" s="49">
        <v>14</v>
      </c>
      <c r="U15" s="43">
        <v>3</v>
      </c>
      <c r="V15" s="43">
        <v>8</v>
      </c>
      <c r="W15" s="49">
        <v>30</v>
      </c>
      <c r="X15" s="49"/>
      <c r="Y15" s="50"/>
      <c r="Z15" s="59"/>
      <c r="AA15" s="25"/>
      <c r="AB15" s="25"/>
    </row>
    <row r="16" spans="2:35">
      <c r="B16" s="40">
        <v>0.3833333333333333</v>
      </c>
      <c r="C16" s="40"/>
      <c r="D16" s="41">
        <v>9</v>
      </c>
      <c r="E16" s="42">
        <v>2</v>
      </c>
      <c r="F16" s="42" t="s">
        <v>173</v>
      </c>
      <c r="G16" s="43" t="s">
        <v>167</v>
      </c>
      <c r="H16" s="42" t="s">
        <v>212</v>
      </c>
      <c r="I16" s="43"/>
      <c r="J16" s="43">
        <v>4</v>
      </c>
      <c r="K16" s="25" t="str">
        <f>VLOOKUP(J16,Key!$E$2:$F$9,2,FALSE)</f>
        <v>Commercial</v>
      </c>
      <c r="L16" s="42" t="s">
        <v>61</v>
      </c>
      <c r="M16" s="43" t="s">
        <v>183</v>
      </c>
      <c r="N16" s="42" t="s">
        <v>179</v>
      </c>
      <c r="O16" s="43"/>
      <c r="P16" s="43">
        <v>1</v>
      </c>
      <c r="Q16" s="25" t="str">
        <f>VLOOKUP(P16,Key!$E$2:$F$9,2,FALSE)</f>
        <v>Home</v>
      </c>
      <c r="R16" s="25" t="str">
        <f t="shared" si="0"/>
        <v>Commercial-Home</v>
      </c>
      <c r="S16" s="49"/>
      <c r="T16" s="49">
        <v>24</v>
      </c>
      <c r="U16" s="43">
        <v>3</v>
      </c>
      <c r="V16" s="43">
        <v>8</v>
      </c>
      <c r="W16" s="49">
        <v>20</v>
      </c>
      <c r="X16" s="49"/>
      <c r="Y16" s="50"/>
      <c r="Z16" s="59"/>
      <c r="AA16" s="25"/>
      <c r="AB16" s="25"/>
    </row>
    <row r="17" spans="2:28">
      <c r="B17" s="40">
        <v>0.41597222222222219</v>
      </c>
      <c r="C17" s="40"/>
      <c r="D17" s="41">
        <v>1</v>
      </c>
      <c r="E17" s="42">
        <v>2</v>
      </c>
      <c r="F17" s="42" t="s">
        <v>167</v>
      </c>
      <c r="G17" s="43" t="s">
        <v>172</v>
      </c>
      <c r="H17" s="42" t="s">
        <v>179</v>
      </c>
      <c r="I17" s="43"/>
      <c r="J17" s="43">
        <v>4</v>
      </c>
      <c r="K17" s="25" t="str">
        <f>VLOOKUP(J17,Key!$E$2:$F$9,2,FALSE)</f>
        <v>Commercial</v>
      </c>
      <c r="L17" s="42" t="s">
        <v>183</v>
      </c>
      <c r="M17" s="43" t="s">
        <v>183</v>
      </c>
      <c r="N17" s="42" t="s">
        <v>179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Commercial-Home</v>
      </c>
      <c r="S17" s="49"/>
      <c r="T17" s="49">
        <v>7</v>
      </c>
      <c r="U17" s="43">
        <v>6</v>
      </c>
      <c r="V17" s="43"/>
      <c r="W17" s="49">
        <v>0</v>
      </c>
      <c r="X17" s="49"/>
      <c r="Y17" s="50"/>
      <c r="Z17" s="59"/>
      <c r="AA17" s="25"/>
      <c r="AB17" s="25"/>
    </row>
    <row r="18" spans="2:28">
      <c r="B18" s="40">
        <v>0.41666666666666669</v>
      </c>
      <c r="C18" s="40"/>
      <c r="D18" s="41">
        <v>1</v>
      </c>
      <c r="E18" s="42">
        <v>3</v>
      </c>
      <c r="F18" s="42" t="s">
        <v>170</v>
      </c>
      <c r="G18" s="43" t="s">
        <v>171</v>
      </c>
      <c r="H18" s="42" t="s">
        <v>179</v>
      </c>
      <c r="I18" s="43"/>
      <c r="J18" s="43">
        <v>4</v>
      </c>
      <c r="K18" s="25" t="str">
        <f>VLOOKUP(J18,Key!$E$2:$F$9,2,FALSE)</f>
        <v>Commercial</v>
      </c>
      <c r="L18" s="42" t="s">
        <v>183</v>
      </c>
      <c r="M18" s="43" t="s">
        <v>183</v>
      </c>
      <c r="N18" s="42" t="s">
        <v>179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Commercial-Home</v>
      </c>
      <c r="S18" s="49"/>
      <c r="T18" s="49"/>
      <c r="U18" s="43">
        <v>3</v>
      </c>
      <c r="V18" s="43"/>
      <c r="W18" s="49">
        <v>0</v>
      </c>
      <c r="X18" s="49"/>
      <c r="Y18" s="50"/>
      <c r="Z18" s="59"/>
      <c r="AA18" s="25"/>
      <c r="AB18" s="25"/>
    </row>
    <row r="19" spans="2:28">
      <c r="B19" s="40">
        <v>0.43888888888888888</v>
      </c>
      <c r="C19" s="40"/>
      <c r="D19" s="41">
        <v>9</v>
      </c>
      <c r="E19" s="42">
        <v>1</v>
      </c>
      <c r="F19" s="42" t="s">
        <v>173</v>
      </c>
      <c r="G19" s="43" t="s">
        <v>167</v>
      </c>
      <c r="H19" s="42" t="s">
        <v>212</v>
      </c>
      <c r="I19" s="43"/>
      <c r="J19" s="43">
        <v>4</v>
      </c>
      <c r="K19" s="25" t="str">
        <f>VLOOKUP(J19,Key!$E$2:$F$9,2,FALSE)</f>
        <v>Commercial</v>
      </c>
      <c r="L19" s="42" t="s">
        <v>183</v>
      </c>
      <c r="M19" s="43" t="s">
        <v>183</v>
      </c>
      <c r="N19" s="42" t="s">
        <v>179</v>
      </c>
      <c r="O19" s="43"/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9"/>
      <c r="T19" s="49">
        <v>24</v>
      </c>
      <c r="U19" s="43">
        <v>3</v>
      </c>
      <c r="V19" s="43">
        <v>8</v>
      </c>
      <c r="W19" s="49">
        <v>30</v>
      </c>
      <c r="X19" s="49"/>
      <c r="Y19" s="50"/>
      <c r="Z19" s="59"/>
      <c r="AA19" s="25"/>
      <c r="AB19" s="25"/>
    </row>
    <row r="20" spans="2:28">
      <c r="B20" s="40">
        <v>0.4458333333333333</v>
      </c>
      <c r="C20" s="40"/>
      <c r="D20" s="41">
        <v>9</v>
      </c>
      <c r="E20" s="42">
        <v>1</v>
      </c>
      <c r="F20" s="42" t="s">
        <v>173</v>
      </c>
      <c r="G20" s="43" t="s">
        <v>167</v>
      </c>
      <c r="H20" s="42" t="s">
        <v>212</v>
      </c>
      <c r="I20" s="43"/>
      <c r="J20" s="43">
        <v>4</v>
      </c>
      <c r="K20" s="25" t="str">
        <f>VLOOKUP(J20,Key!$E$2:$F$9,2,FALSE)</f>
        <v>Commercial</v>
      </c>
      <c r="L20" s="42" t="s">
        <v>184</v>
      </c>
      <c r="M20" s="43" t="s">
        <v>184</v>
      </c>
      <c r="N20" s="42" t="s">
        <v>200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9"/>
      <c r="T20" s="49">
        <v>24</v>
      </c>
      <c r="U20" s="43">
        <v>3</v>
      </c>
      <c r="V20" s="43">
        <v>8</v>
      </c>
      <c r="W20" s="49">
        <v>25</v>
      </c>
      <c r="X20" s="49"/>
      <c r="Y20" s="50"/>
      <c r="Z20" s="59"/>
      <c r="AA20" s="25"/>
      <c r="AB20" s="25"/>
    </row>
    <row r="21" spans="2:28">
      <c r="B21" s="40">
        <v>0.4548611111111111</v>
      </c>
      <c r="C21" s="40"/>
      <c r="D21" s="41">
        <v>8</v>
      </c>
      <c r="E21" s="42">
        <v>2</v>
      </c>
      <c r="F21" s="42" t="s">
        <v>173</v>
      </c>
      <c r="G21" s="43" t="s">
        <v>167</v>
      </c>
      <c r="H21" s="42" t="s">
        <v>212</v>
      </c>
      <c r="I21" s="43"/>
      <c r="J21" s="43">
        <v>4</v>
      </c>
      <c r="K21" s="25" t="str">
        <f>VLOOKUP(J21,Key!$E$2:$F$9,2,FALSE)</f>
        <v>Commercial</v>
      </c>
      <c r="L21" s="42" t="s">
        <v>189</v>
      </c>
      <c r="M21" s="43" t="s">
        <v>190</v>
      </c>
      <c r="N21" s="42" t="s">
        <v>200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9"/>
      <c r="T21" s="49">
        <v>26</v>
      </c>
      <c r="U21" s="43">
        <v>3</v>
      </c>
      <c r="V21" s="43">
        <v>8</v>
      </c>
      <c r="W21" s="49">
        <v>20</v>
      </c>
      <c r="X21" s="49"/>
      <c r="Y21" s="50"/>
      <c r="Z21" s="59"/>
      <c r="AA21" s="25"/>
      <c r="AB21" s="25"/>
    </row>
    <row r="22" spans="2:28">
      <c r="B22" s="40">
        <v>0.54791666666666672</v>
      </c>
      <c r="C22" s="40"/>
      <c r="D22" s="41">
        <v>9</v>
      </c>
      <c r="E22" s="42">
        <v>2</v>
      </c>
      <c r="F22" s="42" t="s">
        <v>173</v>
      </c>
      <c r="G22" s="43" t="s">
        <v>167</v>
      </c>
      <c r="H22" s="42" t="s">
        <v>212</v>
      </c>
      <c r="I22" s="43"/>
      <c r="J22" s="43">
        <v>4</v>
      </c>
      <c r="K22" s="25" t="str">
        <f>VLOOKUP(J22,Key!$E$2:$F$9,2,FALSE)</f>
        <v>Commercial</v>
      </c>
      <c r="L22" s="42" t="s">
        <v>189</v>
      </c>
      <c r="M22" s="43" t="s">
        <v>190</v>
      </c>
      <c r="N22" s="42" t="s">
        <v>200</v>
      </c>
      <c r="O22" s="43"/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9"/>
      <c r="T22" s="49">
        <v>34</v>
      </c>
      <c r="U22" s="43">
        <v>3</v>
      </c>
      <c r="V22" s="43"/>
      <c r="W22" s="49">
        <v>28</v>
      </c>
      <c r="X22" s="49"/>
      <c r="Y22" s="50"/>
      <c r="Z22" s="59"/>
      <c r="AA22" s="25"/>
      <c r="AB22" s="25"/>
    </row>
    <row r="23" spans="2:28">
      <c r="B23" s="40">
        <v>0.55486111111111114</v>
      </c>
      <c r="C23" s="40"/>
      <c r="D23" s="41">
        <v>1</v>
      </c>
      <c r="E23" s="42">
        <v>4</v>
      </c>
      <c r="F23" s="42" t="s">
        <v>210</v>
      </c>
      <c r="G23" s="43" t="s">
        <v>171</v>
      </c>
      <c r="H23" s="42" t="s">
        <v>179</v>
      </c>
      <c r="I23" s="43"/>
      <c r="J23" s="43">
        <v>2</v>
      </c>
      <c r="K23" s="25" t="str">
        <f>VLOOKUP(J23,Key!$E$2:$F$9,2,FALSE)</f>
        <v>Work</v>
      </c>
      <c r="L23" s="42" t="s">
        <v>172</v>
      </c>
      <c r="M23" s="43" t="s">
        <v>172</v>
      </c>
      <c r="N23" s="42" t="s">
        <v>179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49"/>
      <c r="T23" s="49">
        <v>2</v>
      </c>
      <c r="U23" s="43">
        <v>1</v>
      </c>
      <c r="V23" s="43"/>
      <c r="W23" s="49">
        <v>0</v>
      </c>
      <c r="X23" s="49"/>
      <c r="Y23" s="50"/>
      <c r="Z23" s="59"/>
      <c r="AA23" s="25"/>
      <c r="AB23" s="25"/>
    </row>
    <row r="24" spans="2:28">
      <c r="B24" s="40">
        <v>0.56458333333333333</v>
      </c>
      <c r="C24" s="40"/>
      <c r="D24" s="41">
        <v>6</v>
      </c>
      <c r="E24" s="42">
        <v>58</v>
      </c>
      <c r="F24" s="42" t="s">
        <v>170</v>
      </c>
      <c r="G24" s="43" t="s">
        <v>171</v>
      </c>
      <c r="H24" s="42" t="s">
        <v>179</v>
      </c>
      <c r="I24" s="43"/>
      <c r="J24" s="43">
        <v>2</v>
      </c>
      <c r="K24" s="25" t="str">
        <f>VLOOKUP(J24,Key!$E$2:$F$9,2,FALSE)</f>
        <v>Work</v>
      </c>
      <c r="L24" s="42" t="s">
        <v>168</v>
      </c>
      <c r="M24" s="43" t="s">
        <v>171</v>
      </c>
      <c r="N24" s="42" t="s">
        <v>179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0.7</v>
      </c>
      <c r="U24" s="43">
        <v>1</v>
      </c>
      <c r="V24" s="43"/>
      <c r="W24" s="49">
        <v>0</v>
      </c>
      <c r="X24" s="49"/>
      <c r="Y24" s="50"/>
      <c r="Z24" s="59"/>
      <c r="AA24" s="25"/>
      <c r="AB24" s="25"/>
    </row>
    <row r="25" spans="2:28">
      <c r="B25" s="40">
        <v>0.56527777777777777</v>
      </c>
      <c r="C25" s="40"/>
      <c r="D25" s="41">
        <v>9</v>
      </c>
      <c r="E25" s="42">
        <v>2</v>
      </c>
      <c r="F25" s="42" t="s">
        <v>173</v>
      </c>
      <c r="G25" s="43" t="s">
        <v>167</v>
      </c>
      <c r="H25" s="42" t="s">
        <v>212</v>
      </c>
      <c r="I25" s="43"/>
      <c r="J25" s="43">
        <v>4</v>
      </c>
      <c r="K25" s="25" t="str">
        <f>VLOOKUP(J25,Key!$E$2:$F$9,2,FALSE)</f>
        <v>Commercial</v>
      </c>
      <c r="L25" s="42" t="s">
        <v>201</v>
      </c>
      <c r="M25" s="43" t="s">
        <v>201</v>
      </c>
      <c r="N25" s="42" t="s">
        <v>179</v>
      </c>
      <c r="O25" s="43"/>
      <c r="P25" s="43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49"/>
      <c r="T25" s="49">
        <v>18</v>
      </c>
      <c r="U25" s="43">
        <v>3</v>
      </c>
      <c r="V25" s="43"/>
      <c r="W25" s="49">
        <v>32</v>
      </c>
      <c r="X25" s="49"/>
      <c r="Y25" s="50"/>
      <c r="Z25" s="59"/>
      <c r="AA25" s="25"/>
      <c r="AB25" s="25"/>
    </row>
    <row r="26" spans="2:28">
      <c r="B26" s="40">
        <v>0.60902777777777783</v>
      </c>
      <c r="C26" s="40"/>
      <c r="D26" s="41">
        <v>8</v>
      </c>
      <c r="E26" s="42">
        <v>2</v>
      </c>
      <c r="F26" s="42" t="s">
        <v>173</v>
      </c>
      <c r="G26" s="43" t="s">
        <v>167</v>
      </c>
      <c r="H26" s="42" t="s">
        <v>212</v>
      </c>
      <c r="I26" s="43"/>
      <c r="J26" s="43">
        <v>2</v>
      </c>
      <c r="K26" s="25" t="str">
        <f>VLOOKUP(J26,Key!$E$2:$F$9,2,FALSE)</f>
        <v>Work</v>
      </c>
      <c r="L26" s="42" t="s">
        <v>190</v>
      </c>
      <c r="M26" s="43" t="s">
        <v>190</v>
      </c>
      <c r="N26" s="42" t="s">
        <v>200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24</v>
      </c>
      <c r="U26" s="43">
        <v>3</v>
      </c>
      <c r="V26" s="43">
        <v>6</v>
      </c>
      <c r="W26" s="49">
        <v>32</v>
      </c>
      <c r="X26" s="49"/>
      <c r="Y26" s="50"/>
      <c r="Z26" s="59"/>
      <c r="AA26" s="25"/>
      <c r="AB26" s="25"/>
    </row>
    <row r="27" spans="2:28">
      <c r="B27" s="40">
        <v>0.62708333333333333</v>
      </c>
      <c r="C27" s="40"/>
      <c r="D27" s="41">
        <v>1</v>
      </c>
      <c r="E27" s="42">
        <v>7</v>
      </c>
      <c r="F27" s="42" t="s">
        <v>170</v>
      </c>
      <c r="G27" s="43" t="s">
        <v>171</v>
      </c>
      <c r="H27" s="42" t="s">
        <v>179</v>
      </c>
      <c r="I27" s="43"/>
      <c r="J27" s="43">
        <v>2</v>
      </c>
      <c r="K27" s="25" t="str">
        <f>VLOOKUP(J27,Key!$E$2:$F$9,2,FALSE)</f>
        <v>Work</v>
      </c>
      <c r="L27" s="42" t="s">
        <v>172</v>
      </c>
      <c r="M27" s="43" t="s">
        <v>172</v>
      </c>
      <c r="N27" s="42" t="s">
        <v>179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1.5</v>
      </c>
      <c r="U27" s="43">
        <v>1</v>
      </c>
      <c r="V27" s="43"/>
      <c r="W27" s="49">
        <v>0</v>
      </c>
      <c r="X27" s="49"/>
      <c r="Y27" s="50"/>
      <c r="Z27" s="59"/>
      <c r="AA27" s="25"/>
      <c r="AB27" s="25"/>
    </row>
    <row r="28" spans="2:28">
      <c r="B28" s="40">
        <v>0.62986111111111109</v>
      </c>
      <c r="C28" s="40"/>
      <c r="D28" s="41">
        <v>1</v>
      </c>
      <c r="E28" s="42">
        <v>5</v>
      </c>
      <c r="F28" s="42" t="s">
        <v>170</v>
      </c>
      <c r="G28" s="43" t="s">
        <v>171</v>
      </c>
      <c r="H28" s="42" t="s">
        <v>179</v>
      </c>
      <c r="I28" s="43"/>
      <c r="J28" s="43">
        <v>2</v>
      </c>
      <c r="K28" s="25" t="str">
        <f>VLOOKUP(J28,Key!$E$2:$F$9,2,FALSE)</f>
        <v>Work</v>
      </c>
      <c r="L28" s="42" t="s">
        <v>172</v>
      </c>
      <c r="M28" s="43" t="s">
        <v>172</v>
      </c>
      <c r="N28" s="42" t="s">
        <v>179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2</v>
      </c>
      <c r="U28" s="43">
        <v>1</v>
      </c>
      <c r="V28" s="43"/>
      <c r="W28" s="49">
        <v>0</v>
      </c>
      <c r="X28" s="49"/>
      <c r="Y28" s="50"/>
      <c r="Z28" s="59"/>
      <c r="AA28" s="25"/>
      <c r="AB28" s="25"/>
    </row>
    <row r="29" spans="2:28">
      <c r="B29" s="40">
        <v>0.63541666666666663</v>
      </c>
      <c r="C29" s="40"/>
      <c r="D29" s="41">
        <v>9</v>
      </c>
      <c r="E29" s="42">
        <v>2</v>
      </c>
      <c r="F29" s="42" t="s">
        <v>173</v>
      </c>
      <c r="G29" s="43" t="s">
        <v>167</v>
      </c>
      <c r="H29" s="42" t="s">
        <v>212</v>
      </c>
      <c r="I29" s="43"/>
      <c r="J29" s="43">
        <v>2</v>
      </c>
      <c r="K29" s="25" t="str">
        <f>VLOOKUP(J29,Key!$E$2:$F$9,2,FALSE)</f>
        <v>Work</v>
      </c>
      <c r="L29" s="42" t="s">
        <v>226</v>
      </c>
      <c r="M29" s="43" t="s">
        <v>183</v>
      </c>
      <c r="N29" s="42" t="s">
        <v>179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9"/>
      <c r="T29" s="49">
        <v>24</v>
      </c>
      <c r="U29" s="43">
        <v>3</v>
      </c>
      <c r="V29" s="43">
        <v>7</v>
      </c>
      <c r="W29" s="49">
        <v>22</v>
      </c>
      <c r="X29" s="49"/>
      <c r="Y29" s="50"/>
      <c r="Z29" s="59"/>
      <c r="AA29" s="25"/>
      <c r="AB29" s="25"/>
    </row>
    <row r="30" spans="2:28">
      <c r="B30" s="40">
        <v>0.63750000000000007</v>
      </c>
      <c r="C30" s="40"/>
      <c r="D30" s="41">
        <v>1</v>
      </c>
      <c r="E30" s="42">
        <v>5</v>
      </c>
      <c r="F30" s="42" t="s">
        <v>170</v>
      </c>
      <c r="G30" s="43" t="s">
        <v>171</v>
      </c>
      <c r="H30" s="42" t="s">
        <v>179</v>
      </c>
      <c r="I30" s="43"/>
      <c r="J30" s="43">
        <v>2</v>
      </c>
      <c r="K30" s="25" t="str">
        <f>VLOOKUP(J30,Key!$E$2:$F$9,2,FALSE)</f>
        <v>Work</v>
      </c>
      <c r="L30" s="42" t="s">
        <v>172</v>
      </c>
      <c r="M30" s="43" t="s">
        <v>172</v>
      </c>
      <c r="N30" s="42" t="s">
        <v>179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1.5</v>
      </c>
      <c r="U30" s="43">
        <v>1</v>
      </c>
      <c r="V30" s="43"/>
      <c r="W30" s="49">
        <v>0</v>
      </c>
      <c r="X30" s="49"/>
      <c r="Y30" s="50"/>
      <c r="Z30" s="59"/>
      <c r="AA30" s="25"/>
      <c r="AB30" s="25"/>
    </row>
    <row r="31" spans="2:28">
      <c r="B31" s="40">
        <v>0.6381944444444444</v>
      </c>
      <c r="C31" s="40"/>
      <c r="D31" s="41">
        <v>1</v>
      </c>
      <c r="E31" s="42">
        <v>5</v>
      </c>
      <c r="F31" s="42" t="s">
        <v>170</v>
      </c>
      <c r="G31" s="43" t="s">
        <v>171</v>
      </c>
      <c r="H31" s="42" t="s">
        <v>179</v>
      </c>
      <c r="I31" s="43"/>
      <c r="J31" s="43">
        <v>2</v>
      </c>
      <c r="K31" s="25" t="str">
        <f>VLOOKUP(J31,Key!$E$2:$F$9,2,FALSE)</f>
        <v>Work</v>
      </c>
      <c r="L31" s="42" t="s">
        <v>172</v>
      </c>
      <c r="M31" s="43" t="s">
        <v>172</v>
      </c>
      <c r="N31" s="42" t="s">
        <v>179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2</v>
      </c>
      <c r="U31" s="43">
        <v>1</v>
      </c>
      <c r="V31" s="43"/>
      <c r="W31" s="49">
        <v>0</v>
      </c>
      <c r="X31" s="49"/>
      <c r="Y31" s="50"/>
      <c r="Z31" s="59"/>
      <c r="AA31" s="25"/>
      <c r="AB31" s="25"/>
    </row>
    <row r="32" spans="2:28">
      <c r="B32" s="40">
        <v>0.63888888888888895</v>
      </c>
      <c r="C32" s="40"/>
      <c r="D32" s="41">
        <v>5</v>
      </c>
      <c r="E32" s="42">
        <v>25</v>
      </c>
      <c r="F32" s="42" t="s">
        <v>173</v>
      </c>
      <c r="G32" s="43" t="s">
        <v>167</v>
      </c>
      <c r="H32" s="42" t="s">
        <v>212</v>
      </c>
      <c r="I32" s="43"/>
      <c r="J32" s="43">
        <v>2</v>
      </c>
      <c r="K32" s="25" t="str">
        <f>VLOOKUP(J32,Key!$E$2:$F$9,2,FALSE)</f>
        <v>Work</v>
      </c>
      <c r="L32" s="42" t="s">
        <v>183</v>
      </c>
      <c r="M32" s="43" t="s">
        <v>183</v>
      </c>
      <c r="N32" s="42" t="s">
        <v>179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15</v>
      </c>
      <c r="U32" s="43">
        <v>3</v>
      </c>
      <c r="V32" s="43"/>
      <c r="W32" s="49">
        <v>0</v>
      </c>
      <c r="X32" s="49"/>
      <c r="Y32" s="50"/>
      <c r="Z32" s="59"/>
      <c r="AA32" s="25"/>
      <c r="AB32" s="25"/>
    </row>
    <row r="33" spans="2:28">
      <c r="B33" s="40">
        <v>0.64027777777777783</v>
      </c>
      <c r="C33" s="40"/>
      <c r="D33" s="41">
        <v>6</v>
      </c>
      <c r="E33" s="42">
        <v>60</v>
      </c>
      <c r="F33" s="42" t="s">
        <v>170</v>
      </c>
      <c r="G33" s="43" t="s">
        <v>171</v>
      </c>
      <c r="H33" s="42" t="s">
        <v>179</v>
      </c>
      <c r="I33" s="43"/>
      <c r="J33" s="43">
        <v>2</v>
      </c>
      <c r="K33" s="25" t="str">
        <f>VLOOKUP(J33,Key!$E$2:$F$9,2,FALSE)</f>
        <v>Work</v>
      </c>
      <c r="L33" s="42" t="s">
        <v>168</v>
      </c>
      <c r="M33" s="43" t="s">
        <v>171</v>
      </c>
      <c r="N33" s="42" t="s">
        <v>179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1</v>
      </c>
      <c r="U33" s="43">
        <v>1</v>
      </c>
      <c r="V33" s="43"/>
      <c r="W33" s="49">
        <v>0</v>
      </c>
      <c r="X33" s="49"/>
      <c r="Y33" s="50"/>
      <c r="Z33" s="59"/>
      <c r="AA33" s="25"/>
      <c r="AB33" s="25"/>
    </row>
    <row r="34" spans="2:28">
      <c r="B34" s="40">
        <v>0.64236111111111105</v>
      </c>
      <c r="C34" s="40"/>
      <c r="D34" s="41">
        <v>1</v>
      </c>
      <c r="E34" s="42">
        <v>5</v>
      </c>
      <c r="F34" s="42" t="s">
        <v>170</v>
      </c>
      <c r="G34" s="43" t="s">
        <v>171</v>
      </c>
      <c r="H34" s="42" t="s">
        <v>179</v>
      </c>
      <c r="I34" s="43"/>
      <c r="J34" s="43">
        <v>2</v>
      </c>
      <c r="K34" s="25" t="str">
        <f>VLOOKUP(J34,Key!$E$2:$F$9,2,FALSE)</f>
        <v>Work</v>
      </c>
      <c r="L34" s="42" t="s">
        <v>172</v>
      </c>
      <c r="M34" s="43" t="s">
        <v>172</v>
      </c>
      <c r="N34" s="42" t="s">
        <v>179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1.5</v>
      </c>
      <c r="U34" s="43">
        <v>1</v>
      </c>
      <c r="V34" s="43"/>
      <c r="W34" s="49">
        <v>0</v>
      </c>
      <c r="X34" s="49"/>
      <c r="Y34" s="50"/>
      <c r="Z34" s="59"/>
      <c r="AA34" s="25"/>
      <c r="AB34" s="25"/>
    </row>
    <row r="35" spans="2:28">
      <c r="B35" s="40">
        <v>0.64513888888888882</v>
      </c>
      <c r="C35" s="40"/>
      <c r="D35" s="41">
        <v>9</v>
      </c>
      <c r="E35" s="42">
        <v>1</v>
      </c>
      <c r="F35" s="42" t="s">
        <v>173</v>
      </c>
      <c r="G35" s="43" t="s">
        <v>167</v>
      </c>
      <c r="H35" s="42" t="s">
        <v>212</v>
      </c>
      <c r="I35" s="43"/>
      <c r="J35" s="43">
        <v>2</v>
      </c>
      <c r="K35" s="25" t="str">
        <f>VLOOKUP(J35,Key!$E$2:$F$9,2,FALSE)</f>
        <v>Work</v>
      </c>
      <c r="L35" s="42" t="s">
        <v>183</v>
      </c>
      <c r="M35" s="43" t="s">
        <v>183</v>
      </c>
      <c r="N35" s="42" t="s">
        <v>179</v>
      </c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49"/>
      <c r="T35" s="49">
        <v>13</v>
      </c>
      <c r="U35" s="43">
        <v>3</v>
      </c>
      <c r="V35" s="43">
        <v>4</v>
      </c>
      <c r="W35" s="49">
        <v>0</v>
      </c>
      <c r="X35" s="49"/>
      <c r="Y35" s="50"/>
      <c r="Z35" s="59"/>
      <c r="AA35" s="25"/>
      <c r="AB35" s="25"/>
    </row>
    <row r="36" spans="2:28">
      <c r="B36" s="40">
        <v>0.6479166666666667</v>
      </c>
      <c r="C36" s="40"/>
      <c r="D36" s="41">
        <v>9</v>
      </c>
      <c r="E36" s="42">
        <v>2</v>
      </c>
      <c r="F36" s="42" t="s">
        <v>173</v>
      </c>
      <c r="G36" s="43" t="s">
        <v>167</v>
      </c>
      <c r="H36" s="42" t="s">
        <v>212</v>
      </c>
      <c r="I36" s="43"/>
      <c r="J36" s="43">
        <v>2</v>
      </c>
      <c r="K36" s="25" t="str">
        <f>VLOOKUP(J36,Key!$E$2:$F$9,2,FALSE)</f>
        <v>Work</v>
      </c>
      <c r="L36" s="42" t="s">
        <v>189</v>
      </c>
      <c r="M36" s="43" t="s">
        <v>190</v>
      </c>
      <c r="N36" s="42" t="s">
        <v>200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24</v>
      </c>
      <c r="U36" s="43">
        <v>3</v>
      </c>
      <c r="V36" s="43">
        <v>6</v>
      </c>
      <c r="W36" s="49">
        <v>30</v>
      </c>
      <c r="X36" s="49"/>
      <c r="Y36" s="50"/>
      <c r="Z36" s="59"/>
      <c r="AA36" s="25"/>
      <c r="AB36" s="25"/>
    </row>
    <row r="37" spans="2:28">
      <c r="B37" s="40">
        <v>0.65069444444444446</v>
      </c>
      <c r="C37" s="40"/>
      <c r="D37" s="41">
        <v>7</v>
      </c>
      <c r="E37" s="42">
        <v>2</v>
      </c>
      <c r="F37" s="42" t="s">
        <v>173</v>
      </c>
      <c r="G37" s="43" t="s">
        <v>167</v>
      </c>
      <c r="H37" s="42" t="s">
        <v>212</v>
      </c>
      <c r="I37" s="43"/>
      <c r="J37" s="43">
        <v>2</v>
      </c>
      <c r="K37" s="25" t="str">
        <f>VLOOKUP(J37,Key!$E$2:$F$9,2,FALSE)</f>
        <v>Work</v>
      </c>
      <c r="L37" s="42" t="s">
        <v>183</v>
      </c>
      <c r="M37" s="43" t="s">
        <v>183</v>
      </c>
      <c r="N37" s="42" t="s">
        <v>179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13</v>
      </c>
      <c r="U37" s="43">
        <v>3</v>
      </c>
      <c r="V37" s="43"/>
      <c r="W37" s="49">
        <v>0</v>
      </c>
      <c r="X37" s="49"/>
      <c r="Y37" s="50"/>
      <c r="Z37" s="59"/>
      <c r="AA37" s="25"/>
      <c r="AB37" s="25"/>
    </row>
    <row r="38" spans="2:28">
      <c r="B38" s="40">
        <v>0.65138888888888891</v>
      </c>
      <c r="C38" s="40"/>
      <c r="D38" s="41">
        <v>8</v>
      </c>
      <c r="E38" s="42">
        <v>3</v>
      </c>
      <c r="F38" s="42" t="s">
        <v>173</v>
      </c>
      <c r="G38" s="43" t="s">
        <v>167</v>
      </c>
      <c r="H38" s="42" t="s">
        <v>212</v>
      </c>
      <c r="I38" s="43"/>
      <c r="J38" s="43">
        <v>2</v>
      </c>
      <c r="K38" s="25" t="str">
        <f>VLOOKUP(J38,Key!$E$2:$F$9,2,FALSE)</f>
        <v>Work</v>
      </c>
      <c r="L38" s="42" t="s">
        <v>185</v>
      </c>
      <c r="M38" s="43" t="s">
        <v>183</v>
      </c>
      <c r="N38" s="42" t="s">
        <v>179</v>
      </c>
      <c r="O38" s="43"/>
      <c r="P38" s="43">
        <v>1</v>
      </c>
      <c r="Q38" s="25" t="str">
        <f>VLOOKUP(P38,Key!$E$2:$F$9,2,FALSE)</f>
        <v>Home</v>
      </c>
      <c r="R38" s="25" t="str">
        <f t="shared" si="0"/>
        <v>Work-Home</v>
      </c>
      <c r="S38" s="49"/>
      <c r="T38" s="49">
        <v>17</v>
      </c>
      <c r="U38" s="43">
        <v>3</v>
      </c>
      <c r="V38" s="43">
        <v>1</v>
      </c>
      <c r="W38" s="49">
        <v>15</v>
      </c>
      <c r="X38" s="49"/>
      <c r="Y38" s="50"/>
      <c r="Z38" s="59"/>
      <c r="AA38" s="25"/>
      <c r="AB38" s="25"/>
    </row>
    <row r="39" spans="2:28">
      <c r="B39" s="40">
        <v>0.65277777777777779</v>
      </c>
      <c r="C39" s="40"/>
      <c r="D39" s="41">
        <v>8</v>
      </c>
      <c r="E39" s="42">
        <v>2</v>
      </c>
      <c r="F39" s="42" t="s">
        <v>173</v>
      </c>
      <c r="G39" s="43" t="s">
        <v>167</v>
      </c>
      <c r="H39" s="42" t="s">
        <v>212</v>
      </c>
      <c r="I39" s="43"/>
      <c r="J39" s="43">
        <v>2</v>
      </c>
      <c r="K39" s="25" t="str">
        <f>VLOOKUP(J39,Key!$E$2:$F$9,2,FALSE)</f>
        <v>Work</v>
      </c>
      <c r="L39" s="42" t="s">
        <v>183</v>
      </c>
      <c r="M39" s="43" t="s">
        <v>183</v>
      </c>
      <c r="N39" s="42" t="s">
        <v>179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49"/>
      <c r="T39" s="49">
        <v>12</v>
      </c>
      <c r="U39" s="43">
        <v>3</v>
      </c>
      <c r="V39" s="43">
        <v>1</v>
      </c>
      <c r="W39" s="49">
        <v>12</v>
      </c>
      <c r="X39" s="49"/>
      <c r="Y39" s="50"/>
      <c r="Z39" s="59"/>
      <c r="AA39" s="25"/>
      <c r="AB39" s="25"/>
    </row>
    <row r="40" spans="2:28">
      <c r="B40" s="40">
        <v>0.65486111111111112</v>
      </c>
      <c r="C40" s="40"/>
      <c r="D40" s="41">
        <v>5</v>
      </c>
      <c r="E40" s="42">
        <v>20</v>
      </c>
      <c r="F40" s="42" t="s">
        <v>210</v>
      </c>
      <c r="G40" s="43" t="s">
        <v>171</v>
      </c>
      <c r="H40" s="42" t="s">
        <v>179</v>
      </c>
      <c r="I40" s="43"/>
      <c r="J40" s="43">
        <v>2</v>
      </c>
      <c r="K40" s="25" t="str">
        <f>VLOOKUP(J40,Key!$E$2:$F$9,2,FALSE)</f>
        <v>Work</v>
      </c>
      <c r="L40" s="42" t="s">
        <v>183</v>
      </c>
      <c r="M40" s="43" t="s">
        <v>183</v>
      </c>
      <c r="N40" s="42" t="s">
        <v>179</v>
      </c>
      <c r="O40" s="43"/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49"/>
      <c r="T40" s="49">
        <v>8</v>
      </c>
      <c r="U40" s="43">
        <v>3</v>
      </c>
      <c r="V40" s="43"/>
      <c r="W40" s="49">
        <v>0</v>
      </c>
      <c r="X40" s="49"/>
      <c r="Y40" s="50"/>
      <c r="Z40" s="59"/>
      <c r="AA40" s="25"/>
      <c r="AB40" s="25"/>
    </row>
    <row r="41" spans="2:28">
      <c r="B41" s="40">
        <v>0.65763888888888888</v>
      </c>
      <c r="C41" s="40"/>
      <c r="D41" s="41">
        <v>1</v>
      </c>
      <c r="E41" s="42">
        <v>5</v>
      </c>
      <c r="F41" s="42" t="s">
        <v>210</v>
      </c>
      <c r="G41" s="43" t="s">
        <v>171</v>
      </c>
      <c r="H41" s="42" t="s">
        <v>179</v>
      </c>
      <c r="I41" s="43"/>
      <c r="J41" s="43">
        <v>2</v>
      </c>
      <c r="K41" s="25" t="str">
        <f>VLOOKUP(J41,Key!$E$2:$F$9,2,FALSE)</f>
        <v>Work</v>
      </c>
      <c r="L41" s="42" t="s">
        <v>172</v>
      </c>
      <c r="M41" s="43" t="s">
        <v>172</v>
      </c>
      <c r="N41" s="42" t="s">
        <v>179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49"/>
      <c r="T41" s="49">
        <v>1.5</v>
      </c>
      <c r="U41" s="43">
        <v>1</v>
      </c>
      <c r="V41" s="43"/>
      <c r="W41" s="49">
        <v>0</v>
      </c>
      <c r="X41" s="49"/>
      <c r="Y41" s="50"/>
      <c r="Z41" s="59"/>
      <c r="AA41" s="25"/>
      <c r="AB41" s="25"/>
    </row>
    <row r="42" spans="2:28">
      <c r="B42" s="40">
        <v>0.65902777777777777</v>
      </c>
      <c r="C42" s="40"/>
      <c r="D42" s="41">
        <v>8</v>
      </c>
      <c r="E42" s="42">
        <v>2</v>
      </c>
      <c r="F42" s="42" t="s">
        <v>173</v>
      </c>
      <c r="G42" s="43" t="s">
        <v>167</v>
      </c>
      <c r="H42" s="42" t="s">
        <v>212</v>
      </c>
      <c r="I42" s="43"/>
      <c r="J42" s="43">
        <v>2</v>
      </c>
      <c r="K42" s="25" t="str">
        <f>VLOOKUP(J42,Key!$E$2:$F$9,2,FALSE)</f>
        <v>Work</v>
      </c>
      <c r="L42" s="42" t="s">
        <v>226</v>
      </c>
      <c r="M42" s="43" t="s">
        <v>183</v>
      </c>
      <c r="N42" s="42" t="s">
        <v>179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9"/>
      <c r="T42" s="49">
        <v>17</v>
      </c>
      <c r="U42" s="43">
        <v>3</v>
      </c>
      <c r="V42" s="43">
        <v>1</v>
      </c>
      <c r="W42" s="49">
        <v>12</v>
      </c>
      <c r="X42" s="49"/>
      <c r="Y42" s="50"/>
      <c r="Z42" s="59"/>
      <c r="AA42" s="25"/>
      <c r="AB42" s="25"/>
    </row>
    <row r="43" spans="2:28">
      <c r="B43" s="40">
        <v>0.66041666666666665</v>
      </c>
      <c r="C43" s="40"/>
      <c r="D43" s="41">
        <v>8</v>
      </c>
      <c r="E43" s="42">
        <v>2</v>
      </c>
      <c r="F43" s="42" t="s">
        <v>173</v>
      </c>
      <c r="G43" s="43" t="s">
        <v>167</v>
      </c>
      <c r="H43" s="42" t="s">
        <v>212</v>
      </c>
      <c r="I43" s="43"/>
      <c r="J43" s="43">
        <v>2</v>
      </c>
      <c r="K43" s="25" t="str">
        <f>VLOOKUP(J43,Key!$E$2:$F$9,2,FALSE)</f>
        <v>Work</v>
      </c>
      <c r="L43" s="42" t="s">
        <v>183</v>
      </c>
      <c r="M43" s="43" t="s">
        <v>183</v>
      </c>
      <c r="N43" s="42" t="s">
        <v>179</v>
      </c>
      <c r="O43" s="43"/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49"/>
      <c r="T43" s="49">
        <v>12</v>
      </c>
      <c r="U43" s="43">
        <v>3</v>
      </c>
      <c r="V43" s="43">
        <v>9</v>
      </c>
      <c r="W43" s="49">
        <v>16</v>
      </c>
      <c r="X43" s="49"/>
      <c r="Y43" s="50"/>
      <c r="Z43" s="59"/>
      <c r="AA43" s="25"/>
      <c r="AB43" s="25"/>
    </row>
    <row r="44" spans="2:28">
      <c r="B44" s="40">
        <v>0.66249999999999998</v>
      </c>
      <c r="C44" s="40"/>
      <c r="D44" s="41">
        <v>1</v>
      </c>
      <c r="E44" s="42">
        <v>3</v>
      </c>
      <c r="F44" s="42" t="s">
        <v>170</v>
      </c>
      <c r="G44" s="43" t="s">
        <v>171</v>
      </c>
      <c r="H44" s="42" t="s">
        <v>179</v>
      </c>
      <c r="I44" s="43"/>
      <c r="J44" s="43">
        <v>2</v>
      </c>
      <c r="K44" s="25" t="str">
        <f>VLOOKUP(J44,Key!$E$2:$F$9,2,FALSE)</f>
        <v>Work</v>
      </c>
      <c r="L44" s="42" t="s">
        <v>172</v>
      </c>
      <c r="M44" s="43" t="s">
        <v>172</v>
      </c>
      <c r="N44" s="42" t="s">
        <v>179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49"/>
      <c r="T44" s="49">
        <v>1.5</v>
      </c>
      <c r="U44" s="43">
        <v>1</v>
      </c>
      <c r="V44" s="43"/>
      <c r="W44" s="49">
        <v>0</v>
      </c>
      <c r="X44" s="49"/>
      <c r="Y44" s="50"/>
      <c r="Z44" s="59"/>
      <c r="AA44" s="25"/>
      <c r="AB44" s="25"/>
    </row>
    <row r="45" spans="2:28">
      <c r="B45" s="40">
        <v>0.6645833333333333</v>
      </c>
      <c r="C45" s="40"/>
      <c r="D45" s="41">
        <v>1</v>
      </c>
      <c r="E45" s="42">
        <v>5</v>
      </c>
      <c r="F45" s="42" t="s">
        <v>170</v>
      </c>
      <c r="G45" s="43" t="s">
        <v>171</v>
      </c>
      <c r="H45" s="42" t="s">
        <v>179</v>
      </c>
      <c r="I45" s="43"/>
      <c r="J45" s="43">
        <v>2</v>
      </c>
      <c r="K45" s="25" t="str">
        <f>VLOOKUP(J45,Key!$E$2:$F$9,2,FALSE)</f>
        <v>Work</v>
      </c>
      <c r="L45" s="42" t="s">
        <v>172</v>
      </c>
      <c r="M45" s="43" t="s">
        <v>172</v>
      </c>
      <c r="N45" s="42" t="s">
        <v>179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49"/>
      <c r="T45" s="49">
        <v>2</v>
      </c>
      <c r="U45" s="43">
        <v>1</v>
      </c>
      <c r="V45" s="43"/>
      <c r="W45" s="49">
        <v>0</v>
      </c>
      <c r="X45" s="49"/>
      <c r="Y45" s="50"/>
      <c r="Z45" s="59"/>
      <c r="AA45" s="25"/>
      <c r="AB45" s="25"/>
    </row>
    <row r="46" spans="2:28">
      <c r="B46" s="40">
        <v>0.66666666666666663</v>
      </c>
      <c r="C46" s="40"/>
      <c r="D46" s="41">
        <v>5</v>
      </c>
      <c r="E46" s="42">
        <v>28</v>
      </c>
      <c r="F46" s="42" t="s">
        <v>173</v>
      </c>
      <c r="G46" s="43" t="s">
        <v>167</v>
      </c>
      <c r="H46" s="42" t="s">
        <v>212</v>
      </c>
      <c r="I46" s="43"/>
      <c r="J46" s="43">
        <v>2</v>
      </c>
      <c r="K46" s="25" t="str">
        <f>VLOOKUP(J46,Key!$E$2:$F$9,2,FALSE)</f>
        <v>Work</v>
      </c>
      <c r="L46" s="42" t="s">
        <v>183</v>
      </c>
      <c r="M46" s="43" t="s">
        <v>183</v>
      </c>
      <c r="N46" s="42" t="s">
        <v>179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9"/>
      <c r="T46" s="49">
        <v>15</v>
      </c>
      <c r="U46" s="43">
        <v>3</v>
      </c>
      <c r="V46" s="43"/>
      <c r="W46" s="49">
        <v>0</v>
      </c>
      <c r="X46" s="49"/>
      <c r="Y46" s="50"/>
      <c r="Z46" s="59"/>
      <c r="AA46" s="25"/>
      <c r="AB46" s="25"/>
    </row>
    <row r="47" spans="2:28">
      <c r="B47" s="40">
        <v>0.6694444444444444</v>
      </c>
      <c r="C47" s="40"/>
      <c r="D47" s="41">
        <v>5</v>
      </c>
      <c r="E47" s="42">
        <v>30</v>
      </c>
      <c r="F47" s="42" t="s">
        <v>173</v>
      </c>
      <c r="G47" s="43" t="s">
        <v>167</v>
      </c>
      <c r="H47" s="42" t="s">
        <v>212</v>
      </c>
      <c r="I47" s="43"/>
      <c r="J47" s="43">
        <v>2</v>
      </c>
      <c r="K47" s="25" t="str">
        <f>VLOOKUP(J47,Key!$E$2:$F$9,2,FALSE)</f>
        <v>Work</v>
      </c>
      <c r="L47" s="42" t="s">
        <v>183</v>
      </c>
      <c r="M47" s="43" t="s">
        <v>183</v>
      </c>
      <c r="N47" s="42" t="s">
        <v>179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9"/>
      <c r="T47" s="49">
        <v>12</v>
      </c>
      <c r="U47" s="43">
        <v>3</v>
      </c>
      <c r="V47" s="43"/>
      <c r="W47" s="49">
        <v>0</v>
      </c>
      <c r="X47" s="49"/>
      <c r="Y47" s="50"/>
      <c r="Z47" s="59"/>
      <c r="AA47" s="25"/>
      <c r="AB47" s="25"/>
    </row>
    <row r="48" spans="2:28">
      <c r="B48" s="40">
        <v>0.67083333333333339</v>
      </c>
      <c r="C48" s="40"/>
      <c r="D48" s="41">
        <v>9</v>
      </c>
      <c r="E48" s="42">
        <v>2</v>
      </c>
      <c r="F48" s="42" t="s">
        <v>173</v>
      </c>
      <c r="G48" s="43" t="s">
        <v>167</v>
      </c>
      <c r="H48" s="42" t="s">
        <v>212</v>
      </c>
      <c r="I48" s="43"/>
      <c r="J48" s="43">
        <v>2</v>
      </c>
      <c r="K48" s="25" t="str">
        <f>VLOOKUP(J48,Key!$E$2:$F$9,2,FALSE)</f>
        <v>Work</v>
      </c>
      <c r="L48" s="42" t="s">
        <v>183</v>
      </c>
      <c r="M48" s="43" t="s">
        <v>183</v>
      </c>
      <c r="N48" s="42" t="s">
        <v>179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49"/>
      <c r="T48" s="49">
        <v>10</v>
      </c>
      <c r="U48" s="43">
        <v>3</v>
      </c>
      <c r="V48" s="43">
        <v>6</v>
      </c>
      <c r="W48" s="49">
        <v>30</v>
      </c>
      <c r="X48" s="49"/>
      <c r="Y48" s="50"/>
      <c r="Z48" s="59"/>
      <c r="AA48" s="25"/>
      <c r="AB48" s="25"/>
    </row>
    <row r="49" spans="2:28">
      <c r="B49" s="40">
        <v>0.67222222222222217</v>
      </c>
      <c r="C49" s="40"/>
      <c r="D49" s="41">
        <v>9</v>
      </c>
      <c r="E49" s="42">
        <v>2</v>
      </c>
      <c r="F49" s="42" t="s">
        <v>173</v>
      </c>
      <c r="G49" s="43" t="s">
        <v>167</v>
      </c>
      <c r="H49" s="42" t="s">
        <v>212</v>
      </c>
      <c r="I49" s="43"/>
      <c r="J49" s="43">
        <v>2</v>
      </c>
      <c r="K49" s="25" t="str">
        <f>VLOOKUP(J49,Key!$E$2:$F$9,2,FALSE)</f>
        <v>Work</v>
      </c>
      <c r="L49" s="42" t="s">
        <v>183</v>
      </c>
      <c r="M49" s="43" t="s">
        <v>183</v>
      </c>
      <c r="N49" s="42" t="s">
        <v>179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49"/>
      <c r="T49" s="49">
        <v>12</v>
      </c>
      <c r="U49" s="43">
        <v>3</v>
      </c>
      <c r="V49" s="43">
        <v>5</v>
      </c>
      <c r="W49" s="49">
        <v>22</v>
      </c>
      <c r="X49" s="49"/>
      <c r="Y49" s="50"/>
      <c r="Z49" s="59"/>
      <c r="AA49" s="25"/>
      <c r="AB49" s="25"/>
    </row>
    <row r="50" spans="2:28">
      <c r="B50" s="40">
        <v>0.67499999999999993</v>
      </c>
      <c r="C50" s="40"/>
      <c r="D50" s="41">
        <v>8</v>
      </c>
      <c r="E50" s="42">
        <v>2</v>
      </c>
      <c r="F50" s="42" t="s">
        <v>210</v>
      </c>
      <c r="G50" s="43" t="s">
        <v>171</v>
      </c>
      <c r="H50" s="42" t="s">
        <v>179</v>
      </c>
      <c r="I50" s="43"/>
      <c r="J50" s="43">
        <v>2</v>
      </c>
      <c r="K50" s="25" t="str">
        <f>VLOOKUP(J50,Key!$E$2:$F$9,2,FALSE)</f>
        <v>Work</v>
      </c>
      <c r="L50" s="42" t="s">
        <v>168</v>
      </c>
      <c r="M50" s="43" t="s">
        <v>171</v>
      </c>
      <c r="N50" s="42" t="s">
        <v>179</v>
      </c>
      <c r="O50" s="43"/>
      <c r="P50" s="43">
        <v>1</v>
      </c>
      <c r="Q50" s="25" t="str">
        <f>VLOOKUP(P50,Key!$E$2:$F$9,2,FALSE)</f>
        <v>Home</v>
      </c>
      <c r="R50" s="25" t="str">
        <f t="shared" si="0"/>
        <v>Work-Home</v>
      </c>
      <c r="S50" s="49"/>
      <c r="T50" s="49">
        <v>4</v>
      </c>
      <c r="U50" s="43">
        <v>1</v>
      </c>
      <c r="V50" s="43">
        <v>5</v>
      </c>
      <c r="W50" s="49">
        <v>15</v>
      </c>
      <c r="X50" s="49"/>
      <c r="Y50" s="50"/>
      <c r="Z50" s="59"/>
      <c r="AA50" s="25"/>
      <c r="AB50" s="25"/>
    </row>
    <row r="51" spans="2:28">
      <c r="B51" s="40">
        <v>0.67847222222222225</v>
      </c>
      <c r="C51" s="40"/>
      <c r="D51" s="41">
        <v>8</v>
      </c>
      <c r="E51" s="42">
        <v>2</v>
      </c>
      <c r="F51" s="42" t="s">
        <v>173</v>
      </c>
      <c r="G51" s="43" t="s">
        <v>167</v>
      </c>
      <c r="H51" s="42" t="s">
        <v>212</v>
      </c>
      <c r="I51" s="43"/>
      <c r="J51" s="43">
        <v>2</v>
      </c>
      <c r="K51" s="25" t="str">
        <f>VLOOKUP(J51,Key!$E$2:$F$9,2,FALSE)</f>
        <v>Work</v>
      </c>
      <c r="L51" s="42" t="s">
        <v>183</v>
      </c>
      <c r="M51" s="43" t="s">
        <v>183</v>
      </c>
      <c r="N51" s="42" t="s">
        <v>179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49"/>
      <c r="T51" s="49">
        <v>13</v>
      </c>
      <c r="U51" s="43">
        <v>5</v>
      </c>
      <c r="V51" s="43">
        <v>6</v>
      </c>
      <c r="W51" s="49">
        <v>30</v>
      </c>
      <c r="X51" s="49"/>
      <c r="Y51" s="50"/>
      <c r="Z51" s="59"/>
      <c r="AA51" s="25"/>
      <c r="AB51" s="25"/>
    </row>
    <row r="52" spans="2:28">
      <c r="B52" s="40">
        <v>0.68125000000000002</v>
      </c>
      <c r="C52" s="40"/>
      <c r="D52" s="41">
        <v>1</v>
      </c>
      <c r="E52" s="42">
        <v>2</v>
      </c>
      <c r="F52" s="42" t="s">
        <v>170</v>
      </c>
      <c r="G52" s="43" t="s">
        <v>171</v>
      </c>
      <c r="H52" s="42" t="s">
        <v>179</v>
      </c>
      <c r="I52" s="43"/>
      <c r="J52" s="43">
        <v>2</v>
      </c>
      <c r="K52" s="25" t="str">
        <f>VLOOKUP(J52,Key!$E$2:$F$9,2,FALSE)</f>
        <v>Work</v>
      </c>
      <c r="L52" s="42" t="s">
        <v>168</v>
      </c>
      <c r="M52" s="43" t="s">
        <v>171</v>
      </c>
      <c r="N52" s="42" t="s">
        <v>179</v>
      </c>
      <c r="O52" s="43"/>
      <c r="P52" s="43">
        <v>1</v>
      </c>
      <c r="Q52" s="25" t="str">
        <f>VLOOKUP(P52,Key!$E$2:$F$9,2,FALSE)</f>
        <v>Home</v>
      </c>
      <c r="R52" s="25" t="str">
        <f t="shared" si="0"/>
        <v>Work-Home</v>
      </c>
      <c r="S52" s="49"/>
      <c r="T52" s="49">
        <v>2</v>
      </c>
      <c r="U52" s="43">
        <v>2</v>
      </c>
      <c r="V52" s="43"/>
      <c r="W52" s="49">
        <v>0</v>
      </c>
      <c r="X52" s="49"/>
      <c r="Y52" s="50"/>
      <c r="Z52" s="59"/>
      <c r="AA52" s="25"/>
      <c r="AB52" s="25"/>
    </row>
    <row r="53" spans="2:28">
      <c r="B53" s="40">
        <v>0.68611111111111101</v>
      </c>
      <c r="C53" s="40"/>
      <c r="D53" s="41">
        <v>6</v>
      </c>
      <c r="E53" s="42">
        <v>50</v>
      </c>
      <c r="F53" s="42" t="s">
        <v>170</v>
      </c>
      <c r="G53" s="43" t="s">
        <v>171</v>
      </c>
      <c r="H53" s="42" t="s">
        <v>179</v>
      </c>
      <c r="I53" s="43"/>
      <c r="J53" s="43">
        <v>2</v>
      </c>
      <c r="K53" s="25" t="str">
        <f>VLOOKUP(J53,Key!$E$2:$F$9,2,FALSE)</f>
        <v>Work</v>
      </c>
      <c r="L53" s="42" t="s">
        <v>168</v>
      </c>
      <c r="M53" s="43" t="s">
        <v>171</v>
      </c>
      <c r="N53" s="42" t="s">
        <v>179</v>
      </c>
      <c r="O53" s="43"/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49"/>
      <c r="T53" s="49">
        <v>1</v>
      </c>
      <c r="U53" s="43">
        <v>1</v>
      </c>
      <c r="V53" s="43"/>
      <c r="W53" s="49">
        <v>0</v>
      </c>
      <c r="X53" s="49"/>
      <c r="Y53" s="50"/>
      <c r="Z53" s="59"/>
      <c r="AA53" s="25"/>
      <c r="AB53" s="25"/>
    </row>
    <row r="54" spans="2:28">
      <c r="B54" s="40">
        <v>0.68819444444444444</v>
      </c>
      <c r="C54" s="40"/>
      <c r="D54" s="41">
        <v>6</v>
      </c>
      <c r="E54" s="42">
        <v>55</v>
      </c>
      <c r="F54" s="42" t="s">
        <v>176</v>
      </c>
      <c r="G54" s="43" t="s">
        <v>171</v>
      </c>
      <c r="H54" s="42" t="s">
        <v>179</v>
      </c>
      <c r="I54" s="43"/>
      <c r="J54" s="43">
        <v>2</v>
      </c>
      <c r="K54" s="25" t="str">
        <f>VLOOKUP(J54,Key!$E$2:$F$9,2,FALSE)</f>
        <v>Work</v>
      </c>
      <c r="L54" s="42" t="s">
        <v>168</v>
      </c>
      <c r="M54" s="43" t="s">
        <v>171</v>
      </c>
      <c r="N54" s="42" t="s">
        <v>179</v>
      </c>
      <c r="O54" s="43"/>
      <c r="P54" s="43">
        <v>1</v>
      </c>
      <c r="Q54" s="25" t="str">
        <f>VLOOKUP(P54,Key!$E$2:$F$9,2,FALSE)</f>
        <v>Home</v>
      </c>
      <c r="R54" s="25" t="str">
        <f t="shared" si="0"/>
        <v>Work-Home</v>
      </c>
      <c r="S54" s="49"/>
      <c r="T54" s="49">
        <v>0.5</v>
      </c>
      <c r="U54" s="43">
        <v>1</v>
      </c>
      <c r="V54" s="43"/>
      <c r="W54" s="49">
        <v>0</v>
      </c>
      <c r="X54" s="49"/>
      <c r="Y54" s="50"/>
      <c r="Z54" s="59"/>
      <c r="AA54" s="25"/>
      <c r="AB54" s="25"/>
    </row>
    <row r="55" spans="2:28">
      <c r="B55" s="40">
        <v>0.69097222222222221</v>
      </c>
      <c r="C55" s="40"/>
      <c r="D55" s="41">
        <v>1</v>
      </c>
      <c r="E55" s="42">
        <v>4</v>
      </c>
      <c r="F55" s="42" t="s">
        <v>170</v>
      </c>
      <c r="G55" s="43" t="s">
        <v>171</v>
      </c>
      <c r="H55" s="42" t="s">
        <v>179</v>
      </c>
      <c r="I55" s="43"/>
      <c r="J55" s="43">
        <v>2</v>
      </c>
      <c r="K55" s="25" t="str">
        <f>VLOOKUP(J55,Key!$E$2:$F$9,2,FALSE)</f>
        <v>Work</v>
      </c>
      <c r="L55" s="42" t="s">
        <v>172</v>
      </c>
      <c r="M55" s="43" t="s">
        <v>172</v>
      </c>
      <c r="N55" s="42" t="s">
        <v>179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49"/>
      <c r="T55" s="49">
        <v>1.5</v>
      </c>
      <c r="U55" s="43">
        <v>1</v>
      </c>
      <c r="V55" s="43"/>
      <c r="W55" s="49">
        <v>0</v>
      </c>
      <c r="X55" s="49"/>
      <c r="Y55" s="50"/>
      <c r="Z55" s="59"/>
      <c r="AA55" s="25"/>
      <c r="AB55" s="25"/>
    </row>
    <row r="56" spans="2:28">
      <c r="B56" s="40">
        <v>0.69930555555555562</v>
      </c>
      <c r="C56" s="40"/>
      <c r="D56" s="41">
        <v>8</v>
      </c>
      <c r="E56" s="42">
        <v>2</v>
      </c>
      <c r="F56" s="42" t="s">
        <v>173</v>
      </c>
      <c r="G56" s="43" t="s">
        <v>167</v>
      </c>
      <c r="H56" s="42" t="s">
        <v>212</v>
      </c>
      <c r="I56" s="43"/>
      <c r="J56" s="43">
        <v>2</v>
      </c>
      <c r="K56" s="25" t="str">
        <f>VLOOKUP(J56,Key!$E$2:$F$9,2,FALSE)</f>
        <v>Work</v>
      </c>
      <c r="L56" s="42" t="s">
        <v>183</v>
      </c>
      <c r="M56" s="43" t="s">
        <v>183</v>
      </c>
      <c r="N56" s="42" t="s">
        <v>179</v>
      </c>
      <c r="O56" s="43"/>
      <c r="P56" s="43">
        <v>1</v>
      </c>
      <c r="Q56" s="25" t="str">
        <f>VLOOKUP(P56,Key!$E$2:$F$9,2,FALSE)</f>
        <v>Home</v>
      </c>
      <c r="R56" s="25" t="str">
        <f t="shared" si="0"/>
        <v>Work-Home</v>
      </c>
      <c r="S56" s="49"/>
      <c r="T56" s="49">
        <v>12</v>
      </c>
      <c r="U56" s="43">
        <v>3</v>
      </c>
      <c r="V56" s="43">
        <v>9</v>
      </c>
      <c r="W56" s="49">
        <v>11</v>
      </c>
      <c r="X56" s="49"/>
      <c r="Y56" s="50"/>
      <c r="Z56" s="59"/>
      <c r="AA56" s="25"/>
      <c r="AB56" s="25"/>
    </row>
    <row r="57" spans="2:28">
      <c r="B57" s="40">
        <v>0.7006944444444444</v>
      </c>
      <c r="C57" s="40"/>
      <c r="D57" s="41">
        <v>8</v>
      </c>
      <c r="E57" s="42">
        <v>2</v>
      </c>
      <c r="F57" s="42" t="s">
        <v>173</v>
      </c>
      <c r="G57" s="43" t="s">
        <v>167</v>
      </c>
      <c r="H57" s="42" t="s">
        <v>212</v>
      </c>
      <c r="I57" s="43"/>
      <c r="J57" s="43">
        <v>2</v>
      </c>
      <c r="K57" s="25" t="str">
        <f>VLOOKUP(J57,Key!$E$2:$F$9,2,FALSE)</f>
        <v>Work</v>
      </c>
      <c r="L57" s="42" t="s">
        <v>185</v>
      </c>
      <c r="M57" s="43" t="s">
        <v>183</v>
      </c>
      <c r="N57" s="42" t="s">
        <v>179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9"/>
      <c r="T57" s="49">
        <v>15</v>
      </c>
      <c r="U57" s="43">
        <v>3</v>
      </c>
      <c r="V57" s="43">
        <v>8</v>
      </c>
      <c r="W57" s="49">
        <v>12</v>
      </c>
      <c r="X57" s="49"/>
      <c r="Y57" s="50"/>
      <c r="Z57" s="59"/>
      <c r="AA57" s="25"/>
      <c r="AB57" s="25"/>
    </row>
    <row r="58" spans="2:28">
      <c r="B58" s="40">
        <v>0.70347222222222217</v>
      </c>
      <c r="C58" s="40"/>
      <c r="D58" s="41">
        <v>1</v>
      </c>
      <c r="E58" s="42">
        <v>2</v>
      </c>
      <c r="F58" s="42" t="s">
        <v>209</v>
      </c>
      <c r="G58" s="43" t="s">
        <v>167</v>
      </c>
      <c r="H58" s="42" t="s">
        <v>212</v>
      </c>
      <c r="I58" s="43"/>
      <c r="J58" s="43">
        <v>2</v>
      </c>
      <c r="K58" s="25" t="str">
        <f>VLOOKUP(J58,Key!$E$2:$F$9,2,FALSE)</f>
        <v>Work</v>
      </c>
      <c r="L58" s="42" t="s">
        <v>40</v>
      </c>
      <c r="M58" s="43" t="s">
        <v>40</v>
      </c>
      <c r="N58" s="42" t="s">
        <v>179</v>
      </c>
      <c r="O58" s="43"/>
      <c r="P58" s="43">
        <v>1</v>
      </c>
      <c r="Q58" s="25" t="str">
        <f>VLOOKUP(P58,Key!$E$2:$F$9,2,FALSE)</f>
        <v>Home</v>
      </c>
      <c r="R58" s="25" t="str">
        <f t="shared" si="0"/>
        <v>Work-Home</v>
      </c>
      <c r="S58" s="49"/>
      <c r="T58" s="49">
        <v>24</v>
      </c>
      <c r="U58" s="43">
        <v>3</v>
      </c>
      <c r="V58" s="43"/>
      <c r="W58" s="49">
        <v>0</v>
      </c>
      <c r="X58" s="49"/>
      <c r="Y58" s="50"/>
      <c r="Z58" s="59"/>
      <c r="AA58" s="25"/>
      <c r="AB58" s="25"/>
    </row>
    <row r="59" spans="2:28">
      <c r="B59" s="40">
        <v>0.70624999999999993</v>
      </c>
      <c r="C59" s="40"/>
      <c r="D59" s="41">
        <v>1</v>
      </c>
      <c r="E59" s="42">
        <v>6</v>
      </c>
      <c r="F59" s="42" t="s">
        <v>170</v>
      </c>
      <c r="G59" s="43" t="s">
        <v>171</v>
      </c>
      <c r="H59" s="42" t="s">
        <v>179</v>
      </c>
      <c r="I59" s="43"/>
      <c r="J59" s="43">
        <v>2</v>
      </c>
      <c r="K59" s="25" t="str">
        <f>VLOOKUP(J59,Key!$E$2:$F$9,2,FALSE)</f>
        <v>Work</v>
      </c>
      <c r="L59" s="42" t="s">
        <v>172</v>
      </c>
      <c r="M59" s="43" t="s">
        <v>172</v>
      </c>
      <c r="N59" s="42" t="s">
        <v>179</v>
      </c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49"/>
      <c r="T59" s="49">
        <v>1.5</v>
      </c>
      <c r="U59" s="43">
        <v>1</v>
      </c>
      <c r="V59" s="43"/>
      <c r="W59" s="49">
        <v>0</v>
      </c>
      <c r="X59" s="49"/>
      <c r="Y59" s="50"/>
      <c r="Z59" s="59"/>
      <c r="AA59" s="25"/>
      <c r="AB59" s="25"/>
    </row>
    <row r="60" spans="2:28">
      <c r="B60" s="40">
        <v>0.70763888888888893</v>
      </c>
      <c r="C60" s="40"/>
      <c r="D60" s="41">
        <v>1</v>
      </c>
      <c r="E60" s="42">
        <v>6</v>
      </c>
      <c r="F60" s="42" t="s">
        <v>170</v>
      </c>
      <c r="G60" s="43" t="s">
        <v>171</v>
      </c>
      <c r="H60" s="42" t="s">
        <v>179</v>
      </c>
      <c r="I60" s="43"/>
      <c r="J60" s="43">
        <v>2</v>
      </c>
      <c r="K60" s="25" t="str">
        <f>VLOOKUP(J60,Key!$E$2:$F$9,2,FALSE)</f>
        <v>Work</v>
      </c>
      <c r="L60" s="42" t="s">
        <v>172</v>
      </c>
      <c r="M60" s="43" t="s">
        <v>172</v>
      </c>
      <c r="N60" s="42" t="s">
        <v>179</v>
      </c>
      <c r="O60" s="43"/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49"/>
      <c r="T60" s="49">
        <v>2</v>
      </c>
      <c r="U60" s="43">
        <v>1</v>
      </c>
      <c r="V60" s="43"/>
      <c r="W60" s="49">
        <v>0</v>
      </c>
      <c r="X60" s="49"/>
      <c r="Y60" s="50"/>
      <c r="Z60" s="59"/>
      <c r="AA60" s="25"/>
      <c r="AB60" s="25"/>
    </row>
    <row r="61" spans="2:28">
      <c r="B61" s="40">
        <v>0.71388888888888891</v>
      </c>
      <c r="C61" s="40"/>
      <c r="D61" s="41">
        <v>8</v>
      </c>
      <c r="E61" s="42">
        <v>2</v>
      </c>
      <c r="F61" s="42" t="s">
        <v>173</v>
      </c>
      <c r="G61" s="43" t="s">
        <v>167</v>
      </c>
      <c r="H61" s="42" t="s">
        <v>212</v>
      </c>
      <c r="I61" s="43"/>
      <c r="J61" s="43">
        <v>2</v>
      </c>
      <c r="K61" s="25" t="str">
        <f>VLOOKUP(J61,Key!$E$2:$F$9,2,FALSE)</f>
        <v>Work</v>
      </c>
      <c r="L61" s="42" t="s">
        <v>183</v>
      </c>
      <c r="M61" s="43" t="s">
        <v>183</v>
      </c>
      <c r="N61" s="42" t="s">
        <v>179</v>
      </c>
      <c r="O61" s="43"/>
      <c r="P61" s="43">
        <v>1</v>
      </c>
      <c r="Q61" s="25" t="str">
        <f>VLOOKUP(P61,Key!$E$2:$F$9,2,FALSE)</f>
        <v>Home</v>
      </c>
      <c r="R61" s="25" t="str">
        <f t="shared" si="0"/>
        <v>Work-Home</v>
      </c>
      <c r="S61" s="49"/>
      <c r="T61" s="49">
        <v>15</v>
      </c>
      <c r="U61" s="43">
        <v>3</v>
      </c>
      <c r="V61" s="43">
        <v>1</v>
      </c>
      <c r="W61" s="49">
        <v>5</v>
      </c>
      <c r="X61" s="49"/>
      <c r="Y61" s="50"/>
      <c r="Z61" s="59"/>
      <c r="AA61" s="25"/>
      <c r="AB61" s="25"/>
    </row>
    <row r="62" spans="2:28">
      <c r="B62" s="40">
        <v>0.71666666666666667</v>
      </c>
      <c r="C62" s="40"/>
      <c r="D62" s="41">
        <v>1</v>
      </c>
      <c r="E62" s="42">
        <v>4</v>
      </c>
      <c r="F62" s="42" t="s">
        <v>170</v>
      </c>
      <c r="G62" s="43" t="s">
        <v>171</v>
      </c>
      <c r="H62" s="42" t="s">
        <v>179</v>
      </c>
      <c r="I62" s="43"/>
      <c r="J62" s="43">
        <v>2</v>
      </c>
      <c r="K62" s="25" t="str">
        <f>VLOOKUP(J62,Key!$E$2:$F$9,2,FALSE)</f>
        <v>Work</v>
      </c>
      <c r="L62" s="42" t="s">
        <v>172</v>
      </c>
      <c r="M62" s="43" t="s">
        <v>172</v>
      </c>
      <c r="N62" s="42" t="s">
        <v>179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49"/>
      <c r="T62" s="49">
        <v>1.5</v>
      </c>
      <c r="U62" s="43">
        <v>1</v>
      </c>
      <c r="V62" s="43"/>
      <c r="W62" s="49">
        <v>0</v>
      </c>
      <c r="X62" s="49"/>
      <c r="Y62" s="50"/>
      <c r="Z62" s="59"/>
      <c r="AA62" s="25"/>
      <c r="AB62" s="25"/>
    </row>
    <row r="63" spans="2:28">
      <c r="B63" s="40">
        <v>0.72013888888888899</v>
      </c>
      <c r="C63" s="40"/>
      <c r="D63" s="41">
        <v>1</v>
      </c>
      <c r="E63" s="42">
        <v>3</v>
      </c>
      <c r="F63" s="42" t="s">
        <v>170</v>
      </c>
      <c r="G63" s="43" t="s">
        <v>171</v>
      </c>
      <c r="H63" s="42" t="s">
        <v>179</v>
      </c>
      <c r="I63" s="43"/>
      <c r="J63" s="43">
        <v>2</v>
      </c>
      <c r="K63" s="25" t="str">
        <f>VLOOKUP(J63,Key!$E$2:$F$9,2,FALSE)</f>
        <v>Work</v>
      </c>
      <c r="L63" s="42" t="s">
        <v>172</v>
      </c>
      <c r="M63" s="43" t="s">
        <v>172</v>
      </c>
      <c r="N63" s="42" t="s">
        <v>179</v>
      </c>
      <c r="O63" s="43"/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9"/>
      <c r="T63" s="49">
        <v>2</v>
      </c>
      <c r="U63" s="43">
        <v>1</v>
      </c>
      <c r="V63" s="43"/>
      <c r="W63" s="49">
        <v>0</v>
      </c>
      <c r="X63" s="49"/>
      <c r="Y63" s="50"/>
      <c r="Z63" s="59"/>
      <c r="AA63" s="25"/>
      <c r="AB63" s="25"/>
    </row>
    <row r="64" spans="2:28">
      <c r="B64" s="40">
        <v>0.72222222222222221</v>
      </c>
      <c r="C64" s="40"/>
      <c r="D64" s="41">
        <v>6</v>
      </c>
      <c r="E64" s="42">
        <v>70</v>
      </c>
      <c r="F64" s="42" t="s">
        <v>176</v>
      </c>
      <c r="G64" s="43" t="s">
        <v>171</v>
      </c>
      <c r="H64" s="42" t="s">
        <v>179</v>
      </c>
      <c r="I64" s="43"/>
      <c r="J64" s="43">
        <v>2</v>
      </c>
      <c r="K64" s="25" t="str">
        <f>VLOOKUP(J64,Key!$E$2:$F$9,2,FALSE)</f>
        <v>Work</v>
      </c>
      <c r="L64" s="42" t="s">
        <v>168</v>
      </c>
      <c r="M64" s="43" t="s">
        <v>171</v>
      </c>
      <c r="N64" s="42" t="s">
        <v>179</v>
      </c>
      <c r="O64" s="43"/>
      <c r="P64" s="43">
        <v>1</v>
      </c>
      <c r="Q64" s="25" t="str">
        <f>VLOOKUP(P64,Key!$E$2:$F$9,2,FALSE)</f>
        <v>Home</v>
      </c>
      <c r="R64" s="25" t="str">
        <f t="shared" si="0"/>
        <v>Work-Home</v>
      </c>
      <c r="S64" s="49"/>
      <c r="T64" s="49">
        <v>0.5</v>
      </c>
      <c r="U64" s="43">
        <v>1</v>
      </c>
      <c r="V64" s="43"/>
      <c r="W64" s="49">
        <v>0</v>
      </c>
      <c r="X64" s="49"/>
      <c r="Y64" s="50"/>
      <c r="Z64" s="59"/>
      <c r="AA64" s="25"/>
      <c r="AB64" s="25"/>
    </row>
    <row r="65" spans="2:28">
      <c r="B65" s="40">
        <v>0.7270833333333333</v>
      </c>
      <c r="C65" s="40"/>
      <c r="D65" s="41">
        <v>6</v>
      </c>
      <c r="E65" s="42">
        <v>70</v>
      </c>
      <c r="F65" s="42" t="s">
        <v>170</v>
      </c>
      <c r="G65" s="43" t="s">
        <v>171</v>
      </c>
      <c r="H65" s="42" t="s">
        <v>179</v>
      </c>
      <c r="I65" s="43"/>
      <c r="J65" s="43">
        <v>2</v>
      </c>
      <c r="K65" s="25" t="str">
        <f>VLOOKUP(J65,Key!$E$2:$F$9,2,FALSE)</f>
        <v>Work</v>
      </c>
      <c r="L65" s="42" t="s">
        <v>168</v>
      </c>
      <c r="M65" s="43" t="s">
        <v>171</v>
      </c>
      <c r="N65" s="42" t="s">
        <v>179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49"/>
      <c r="T65" s="49">
        <v>1</v>
      </c>
      <c r="U65" s="43">
        <v>1</v>
      </c>
      <c r="V65" s="43"/>
      <c r="W65" s="49">
        <v>0</v>
      </c>
      <c r="X65" s="49"/>
      <c r="Y65" s="50"/>
      <c r="Z65" s="59"/>
      <c r="AA65" s="25"/>
      <c r="AB65" s="25"/>
    </row>
    <row r="66" spans="2:28">
      <c r="B66" s="40">
        <v>0.73263888888888884</v>
      </c>
      <c r="C66" s="40"/>
      <c r="D66" s="41">
        <v>9</v>
      </c>
      <c r="E66" s="42">
        <v>2</v>
      </c>
      <c r="F66" s="42" t="s">
        <v>173</v>
      </c>
      <c r="G66" s="43" t="s">
        <v>167</v>
      </c>
      <c r="H66" s="42" t="s">
        <v>212</v>
      </c>
      <c r="I66" s="43"/>
      <c r="J66" s="43">
        <v>2</v>
      </c>
      <c r="K66" s="25" t="str">
        <f>VLOOKUP(J66,Key!$E$2:$F$9,2,FALSE)</f>
        <v>Work</v>
      </c>
      <c r="L66" s="42" t="s">
        <v>183</v>
      </c>
      <c r="M66" s="43" t="s">
        <v>183</v>
      </c>
      <c r="N66" s="42" t="s">
        <v>179</v>
      </c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49"/>
      <c r="T66" s="49">
        <v>20</v>
      </c>
      <c r="U66" s="43">
        <v>3</v>
      </c>
      <c r="V66" s="43">
        <v>6</v>
      </c>
      <c r="W66" s="49">
        <v>30</v>
      </c>
      <c r="X66" s="49"/>
      <c r="Y66" s="50"/>
      <c r="Z66" s="59"/>
      <c r="AA66" s="25"/>
      <c r="AB66" s="25"/>
    </row>
    <row r="67" spans="2:28">
      <c r="B67" s="40">
        <v>0.73263888888888884</v>
      </c>
      <c r="C67" s="40"/>
      <c r="D67" s="41">
        <v>1</v>
      </c>
      <c r="E67" s="42">
        <v>3</v>
      </c>
      <c r="F67" s="42" t="s">
        <v>170</v>
      </c>
      <c r="G67" s="43" t="s">
        <v>171</v>
      </c>
      <c r="H67" s="42" t="s">
        <v>179</v>
      </c>
      <c r="I67" s="43"/>
      <c r="J67" s="43">
        <v>2</v>
      </c>
      <c r="K67" s="25" t="str">
        <f>VLOOKUP(J67,Key!$E$2:$F$9,2,FALSE)</f>
        <v>Work</v>
      </c>
      <c r="L67" s="42" t="s">
        <v>172</v>
      </c>
      <c r="M67" s="43" t="s">
        <v>172</v>
      </c>
      <c r="N67" s="42" t="s">
        <v>179</v>
      </c>
      <c r="O67" s="43"/>
      <c r="P67" s="43">
        <v>1</v>
      </c>
      <c r="Q67" s="25" t="str">
        <f>VLOOKUP(P67,Key!$E$2:$F$9,2,FALSE)</f>
        <v>Home</v>
      </c>
      <c r="R67" s="25" t="str">
        <f t="shared" si="0"/>
        <v>Work-Home</v>
      </c>
      <c r="S67" s="49"/>
      <c r="T67" s="49">
        <v>2</v>
      </c>
      <c r="U67" s="43">
        <v>2</v>
      </c>
      <c r="V67" s="43"/>
      <c r="W67" s="49">
        <v>0</v>
      </c>
      <c r="X67" s="49"/>
      <c r="Y67" s="50"/>
      <c r="Z67" s="59"/>
      <c r="AA67" s="25"/>
      <c r="AB67" s="25"/>
    </row>
    <row r="68" spans="2:28">
      <c r="B68" s="40">
        <v>0.73541666666666661</v>
      </c>
      <c r="C68" s="40"/>
      <c r="D68" s="41">
        <v>1</v>
      </c>
      <c r="E68" s="42">
        <v>4</v>
      </c>
      <c r="F68" s="42" t="s">
        <v>170</v>
      </c>
      <c r="G68" s="43" t="s">
        <v>171</v>
      </c>
      <c r="H68" s="42" t="s">
        <v>179</v>
      </c>
      <c r="I68" s="43"/>
      <c r="J68" s="43">
        <v>2</v>
      </c>
      <c r="K68" s="25" t="str">
        <f>VLOOKUP(J68,Key!$E$2:$F$9,2,FALSE)</f>
        <v>Work</v>
      </c>
      <c r="L68" s="42" t="s">
        <v>172</v>
      </c>
      <c r="M68" s="43" t="s">
        <v>172</v>
      </c>
      <c r="N68" s="42" t="s">
        <v>179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49"/>
      <c r="T68" s="49">
        <v>2</v>
      </c>
      <c r="U68" s="43">
        <v>1</v>
      </c>
      <c r="V68" s="43"/>
      <c r="W68" s="49">
        <v>0</v>
      </c>
      <c r="X68" s="49"/>
      <c r="Y68" s="50"/>
      <c r="Z68" s="59"/>
      <c r="AA68" s="25"/>
      <c r="AB68" s="25"/>
    </row>
    <row r="69" spans="2:28">
      <c r="B69" s="40">
        <v>0.73541666666666661</v>
      </c>
      <c r="C69" s="40"/>
      <c r="D69" s="41">
        <v>9</v>
      </c>
      <c r="E69" s="42">
        <v>3</v>
      </c>
      <c r="F69" s="42" t="s">
        <v>170</v>
      </c>
      <c r="G69" s="43" t="s">
        <v>171</v>
      </c>
      <c r="H69" s="42" t="s">
        <v>179</v>
      </c>
      <c r="I69" s="43"/>
      <c r="J69" s="43">
        <v>2</v>
      </c>
      <c r="K69" s="25" t="str">
        <f>VLOOKUP(J69,Key!$E$2:$F$9,2,FALSE)</f>
        <v>Work</v>
      </c>
      <c r="L69" s="42" t="s">
        <v>168</v>
      </c>
      <c r="M69" s="43" t="s">
        <v>171</v>
      </c>
      <c r="N69" s="42" t="s">
        <v>179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49"/>
      <c r="T69" s="49">
        <v>2</v>
      </c>
      <c r="U69" s="43">
        <v>2</v>
      </c>
      <c r="V69" s="43">
        <v>5</v>
      </c>
      <c r="W69" s="49">
        <v>5</v>
      </c>
      <c r="X69" s="49"/>
      <c r="Y69" s="50"/>
      <c r="Z69" s="59"/>
      <c r="AA69" s="25"/>
      <c r="AB69" s="25"/>
    </row>
    <row r="70" spans="2:28">
      <c r="B70" s="40">
        <v>0.73888888888888893</v>
      </c>
      <c r="C70" s="40"/>
      <c r="D70" s="41">
        <v>1</v>
      </c>
      <c r="E70" s="42">
        <v>1</v>
      </c>
      <c r="F70" s="42" t="s">
        <v>170</v>
      </c>
      <c r="G70" s="43" t="s">
        <v>171</v>
      </c>
      <c r="H70" s="42" t="s">
        <v>179</v>
      </c>
      <c r="I70" s="43"/>
      <c r="J70" s="43">
        <v>2</v>
      </c>
      <c r="K70" s="25" t="str">
        <f>VLOOKUP(J70,Key!$E$2:$F$9,2,FALSE)</f>
        <v>Work</v>
      </c>
      <c r="L70" s="42" t="s">
        <v>172</v>
      </c>
      <c r="M70" s="43" t="s">
        <v>172</v>
      </c>
      <c r="N70" s="42" t="s">
        <v>179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49"/>
      <c r="T70" s="49">
        <v>1.5</v>
      </c>
      <c r="U70" s="43">
        <v>1</v>
      </c>
      <c r="V70" s="43"/>
      <c r="W70" s="49">
        <v>0</v>
      </c>
      <c r="X70" s="49"/>
      <c r="Y70" s="50"/>
      <c r="Z70" s="59"/>
      <c r="AA70" s="25"/>
      <c r="AB70" s="25"/>
    </row>
    <row r="71" spans="2:28">
      <c r="B71" s="40">
        <v>0.74236111111111114</v>
      </c>
      <c r="C71" s="40"/>
      <c r="D71" s="41">
        <v>2</v>
      </c>
      <c r="E71" s="42">
        <v>2</v>
      </c>
      <c r="F71" s="42" t="s">
        <v>170</v>
      </c>
      <c r="G71" s="43" t="s">
        <v>171</v>
      </c>
      <c r="H71" s="42" t="s">
        <v>179</v>
      </c>
      <c r="I71" s="43"/>
      <c r="J71" s="43">
        <v>2</v>
      </c>
      <c r="K71" s="25" t="str">
        <f>VLOOKUP(J71,Key!$E$2:$F$9,2,FALSE)</f>
        <v>Work</v>
      </c>
      <c r="L71" s="42" t="s">
        <v>172</v>
      </c>
      <c r="M71" s="43" t="s">
        <v>172</v>
      </c>
      <c r="N71" s="42" t="s">
        <v>179</v>
      </c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9"/>
      <c r="T71" s="49">
        <v>1</v>
      </c>
      <c r="U71" s="43">
        <v>1</v>
      </c>
      <c r="V71" s="43">
        <v>9</v>
      </c>
      <c r="W71" s="49">
        <v>2</v>
      </c>
      <c r="X71" s="49"/>
      <c r="Y71" s="50"/>
      <c r="Z71" s="59"/>
      <c r="AA71" s="25"/>
      <c r="AB71" s="25"/>
    </row>
    <row r="72" spans="2:28">
      <c r="B72" s="40">
        <v>0.74652777777777779</v>
      </c>
      <c r="C72" s="40"/>
      <c r="D72" s="41">
        <v>6</v>
      </c>
      <c r="E72" s="42">
        <v>35</v>
      </c>
      <c r="F72" s="42" t="s">
        <v>170</v>
      </c>
      <c r="G72" s="43" t="s">
        <v>171</v>
      </c>
      <c r="H72" s="42" t="s">
        <v>179</v>
      </c>
      <c r="I72" s="43"/>
      <c r="J72" s="43">
        <v>2</v>
      </c>
      <c r="K72" s="25" t="str">
        <f>VLOOKUP(J72,Key!$E$2:$F$9,2,FALSE)</f>
        <v>Work</v>
      </c>
      <c r="L72" s="42" t="s">
        <v>168</v>
      </c>
      <c r="M72" s="43" t="s">
        <v>171</v>
      </c>
      <c r="N72" s="42" t="s">
        <v>179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49"/>
      <c r="T72" s="49">
        <v>0.7</v>
      </c>
      <c r="U72" s="43">
        <v>1</v>
      </c>
      <c r="V72" s="43"/>
      <c r="W72" s="49">
        <v>0</v>
      </c>
      <c r="X72" s="49"/>
      <c r="Y72" s="50"/>
      <c r="Z72" s="59"/>
      <c r="AA72" s="25"/>
      <c r="AB72" s="25"/>
    </row>
    <row r="73" spans="2:28">
      <c r="B73" s="40">
        <v>0.75277777777777777</v>
      </c>
      <c r="C73" s="40"/>
      <c r="D73" s="41">
        <v>9</v>
      </c>
      <c r="E73" s="42">
        <v>2</v>
      </c>
      <c r="F73" s="42" t="s">
        <v>173</v>
      </c>
      <c r="G73" s="43" t="s">
        <v>167</v>
      </c>
      <c r="H73" s="42" t="s">
        <v>212</v>
      </c>
      <c r="I73" s="43"/>
      <c r="J73" s="43">
        <v>2</v>
      </c>
      <c r="K73" s="25" t="str">
        <f>VLOOKUP(J73,Key!$E$2:$F$9,2,FALSE)</f>
        <v>Work</v>
      </c>
      <c r="L73" s="42" t="s">
        <v>183</v>
      </c>
      <c r="M73" s="43" t="s">
        <v>183</v>
      </c>
      <c r="N73" s="42" t="s">
        <v>179</v>
      </c>
      <c r="O73" s="43"/>
      <c r="P73" s="43">
        <v>1</v>
      </c>
      <c r="Q73" s="25" t="str">
        <f>VLOOKUP(P73,Key!$E$2:$F$9,2,FALSE)</f>
        <v>Home</v>
      </c>
      <c r="R73" s="25" t="str">
        <f t="shared" si="0"/>
        <v>Work-Home</v>
      </c>
      <c r="S73" s="49"/>
      <c r="T73" s="49">
        <v>12</v>
      </c>
      <c r="U73" s="43">
        <v>3</v>
      </c>
      <c r="V73" s="43">
        <v>3</v>
      </c>
      <c r="W73" s="49">
        <v>30</v>
      </c>
      <c r="X73" s="49"/>
      <c r="Y73" s="50"/>
      <c r="Z73" s="59"/>
      <c r="AA73" s="25"/>
      <c r="AB73" s="25"/>
    </row>
    <row r="74" spans="2:28">
      <c r="B74" s="40">
        <v>0.75416666666666676</v>
      </c>
      <c r="C74" s="40"/>
      <c r="D74" s="41">
        <v>1</v>
      </c>
      <c r="E74" s="42">
        <v>1</v>
      </c>
      <c r="F74" s="42" t="s">
        <v>170</v>
      </c>
      <c r="G74" s="43" t="s">
        <v>171</v>
      </c>
      <c r="H74" s="42" t="s">
        <v>179</v>
      </c>
      <c r="I74" s="43"/>
      <c r="J74" s="43">
        <v>2</v>
      </c>
      <c r="K74" s="25" t="str">
        <f>VLOOKUP(J74,Key!$E$2:$F$9,2,FALSE)</f>
        <v>Work</v>
      </c>
      <c r="L74" s="42" t="s">
        <v>168</v>
      </c>
      <c r="M74" s="43" t="s">
        <v>171</v>
      </c>
      <c r="N74" s="42" t="s">
        <v>179</v>
      </c>
      <c r="O74" s="43"/>
      <c r="P74" s="43">
        <v>1</v>
      </c>
      <c r="Q74" s="25" t="str">
        <f>VLOOKUP(P74,Key!$E$2:$F$9,2,FALSE)</f>
        <v>Home</v>
      </c>
      <c r="R74" s="25" t="str">
        <f t="shared" ref="R74:R90" si="1">K74&amp;"-"&amp;Q74</f>
        <v>Work-Home</v>
      </c>
      <c r="S74" s="49"/>
      <c r="T74" s="49">
        <v>1</v>
      </c>
      <c r="U74" s="43">
        <v>1</v>
      </c>
      <c r="V74" s="43"/>
      <c r="W74" s="49">
        <v>0</v>
      </c>
      <c r="X74" s="49"/>
      <c r="Y74" s="50"/>
      <c r="Z74" s="59"/>
      <c r="AA74" s="25"/>
      <c r="AB74" s="25"/>
    </row>
    <row r="75" spans="2:28">
      <c r="B75" s="40">
        <v>0.75555555555555554</v>
      </c>
      <c r="C75" s="40"/>
      <c r="D75" s="41">
        <v>6</v>
      </c>
      <c r="E75" s="42">
        <v>1</v>
      </c>
      <c r="F75" s="42" t="s">
        <v>170</v>
      </c>
      <c r="G75" s="43" t="s">
        <v>171</v>
      </c>
      <c r="H75" s="42" t="s">
        <v>179</v>
      </c>
      <c r="I75" s="43"/>
      <c r="J75" s="43">
        <v>2</v>
      </c>
      <c r="K75" s="25" t="str">
        <f>VLOOKUP(J75,Key!$E$2:$F$9,2,FALSE)</f>
        <v>Work</v>
      </c>
      <c r="L75" s="42" t="s">
        <v>168</v>
      </c>
      <c r="M75" s="43" t="s">
        <v>171</v>
      </c>
      <c r="N75" s="42" t="s">
        <v>179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9"/>
      <c r="T75" s="49">
        <v>0.75</v>
      </c>
      <c r="U75" s="43">
        <v>1</v>
      </c>
      <c r="V75" s="43"/>
      <c r="W75" s="49">
        <v>0</v>
      </c>
      <c r="X75" s="49"/>
      <c r="Y75" s="50"/>
      <c r="Z75" s="59"/>
      <c r="AA75" s="25"/>
      <c r="AB75" s="25"/>
    </row>
    <row r="76" spans="2:28">
      <c r="B76" s="40">
        <v>0.75694444444444453</v>
      </c>
      <c r="C76" s="40"/>
      <c r="D76" s="41">
        <v>9</v>
      </c>
      <c r="E76" s="42">
        <v>2</v>
      </c>
      <c r="F76" s="42" t="s">
        <v>173</v>
      </c>
      <c r="G76" s="43" t="s">
        <v>167</v>
      </c>
      <c r="H76" s="42" t="s">
        <v>212</v>
      </c>
      <c r="I76" s="43"/>
      <c r="J76" s="43">
        <v>2</v>
      </c>
      <c r="K76" s="25" t="str">
        <f>VLOOKUP(J76,Key!$E$2:$F$9,2,FALSE)</f>
        <v>Work</v>
      </c>
      <c r="L76" s="42" t="s">
        <v>183</v>
      </c>
      <c r="M76" s="43" t="s">
        <v>183</v>
      </c>
      <c r="N76" s="42" t="s">
        <v>179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>
        <v>15</v>
      </c>
      <c r="U76" s="43">
        <v>3</v>
      </c>
      <c r="V76" s="43">
        <v>7</v>
      </c>
      <c r="W76" s="49">
        <v>28</v>
      </c>
      <c r="X76" s="49"/>
      <c r="Y76" s="50"/>
      <c r="Z76" s="59"/>
      <c r="AA76" s="25"/>
      <c r="AB76" s="25"/>
    </row>
    <row r="77" spans="2:28">
      <c r="B77" s="40">
        <v>0.76180555555555562</v>
      </c>
      <c r="C77" s="40"/>
      <c r="D77" s="41">
        <v>9</v>
      </c>
      <c r="E77" s="42">
        <v>2</v>
      </c>
      <c r="F77" s="42" t="s">
        <v>173</v>
      </c>
      <c r="G77" s="43" t="s">
        <v>167</v>
      </c>
      <c r="H77" s="42" t="s">
        <v>212</v>
      </c>
      <c r="I77" s="43"/>
      <c r="J77" s="43">
        <v>2</v>
      </c>
      <c r="K77" s="25" t="str">
        <f>VLOOKUP(J77,Key!$E$2:$F$9,2,FALSE)</f>
        <v>Work</v>
      </c>
      <c r="L77" s="42" t="s">
        <v>189</v>
      </c>
      <c r="M77" s="43" t="s">
        <v>190</v>
      </c>
      <c r="N77" s="42" t="s">
        <v>200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24</v>
      </c>
      <c r="U77" s="43">
        <v>3</v>
      </c>
      <c r="V77" s="43">
        <v>6</v>
      </c>
      <c r="W77" s="49">
        <v>32</v>
      </c>
      <c r="X77" s="49"/>
      <c r="Y77" s="50"/>
      <c r="Z77" s="59"/>
      <c r="AA77" s="25"/>
      <c r="AB77" s="25"/>
    </row>
    <row r="78" spans="2:28">
      <c r="B78" s="40">
        <v>0.76527777777777783</v>
      </c>
      <c r="C78" s="40"/>
      <c r="D78" s="41">
        <v>1</v>
      </c>
      <c r="E78" s="42">
        <v>4</v>
      </c>
      <c r="F78" s="42" t="s">
        <v>170</v>
      </c>
      <c r="G78" s="43" t="s">
        <v>171</v>
      </c>
      <c r="H78" s="42" t="s">
        <v>179</v>
      </c>
      <c r="I78" s="43"/>
      <c r="J78" s="43">
        <v>2</v>
      </c>
      <c r="K78" s="25" t="str">
        <f>VLOOKUP(J78,Key!$E$2:$F$9,2,FALSE)</f>
        <v>Work</v>
      </c>
      <c r="L78" s="42" t="s">
        <v>172</v>
      </c>
      <c r="M78" s="43" t="s">
        <v>172</v>
      </c>
      <c r="N78" s="42" t="s">
        <v>179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1.5</v>
      </c>
      <c r="U78" s="43">
        <v>1</v>
      </c>
      <c r="V78" s="43"/>
      <c r="W78" s="49">
        <v>0</v>
      </c>
      <c r="X78" s="49"/>
      <c r="Y78" s="50"/>
      <c r="Z78" s="59"/>
      <c r="AA78" s="25"/>
      <c r="AB78" s="25"/>
    </row>
    <row r="79" spans="2:28">
      <c r="B79" s="40">
        <v>0.76874999999999993</v>
      </c>
      <c r="C79" s="40"/>
      <c r="D79" s="41">
        <v>1</v>
      </c>
      <c r="E79" s="42">
        <v>1</v>
      </c>
      <c r="F79" s="42" t="s">
        <v>170</v>
      </c>
      <c r="G79" s="43" t="s">
        <v>171</v>
      </c>
      <c r="H79" s="42" t="s">
        <v>179</v>
      </c>
      <c r="I79" s="43"/>
      <c r="J79" s="43">
        <v>2</v>
      </c>
      <c r="K79" s="25" t="str">
        <f>VLOOKUP(J79,Key!$E$2:$F$9,2,FALSE)</f>
        <v>Work</v>
      </c>
      <c r="L79" s="42" t="s">
        <v>168</v>
      </c>
      <c r="M79" s="43" t="s">
        <v>171</v>
      </c>
      <c r="N79" s="42" t="s">
        <v>179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49"/>
      <c r="T79" s="49">
        <v>2</v>
      </c>
      <c r="U79" s="43">
        <v>2</v>
      </c>
      <c r="V79" s="43"/>
      <c r="W79" s="49">
        <v>0</v>
      </c>
      <c r="X79" s="49"/>
      <c r="Y79" s="50"/>
      <c r="Z79" s="59"/>
      <c r="AA79" s="25"/>
      <c r="AB79" s="25"/>
    </row>
    <row r="80" spans="2:28">
      <c r="B80" s="40">
        <v>0.77083333333333337</v>
      </c>
      <c r="C80" s="40"/>
      <c r="D80" s="41">
        <v>9</v>
      </c>
      <c r="E80" s="42">
        <v>2</v>
      </c>
      <c r="F80" s="42" t="s">
        <v>209</v>
      </c>
      <c r="G80" s="43" t="s">
        <v>167</v>
      </c>
      <c r="H80" s="42" t="s">
        <v>212</v>
      </c>
      <c r="I80" s="43"/>
      <c r="J80" s="43">
        <v>2</v>
      </c>
      <c r="K80" s="25" t="str">
        <f>VLOOKUP(J80,Key!$E$2:$F$9,2,FALSE)</f>
        <v>Work</v>
      </c>
      <c r="L80" s="42" t="s">
        <v>201</v>
      </c>
      <c r="M80" s="43" t="s">
        <v>201</v>
      </c>
      <c r="N80" s="42" t="s">
        <v>179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49"/>
      <c r="T80" s="49">
        <v>17</v>
      </c>
      <c r="U80" s="43">
        <v>3</v>
      </c>
      <c r="V80" s="43">
        <v>7</v>
      </c>
      <c r="W80" s="49">
        <v>30</v>
      </c>
      <c r="X80" s="49"/>
      <c r="Y80" s="50"/>
      <c r="Z80" s="59"/>
      <c r="AA80" s="25"/>
      <c r="AB80" s="25"/>
    </row>
    <row r="81" spans="2:28">
      <c r="B81" s="40">
        <v>0.77361111111111114</v>
      </c>
      <c r="C81" s="40"/>
      <c r="D81" s="41">
        <v>1</v>
      </c>
      <c r="E81" s="42">
        <v>6</v>
      </c>
      <c r="F81" s="42" t="s">
        <v>170</v>
      </c>
      <c r="G81" s="43" t="s">
        <v>171</v>
      </c>
      <c r="H81" s="42" t="s">
        <v>179</v>
      </c>
      <c r="I81" s="43"/>
      <c r="J81" s="43">
        <v>2</v>
      </c>
      <c r="K81" s="25" t="str">
        <f>VLOOKUP(J81,Key!$E$2:$F$9,2,FALSE)</f>
        <v>Work</v>
      </c>
      <c r="L81" s="42" t="s">
        <v>172</v>
      </c>
      <c r="M81" s="43" t="s">
        <v>172</v>
      </c>
      <c r="N81" s="42" t="s">
        <v>179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1.5</v>
      </c>
      <c r="U81" s="43">
        <v>1</v>
      </c>
      <c r="V81" s="43"/>
      <c r="W81" s="49">
        <v>0</v>
      </c>
      <c r="X81" s="49"/>
      <c r="Y81" s="50"/>
      <c r="Z81" s="59"/>
      <c r="AA81" s="25"/>
      <c r="AB81" s="25"/>
    </row>
    <row r="82" spans="2:28">
      <c r="B82" s="40">
        <v>0.77708333333333324</v>
      </c>
      <c r="C82" s="40"/>
      <c r="D82" s="41">
        <v>6</v>
      </c>
      <c r="E82" s="42">
        <v>1</v>
      </c>
      <c r="F82" s="42" t="s">
        <v>176</v>
      </c>
      <c r="G82" s="43" t="s">
        <v>171</v>
      </c>
      <c r="H82" s="42" t="s">
        <v>179</v>
      </c>
      <c r="I82" s="43"/>
      <c r="J82" s="43">
        <v>2</v>
      </c>
      <c r="K82" s="25" t="str">
        <f>VLOOKUP(J82,Key!$E$2:$F$9,2,FALSE)</f>
        <v>Work</v>
      </c>
      <c r="L82" s="42" t="s">
        <v>168</v>
      </c>
      <c r="M82" s="43" t="s">
        <v>171</v>
      </c>
      <c r="N82" s="42" t="s">
        <v>179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>
        <v>0.3</v>
      </c>
      <c r="U82" s="43">
        <v>1</v>
      </c>
      <c r="V82" s="43"/>
      <c r="W82" s="49">
        <v>0</v>
      </c>
      <c r="X82" s="49"/>
      <c r="Y82" s="50"/>
      <c r="Z82" s="59"/>
      <c r="AA82" s="25"/>
      <c r="AB82" s="25"/>
    </row>
    <row r="83" spans="2:28">
      <c r="B83" s="40">
        <v>0.78055555555555556</v>
      </c>
      <c r="C83" s="40"/>
      <c r="D83" s="41">
        <v>8</v>
      </c>
      <c r="E83" s="42">
        <v>2</v>
      </c>
      <c r="F83" s="42" t="s">
        <v>173</v>
      </c>
      <c r="G83" s="43" t="s">
        <v>167</v>
      </c>
      <c r="H83" s="42" t="s">
        <v>212</v>
      </c>
      <c r="I83" s="43"/>
      <c r="J83" s="43">
        <v>2</v>
      </c>
      <c r="K83" s="25" t="str">
        <f>VLOOKUP(J83,Key!$E$2:$F$9,2,FALSE)</f>
        <v>Work</v>
      </c>
      <c r="L83" s="42" t="s">
        <v>183</v>
      </c>
      <c r="M83" s="43" t="s">
        <v>183</v>
      </c>
      <c r="N83" s="42" t="s">
        <v>179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9"/>
      <c r="T83" s="49">
        <v>12</v>
      </c>
      <c r="U83" s="43">
        <v>3</v>
      </c>
      <c r="V83" s="43">
        <v>6</v>
      </c>
      <c r="W83" s="49">
        <v>20</v>
      </c>
      <c r="X83" s="49"/>
      <c r="Y83" s="50"/>
      <c r="Z83" s="59"/>
      <c r="AA83" s="25"/>
      <c r="AB83" s="25"/>
    </row>
    <row r="84" spans="2:28">
      <c r="B84" s="40">
        <v>0.78055555555555556</v>
      </c>
      <c r="C84" s="40"/>
      <c r="D84" s="41">
        <v>9</v>
      </c>
      <c r="E84" s="42">
        <v>3</v>
      </c>
      <c r="F84" s="42" t="s">
        <v>170</v>
      </c>
      <c r="G84" s="43" t="s">
        <v>171</v>
      </c>
      <c r="H84" s="42" t="s">
        <v>179</v>
      </c>
      <c r="I84" s="43"/>
      <c r="J84" s="43">
        <v>2</v>
      </c>
      <c r="K84" s="25" t="str">
        <f>VLOOKUP(J84,Key!$E$2:$F$9,2,FALSE)</f>
        <v>Work</v>
      </c>
      <c r="L84" s="42" t="s">
        <v>172</v>
      </c>
      <c r="M84" s="43" t="s">
        <v>172</v>
      </c>
      <c r="N84" s="42" t="s">
        <v>179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>
        <v>2</v>
      </c>
      <c r="U84" s="43">
        <v>1</v>
      </c>
      <c r="V84" s="43">
        <v>1</v>
      </c>
      <c r="W84" s="49">
        <v>1</v>
      </c>
      <c r="X84" s="49"/>
      <c r="Y84" s="50"/>
      <c r="Z84" s="59"/>
      <c r="AA84" s="25"/>
      <c r="AB84" s="25"/>
    </row>
    <row r="85" spans="2:28">
      <c r="B85" s="40">
        <v>0.78402777777777777</v>
      </c>
      <c r="C85" s="40"/>
      <c r="D85" s="41">
        <v>9</v>
      </c>
      <c r="E85" s="42">
        <v>5</v>
      </c>
      <c r="F85" s="42" t="s">
        <v>173</v>
      </c>
      <c r="G85" s="43" t="s">
        <v>167</v>
      </c>
      <c r="H85" s="42" t="s">
        <v>212</v>
      </c>
      <c r="I85" s="43"/>
      <c r="J85" s="43">
        <v>2</v>
      </c>
      <c r="K85" s="25" t="str">
        <f>VLOOKUP(J85,Key!$E$2:$F$9,2,FALSE)</f>
        <v>Work</v>
      </c>
      <c r="L85" s="42" t="s">
        <v>227</v>
      </c>
      <c r="M85" s="43" t="s">
        <v>183</v>
      </c>
      <c r="N85" s="42" t="s">
        <v>179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>
        <v>24</v>
      </c>
      <c r="U85" s="43">
        <v>3</v>
      </c>
      <c r="V85" s="43">
        <v>7</v>
      </c>
      <c r="W85" s="49">
        <v>27</v>
      </c>
      <c r="X85" s="49"/>
      <c r="Y85" s="50"/>
      <c r="Z85" s="59"/>
      <c r="AA85" s="25"/>
      <c r="AB85" s="25"/>
    </row>
    <row r="86" spans="2:28">
      <c r="B86" s="40">
        <v>0.78611111111111109</v>
      </c>
      <c r="C86" s="40"/>
      <c r="D86" s="41">
        <v>1</v>
      </c>
      <c r="E86" s="42">
        <v>4</v>
      </c>
      <c r="F86" s="42" t="s">
        <v>170</v>
      </c>
      <c r="G86" s="43" t="s">
        <v>171</v>
      </c>
      <c r="H86" s="42" t="s">
        <v>179</v>
      </c>
      <c r="I86" s="43"/>
      <c r="J86" s="43">
        <v>2</v>
      </c>
      <c r="K86" s="25" t="str">
        <f>VLOOKUP(J86,Key!$E$2:$F$9,2,FALSE)</f>
        <v>Work</v>
      </c>
      <c r="L86" s="42" t="s">
        <v>172</v>
      </c>
      <c r="M86" s="43" t="s">
        <v>172</v>
      </c>
      <c r="N86" s="42" t="s">
        <v>179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1.5</v>
      </c>
      <c r="U86" s="43">
        <v>1</v>
      </c>
      <c r="V86" s="43"/>
      <c r="W86" s="49">
        <v>0</v>
      </c>
      <c r="X86" s="49"/>
      <c r="Y86" s="50"/>
      <c r="Z86" s="59"/>
      <c r="AA86" s="25"/>
      <c r="AB86" s="25"/>
    </row>
    <row r="87" spans="2:28">
      <c r="B87" s="40">
        <v>0.78819444444444453</v>
      </c>
      <c r="C87" s="40"/>
      <c r="D87" s="41">
        <v>1</v>
      </c>
      <c r="E87" s="42">
        <v>5</v>
      </c>
      <c r="F87" s="42" t="s">
        <v>170</v>
      </c>
      <c r="G87" s="43" t="s">
        <v>171</v>
      </c>
      <c r="H87" s="42" t="s">
        <v>179</v>
      </c>
      <c r="I87" s="43"/>
      <c r="J87" s="43">
        <v>2</v>
      </c>
      <c r="K87" s="25" t="str">
        <f>VLOOKUP(J87,Key!$E$2:$F$9,2,FALSE)</f>
        <v>Work</v>
      </c>
      <c r="L87" s="42" t="s">
        <v>168</v>
      </c>
      <c r="M87" s="43" t="s">
        <v>171</v>
      </c>
      <c r="N87" s="42" t="s">
        <v>179</v>
      </c>
      <c r="O87" s="43"/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9"/>
      <c r="T87" s="49">
        <v>0.5</v>
      </c>
      <c r="U87" s="43">
        <v>1</v>
      </c>
      <c r="V87" s="43"/>
      <c r="W87" s="49">
        <v>0</v>
      </c>
      <c r="X87" s="49"/>
      <c r="Y87" s="50"/>
      <c r="Z87" s="59"/>
      <c r="AA87" s="25"/>
      <c r="AB87" s="25"/>
    </row>
    <row r="88" spans="2:28">
      <c r="B88" s="40">
        <v>0.78819444444444453</v>
      </c>
      <c r="C88" s="40"/>
      <c r="D88" s="41">
        <v>1</v>
      </c>
      <c r="E88" s="42">
        <v>2</v>
      </c>
      <c r="F88" s="42" t="s">
        <v>173</v>
      </c>
      <c r="G88" s="43" t="s">
        <v>167</v>
      </c>
      <c r="H88" s="42" t="s">
        <v>212</v>
      </c>
      <c r="I88" s="43"/>
      <c r="J88" s="43">
        <v>2</v>
      </c>
      <c r="K88" s="25" t="str">
        <f>VLOOKUP(J88,Key!$E$2:$F$9,2,FALSE)</f>
        <v>Work</v>
      </c>
      <c r="L88" s="42" t="s">
        <v>172</v>
      </c>
      <c r="M88" s="43" t="s">
        <v>172</v>
      </c>
      <c r="N88" s="42" t="s">
        <v>179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9"/>
      <c r="T88" s="49">
        <v>9</v>
      </c>
      <c r="U88" s="43">
        <v>4</v>
      </c>
      <c r="V88" s="43"/>
      <c r="W88" s="49">
        <v>0</v>
      </c>
      <c r="X88" s="49"/>
      <c r="Y88" s="50"/>
      <c r="Z88" s="59"/>
      <c r="AA88" s="25"/>
      <c r="AB88" s="25"/>
    </row>
    <row r="89" spans="2:28">
      <c r="B89" s="40">
        <v>0.7895833333333333</v>
      </c>
      <c r="C89" s="40"/>
      <c r="D89" s="41">
        <v>6</v>
      </c>
      <c r="E89" s="42">
        <v>50</v>
      </c>
      <c r="F89" s="42" t="s">
        <v>170</v>
      </c>
      <c r="G89" s="43" t="s">
        <v>171</v>
      </c>
      <c r="H89" s="42" t="s">
        <v>179</v>
      </c>
      <c r="I89" s="43"/>
      <c r="J89" s="43">
        <v>2</v>
      </c>
      <c r="K89" s="25" t="str">
        <f>VLOOKUP(J89,Key!$E$2:$F$9,2,FALSE)</f>
        <v>Work</v>
      </c>
      <c r="L89" s="42" t="s">
        <v>168</v>
      </c>
      <c r="M89" s="43" t="s">
        <v>171</v>
      </c>
      <c r="N89" s="42" t="s">
        <v>179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0.7</v>
      </c>
      <c r="U89" s="43">
        <v>1</v>
      </c>
      <c r="V89" s="43"/>
      <c r="W89" s="49">
        <v>0</v>
      </c>
      <c r="X89" s="49"/>
      <c r="Y89" s="50"/>
      <c r="Z89" s="59"/>
      <c r="AA89" s="25"/>
      <c r="AB89" s="25"/>
    </row>
    <row r="90" spans="2:28">
      <c r="B90" s="40">
        <v>0.7909722222222223</v>
      </c>
      <c r="C90" s="40"/>
      <c r="D90" s="41">
        <v>1</v>
      </c>
      <c r="E90" s="42">
        <v>7</v>
      </c>
      <c r="F90" s="42" t="s">
        <v>170</v>
      </c>
      <c r="G90" s="43" t="s">
        <v>171</v>
      </c>
      <c r="H90" s="42" t="s">
        <v>179</v>
      </c>
      <c r="I90" s="43"/>
      <c r="J90" s="43">
        <v>2</v>
      </c>
      <c r="K90" s="25" t="str">
        <f>VLOOKUP(J90,Key!$E$2:$F$9,2,FALSE)</f>
        <v>Work</v>
      </c>
      <c r="L90" s="42" t="s">
        <v>172</v>
      </c>
      <c r="M90" s="43" t="s">
        <v>172</v>
      </c>
      <c r="N90" s="42" t="s">
        <v>179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2</v>
      </c>
      <c r="U90" s="43">
        <v>1</v>
      </c>
      <c r="V90" s="43"/>
      <c r="W90" s="49">
        <v>0</v>
      </c>
      <c r="X90" s="49"/>
      <c r="Y90" s="50"/>
      <c r="Z90" s="59"/>
      <c r="AA90" s="25"/>
      <c r="AB9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I42"/>
  <sheetViews>
    <sheetView topLeftCell="G9" zoomScale="75" zoomScaleNormal="75" zoomScaleSheetLayoutView="80" workbookViewId="0">
      <selection activeCell="B9" sqref="B9:AB4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9" t="s">
        <v>140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6"/>
      <c r="AD1" s="6"/>
      <c r="AE1" s="6"/>
      <c r="AF1" s="6"/>
      <c r="AG1" s="6"/>
      <c r="AH1" s="6"/>
      <c r="AI1" s="6"/>
    </row>
    <row r="2" spans="2:35" ht="15">
      <c r="B2" s="139" t="s">
        <v>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7"/>
      <c r="AD2" s="7"/>
      <c r="AE2" s="7"/>
      <c r="AF2" s="7"/>
      <c r="AG2" s="7"/>
      <c r="AH2" s="7"/>
      <c r="AI2" s="7"/>
    </row>
    <row r="3" spans="2:35" ht="1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</row>
    <row r="4" spans="2:35" ht="15" customHeight="1">
      <c r="B4" s="26" t="s">
        <v>2</v>
      </c>
      <c r="C4" s="38" t="str">
        <f>'03.08 Nimule-Atiak'!C4</f>
        <v>03.08.19</v>
      </c>
      <c r="E4" s="1" t="s">
        <v>76</v>
      </c>
      <c r="F4" s="160" t="str">
        <f>'01.08 Nimule-Atiak'!F4:G4</f>
        <v>Atiak Nimule</v>
      </c>
      <c r="G4" s="161"/>
      <c r="I4" s="27" t="s">
        <v>77</v>
      </c>
      <c r="J4" s="5"/>
      <c r="K4" s="5"/>
      <c r="L4" s="52" t="s">
        <v>168</v>
      </c>
      <c r="M4" s="65"/>
      <c r="N4" s="1" t="s">
        <v>79</v>
      </c>
      <c r="O4" s="142" t="s">
        <v>162</v>
      </c>
      <c r="P4" s="143"/>
      <c r="Q4" s="143"/>
      <c r="R4" s="143"/>
      <c r="S4" s="143"/>
      <c r="T4" s="143"/>
      <c r="V4" s="1" t="s">
        <v>80</v>
      </c>
      <c r="W4" s="55" t="str">
        <f>'01.08 Nimule-Atiak'!W4</f>
        <v>Isaac</v>
      </c>
      <c r="Y4" s="27" t="s">
        <v>6</v>
      </c>
      <c r="Z4" s="39" t="str">
        <f>'01.08 Nimule-Atiak'!Z4</f>
        <v>Sheba N</v>
      </c>
      <c r="AA4" s="32" t="s">
        <v>7</v>
      </c>
      <c r="AB4" s="39" t="str">
        <f>'01.08 Nimule-Atiak'!AB4</f>
        <v>Isaac M.</v>
      </c>
      <c r="AE4" s="10"/>
      <c r="AF4" s="5"/>
    </row>
    <row r="5" spans="2:35" ht="15" customHeight="1">
      <c r="B5" s="65"/>
      <c r="C5" s="65"/>
      <c r="D5" s="65"/>
      <c r="E5" s="22"/>
      <c r="F5" s="65"/>
      <c r="G5" s="65"/>
      <c r="I5" s="28" t="s">
        <v>78</v>
      </c>
      <c r="J5" s="65"/>
      <c r="K5" s="65"/>
      <c r="L5" s="53" t="s">
        <v>167</v>
      </c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</row>
    <row r="6" spans="2:35" ht="13.5" thickBot="1"/>
    <row r="7" spans="2:35" ht="30.75" customHeight="1">
      <c r="B7" s="144" t="s">
        <v>34</v>
      </c>
      <c r="C7" s="130" t="s">
        <v>67</v>
      </c>
      <c r="D7" s="132" t="s">
        <v>9</v>
      </c>
      <c r="E7" s="130" t="s">
        <v>35</v>
      </c>
      <c r="F7" s="147" t="s">
        <v>12</v>
      </c>
      <c r="G7" s="148"/>
      <c r="H7" s="149"/>
      <c r="I7" s="132" t="s">
        <v>70</v>
      </c>
      <c r="J7" s="130" t="s">
        <v>15</v>
      </c>
      <c r="K7" s="130" t="s">
        <v>141</v>
      </c>
      <c r="L7" s="147" t="s">
        <v>17</v>
      </c>
      <c r="M7" s="148"/>
      <c r="N7" s="149"/>
      <c r="O7" s="132" t="s">
        <v>71</v>
      </c>
      <c r="P7" s="130" t="s">
        <v>18</v>
      </c>
      <c r="Q7" s="130" t="s">
        <v>142</v>
      </c>
      <c r="R7" s="130" t="s">
        <v>143</v>
      </c>
      <c r="S7" s="130" t="s">
        <v>145</v>
      </c>
      <c r="T7" s="130" t="s">
        <v>144</v>
      </c>
      <c r="U7" s="130" t="s">
        <v>72</v>
      </c>
      <c r="V7" s="136" t="s">
        <v>75</v>
      </c>
      <c r="W7" s="137"/>
      <c r="X7" s="138"/>
      <c r="Y7" s="130" t="s">
        <v>74</v>
      </c>
      <c r="Z7" s="130" t="s">
        <v>148</v>
      </c>
      <c r="AA7" s="132" t="s">
        <v>20</v>
      </c>
      <c r="AB7" s="134" t="s">
        <v>21</v>
      </c>
      <c r="AD7" s="19"/>
    </row>
    <row r="8" spans="2:35" ht="38.25" customHeight="1">
      <c r="B8" s="145"/>
      <c r="C8" s="131"/>
      <c r="D8" s="133"/>
      <c r="E8" s="146"/>
      <c r="F8" s="64" t="s">
        <v>82</v>
      </c>
      <c r="G8" s="64" t="s">
        <v>68</v>
      </c>
      <c r="H8" s="24" t="s">
        <v>69</v>
      </c>
      <c r="I8" s="133"/>
      <c r="J8" s="131"/>
      <c r="K8" s="131"/>
      <c r="L8" s="64" t="s">
        <v>82</v>
      </c>
      <c r="M8" s="64" t="s">
        <v>68</v>
      </c>
      <c r="N8" s="64" t="s">
        <v>69</v>
      </c>
      <c r="O8" s="133"/>
      <c r="P8" s="131"/>
      <c r="Q8" s="131"/>
      <c r="R8" s="131"/>
      <c r="S8" s="131"/>
      <c r="T8" s="131"/>
      <c r="U8" s="131"/>
      <c r="V8" s="29" t="s">
        <v>73</v>
      </c>
      <c r="W8" s="30" t="s">
        <v>146</v>
      </c>
      <c r="X8" s="30" t="s">
        <v>147</v>
      </c>
      <c r="Y8" s="131"/>
      <c r="Z8" s="131"/>
      <c r="AA8" s="133"/>
      <c r="AB8" s="135"/>
    </row>
    <row r="9" spans="2:35" s="19" customFormat="1">
      <c r="B9" s="40">
        <v>0.30902777777777779</v>
      </c>
      <c r="C9" s="40"/>
      <c r="D9" s="41">
        <v>8</v>
      </c>
      <c r="E9" s="42">
        <v>2</v>
      </c>
      <c r="F9" s="42" t="s">
        <v>228</v>
      </c>
      <c r="G9" s="43" t="s">
        <v>228</v>
      </c>
      <c r="H9" s="42" t="s">
        <v>179</v>
      </c>
      <c r="I9" s="43"/>
      <c r="J9" s="43">
        <v>4</v>
      </c>
      <c r="K9" s="25" t="str">
        <f>VLOOKUP(J9,Key!$E$2:$F$9,2,FALSE)</f>
        <v>Commercial</v>
      </c>
      <c r="L9" s="42" t="s">
        <v>173</v>
      </c>
      <c r="M9" s="43" t="s">
        <v>167</v>
      </c>
      <c r="N9" s="42" t="s">
        <v>212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49"/>
      <c r="T9" s="49">
        <v>24</v>
      </c>
      <c r="U9" s="43">
        <v>4</v>
      </c>
      <c r="V9" s="43">
        <v>9</v>
      </c>
      <c r="W9" s="49"/>
      <c r="X9" s="49"/>
      <c r="Y9" s="50"/>
      <c r="Z9" s="62"/>
      <c r="AA9" s="25"/>
      <c r="AB9" s="25"/>
    </row>
    <row r="10" spans="2:35">
      <c r="B10" s="40">
        <v>0.32777777777777778</v>
      </c>
      <c r="C10" s="40"/>
      <c r="D10" s="41">
        <v>9</v>
      </c>
      <c r="E10" s="42">
        <v>2</v>
      </c>
      <c r="F10" s="42" t="s">
        <v>189</v>
      </c>
      <c r="G10" s="43" t="s">
        <v>190</v>
      </c>
      <c r="H10" s="42" t="s">
        <v>200</v>
      </c>
      <c r="I10" s="43"/>
      <c r="J10" s="43">
        <v>4</v>
      </c>
      <c r="K10" s="25" t="str">
        <f>VLOOKUP(J10,Key!$E$2:$F$9,2,FALSE)</f>
        <v>Commercial</v>
      </c>
      <c r="L10" s="42" t="s">
        <v>173</v>
      </c>
      <c r="M10" s="43" t="s">
        <v>167</v>
      </c>
      <c r="N10" s="42" t="s">
        <v>212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42" si="0">K10&amp;"-"&amp;Q10</f>
        <v>Commercial-Commercial</v>
      </c>
      <c r="S10" s="49"/>
      <c r="T10" s="49">
        <v>96</v>
      </c>
      <c r="U10" s="43">
        <v>4</v>
      </c>
      <c r="V10" s="43">
        <v>6</v>
      </c>
      <c r="W10" s="49"/>
      <c r="X10" s="49"/>
      <c r="Y10" s="50"/>
      <c r="Z10" s="62"/>
      <c r="AA10" s="25"/>
      <c r="AB10" s="25"/>
    </row>
    <row r="11" spans="2:35">
      <c r="B11" s="40">
        <v>0.3347222222222222</v>
      </c>
      <c r="C11" s="40"/>
      <c r="D11" s="41">
        <v>2</v>
      </c>
      <c r="E11" s="42">
        <v>1</v>
      </c>
      <c r="F11" s="42" t="s">
        <v>229</v>
      </c>
      <c r="G11" s="43" t="s">
        <v>183</v>
      </c>
      <c r="H11" s="42" t="s">
        <v>179</v>
      </c>
      <c r="I11" s="43"/>
      <c r="J11" s="43">
        <v>2</v>
      </c>
      <c r="K11" s="25" t="str">
        <f>VLOOKUP(J11,Key!$E$2:$F$9,2,FALSE)</f>
        <v>Work</v>
      </c>
      <c r="L11" s="42" t="s">
        <v>170</v>
      </c>
      <c r="M11" s="43" t="s">
        <v>171</v>
      </c>
      <c r="N11" s="42" t="s">
        <v>179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8</v>
      </c>
      <c r="U11" s="43">
        <v>4</v>
      </c>
      <c r="V11" s="43"/>
      <c r="W11" s="49"/>
      <c r="X11" s="49"/>
      <c r="Y11" s="50"/>
      <c r="Z11" s="62"/>
      <c r="AA11" s="25"/>
      <c r="AB11" s="25"/>
    </row>
    <row r="12" spans="2:35">
      <c r="B12" s="40">
        <v>0.3576388888888889</v>
      </c>
      <c r="C12" s="40"/>
      <c r="D12" s="41">
        <v>9</v>
      </c>
      <c r="E12" s="42">
        <v>1</v>
      </c>
      <c r="F12" s="42" t="s">
        <v>230</v>
      </c>
      <c r="G12" s="43" t="s">
        <v>230</v>
      </c>
      <c r="H12" s="42" t="s">
        <v>179</v>
      </c>
      <c r="I12" s="43"/>
      <c r="J12" s="43">
        <v>4</v>
      </c>
      <c r="K12" s="25" t="str">
        <f>VLOOKUP(J12,Key!$E$2:$F$9,2,FALSE)</f>
        <v>Commercial</v>
      </c>
      <c r="L12" s="42" t="s">
        <v>173</v>
      </c>
      <c r="M12" s="43" t="s">
        <v>167</v>
      </c>
      <c r="N12" s="42" t="s">
        <v>212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49"/>
      <c r="T12" s="49">
        <v>48</v>
      </c>
      <c r="U12" s="43">
        <v>4</v>
      </c>
      <c r="V12" s="43">
        <v>9</v>
      </c>
      <c r="W12" s="49"/>
      <c r="X12" s="49"/>
      <c r="Y12" s="50"/>
      <c r="Z12" s="62"/>
      <c r="AA12" s="25"/>
      <c r="AB12" s="25"/>
    </row>
    <row r="13" spans="2:35">
      <c r="B13" s="40">
        <v>0.36805555555555558</v>
      </c>
      <c r="C13" s="40"/>
      <c r="D13" s="41">
        <v>1</v>
      </c>
      <c r="E13" s="42">
        <v>3</v>
      </c>
      <c r="F13" s="42" t="s">
        <v>172</v>
      </c>
      <c r="G13" s="43" t="s">
        <v>172</v>
      </c>
      <c r="H13" s="42" t="s">
        <v>179</v>
      </c>
      <c r="I13" s="43"/>
      <c r="J13" s="43">
        <v>4</v>
      </c>
      <c r="K13" s="25" t="str">
        <f>VLOOKUP(J13,Key!$E$2:$F$9,2,FALSE)</f>
        <v>Commercial</v>
      </c>
      <c r="L13" s="42" t="s">
        <v>170</v>
      </c>
      <c r="M13" s="43" t="s">
        <v>171</v>
      </c>
      <c r="N13" s="42" t="s">
        <v>179</v>
      </c>
      <c r="O13" s="43"/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49"/>
      <c r="T13" s="49">
        <v>1.5</v>
      </c>
      <c r="U13" s="43">
        <v>1</v>
      </c>
      <c r="V13" s="43"/>
      <c r="W13" s="49"/>
      <c r="X13" s="49"/>
      <c r="Y13" s="50"/>
      <c r="Z13" s="62"/>
      <c r="AA13" s="25"/>
      <c r="AB13" s="25"/>
    </row>
    <row r="14" spans="2:35">
      <c r="B14" s="40">
        <v>0.38125000000000003</v>
      </c>
      <c r="C14" s="40"/>
      <c r="D14" s="41">
        <v>8</v>
      </c>
      <c r="E14" s="42">
        <v>1</v>
      </c>
      <c r="F14" s="42" t="s">
        <v>184</v>
      </c>
      <c r="G14" s="43" t="s">
        <v>184</v>
      </c>
      <c r="H14" s="42" t="s">
        <v>200</v>
      </c>
      <c r="I14" s="43"/>
      <c r="J14" s="43">
        <v>4</v>
      </c>
      <c r="K14" s="25" t="str">
        <f>VLOOKUP(J14,Key!$E$2:$F$9,2,FALSE)</f>
        <v>Commercial</v>
      </c>
      <c r="L14" s="42" t="s">
        <v>173</v>
      </c>
      <c r="M14" s="43" t="s">
        <v>167</v>
      </c>
      <c r="N14" s="42" t="s">
        <v>212</v>
      </c>
      <c r="O14" s="43"/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49"/>
      <c r="T14" s="49">
        <v>72</v>
      </c>
      <c r="U14" s="43">
        <v>4</v>
      </c>
      <c r="V14" s="43">
        <v>9</v>
      </c>
      <c r="W14" s="49"/>
      <c r="X14" s="49"/>
      <c r="Y14" s="50"/>
      <c r="Z14" s="62"/>
      <c r="AA14" s="25"/>
      <c r="AB14" s="25"/>
    </row>
    <row r="15" spans="2:35">
      <c r="B15" s="40">
        <v>0.38194444444444442</v>
      </c>
      <c r="C15" s="40"/>
      <c r="D15" s="41">
        <v>8</v>
      </c>
      <c r="E15" s="42">
        <v>1</v>
      </c>
      <c r="F15" s="42" t="s">
        <v>204</v>
      </c>
      <c r="G15" s="43" t="s">
        <v>183</v>
      </c>
      <c r="H15" s="42" t="s">
        <v>179</v>
      </c>
      <c r="I15" s="43"/>
      <c r="J15" s="43">
        <v>4</v>
      </c>
      <c r="K15" s="25" t="str">
        <f>VLOOKUP(J15,Key!$E$2:$F$9,2,FALSE)</f>
        <v>Commercial</v>
      </c>
      <c r="L15" s="42" t="s">
        <v>173</v>
      </c>
      <c r="M15" s="43" t="s">
        <v>167</v>
      </c>
      <c r="N15" s="42" t="s">
        <v>212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49"/>
      <c r="T15" s="49">
        <v>48</v>
      </c>
      <c r="U15" s="43">
        <v>4</v>
      </c>
      <c r="V15" s="43">
        <v>8</v>
      </c>
      <c r="W15" s="49"/>
      <c r="X15" s="49"/>
      <c r="Y15" s="50"/>
      <c r="Z15" s="62"/>
      <c r="AA15" s="25"/>
      <c r="AB15" s="25"/>
    </row>
    <row r="16" spans="2:35">
      <c r="B16" s="40">
        <v>0.41805555555555557</v>
      </c>
      <c r="C16" s="40"/>
      <c r="D16" s="41">
        <v>9</v>
      </c>
      <c r="E16" s="42">
        <v>2</v>
      </c>
      <c r="F16" s="42" t="s">
        <v>223</v>
      </c>
      <c r="G16" s="43" t="s">
        <v>183</v>
      </c>
      <c r="H16" s="42" t="s">
        <v>179</v>
      </c>
      <c r="I16" s="43"/>
      <c r="J16" s="43">
        <v>4</v>
      </c>
      <c r="K16" s="25" t="str">
        <f>VLOOKUP(J16,Key!$E$2:$F$9,2,FALSE)</f>
        <v>Commercial</v>
      </c>
      <c r="L16" s="42" t="s">
        <v>173</v>
      </c>
      <c r="M16" s="43" t="s">
        <v>167</v>
      </c>
      <c r="N16" s="42" t="s">
        <v>212</v>
      </c>
      <c r="O16" s="43"/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9"/>
      <c r="T16" s="49">
        <v>48</v>
      </c>
      <c r="U16" s="43">
        <v>4</v>
      </c>
      <c r="V16" s="43">
        <v>9</v>
      </c>
      <c r="W16" s="49"/>
      <c r="X16" s="49"/>
      <c r="Y16" s="50"/>
      <c r="Z16" s="62"/>
      <c r="AA16" s="25"/>
      <c r="AB16" s="25"/>
    </row>
    <row r="17" spans="2:28">
      <c r="B17" s="40">
        <v>0.4291666666666667</v>
      </c>
      <c r="C17" s="40"/>
      <c r="D17" s="41">
        <v>2</v>
      </c>
      <c r="E17" s="42">
        <v>1</v>
      </c>
      <c r="F17" s="42" t="s">
        <v>172</v>
      </c>
      <c r="G17" s="43" t="s">
        <v>172</v>
      </c>
      <c r="H17" s="42" t="s">
        <v>179</v>
      </c>
      <c r="I17" s="43"/>
      <c r="J17" s="43">
        <v>1</v>
      </c>
      <c r="K17" s="25" t="str">
        <f>VLOOKUP(J17,Key!$E$2:$F$9,2,FALSE)</f>
        <v>Home</v>
      </c>
      <c r="L17" s="42" t="s">
        <v>170</v>
      </c>
      <c r="M17" s="43" t="s">
        <v>171</v>
      </c>
      <c r="N17" s="42" t="s">
        <v>179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9"/>
      <c r="T17" s="49">
        <v>1.5</v>
      </c>
      <c r="U17" s="43">
        <v>4</v>
      </c>
      <c r="V17" s="43"/>
      <c r="W17" s="49"/>
      <c r="X17" s="49"/>
      <c r="Y17" s="50"/>
      <c r="Z17" s="62"/>
      <c r="AA17" s="25"/>
      <c r="AB17" s="25"/>
    </row>
    <row r="18" spans="2:28">
      <c r="B18" s="40">
        <v>0.44097222222222227</v>
      </c>
      <c r="C18" s="40"/>
      <c r="D18" s="41">
        <v>3</v>
      </c>
      <c r="E18" s="42">
        <v>3</v>
      </c>
      <c r="F18" s="42" t="s">
        <v>231</v>
      </c>
      <c r="G18" s="43" t="s">
        <v>231</v>
      </c>
      <c r="H18" s="42" t="s">
        <v>179</v>
      </c>
      <c r="I18" s="43"/>
      <c r="J18" s="43">
        <v>2</v>
      </c>
      <c r="K18" s="25" t="str">
        <f>VLOOKUP(J18,Key!$E$2:$F$9,2,FALSE)</f>
        <v>Work</v>
      </c>
      <c r="L18" s="42" t="s">
        <v>170</v>
      </c>
      <c r="M18" s="43" t="s">
        <v>171</v>
      </c>
      <c r="N18" s="42" t="s">
        <v>179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4</v>
      </c>
      <c r="U18" s="43">
        <v>5</v>
      </c>
      <c r="V18" s="43"/>
      <c r="W18" s="49"/>
      <c r="X18" s="49"/>
      <c r="Y18" s="50"/>
      <c r="Z18" s="62"/>
      <c r="AA18" s="25"/>
      <c r="AB18" s="25"/>
    </row>
    <row r="19" spans="2:28">
      <c r="B19" s="40">
        <v>0.44444444444444442</v>
      </c>
      <c r="C19" s="40"/>
      <c r="D19" s="41">
        <v>8</v>
      </c>
      <c r="E19" s="42">
        <v>2</v>
      </c>
      <c r="F19" s="42" t="s">
        <v>183</v>
      </c>
      <c r="G19" s="43" t="s">
        <v>183</v>
      </c>
      <c r="H19" s="42" t="s">
        <v>179</v>
      </c>
      <c r="I19" s="43"/>
      <c r="J19" s="43">
        <v>4</v>
      </c>
      <c r="K19" s="25" t="str">
        <f>VLOOKUP(J19,Key!$E$2:$F$9,2,FALSE)</f>
        <v>Commercial</v>
      </c>
      <c r="L19" s="42" t="s">
        <v>173</v>
      </c>
      <c r="M19" s="43" t="s">
        <v>167</v>
      </c>
      <c r="N19" s="42" t="s">
        <v>212</v>
      </c>
      <c r="O19" s="43"/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9"/>
      <c r="T19" s="49">
        <v>24</v>
      </c>
      <c r="U19" s="43">
        <v>4</v>
      </c>
      <c r="V19" s="43">
        <v>9</v>
      </c>
      <c r="W19" s="49"/>
      <c r="X19" s="49"/>
      <c r="Y19" s="50"/>
      <c r="Z19" s="62"/>
      <c r="AA19" s="25"/>
      <c r="AB19" s="25"/>
    </row>
    <row r="20" spans="2:28">
      <c r="B20" s="40">
        <v>0.45069444444444445</v>
      </c>
      <c r="C20" s="40"/>
      <c r="D20" s="41">
        <v>9</v>
      </c>
      <c r="E20" s="42">
        <v>1</v>
      </c>
      <c r="F20" s="42" t="s">
        <v>232</v>
      </c>
      <c r="G20" s="43" t="s">
        <v>183</v>
      </c>
      <c r="H20" s="42" t="s">
        <v>179</v>
      </c>
      <c r="I20" s="43"/>
      <c r="J20" s="43">
        <v>4</v>
      </c>
      <c r="K20" s="25" t="str">
        <f>VLOOKUP(J20,Key!$E$2:$F$9,2,FALSE)</f>
        <v>Commercial</v>
      </c>
      <c r="L20" s="42" t="s">
        <v>173</v>
      </c>
      <c r="M20" s="43" t="s">
        <v>167</v>
      </c>
      <c r="N20" s="42" t="s">
        <v>212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9"/>
      <c r="T20" s="49">
        <v>48</v>
      </c>
      <c r="U20" s="43">
        <v>4</v>
      </c>
      <c r="V20" s="43">
        <v>10</v>
      </c>
      <c r="W20" s="49"/>
      <c r="X20" s="49"/>
      <c r="Y20" s="50"/>
      <c r="Z20" s="62"/>
      <c r="AA20" s="25"/>
      <c r="AB20" s="25"/>
    </row>
    <row r="21" spans="2:28">
      <c r="B21" s="40">
        <v>0.4777777777777778</v>
      </c>
      <c r="C21" s="40"/>
      <c r="D21" s="41">
        <v>2</v>
      </c>
      <c r="E21" s="42">
        <v>2</v>
      </c>
      <c r="F21" s="42" t="s">
        <v>172</v>
      </c>
      <c r="G21" s="43" t="s">
        <v>172</v>
      </c>
      <c r="H21" s="42" t="s">
        <v>179</v>
      </c>
      <c r="I21" s="43"/>
      <c r="J21" s="43">
        <v>2</v>
      </c>
      <c r="K21" s="25" t="str">
        <f>VLOOKUP(J21,Key!$E$2:$F$9,2,FALSE)</f>
        <v>Work</v>
      </c>
      <c r="L21" s="42" t="s">
        <v>208</v>
      </c>
      <c r="M21" s="43" t="s">
        <v>171</v>
      </c>
      <c r="N21" s="42" t="s">
        <v>179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49"/>
      <c r="T21" s="49">
        <v>2</v>
      </c>
      <c r="U21" s="43">
        <v>5</v>
      </c>
      <c r="V21" s="43"/>
      <c r="W21" s="49"/>
      <c r="X21" s="49"/>
      <c r="Y21" s="50"/>
      <c r="Z21" s="62"/>
      <c r="AA21" s="25"/>
      <c r="AB21" s="25"/>
    </row>
    <row r="22" spans="2:28">
      <c r="B22" s="40">
        <v>0.49513888888888885</v>
      </c>
      <c r="C22" s="40"/>
      <c r="D22" s="41">
        <v>2</v>
      </c>
      <c r="E22" s="42">
        <v>2</v>
      </c>
      <c r="F22" s="42" t="s">
        <v>172</v>
      </c>
      <c r="G22" s="43" t="s">
        <v>172</v>
      </c>
      <c r="H22" s="42" t="s">
        <v>179</v>
      </c>
      <c r="I22" s="43"/>
      <c r="J22" s="43">
        <v>2</v>
      </c>
      <c r="K22" s="25" t="str">
        <f>VLOOKUP(J22,Key!$E$2:$F$9,2,FALSE)</f>
        <v>Work</v>
      </c>
      <c r="L22" s="42" t="s">
        <v>170</v>
      </c>
      <c r="M22" s="43" t="s">
        <v>171</v>
      </c>
      <c r="N22" s="42" t="s">
        <v>179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1.5</v>
      </c>
      <c r="U22" s="43">
        <v>4</v>
      </c>
      <c r="V22" s="43">
        <v>8</v>
      </c>
      <c r="W22" s="49"/>
      <c r="X22" s="49"/>
      <c r="Y22" s="50"/>
      <c r="Z22" s="62"/>
      <c r="AA22" s="25"/>
      <c r="AB22" s="25"/>
    </row>
    <row r="23" spans="2:28">
      <c r="B23" s="40">
        <v>0.51111111111111118</v>
      </c>
      <c r="C23" s="40"/>
      <c r="D23" s="41">
        <v>9</v>
      </c>
      <c r="E23" s="42">
        <v>1</v>
      </c>
      <c r="F23" s="42" t="s">
        <v>223</v>
      </c>
      <c r="G23" s="43" t="s">
        <v>183</v>
      </c>
      <c r="H23" s="42" t="s">
        <v>179</v>
      </c>
      <c r="I23" s="43"/>
      <c r="J23" s="43">
        <v>4</v>
      </c>
      <c r="K23" s="25" t="str">
        <f>VLOOKUP(J23,Key!$E$2:$F$9,2,FALSE)</f>
        <v>Commercial</v>
      </c>
      <c r="L23" s="42" t="s">
        <v>173</v>
      </c>
      <c r="M23" s="43" t="s">
        <v>167</v>
      </c>
      <c r="N23" s="42" t="s">
        <v>212</v>
      </c>
      <c r="O23" s="43"/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49"/>
      <c r="T23" s="49">
        <v>48</v>
      </c>
      <c r="U23" s="43">
        <v>4</v>
      </c>
      <c r="V23" s="43">
        <v>7</v>
      </c>
      <c r="W23" s="49"/>
      <c r="X23" s="49"/>
      <c r="Y23" s="50"/>
      <c r="Z23" s="62"/>
      <c r="AA23" s="25"/>
      <c r="AB23" s="25"/>
    </row>
    <row r="24" spans="2:28">
      <c r="B24" s="40">
        <v>0.52361111111111114</v>
      </c>
      <c r="C24" s="40"/>
      <c r="D24" s="41">
        <v>1</v>
      </c>
      <c r="E24" s="42">
        <v>3</v>
      </c>
      <c r="F24" s="42" t="s">
        <v>172</v>
      </c>
      <c r="G24" s="43" t="s">
        <v>172</v>
      </c>
      <c r="H24" s="42" t="s">
        <v>179</v>
      </c>
      <c r="I24" s="43"/>
      <c r="J24" s="43">
        <v>4</v>
      </c>
      <c r="K24" s="25" t="str">
        <f>VLOOKUP(J24,Key!$E$2:$F$9,2,FALSE)</f>
        <v>Commercial</v>
      </c>
      <c r="L24" s="42" t="s">
        <v>170</v>
      </c>
      <c r="M24" s="43" t="s">
        <v>171</v>
      </c>
      <c r="N24" s="42" t="s">
        <v>179</v>
      </c>
      <c r="O24" s="43"/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49"/>
      <c r="T24" s="49">
        <v>1.5</v>
      </c>
      <c r="U24" s="43">
        <v>4</v>
      </c>
      <c r="V24" s="43"/>
      <c r="W24" s="49"/>
      <c r="X24" s="49"/>
      <c r="Y24" s="50"/>
      <c r="Z24" s="62"/>
      <c r="AA24" s="25"/>
      <c r="AB24" s="25"/>
    </row>
    <row r="25" spans="2:28">
      <c r="B25" s="40">
        <v>0.53888888888888886</v>
      </c>
      <c r="C25" s="40"/>
      <c r="D25" s="41">
        <v>2</v>
      </c>
      <c r="E25" s="42">
        <v>4</v>
      </c>
      <c r="F25" s="42" t="s">
        <v>172</v>
      </c>
      <c r="G25" s="43" t="s">
        <v>172</v>
      </c>
      <c r="H25" s="42" t="s">
        <v>179</v>
      </c>
      <c r="I25" s="43"/>
      <c r="J25" s="43">
        <v>4</v>
      </c>
      <c r="K25" s="25" t="str">
        <f>VLOOKUP(J25,Key!$E$2:$F$9,2,FALSE)</f>
        <v>Commercial</v>
      </c>
      <c r="L25" s="42" t="s">
        <v>170</v>
      </c>
      <c r="M25" s="43" t="s">
        <v>171</v>
      </c>
      <c r="N25" s="42" t="s">
        <v>179</v>
      </c>
      <c r="O25" s="43"/>
      <c r="P25" s="43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49"/>
      <c r="T25" s="49">
        <v>2</v>
      </c>
      <c r="U25" s="43">
        <v>2</v>
      </c>
      <c r="V25" s="43"/>
      <c r="W25" s="49"/>
      <c r="X25" s="49"/>
      <c r="Y25" s="50"/>
      <c r="Z25" s="62"/>
      <c r="AA25" s="25"/>
      <c r="AB25" s="25"/>
    </row>
    <row r="26" spans="2:28">
      <c r="B26" s="40">
        <v>0.55555555555555558</v>
      </c>
      <c r="C26" s="40"/>
      <c r="D26" s="41">
        <v>9</v>
      </c>
      <c r="E26" s="42">
        <v>1</v>
      </c>
      <c r="F26" s="42" t="s">
        <v>184</v>
      </c>
      <c r="G26" s="43" t="s">
        <v>184</v>
      </c>
      <c r="H26" s="42" t="s">
        <v>200</v>
      </c>
      <c r="I26" s="43"/>
      <c r="J26" s="43">
        <v>4</v>
      </c>
      <c r="K26" s="25" t="str">
        <f>VLOOKUP(J26,Key!$E$2:$F$9,2,FALSE)</f>
        <v>Commercial</v>
      </c>
      <c r="L26" s="42" t="s">
        <v>173</v>
      </c>
      <c r="M26" s="43" t="s">
        <v>167</v>
      </c>
      <c r="N26" s="42" t="s">
        <v>212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9"/>
      <c r="T26" s="49">
        <v>120</v>
      </c>
      <c r="U26" s="43">
        <v>4</v>
      </c>
      <c r="V26" s="43">
        <v>5</v>
      </c>
      <c r="W26" s="49"/>
      <c r="X26" s="49"/>
      <c r="Y26" s="50"/>
      <c r="Z26" s="62"/>
      <c r="AA26" s="25"/>
      <c r="AB26" s="25"/>
    </row>
    <row r="27" spans="2:28">
      <c r="B27" s="40">
        <v>0.5805555555555556</v>
      </c>
      <c r="C27" s="40"/>
      <c r="D27" s="41">
        <v>9</v>
      </c>
      <c r="E27" s="42">
        <v>1</v>
      </c>
      <c r="F27" s="42" t="s">
        <v>201</v>
      </c>
      <c r="G27" s="43" t="s">
        <v>201</v>
      </c>
      <c r="H27" s="42" t="s">
        <v>179</v>
      </c>
      <c r="I27" s="43"/>
      <c r="J27" s="43">
        <v>4</v>
      </c>
      <c r="K27" s="25" t="str">
        <f>VLOOKUP(J27,Key!$E$2:$F$9,2,FALSE)</f>
        <v>Commercial</v>
      </c>
      <c r="L27" s="42" t="s">
        <v>170</v>
      </c>
      <c r="M27" s="43" t="s">
        <v>171</v>
      </c>
      <c r="N27" s="42" t="s">
        <v>179</v>
      </c>
      <c r="O27" s="43"/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49"/>
      <c r="T27" s="49">
        <v>48</v>
      </c>
      <c r="U27" s="43">
        <v>5</v>
      </c>
      <c r="V27" s="43">
        <v>7</v>
      </c>
      <c r="W27" s="49"/>
      <c r="X27" s="49"/>
      <c r="Y27" s="50"/>
      <c r="Z27" s="62"/>
      <c r="AA27" s="25"/>
      <c r="AB27" s="25"/>
    </row>
    <row r="28" spans="2:28">
      <c r="B28" s="40">
        <v>0.59583333333333333</v>
      </c>
      <c r="C28" s="40"/>
      <c r="D28" s="41">
        <v>9</v>
      </c>
      <c r="E28" s="42">
        <v>1</v>
      </c>
      <c r="F28" s="42" t="s">
        <v>233</v>
      </c>
      <c r="G28" s="43" t="s">
        <v>172</v>
      </c>
      <c r="H28" s="42" t="s">
        <v>179</v>
      </c>
      <c r="I28" s="43"/>
      <c r="J28" s="43">
        <v>4</v>
      </c>
      <c r="K28" s="25" t="str">
        <f>VLOOKUP(J28,Key!$E$2:$F$9,2,FALSE)</f>
        <v>Commercial</v>
      </c>
      <c r="L28" s="42" t="s">
        <v>173</v>
      </c>
      <c r="M28" s="43" t="s">
        <v>167</v>
      </c>
      <c r="N28" s="42" t="s">
        <v>212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49"/>
      <c r="T28" s="49">
        <v>72</v>
      </c>
      <c r="U28" s="43">
        <v>4</v>
      </c>
      <c r="V28" s="43">
        <v>6</v>
      </c>
      <c r="W28" s="49"/>
      <c r="X28" s="49"/>
      <c r="Y28" s="50"/>
      <c r="Z28" s="62"/>
      <c r="AA28" s="25"/>
      <c r="AB28" s="25"/>
    </row>
    <row r="29" spans="2:28">
      <c r="B29" s="40">
        <v>0.62708333333333333</v>
      </c>
      <c r="C29" s="40"/>
      <c r="D29" s="41">
        <v>8</v>
      </c>
      <c r="E29" s="42">
        <v>1</v>
      </c>
      <c r="F29" s="42" t="s">
        <v>189</v>
      </c>
      <c r="G29" s="43" t="s">
        <v>190</v>
      </c>
      <c r="H29" s="42" t="s">
        <v>200</v>
      </c>
      <c r="I29" s="43"/>
      <c r="J29" s="43">
        <v>4</v>
      </c>
      <c r="K29" s="25" t="str">
        <f>VLOOKUP(J29,Key!$E$2:$F$9,2,FALSE)</f>
        <v>Commercial</v>
      </c>
      <c r="L29" s="42" t="s">
        <v>173</v>
      </c>
      <c r="M29" s="43" t="s">
        <v>167</v>
      </c>
      <c r="N29" s="42" t="s">
        <v>212</v>
      </c>
      <c r="O29" s="43"/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49"/>
      <c r="T29" s="49">
        <v>96</v>
      </c>
      <c r="U29" s="43">
        <v>4</v>
      </c>
      <c r="V29" s="43">
        <v>6</v>
      </c>
      <c r="W29" s="49"/>
      <c r="X29" s="49"/>
      <c r="Y29" s="50"/>
      <c r="Z29" s="62"/>
      <c r="AA29" s="25"/>
      <c r="AB29" s="25"/>
    </row>
    <row r="30" spans="2:28">
      <c r="B30" s="40">
        <v>0.62986111111111109</v>
      </c>
      <c r="C30" s="40"/>
      <c r="D30" s="41">
        <v>2</v>
      </c>
      <c r="E30" s="42">
        <v>5</v>
      </c>
      <c r="F30" s="42" t="s">
        <v>172</v>
      </c>
      <c r="G30" s="43" t="s">
        <v>172</v>
      </c>
      <c r="H30" s="42" t="s">
        <v>179</v>
      </c>
      <c r="I30" s="43"/>
      <c r="J30" s="43">
        <v>4</v>
      </c>
      <c r="K30" s="25" t="str">
        <f>VLOOKUP(J30,Key!$E$2:$F$9,2,FALSE)</f>
        <v>Commercial</v>
      </c>
      <c r="L30" s="42" t="s">
        <v>170</v>
      </c>
      <c r="M30" s="43" t="s">
        <v>171</v>
      </c>
      <c r="N30" s="42" t="s">
        <v>179</v>
      </c>
      <c r="O30" s="43"/>
      <c r="P30" s="43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49"/>
      <c r="T30" s="49">
        <v>2</v>
      </c>
      <c r="U30" s="43">
        <v>2</v>
      </c>
      <c r="V30" s="43"/>
      <c r="W30" s="49"/>
      <c r="X30" s="49"/>
      <c r="Y30" s="50"/>
      <c r="Z30" s="62"/>
      <c r="AA30" s="25"/>
      <c r="AB30" s="25"/>
    </row>
    <row r="31" spans="2:28">
      <c r="B31" s="40">
        <v>0.6381944444444444</v>
      </c>
      <c r="C31" s="40"/>
      <c r="D31" s="41">
        <v>8</v>
      </c>
      <c r="E31" s="42">
        <v>1</v>
      </c>
      <c r="F31" s="42" t="s">
        <v>232</v>
      </c>
      <c r="G31" s="43" t="s">
        <v>183</v>
      </c>
      <c r="H31" s="42" t="s">
        <v>179</v>
      </c>
      <c r="I31" s="43"/>
      <c r="J31" s="43">
        <v>4</v>
      </c>
      <c r="K31" s="25" t="str">
        <f>VLOOKUP(J31,Key!$E$2:$F$9,2,FALSE)</f>
        <v>Commercial</v>
      </c>
      <c r="L31" s="42" t="s">
        <v>173</v>
      </c>
      <c r="M31" s="43" t="s">
        <v>167</v>
      </c>
      <c r="N31" s="42" t="s">
        <v>212</v>
      </c>
      <c r="O31" s="43"/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49"/>
      <c r="T31" s="49">
        <v>48</v>
      </c>
      <c r="U31" s="43">
        <v>4</v>
      </c>
      <c r="V31" s="43">
        <v>8</v>
      </c>
      <c r="W31" s="49"/>
      <c r="X31" s="49"/>
      <c r="Y31" s="50"/>
      <c r="Z31" s="62"/>
      <c r="AA31" s="25"/>
      <c r="AB31" s="25"/>
    </row>
    <row r="32" spans="2:28">
      <c r="B32" s="40">
        <v>0.66875000000000007</v>
      </c>
      <c r="C32" s="40"/>
      <c r="D32" s="41">
        <v>9</v>
      </c>
      <c r="E32" s="42">
        <v>1</v>
      </c>
      <c r="F32" s="42" t="s">
        <v>204</v>
      </c>
      <c r="G32" s="43" t="s">
        <v>183</v>
      </c>
      <c r="H32" s="42" t="s">
        <v>179</v>
      </c>
      <c r="I32" s="43"/>
      <c r="J32" s="43">
        <v>4</v>
      </c>
      <c r="K32" s="25" t="str">
        <f>VLOOKUP(J32,Key!$E$2:$F$9,2,FALSE)</f>
        <v>Commercial</v>
      </c>
      <c r="L32" s="42" t="s">
        <v>173</v>
      </c>
      <c r="M32" s="43" t="s">
        <v>167</v>
      </c>
      <c r="N32" s="42" t="s">
        <v>212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49"/>
      <c r="T32" s="49">
        <v>24</v>
      </c>
      <c r="U32" s="43">
        <v>4</v>
      </c>
      <c r="V32" s="43">
        <v>8</v>
      </c>
      <c r="W32" s="49"/>
      <c r="X32" s="49"/>
      <c r="Y32" s="50"/>
      <c r="Z32" s="62"/>
      <c r="AA32" s="25"/>
      <c r="AB32" s="25"/>
    </row>
    <row r="33" spans="2:28">
      <c r="B33" s="40">
        <v>0.7006944444444444</v>
      </c>
      <c r="C33" s="40"/>
      <c r="D33" s="41">
        <v>8</v>
      </c>
      <c r="E33" s="42">
        <v>1</v>
      </c>
      <c r="F33" s="42" t="s">
        <v>234</v>
      </c>
      <c r="G33" s="43" t="s">
        <v>172</v>
      </c>
      <c r="H33" s="42" t="s">
        <v>179</v>
      </c>
      <c r="I33" s="43"/>
      <c r="J33" s="43">
        <v>4</v>
      </c>
      <c r="K33" s="25" t="str">
        <f>VLOOKUP(J33,Key!$E$2:$F$9,2,FALSE)</f>
        <v>Commercial</v>
      </c>
      <c r="L33" s="42" t="s">
        <v>170</v>
      </c>
      <c r="M33" s="43" t="s">
        <v>171</v>
      </c>
      <c r="N33" s="42" t="s">
        <v>179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49"/>
      <c r="T33" s="49">
        <v>2</v>
      </c>
      <c r="U33" s="43">
        <v>4</v>
      </c>
      <c r="V33" s="43">
        <v>8</v>
      </c>
      <c r="W33" s="49"/>
      <c r="X33" s="49"/>
      <c r="Y33" s="50"/>
      <c r="Z33" s="62"/>
      <c r="AA33" s="25"/>
      <c r="AB33" s="25"/>
    </row>
    <row r="34" spans="2:28">
      <c r="B34" s="40">
        <v>0.70347222222222217</v>
      </c>
      <c r="C34" s="40"/>
      <c r="D34" s="41">
        <v>9</v>
      </c>
      <c r="E34" s="42">
        <v>1</v>
      </c>
      <c r="F34" s="42" t="s">
        <v>189</v>
      </c>
      <c r="G34" s="43" t="s">
        <v>190</v>
      </c>
      <c r="H34" s="42" t="s">
        <v>200</v>
      </c>
      <c r="I34" s="43"/>
      <c r="J34" s="43">
        <v>4</v>
      </c>
      <c r="K34" s="25" t="str">
        <f>VLOOKUP(J34,Key!$E$2:$F$9,2,FALSE)</f>
        <v>Commercial</v>
      </c>
      <c r="L34" s="42" t="s">
        <v>173</v>
      </c>
      <c r="M34" s="43" t="s">
        <v>167</v>
      </c>
      <c r="N34" s="42" t="s">
        <v>212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9"/>
      <c r="T34" s="49">
        <v>72</v>
      </c>
      <c r="U34" s="43">
        <v>4</v>
      </c>
      <c r="V34" s="43">
        <v>6</v>
      </c>
      <c r="W34" s="49"/>
      <c r="X34" s="49"/>
      <c r="Y34" s="50"/>
      <c r="Z34" s="62"/>
      <c r="AA34" s="25"/>
      <c r="AB34" s="25"/>
    </row>
    <row r="35" spans="2:28">
      <c r="B35" s="40">
        <v>0.70624999999999993</v>
      </c>
      <c r="C35" s="40"/>
      <c r="D35" s="41">
        <v>2</v>
      </c>
      <c r="E35" s="42">
        <v>4</v>
      </c>
      <c r="F35" s="42" t="s">
        <v>206</v>
      </c>
      <c r="G35" s="43" t="s">
        <v>171</v>
      </c>
      <c r="H35" s="42" t="s">
        <v>179</v>
      </c>
      <c r="I35" s="43"/>
      <c r="J35" s="43">
        <v>4</v>
      </c>
      <c r="K35" s="25" t="str">
        <f>VLOOKUP(J35,Key!$E$2:$F$9,2,FALSE)</f>
        <v>Commercial</v>
      </c>
      <c r="L35" s="42" t="s">
        <v>170</v>
      </c>
      <c r="M35" s="43" t="s">
        <v>171</v>
      </c>
      <c r="N35" s="42" t="s">
        <v>179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9"/>
      <c r="T35" s="49">
        <v>1</v>
      </c>
      <c r="U35" s="43">
        <v>2</v>
      </c>
      <c r="V35" s="43">
        <v>9</v>
      </c>
      <c r="W35" s="49"/>
      <c r="X35" s="49"/>
      <c r="Y35" s="50"/>
      <c r="Z35" s="62"/>
      <c r="AA35" s="25"/>
      <c r="AB35" s="25"/>
    </row>
    <row r="36" spans="2:28">
      <c r="B36" s="40">
        <v>0.72569444444444453</v>
      </c>
      <c r="C36" s="40"/>
      <c r="D36" s="41">
        <v>2</v>
      </c>
      <c r="E36" s="42">
        <v>1</v>
      </c>
      <c r="F36" s="42" t="s">
        <v>172</v>
      </c>
      <c r="G36" s="43" t="s">
        <v>172</v>
      </c>
      <c r="H36" s="42" t="s">
        <v>179</v>
      </c>
      <c r="I36" s="43"/>
      <c r="J36" s="43">
        <v>4</v>
      </c>
      <c r="K36" s="25" t="str">
        <f>VLOOKUP(J36,Key!$E$2:$F$9,2,FALSE)</f>
        <v>Commercial</v>
      </c>
      <c r="L36" s="42" t="s">
        <v>208</v>
      </c>
      <c r="M36" s="43" t="s">
        <v>171</v>
      </c>
      <c r="N36" s="42" t="s">
        <v>179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Commercial-Work</v>
      </c>
      <c r="S36" s="49"/>
      <c r="T36" s="49">
        <v>1</v>
      </c>
      <c r="U36" s="43">
        <v>3</v>
      </c>
      <c r="V36" s="43"/>
      <c r="W36" s="49"/>
      <c r="X36" s="49"/>
      <c r="Y36" s="50"/>
      <c r="Z36" s="62"/>
      <c r="AA36" s="25"/>
      <c r="AB36" s="25"/>
    </row>
    <row r="37" spans="2:28">
      <c r="B37" s="40">
        <v>0.7319444444444444</v>
      </c>
      <c r="C37" s="40"/>
      <c r="D37" s="41">
        <v>2</v>
      </c>
      <c r="E37" s="42">
        <v>2</v>
      </c>
      <c r="F37" s="42" t="s">
        <v>172</v>
      </c>
      <c r="G37" s="43" t="s">
        <v>172</v>
      </c>
      <c r="H37" s="42" t="s">
        <v>179</v>
      </c>
      <c r="I37" s="43"/>
      <c r="J37" s="43">
        <v>4</v>
      </c>
      <c r="K37" s="25" t="str">
        <f>VLOOKUP(J37,Key!$E$2:$F$9,2,FALSE)</f>
        <v>Commercial</v>
      </c>
      <c r="L37" s="42" t="s">
        <v>173</v>
      </c>
      <c r="M37" s="43" t="s">
        <v>167</v>
      </c>
      <c r="N37" s="42" t="s">
        <v>212</v>
      </c>
      <c r="O37" s="43"/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49"/>
      <c r="T37" s="49">
        <v>9</v>
      </c>
      <c r="U37" s="43">
        <v>4</v>
      </c>
      <c r="V37" s="43"/>
      <c r="W37" s="49"/>
      <c r="X37" s="49"/>
      <c r="Y37" s="50"/>
      <c r="Z37" s="62"/>
      <c r="AA37" s="25"/>
      <c r="AB37" s="25"/>
    </row>
    <row r="38" spans="2:28">
      <c r="B38" s="40">
        <v>0.73958333333333337</v>
      </c>
      <c r="C38" s="40"/>
      <c r="D38" s="44">
        <v>8</v>
      </c>
      <c r="E38" s="42">
        <v>4</v>
      </c>
      <c r="F38" s="42" t="s">
        <v>231</v>
      </c>
      <c r="G38" s="42" t="s">
        <v>231</v>
      </c>
      <c r="H38" s="42" t="s">
        <v>179</v>
      </c>
      <c r="I38" s="60"/>
      <c r="J38" s="60">
        <v>4</v>
      </c>
      <c r="K38" s="25" t="str">
        <f>VLOOKUP(J38,Key!$E$2:$F$9,2,FALSE)</f>
        <v>Commercial</v>
      </c>
      <c r="L38" s="42" t="s">
        <v>170</v>
      </c>
      <c r="M38" s="47" t="s">
        <v>171</v>
      </c>
      <c r="N38" s="45" t="s">
        <v>179</v>
      </c>
      <c r="O38" s="46"/>
      <c r="P38" s="46">
        <v>4</v>
      </c>
      <c r="Q38" s="25" t="str">
        <f>VLOOKUP(P38,Key!$E$2:$F$9,2,FALSE)</f>
        <v>Commercial</v>
      </c>
      <c r="R38" s="25" t="str">
        <f t="shared" si="0"/>
        <v>Commercial-Commercial</v>
      </c>
      <c r="S38" s="61"/>
      <c r="T38" s="61">
        <v>1.5</v>
      </c>
      <c r="U38" s="46">
        <v>1</v>
      </c>
      <c r="V38" s="46">
        <v>8</v>
      </c>
      <c r="W38" s="61"/>
      <c r="X38" s="61"/>
      <c r="Y38" s="48"/>
      <c r="Z38" s="63"/>
      <c r="AA38" s="25"/>
      <c r="AB38" s="25"/>
    </row>
    <row r="39" spans="2:28">
      <c r="B39" s="40">
        <v>0.75694444444444453</v>
      </c>
      <c r="C39" s="40"/>
      <c r="D39" s="45">
        <v>9</v>
      </c>
      <c r="E39" s="42">
        <v>3</v>
      </c>
      <c r="F39" s="42" t="s">
        <v>228</v>
      </c>
      <c r="G39" s="42" t="s">
        <v>228</v>
      </c>
      <c r="H39" s="42" t="s">
        <v>179</v>
      </c>
      <c r="I39" s="60"/>
      <c r="J39" s="60">
        <v>4</v>
      </c>
      <c r="K39" s="25" t="str">
        <f>VLOOKUP(J39,Key!$E$2:$F$9,2,FALSE)</f>
        <v>Commercial</v>
      </c>
      <c r="L39" s="42" t="s">
        <v>170</v>
      </c>
      <c r="M39" s="47" t="s">
        <v>171</v>
      </c>
      <c r="N39" s="45" t="s">
        <v>179</v>
      </c>
      <c r="O39" s="46"/>
      <c r="P39" s="46">
        <v>1</v>
      </c>
      <c r="Q39" s="25" t="str">
        <f>VLOOKUP(P39,Key!$E$2:$F$9,2,FALSE)</f>
        <v>Home</v>
      </c>
      <c r="R39" s="25" t="str">
        <f t="shared" si="0"/>
        <v>Commercial-Home</v>
      </c>
      <c r="S39" s="61"/>
      <c r="T39" s="61">
        <v>2</v>
      </c>
      <c r="U39" s="46">
        <v>3</v>
      </c>
      <c r="V39" s="46">
        <v>7</v>
      </c>
      <c r="W39" s="61"/>
      <c r="X39" s="61"/>
      <c r="Y39" s="48"/>
      <c r="Z39" s="63"/>
      <c r="AA39" s="25"/>
      <c r="AB39" s="25"/>
    </row>
    <row r="40" spans="2:28">
      <c r="B40" s="40">
        <v>0.76041666666666663</v>
      </c>
      <c r="C40" s="40"/>
      <c r="D40" s="45">
        <v>2</v>
      </c>
      <c r="E40" s="42">
        <v>7</v>
      </c>
      <c r="F40" s="42" t="s">
        <v>172</v>
      </c>
      <c r="G40" s="42" t="s">
        <v>172</v>
      </c>
      <c r="H40" s="42" t="s">
        <v>179</v>
      </c>
      <c r="I40" s="60"/>
      <c r="J40" s="60">
        <v>4</v>
      </c>
      <c r="K40" s="25" t="str">
        <f>VLOOKUP(J40,Key!$E$2:$F$9,2,FALSE)</f>
        <v>Commercial</v>
      </c>
      <c r="L40" s="42" t="s">
        <v>170</v>
      </c>
      <c r="M40" s="47" t="s">
        <v>171</v>
      </c>
      <c r="N40" s="45" t="s">
        <v>179</v>
      </c>
      <c r="O40" s="46"/>
      <c r="P40" s="46">
        <v>4</v>
      </c>
      <c r="Q40" s="25" t="str">
        <f>VLOOKUP(P40,Key!$E$2:$F$9,2,FALSE)</f>
        <v>Commercial</v>
      </c>
      <c r="R40" s="25" t="str">
        <f t="shared" si="0"/>
        <v>Commercial-Commercial</v>
      </c>
      <c r="S40" s="61"/>
      <c r="T40" s="61">
        <v>2.5</v>
      </c>
      <c r="U40" s="46">
        <v>1</v>
      </c>
      <c r="V40" s="46"/>
      <c r="W40" s="61"/>
      <c r="X40" s="61"/>
      <c r="Y40" s="48"/>
      <c r="Z40" s="63"/>
      <c r="AA40" s="25"/>
      <c r="AB40" s="25"/>
    </row>
    <row r="41" spans="2:28">
      <c r="B41" s="40">
        <v>0.77569444444444446</v>
      </c>
      <c r="C41" s="40"/>
      <c r="D41" s="44">
        <v>9</v>
      </c>
      <c r="E41" s="45">
        <v>1</v>
      </c>
      <c r="F41" s="42" t="s">
        <v>183</v>
      </c>
      <c r="G41" s="42" t="s">
        <v>183</v>
      </c>
      <c r="H41" s="42" t="s">
        <v>179</v>
      </c>
      <c r="I41" s="60"/>
      <c r="J41" s="60">
        <v>4</v>
      </c>
      <c r="K41" s="25" t="str">
        <f>VLOOKUP(J41,Key!$E$2:$F$9,2,FALSE)</f>
        <v>Commercial</v>
      </c>
      <c r="L41" s="42" t="s">
        <v>173</v>
      </c>
      <c r="M41" s="47" t="s">
        <v>167</v>
      </c>
      <c r="N41" s="45" t="s">
        <v>212</v>
      </c>
      <c r="O41" s="46"/>
      <c r="P41" s="46">
        <v>4</v>
      </c>
      <c r="Q41" s="25" t="str">
        <f>VLOOKUP(P41,Key!$E$2:$F$9,2,FALSE)</f>
        <v>Commercial</v>
      </c>
      <c r="R41" s="25" t="str">
        <f t="shared" si="0"/>
        <v>Commercial-Commercial</v>
      </c>
      <c r="S41" s="61"/>
      <c r="T41" s="61">
        <v>48</v>
      </c>
      <c r="U41" s="46">
        <v>4</v>
      </c>
      <c r="V41" s="46">
        <v>5</v>
      </c>
      <c r="W41" s="61"/>
      <c r="X41" s="61"/>
      <c r="Y41" s="48"/>
      <c r="Z41" s="63"/>
      <c r="AA41" s="25"/>
      <c r="AB41" s="25"/>
    </row>
    <row r="42" spans="2:28">
      <c r="B42" s="40">
        <v>0.78194444444444444</v>
      </c>
      <c r="C42" s="40"/>
      <c r="D42" s="44">
        <v>8</v>
      </c>
      <c r="E42" s="45">
        <v>2</v>
      </c>
      <c r="F42" s="42" t="s">
        <v>206</v>
      </c>
      <c r="G42" s="42" t="s">
        <v>171</v>
      </c>
      <c r="H42" s="42" t="s">
        <v>179</v>
      </c>
      <c r="I42" s="60"/>
      <c r="J42" s="60">
        <v>4</v>
      </c>
      <c r="K42" s="25" t="str">
        <f>VLOOKUP(J42,Key!$E$2:$F$9,2,FALSE)</f>
        <v>Commercial</v>
      </c>
      <c r="L42" s="42" t="s">
        <v>225</v>
      </c>
      <c r="M42" s="47" t="s">
        <v>171</v>
      </c>
      <c r="N42" s="45" t="s">
        <v>179</v>
      </c>
      <c r="O42" s="46"/>
      <c r="P42" s="46">
        <v>4</v>
      </c>
      <c r="Q42" s="25" t="str">
        <f>VLOOKUP(P42,Key!$E$2:$F$9,2,FALSE)</f>
        <v>Commercial</v>
      </c>
      <c r="R42" s="25" t="str">
        <f t="shared" si="0"/>
        <v>Commercial-Commercial</v>
      </c>
      <c r="S42" s="61"/>
      <c r="T42" s="61">
        <v>0.5</v>
      </c>
      <c r="U42" s="46">
        <v>4</v>
      </c>
      <c r="V42" s="46">
        <v>4</v>
      </c>
      <c r="W42" s="61"/>
      <c r="X42" s="61"/>
      <c r="Y42" s="48"/>
      <c r="Z42" s="63"/>
      <c r="AA42" s="25"/>
      <c r="AB42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95</v>
      </c>
      <c r="E1" s="34"/>
      <c r="F1" s="35" t="s">
        <v>112</v>
      </c>
      <c r="G1" s="36"/>
      <c r="H1" s="36" t="s">
        <v>120</v>
      </c>
      <c r="I1" s="36"/>
      <c r="J1" s="36" t="s">
        <v>127</v>
      </c>
      <c r="K1" s="36"/>
      <c r="L1" s="36"/>
      <c r="M1" s="36"/>
      <c r="N1" s="36"/>
      <c r="O1" s="36"/>
    </row>
    <row r="2" spans="1:15">
      <c r="A2">
        <v>1</v>
      </c>
      <c r="B2" s="33" t="s">
        <v>83</v>
      </c>
      <c r="C2" s="10">
        <v>1</v>
      </c>
      <c r="D2" s="33" t="s">
        <v>96</v>
      </c>
      <c r="E2" s="10">
        <v>1</v>
      </c>
      <c r="F2" t="s">
        <v>113</v>
      </c>
      <c r="G2">
        <v>1</v>
      </c>
      <c r="H2" s="19" t="s">
        <v>121</v>
      </c>
      <c r="I2">
        <v>1</v>
      </c>
      <c r="J2" s="19" t="s">
        <v>128</v>
      </c>
    </row>
    <row r="3" spans="1:15">
      <c r="A3">
        <v>2</v>
      </c>
      <c r="B3" s="33" t="s">
        <v>84</v>
      </c>
      <c r="C3" s="10">
        <v>2</v>
      </c>
      <c r="D3" s="33" t="s">
        <v>97</v>
      </c>
      <c r="E3" s="10">
        <v>2</v>
      </c>
      <c r="F3" t="s">
        <v>114</v>
      </c>
      <c r="G3">
        <v>2</v>
      </c>
      <c r="H3" s="19" t="s">
        <v>122</v>
      </c>
      <c r="I3">
        <v>2</v>
      </c>
      <c r="J3" s="19" t="s">
        <v>129</v>
      </c>
    </row>
    <row r="4" spans="1:15">
      <c r="A4">
        <v>3</v>
      </c>
      <c r="B4" s="33" t="s">
        <v>85</v>
      </c>
      <c r="C4" s="10">
        <v>3</v>
      </c>
      <c r="D4" s="33" t="s">
        <v>98</v>
      </c>
      <c r="E4" s="10">
        <v>3</v>
      </c>
      <c r="F4" t="s">
        <v>115</v>
      </c>
      <c r="G4">
        <v>3</v>
      </c>
      <c r="H4" s="19" t="s">
        <v>123</v>
      </c>
      <c r="I4">
        <v>3</v>
      </c>
      <c r="J4" s="19" t="s">
        <v>130</v>
      </c>
    </row>
    <row r="5" spans="1:15">
      <c r="A5">
        <v>4</v>
      </c>
      <c r="B5" s="33" t="s">
        <v>86</v>
      </c>
      <c r="C5" s="10">
        <v>4</v>
      </c>
      <c r="D5" s="33" t="s">
        <v>99</v>
      </c>
      <c r="E5" s="10">
        <v>4</v>
      </c>
      <c r="F5" t="s">
        <v>116</v>
      </c>
      <c r="G5">
        <v>4</v>
      </c>
      <c r="H5" s="19" t="s">
        <v>124</v>
      </c>
      <c r="I5">
        <v>4</v>
      </c>
      <c r="J5" s="37" t="s">
        <v>131</v>
      </c>
    </row>
    <row r="6" spans="1:15">
      <c r="A6">
        <v>5</v>
      </c>
      <c r="B6" s="33" t="s">
        <v>87</v>
      </c>
      <c r="C6" s="10">
        <v>5</v>
      </c>
      <c r="D6" s="33" t="s">
        <v>100</v>
      </c>
      <c r="E6" s="10">
        <v>5</v>
      </c>
      <c r="F6" t="s">
        <v>117</v>
      </c>
      <c r="G6">
        <v>5</v>
      </c>
      <c r="H6" s="19" t="s">
        <v>125</v>
      </c>
      <c r="I6">
        <v>5</v>
      </c>
      <c r="J6" s="19" t="s">
        <v>132</v>
      </c>
    </row>
    <row r="7" spans="1:15">
      <c r="A7">
        <v>6</v>
      </c>
      <c r="B7" s="33" t="s">
        <v>88</v>
      </c>
      <c r="C7" s="10">
        <v>6</v>
      </c>
      <c r="D7" s="33" t="s">
        <v>101</v>
      </c>
      <c r="E7" s="10">
        <v>6</v>
      </c>
      <c r="F7" t="s">
        <v>118</v>
      </c>
      <c r="G7">
        <v>6</v>
      </c>
      <c r="H7" s="19" t="s">
        <v>126</v>
      </c>
      <c r="I7">
        <v>6</v>
      </c>
      <c r="J7" s="19" t="s">
        <v>133</v>
      </c>
    </row>
    <row r="8" spans="1:15">
      <c r="A8">
        <v>7</v>
      </c>
      <c r="B8" s="33" t="s">
        <v>89</v>
      </c>
      <c r="C8" s="10">
        <v>7</v>
      </c>
      <c r="D8" s="33" t="s">
        <v>102</v>
      </c>
      <c r="E8" s="10">
        <v>7</v>
      </c>
      <c r="F8" t="s">
        <v>100</v>
      </c>
      <c r="I8">
        <v>7</v>
      </c>
      <c r="J8" s="19" t="s">
        <v>134</v>
      </c>
    </row>
    <row r="9" spans="1:15">
      <c r="A9">
        <v>8</v>
      </c>
      <c r="B9" s="33" t="s">
        <v>90</v>
      </c>
      <c r="C9" s="10">
        <v>8</v>
      </c>
      <c r="D9" s="33" t="s">
        <v>103</v>
      </c>
      <c r="E9" s="10">
        <v>8</v>
      </c>
      <c r="F9" t="s">
        <v>119</v>
      </c>
      <c r="I9">
        <v>8</v>
      </c>
      <c r="J9" s="19" t="s">
        <v>135</v>
      </c>
    </row>
    <row r="10" spans="1:15">
      <c r="A10">
        <v>9</v>
      </c>
      <c r="B10" s="33" t="s">
        <v>91</v>
      </c>
      <c r="C10" s="10">
        <v>9</v>
      </c>
      <c r="D10" s="33" t="s">
        <v>104</v>
      </c>
      <c r="E10" s="10"/>
      <c r="I10">
        <v>9</v>
      </c>
      <c r="J10" s="19" t="s">
        <v>136</v>
      </c>
    </row>
    <row r="11" spans="1:15">
      <c r="A11">
        <v>10</v>
      </c>
      <c r="B11" s="33" t="s">
        <v>92</v>
      </c>
      <c r="C11" s="10">
        <v>10</v>
      </c>
      <c r="D11" s="33" t="s">
        <v>105</v>
      </c>
      <c r="E11" s="10"/>
      <c r="I11">
        <v>10</v>
      </c>
      <c r="J11" s="37" t="s">
        <v>137</v>
      </c>
    </row>
    <row r="12" spans="1:15">
      <c r="A12">
        <v>11</v>
      </c>
      <c r="B12" s="33" t="s">
        <v>94</v>
      </c>
      <c r="C12" s="10">
        <v>11</v>
      </c>
      <c r="D12" s="33" t="s">
        <v>106</v>
      </c>
      <c r="E12" s="10"/>
      <c r="I12">
        <v>11</v>
      </c>
      <c r="J12" s="19" t="s">
        <v>138</v>
      </c>
    </row>
    <row r="13" spans="1:15">
      <c r="A13">
        <v>12</v>
      </c>
      <c r="B13" s="33" t="s">
        <v>93</v>
      </c>
      <c r="C13" s="10">
        <v>12</v>
      </c>
      <c r="D13" s="33" t="s">
        <v>107</v>
      </c>
      <c r="E13" s="10"/>
      <c r="I13">
        <v>12</v>
      </c>
      <c r="J13" s="19" t="s">
        <v>139</v>
      </c>
    </row>
    <row r="14" spans="1:15">
      <c r="C14" s="10">
        <v>13</v>
      </c>
      <c r="D14" s="19" t="s">
        <v>108</v>
      </c>
    </row>
    <row r="15" spans="1:15">
      <c r="B15" s="1"/>
      <c r="C15" s="10">
        <v>14</v>
      </c>
      <c r="D15" s="19" t="s">
        <v>109</v>
      </c>
    </row>
    <row r="16" spans="1:15">
      <c r="C16" s="10">
        <v>15</v>
      </c>
      <c r="D16" s="19" t="s">
        <v>110</v>
      </c>
    </row>
    <row r="17" spans="3:4">
      <c r="C17" s="10">
        <v>16</v>
      </c>
      <c r="D17" s="19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Analysis</vt:lpstr>
      <vt:lpstr>ALL DATA</vt:lpstr>
      <vt:lpstr>Zones</vt:lpstr>
      <vt:lpstr>Zone analysis</vt:lpstr>
      <vt:lpstr>01.08 Nimule-Atiak</vt:lpstr>
      <vt:lpstr>RSI FORM</vt:lpstr>
      <vt:lpstr>01.08 Atiak-Nimule</vt:lpstr>
      <vt:lpstr>02.08 Nimule-Atiak</vt:lpstr>
      <vt:lpstr>2.08 Atiak-Nimule</vt:lpstr>
      <vt:lpstr>03.08 Nimule-Atiak</vt:lpstr>
      <vt:lpstr>03.08 Atiak-Nimule</vt:lpstr>
      <vt:lpstr>Key</vt:lpstr>
      <vt:lpstr>Dist</vt:lpstr>
      <vt:lpstr>Jtime</vt:lpstr>
      <vt:lpstr>Pay</vt:lpstr>
      <vt:lpstr>Tripfreq</vt:lpstr>
      <vt:lpstr>Veh</vt:lpstr>
      <vt:lpstr>'01.08 Atiak-Nimule'!Veh_Type</vt:lpstr>
      <vt:lpstr>'03.08 Atiak-Nimule'!Veh_Type</vt:lpstr>
      <vt:lpstr>'2.08 Atiak-Nimule'!Veh_Type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2020-04-10T01:05:07Z</dcterms:modified>
</cp:coreProperties>
</file>