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STN140 NIMULE BORDER POST\MCC\"/>
    </mc:Choice>
  </mc:AlternateContent>
  <xr:revisionPtr revIDLastSave="0" documentId="13_ncr:1_{E35C782C-A588-4992-A99B-A4FB289E3A33}" xr6:coauthVersionLast="45" xr6:coauthVersionMax="45" xr10:uidLastSave="{00000000-0000-0000-0000-000000000000}"/>
  <bookViews>
    <workbookView xWindow="-120" yWindow="-120" windowWidth="20730" windowHeight="11160" tabRatio="930" firstSheet="11" activeTab="16" xr2:uid="{00000000-000D-0000-FFFF-FFFF00000000}"/>
  </bookViews>
  <sheets>
    <sheet name="31.07 NIMULE-GULU" sheetId="93" r:id="rId1"/>
    <sheet name="31.07 GULU-NIMULE" sheetId="94" r:id="rId2"/>
    <sheet name="01.07 NIMULE-GULU" sheetId="95" r:id="rId3"/>
    <sheet name="01.07 GULU-NIMULE" sheetId="96" r:id="rId4"/>
    <sheet name="02.07 NIMULE-GULU" sheetId="97" r:id="rId5"/>
    <sheet name="02.07 GULU-NIMULE" sheetId="98" r:id="rId6"/>
    <sheet name="03.07 NIMULE-GULU" sheetId="99" r:id="rId7"/>
    <sheet name="03.07 GULU-NIMULE" sheetId="100" r:id="rId8"/>
    <sheet name="04.07 NIMULE-GULU-24h" sheetId="101" r:id="rId9"/>
    <sheet name="04.07 GULU-NIMULE-24h" sheetId="109" r:id="rId10"/>
    <sheet name="05.07 NIMULE-GULU-24h" sheetId="105" r:id="rId11"/>
    <sheet name="05.07 GULU-NIMULE-24h" sheetId="110" r:id="rId12"/>
    <sheet name="06.07 NIMULE-GULU" sheetId="103" r:id="rId13"/>
    <sheet name="06.07 GULU-NIMULE" sheetId="104" r:id="rId14"/>
    <sheet name="Avg Week Nimule-Gulu" sheetId="107" r:id="rId15"/>
    <sheet name="Avg Week Gulu-Nimule" sheetId="108" r:id="rId16"/>
    <sheet name="Avg Week Nimule-Gulu-2Dir" sheetId="111" r:id="rId17"/>
  </sheets>
  <definedNames>
    <definedName name="_xlnm.Print_Area" localSheetId="3">'01.07 GULU-NIMULE'!$A$1:$AF$60</definedName>
    <definedName name="_xlnm.Print_Area" localSheetId="2">'01.07 NIMULE-GULU'!$A$1:$AF$60</definedName>
    <definedName name="_xlnm.Print_Area" localSheetId="5">'02.07 GULU-NIMULE'!$A$1:$AF$60</definedName>
    <definedName name="_xlnm.Print_Area" localSheetId="4">'02.07 NIMULE-GULU'!$A$1:$AF$60</definedName>
    <definedName name="_xlnm.Print_Area" localSheetId="7">'03.07 GULU-NIMULE'!$A$1:$AF$60</definedName>
    <definedName name="_xlnm.Print_Area" localSheetId="6">'03.07 NIMULE-GULU'!$A$1:$AF$60</definedName>
    <definedName name="_xlnm.Print_Area" localSheetId="9">'04.07 GULU-NIMULE-24h'!$A$1:$AF$108</definedName>
    <definedName name="_xlnm.Print_Area" localSheetId="8">'04.07 NIMULE-GULU-24h'!$A$1:$AF$108</definedName>
    <definedName name="_xlnm.Print_Area" localSheetId="11">'05.07 GULU-NIMULE-24h'!$A$1:$AF$108</definedName>
    <definedName name="_xlnm.Print_Area" localSheetId="10">'05.07 NIMULE-GULU-24h'!$A$1:$AF$108</definedName>
    <definedName name="_xlnm.Print_Area" localSheetId="13">'06.07 GULU-NIMULE'!$A$1:$AF$60</definedName>
    <definedName name="_xlnm.Print_Area" localSheetId="12">'06.07 NIMULE-GULU'!$A$1:$AF$60</definedName>
    <definedName name="_xlnm.Print_Area" localSheetId="1">'31.07 GULU-NIMULE'!$A$1:$AF$60</definedName>
    <definedName name="_xlnm.Print_Area" localSheetId="0">'31.07 NIMULE-GULU'!$A$1:$AF$60</definedName>
    <definedName name="_xlnm.Print_Area" localSheetId="15">'Avg Week Gulu-Nimule'!$A$1:$AF$108</definedName>
    <definedName name="_xlnm.Print_Area" localSheetId="14">'Avg Week Nimule-Gulu'!$A$1:$AF$108</definedName>
    <definedName name="_xlnm.Print_Area" localSheetId="16">'Avg Week Nimule-Gulu-2Dir'!$A$1:$AF$108</definedName>
    <definedName name="_xlnm.Print_Titles" localSheetId="3">'01.07 GULU-NIMULE'!$1:$8</definedName>
    <definedName name="_xlnm.Print_Titles" localSheetId="2">'01.07 NIMULE-GULU'!$1:$8</definedName>
    <definedName name="_xlnm.Print_Titles" localSheetId="5">'02.07 GULU-NIMULE'!$1:$8</definedName>
    <definedName name="_xlnm.Print_Titles" localSheetId="4">'02.07 NIMULE-GULU'!$1:$8</definedName>
    <definedName name="_xlnm.Print_Titles" localSheetId="7">'03.07 GULU-NIMULE'!$1:$8</definedName>
    <definedName name="_xlnm.Print_Titles" localSheetId="6">'03.07 NIMULE-GULU'!$1:$8</definedName>
    <definedName name="_xlnm.Print_Titles" localSheetId="9">'04.07 GULU-NIMULE-24h'!$1:$8</definedName>
    <definedName name="_xlnm.Print_Titles" localSheetId="8">'04.07 NIMULE-GULU-24h'!$1:$8</definedName>
    <definedName name="_xlnm.Print_Titles" localSheetId="11">'05.07 GULU-NIMULE-24h'!$1:$8</definedName>
    <definedName name="_xlnm.Print_Titles" localSheetId="10">'05.07 NIMULE-GULU-24h'!$1:$8</definedName>
    <definedName name="_xlnm.Print_Titles" localSheetId="13">'06.07 GULU-NIMULE'!$1:$8</definedName>
    <definedName name="_xlnm.Print_Titles" localSheetId="12">'06.07 NIMULE-GULU'!$1:$8</definedName>
    <definedName name="_xlnm.Print_Titles" localSheetId="1">'31.07 GULU-NIMULE'!$1:$8</definedName>
    <definedName name="_xlnm.Print_Titles" localSheetId="0">'31.07 NIMULE-GULU'!$1:$8</definedName>
    <definedName name="_xlnm.Print_Titles" localSheetId="15">'Avg Week Gulu-Nimule'!$1:$8</definedName>
    <definedName name="_xlnm.Print_Titles" localSheetId="14">'Avg Week Nimule-Gulu'!$1:$8</definedName>
    <definedName name="_xlnm.Print_Titles" localSheetId="16">'Avg Week Nimule-Gulu-2Dir'!$1:$8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59" i="111" l="1"/>
  <c r="G59" i="111"/>
  <c r="H59" i="111"/>
  <c r="C60" i="111"/>
  <c r="F60" i="111"/>
  <c r="K60" i="111"/>
  <c r="D61" i="111"/>
  <c r="G61" i="111"/>
  <c r="K61" i="111"/>
  <c r="L61" i="111"/>
  <c r="C62" i="111"/>
  <c r="J62" i="111"/>
  <c r="C63" i="111"/>
  <c r="H63" i="111"/>
  <c r="C64" i="111"/>
  <c r="F64" i="111"/>
  <c r="G64" i="111"/>
  <c r="K64" i="111"/>
  <c r="N64" i="111"/>
  <c r="G65" i="111"/>
  <c r="L65" i="111"/>
  <c r="C66" i="111"/>
  <c r="J66" i="111"/>
  <c r="K66" i="111"/>
  <c r="C67" i="111"/>
  <c r="G67" i="111"/>
  <c r="W24" i="111" s="1"/>
  <c r="F68" i="111"/>
  <c r="G68" i="111"/>
  <c r="N68" i="111"/>
  <c r="G69" i="111"/>
  <c r="K69" i="111"/>
  <c r="C70" i="111"/>
  <c r="J70" i="111"/>
  <c r="K70" i="111"/>
  <c r="G71" i="111"/>
  <c r="W25" i="111" s="1"/>
  <c r="C72" i="111"/>
  <c r="G72" i="111"/>
  <c r="K72" i="111"/>
  <c r="N72" i="111"/>
  <c r="K73" i="111"/>
  <c r="AA25" i="111" s="1"/>
  <c r="H74" i="111"/>
  <c r="K74" i="111"/>
  <c r="C75" i="111"/>
  <c r="G75" i="111"/>
  <c r="C76" i="111"/>
  <c r="K76" i="111"/>
  <c r="L76" i="111"/>
  <c r="G77" i="111"/>
  <c r="K77" i="111"/>
  <c r="C78" i="111"/>
  <c r="H78" i="111"/>
  <c r="C79" i="111"/>
  <c r="D79" i="111"/>
  <c r="C80" i="111"/>
  <c r="G80" i="111"/>
  <c r="K80" i="111"/>
  <c r="L80" i="111"/>
  <c r="G81" i="111"/>
  <c r="J81" i="111"/>
  <c r="C82" i="111"/>
  <c r="H82" i="111"/>
  <c r="K82" i="111"/>
  <c r="C83" i="111"/>
  <c r="G83" i="111"/>
  <c r="N83" i="111"/>
  <c r="G84" i="111"/>
  <c r="G85" i="111"/>
  <c r="J85" i="111"/>
  <c r="K85" i="111"/>
  <c r="C86" i="111"/>
  <c r="E86" i="111"/>
  <c r="K86" i="111"/>
  <c r="M86" i="111"/>
  <c r="AC29" i="111" s="1"/>
  <c r="C87" i="111"/>
  <c r="G87" i="111"/>
  <c r="H87" i="111"/>
  <c r="M87" i="111"/>
  <c r="C88" i="111"/>
  <c r="G88" i="111"/>
  <c r="K88" i="111"/>
  <c r="E89" i="111"/>
  <c r="G89" i="111"/>
  <c r="K89" i="111"/>
  <c r="L89" i="111"/>
  <c r="C90" i="111"/>
  <c r="E90" i="111"/>
  <c r="H90" i="111"/>
  <c r="K90" i="111"/>
  <c r="M90" i="111"/>
  <c r="C91" i="111"/>
  <c r="G91" i="111"/>
  <c r="I91" i="111"/>
  <c r="C92" i="111"/>
  <c r="E92" i="111"/>
  <c r="G92" i="111"/>
  <c r="K92" i="111"/>
  <c r="L92" i="111"/>
  <c r="E93" i="111"/>
  <c r="G93" i="111"/>
  <c r="W30" i="111" s="1"/>
  <c r="K93" i="111"/>
  <c r="C94" i="111"/>
  <c r="S31" i="111" s="1"/>
  <c r="I94" i="111"/>
  <c r="K94" i="111"/>
  <c r="C95" i="111"/>
  <c r="D95" i="111"/>
  <c r="G95" i="111"/>
  <c r="I95" i="111"/>
  <c r="L95" i="111"/>
  <c r="C96" i="111"/>
  <c r="E96" i="111"/>
  <c r="G96" i="111"/>
  <c r="K96" i="111"/>
  <c r="M96" i="111"/>
  <c r="G97" i="111"/>
  <c r="I97" i="111"/>
  <c r="K97" i="111"/>
  <c r="C98" i="111"/>
  <c r="I98" i="111"/>
  <c r="K98" i="111"/>
  <c r="AA32" i="111" s="1"/>
  <c r="C99" i="111"/>
  <c r="G99" i="111"/>
  <c r="M99" i="111"/>
  <c r="C100" i="111"/>
  <c r="G100" i="111"/>
  <c r="K100" i="111"/>
  <c r="M100" i="111"/>
  <c r="D101" i="111"/>
  <c r="G101" i="111"/>
  <c r="I101" i="111"/>
  <c r="K101" i="111"/>
  <c r="C102" i="111"/>
  <c r="E102" i="111"/>
  <c r="K102" i="111"/>
  <c r="M102" i="111"/>
  <c r="C103" i="111"/>
  <c r="G103" i="111"/>
  <c r="H103" i="111"/>
  <c r="M103" i="111"/>
  <c r="C104" i="111"/>
  <c r="G104" i="111"/>
  <c r="K104" i="111"/>
  <c r="E105" i="111"/>
  <c r="G105" i="111"/>
  <c r="K105" i="111"/>
  <c r="L105" i="111"/>
  <c r="I58" i="111"/>
  <c r="N58" i="111"/>
  <c r="C58" i="111"/>
  <c r="P65" i="108"/>
  <c r="P72" i="108"/>
  <c r="P87" i="108"/>
  <c r="P93" i="108"/>
  <c r="P100" i="108"/>
  <c r="O67" i="108"/>
  <c r="O73" i="108"/>
  <c r="O81" i="108"/>
  <c r="O95" i="108"/>
  <c r="O103" i="108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L60" i="111" s="1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V23" i="108" s="1"/>
  <c r="G62" i="108"/>
  <c r="H62" i="108"/>
  <c r="I62" i="108"/>
  <c r="J62" i="108"/>
  <c r="Z23" i="108" s="1"/>
  <c r="K62" i="108"/>
  <c r="L62" i="108"/>
  <c r="M62" i="108"/>
  <c r="N62" i="108"/>
  <c r="AD23" i="108" s="1"/>
  <c r="C63" i="108"/>
  <c r="D63" i="108"/>
  <c r="E63" i="108"/>
  <c r="F63" i="108"/>
  <c r="G63" i="108"/>
  <c r="H63" i="108"/>
  <c r="I63" i="108"/>
  <c r="J63" i="108"/>
  <c r="K63" i="108"/>
  <c r="L63" i="108"/>
  <c r="L63" i="111" s="1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L64" i="111" s="1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H66" i="111" s="1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L67" i="111" s="1"/>
  <c r="M67" i="108"/>
  <c r="N67" i="108"/>
  <c r="C68" i="108"/>
  <c r="D68" i="108"/>
  <c r="E68" i="108"/>
  <c r="F68" i="108"/>
  <c r="G68" i="108"/>
  <c r="H68" i="108"/>
  <c r="H68" i="111" s="1"/>
  <c r="I68" i="108"/>
  <c r="J68" i="108"/>
  <c r="K68" i="108"/>
  <c r="L68" i="108"/>
  <c r="L68" i="111" s="1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L71" i="111" s="1"/>
  <c r="M71" i="108"/>
  <c r="N71" i="108"/>
  <c r="C72" i="108"/>
  <c r="D72" i="108"/>
  <c r="E72" i="108"/>
  <c r="F72" i="108"/>
  <c r="G72" i="108"/>
  <c r="H72" i="108"/>
  <c r="H72" i="111" s="1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H76" i="111" s="1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L79" i="111" s="1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D82" i="111" s="1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L83" i="111" s="1"/>
  <c r="M83" i="108"/>
  <c r="N83" i="108"/>
  <c r="C84" i="108"/>
  <c r="D84" i="108"/>
  <c r="E84" i="108"/>
  <c r="F84" i="108"/>
  <c r="G84" i="108"/>
  <c r="H84" i="108"/>
  <c r="H84" i="111" s="1"/>
  <c r="I84" i="108"/>
  <c r="J84" i="108"/>
  <c r="K84" i="108"/>
  <c r="L84" i="108"/>
  <c r="L84" i="111" s="1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AD29" i="108" s="1"/>
  <c r="C87" i="108"/>
  <c r="D87" i="108"/>
  <c r="E87" i="108"/>
  <c r="F87" i="108"/>
  <c r="G87" i="108"/>
  <c r="H87" i="108"/>
  <c r="I87" i="108"/>
  <c r="J87" i="108"/>
  <c r="K87" i="108"/>
  <c r="L87" i="108"/>
  <c r="L87" i="111" s="1"/>
  <c r="M87" i="108"/>
  <c r="N87" i="108"/>
  <c r="C88" i="108"/>
  <c r="D88" i="108"/>
  <c r="E88" i="108"/>
  <c r="F88" i="108"/>
  <c r="G88" i="108"/>
  <c r="H88" i="108"/>
  <c r="H88" i="111" s="1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H91" i="111" s="1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H92" i="111" s="1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L93" i="111" s="1"/>
  <c r="M93" i="108"/>
  <c r="N93" i="108"/>
  <c r="C94" i="108"/>
  <c r="D94" i="108"/>
  <c r="E94" i="108"/>
  <c r="F94" i="108"/>
  <c r="G94" i="108"/>
  <c r="H94" i="108"/>
  <c r="H94" i="111" s="1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H95" i="111" s="1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L96" i="111" s="1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L97" i="111" s="1"/>
  <c r="M97" i="108"/>
  <c r="N97" i="108"/>
  <c r="C98" i="108"/>
  <c r="D98" i="108"/>
  <c r="D98" i="111" s="1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L99" i="111" s="1"/>
  <c r="M99" i="108"/>
  <c r="N99" i="108"/>
  <c r="C100" i="108"/>
  <c r="D100" i="108"/>
  <c r="E100" i="108"/>
  <c r="F100" i="108"/>
  <c r="G100" i="108"/>
  <c r="H100" i="108"/>
  <c r="H100" i="111" s="1"/>
  <c r="I100" i="108"/>
  <c r="J100" i="108"/>
  <c r="K100" i="108"/>
  <c r="L100" i="108"/>
  <c r="L100" i="111" s="1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D102" i="111" s="1"/>
  <c r="E102" i="108"/>
  <c r="F102" i="108"/>
  <c r="G102" i="108"/>
  <c r="H102" i="108"/>
  <c r="I102" i="108"/>
  <c r="J102" i="108"/>
  <c r="K102" i="108"/>
  <c r="L102" i="108"/>
  <c r="M102" i="108"/>
  <c r="N102" i="108"/>
  <c r="AD33" i="108" s="1"/>
  <c r="C103" i="108"/>
  <c r="D103" i="108"/>
  <c r="E103" i="108"/>
  <c r="F103" i="108"/>
  <c r="G103" i="108"/>
  <c r="H103" i="108"/>
  <c r="I103" i="108"/>
  <c r="J103" i="108"/>
  <c r="K103" i="108"/>
  <c r="L103" i="108"/>
  <c r="L103" i="111" s="1"/>
  <c r="M103" i="108"/>
  <c r="N103" i="108"/>
  <c r="C104" i="108"/>
  <c r="D104" i="108"/>
  <c r="E104" i="108"/>
  <c r="F104" i="108"/>
  <c r="G104" i="108"/>
  <c r="H104" i="108"/>
  <c r="H104" i="111" s="1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W22" i="108" s="1"/>
  <c r="H58" i="108"/>
  <c r="I58" i="108"/>
  <c r="Y22" i="108" s="1"/>
  <c r="J58" i="108"/>
  <c r="K58" i="108"/>
  <c r="AA22" i="108" s="1"/>
  <c r="L58" i="108"/>
  <c r="M58" i="108"/>
  <c r="N58" i="108"/>
  <c r="C58" i="108"/>
  <c r="P62" i="107"/>
  <c r="P69" i="107"/>
  <c r="P75" i="107"/>
  <c r="P83" i="107"/>
  <c r="P90" i="107"/>
  <c r="P97" i="107"/>
  <c r="P105" i="107"/>
  <c r="O63" i="107"/>
  <c r="O69" i="107"/>
  <c r="O75" i="107"/>
  <c r="O80" i="107"/>
  <c r="O85" i="107"/>
  <c r="O91" i="107"/>
  <c r="O96" i="107"/>
  <c r="O101" i="107"/>
  <c r="C59" i="107"/>
  <c r="D59" i="107"/>
  <c r="E59" i="107"/>
  <c r="E59" i="111" s="1"/>
  <c r="F59" i="107"/>
  <c r="F59" i="111" s="1"/>
  <c r="G59" i="107"/>
  <c r="H59" i="107"/>
  <c r="I59" i="107"/>
  <c r="I59" i="111" s="1"/>
  <c r="J59" i="107"/>
  <c r="J59" i="111" s="1"/>
  <c r="K59" i="107"/>
  <c r="K59" i="111" s="1"/>
  <c r="L59" i="107"/>
  <c r="M59" i="107"/>
  <c r="M59" i="111" s="1"/>
  <c r="N59" i="107"/>
  <c r="N59" i="111" s="1"/>
  <c r="C60" i="107"/>
  <c r="D60" i="107"/>
  <c r="E60" i="107"/>
  <c r="E60" i="111" s="1"/>
  <c r="F60" i="107"/>
  <c r="G60" i="107"/>
  <c r="G60" i="111" s="1"/>
  <c r="H60" i="107"/>
  <c r="H60" i="111" s="1"/>
  <c r="I60" i="107"/>
  <c r="I60" i="111" s="1"/>
  <c r="J60" i="107"/>
  <c r="J60" i="111" s="1"/>
  <c r="K60" i="107"/>
  <c r="L60" i="107"/>
  <c r="M60" i="107"/>
  <c r="M60" i="111" s="1"/>
  <c r="N60" i="107"/>
  <c r="N60" i="111" s="1"/>
  <c r="C61" i="107"/>
  <c r="C61" i="111" s="1"/>
  <c r="D61" i="107"/>
  <c r="E61" i="107"/>
  <c r="E61" i="111" s="1"/>
  <c r="F61" i="107"/>
  <c r="F61" i="111" s="1"/>
  <c r="G61" i="107"/>
  <c r="H61" i="107"/>
  <c r="I61" i="107"/>
  <c r="I61" i="111" s="1"/>
  <c r="J61" i="107"/>
  <c r="J61" i="111" s="1"/>
  <c r="K61" i="107"/>
  <c r="L61" i="107"/>
  <c r="M61" i="107"/>
  <c r="M61" i="111" s="1"/>
  <c r="N61" i="107"/>
  <c r="N61" i="111" s="1"/>
  <c r="C62" i="107"/>
  <c r="D62" i="107"/>
  <c r="E62" i="107"/>
  <c r="E62" i="111" s="1"/>
  <c r="F62" i="107"/>
  <c r="V23" i="107" s="1"/>
  <c r="G62" i="107"/>
  <c r="G62" i="111" s="1"/>
  <c r="H62" i="107"/>
  <c r="I62" i="107"/>
  <c r="I62" i="111" s="1"/>
  <c r="J62" i="107"/>
  <c r="Z23" i="107" s="1"/>
  <c r="K62" i="107"/>
  <c r="K62" i="111" s="1"/>
  <c r="L62" i="107"/>
  <c r="M62" i="107"/>
  <c r="M62" i="111" s="1"/>
  <c r="N62" i="107"/>
  <c r="N62" i="111" s="1"/>
  <c r="C63" i="107"/>
  <c r="D63" i="107"/>
  <c r="P63" i="107" s="1"/>
  <c r="E63" i="107"/>
  <c r="E63" i="111" s="1"/>
  <c r="F63" i="107"/>
  <c r="F63" i="111" s="1"/>
  <c r="G63" i="107"/>
  <c r="G63" i="111" s="1"/>
  <c r="W23" i="111" s="1"/>
  <c r="H63" i="107"/>
  <c r="I63" i="107"/>
  <c r="I63" i="111" s="1"/>
  <c r="J63" i="107"/>
  <c r="J63" i="111" s="1"/>
  <c r="K63" i="107"/>
  <c r="K63" i="111" s="1"/>
  <c r="L63" i="107"/>
  <c r="M63" i="107"/>
  <c r="M63" i="111" s="1"/>
  <c r="N63" i="107"/>
  <c r="N63" i="111" s="1"/>
  <c r="C64" i="107"/>
  <c r="D64" i="107"/>
  <c r="E64" i="107"/>
  <c r="E64" i="111" s="1"/>
  <c r="F64" i="107"/>
  <c r="G64" i="107"/>
  <c r="H64" i="107"/>
  <c r="I64" i="107"/>
  <c r="I64" i="111" s="1"/>
  <c r="J64" i="107"/>
  <c r="J64" i="111" s="1"/>
  <c r="K64" i="107"/>
  <c r="L64" i="107"/>
  <c r="M64" i="107"/>
  <c r="M64" i="111" s="1"/>
  <c r="N64" i="107"/>
  <c r="C65" i="107"/>
  <c r="C65" i="111" s="1"/>
  <c r="D65" i="107"/>
  <c r="E65" i="107"/>
  <c r="E65" i="111" s="1"/>
  <c r="F65" i="107"/>
  <c r="F65" i="111" s="1"/>
  <c r="G65" i="107"/>
  <c r="H65" i="107"/>
  <c r="I65" i="107"/>
  <c r="I65" i="111" s="1"/>
  <c r="J65" i="107"/>
  <c r="J65" i="111" s="1"/>
  <c r="K65" i="107"/>
  <c r="K65" i="111" s="1"/>
  <c r="L65" i="107"/>
  <c r="M65" i="107"/>
  <c r="M65" i="111" s="1"/>
  <c r="N65" i="107"/>
  <c r="N65" i="111" s="1"/>
  <c r="C66" i="107"/>
  <c r="P66" i="107" s="1"/>
  <c r="D66" i="107"/>
  <c r="E66" i="107"/>
  <c r="E66" i="111" s="1"/>
  <c r="F66" i="107"/>
  <c r="F66" i="111" s="1"/>
  <c r="G66" i="107"/>
  <c r="G66" i="111" s="1"/>
  <c r="H66" i="107"/>
  <c r="I66" i="107"/>
  <c r="J66" i="107"/>
  <c r="K66" i="107"/>
  <c r="L66" i="107"/>
  <c r="M66" i="107"/>
  <c r="M66" i="111" s="1"/>
  <c r="N66" i="107"/>
  <c r="N66" i="111" s="1"/>
  <c r="C67" i="107"/>
  <c r="D67" i="107"/>
  <c r="E67" i="107"/>
  <c r="E67" i="111" s="1"/>
  <c r="F67" i="107"/>
  <c r="F67" i="111" s="1"/>
  <c r="G67" i="107"/>
  <c r="H67" i="107"/>
  <c r="I67" i="107"/>
  <c r="I67" i="111" s="1"/>
  <c r="J67" i="107"/>
  <c r="J67" i="111" s="1"/>
  <c r="K67" i="107"/>
  <c r="K67" i="111" s="1"/>
  <c r="L67" i="107"/>
  <c r="M67" i="107"/>
  <c r="M67" i="111" s="1"/>
  <c r="N67" i="107"/>
  <c r="N67" i="111" s="1"/>
  <c r="C68" i="107"/>
  <c r="D68" i="107"/>
  <c r="E68" i="107"/>
  <c r="E68" i="111" s="1"/>
  <c r="F68" i="107"/>
  <c r="O68" i="107" s="1"/>
  <c r="G68" i="107"/>
  <c r="H68" i="107"/>
  <c r="I68" i="107"/>
  <c r="I68" i="111" s="1"/>
  <c r="J68" i="107"/>
  <c r="J68" i="111" s="1"/>
  <c r="K68" i="107"/>
  <c r="K68" i="111" s="1"/>
  <c r="L68" i="107"/>
  <c r="M68" i="107"/>
  <c r="M68" i="111" s="1"/>
  <c r="N68" i="107"/>
  <c r="C69" i="107"/>
  <c r="C69" i="111" s="1"/>
  <c r="D69" i="107"/>
  <c r="D69" i="111" s="1"/>
  <c r="E69" i="107"/>
  <c r="E69" i="111" s="1"/>
  <c r="F69" i="107"/>
  <c r="F69" i="111" s="1"/>
  <c r="G69" i="107"/>
  <c r="H69" i="107"/>
  <c r="I69" i="107"/>
  <c r="I69" i="111" s="1"/>
  <c r="J69" i="107"/>
  <c r="J69" i="111" s="1"/>
  <c r="K69" i="107"/>
  <c r="L69" i="107"/>
  <c r="M69" i="107"/>
  <c r="M69" i="111" s="1"/>
  <c r="N69" i="107"/>
  <c r="N69" i="111" s="1"/>
  <c r="C70" i="107"/>
  <c r="O70" i="107" s="1"/>
  <c r="D70" i="107"/>
  <c r="P70" i="107" s="1"/>
  <c r="E70" i="107"/>
  <c r="E70" i="111" s="1"/>
  <c r="F70" i="107"/>
  <c r="F70" i="111" s="1"/>
  <c r="G70" i="107"/>
  <c r="G70" i="111" s="1"/>
  <c r="H70" i="107"/>
  <c r="I70" i="107"/>
  <c r="I70" i="111" s="1"/>
  <c r="Y25" i="111" s="1"/>
  <c r="J70" i="107"/>
  <c r="K70" i="107"/>
  <c r="L70" i="107"/>
  <c r="M70" i="107"/>
  <c r="M70" i="111" s="1"/>
  <c r="N70" i="107"/>
  <c r="N70" i="111" s="1"/>
  <c r="C71" i="107"/>
  <c r="C71" i="111" s="1"/>
  <c r="D71" i="107"/>
  <c r="O71" i="107" s="1"/>
  <c r="E71" i="107"/>
  <c r="E71" i="111" s="1"/>
  <c r="F71" i="107"/>
  <c r="F71" i="111" s="1"/>
  <c r="G71" i="107"/>
  <c r="H71" i="107"/>
  <c r="H71" i="111" s="1"/>
  <c r="I71" i="107"/>
  <c r="I71" i="111" s="1"/>
  <c r="J71" i="107"/>
  <c r="J71" i="111" s="1"/>
  <c r="K71" i="107"/>
  <c r="K71" i="111" s="1"/>
  <c r="L71" i="107"/>
  <c r="M71" i="107"/>
  <c r="M71" i="111" s="1"/>
  <c r="N71" i="107"/>
  <c r="N71" i="111" s="1"/>
  <c r="C72" i="107"/>
  <c r="D72" i="107"/>
  <c r="E72" i="107"/>
  <c r="E72" i="111" s="1"/>
  <c r="F72" i="107"/>
  <c r="F72" i="111" s="1"/>
  <c r="G72" i="107"/>
  <c r="H72" i="107"/>
  <c r="I72" i="107"/>
  <c r="I72" i="111" s="1"/>
  <c r="J72" i="107"/>
  <c r="J72" i="111" s="1"/>
  <c r="K72" i="107"/>
  <c r="L72" i="107"/>
  <c r="M72" i="107"/>
  <c r="M72" i="111" s="1"/>
  <c r="N72" i="107"/>
  <c r="C73" i="107"/>
  <c r="C73" i="111" s="1"/>
  <c r="D73" i="107"/>
  <c r="D73" i="111" s="1"/>
  <c r="E73" i="107"/>
  <c r="E73" i="111" s="1"/>
  <c r="F73" i="107"/>
  <c r="F73" i="111" s="1"/>
  <c r="G73" i="107"/>
  <c r="G73" i="111" s="1"/>
  <c r="H73" i="107"/>
  <c r="I73" i="107"/>
  <c r="I73" i="111" s="1"/>
  <c r="J73" i="107"/>
  <c r="J73" i="111" s="1"/>
  <c r="K73" i="107"/>
  <c r="L73" i="107"/>
  <c r="L73" i="111" s="1"/>
  <c r="M73" i="107"/>
  <c r="M73" i="111" s="1"/>
  <c r="N73" i="107"/>
  <c r="N73" i="111" s="1"/>
  <c r="C74" i="107"/>
  <c r="C74" i="111" s="1"/>
  <c r="D74" i="107"/>
  <c r="E74" i="107"/>
  <c r="E74" i="111" s="1"/>
  <c r="F74" i="107"/>
  <c r="F74" i="111" s="1"/>
  <c r="G74" i="107"/>
  <c r="G74" i="111" s="1"/>
  <c r="H74" i="107"/>
  <c r="I74" i="107"/>
  <c r="I74" i="111" s="1"/>
  <c r="J74" i="107"/>
  <c r="J74" i="111" s="1"/>
  <c r="K74" i="107"/>
  <c r="L74" i="107"/>
  <c r="M74" i="107"/>
  <c r="N74" i="107"/>
  <c r="N74" i="111" s="1"/>
  <c r="C75" i="107"/>
  <c r="D75" i="107"/>
  <c r="E75" i="107"/>
  <c r="E75" i="111" s="1"/>
  <c r="F75" i="107"/>
  <c r="F75" i="111" s="1"/>
  <c r="G75" i="107"/>
  <c r="H75" i="107"/>
  <c r="H75" i="111" s="1"/>
  <c r="I75" i="107"/>
  <c r="I75" i="111" s="1"/>
  <c r="J75" i="107"/>
  <c r="J75" i="111" s="1"/>
  <c r="K75" i="107"/>
  <c r="K75" i="111" s="1"/>
  <c r="L75" i="107"/>
  <c r="M75" i="107"/>
  <c r="M75" i="111" s="1"/>
  <c r="N75" i="107"/>
  <c r="N75" i="111" s="1"/>
  <c r="C76" i="107"/>
  <c r="D76" i="107"/>
  <c r="E76" i="107"/>
  <c r="E76" i="111" s="1"/>
  <c r="F76" i="107"/>
  <c r="F76" i="111" s="1"/>
  <c r="G76" i="107"/>
  <c r="G76" i="111" s="1"/>
  <c r="H76" i="107"/>
  <c r="I76" i="107"/>
  <c r="I76" i="111" s="1"/>
  <c r="J76" i="107"/>
  <c r="J76" i="111" s="1"/>
  <c r="K76" i="107"/>
  <c r="L76" i="107"/>
  <c r="M76" i="107"/>
  <c r="M76" i="111" s="1"/>
  <c r="N76" i="107"/>
  <c r="N76" i="111" s="1"/>
  <c r="C77" i="107"/>
  <c r="C77" i="111" s="1"/>
  <c r="D77" i="107"/>
  <c r="D77" i="111" s="1"/>
  <c r="E77" i="107"/>
  <c r="E77" i="111" s="1"/>
  <c r="F77" i="107"/>
  <c r="F77" i="111" s="1"/>
  <c r="G77" i="107"/>
  <c r="H77" i="107"/>
  <c r="I77" i="107"/>
  <c r="I77" i="111" s="1"/>
  <c r="J77" i="107"/>
  <c r="J77" i="111" s="1"/>
  <c r="K77" i="107"/>
  <c r="L77" i="107"/>
  <c r="L77" i="111" s="1"/>
  <c r="M77" i="107"/>
  <c r="M77" i="111" s="1"/>
  <c r="N77" i="107"/>
  <c r="N77" i="111" s="1"/>
  <c r="C78" i="107"/>
  <c r="O78" i="107" s="1"/>
  <c r="D78" i="107"/>
  <c r="E78" i="107"/>
  <c r="F78" i="107"/>
  <c r="V27" i="107" s="1"/>
  <c r="G78" i="107"/>
  <c r="G78" i="111" s="1"/>
  <c r="H78" i="107"/>
  <c r="I78" i="107"/>
  <c r="J78" i="107"/>
  <c r="J78" i="111" s="1"/>
  <c r="K78" i="107"/>
  <c r="K78" i="111" s="1"/>
  <c r="L78" i="107"/>
  <c r="M78" i="107"/>
  <c r="N78" i="107"/>
  <c r="N78" i="111" s="1"/>
  <c r="C79" i="107"/>
  <c r="D79" i="107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M79" i="107"/>
  <c r="M79" i="111" s="1"/>
  <c r="N79" i="107"/>
  <c r="N79" i="111" s="1"/>
  <c r="C80" i="107"/>
  <c r="D80" i="107"/>
  <c r="E80" i="107"/>
  <c r="E80" i="111" s="1"/>
  <c r="F80" i="107"/>
  <c r="F80" i="111" s="1"/>
  <c r="G80" i="107"/>
  <c r="H80" i="107"/>
  <c r="I80" i="107"/>
  <c r="I80" i="111" s="1"/>
  <c r="J80" i="107"/>
  <c r="J80" i="111" s="1"/>
  <c r="K80" i="107"/>
  <c r="L80" i="107"/>
  <c r="M80" i="107"/>
  <c r="M80" i="111" s="1"/>
  <c r="N80" i="107"/>
  <c r="N80" i="111" s="1"/>
  <c r="C81" i="107"/>
  <c r="C81" i="111" s="1"/>
  <c r="D81" i="107"/>
  <c r="E81" i="107"/>
  <c r="E81" i="111" s="1"/>
  <c r="F81" i="107"/>
  <c r="F81" i="111" s="1"/>
  <c r="G81" i="107"/>
  <c r="H81" i="107"/>
  <c r="I81" i="107"/>
  <c r="I81" i="111" s="1"/>
  <c r="J81" i="107"/>
  <c r="K81" i="107"/>
  <c r="K81" i="111" s="1"/>
  <c r="L81" i="107"/>
  <c r="L81" i="111" s="1"/>
  <c r="M81" i="107"/>
  <c r="M81" i="111" s="1"/>
  <c r="N81" i="107"/>
  <c r="N81" i="111" s="1"/>
  <c r="C82" i="107"/>
  <c r="P82" i="107" s="1"/>
  <c r="D82" i="107"/>
  <c r="E82" i="107"/>
  <c r="E82" i="111" s="1"/>
  <c r="F82" i="107"/>
  <c r="F82" i="111" s="1"/>
  <c r="G82" i="107"/>
  <c r="G82" i="111" s="1"/>
  <c r="H82" i="107"/>
  <c r="I82" i="107"/>
  <c r="J82" i="107"/>
  <c r="J82" i="111" s="1"/>
  <c r="K82" i="107"/>
  <c r="L82" i="107"/>
  <c r="M82" i="107"/>
  <c r="M82" i="111" s="1"/>
  <c r="N82" i="107"/>
  <c r="N82" i="111" s="1"/>
  <c r="C83" i="107"/>
  <c r="D83" i="107"/>
  <c r="E83" i="107"/>
  <c r="E83" i="111" s="1"/>
  <c r="F83" i="107"/>
  <c r="F83" i="111" s="1"/>
  <c r="G83" i="107"/>
  <c r="H83" i="107"/>
  <c r="I83" i="107"/>
  <c r="I83" i="111" s="1"/>
  <c r="J83" i="107"/>
  <c r="J83" i="111" s="1"/>
  <c r="K83" i="107"/>
  <c r="K83" i="111" s="1"/>
  <c r="L83" i="107"/>
  <c r="M83" i="107"/>
  <c r="M83" i="111" s="1"/>
  <c r="N83" i="107"/>
  <c r="C84" i="107"/>
  <c r="D84" i="107"/>
  <c r="E84" i="107"/>
  <c r="E84" i="111" s="1"/>
  <c r="F84" i="107"/>
  <c r="F84" i="111" s="1"/>
  <c r="G84" i="107"/>
  <c r="H84" i="107"/>
  <c r="I84" i="107"/>
  <c r="I84" i="111" s="1"/>
  <c r="J84" i="107"/>
  <c r="J84" i="111" s="1"/>
  <c r="K84" i="107"/>
  <c r="K84" i="111" s="1"/>
  <c r="L84" i="107"/>
  <c r="M84" i="107"/>
  <c r="M84" i="111" s="1"/>
  <c r="N84" i="107"/>
  <c r="N84" i="111" s="1"/>
  <c r="C85" i="107"/>
  <c r="C85" i="111" s="1"/>
  <c r="D85" i="107"/>
  <c r="P85" i="107" s="1"/>
  <c r="E85" i="107"/>
  <c r="E85" i="111" s="1"/>
  <c r="F85" i="107"/>
  <c r="F85" i="111" s="1"/>
  <c r="G85" i="107"/>
  <c r="H85" i="107"/>
  <c r="I85" i="107"/>
  <c r="I85" i="111" s="1"/>
  <c r="J85" i="107"/>
  <c r="K85" i="107"/>
  <c r="L85" i="107"/>
  <c r="M85" i="107"/>
  <c r="M85" i="111" s="1"/>
  <c r="N85" i="107"/>
  <c r="N85" i="111" s="1"/>
  <c r="C86" i="107"/>
  <c r="O86" i="107" s="1"/>
  <c r="D86" i="107"/>
  <c r="E86" i="107"/>
  <c r="P86" i="107" s="1"/>
  <c r="F86" i="107"/>
  <c r="G86" i="107"/>
  <c r="G86" i="111" s="1"/>
  <c r="W29" i="111" s="1"/>
  <c r="H86" i="107"/>
  <c r="H86" i="111" s="1"/>
  <c r="I86" i="107"/>
  <c r="Y29" i="107" s="1"/>
  <c r="J86" i="107"/>
  <c r="K86" i="107"/>
  <c r="L86" i="107"/>
  <c r="M86" i="107"/>
  <c r="N86" i="107"/>
  <c r="C87" i="107"/>
  <c r="P87" i="107" s="1"/>
  <c r="D87" i="107"/>
  <c r="O87" i="107" s="1"/>
  <c r="E87" i="107"/>
  <c r="E87" i="111" s="1"/>
  <c r="F87" i="107"/>
  <c r="F87" i="111" s="1"/>
  <c r="G87" i="107"/>
  <c r="H87" i="107"/>
  <c r="I87" i="107"/>
  <c r="I87" i="111" s="1"/>
  <c r="J87" i="107"/>
  <c r="J87" i="111" s="1"/>
  <c r="K87" i="107"/>
  <c r="K87" i="111" s="1"/>
  <c r="L87" i="107"/>
  <c r="M87" i="107"/>
  <c r="N87" i="107"/>
  <c r="N87" i="111" s="1"/>
  <c r="C88" i="107"/>
  <c r="D88" i="107"/>
  <c r="E88" i="107"/>
  <c r="E88" i="111" s="1"/>
  <c r="F88" i="107"/>
  <c r="F88" i="111" s="1"/>
  <c r="G88" i="107"/>
  <c r="H88" i="107"/>
  <c r="I88" i="107"/>
  <c r="I88" i="111" s="1"/>
  <c r="J88" i="107"/>
  <c r="J88" i="111" s="1"/>
  <c r="K88" i="107"/>
  <c r="L88" i="107"/>
  <c r="L88" i="111" s="1"/>
  <c r="M88" i="107"/>
  <c r="M88" i="111" s="1"/>
  <c r="N88" i="107"/>
  <c r="N88" i="111" s="1"/>
  <c r="C89" i="107"/>
  <c r="C89" i="111" s="1"/>
  <c r="D89" i="107"/>
  <c r="E89" i="107"/>
  <c r="F89" i="107"/>
  <c r="F89" i="111" s="1"/>
  <c r="G89" i="107"/>
  <c r="H89" i="107"/>
  <c r="I89" i="107"/>
  <c r="I89" i="111" s="1"/>
  <c r="J89" i="107"/>
  <c r="J89" i="111" s="1"/>
  <c r="K89" i="107"/>
  <c r="L89" i="107"/>
  <c r="M89" i="107"/>
  <c r="M89" i="111" s="1"/>
  <c r="N89" i="107"/>
  <c r="N89" i="111" s="1"/>
  <c r="C90" i="107"/>
  <c r="O90" i="107" s="1"/>
  <c r="D90" i="107"/>
  <c r="E90" i="107"/>
  <c r="F90" i="107"/>
  <c r="F90" i="111" s="1"/>
  <c r="G90" i="107"/>
  <c r="G90" i="111" s="1"/>
  <c r="H90" i="107"/>
  <c r="I90" i="107"/>
  <c r="I90" i="111" s="1"/>
  <c r="J90" i="107"/>
  <c r="J90" i="111" s="1"/>
  <c r="K90" i="107"/>
  <c r="L90" i="107"/>
  <c r="M90" i="107"/>
  <c r="N90" i="107"/>
  <c r="N90" i="111" s="1"/>
  <c r="C91" i="107"/>
  <c r="D91" i="107"/>
  <c r="D91" i="111" s="1"/>
  <c r="E91" i="107"/>
  <c r="E91" i="111" s="1"/>
  <c r="F91" i="107"/>
  <c r="F91" i="111" s="1"/>
  <c r="G91" i="107"/>
  <c r="H91" i="107"/>
  <c r="I91" i="107"/>
  <c r="J91" i="107"/>
  <c r="J91" i="111" s="1"/>
  <c r="K91" i="107"/>
  <c r="K91" i="111" s="1"/>
  <c r="AA30" i="111" s="1"/>
  <c r="L91" i="107"/>
  <c r="L91" i="111" s="1"/>
  <c r="M91" i="107"/>
  <c r="M91" i="111" s="1"/>
  <c r="N91" i="107"/>
  <c r="N91" i="111" s="1"/>
  <c r="C92" i="107"/>
  <c r="D92" i="107"/>
  <c r="E92" i="107"/>
  <c r="F92" i="107"/>
  <c r="F92" i="111" s="1"/>
  <c r="G92" i="107"/>
  <c r="H92" i="107"/>
  <c r="I92" i="107"/>
  <c r="I92" i="111" s="1"/>
  <c r="J92" i="107"/>
  <c r="J92" i="111" s="1"/>
  <c r="K92" i="107"/>
  <c r="L92" i="107"/>
  <c r="M92" i="107"/>
  <c r="M92" i="111" s="1"/>
  <c r="N92" i="107"/>
  <c r="N92" i="111" s="1"/>
  <c r="C93" i="107"/>
  <c r="C93" i="111" s="1"/>
  <c r="D93" i="107"/>
  <c r="E93" i="107"/>
  <c r="O93" i="107" s="1"/>
  <c r="F93" i="107"/>
  <c r="F93" i="111" s="1"/>
  <c r="G93" i="107"/>
  <c r="H93" i="107"/>
  <c r="I93" i="107"/>
  <c r="I93" i="111" s="1"/>
  <c r="J93" i="107"/>
  <c r="J93" i="111" s="1"/>
  <c r="K93" i="107"/>
  <c r="L93" i="107"/>
  <c r="M93" i="107"/>
  <c r="M93" i="111" s="1"/>
  <c r="N93" i="107"/>
  <c r="N93" i="111" s="1"/>
  <c r="C94" i="107"/>
  <c r="O94" i="107" s="1"/>
  <c r="D94" i="107"/>
  <c r="D94" i="111" s="1"/>
  <c r="E94" i="107"/>
  <c r="U31" i="107" s="1"/>
  <c r="F94" i="107"/>
  <c r="F94" i="111" s="1"/>
  <c r="G94" i="107"/>
  <c r="G94" i="111" s="1"/>
  <c r="H94" i="107"/>
  <c r="I94" i="107"/>
  <c r="Y31" i="107" s="1"/>
  <c r="J94" i="107"/>
  <c r="J94" i="111" s="1"/>
  <c r="K94" i="107"/>
  <c r="L94" i="107"/>
  <c r="M94" i="107"/>
  <c r="AC31" i="107" s="1"/>
  <c r="N94" i="107"/>
  <c r="N94" i="111" s="1"/>
  <c r="C95" i="107"/>
  <c r="D95" i="107"/>
  <c r="E95" i="107"/>
  <c r="E95" i="111" s="1"/>
  <c r="F95" i="107"/>
  <c r="F95" i="111" s="1"/>
  <c r="G95" i="107"/>
  <c r="H95" i="107"/>
  <c r="I95" i="107"/>
  <c r="J95" i="107"/>
  <c r="J95" i="111" s="1"/>
  <c r="K95" i="107"/>
  <c r="K95" i="111" s="1"/>
  <c r="L95" i="107"/>
  <c r="M95" i="107"/>
  <c r="M95" i="111" s="1"/>
  <c r="N95" i="107"/>
  <c r="N95" i="111" s="1"/>
  <c r="C96" i="107"/>
  <c r="D96" i="107"/>
  <c r="E96" i="107"/>
  <c r="F96" i="107"/>
  <c r="F96" i="111" s="1"/>
  <c r="G96" i="107"/>
  <c r="H96" i="107"/>
  <c r="H96" i="111" s="1"/>
  <c r="I96" i="107"/>
  <c r="I96" i="111" s="1"/>
  <c r="J96" i="107"/>
  <c r="J96" i="111" s="1"/>
  <c r="K96" i="107"/>
  <c r="L96" i="107"/>
  <c r="M96" i="107"/>
  <c r="N96" i="107"/>
  <c r="N96" i="111" s="1"/>
  <c r="C97" i="107"/>
  <c r="C97" i="111" s="1"/>
  <c r="D97" i="107"/>
  <c r="D97" i="111" s="1"/>
  <c r="E97" i="107"/>
  <c r="E97" i="111" s="1"/>
  <c r="F97" i="107"/>
  <c r="F97" i="111" s="1"/>
  <c r="G97" i="107"/>
  <c r="H97" i="107"/>
  <c r="I97" i="107"/>
  <c r="J97" i="107"/>
  <c r="J97" i="111" s="1"/>
  <c r="K97" i="107"/>
  <c r="L97" i="107"/>
  <c r="M97" i="107"/>
  <c r="M97" i="111" s="1"/>
  <c r="N97" i="107"/>
  <c r="N97" i="111" s="1"/>
  <c r="C98" i="107"/>
  <c r="P98" i="107" s="1"/>
  <c r="D98" i="107"/>
  <c r="E98" i="107"/>
  <c r="E98" i="111" s="1"/>
  <c r="F98" i="107"/>
  <c r="F98" i="111" s="1"/>
  <c r="G98" i="107"/>
  <c r="G98" i="111" s="1"/>
  <c r="W32" i="111" s="1"/>
  <c r="H98" i="107"/>
  <c r="I98" i="107"/>
  <c r="J98" i="107"/>
  <c r="J98" i="111" s="1"/>
  <c r="K98" i="107"/>
  <c r="L98" i="107"/>
  <c r="M98" i="107"/>
  <c r="N98" i="107"/>
  <c r="N98" i="111" s="1"/>
  <c r="C99" i="107"/>
  <c r="D99" i="107"/>
  <c r="P99" i="107" s="1"/>
  <c r="E99" i="107"/>
  <c r="E99" i="111" s="1"/>
  <c r="F99" i="107"/>
  <c r="F99" i="111" s="1"/>
  <c r="G99" i="107"/>
  <c r="H99" i="107"/>
  <c r="H99" i="111" s="1"/>
  <c r="I99" i="107"/>
  <c r="I99" i="111" s="1"/>
  <c r="J99" i="107"/>
  <c r="J99" i="111" s="1"/>
  <c r="K99" i="107"/>
  <c r="K99" i="111" s="1"/>
  <c r="L99" i="107"/>
  <c r="M99" i="107"/>
  <c r="N99" i="107"/>
  <c r="N99" i="111" s="1"/>
  <c r="C100" i="107"/>
  <c r="D100" i="107"/>
  <c r="E100" i="107"/>
  <c r="E100" i="111" s="1"/>
  <c r="F100" i="107"/>
  <c r="F100" i="111" s="1"/>
  <c r="G100" i="107"/>
  <c r="H100" i="107"/>
  <c r="I100" i="107"/>
  <c r="I100" i="111" s="1"/>
  <c r="J100" i="107"/>
  <c r="J100" i="111" s="1"/>
  <c r="K100" i="107"/>
  <c r="L100" i="107"/>
  <c r="M100" i="107"/>
  <c r="N100" i="107"/>
  <c r="N100" i="111" s="1"/>
  <c r="C101" i="107"/>
  <c r="C101" i="111" s="1"/>
  <c r="S32" i="111" s="1"/>
  <c r="D101" i="107"/>
  <c r="E101" i="107"/>
  <c r="E101" i="111" s="1"/>
  <c r="F101" i="107"/>
  <c r="F101" i="111" s="1"/>
  <c r="G101" i="107"/>
  <c r="H101" i="107"/>
  <c r="I101" i="107"/>
  <c r="J101" i="107"/>
  <c r="J101" i="111" s="1"/>
  <c r="K101" i="107"/>
  <c r="L101" i="107"/>
  <c r="L101" i="111" s="1"/>
  <c r="M101" i="107"/>
  <c r="M101" i="111" s="1"/>
  <c r="N101" i="107"/>
  <c r="N101" i="111" s="1"/>
  <c r="C102" i="107"/>
  <c r="O102" i="107" s="1"/>
  <c r="D102" i="107"/>
  <c r="E102" i="107"/>
  <c r="F102" i="107"/>
  <c r="G102" i="107"/>
  <c r="G102" i="111" s="1"/>
  <c r="H102" i="107"/>
  <c r="H102" i="111" s="1"/>
  <c r="I102" i="107"/>
  <c r="I102" i="111" s="1"/>
  <c r="J102" i="107"/>
  <c r="K102" i="107"/>
  <c r="L102" i="107"/>
  <c r="M102" i="107"/>
  <c r="N102" i="107"/>
  <c r="C103" i="107"/>
  <c r="P103" i="107" s="1"/>
  <c r="D103" i="107"/>
  <c r="O103" i="107" s="1"/>
  <c r="E103" i="107"/>
  <c r="E103" i="111" s="1"/>
  <c r="F103" i="107"/>
  <c r="F103" i="111" s="1"/>
  <c r="G103" i="107"/>
  <c r="H103" i="107"/>
  <c r="I103" i="107"/>
  <c r="I103" i="111" s="1"/>
  <c r="J103" i="107"/>
  <c r="J103" i="111" s="1"/>
  <c r="K103" i="107"/>
  <c r="K103" i="111" s="1"/>
  <c r="L103" i="107"/>
  <c r="M103" i="107"/>
  <c r="N103" i="107"/>
  <c r="N103" i="111" s="1"/>
  <c r="C104" i="107"/>
  <c r="D104" i="107"/>
  <c r="E104" i="107"/>
  <c r="E104" i="111" s="1"/>
  <c r="F104" i="107"/>
  <c r="F104" i="111" s="1"/>
  <c r="G104" i="107"/>
  <c r="H104" i="107"/>
  <c r="I104" i="107"/>
  <c r="I104" i="111" s="1"/>
  <c r="J104" i="107"/>
  <c r="J104" i="111" s="1"/>
  <c r="K104" i="107"/>
  <c r="L104" i="107"/>
  <c r="L104" i="111" s="1"/>
  <c r="M104" i="107"/>
  <c r="M104" i="111" s="1"/>
  <c r="N104" i="107"/>
  <c r="N104" i="111" s="1"/>
  <c r="C105" i="107"/>
  <c r="C105" i="111" s="1"/>
  <c r="D105" i="107"/>
  <c r="E105" i="107"/>
  <c r="F105" i="107"/>
  <c r="F105" i="111" s="1"/>
  <c r="G105" i="107"/>
  <c r="H105" i="107"/>
  <c r="I105" i="107"/>
  <c r="I105" i="111" s="1"/>
  <c r="J105" i="107"/>
  <c r="J105" i="111" s="1"/>
  <c r="K105" i="107"/>
  <c r="L105" i="107"/>
  <c r="M105" i="107"/>
  <c r="M105" i="111" s="1"/>
  <c r="N105" i="107"/>
  <c r="N105" i="111" s="1"/>
  <c r="D58" i="107"/>
  <c r="D58" i="111" s="1"/>
  <c r="E58" i="107"/>
  <c r="F58" i="107"/>
  <c r="F58" i="111" s="1"/>
  <c r="G58" i="107"/>
  <c r="W22" i="107" s="1"/>
  <c r="H58" i="107"/>
  <c r="H58" i="111" s="1"/>
  <c r="I58" i="107"/>
  <c r="J58" i="107"/>
  <c r="J58" i="111" s="1"/>
  <c r="K58" i="107"/>
  <c r="L58" i="107"/>
  <c r="L58" i="111" s="1"/>
  <c r="M58" i="107"/>
  <c r="N58" i="107"/>
  <c r="C58" i="107"/>
  <c r="O58" i="107" s="1"/>
  <c r="Y23" i="111"/>
  <c r="U23" i="111"/>
  <c r="S25" i="111"/>
  <c r="Y26" i="111"/>
  <c r="W27" i="111"/>
  <c r="W28" i="111"/>
  <c r="S29" i="111"/>
  <c r="AA28" i="111"/>
  <c r="S23" i="111"/>
  <c r="AC33" i="107"/>
  <c r="AB33" i="107"/>
  <c r="AA33" i="107"/>
  <c r="Y33" i="107"/>
  <c r="X33" i="107"/>
  <c r="W33" i="107"/>
  <c r="U33" i="107"/>
  <c r="T33" i="107"/>
  <c r="S33" i="107"/>
  <c r="AB32" i="107"/>
  <c r="AA32" i="107"/>
  <c r="Y32" i="107"/>
  <c r="W32" i="107"/>
  <c r="T32" i="107"/>
  <c r="S32" i="107"/>
  <c r="AD31" i="107"/>
  <c r="AB31" i="107"/>
  <c r="AA31" i="107"/>
  <c r="Z31" i="107"/>
  <c r="X31" i="107"/>
  <c r="W31" i="107"/>
  <c r="V31" i="107"/>
  <c r="T31" i="107"/>
  <c r="S31" i="107"/>
  <c r="AC30" i="107"/>
  <c r="AA30" i="107"/>
  <c r="Y30" i="107"/>
  <c r="X30" i="107"/>
  <c r="W30" i="107"/>
  <c r="U30" i="107"/>
  <c r="T30" i="107"/>
  <c r="S30" i="107"/>
  <c r="AC29" i="107"/>
  <c r="AB29" i="107"/>
  <c r="AA29" i="107"/>
  <c r="X29" i="107"/>
  <c r="W29" i="107"/>
  <c r="U29" i="107"/>
  <c r="T29" i="107"/>
  <c r="S29" i="107"/>
  <c r="AC28" i="107"/>
  <c r="AB28" i="107"/>
  <c r="AA28" i="107"/>
  <c r="X28" i="107"/>
  <c r="W28" i="107"/>
  <c r="U28" i="107"/>
  <c r="S28" i="107"/>
  <c r="AD27" i="107"/>
  <c r="AB27" i="107"/>
  <c r="AA27" i="107"/>
  <c r="X27" i="107"/>
  <c r="W27" i="107"/>
  <c r="T27" i="107"/>
  <c r="S27" i="107"/>
  <c r="AB26" i="107"/>
  <c r="AA26" i="107"/>
  <c r="Y26" i="107"/>
  <c r="W26" i="107"/>
  <c r="T26" i="107"/>
  <c r="S26" i="107"/>
  <c r="AD25" i="107"/>
  <c r="AB25" i="107"/>
  <c r="AA25" i="107"/>
  <c r="Z25" i="107"/>
  <c r="X25" i="107"/>
  <c r="W25" i="107"/>
  <c r="V25" i="107"/>
  <c r="T25" i="107"/>
  <c r="S25" i="107"/>
  <c r="AC24" i="107"/>
  <c r="AB24" i="107"/>
  <c r="AA24" i="107"/>
  <c r="X24" i="107"/>
  <c r="W24" i="107"/>
  <c r="S24" i="107"/>
  <c r="AD23" i="107"/>
  <c r="AC23" i="107"/>
  <c r="AA23" i="107"/>
  <c r="Y23" i="107"/>
  <c r="W23" i="107"/>
  <c r="U23" i="107"/>
  <c r="S23" i="107"/>
  <c r="Y22" i="107"/>
  <c r="X22" i="107"/>
  <c r="V22" i="107"/>
  <c r="T22" i="107"/>
  <c r="AA33" i="108"/>
  <c r="Z33" i="108"/>
  <c r="W33" i="108"/>
  <c r="V33" i="108"/>
  <c r="T33" i="108"/>
  <c r="S33" i="108"/>
  <c r="AC32" i="108"/>
  <c r="AA32" i="108"/>
  <c r="Y32" i="108"/>
  <c r="W32" i="108"/>
  <c r="U32" i="108"/>
  <c r="T32" i="108"/>
  <c r="S32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C30" i="108"/>
  <c r="AA30" i="108"/>
  <c r="W30" i="108"/>
  <c r="U30" i="108"/>
  <c r="S30" i="108"/>
  <c r="AC29" i="108"/>
  <c r="AA29" i="108"/>
  <c r="Z29" i="108"/>
  <c r="Y29" i="108"/>
  <c r="W29" i="108"/>
  <c r="V29" i="108"/>
  <c r="U29" i="108"/>
  <c r="S29" i="108"/>
  <c r="AC28" i="108"/>
  <c r="AA28" i="108"/>
  <c r="Y28" i="108"/>
  <c r="W28" i="108"/>
  <c r="T28" i="108"/>
  <c r="S28" i="108"/>
  <c r="AC27" i="108"/>
  <c r="AB27" i="108"/>
  <c r="AA27" i="108"/>
  <c r="Y27" i="108"/>
  <c r="W27" i="108"/>
  <c r="U27" i="108"/>
  <c r="S27" i="108"/>
  <c r="AC26" i="108"/>
  <c r="AA26" i="108"/>
  <c r="W26" i="108"/>
  <c r="U26" i="108"/>
  <c r="S26" i="108"/>
  <c r="AD25" i="108"/>
  <c r="AA25" i="108"/>
  <c r="Z25" i="108"/>
  <c r="X25" i="108"/>
  <c r="W25" i="108"/>
  <c r="V25" i="108"/>
  <c r="S25" i="108"/>
  <c r="AC24" i="108"/>
  <c r="AA24" i="108"/>
  <c r="Y24" i="108"/>
  <c r="X24" i="108"/>
  <c r="W24" i="108"/>
  <c r="U24" i="108"/>
  <c r="S24" i="108"/>
  <c r="AC23" i="108"/>
  <c r="AA23" i="108"/>
  <c r="Y23" i="108"/>
  <c r="W23" i="108"/>
  <c r="U23" i="108"/>
  <c r="S23" i="108"/>
  <c r="V22" i="108"/>
  <c r="Y33" i="111" l="1"/>
  <c r="AE31" i="107"/>
  <c r="AE25" i="108"/>
  <c r="AC33" i="111"/>
  <c r="AA29" i="111"/>
  <c r="T31" i="111"/>
  <c r="AA33" i="111"/>
  <c r="U29" i="111"/>
  <c r="W31" i="111"/>
  <c r="AE30" i="107"/>
  <c r="AF28" i="107"/>
  <c r="AA27" i="111"/>
  <c r="S26" i="111"/>
  <c r="AA23" i="111"/>
  <c r="AC22" i="108"/>
  <c r="M58" i="111"/>
  <c r="U22" i="108"/>
  <c r="E58" i="111"/>
  <c r="U22" i="111" s="1"/>
  <c r="O105" i="108"/>
  <c r="D105" i="111"/>
  <c r="P105" i="108"/>
  <c r="O104" i="108"/>
  <c r="P104" i="108"/>
  <c r="P103" i="108"/>
  <c r="D103" i="111"/>
  <c r="AB33" i="108"/>
  <c r="X33" i="108"/>
  <c r="P101" i="108"/>
  <c r="O101" i="108"/>
  <c r="O100" i="108"/>
  <c r="O99" i="108"/>
  <c r="D99" i="111"/>
  <c r="T32" i="111" s="1"/>
  <c r="P99" i="108"/>
  <c r="AB32" i="108"/>
  <c r="X32" i="108"/>
  <c r="H98" i="111"/>
  <c r="O97" i="108"/>
  <c r="P97" i="108"/>
  <c r="P96" i="108"/>
  <c r="O96" i="108"/>
  <c r="P95" i="108"/>
  <c r="D93" i="111"/>
  <c r="O93" i="108"/>
  <c r="O92" i="108"/>
  <c r="P92" i="108"/>
  <c r="P91" i="108"/>
  <c r="O91" i="108"/>
  <c r="AB30" i="108"/>
  <c r="X30" i="108"/>
  <c r="T30" i="108"/>
  <c r="D90" i="111"/>
  <c r="O89" i="108"/>
  <c r="P89" i="108"/>
  <c r="D89" i="111"/>
  <c r="P88" i="108"/>
  <c r="AF29" i="108" s="1"/>
  <c r="D87" i="111"/>
  <c r="O87" i="108"/>
  <c r="AB29" i="108"/>
  <c r="X29" i="108"/>
  <c r="T29" i="108"/>
  <c r="D86" i="111"/>
  <c r="P85" i="108"/>
  <c r="O85" i="108"/>
  <c r="D85" i="111"/>
  <c r="O84" i="108"/>
  <c r="P84" i="108"/>
  <c r="O83" i="108"/>
  <c r="P83" i="108"/>
  <c r="AB28" i="108"/>
  <c r="X28" i="108"/>
  <c r="T28" i="111"/>
  <c r="P81" i="108"/>
  <c r="P80" i="108"/>
  <c r="O80" i="108"/>
  <c r="O79" i="108"/>
  <c r="X27" i="108"/>
  <c r="T27" i="108"/>
  <c r="O77" i="108"/>
  <c r="P77" i="108"/>
  <c r="O76" i="108"/>
  <c r="P76" i="108"/>
  <c r="P75" i="108"/>
  <c r="O75" i="108"/>
  <c r="AB26" i="108"/>
  <c r="X26" i="108"/>
  <c r="T26" i="108"/>
  <c r="D74" i="111"/>
  <c r="P73" i="108"/>
  <c r="O72" i="108"/>
  <c r="O71" i="108"/>
  <c r="D71" i="111"/>
  <c r="P71" i="111" s="1"/>
  <c r="P71" i="108"/>
  <c r="AB25" i="108"/>
  <c r="D70" i="111"/>
  <c r="T25" i="108"/>
  <c r="P69" i="108"/>
  <c r="O69" i="108"/>
  <c r="O68" i="108"/>
  <c r="P68" i="108"/>
  <c r="AF24" i="108" s="1"/>
  <c r="P67" i="108"/>
  <c r="D67" i="111"/>
  <c r="AB24" i="108"/>
  <c r="X24" i="111"/>
  <c r="D66" i="111"/>
  <c r="T24" i="108"/>
  <c r="O65" i="108"/>
  <c r="P64" i="108"/>
  <c r="O64" i="108"/>
  <c r="O63" i="108"/>
  <c r="D63" i="111"/>
  <c r="P63" i="108"/>
  <c r="AB23" i="108"/>
  <c r="H62" i="111"/>
  <c r="X23" i="108"/>
  <c r="T23" i="108"/>
  <c r="O61" i="108"/>
  <c r="P61" i="108"/>
  <c r="P60" i="108"/>
  <c r="AB22" i="108"/>
  <c r="X22" i="108"/>
  <c r="P59" i="108"/>
  <c r="O59" i="108"/>
  <c r="T22" i="108"/>
  <c r="O88" i="108"/>
  <c r="AE29" i="108" s="1"/>
  <c r="O60" i="108"/>
  <c r="P79" i="108"/>
  <c r="U33" i="111"/>
  <c r="Y31" i="111"/>
  <c r="D83" i="111"/>
  <c r="S27" i="111"/>
  <c r="W26" i="111"/>
  <c r="AA22" i="107"/>
  <c r="K58" i="111"/>
  <c r="N102" i="111"/>
  <c r="AD33" i="107"/>
  <c r="J102" i="111"/>
  <c r="Z33" i="107"/>
  <c r="F102" i="111"/>
  <c r="V33" i="107"/>
  <c r="N86" i="111"/>
  <c r="AD29" i="111" s="1"/>
  <c r="AD29" i="107"/>
  <c r="J86" i="111"/>
  <c r="Z29" i="107"/>
  <c r="F86" i="111"/>
  <c r="V29" i="107"/>
  <c r="O105" i="107"/>
  <c r="O100" i="107"/>
  <c r="O95" i="107"/>
  <c r="O89" i="107"/>
  <c r="AE29" i="107" s="1"/>
  <c r="O84" i="107"/>
  <c r="O79" i="107"/>
  <c r="O73" i="107"/>
  <c r="O62" i="107"/>
  <c r="P102" i="107"/>
  <c r="AF33" i="107" s="1"/>
  <c r="P95" i="107"/>
  <c r="P89" i="107"/>
  <c r="P81" i="107"/>
  <c r="P74" i="107"/>
  <c r="AF26" i="107" s="1"/>
  <c r="P67" i="107"/>
  <c r="P59" i="107"/>
  <c r="G58" i="111"/>
  <c r="W22" i="111" s="1"/>
  <c r="F78" i="111"/>
  <c r="O78" i="111" s="1"/>
  <c r="S22" i="107"/>
  <c r="Z27" i="107"/>
  <c r="AC32" i="107"/>
  <c r="I82" i="111"/>
  <c r="Y28" i="107"/>
  <c r="M78" i="111"/>
  <c r="AC27" i="111" s="1"/>
  <c r="AC27" i="107"/>
  <c r="I78" i="111"/>
  <c r="Y27" i="111" s="1"/>
  <c r="Y27" i="107"/>
  <c r="E78" i="111"/>
  <c r="U27" i="111" s="1"/>
  <c r="U27" i="107"/>
  <c r="M74" i="111"/>
  <c r="AC26" i="111" s="1"/>
  <c r="AC26" i="107"/>
  <c r="AC25" i="111"/>
  <c r="U25" i="111"/>
  <c r="I66" i="111"/>
  <c r="Y24" i="111" s="1"/>
  <c r="Y24" i="107"/>
  <c r="AC23" i="111"/>
  <c r="O104" i="107"/>
  <c r="AE33" i="107" s="1"/>
  <c r="O99" i="107"/>
  <c r="O88" i="107"/>
  <c r="O83" i="107"/>
  <c r="O77" i="107"/>
  <c r="O72" i="107"/>
  <c r="AE25" i="107" s="1"/>
  <c r="O67" i="107"/>
  <c r="O59" i="107"/>
  <c r="P101" i="107"/>
  <c r="P94" i="107"/>
  <c r="P79" i="107"/>
  <c r="P73" i="107"/>
  <c r="P65" i="107"/>
  <c r="P58" i="107"/>
  <c r="P58" i="108"/>
  <c r="O58" i="108"/>
  <c r="S22" i="108"/>
  <c r="AD32" i="108"/>
  <c r="Z32" i="108"/>
  <c r="V32" i="108"/>
  <c r="AD30" i="108"/>
  <c r="Z30" i="108"/>
  <c r="V30" i="108"/>
  <c r="AD28" i="108"/>
  <c r="Z28" i="108"/>
  <c r="V28" i="108"/>
  <c r="AD27" i="108"/>
  <c r="Z27" i="108"/>
  <c r="V27" i="108"/>
  <c r="AD26" i="108"/>
  <c r="Z26" i="108"/>
  <c r="V26" i="108"/>
  <c r="AD24" i="108"/>
  <c r="Z24" i="108"/>
  <c r="V24" i="108"/>
  <c r="AD22" i="108"/>
  <c r="Z22" i="108"/>
  <c r="S33" i="111"/>
  <c r="M94" i="111"/>
  <c r="AC31" i="111" s="1"/>
  <c r="E94" i="111"/>
  <c r="U31" i="111" s="1"/>
  <c r="I86" i="111"/>
  <c r="Y29" i="111" s="1"/>
  <c r="F62" i="111"/>
  <c r="AC22" i="107"/>
  <c r="U24" i="107"/>
  <c r="U25" i="107"/>
  <c r="Y25" i="107"/>
  <c r="AC25" i="107"/>
  <c r="U26" i="107"/>
  <c r="U32" i="107"/>
  <c r="U22" i="107"/>
  <c r="H105" i="111"/>
  <c r="D104" i="111"/>
  <c r="L102" i="111"/>
  <c r="AB33" i="111" s="1"/>
  <c r="H101" i="111"/>
  <c r="P101" i="111" s="1"/>
  <c r="D100" i="111"/>
  <c r="L98" i="111"/>
  <c r="X32" i="107"/>
  <c r="H97" i="111"/>
  <c r="D96" i="111"/>
  <c r="L94" i="111"/>
  <c r="H93" i="111"/>
  <c r="O93" i="111" s="1"/>
  <c r="D92" i="111"/>
  <c r="O92" i="111" s="1"/>
  <c r="L90" i="111"/>
  <c r="AB30" i="107"/>
  <c r="H89" i="111"/>
  <c r="O89" i="111" s="1"/>
  <c r="D88" i="111"/>
  <c r="P88" i="111" s="1"/>
  <c r="L86" i="111"/>
  <c r="AB29" i="111" s="1"/>
  <c r="L85" i="111"/>
  <c r="H85" i="111"/>
  <c r="D84" i="111"/>
  <c r="H83" i="111"/>
  <c r="L82" i="111"/>
  <c r="AB28" i="111" s="1"/>
  <c r="T28" i="107"/>
  <c r="H81" i="111"/>
  <c r="D81" i="111"/>
  <c r="H80" i="111"/>
  <c r="X27" i="111" s="1"/>
  <c r="D80" i="111"/>
  <c r="L78" i="111"/>
  <c r="AB27" i="111" s="1"/>
  <c r="D78" i="111"/>
  <c r="H77" i="111"/>
  <c r="D76" i="111"/>
  <c r="L75" i="111"/>
  <c r="D75" i="111"/>
  <c r="L74" i="111"/>
  <c r="X26" i="107"/>
  <c r="H73" i="111"/>
  <c r="L72" i="111"/>
  <c r="D72" i="111"/>
  <c r="L70" i="111"/>
  <c r="AB25" i="111" s="1"/>
  <c r="H70" i="111"/>
  <c r="X25" i="111" s="1"/>
  <c r="L69" i="111"/>
  <c r="H69" i="111"/>
  <c r="D68" i="111"/>
  <c r="H67" i="111"/>
  <c r="L66" i="111"/>
  <c r="AB24" i="111" s="1"/>
  <c r="T24" i="107"/>
  <c r="H65" i="111"/>
  <c r="D65" i="111"/>
  <c r="H64" i="111"/>
  <c r="D64" i="111"/>
  <c r="L62" i="111"/>
  <c r="AB23" i="111" s="1"/>
  <c r="AB23" i="107"/>
  <c r="X23" i="107"/>
  <c r="D62" i="111"/>
  <c r="T23" i="107"/>
  <c r="H61" i="111"/>
  <c r="D60" i="111"/>
  <c r="L59" i="111"/>
  <c r="AB22" i="111" s="1"/>
  <c r="AB22" i="107"/>
  <c r="D59" i="111"/>
  <c r="P59" i="111" s="1"/>
  <c r="O97" i="107"/>
  <c r="O92" i="107"/>
  <c r="O81" i="107"/>
  <c r="O76" i="107"/>
  <c r="AE26" i="107" s="1"/>
  <c r="O65" i="107"/>
  <c r="P91" i="107"/>
  <c r="AF30" i="107" s="1"/>
  <c r="P78" i="107"/>
  <c r="AC33" i="108"/>
  <c r="Y33" i="108"/>
  <c r="U33" i="108"/>
  <c r="Y30" i="108"/>
  <c r="U28" i="108"/>
  <c r="Y26" i="108"/>
  <c r="AC25" i="108"/>
  <c r="Y25" i="108"/>
  <c r="U25" i="108"/>
  <c r="M98" i="111"/>
  <c r="AA31" i="111"/>
  <c r="S30" i="111"/>
  <c r="AA26" i="111"/>
  <c r="AA24" i="111"/>
  <c r="P104" i="107"/>
  <c r="P100" i="107"/>
  <c r="P96" i="107"/>
  <c r="P92" i="107"/>
  <c r="P88" i="107"/>
  <c r="P84" i="107"/>
  <c r="P80" i="107"/>
  <c r="P76" i="107"/>
  <c r="P72" i="107"/>
  <c r="P68" i="107"/>
  <c r="P64" i="107"/>
  <c r="O64" i="107"/>
  <c r="P60" i="107"/>
  <c r="O60" i="107"/>
  <c r="AE22" i="107" s="1"/>
  <c r="O98" i="107"/>
  <c r="AE32" i="107" s="1"/>
  <c r="O82" i="107"/>
  <c r="O74" i="107"/>
  <c r="O66" i="107"/>
  <c r="AE24" i="107" s="1"/>
  <c r="O61" i="107"/>
  <c r="P93" i="107"/>
  <c r="P77" i="107"/>
  <c r="P71" i="107"/>
  <c r="P61" i="107"/>
  <c r="AF22" i="107" s="1"/>
  <c r="P102" i="108"/>
  <c r="P98" i="108"/>
  <c r="P94" i="108"/>
  <c r="P90" i="108"/>
  <c r="AF30" i="108" s="1"/>
  <c r="P86" i="108"/>
  <c r="P82" i="108"/>
  <c r="P78" i="108"/>
  <c r="AF27" i="108" s="1"/>
  <c r="P74" i="108"/>
  <c r="P70" i="108"/>
  <c r="P66" i="108"/>
  <c r="P62" i="108"/>
  <c r="AF23" i="108" s="1"/>
  <c r="C84" i="111"/>
  <c r="S28" i="111" s="1"/>
  <c r="C68" i="111"/>
  <c r="S24" i="111" s="1"/>
  <c r="O102" i="108"/>
  <c r="O98" i="108"/>
  <c r="O94" i="108"/>
  <c r="AE31" i="108" s="1"/>
  <c r="O90" i="108"/>
  <c r="O86" i="108"/>
  <c r="O82" i="108"/>
  <c r="O78" i="108"/>
  <c r="O74" i="108"/>
  <c r="O70" i="108"/>
  <c r="O66" i="108"/>
  <c r="O62" i="108"/>
  <c r="AE23" i="108" s="1"/>
  <c r="X26" i="111"/>
  <c r="P63" i="111"/>
  <c r="X33" i="111"/>
  <c r="X29" i="111"/>
  <c r="X28" i="111"/>
  <c r="P60" i="111"/>
  <c r="AB32" i="111"/>
  <c r="AB31" i="111"/>
  <c r="AB30" i="111"/>
  <c r="W33" i="111"/>
  <c r="O71" i="111"/>
  <c r="O67" i="111"/>
  <c r="O63" i="111"/>
  <c r="V33" i="111"/>
  <c r="Z32" i="111"/>
  <c r="V31" i="111"/>
  <c r="V30" i="111"/>
  <c r="V29" i="111"/>
  <c r="AD28" i="111"/>
  <c r="V28" i="111"/>
  <c r="V32" i="111"/>
  <c r="Z31" i="111"/>
  <c r="Z30" i="111"/>
  <c r="O91" i="111"/>
  <c r="O87" i="111"/>
  <c r="O83" i="111"/>
  <c r="O79" i="111"/>
  <c r="AD33" i="111"/>
  <c r="AD32" i="111"/>
  <c r="AD31" i="111"/>
  <c r="AD30" i="111"/>
  <c r="Z29" i="111"/>
  <c r="Z28" i="111"/>
  <c r="V27" i="111"/>
  <c r="V26" i="111"/>
  <c r="V25" i="111"/>
  <c r="V24" i="111"/>
  <c r="Z23" i="111"/>
  <c r="O105" i="111"/>
  <c r="P105" i="111"/>
  <c r="O104" i="111"/>
  <c r="P104" i="111"/>
  <c r="O102" i="111"/>
  <c r="O101" i="111"/>
  <c r="O100" i="111"/>
  <c r="P100" i="111"/>
  <c r="P99" i="111"/>
  <c r="P97" i="111"/>
  <c r="O96" i="111"/>
  <c r="P96" i="111"/>
  <c r="P95" i="111"/>
  <c r="O94" i="111"/>
  <c r="P92" i="111"/>
  <c r="P91" i="111"/>
  <c r="O88" i="111"/>
  <c r="P87" i="111"/>
  <c r="O84" i="111"/>
  <c r="P83" i="111"/>
  <c r="O80" i="111"/>
  <c r="O70" i="111"/>
  <c r="O61" i="111"/>
  <c r="O103" i="111"/>
  <c r="P70" i="111"/>
  <c r="P79" i="111"/>
  <c r="Z27" i="111"/>
  <c r="Z26" i="111"/>
  <c r="AD25" i="111"/>
  <c r="AD24" i="111"/>
  <c r="AD22" i="107"/>
  <c r="V24" i="107"/>
  <c r="Z24" i="107"/>
  <c r="AD24" i="107"/>
  <c r="V26" i="107"/>
  <c r="Z26" i="107"/>
  <c r="AD26" i="107"/>
  <c r="V28" i="107"/>
  <c r="Z28" i="107"/>
  <c r="AD28" i="107"/>
  <c r="V30" i="107"/>
  <c r="Z30" i="107"/>
  <c r="AD30" i="107"/>
  <c r="V32" i="107"/>
  <c r="Z32" i="107"/>
  <c r="AD32" i="107"/>
  <c r="O77" i="111"/>
  <c r="O73" i="111"/>
  <c r="O69" i="111"/>
  <c r="O64" i="111"/>
  <c r="O99" i="111"/>
  <c r="P67" i="111"/>
  <c r="AD27" i="111"/>
  <c r="AD26" i="111"/>
  <c r="Z25" i="111"/>
  <c r="Z24" i="111"/>
  <c r="AD23" i="111"/>
  <c r="Z22" i="107"/>
  <c r="T27" i="111"/>
  <c r="AC32" i="111"/>
  <c r="Y32" i="111"/>
  <c r="U32" i="111"/>
  <c r="AC30" i="111"/>
  <c r="Y30" i="111"/>
  <c r="U30" i="111"/>
  <c r="AC28" i="111"/>
  <c r="U28" i="111"/>
  <c r="U26" i="111"/>
  <c r="O72" i="111"/>
  <c r="O68" i="111"/>
  <c r="P64" i="111"/>
  <c r="O95" i="111"/>
  <c r="P94" i="111"/>
  <c r="P89" i="111"/>
  <c r="P77" i="111"/>
  <c r="P73" i="111"/>
  <c r="P69" i="111"/>
  <c r="P84" i="111"/>
  <c r="P80" i="111"/>
  <c r="P72" i="111"/>
  <c r="P68" i="111"/>
  <c r="AC24" i="111"/>
  <c r="U24" i="111"/>
  <c r="AA22" i="111"/>
  <c r="AD22" i="111"/>
  <c r="Z22" i="111"/>
  <c r="AC22" i="111"/>
  <c r="Y22" i="111"/>
  <c r="S22" i="111"/>
  <c r="O58" i="111"/>
  <c r="P82" i="111" l="1"/>
  <c r="O82" i="111"/>
  <c r="T26" i="111"/>
  <c r="P74" i="111"/>
  <c r="O74" i="111"/>
  <c r="AE28" i="108"/>
  <c r="T30" i="111"/>
  <c r="O90" i="111"/>
  <c r="P90" i="111"/>
  <c r="P62" i="111"/>
  <c r="AF27" i="107"/>
  <c r="Y28" i="111"/>
  <c r="T22" i="111"/>
  <c r="O59" i="111"/>
  <c r="X22" i="111"/>
  <c r="P61" i="111"/>
  <c r="O65" i="111"/>
  <c r="P65" i="111"/>
  <c r="T23" i="111"/>
  <c r="P75" i="111"/>
  <c r="O75" i="111"/>
  <c r="O81" i="111"/>
  <c r="P81" i="111"/>
  <c r="X31" i="111"/>
  <c r="O97" i="111"/>
  <c r="O62" i="111"/>
  <c r="V23" i="111"/>
  <c r="AF31" i="107"/>
  <c r="T33" i="111"/>
  <c r="P103" i="111"/>
  <c r="P78" i="111"/>
  <c r="AF27" i="111" s="1"/>
  <c r="O66" i="111"/>
  <c r="O76" i="111"/>
  <c r="AE26" i="111" s="1"/>
  <c r="P76" i="111"/>
  <c r="P93" i="111"/>
  <c r="X30" i="111"/>
  <c r="AF23" i="107"/>
  <c r="AF32" i="107"/>
  <c r="AF24" i="107"/>
  <c r="AE27" i="107"/>
  <c r="O86" i="111"/>
  <c r="AE29" i="111" s="1"/>
  <c r="P86" i="111"/>
  <c r="P102" i="111"/>
  <c r="Z33" i="111"/>
  <c r="T24" i="111"/>
  <c r="P66" i="111"/>
  <c r="P85" i="111"/>
  <c r="O85" i="111"/>
  <c r="AE30" i="108"/>
  <c r="X32" i="111"/>
  <c r="O98" i="111"/>
  <c r="P98" i="111"/>
  <c r="AF32" i="108"/>
  <c r="AB26" i="111"/>
  <c r="AF25" i="107"/>
  <c r="AE28" i="107"/>
  <c r="AF29" i="107"/>
  <c r="AF22" i="108"/>
  <c r="AE24" i="108"/>
  <c r="T25" i="111"/>
  <c r="AE27" i="108"/>
  <c r="AF28" i="108"/>
  <c r="AF31" i="108"/>
  <c r="AE26" i="108"/>
  <c r="AF25" i="108"/>
  <c r="AE23" i="107"/>
  <c r="AE22" i="108"/>
  <c r="X23" i="111"/>
  <c r="AF26" i="108"/>
  <c r="T29" i="111"/>
  <c r="AE32" i="108"/>
  <c r="AF33" i="108"/>
  <c r="AE33" i="108"/>
  <c r="AF23" i="111"/>
  <c r="AF26" i="111"/>
  <c r="AF28" i="111"/>
  <c r="O60" i="111"/>
  <c r="AE24" i="111"/>
  <c r="AE30" i="111"/>
  <c r="V22" i="111"/>
  <c r="P58" i="111"/>
  <c r="AF30" i="111"/>
  <c r="AF25" i="111"/>
  <c r="AF29" i="111"/>
  <c r="AE27" i="111"/>
  <c r="AE28" i="111"/>
  <c r="AE31" i="111"/>
  <c r="AE33" i="111"/>
  <c r="AF24" i="111"/>
  <c r="AE25" i="111"/>
  <c r="AE23" i="111"/>
  <c r="AF31" i="111"/>
  <c r="AF32" i="111"/>
  <c r="AF33" i="111"/>
  <c r="AE32" i="111"/>
  <c r="C58" i="100"/>
  <c r="AE22" i="111" l="1"/>
  <c r="AF22" i="11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AA27" i="99" l="1"/>
  <c r="X39" i="105"/>
  <c r="AA39" i="101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6" i="108" s="1"/>
  <c r="AA18" i="94"/>
  <c r="K42" i="108"/>
  <c r="AA18" i="108" s="1"/>
  <c r="M54" i="108"/>
  <c r="AC21" i="108" s="1"/>
  <c r="M50" i="108"/>
  <c r="M46" i="108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Y13" i="108" s="1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AA19" i="108" s="1"/>
  <c r="G46" i="108"/>
  <c r="G38" i="108"/>
  <c r="W17" i="108" s="1"/>
  <c r="G30" i="108"/>
  <c r="W15" i="108" s="1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Y10" i="107" l="1"/>
  <c r="I106" i="107"/>
  <c r="T21" i="107"/>
  <c r="AC10" i="107"/>
  <c r="M106" i="107"/>
  <c r="AB21" i="107"/>
  <c r="E106" i="107"/>
  <c r="U10" i="107"/>
  <c r="X21" i="107"/>
  <c r="AB20" i="107"/>
  <c r="X20" i="107"/>
  <c r="T19" i="107"/>
  <c r="X18" i="107"/>
  <c r="X17" i="107"/>
  <c r="T16" i="107"/>
  <c r="T15" i="107"/>
  <c r="T14" i="107"/>
  <c r="T13" i="107"/>
  <c r="X12" i="107"/>
  <c r="T11" i="107"/>
  <c r="H106" i="108"/>
  <c r="X10" i="108"/>
  <c r="AB18" i="108"/>
  <c r="AB17" i="108"/>
  <c r="N106" i="108"/>
  <c r="AD10" i="108"/>
  <c r="AC17" i="108"/>
  <c r="AC15" i="108"/>
  <c r="U12" i="108"/>
  <c r="U11" i="108"/>
  <c r="I106" i="108"/>
  <c r="Y10" i="108"/>
  <c r="AB21" i="108"/>
  <c r="AB20" i="108"/>
  <c r="AB19" i="108"/>
  <c r="AD11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S41" i="107" s="1"/>
  <c r="L106" i="108"/>
  <c r="AB10" i="108"/>
  <c r="Z18" i="108"/>
  <c r="Z17" i="108"/>
  <c r="Z16" i="108"/>
  <c r="Z15" i="108"/>
  <c r="Z14" i="108"/>
  <c r="AB13" i="108"/>
  <c r="AB12" i="108"/>
  <c r="AB11" i="108"/>
  <c r="V13" i="108"/>
  <c r="W19" i="108"/>
  <c r="AA20" i="108"/>
  <c r="W13" i="108"/>
  <c r="Y21" i="108"/>
  <c r="AA21" i="108"/>
  <c r="AA39" i="108" s="1"/>
  <c r="J106" i="108"/>
  <c r="Z10" i="108"/>
  <c r="U18" i="108"/>
  <c r="AA17" i="108"/>
  <c r="U16" i="108"/>
  <c r="Y15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T20" i="107"/>
  <c r="X19" i="107"/>
  <c r="T18" i="107"/>
  <c r="T17" i="107"/>
  <c r="X16" i="107"/>
  <c r="X15" i="107"/>
  <c r="X14" i="107"/>
  <c r="X13" i="107"/>
  <c r="T12" i="107"/>
  <c r="X11" i="107"/>
  <c r="T36" i="108"/>
  <c r="T18" i="108"/>
  <c r="T17" i="108"/>
  <c r="T16" i="108"/>
  <c r="T15" i="108"/>
  <c r="T14" i="108"/>
  <c r="AC12" i="108"/>
  <c r="AC11" i="108"/>
  <c r="T21" i="108"/>
  <c r="T39" i="108" s="1"/>
  <c r="T20" i="108"/>
  <c r="C106" i="107"/>
  <c r="S10" i="107"/>
  <c r="K106" i="107"/>
  <c r="AA10" i="107"/>
  <c r="W10" i="107"/>
  <c r="G106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V39" i="109"/>
  <c r="S35" i="110"/>
  <c r="C106" i="108"/>
  <c r="S10" i="108"/>
  <c r="X18" i="108"/>
  <c r="X17" i="108"/>
  <c r="X16" i="108"/>
  <c r="X15" i="108"/>
  <c r="X14" i="108"/>
  <c r="X13" i="108"/>
  <c r="X12" i="108"/>
  <c r="X11" i="108"/>
  <c r="W14" i="108"/>
  <c r="AA36" i="108"/>
  <c r="S21" i="108"/>
  <c r="AC13" i="108"/>
  <c r="U13" i="108"/>
  <c r="V11" i="108"/>
  <c r="S19" i="108"/>
  <c r="F106" i="108"/>
  <c r="V10" i="108"/>
  <c r="AC19" i="108"/>
  <c r="Y19" i="108"/>
  <c r="Y39" i="108" s="1"/>
  <c r="AC18" i="108"/>
  <c r="Y17" i="108"/>
  <c r="AC16" i="108"/>
  <c r="U15" i="108"/>
  <c r="Y14" i="108"/>
  <c r="Y12" i="108"/>
  <c r="Y11" i="108"/>
  <c r="M106" i="108"/>
  <c r="AC10" i="108"/>
  <c r="E106" i="108"/>
  <c r="U10" i="108"/>
  <c r="X21" i="108"/>
  <c r="X20" i="108"/>
  <c r="X19" i="108"/>
  <c r="AD13" i="108"/>
  <c r="Z12" i="108"/>
  <c r="AB19" i="107"/>
  <c r="AB18" i="107"/>
  <c r="AB17" i="107"/>
  <c r="AB16" i="107"/>
  <c r="AB15" i="107"/>
  <c r="AB14" i="107"/>
  <c r="AB13" i="107"/>
  <c r="AB12" i="107"/>
  <c r="AB11" i="107"/>
  <c r="AB16" i="108"/>
  <c r="AB15" i="108"/>
  <c r="AB14" i="108"/>
  <c r="Y36" i="108"/>
  <c r="N106" i="107"/>
  <c r="AD10" i="107"/>
  <c r="J106" i="107"/>
  <c r="Z10" i="107"/>
  <c r="V10" i="107"/>
  <c r="F106" i="107"/>
  <c r="AC21" i="107"/>
  <c r="Y21" i="107"/>
  <c r="U21" i="107"/>
  <c r="AC20" i="107"/>
  <c r="Y20" i="107"/>
  <c r="U20" i="107"/>
  <c r="AC19" i="107"/>
  <c r="AC39" i="107" s="1"/>
  <c r="Y19" i="107"/>
  <c r="Y39" i="107" s="1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Y38" i="107" s="1"/>
  <c r="U14" i="107"/>
  <c r="AC13" i="107"/>
  <c r="Y13" i="107"/>
  <c r="U13" i="107"/>
  <c r="U35" i="107" s="1"/>
  <c r="AC12" i="107"/>
  <c r="Y12" i="107"/>
  <c r="U12" i="107"/>
  <c r="AC11" i="107"/>
  <c r="Y11" i="107"/>
  <c r="U11" i="107"/>
  <c r="T36" i="105"/>
  <c r="D106" i="108"/>
  <c r="T10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W21" i="108"/>
  <c r="AA35" i="108"/>
  <c r="V12" i="108"/>
  <c r="U20" i="108"/>
  <c r="S14" i="108"/>
  <c r="S35" i="108" s="1"/>
  <c r="AC20" i="108"/>
  <c r="AC36" i="108" s="1"/>
  <c r="AA14" i="108"/>
  <c r="AA38" i="108" s="1"/>
  <c r="U19" i="108"/>
  <c r="U39" i="108" s="1"/>
  <c r="Y18" i="108"/>
  <c r="U17" i="108"/>
  <c r="Y16" i="108"/>
  <c r="U14" i="108"/>
  <c r="U38" i="108" s="1"/>
  <c r="W12" i="108"/>
  <c r="W11" i="108"/>
  <c r="W37" i="108" s="1"/>
  <c r="AA10" i="108"/>
  <c r="K106" i="108"/>
  <c r="AD21" i="108"/>
  <c r="V21" i="108"/>
  <c r="AD20" i="108"/>
  <c r="V20" i="108"/>
  <c r="V39" i="108" s="1"/>
  <c r="AD19" i="108"/>
  <c r="Z13" i="108"/>
  <c r="X36" i="101"/>
  <c r="Y38" i="105"/>
  <c r="U38" i="109"/>
  <c r="AB26" i="98"/>
  <c r="AF32" i="101"/>
  <c r="AF33" i="101"/>
  <c r="S38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S20" i="111" s="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U18" i="111" s="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AD13" i="111" s="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X11" i="111" s="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U21" i="111" s="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U15" i="111" s="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AF16" i="108" s="1"/>
  <c r="O54" i="108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AE12" i="107" s="1"/>
  <c r="O16" i="107"/>
  <c r="O14" i="107"/>
  <c r="O12" i="107"/>
  <c r="P26" i="107"/>
  <c r="P38" i="107"/>
  <c r="AF17" i="107" s="1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C60" i="100" s="1"/>
  <c r="AE10" i="100"/>
  <c r="AF10" i="100"/>
  <c r="P58" i="100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3" i="107" l="1"/>
  <c r="O106" i="108"/>
  <c r="H108" i="108" s="1"/>
  <c r="AE10" i="108"/>
  <c r="S36" i="111"/>
  <c r="S39" i="111"/>
  <c r="Z12" i="111"/>
  <c r="U17" i="111"/>
  <c r="V40" i="107"/>
  <c r="V37" i="107"/>
  <c r="V34" i="107"/>
  <c r="V41" i="107"/>
  <c r="V42" i="107" s="1"/>
  <c r="V34" i="108"/>
  <c r="V40" i="108"/>
  <c r="V41" i="108"/>
  <c r="V37" i="108"/>
  <c r="Z39" i="108"/>
  <c r="Z36" i="108"/>
  <c r="AB38" i="108"/>
  <c r="AB35" i="108"/>
  <c r="AB36" i="108"/>
  <c r="AB39" i="108"/>
  <c r="U34" i="107"/>
  <c r="U40" i="107"/>
  <c r="U41" i="107"/>
  <c r="U42" i="107" s="1"/>
  <c r="U37" i="107"/>
  <c r="O106" i="107"/>
  <c r="H108" i="107" s="1"/>
  <c r="AE10" i="107"/>
  <c r="AE15" i="107"/>
  <c r="AF14" i="107"/>
  <c r="AF18" i="107"/>
  <c r="AF19" i="107"/>
  <c r="AF20" i="107"/>
  <c r="AE21" i="107"/>
  <c r="AF12" i="107"/>
  <c r="AE16" i="108"/>
  <c r="AF18" i="108"/>
  <c r="AF11" i="108"/>
  <c r="AE13" i="108"/>
  <c r="AF17" i="108"/>
  <c r="S42" i="110"/>
  <c r="K106" i="111"/>
  <c r="AA10" i="111"/>
  <c r="Y11" i="111"/>
  <c r="Y12" i="111"/>
  <c r="Y13" i="111"/>
  <c r="Y14" i="111"/>
  <c r="AC15" i="111"/>
  <c r="AC16" i="111"/>
  <c r="W18" i="111"/>
  <c r="Y39" i="111"/>
  <c r="Y20" i="111"/>
  <c r="X10" i="111"/>
  <c r="H106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U20" i="111"/>
  <c r="Y21" i="111"/>
  <c r="Z10" i="111"/>
  <c r="J106" i="111"/>
  <c r="AA40" i="108"/>
  <c r="AA34" i="108"/>
  <c r="AA41" i="108"/>
  <c r="AA42" i="108" s="1"/>
  <c r="AA37" i="108"/>
  <c r="V36" i="108"/>
  <c r="Y35" i="107"/>
  <c r="AC38" i="107"/>
  <c r="U36" i="107"/>
  <c r="Z34" i="107"/>
  <c r="Z40" i="107"/>
  <c r="Z37" i="107"/>
  <c r="Z41" i="107"/>
  <c r="AB36" i="107"/>
  <c r="AB39" i="107"/>
  <c r="AC41" i="108"/>
  <c r="AC34" i="108"/>
  <c r="AC37" i="108"/>
  <c r="AC40" i="108"/>
  <c r="Y38" i="108"/>
  <c r="AC35" i="108"/>
  <c r="Z35" i="107"/>
  <c r="Z38" i="107"/>
  <c r="AA40" i="107"/>
  <c r="AA34" i="107"/>
  <c r="AA41" i="107"/>
  <c r="S41" i="108"/>
  <c r="AC38" i="108"/>
  <c r="V35" i="108"/>
  <c r="V38" i="108"/>
  <c r="W36" i="107"/>
  <c r="W39" i="107"/>
  <c r="T40" i="107"/>
  <c r="T37" i="107"/>
  <c r="T34" i="107"/>
  <c r="T41" i="107"/>
  <c r="T42" i="107" s="1"/>
  <c r="AB40" i="107"/>
  <c r="AB41" i="107"/>
  <c r="AB37" i="107"/>
  <c r="AB34" i="107"/>
  <c r="AD41" i="108"/>
  <c r="AD37" i="108"/>
  <c r="AD40" i="108"/>
  <c r="AD42" i="108" s="1"/>
  <c r="AD34" i="108"/>
  <c r="AE12" i="108"/>
  <c r="W10" i="111"/>
  <c r="G106" i="111"/>
  <c r="W38" i="111"/>
  <c r="W35" i="111"/>
  <c r="AC10" i="111"/>
  <c r="M106" i="111"/>
  <c r="U19" i="111"/>
  <c r="U39" i="111" s="1"/>
  <c r="W21" i="111"/>
  <c r="X36" i="108"/>
  <c r="X39" i="108"/>
  <c r="U35" i="108"/>
  <c r="V35" i="107"/>
  <c r="V38" i="107"/>
  <c r="AD39" i="107"/>
  <c r="AD36" i="107"/>
  <c r="W40" i="107"/>
  <c r="W37" i="107"/>
  <c r="W34" i="107"/>
  <c r="W41" i="107"/>
  <c r="W42" i="107" s="1"/>
  <c r="X36" i="107"/>
  <c r="X39" i="107"/>
  <c r="W36" i="108"/>
  <c r="W39" i="108"/>
  <c r="AA35" i="107"/>
  <c r="AA38" i="107"/>
  <c r="S39" i="107"/>
  <c r="S36" i="107"/>
  <c r="AC41" i="107"/>
  <c r="AC34" i="107"/>
  <c r="AC40" i="107"/>
  <c r="AC42" i="107" s="1"/>
  <c r="AC37" i="107"/>
  <c r="P106" i="107"/>
  <c r="AF10" i="107"/>
  <c r="AF16" i="107"/>
  <c r="AE18" i="107"/>
  <c r="AE19" i="107"/>
  <c r="AE20" i="107"/>
  <c r="AF21" i="107"/>
  <c r="AF11" i="107"/>
  <c r="AE18" i="108"/>
  <c r="AF15" i="108"/>
  <c r="AE20" i="108"/>
  <c r="AE39" i="108" s="1"/>
  <c r="AE14" i="108"/>
  <c r="P106" i="108"/>
  <c r="AF10" i="108"/>
  <c r="AC11" i="111"/>
  <c r="AC12" i="111"/>
  <c r="AC13" i="111"/>
  <c r="Y17" i="111"/>
  <c r="AC18" i="111"/>
  <c r="AA19" i="111"/>
  <c r="AC21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35" i="111" s="1"/>
  <c r="T15" i="111"/>
  <c r="T16" i="111"/>
  <c r="T38" i="111" s="1"/>
  <c r="T17" i="111"/>
  <c r="T18" i="111"/>
  <c r="T19" i="111"/>
  <c r="T20" i="111"/>
  <c r="T21" i="111"/>
  <c r="U10" i="111"/>
  <c r="E106" i="111"/>
  <c r="AA18" i="111"/>
  <c r="AA20" i="111"/>
  <c r="AA21" i="111"/>
  <c r="AB10" i="111"/>
  <c r="L106" i="111"/>
  <c r="Z35" i="108"/>
  <c r="Z38" i="108"/>
  <c r="S38" i="108"/>
  <c r="T38" i="108"/>
  <c r="T35" i="108"/>
  <c r="AC35" i="107"/>
  <c r="U39" i="107"/>
  <c r="Y36" i="107"/>
  <c r="S39" i="108"/>
  <c r="S36" i="108"/>
  <c r="S40" i="108"/>
  <c r="S34" i="108"/>
  <c r="S37" i="108"/>
  <c r="AD35" i="107"/>
  <c r="AD38" i="107"/>
  <c r="V39" i="107"/>
  <c r="V36" i="107"/>
  <c r="X38" i="107"/>
  <c r="X35" i="107"/>
  <c r="Z41" i="108"/>
  <c r="Z34" i="108"/>
  <c r="Z40" i="108"/>
  <c r="Z37" i="108"/>
  <c r="W38" i="108"/>
  <c r="W35" i="108"/>
  <c r="AB40" i="108"/>
  <c r="AB37" i="108"/>
  <c r="AB34" i="108"/>
  <c r="AB41" i="108"/>
  <c r="AB42" i="108" s="1"/>
  <c r="AA37" i="107"/>
  <c r="S35" i="107"/>
  <c r="S38" i="107"/>
  <c r="AA36" i="107"/>
  <c r="AA39" i="107"/>
  <c r="X40" i="108"/>
  <c r="X41" i="108"/>
  <c r="X42" i="108" s="1"/>
  <c r="X34" i="108"/>
  <c r="X37" i="108"/>
  <c r="T38" i="107"/>
  <c r="T35" i="107"/>
  <c r="AF19" i="108"/>
  <c r="V10" i="111"/>
  <c r="F106" i="111"/>
  <c r="AB38" i="111"/>
  <c r="AB35" i="111"/>
  <c r="AD39" i="111"/>
  <c r="AD36" i="111"/>
  <c r="U38" i="111"/>
  <c r="U16" i="111"/>
  <c r="U35" i="111" s="1"/>
  <c r="AD35" i="111"/>
  <c r="AD38" i="111"/>
  <c r="AB36" i="111"/>
  <c r="AB39" i="111"/>
  <c r="T10" i="111"/>
  <c r="D106" i="111"/>
  <c r="U36" i="108"/>
  <c r="X38" i="108"/>
  <c r="X35" i="108"/>
  <c r="S42" i="107"/>
  <c r="T36" i="107"/>
  <c r="T39" i="107"/>
  <c r="AF15" i="107"/>
  <c r="AE11" i="107"/>
  <c r="AE13" i="107"/>
  <c r="AE21" i="108"/>
  <c r="AF21" i="108"/>
  <c r="AF14" i="108"/>
  <c r="AE11" i="108"/>
  <c r="AE37" i="108" s="1"/>
  <c r="AE15" i="108"/>
  <c r="AE17" i="108"/>
  <c r="AF13" i="108"/>
  <c r="AC17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Y10" i="111"/>
  <c r="I106" i="111"/>
  <c r="S17" i="111"/>
  <c r="AC20" i="111"/>
  <c r="AC36" i="111" s="1"/>
  <c r="AD39" i="108"/>
  <c r="AD36" i="108"/>
  <c r="T40" i="108"/>
  <c r="T41" i="108"/>
  <c r="T42" i="108" s="1"/>
  <c r="T34" i="108"/>
  <c r="T37" i="108"/>
  <c r="U38" i="107"/>
  <c r="AC36" i="107"/>
  <c r="AD34" i="107"/>
  <c r="AD37" i="107"/>
  <c r="AD40" i="107"/>
  <c r="AD41" i="107"/>
  <c r="AD42" i="107" s="1"/>
  <c r="AB38" i="107"/>
  <c r="AB35" i="107"/>
  <c r="AD35" i="108"/>
  <c r="AD38" i="108"/>
  <c r="U34" i="108"/>
  <c r="U37" i="108"/>
  <c r="U41" i="108"/>
  <c r="U40" i="108"/>
  <c r="AC39" i="108"/>
  <c r="Z39" i="107"/>
  <c r="Z36" i="107"/>
  <c r="S40" i="107"/>
  <c r="S37" i="107"/>
  <c r="S34" i="107"/>
  <c r="W40" i="108"/>
  <c r="W41" i="108"/>
  <c r="W42" i="108" s="1"/>
  <c r="W34" i="108"/>
  <c r="W38" i="107"/>
  <c r="W35" i="107"/>
  <c r="X40" i="107"/>
  <c r="X41" i="107"/>
  <c r="X42" i="107" s="1"/>
  <c r="X37" i="107"/>
  <c r="X34" i="107"/>
  <c r="Y41" i="108"/>
  <c r="Y34" i="108"/>
  <c r="Y40" i="108"/>
  <c r="Y37" i="108"/>
  <c r="Y35" i="108"/>
  <c r="Y41" i="107"/>
  <c r="Y42" i="107" s="1"/>
  <c r="Y40" i="107"/>
  <c r="Y37" i="107"/>
  <c r="Y34" i="107"/>
  <c r="X42" i="109"/>
  <c r="V22" i="93"/>
  <c r="AE24" i="98"/>
  <c r="H59" i="100"/>
  <c r="C59" i="10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AE15" i="111" s="1"/>
  <c r="O33" i="111"/>
  <c r="P34" i="111"/>
  <c r="P35" i="111"/>
  <c r="O36" i="111"/>
  <c r="P37" i="111"/>
  <c r="O38" i="111"/>
  <c r="O41" i="111"/>
  <c r="P42" i="111"/>
  <c r="AF18" i="111" s="1"/>
  <c r="P45" i="111"/>
  <c r="O46" i="111"/>
  <c r="O48" i="111"/>
  <c r="O50" i="111"/>
  <c r="AE20" i="111" s="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17" i="111" l="1"/>
  <c r="AF14" i="111"/>
  <c r="AF38" i="108"/>
  <c r="AF35" i="108"/>
  <c r="V39" i="111"/>
  <c r="V36" i="111"/>
  <c r="AA36" i="111"/>
  <c r="AA39" i="111"/>
  <c r="Z40" i="111"/>
  <c r="Z37" i="111"/>
  <c r="Z34" i="111"/>
  <c r="Z41" i="111"/>
  <c r="Z42" i="111" s="1"/>
  <c r="Y38" i="111"/>
  <c r="AE10" i="111"/>
  <c r="O106" i="111"/>
  <c r="K108" i="111" s="1"/>
  <c r="AF21" i="111"/>
  <c r="AE14" i="111"/>
  <c r="AE13" i="111"/>
  <c r="X38" i="111"/>
  <c r="X35" i="111"/>
  <c r="S38" i="111"/>
  <c r="S35" i="111"/>
  <c r="T40" i="111"/>
  <c r="T34" i="111"/>
  <c r="T37" i="111"/>
  <c r="T41" i="111"/>
  <c r="V34" i="111"/>
  <c r="V37" i="111"/>
  <c r="V40" i="111"/>
  <c r="V41" i="111"/>
  <c r="V42" i="111" s="1"/>
  <c r="AB40" i="111"/>
  <c r="AB34" i="111"/>
  <c r="AB37" i="111"/>
  <c r="AB41" i="111"/>
  <c r="E107" i="111"/>
  <c r="T36" i="111"/>
  <c r="T39" i="111"/>
  <c r="AC38" i="111"/>
  <c r="N107" i="111"/>
  <c r="S42" i="108"/>
  <c r="AC42" i="108"/>
  <c r="Y35" i="111"/>
  <c r="K107" i="111"/>
  <c r="V42" i="108"/>
  <c r="AE36" i="108"/>
  <c r="AF11" i="111"/>
  <c r="AE19" i="111"/>
  <c r="AE17" i="111"/>
  <c r="AF16" i="111"/>
  <c r="AE21" i="111"/>
  <c r="AE18" i="111"/>
  <c r="AF10" i="111"/>
  <c r="P106" i="111"/>
  <c r="L107" i="111" s="1"/>
  <c r="U42" i="108"/>
  <c r="Z39" i="111"/>
  <c r="Z36" i="111"/>
  <c r="AC39" i="111"/>
  <c r="Z42" i="108"/>
  <c r="U40" i="111"/>
  <c r="U34" i="111"/>
  <c r="U37" i="111"/>
  <c r="U41" i="111"/>
  <c r="V35" i="111"/>
  <c r="V38" i="111"/>
  <c r="AD40" i="111"/>
  <c r="AD37" i="111"/>
  <c r="AD34" i="111"/>
  <c r="AD41" i="111"/>
  <c r="AD42" i="111" s="1"/>
  <c r="AF40" i="108"/>
  <c r="AF37" i="108"/>
  <c r="AF34" i="108"/>
  <c r="AF41" i="108"/>
  <c r="AF42" i="108" s="1"/>
  <c r="AF40" i="107"/>
  <c r="AF37" i="107"/>
  <c r="AF34" i="107"/>
  <c r="AF41" i="107"/>
  <c r="AF42" i="107" s="1"/>
  <c r="AC34" i="111"/>
  <c r="AC40" i="111"/>
  <c r="AC37" i="111"/>
  <c r="AC41" i="111"/>
  <c r="W40" i="111"/>
  <c r="W34" i="111"/>
  <c r="W37" i="111"/>
  <c r="W41" i="111"/>
  <c r="W42" i="111" s="1"/>
  <c r="AB42" i="107"/>
  <c r="AA42" i="107"/>
  <c r="U36" i="111"/>
  <c r="S40" i="111"/>
  <c r="S34" i="111"/>
  <c r="S37" i="111"/>
  <c r="S41" i="111"/>
  <c r="S42" i="111" s="1"/>
  <c r="X40" i="111"/>
  <c r="X37" i="111"/>
  <c r="X34" i="111"/>
  <c r="X41" i="111"/>
  <c r="X42" i="111" s="1"/>
  <c r="Y40" i="111"/>
  <c r="Y34" i="111"/>
  <c r="Y37" i="111"/>
  <c r="Y41" i="111"/>
  <c r="Y42" i="111" s="1"/>
  <c r="Z35" i="111"/>
  <c r="Z38" i="111"/>
  <c r="F107" i="111"/>
  <c r="AA35" i="111"/>
  <c r="AA38" i="111"/>
  <c r="AA40" i="111"/>
  <c r="AA37" i="111"/>
  <c r="AA34" i="111"/>
  <c r="AA41" i="111"/>
  <c r="AA42" i="111" s="1"/>
  <c r="AE35" i="108"/>
  <c r="AE38" i="108"/>
  <c r="AF38" i="111"/>
  <c r="AF35" i="111"/>
  <c r="AF20" i="111"/>
  <c r="AF15" i="111"/>
  <c r="AE11" i="111"/>
  <c r="AE16" i="111"/>
  <c r="AF19" i="111"/>
  <c r="Y42" i="108"/>
  <c r="I107" i="111"/>
  <c r="X36" i="111"/>
  <c r="X39" i="111"/>
  <c r="AE38" i="107"/>
  <c r="AE35" i="107"/>
  <c r="AF36" i="108"/>
  <c r="AF39" i="108"/>
  <c r="AC35" i="111"/>
  <c r="AE39" i="107"/>
  <c r="AE36" i="107"/>
  <c r="Z42" i="107"/>
  <c r="J107" i="111"/>
  <c r="W39" i="111"/>
  <c r="W36" i="111"/>
  <c r="C107" i="111"/>
  <c r="Y36" i="111"/>
  <c r="AF36" i="107"/>
  <c r="AF39" i="107"/>
  <c r="AE40" i="107"/>
  <c r="AE34" i="107"/>
  <c r="AE41" i="107"/>
  <c r="AE42" i="107" s="1"/>
  <c r="AE37" i="107"/>
  <c r="AE40" i="108"/>
  <c r="AE34" i="108"/>
  <c r="AE41" i="108"/>
  <c r="AE42" i="108" s="1"/>
  <c r="AF38" i="107"/>
  <c r="AF35" i="107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6" i="111" l="1"/>
  <c r="AE39" i="111"/>
  <c r="U42" i="111"/>
  <c r="AB42" i="111"/>
  <c r="T42" i="111"/>
  <c r="AE38" i="111"/>
  <c r="AE35" i="111"/>
  <c r="AE40" i="111"/>
  <c r="AE37" i="111"/>
  <c r="AE34" i="111"/>
  <c r="AE41" i="111"/>
  <c r="AF36" i="111"/>
  <c r="AF39" i="111"/>
  <c r="D107" i="111"/>
  <c r="G107" i="111"/>
  <c r="AC42" i="111"/>
  <c r="AF40" i="111"/>
  <c r="AF34" i="111"/>
  <c r="AF37" i="111"/>
  <c r="AF41" i="111"/>
  <c r="AF42" i="111" s="1"/>
  <c r="H107" i="111"/>
  <c r="M107" i="111"/>
  <c r="E108" i="111"/>
  <c r="F108" i="111"/>
  <c r="N108" i="111"/>
  <c r="H108" i="111"/>
  <c r="C108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<sst xmlns="http://schemas.openxmlformats.org/spreadsheetml/2006/main" count="2324" uniqueCount="177">
  <si>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</si>
  <si>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</si>
  <si>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</si>
  <si>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</si>
  <si>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</si>
  <si>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</si>
  <si>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</si>
  <si>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</si>
  <si>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</si>
  <si>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</si>
  <si>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</si>
  <si>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</si>
  <si>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</si>
  <si>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</si>
  <si>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</si>
  <si>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</si>
  <si>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</si>
  <si>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</si>
  <si>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</si>
  <si>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</si>
  <si>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</si>
  <si>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</si>
  <si>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</si>
  <si>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</si>
  <si>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</si>
  <si>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</si>
  <si>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</si>
  <si>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</si>
  <si>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</si>
  <si>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</si>
  <si>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</si>
  <si>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</si>
  <si>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</si>
  <si>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</si>
  <si>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</si>
  <si>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</si>
  <si>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</si>
  <si>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</si>
  <si>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</si>
  <si>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</si>
  <si>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</si>
  <si>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</si>
  <si>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</si>
  <si>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</si>
  <si>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</si>
  <si>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</si>
  <si>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</si>
  <si>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</si>
  <si>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</si>
  <si>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</si>
  <si>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</si>
  <si>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</si>
  <si>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</si>
  <si>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</si>
  <si>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</si>
  <si>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</si>
  <si>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</si>
  <si>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</si>
  <si>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</si>
  <si>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</si>
  <si>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</si>
  <si>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</si>
  <si>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</si>
  <si>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</si>
  <si>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</si>
  <si>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</si>
  <si>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</si>
  <si>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</si>
  <si>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</si>
  <si>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</si>
  <si>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</si>
  <si>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</si>
  <si>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</si>
  <si>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</si>
  <si>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</si>
  <si>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</si>
  <si>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</si>
  <si>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</si>
  <si>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</si>
  <si>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</si>
  <si>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</si>
  <si>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</si>
  <si>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</si>
  <si>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</si>
  <si>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</si>
  <si>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</si>
  <si>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</si>
  <si>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</si>
  <si>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</si>
  <si>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</si>
  <si>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</si>
  <si>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</si>
  <si>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</si>
  <si>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</si>
  <si>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</si>
  <si>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</si>
  <si>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</si>
  <si>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</si>
  <si>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</si>
  <si>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</si>
  <si>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</si>
  <si>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</si>
  <si>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</si>
  <si>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</si>
  <si>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</si>
  <si>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</si>
  <si>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</si>
  <si>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</si>
  <si>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</si>
  <si>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</si>
  <si>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</si>
  <si>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</si>
  <si>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</si>
  <si>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</si>
  <si>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</si>
  <si>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</si>
  <si>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</si>
  <si>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</si>
  <si>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</si>
  <si>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</si>
  <si>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</si>
  <si>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</si>
  <si>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</si>
  <si>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</si>
  <si>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</si>
  <si>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</si>
  <si>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</si>
  <si>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</si>
  <si>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</si>
  <si>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</si>
  <si>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</si>
  <si>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</si>
  <si>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</si>
  <si>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</si>
  <si>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</si>
  <si>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</si>
  <si>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</si>
  <si>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</si>
  <si>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</si>
  <si>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</si>
  <si>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</si>
  <si>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</si>
  <si>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</si>
  <si>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</si>
  <si>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</si>
  <si>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</si>
  <si>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</si>
  <si>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</si>
  <si>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</si>
  <si>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</si>
  <si>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</si>
  <si>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</si>
  <si>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</si>
  <si>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</si>
  <si>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</si>
  <si>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</si>
  <si>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</si>
  <si>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</si>
  <si>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</si>
  <si>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</si>
  <si>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</si>
  <si>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</si>
  <si>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</si>
  <si>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31.07.19</t>
  </si>
  <si>
    <t>NIMULE</t>
  </si>
  <si>
    <t>GULU</t>
  </si>
  <si>
    <t>ELEGU</t>
  </si>
  <si>
    <t>NANDATU SANDRAH</t>
  </si>
  <si>
    <t>NORMAN</t>
  </si>
  <si>
    <t>01.07.19</t>
  </si>
  <si>
    <t>02.07.19</t>
  </si>
  <si>
    <t>03.07.19</t>
  </si>
  <si>
    <t>04.07.19</t>
  </si>
  <si>
    <t>05.07.19</t>
  </si>
  <si>
    <t>06.07.19</t>
  </si>
  <si>
    <t>MCC - C5- STN140 - NIMULE-GULU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</si>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</sst>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NIMULE-GULU'!$AE$10:$AE$21</c:f>
              <c:numCache>
                <c:formatCode>0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26</c:v>
                </c:pt>
                <c:pt idx="3">
                  <c:v>31</c:v>
                </c:pt>
                <c:pt idx="4">
                  <c:v>14</c:v>
                </c:pt>
                <c:pt idx="5">
                  <c:v>19</c:v>
                </c:pt>
                <c:pt idx="6">
                  <c:v>21</c:v>
                </c:pt>
                <c:pt idx="7">
                  <c:v>24</c:v>
                </c:pt>
                <c:pt idx="8">
                  <c:v>44</c:v>
                </c:pt>
                <c:pt idx="9">
                  <c:v>20</c:v>
                </c:pt>
                <c:pt idx="10">
                  <c:v>32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'31.07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NIMULE-GULU'!$AF$10:$AF$21</c:f>
              <c:numCache>
                <c:formatCode>0</c:formatCode>
                <c:ptCount val="12"/>
                <c:pt idx="0">
                  <c:v>188</c:v>
                </c:pt>
                <c:pt idx="1">
                  <c:v>259</c:v>
                </c:pt>
                <c:pt idx="2">
                  <c:v>267</c:v>
                </c:pt>
                <c:pt idx="3">
                  <c:v>250</c:v>
                </c:pt>
                <c:pt idx="4">
                  <c:v>204</c:v>
                </c:pt>
                <c:pt idx="5">
                  <c:v>136</c:v>
                </c:pt>
                <c:pt idx="6">
                  <c:v>137</c:v>
                </c:pt>
                <c:pt idx="7">
                  <c:v>202</c:v>
                </c:pt>
                <c:pt idx="8">
                  <c:v>250</c:v>
                </c:pt>
                <c:pt idx="9">
                  <c:v>130</c:v>
                </c:pt>
                <c:pt idx="10">
                  <c:v>199</c:v>
                </c:pt>
                <c:pt idx="11">
                  <c:v>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2710224"/>
        <c:axId val="242705912"/>
      </c:lineChart>
      <c:catAx>
        <c:axId val="242710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2705912"/>
        <c:crosses val="autoZero"/>
        <c:auto val="1"/>
        <c:lblAlgn val="ctr"/>
        <c:lblOffset val="100"/>
        <c:noMultiLvlLbl val="0"/>
      </c:catAx>
      <c:valAx>
        <c:axId val="242705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271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NIMULE-GULU'!$C$59:$N$59</c:f>
              <c:numCache>
                <c:formatCode>0.0%</c:formatCode>
                <c:ptCount val="12"/>
                <c:pt idx="0">
                  <c:v>5.5345911949685536E-2</c:v>
                </c:pt>
                <c:pt idx="1">
                  <c:v>1.7610062893081761E-2</c:v>
                </c:pt>
                <c:pt idx="2">
                  <c:v>7.966457023060796E-3</c:v>
                </c:pt>
                <c:pt idx="3">
                  <c:v>0</c:v>
                </c:pt>
                <c:pt idx="4">
                  <c:v>1.2578616352201257E-3</c:v>
                </c:pt>
                <c:pt idx="5">
                  <c:v>5.450733752620545E-3</c:v>
                </c:pt>
                <c:pt idx="6">
                  <c:v>1.2159329140461216E-2</c:v>
                </c:pt>
                <c:pt idx="7">
                  <c:v>2.5157232704402514E-3</c:v>
                </c:pt>
                <c:pt idx="8">
                  <c:v>5.450733752620545E-3</c:v>
                </c:pt>
                <c:pt idx="9">
                  <c:v>2.0964360587002098E-2</c:v>
                </c:pt>
                <c:pt idx="10">
                  <c:v>0.87127882599580708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NIMULE-GULU'!$C$60:$N$60</c:f>
              <c:numCache>
                <c:formatCode>0.00%</c:formatCode>
                <c:ptCount val="12"/>
                <c:pt idx="0">
                  <c:v>0.42996742671009774</c:v>
                </c:pt>
                <c:pt idx="1">
                  <c:v>0.13680781758957655</c:v>
                </c:pt>
                <c:pt idx="2">
                  <c:v>6.1889250814332247E-2</c:v>
                </c:pt>
                <c:pt idx="3">
                  <c:v>0</c:v>
                </c:pt>
                <c:pt idx="4">
                  <c:v>9.7719869706840382E-3</c:v>
                </c:pt>
                <c:pt idx="5">
                  <c:v>4.2345276872964167E-2</c:v>
                </c:pt>
                <c:pt idx="6">
                  <c:v>9.4462540716612378E-2</c:v>
                </c:pt>
                <c:pt idx="7">
                  <c:v>1.9543973941368076E-2</c:v>
                </c:pt>
                <c:pt idx="8">
                  <c:v>4.2345276872964167E-2</c:v>
                </c:pt>
                <c:pt idx="9">
                  <c:v>0.16286644951140064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GULU-NIMULE'!$AE$10:$AE$21</c:f>
              <c:numCache>
                <c:formatCode>0</c:formatCode>
                <c:ptCount val="12"/>
                <c:pt idx="0">
                  <c:v>43</c:v>
                </c:pt>
                <c:pt idx="1">
                  <c:v>28</c:v>
                </c:pt>
                <c:pt idx="2">
                  <c:v>38</c:v>
                </c:pt>
                <c:pt idx="3">
                  <c:v>32</c:v>
                </c:pt>
                <c:pt idx="4">
                  <c:v>25</c:v>
                </c:pt>
                <c:pt idx="5">
                  <c:v>31</c:v>
                </c:pt>
                <c:pt idx="6">
                  <c:v>19</c:v>
                </c:pt>
                <c:pt idx="7">
                  <c:v>24</c:v>
                </c:pt>
                <c:pt idx="8">
                  <c:v>34</c:v>
                </c:pt>
                <c:pt idx="9">
                  <c:v>30</c:v>
                </c:pt>
                <c:pt idx="10">
                  <c:v>24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'31.07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GULU-NIMULE'!$AF$10:$AF$21</c:f>
              <c:numCache>
                <c:formatCode>0</c:formatCode>
                <c:ptCount val="12"/>
                <c:pt idx="0">
                  <c:v>280</c:v>
                </c:pt>
                <c:pt idx="1">
                  <c:v>301</c:v>
                </c:pt>
                <c:pt idx="2">
                  <c:v>247</c:v>
                </c:pt>
                <c:pt idx="3">
                  <c:v>249</c:v>
                </c:pt>
                <c:pt idx="4">
                  <c:v>197</c:v>
                </c:pt>
                <c:pt idx="5">
                  <c:v>202</c:v>
                </c:pt>
                <c:pt idx="6">
                  <c:v>154</c:v>
                </c:pt>
                <c:pt idx="7">
                  <c:v>211</c:v>
                </c:pt>
                <c:pt idx="8">
                  <c:v>250</c:v>
                </c:pt>
                <c:pt idx="9">
                  <c:v>276</c:v>
                </c:pt>
                <c:pt idx="10">
                  <c:v>285</c:v>
                </c:pt>
                <c:pt idx="11">
                  <c:v>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2704736"/>
        <c:axId val="242706304"/>
      </c:lineChart>
      <c:catAx>
        <c:axId val="242704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2706304"/>
        <c:crosses val="autoZero"/>
        <c:auto val="1"/>
        <c:lblAlgn val="ctr"/>
        <c:lblOffset val="100"/>
        <c:noMultiLvlLbl val="0"/>
      </c:catAx>
      <c:valAx>
        <c:axId val="242706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270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GULU-NIMULE'!$C$59:$N$59</c:f>
              <c:numCache>
                <c:formatCode>0.0%</c:formatCode>
                <c:ptCount val="12"/>
                <c:pt idx="0">
                  <c:v>2.5338424158278375E-2</c:v>
                </c:pt>
                <c:pt idx="1">
                  <c:v>3.8181187087816731E-2</c:v>
                </c:pt>
                <c:pt idx="2">
                  <c:v>7.9833391183616806E-3</c:v>
                </c:pt>
                <c:pt idx="3">
                  <c:v>9.3717459215550154E-3</c:v>
                </c:pt>
                <c:pt idx="4">
                  <c:v>0</c:v>
                </c:pt>
                <c:pt idx="5">
                  <c:v>2.4297119055883376E-3</c:v>
                </c:pt>
                <c:pt idx="6">
                  <c:v>7.2891357167650123E-3</c:v>
                </c:pt>
                <c:pt idx="7">
                  <c:v>3.4710170079833391E-3</c:v>
                </c:pt>
                <c:pt idx="8">
                  <c:v>1.3884068031933356E-2</c:v>
                </c:pt>
                <c:pt idx="9">
                  <c:v>1.5966678236723361E-2</c:v>
                </c:pt>
                <c:pt idx="10">
                  <c:v>0.87608469281499479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GULU-NIMULE'!$S$9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GULU-NIMULE'!$S$10:$S$21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9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11</c:v>
                </c:pt>
                <c:pt idx="8">
                  <c:v>10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'31.07 GULU-NIMULE'!$T$9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GULU-NIMULE'!$T$10:$T$21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5</c:v>
                </c:pt>
                <c:pt idx="3">
                  <c:v>9</c:v>
                </c:pt>
                <c:pt idx="4">
                  <c:v>13</c:v>
                </c:pt>
                <c:pt idx="5">
                  <c:v>10</c:v>
                </c:pt>
                <c:pt idx="6">
                  <c:v>5</c:v>
                </c:pt>
                <c:pt idx="7">
                  <c:v>2</c:v>
                </c:pt>
                <c:pt idx="8">
                  <c:v>13</c:v>
                </c:pt>
                <c:pt idx="9">
                  <c:v>13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'31.07 GULU-NIMULE'!$U$9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GULU-NIMULE'!$U$10:$U$21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'31.07 GULU-NIMULE'!$V$9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GULU-NIMULE'!$V$10:$V$21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'31.07 GULU-NIMULE'!$W$9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'31.07 GULU-NIMULE'!$X$9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'31.07 GULU-NIMULE'!$Y$9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'31.07 GULU-NIMULE'!$Z$9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'31.07 GULU-NIMULE'!$AA$9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GULU-NIMULE'!$AA$10:$AA$21</c:f>
              <c:numCache>
                <c:formatCode>0</c:formatCode>
                <c:ptCount val="12"/>
                <c:pt idx="0">
                  <c:v>14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'31.07 GULU-NIMULE'!$AB$9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GULU-NIMULE'!$AB$10:$AB$21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6</c:v>
                </c:pt>
                <c:pt idx="8">
                  <c:v>4</c:v>
                </c:pt>
                <c:pt idx="9">
                  <c:v>5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'31.07 GULU-NIMULE'!$AC$9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GULU-NIMULE'!$AC$10:$AC$21</c:f>
              <c:numCache>
                <c:formatCode>0</c:formatCode>
                <c:ptCount val="12"/>
                <c:pt idx="0">
                  <c:v>237</c:v>
                </c:pt>
                <c:pt idx="1">
                  <c:v>273</c:v>
                </c:pt>
                <c:pt idx="2">
                  <c:v>209</c:v>
                </c:pt>
                <c:pt idx="3">
                  <c:v>217</c:v>
                </c:pt>
                <c:pt idx="4">
                  <c:v>172</c:v>
                </c:pt>
                <c:pt idx="5">
                  <c:v>171</c:v>
                </c:pt>
                <c:pt idx="6">
                  <c:v>135</c:v>
                </c:pt>
                <c:pt idx="7">
                  <c:v>187</c:v>
                </c:pt>
                <c:pt idx="8">
                  <c:v>216</c:v>
                </c:pt>
                <c:pt idx="9">
                  <c:v>246</c:v>
                </c:pt>
                <c:pt idx="10">
                  <c:v>261</c:v>
                </c:pt>
                <c:pt idx="11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'31.07 GULU-NIMULE'!$AD$9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GULU-NIMULE'!$AD$10:$AD$21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7835240"/>
        <c:axId val="237830928"/>
      </c:lineChart>
      <c:catAx>
        <c:axId val="237835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0928"/>
        <c:crosses val="autoZero"/>
        <c:auto val="1"/>
        <c:lblAlgn val="ctr"/>
        <c:lblOffset val="100"/>
        <c:noMultiLvlLbl val="0"/>
      </c:catAx>
      <c:valAx>
        <c:axId val="23783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5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GULU-NIMULE'!$C$60:$N$60</c:f>
              <c:numCache>
                <c:formatCode>0.00%</c:formatCode>
                <c:ptCount val="12"/>
                <c:pt idx="0">
                  <c:v>0.20448179271708683</c:v>
                </c:pt>
                <c:pt idx="1">
                  <c:v>0.3081232492997199</c:v>
                </c:pt>
                <c:pt idx="2">
                  <c:v>6.4425770308123242E-2</c:v>
                </c:pt>
                <c:pt idx="3">
                  <c:v>7.5630252100840331E-2</c:v>
                </c:pt>
                <c:pt idx="4">
                  <c:v>0</c:v>
                </c:pt>
                <c:pt idx="5">
                  <c:v>1.9607843137254902E-2</c:v>
                </c:pt>
                <c:pt idx="6">
                  <c:v>5.8823529411764705E-2</c:v>
                </c:pt>
                <c:pt idx="7">
                  <c:v>2.8011204481792718E-2</c:v>
                </c:pt>
                <c:pt idx="8">
                  <c:v>0.11204481792717087</c:v>
                </c:pt>
                <c:pt idx="9">
                  <c:v>0.12885154061624648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'01.07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NIMULE-GULU'!$AE$10:$AE$21</c:f>
              <c:numCache>
                <c:formatCode>0</c:formatCode>
                <c:ptCount val="12"/>
                <c:pt idx="0">
                  <c:v>12</c:v>
                </c:pt>
                <c:pt idx="1">
                  <c:v>21</c:v>
                </c:pt>
                <c:pt idx="2">
                  <c:v>10</c:v>
                </c:pt>
                <c:pt idx="3">
                  <c:v>11</c:v>
                </c:pt>
                <c:pt idx="4">
                  <c:v>14</c:v>
                </c:pt>
                <c:pt idx="5">
                  <c:v>10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7</c:v>
                </c:pt>
                <c:pt idx="10">
                  <c:v>9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'01.07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NIMULE-GULU'!$AF$10:$AF$21</c:f>
              <c:numCache>
                <c:formatCode>0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19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18</c:v>
                </c:pt>
                <c:pt idx="7">
                  <c:v>20</c:v>
                </c:pt>
                <c:pt idx="8">
                  <c:v>15</c:v>
                </c:pt>
                <c:pt idx="9">
                  <c:v>16</c:v>
                </c:pt>
                <c:pt idx="10">
                  <c:v>10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7834848"/>
        <c:axId val="237831712"/>
      </c:lineChart>
      <c:catAx>
        <c:axId val="237834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1712"/>
        <c:crosses val="autoZero"/>
        <c:auto val="1"/>
        <c:lblAlgn val="ctr"/>
        <c:lblOffset val="100"/>
        <c:noMultiLvlLbl val="0"/>
      </c:catAx>
      <c:valAx>
        <c:axId val="237831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NIMULE-GULU'!$C$59:$N$59</c:f>
              <c:numCache>
                <c:formatCode>0.0%</c:formatCode>
                <c:ptCount val="12"/>
                <c:pt idx="0">
                  <c:v>0.11792452830188679</c:v>
                </c:pt>
                <c:pt idx="1">
                  <c:v>6.1320754716981132E-2</c:v>
                </c:pt>
                <c:pt idx="2">
                  <c:v>0.15566037735849056</c:v>
                </c:pt>
                <c:pt idx="3">
                  <c:v>4.7169811320754715E-3</c:v>
                </c:pt>
                <c:pt idx="4">
                  <c:v>4.7169811320754715E-3</c:v>
                </c:pt>
                <c:pt idx="5">
                  <c:v>0</c:v>
                </c:pt>
                <c:pt idx="6">
                  <c:v>0.10377358490566038</c:v>
                </c:pt>
                <c:pt idx="7">
                  <c:v>9.433962264150943E-3</c:v>
                </c:pt>
                <c:pt idx="8">
                  <c:v>4.7169811320754715E-3</c:v>
                </c:pt>
                <c:pt idx="9">
                  <c:v>0.27358490566037735</c:v>
                </c:pt>
                <c:pt idx="10">
                  <c:v>0.26415094339622641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'01.07 NIMULE-GULU'!$S$9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NIMULE-GULU'!$S$10:$S$21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'01.07 NIMULE-GULU'!$T$9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NIMULE-GULU'!$T$10:$T$21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'01.07 NIMULE-GULU'!$U$9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'01.07 NIMULE-GULU'!$V$9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'01.07 NIMULE-GULU'!$W$9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'01.07 NIMULE-GULU'!$X$9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'01.07 NIMULE-GULU'!$Y$9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'01.07 NIMULE-GULU'!$Z$9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'01.07 NIMULE-GULU'!$AA$9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'01.07 NIMULE-GULU'!$AB$9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NIMULE-GULU'!$AB$10:$AB$21</c:f>
              <c:numCache>
                <c:formatCode>0</c:formatCode>
                <c:ptCount val="12"/>
                <c:pt idx="0">
                  <c:v>7</c:v>
                </c:pt>
                <c:pt idx="1">
                  <c:v>12</c:v>
                </c:pt>
                <c:pt idx="2">
                  <c:v>2</c:v>
                </c:pt>
                <c:pt idx="3">
                  <c:v>9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7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'01.07 NIMULE-GULU'!$AC$9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NIMULE-GULU'!$AC$10:$AC$21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2</c:v>
                </c:pt>
                <c:pt idx="9">
                  <c:v>9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'01.07 NIMULE-GULU'!$AD$9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NIMULE-GULU'!$AD$10:$AD$21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7829360"/>
        <c:axId val="237834064"/>
      </c:lineChart>
      <c:catAx>
        <c:axId val="23782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4064"/>
        <c:crosses val="autoZero"/>
        <c:auto val="1"/>
        <c:lblAlgn val="ctr"/>
        <c:lblOffset val="100"/>
        <c:noMultiLvlLbl val="0"/>
      </c:catAx>
      <c:valAx>
        <c:axId val="2378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2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NIMULE-GULU'!$C$60:$N$60</c:f>
              <c:numCache>
                <c:formatCode>0.00%</c:formatCode>
                <c:ptCount val="12"/>
                <c:pt idx="0">
                  <c:v>0.16025641025641027</c:v>
                </c:pt>
                <c:pt idx="1">
                  <c:v>8.3333333333333329E-2</c:v>
                </c:pt>
                <c:pt idx="2">
                  <c:v>0.21153846153846154</c:v>
                </c:pt>
                <c:pt idx="3">
                  <c:v>6.41025641025641E-3</c:v>
                </c:pt>
                <c:pt idx="4">
                  <c:v>6.41025641025641E-3</c:v>
                </c:pt>
                <c:pt idx="5">
                  <c:v>0</c:v>
                </c:pt>
                <c:pt idx="6">
                  <c:v>0.14102564102564102</c:v>
                </c:pt>
                <c:pt idx="7">
                  <c:v>1.282051282051282E-2</c:v>
                </c:pt>
                <c:pt idx="8">
                  <c:v>6.41025641025641E-3</c:v>
                </c:pt>
                <c:pt idx="9">
                  <c:v>0.37179487179487181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'01.07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GULU-NIMULE'!$AE$10:$AE$21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8</c:v>
                </c:pt>
                <c:pt idx="3">
                  <c:v>10</c:v>
                </c:pt>
                <c:pt idx="4">
                  <c:v>9</c:v>
                </c:pt>
                <c:pt idx="5">
                  <c:v>17</c:v>
                </c:pt>
                <c:pt idx="6">
                  <c:v>7</c:v>
                </c:pt>
                <c:pt idx="7">
                  <c:v>16</c:v>
                </c:pt>
                <c:pt idx="8">
                  <c:v>21</c:v>
                </c:pt>
                <c:pt idx="9">
                  <c:v>17</c:v>
                </c:pt>
                <c:pt idx="10">
                  <c:v>25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'01.07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GULU-NIMULE'!$AF$10:$AF$21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14</c:v>
                </c:pt>
                <c:pt idx="5">
                  <c:v>22</c:v>
                </c:pt>
                <c:pt idx="6">
                  <c:v>11</c:v>
                </c:pt>
                <c:pt idx="7">
                  <c:v>21</c:v>
                </c:pt>
                <c:pt idx="8">
                  <c:v>29</c:v>
                </c:pt>
                <c:pt idx="9">
                  <c:v>19</c:v>
                </c:pt>
                <c:pt idx="10">
                  <c:v>32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7832496"/>
        <c:axId val="237829752"/>
      </c:lineChart>
      <c:catAx>
        <c:axId val="2378324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29752"/>
        <c:crosses val="autoZero"/>
        <c:auto val="1"/>
        <c:lblAlgn val="ctr"/>
        <c:lblOffset val="100"/>
        <c:noMultiLvlLbl val="0"/>
      </c:catAx>
      <c:valAx>
        <c:axId val="237829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3783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GULU-NIMULE'!$C$59:$N$59</c:f>
              <c:numCache>
                <c:formatCode>0.0%</c:formatCode>
                <c:ptCount val="12"/>
                <c:pt idx="0">
                  <c:v>0.10176991150442478</c:v>
                </c:pt>
                <c:pt idx="1">
                  <c:v>0</c:v>
                </c:pt>
                <c:pt idx="2">
                  <c:v>0.19469026548672566</c:v>
                </c:pt>
                <c:pt idx="3">
                  <c:v>0</c:v>
                </c:pt>
                <c:pt idx="4">
                  <c:v>4.4247787610619468E-3</c:v>
                </c:pt>
                <c:pt idx="5">
                  <c:v>2.6548672566371681E-2</c:v>
                </c:pt>
                <c:pt idx="6">
                  <c:v>0.12389380530973451</c:v>
                </c:pt>
                <c:pt idx="7">
                  <c:v>3.0973451327433628E-2</c:v>
                </c:pt>
                <c:pt idx="8">
                  <c:v>0</c:v>
                </c:pt>
                <c:pt idx="9">
                  <c:v>0.25663716814159293</c:v>
                </c:pt>
                <c:pt idx="10">
                  <c:v>0.26106194690265488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'01.07 GULU-NIMULE'!$S$9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GULU-NIMULE'!$S$10:$S$21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'01.07 GULU-NIMULE'!$T$9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'01.07 GULU-NIMULE'!$T$10:$T$21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'01.07 GULU-NIMULE'!$U$9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8</c:v>
                </c:pt>
                <c:pt idx="9">
                  <c:v>4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'01.07 GULU-NIMULE'!$V$9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'01.07 GULU-NIMULE'!$W$9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'01.07 GULU-NIMULE'!$X$9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'01.07 GULU-NIMULE'!$Y$9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'01.07 GULU-NIMULE'!$Z$9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'01.07 GULU-NIMULE'!$AA$9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'01.07 GULU-NIMULE'!$AB$9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1</c:v>
                </c:pt>
                <c:pt idx="5">
                  <c:v>10</c:v>
                </c:pt>
                <c:pt idx="6">
                  <c:v>1</c:v>
                </c:pt>
                <c:pt idx="7">
                  <c:v>4</c:v>
                </c:pt>
                <c:pt idx="8">
                  <c:v>3</c:v>
                </c:pt>
                <c:pt idx="9">
                  <c:v>7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'01.07 GULU-NIMULE'!$AC$9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GULU-NIMULE'!$AC$10:$AC$21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5</c:v>
                </c:pt>
                <c:pt idx="8">
                  <c:v>8</c:v>
                </c:pt>
                <c:pt idx="9">
                  <c:v>2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'01.07 GULU-NIMULE'!$AD$9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'01.07 GULU-NIMULE'!$AD$10:$AD$21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4254920"/>
        <c:axId val="264252960"/>
      </c:lineChart>
      <c:catAx>
        <c:axId val="264254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2960"/>
        <c:crosses val="autoZero"/>
        <c:auto val="1"/>
        <c:lblAlgn val="ctr"/>
        <c:lblOffset val="100"/>
        <c:noMultiLvlLbl val="0"/>
      </c:catAx>
      <c:valAx>
        <c:axId val="2642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4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GULU-NIMULE'!$C$60:$N$60</c:f>
              <c:numCache>
                <c:formatCode>0.00%</c:formatCode>
                <c:ptCount val="12"/>
                <c:pt idx="0">
                  <c:v>0.1377245508982036</c:v>
                </c:pt>
                <c:pt idx="1">
                  <c:v>0</c:v>
                </c:pt>
                <c:pt idx="2">
                  <c:v>0.26347305389221559</c:v>
                </c:pt>
                <c:pt idx="3">
                  <c:v>0</c:v>
                </c:pt>
                <c:pt idx="4">
                  <c:v>5.9880239520958087E-3</c:v>
                </c:pt>
                <c:pt idx="5">
                  <c:v>3.5928143712574849E-2</c:v>
                </c:pt>
                <c:pt idx="6">
                  <c:v>0.16766467065868262</c:v>
                </c:pt>
                <c:pt idx="7">
                  <c:v>4.1916167664670656E-2</c:v>
                </c:pt>
                <c:pt idx="8">
                  <c:v>0</c:v>
                </c:pt>
                <c:pt idx="9">
                  <c:v>0.3473053892215569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'02.07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NIMULE-GULU'!$AE$10:$AE$21</c:f>
              <c:numCache>
                <c:formatCode>0</c:formatCode>
                <c:ptCount val="12"/>
                <c:pt idx="0">
                  <c:v>20</c:v>
                </c:pt>
                <c:pt idx="1">
                  <c:v>11</c:v>
                </c:pt>
                <c:pt idx="2">
                  <c:v>17</c:v>
                </c:pt>
                <c:pt idx="3">
                  <c:v>8</c:v>
                </c:pt>
                <c:pt idx="4">
                  <c:v>12</c:v>
                </c:pt>
                <c:pt idx="5">
                  <c:v>23</c:v>
                </c:pt>
                <c:pt idx="6">
                  <c:v>11</c:v>
                </c:pt>
                <c:pt idx="7">
                  <c:v>11</c:v>
                </c:pt>
                <c:pt idx="8">
                  <c:v>13</c:v>
                </c:pt>
                <c:pt idx="9">
                  <c:v>5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'02.07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NIMULE-GULU'!$AF$10:$AF$21</c:f>
              <c:numCache>
                <c:formatCode>0</c:formatCode>
                <c:ptCount val="12"/>
                <c:pt idx="0">
                  <c:v>24</c:v>
                </c:pt>
                <c:pt idx="1">
                  <c:v>13</c:v>
                </c:pt>
                <c:pt idx="2">
                  <c:v>23</c:v>
                </c:pt>
                <c:pt idx="3">
                  <c:v>16</c:v>
                </c:pt>
                <c:pt idx="4">
                  <c:v>17</c:v>
                </c:pt>
                <c:pt idx="5">
                  <c:v>27</c:v>
                </c:pt>
                <c:pt idx="6">
                  <c:v>18</c:v>
                </c:pt>
                <c:pt idx="7">
                  <c:v>13</c:v>
                </c:pt>
                <c:pt idx="8">
                  <c:v>18</c:v>
                </c:pt>
                <c:pt idx="9">
                  <c:v>7</c:v>
                </c:pt>
                <c:pt idx="10">
                  <c:v>18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4251784"/>
        <c:axId val="264256096"/>
      </c:lineChart>
      <c:catAx>
        <c:axId val="2642517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6096"/>
        <c:crosses val="autoZero"/>
        <c:auto val="1"/>
        <c:lblAlgn val="ctr"/>
        <c:lblOffset val="100"/>
        <c:noMultiLvlLbl val="0"/>
      </c:catAx>
      <c:valAx>
        <c:axId val="264256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1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'02.07 NIMULE-GULU'!$C$59:$N$59</c:f>
              <c:numCache>
                <c:formatCode>0.0%</c:formatCode>
                <c:ptCount val="12"/>
                <c:pt idx="0">
                  <c:v>0.16267942583732056</c:v>
                </c:pt>
                <c:pt idx="1">
                  <c:v>1.9138755980861243E-2</c:v>
                </c:pt>
                <c:pt idx="2">
                  <c:v>0.15311004784688995</c:v>
                </c:pt>
                <c:pt idx="3">
                  <c:v>9.5693779904306216E-3</c:v>
                </c:pt>
                <c:pt idx="4">
                  <c:v>9.5693779904306216E-3</c:v>
                </c:pt>
                <c:pt idx="5">
                  <c:v>0</c:v>
                </c:pt>
                <c:pt idx="6">
                  <c:v>0.12440191387559808</c:v>
                </c:pt>
                <c:pt idx="7">
                  <c:v>2.3923444976076555E-2</c:v>
                </c:pt>
                <c:pt idx="8">
                  <c:v>0</c:v>
                </c:pt>
                <c:pt idx="9">
                  <c:v>0.24401913875598086</c:v>
                </c:pt>
                <c:pt idx="10">
                  <c:v>0.25358851674641147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'02.07 NIMULE-GULU'!$S$9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NIMULE-GULU'!$S$10:$S$21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'02.07 NIMULE-GULU'!$T$9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NIMULE-GULU'!$T$10:$T$21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'02.07 NIMULE-GULU'!$U$9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'02.07 NIMULE-GULU'!$V$9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'02.07 NIMULE-GULU'!$W$9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'02.07 NIMULE-GULU'!$X$9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'02.07 NIMULE-GULU'!$Y$9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NIMULE-GULU'!$Y$10:$Y$21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'02.07 NIMULE-GULU'!$Z$9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'02.07 NIMULE-GULU'!$AA$9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'02.07 NIMULE-GULU'!$AB$9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NIMULE-GULU'!$AB$10:$AB$21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12</c:v>
                </c:pt>
                <c:pt idx="3">
                  <c:v>3</c:v>
                </c:pt>
                <c:pt idx="4">
                  <c:v>3</c:v>
                </c:pt>
                <c:pt idx="5">
                  <c:v>7</c:v>
                </c:pt>
                <c:pt idx="6">
                  <c:v>1</c:v>
                </c:pt>
                <c:pt idx="7">
                  <c:v>5</c:v>
                </c:pt>
                <c:pt idx="8">
                  <c:v>4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'02.07 NIMULE-GULU'!$AC$9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NIMULE-GULU'!$AC$10:$AC$21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6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'02.07 NIMULE-GULU'!$AD$9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'02.07 NIMULE-GULU'!$AD$10:$AD$21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4256488"/>
        <c:axId val="264250216"/>
      </c:lineChart>
      <c:catAx>
        <c:axId val="264256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0216"/>
        <c:crosses val="autoZero"/>
        <c:auto val="1"/>
        <c:lblAlgn val="ctr"/>
        <c:lblOffset val="100"/>
        <c:noMultiLvlLbl val="0"/>
      </c:catAx>
      <c:valAx>
        <c:axId val="264250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6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'02.07 NIMULE-GULU'!$C$60:$N$60</c:f>
              <c:numCache>
                <c:formatCode>0.00%</c:formatCode>
                <c:ptCount val="12"/>
                <c:pt idx="0">
                  <c:v>0.21794871794871795</c:v>
                </c:pt>
                <c:pt idx="1">
                  <c:v>2.564102564102564E-2</c:v>
                </c:pt>
                <c:pt idx="2">
                  <c:v>0.20512820512820512</c:v>
                </c:pt>
                <c:pt idx="3">
                  <c:v>1.282051282051282E-2</c:v>
                </c:pt>
                <c:pt idx="4">
                  <c:v>1.282051282051282E-2</c:v>
                </c:pt>
                <c:pt idx="5">
                  <c:v>0</c:v>
                </c:pt>
                <c:pt idx="6">
                  <c:v>0.16666666666666666</c:v>
                </c:pt>
                <c:pt idx="7">
                  <c:v>3.2051282051282048E-2</c:v>
                </c:pt>
                <c:pt idx="8">
                  <c:v>0</c:v>
                </c:pt>
                <c:pt idx="9">
                  <c:v>0.32692307692307693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'02.07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GULU-NIMULE'!$AE$10:$AE$21</c:f>
              <c:numCache>
                <c:formatCode>0</c:formatCode>
                <c:ptCount val="12"/>
                <c:pt idx="0">
                  <c:v>8</c:v>
                </c:pt>
                <c:pt idx="1">
                  <c:v>17</c:v>
                </c:pt>
                <c:pt idx="2">
                  <c:v>13</c:v>
                </c:pt>
                <c:pt idx="3">
                  <c:v>21</c:v>
                </c:pt>
                <c:pt idx="4">
                  <c:v>15</c:v>
                </c:pt>
                <c:pt idx="5">
                  <c:v>7</c:v>
                </c:pt>
                <c:pt idx="6">
                  <c:v>20</c:v>
                </c:pt>
                <c:pt idx="7">
                  <c:v>17</c:v>
                </c:pt>
                <c:pt idx="8">
                  <c:v>19</c:v>
                </c:pt>
                <c:pt idx="9">
                  <c:v>24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'02.07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'02.07 GULU-NIMULE'!$AF$10:$AF$21</c:f>
              <c:numCache>
                <c:formatCode>0</c:formatCode>
                <c:ptCount val="12"/>
                <c:pt idx="0">
                  <c:v>11</c:v>
                </c:pt>
                <c:pt idx="1">
                  <c:v>22</c:v>
                </c:pt>
                <c:pt idx="2">
                  <c:v>18</c:v>
                </c:pt>
                <c:pt idx="3">
                  <c:v>32</c:v>
                </c:pt>
                <c:pt idx="4">
                  <c:v>19</c:v>
                </c:pt>
                <c:pt idx="5">
                  <c:v>11</c:v>
                </c:pt>
                <c:pt idx="6">
                  <c:v>26</c:v>
                </c:pt>
                <c:pt idx="7">
                  <c:v>22</c:v>
                </c:pt>
                <c:pt idx="8">
                  <c:v>27</c:v>
                </c:pt>
                <c:pt idx="9">
                  <c:v>34</c:v>
                </c:pt>
                <c:pt idx="10">
                  <c:v>27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4250608"/>
        <c:axId val="264253352"/>
      </c:lineChart>
      <c:catAx>
        <c:axId val="264250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3352"/>
        <c:crosses val="autoZero"/>
        <c:auto val="1"/>
        <c:lblAlgn val="ctr"/>
        <c:lblOffset val="100"/>
        <c:noMultiLvlLbl val="0"/>
      </c:catAx>
      <c:valAx>
        <c:axId val="264253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'02.07 GULU-NIMULE'!$C$59:$N$59</c:f>
              <c:numCache>
                <c:formatCode>0.0%</c:formatCode>
                <c:ptCount val="12"/>
                <c:pt idx="0">
                  <c:v>8.8560885608856083E-2</c:v>
                </c:pt>
                <c:pt idx="1">
                  <c:v>7.3800738007380072E-3</c:v>
                </c:pt>
                <c:pt idx="2">
                  <c:v>0.17343173431734318</c:v>
                </c:pt>
                <c:pt idx="3">
                  <c:v>0</c:v>
                </c:pt>
                <c:pt idx="4">
                  <c:v>0</c:v>
                </c:pt>
                <c:pt idx="5">
                  <c:v>3.3210332103321034E-2</c:v>
                </c:pt>
                <c:pt idx="6">
                  <c:v>4.0590405904059039E-2</c:v>
                </c:pt>
                <c:pt idx="7">
                  <c:v>7.3800738007380072E-3</c:v>
                </c:pt>
                <c:pt idx="8">
                  <c:v>0</c:v>
                </c:pt>
                <c:pt idx="9">
                  <c:v>0.34686346863468637</c:v>
                </c:pt>
                <c:pt idx="10">
                  <c:v>0.30258302583025831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'02.07 GULU-NIMULE'!$C$60:$N$60</c:f>
              <c:numCache>
                <c:formatCode>0.00%</c:formatCode>
                <c:ptCount val="12"/>
                <c:pt idx="0">
                  <c:v>0.12698412698412698</c:v>
                </c:pt>
                <c:pt idx="1">
                  <c:v>1.0582010582010581E-2</c:v>
                </c:pt>
                <c:pt idx="2">
                  <c:v>0.24867724867724866</c:v>
                </c:pt>
                <c:pt idx="3">
                  <c:v>0</c:v>
                </c:pt>
                <c:pt idx="4">
                  <c:v>0</c:v>
                </c:pt>
                <c:pt idx="5">
                  <c:v>4.7619047619047616E-2</c:v>
                </c:pt>
                <c:pt idx="6">
                  <c:v>5.8201058201058198E-2</c:v>
                </c:pt>
                <c:pt idx="7">
                  <c:v>1.0582010582010581E-2</c:v>
                </c:pt>
                <c:pt idx="8">
                  <c:v>0</c:v>
                </c:pt>
                <c:pt idx="9">
                  <c:v>0.49735449735449733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'03.07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NIMULE-GULU'!$AE$10:$AE$21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10</c:v>
                </c:pt>
                <c:pt idx="7">
                  <c:v>21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'03.07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NIMULE-GULU'!$AF$10:$AF$21</c:f>
              <c:numCache>
                <c:formatCode>0</c:formatCode>
                <c:ptCount val="12"/>
                <c:pt idx="0">
                  <c:v>19</c:v>
                </c:pt>
                <c:pt idx="1">
                  <c:v>12</c:v>
                </c:pt>
                <c:pt idx="2">
                  <c:v>19</c:v>
                </c:pt>
                <c:pt idx="3">
                  <c:v>25</c:v>
                </c:pt>
                <c:pt idx="4">
                  <c:v>17</c:v>
                </c:pt>
                <c:pt idx="5">
                  <c:v>23</c:v>
                </c:pt>
                <c:pt idx="6">
                  <c:v>18</c:v>
                </c:pt>
                <c:pt idx="7">
                  <c:v>23</c:v>
                </c:pt>
                <c:pt idx="8">
                  <c:v>15</c:v>
                </c:pt>
                <c:pt idx="9">
                  <c:v>24</c:v>
                </c:pt>
                <c:pt idx="10">
                  <c:v>20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4255704"/>
        <c:axId val="242708656"/>
      </c:lineChart>
      <c:catAx>
        <c:axId val="264255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2708656"/>
        <c:crosses val="autoZero"/>
        <c:auto val="1"/>
        <c:lblAlgn val="ctr"/>
        <c:lblOffset val="100"/>
        <c:noMultiLvlLbl val="0"/>
      </c:catAx>
      <c:valAx>
        <c:axId val="242708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4255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NIMULE-GULU'!$C$59:$N$59</c:f>
              <c:numCache>
                <c:formatCode>0.0%</c:formatCode>
                <c:ptCount val="12"/>
                <c:pt idx="0">
                  <c:v>0.10256410256410256</c:v>
                </c:pt>
                <c:pt idx="1">
                  <c:v>4.7008547008547008E-2</c:v>
                </c:pt>
                <c:pt idx="2">
                  <c:v>0.12393162393162394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8.5470085470085472E-2</c:v>
                </c:pt>
                <c:pt idx="7">
                  <c:v>4.2735042735042739E-3</c:v>
                </c:pt>
                <c:pt idx="8">
                  <c:v>4.2735042735042739E-3</c:v>
                </c:pt>
                <c:pt idx="9">
                  <c:v>0.29059829059829062</c:v>
                </c:pt>
                <c:pt idx="10">
                  <c:v>0.34188034188034189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'03.07 NIMULE-GULU'!$S$9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NIMULE-GULU'!$S$10:$S$21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'03.07 NIMULE-GULU'!$T$9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NIMULE-GULU'!$T$10:$T$21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'03.07 NIMULE-GULU'!$U$9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'03.07 NIMULE-GULU'!$V$9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'03.07 NIMULE-GULU'!$W$9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'03.07 NIMULE-GULU'!$X$9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'03.07 NIMULE-GULU'!$Y$9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'03.07 NIMULE-GULU'!$Z$9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'03.07 NIMULE-GULU'!$AA$9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'03.07 NIMULE-GULU'!$AB$9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NIMULE-GULU'!$AB$10:$AB$21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9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15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'03.07 NIMULE-GULU'!$AC$9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NIMULE-GULU'!$AC$10:$AC$21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2</c:v>
                </c:pt>
                <c:pt idx="8">
                  <c:v>5</c:v>
                </c:pt>
                <c:pt idx="9">
                  <c:v>12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'03.07 NIMULE-GULU'!$AD$9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NIMULE-GULU'!$AD$10:$AD$21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751416"/>
        <c:axId val="262749848"/>
      </c:lineChart>
      <c:catAx>
        <c:axId val="262751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749848"/>
        <c:crosses val="autoZero"/>
        <c:auto val="1"/>
        <c:lblAlgn val="ctr"/>
        <c:lblOffset val="100"/>
        <c:noMultiLvlLbl val="0"/>
      </c:catAx>
      <c:valAx>
        <c:axId val="262749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751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NIMULE-GULU'!$C$60:$N$60</c:f>
              <c:numCache>
                <c:formatCode>0.00%</c:formatCode>
                <c:ptCount val="12"/>
                <c:pt idx="0">
                  <c:v>0.15584415584415584</c:v>
                </c:pt>
                <c:pt idx="1">
                  <c:v>7.1428571428571425E-2</c:v>
                </c:pt>
                <c:pt idx="2">
                  <c:v>0.18831168831168832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0.12987012987012986</c:v>
                </c:pt>
                <c:pt idx="7">
                  <c:v>6.4935064935064939E-3</c:v>
                </c:pt>
                <c:pt idx="8">
                  <c:v>6.4935064935064939E-3</c:v>
                </c:pt>
                <c:pt idx="9">
                  <c:v>0.44155844155844154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'03.07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GULU-NIMULE'!$AE$10:$AE$21</c:f>
              <c:numCache>
                <c:formatCode>0</c:formatCode>
                <c:ptCount val="12"/>
                <c:pt idx="0">
                  <c:v>11</c:v>
                </c:pt>
                <c:pt idx="1">
                  <c:v>17</c:v>
                </c:pt>
                <c:pt idx="2">
                  <c:v>18</c:v>
                </c:pt>
                <c:pt idx="3">
                  <c:v>37</c:v>
                </c:pt>
                <c:pt idx="4">
                  <c:v>18</c:v>
                </c:pt>
                <c:pt idx="5">
                  <c:v>17</c:v>
                </c:pt>
                <c:pt idx="6">
                  <c:v>19</c:v>
                </c:pt>
                <c:pt idx="7">
                  <c:v>5</c:v>
                </c:pt>
                <c:pt idx="8">
                  <c:v>21</c:v>
                </c:pt>
                <c:pt idx="9">
                  <c:v>15</c:v>
                </c:pt>
                <c:pt idx="10">
                  <c:v>21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'03.07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GULU-NIMULE'!$AF$10:$AF$21</c:f>
              <c:numCache>
                <c:formatCode>0</c:formatCode>
                <c:ptCount val="12"/>
                <c:pt idx="0">
                  <c:v>13</c:v>
                </c:pt>
                <c:pt idx="1">
                  <c:v>18</c:v>
                </c:pt>
                <c:pt idx="2">
                  <c:v>24</c:v>
                </c:pt>
                <c:pt idx="3">
                  <c:v>44</c:v>
                </c:pt>
                <c:pt idx="4">
                  <c:v>23</c:v>
                </c:pt>
                <c:pt idx="5">
                  <c:v>20</c:v>
                </c:pt>
                <c:pt idx="6">
                  <c:v>22</c:v>
                </c:pt>
                <c:pt idx="7">
                  <c:v>11</c:v>
                </c:pt>
                <c:pt idx="8">
                  <c:v>21</c:v>
                </c:pt>
                <c:pt idx="9">
                  <c:v>19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2749064"/>
        <c:axId val="262750632"/>
      </c:lineChart>
      <c:catAx>
        <c:axId val="262749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750632"/>
        <c:crosses val="autoZero"/>
        <c:auto val="1"/>
        <c:lblAlgn val="ctr"/>
        <c:lblOffset val="100"/>
        <c:noMultiLvlLbl val="0"/>
      </c:catAx>
      <c:valAx>
        <c:axId val="262750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749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GULU-NIMULE'!$C$59:$N$59</c:f>
              <c:numCache>
                <c:formatCode>0.0%</c:formatCode>
                <c:ptCount val="12"/>
                <c:pt idx="0">
                  <c:v>0.12781954887218044</c:v>
                </c:pt>
                <c:pt idx="1">
                  <c:v>0</c:v>
                </c:pt>
                <c:pt idx="2">
                  <c:v>0.13157894736842105</c:v>
                </c:pt>
                <c:pt idx="3">
                  <c:v>3.7593984962406013E-3</c:v>
                </c:pt>
                <c:pt idx="4">
                  <c:v>7.5187969924812026E-3</c:v>
                </c:pt>
                <c:pt idx="5">
                  <c:v>3.7593984962406013E-2</c:v>
                </c:pt>
                <c:pt idx="6">
                  <c:v>9.7744360902255634E-2</c:v>
                </c:pt>
                <c:pt idx="7">
                  <c:v>1.1278195488721804E-2</c:v>
                </c:pt>
                <c:pt idx="8">
                  <c:v>0</c:v>
                </c:pt>
                <c:pt idx="9">
                  <c:v>0.38345864661654133</c:v>
                </c:pt>
                <c:pt idx="10">
                  <c:v>0.19924812030075187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'03.07 GULU-NIMULE'!$S$9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GULU-NIMULE'!$S$10:$S$21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'03.07 GULU-NIMULE'!$T$9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'03.07 GULU-NIMULE'!$T$10:$T$21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'03.07 GULU-NIMULE'!$U$9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4</c:v>
                </c:pt>
                <c:pt idx="5">
                  <c:v>0</c:v>
                </c:pt>
                <c:pt idx="6">
                  <c:v>6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'03.07 GULU-NIMULE'!$V$9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'03.07 GULU-NIMULE'!$W$9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'03.07 GULU-NIMULE'!$X$9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'03.07 GULU-NIMULE'!$Y$9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'03.07 GULU-NIMULE'!$Z$9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'03.07 GULU-NIMULE'!$AA$9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'03.07 GULU-NIMULE'!$AB$9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GULU-NIMULE'!$AB$10:$AB$21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14</c:v>
                </c:pt>
                <c:pt idx="3">
                  <c:v>16</c:v>
                </c:pt>
                <c:pt idx="4">
                  <c:v>11</c:v>
                </c:pt>
                <c:pt idx="5">
                  <c:v>11</c:v>
                </c:pt>
                <c:pt idx="6">
                  <c:v>8</c:v>
                </c:pt>
                <c:pt idx="7">
                  <c:v>4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'03.07 GULU-NIMULE'!$AC$9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GULU-NIMULE'!$AC$10:$AC$21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'03.07 GULU-NIMULE'!$AD$9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'03.07 GULU-NIMULE'!$AD$10:$AD$21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9201000"/>
        <c:axId val="249200216"/>
      </c:lineChart>
      <c:catAx>
        <c:axId val="249201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200216"/>
        <c:crosses val="autoZero"/>
        <c:auto val="1"/>
        <c:lblAlgn val="ctr"/>
        <c:lblOffset val="100"/>
        <c:noMultiLvlLbl val="0"/>
      </c:catAx>
      <c:valAx>
        <c:axId val="249200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201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GULU-NIMULE'!$C$60:$N$60</c:f>
              <c:numCache>
                <c:formatCode>0.00%</c:formatCode>
                <c:ptCount val="12"/>
                <c:pt idx="0">
                  <c:v>0.15962441314553991</c:v>
                </c:pt>
                <c:pt idx="1">
                  <c:v>0</c:v>
                </c:pt>
                <c:pt idx="2">
                  <c:v>0.16431924882629109</c:v>
                </c:pt>
                <c:pt idx="3">
                  <c:v>4.6948356807511738E-3</c:v>
                </c:pt>
                <c:pt idx="4">
                  <c:v>9.3896713615023476E-3</c:v>
                </c:pt>
                <c:pt idx="5">
                  <c:v>4.6948356807511735E-2</c:v>
                </c:pt>
                <c:pt idx="6">
                  <c:v>0.12206572769953052</c:v>
                </c:pt>
                <c:pt idx="7">
                  <c:v>1.4084507042253521E-2</c:v>
                </c:pt>
                <c:pt idx="8">
                  <c:v>0</c:v>
                </c:pt>
                <c:pt idx="9">
                  <c:v>0.47887323943661969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'04.07 NIMULE-GULU-24h'!$AE$9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'04.07 NIMULE-GULU-24h'!$R$10:$R$33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'04.07 NIMULE-GULU-24h'!$AE$10:$AE$33</c:f>
              <c:numCache>
                <c:formatCode>0</c:formatCode>
                <c:ptCount val="24"/>
                <c:pt idx="0">
                  <c:v>13</c:v>
                </c:pt>
                <c:pt idx="1">
                  <c:v>13</c:v>
                </c:pt>
                <c:pt idx="2">
                  <c:v>14</c:v>
                </c:pt>
                <c:pt idx="3">
                  <c:v>6</c:v>
                </c:pt>
                <c:pt idx="4">
                  <c:v>26</c:v>
                </c:pt>
                <c:pt idx="5">
                  <c:v>23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21</c:v>
                </c:pt>
                <c:pt idx="10">
                  <c:v>11</c:v>
                </c:pt>
                <c:pt idx="11">
                  <c:v>20</c:v>
                </c:pt>
                <c:pt idx="12">
                  <c:v>10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'04.07 NIMULE-GULU-24h'!$AF$9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'04.07 NIMULE-GULU-24h'!$R$10:$R$33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'04.07 NIMULE-GULU-24h'!$AF$10:$AF$33</c:f>
              <c:numCache>
                <c:formatCode>0</c:formatCode>
                <c:ptCount val="24"/>
                <c:pt idx="0">
                  <c:v>18</c:v>
                </c:pt>
                <c:pt idx="1">
                  <c:v>14</c:v>
                </c:pt>
                <c:pt idx="2">
                  <c:v>20</c:v>
                </c:pt>
                <c:pt idx="3">
                  <c:v>10</c:v>
                </c:pt>
                <c:pt idx="4">
                  <c:v>30</c:v>
                </c:pt>
                <c:pt idx="5">
                  <c:v>33</c:v>
                </c:pt>
                <c:pt idx="6">
                  <c:v>14</c:v>
                </c:pt>
                <c:pt idx="7">
                  <c:v>13</c:v>
                </c:pt>
                <c:pt idx="8">
                  <c:v>14</c:v>
                </c:pt>
                <c:pt idx="9">
                  <c:v>27</c:v>
                </c:pt>
                <c:pt idx="10">
                  <c:v>15</c:v>
                </c:pt>
                <c:pt idx="11">
                  <c:v>23</c:v>
                </c:pt>
                <c:pt idx="12">
                  <c:v>14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330024"/>
        <c:axId val="249335904"/>
      </c:lineChart>
      <c:catAx>
        <c:axId val="249330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5904"/>
        <c:crosses val="autoZero"/>
        <c:auto val="1"/>
        <c:lblAlgn val="ctr"/>
        <c:lblOffset val="100"/>
        <c:noMultiLvlLbl val="0"/>
      </c:catAx>
      <c:valAx>
        <c:axId val="249335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0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'04.07 NIMULE-GULU-24h'!$C$9:$N$9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'04.07 NIMULE-GULU-24h'!$C$107:$N$107</c:f>
              <c:numCache>
                <c:formatCode>0.0%</c:formatCode>
                <c:ptCount val="12"/>
                <c:pt idx="0">
                  <c:v>0.15102040816326531</c:v>
                </c:pt>
                <c:pt idx="1">
                  <c:v>6.5306122448979598E-2</c:v>
                </c:pt>
                <c:pt idx="2">
                  <c:v>0.15510204081632653</c:v>
                </c:pt>
                <c:pt idx="3">
                  <c:v>8.1632653061224497E-3</c:v>
                </c:pt>
                <c:pt idx="4">
                  <c:v>0</c:v>
                </c:pt>
                <c:pt idx="5">
                  <c:v>0</c:v>
                </c:pt>
                <c:pt idx="6">
                  <c:v>9.3877551020408165E-2</c:v>
                </c:pt>
                <c:pt idx="7">
                  <c:v>4.0816326530612249E-3</c:v>
                </c:pt>
                <c:pt idx="8">
                  <c:v>8.1632653061224497E-3</c:v>
                </c:pt>
                <c:pt idx="9">
                  <c:v>0.26530612244897961</c:v>
                </c:pt>
                <c:pt idx="10">
                  <c:v>0.24897959183673468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'04.07 NIMULE-GULU-24h'!$C$9:$N$9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'04.07 NIMULE-GULU-24h'!$C$108:$N$108</c:f>
              <c:numCache>
                <c:formatCode>0.00%</c:formatCode>
                <c:ptCount val="12"/>
                <c:pt idx="0">
                  <c:v>0.20108695652173914</c:v>
                </c:pt>
                <c:pt idx="1">
                  <c:v>8.6956521739130432E-2</c:v>
                </c:pt>
                <c:pt idx="2">
                  <c:v>0.20652173913043478</c:v>
                </c:pt>
                <c:pt idx="3">
                  <c:v>1.0869565217391304E-2</c:v>
                </c:pt>
                <c:pt idx="4">
                  <c:v>0</c:v>
                </c:pt>
                <c:pt idx="5">
                  <c:v>0</c:v>
                </c:pt>
                <c:pt idx="6">
                  <c:v>0.125</c:v>
                </c:pt>
                <c:pt idx="7">
                  <c:v>5.434782608695652E-3</c:v>
                </c:pt>
                <c:pt idx="8">
                  <c:v>1.0869565217391304E-2</c:v>
                </c:pt>
                <c:pt idx="9">
                  <c:v>0.35326086956521741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'04.07 GULU-NIMULE-24h'!$AE$9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'04.07 GULU-NIMULE-24h'!$R$10:$R$33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'04.07 GULU-NIMULE-24h'!$AE$10:$AE$33</c:f>
              <c:numCache>
                <c:formatCode>0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27</c:v>
                </c:pt>
                <c:pt idx="3">
                  <c:v>17</c:v>
                </c:pt>
                <c:pt idx="4">
                  <c:v>31</c:v>
                </c:pt>
                <c:pt idx="5">
                  <c:v>28</c:v>
                </c:pt>
                <c:pt idx="6">
                  <c:v>36</c:v>
                </c:pt>
                <c:pt idx="7">
                  <c:v>16</c:v>
                </c:pt>
                <c:pt idx="8">
                  <c:v>19</c:v>
                </c:pt>
                <c:pt idx="9">
                  <c:v>17</c:v>
                </c:pt>
                <c:pt idx="10">
                  <c:v>18</c:v>
                </c:pt>
                <c:pt idx="11">
                  <c:v>12</c:v>
                </c:pt>
                <c:pt idx="12">
                  <c:v>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'04.07 GULU-NIMULE-24h'!$AF$9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'04.07 GULU-NIMULE-24h'!$R$10:$R$33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'04.07 GULU-NIMULE-24h'!$AF$10:$AF$33</c:f>
              <c:numCache>
                <c:formatCode>0</c:formatCode>
                <c:ptCount val="24"/>
                <c:pt idx="0">
                  <c:v>9</c:v>
                </c:pt>
                <c:pt idx="1">
                  <c:v>17</c:v>
                </c:pt>
                <c:pt idx="2">
                  <c:v>30</c:v>
                </c:pt>
                <c:pt idx="3">
                  <c:v>21</c:v>
                </c:pt>
                <c:pt idx="4">
                  <c:v>36</c:v>
                </c:pt>
                <c:pt idx="5">
                  <c:v>32</c:v>
                </c:pt>
                <c:pt idx="6">
                  <c:v>37</c:v>
                </c:pt>
                <c:pt idx="7">
                  <c:v>21</c:v>
                </c:pt>
                <c:pt idx="8">
                  <c:v>26</c:v>
                </c:pt>
                <c:pt idx="9">
                  <c:v>18</c:v>
                </c:pt>
                <c:pt idx="10">
                  <c:v>20</c:v>
                </c:pt>
                <c:pt idx="11">
                  <c:v>12</c:v>
                </c:pt>
                <c:pt idx="12">
                  <c:v>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336688"/>
        <c:axId val="249333944"/>
      </c:lineChart>
      <c:catAx>
        <c:axId val="249336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3944"/>
        <c:crosses val="autoZero"/>
        <c:auto val="1"/>
        <c:lblAlgn val="ctr"/>
        <c:lblOffset val="100"/>
        <c:noMultiLvlLbl val="0"/>
      </c:catAx>
      <c:valAx>
        <c:axId val="249333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'04.07 GULU-NIMULE-24h'!$C$9:$N$9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'04.07 GULU-NIMULE-24h'!$C$107:$N$107</c:f>
              <c:numCache>
                <c:formatCode>0.0%</c:formatCode>
                <c:ptCount val="12"/>
                <c:pt idx="0">
                  <c:v>0.1118421052631579</c:v>
                </c:pt>
                <c:pt idx="1">
                  <c:v>1.9736842105263157E-2</c:v>
                </c:pt>
                <c:pt idx="2">
                  <c:v>0.16447368421052633</c:v>
                </c:pt>
                <c:pt idx="3">
                  <c:v>1.3157894736842105E-2</c:v>
                </c:pt>
                <c:pt idx="4">
                  <c:v>0</c:v>
                </c:pt>
                <c:pt idx="5">
                  <c:v>3.6184210526315791E-2</c:v>
                </c:pt>
                <c:pt idx="6">
                  <c:v>5.921052631578947E-2</c:v>
                </c:pt>
                <c:pt idx="7">
                  <c:v>1.3157894736842105E-2</c:v>
                </c:pt>
                <c:pt idx="8">
                  <c:v>0</c:v>
                </c:pt>
                <c:pt idx="9">
                  <c:v>0.45394736842105265</c:v>
                </c:pt>
                <c:pt idx="10">
                  <c:v>0.125</c:v>
                </c:pt>
                <c:pt idx="11">
                  <c:v>3.2894736842105261E-3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'04.07 GULU-NIMULE-24h'!$C$9:$N$9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'04.07 GULU-NIMULE-24h'!$C$108:$N$108</c:f>
              <c:numCache>
                <c:formatCode>0.00%</c:formatCode>
                <c:ptCount val="12"/>
                <c:pt idx="0">
                  <c:v>0.12781954887218044</c:v>
                </c:pt>
                <c:pt idx="1">
                  <c:v>2.2556390977443608E-2</c:v>
                </c:pt>
                <c:pt idx="2">
                  <c:v>0.18796992481203006</c:v>
                </c:pt>
                <c:pt idx="3">
                  <c:v>1.5037593984962405E-2</c:v>
                </c:pt>
                <c:pt idx="4">
                  <c:v>0</c:v>
                </c:pt>
                <c:pt idx="5">
                  <c:v>4.1353383458646614E-2</c:v>
                </c:pt>
                <c:pt idx="6">
                  <c:v>6.7669172932330823E-2</c:v>
                </c:pt>
                <c:pt idx="7">
                  <c:v>1.5037593984962405E-2</c:v>
                </c:pt>
                <c:pt idx="8">
                  <c:v>0</c:v>
                </c:pt>
                <c:pt idx="9">
                  <c:v>0.51879699248120303</c:v>
                </c:pt>
                <c:pt idx="11">
                  <c:v>3.7593984962406013E-3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'05.07 NIMULE-GULU-24h'!$AE$9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'05.07 NIMULE-GULU-24h'!$R$10:$R$33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'05.07 NIMULE-GULU-24h'!$AE$10:$AE$33</c:f>
              <c:numCache>
                <c:formatCode>0</c:formatCode>
                <c:ptCount val="24"/>
                <c:pt idx="0">
                  <c:v>13</c:v>
                </c:pt>
                <c:pt idx="1">
                  <c:v>25</c:v>
                </c:pt>
                <c:pt idx="2">
                  <c:v>14</c:v>
                </c:pt>
                <c:pt idx="3">
                  <c:v>9</c:v>
                </c:pt>
                <c:pt idx="4">
                  <c:v>15</c:v>
                </c:pt>
                <c:pt idx="5">
                  <c:v>7</c:v>
                </c:pt>
                <c:pt idx="6">
                  <c:v>10</c:v>
                </c:pt>
                <c:pt idx="7">
                  <c:v>13</c:v>
                </c:pt>
                <c:pt idx="8">
                  <c:v>13</c:v>
                </c:pt>
                <c:pt idx="9">
                  <c:v>9</c:v>
                </c:pt>
                <c:pt idx="10">
                  <c:v>9</c:v>
                </c:pt>
                <c:pt idx="11">
                  <c:v>12</c:v>
                </c:pt>
                <c:pt idx="12">
                  <c:v>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'05.07 NIMULE-GULU-24h'!$AF$9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'05.07 NIMULE-GULU-24h'!$R$10:$R$33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'05.07 NIMULE-GULU-24h'!$AF$10:$AF$33</c:f>
              <c:numCache>
                <c:formatCode>0</c:formatCode>
                <c:ptCount val="24"/>
                <c:pt idx="0">
                  <c:v>29</c:v>
                </c:pt>
                <c:pt idx="1">
                  <c:v>29</c:v>
                </c:pt>
                <c:pt idx="2">
                  <c:v>20</c:v>
                </c:pt>
                <c:pt idx="3">
                  <c:v>13</c:v>
                </c:pt>
                <c:pt idx="4">
                  <c:v>19</c:v>
                </c:pt>
                <c:pt idx="5">
                  <c:v>17</c:v>
                </c:pt>
                <c:pt idx="6">
                  <c:v>15</c:v>
                </c:pt>
                <c:pt idx="7">
                  <c:v>21</c:v>
                </c:pt>
                <c:pt idx="8">
                  <c:v>17</c:v>
                </c:pt>
                <c:pt idx="9">
                  <c:v>13</c:v>
                </c:pt>
                <c:pt idx="10">
                  <c:v>12</c:v>
                </c:pt>
                <c:pt idx="11">
                  <c:v>16</c:v>
                </c:pt>
                <c:pt idx="12">
                  <c:v>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334728"/>
        <c:axId val="249335512"/>
      </c:lineChart>
      <c:catAx>
        <c:axId val="249334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5512"/>
        <c:crosses val="autoZero"/>
        <c:auto val="1"/>
        <c:lblAlgn val="ctr"/>
        <c:lblOffset val="100"/>
        <c:noMultiLvlLbl val="0"/>
      </c:catAx>
      <c:valAx>
        <c:axId val="249335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9334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'05.07 NIMULE-GULU-24h'!$C$9:$N$9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'05.07 NIMULE-GULU-24h'!$C$107:$N$107</c:f>
              <c:numCache>
                <c:formatCode>0.0%</c:formatCode>
                <c:ptCount val="12"/>
                <c:pt idx="0">
                  <c:v>9.4420600858369105E-2</c:v>
                </c:pt>
                <c:pt idx="1">
                  <c:v>0</c:v>
                </c:pt>
                <c:pt idx="2">
                  <c:v>0.19313304721030042</c:v>
                </c:pt>
                <c:pt idx="3">
                  <c:v>0</c:v>
                </c:pt>
                <c:pt idx="4">
                  <c:v>0</c:v>
                </c:pt>
                <c:pt idx="5">
                  <c:v>1.7167381974248927E-2</c:v>
                </c:pt>
                <c:pt idx="6">
                  <c:v>6.4377682403433473E-2</c:v>
                </c:pt>
                <c:pt idx="7">
                  <c:v>2.575107296137339E-2</c:v>
                </c:pt>
                <c:pt idx="8">
                  <c:v>8.5836909871244635E-3</c:v>
                </c:pt>
                <c:pt idx="9">
                  <c:v>0.26180257510729615</c:v>
                </c:pt>
                <c:pt idx="10">
                  <c:v>0.33476394849785407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'05.07 NIMULE-GULU-24h'!$C$9:$N$9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'05.07 NIMULE-GULU-24h'!$C$108:$N$108</c:f>
              <c:numCache>
                <c:formatCode>0.00%</c:formatCode>
                <c:ptCount val="12"/>
                <c:pt idx="0">
                  <c:v>0.14193548387096774</c:v>
                </c:pt>
                <c:pt idx="1">
                  <c:v>0</c:v>
                </c:pt>
                <c:pt idx="2">
                  <c:v>0.29032258064516131</c:v>
                </c:pt>
                <c:pt idx="3">
                  <c:v>0</c:v>
                </c:pt>
                <c:pt idx="4">
                  <c:v>0</c:v>
                </c:pt>
                <c:pt idx="5">
                  <c:v>2.5806451612903226E-2</c:v>
                </c:pt>
                <c:pt idx="6">
                  <c:v>9.6774193548387094E-2</c:v>
                </c:pt>
                <c:pt idx="7">
                  <c:v>3.870967741935484E-2</c:v>
                </c:pt>
                <c:pt idx="8">
                  <c:v>1.2903225806451613E-2</c:v>
                </c:pt>
                <c:pt idx="9">
                  <c:v>0.3935483870967742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'05.07 GULU-NIMULE-24h'!$AE$9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'05.07 GULU-NIMULE-24h'!$R$10:$R$33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'05.07 GULU-NIMULE-24h'!$AE$10:$AE$33</c:f>
              <c:numCache>
                <c:formatCode>0</c:formatCode>
                <c:ptCount val="24"/>
                <c:pt idx="0">
                  <c:v>9</c:v>
                </c:pt>
                <c:pt idx="1">
                  <c:v>18</c:v>
                </c:pt>
                <c:pt idx="2">
                  <c:v>26</c:v>
                </c:pt>
                <c:pt idx="3">
                  <c:v>18</c:v>
                </c:pt>
                <c:pt idx="4">
                  <c:v>22</c:v>
                </c:pt>
                <c:pt idx="5">
                  <c:v>6</c:v>
                </c:pt>
                <c:pt idx="6">
                  <c:v>23</c:v>
                </c:pt>
                <c:pt idx="7">
                  <c:v>19</c:v>
                </c:pt>
                <c:pt idx="8">
                  <c:v>6</c:v>
                </c:pt>
                <c:pt idx="9">
                  <c:v>22</c:v>
                </c:pt>
                <c:pt idx="10">
                  <c:v>19</c:v>
                </c:pt>
                <c:pt idx="11">
                  <c:v>27</c:v>
                </c:pt>
                <c:pt idx="12">
                  <c:v>32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'05.07 GULU-NIMULE-24h'!$AF$9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'05.07 GULU-NIMULE-24h'!$R$10:$R$33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'05.07 GULU-NIMULE-24h'!$AF$10:$AF$33</c:f>
              <c:numCache>
                <c:formatCode>0</c:formatCode>
                <c:ptCount val="24"/>
                <c:pt idx="0">
                  <c:v>12</c:v>
                </c:pt>
                <c:pt idx="1">
                  <c:v>21</c:v>
                </c:pt>
                <c:pt idx="2">
                  <c:v>31</c:v>
                </c:pt>
                <c:pt idx="3">
                  <c:v>23</c:v>
                </c:pt>
                <c:pt idx="4">
                  <c:v>26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11</c:v>
                </c:pt>
                <c:pt idx="9">
                  <c:v>29</c:v>
                </c:pt>
                <c:pt idx="10">
                  <c:v>24</c:v>
                </c:pt>
                <c:pt idx="11">
                  <c:v>30</c:v>
                </c:pt>
                <c:pt idx="12">
                  <c:v>36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283904"/>
        <c:axId val="261287040"/>
      </c:lineChart>
      <c:catAx>
        <c:axId val="261283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7040"/>
        <c:crosses val="autoZero"/>
        <c:auto val="1"/>
        <c:lblAlgn val="ctr"/>
        <c:lblOffset val="100"/>
        <c:noMultiLvlLbl val="0"/>
      </c:catAx>
      <c:valAx>
        <c:axId val="261287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'05.07 GULU-NIMULE-24h'!$C$9:$N$9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'05.07 GULU-NIMULE-24h'!$C$107:$N$107</c:f>
              <c:numCache>
                <c:formatCode>0.0%</c:formatCode>
                <c:ptCount val="12"/>
                <c:pt idx="0">
                  <c:v>0.2</c:v>
                </c:pt>
                <c:pt idx="1">
                  <c:v>0.05</c:v>
                </c:pt>
                <c:pt idx="2">
                  <c:v>0.12</c:v>
                </c:pt>
                <c:pt idx="3">
                  <c:v>0</c:v>
                </c:pt>
                <c:pt idx="4">
                  <c:v>0</c:v>
                </c:pt>
                <c:pt idx="5">
                  <c:v>4.6666666666666669E-2</c:v>
                </c:pt>
                <c:pt idx="6">
                  <c:v>0.10333333333333333</c:v>
                </c:pt>
                <c:pt idx="7">
                  <c:v>5.6666666666666664E-2</c:v>
                </c:pt>
                <c:pt idx="8">
                  <c:v>0</c:v>
                </c:pt>
                <c:pt idx="9">
                  <c:v>0.24666666666666667</c:v>
                </c:pt>
                <c:pt idx="10">
                  <c:v>0.17666666666666667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'05.07 GULU-NIMULE-24h'!$C$9:$N$9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'05.07 GULU-NIMULE-24h'!$C$108:$N$108</c:f>
              <c:numCache>
                <c:formatCode>0.00%</c:formatCode>
                <c:ptCount val="12"/>
                <c:pt idx="0">
                  <c:v>0.24291497975708501</c:v>
                </c:pt>
                <c:pt idx="1">
                  <c:v>6.0728744939271252E-2</c:v>
                </c:pt>
                <c:pt idx="2">
                  <c:v>0.145748987854251</c:v>
                </c:pt>
                <c:pt idx="3">
                  <c:v>0</c:v>
                </c:pt>
                <c:pt idx="4">
                  <c:v>0</c:v>
                </c:pt>
                <c:pt idx="5">
                  <c:v>5.6680161943319839E-2</c:v>
                </c:pt>
                <c:pt idx="6">
                  <c:v>0.12550607287449392</c:v>
                </c:pt>
                <c:pt idx="7">
                  <c:v>6.8825910931174086E-2</c:v>
                </c:pt>
                <c:pt idx="8">
                  <c:v>0</c:v>
                </c:pt>
                <c:pt idx="9">
                  <c:v>0.29959514170040485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'06.07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NIMULE-GULU'!$AE$10:$AE$21</c:f>
              <c:numCache>
                <c:formatCode>0</c:formatCode>
                <c:ptCount val="12"/>
                <c:pt idx="0">
                  <c:v>18</c:v>
                </c:pt>
                <c:pt idx="1">
                  <c:v>15</c:v>
                </c:pt>
                <c:pt idx="2">
                  <c:v>17</c:v>
                </c:pt>
                <c:pt idx="3">
                  <c:v>21</c:v>
                </c:pt>
                <c:pt idx="4">
                  <c:v>5</c:v>
                </c:pt>
                <c:pt idx="5">
                  <c:v>28</c:v>
                </c:pt>
                <c:pt idx="6">
                  <c:v>10</c:v>
                </c:pt>
                <c:pt idx="7">
                  <c:v>26</c:v>
                </c:pt>
                <c:pt idx="8">
                  <c:v>10</c:v>
                </c:pt>
                <c:pt idx="9">
                  <c:v>15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'06.07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NIMULE-GULU'!$AF$10:$AF$21</c:f>
              <c:numCache>
                <c:formatCode>0</c:formatCode>
                <c:ptCount val="12"/>
                <c:pt idx="0">
                  <c:v>31</c:v>
                </c:pt>
                <c:pt idx="1">
                  <c:v>20</c:v>
                </c:pt>
                <c:pt idx="2">
                  <c:v>20</c:v>
                </c:pt>
                <c:pt idx="3">
                  <c:v>28</c:v>
                </c:pt>
                <c:pt idx="4">
                  <c:v>12</c:v>
                </c:pt>
                <c:pt idx="5">
                  <c:v>43</c:v>
                </c:pt>
                <c:pt idx="6">
                  <c:v>15</c:v>
                </c:pt>
                <c:pt idx="7">
                  <c:v>28</c:v>
                </c:pt>
                <c:pt idx="8">
                  <c:v>15</c:v>
                </c:pt>
                <c:pt idx="9">
                  <c:v>22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280376"/>
        <c:axId val="261287432"/>
      </c:lineChart>
      <c:catAx>
        <c:axId val="261280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7432"/>
        <c:crosses val="autoZero"/>
        <c:auto val="1"/>
        <c:lblAlgn val="ctr"/>
        <c:lblOffset val="100"/>
        <c:noMultiLvlLbl val="0"/>
      </c:catAx>
      <c:valAx>
        <c:axId val="261287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0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'06.07 NIMULE-GULU'!$C$59:$N$59</c:f>
              <c:numCache>
                <c:formatCode>0.0%</c:formatCode>
                <c:ptCount val="12"/>
                <c:pt idx="0">
                  <c:v>7.4509803921568626E-2</c:v>
                </c:pt>
                <c:pt idx="1">
                  <c:v>1.5686274509803921E-2</c:v>
                </c:pt>
                <c:pt idx="2">
                  <c:v>0.10588235294117647</c:v>
                </c:pt>
                <c:pt idx="3">
                  <c:v>3.9215686274509803E-3</c:v>
                </c:pt>
                <c:pt idx="4">
                  <c:v>0</c:v>
                </c:pt>
                <c:pt idx="5">
                  <c:v>0</c:v>
                </c:pt>
                <c:pt idx="6">
                  <c:v>4.7058823529411764E-2</c:v>
                </c:pt>
                <c:pt idx="7">
                  <c:v>1.9607843137254902E-2</c:v>
                </c:pt>
                <c:pt idx="8">
                  <c:v>1.1764705882352941E-2</c:v>
                </c:pt>
                <c:pt idx="9">
                  <c:v>0.41960784313725491</c:v>
                </c:pt>
                <c:pt idx="10">
                  <c:v>0.30196078431372547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'06.07 NIMULE-GULU'!$S$9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NIMULE-GULU'!$S$10:$S$21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'06.07 NIMULE-GULU'!$T$9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'06.07 NIMULE-GULU'!$R$10:$R$21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NIMULE-GULU'!$T$10:$T$21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'06.07 NIMULE-GULU'!$U$9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'06.07 NIMULE-GULU'!$V$9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'06.07 NIMULE-GULU'!$W$9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'06.07 NIMULE-GULU'!$X$9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'06.07 NIMULE-GULU'!$Y$9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'06.07 NIMULE-GULU'!$Z$9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'06.07 NIMULE-GULU'!$AA$9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'06.07 NIMULE-GULU'!$AB$9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NIMULE-GULU'!$AB$10:$AB$21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12</c:v>
                </c:pt>
                <c:pt idx="3">
                  <c:v>17</c:v>
                </c:pt>
                <c:pt idx="4">
                  <c:v>3</c:v>
                </c:pt>
                <c:pt idx="5">
                  <c:v>19</c:v>
                </c:pt>
                <c:pt idx="6">
                  <c:v>1</c:v>
                </c:pt>
                <c:pt idx="7">
                  <c:v>16</c:v>
                </c:pt>
                <c:pt idx="8">
                  <c:v>6</c:v>
                </c:pt>
                <c:pt idx="9">
                  <c:v>9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'06.07 NIMULE-GULU'!$AC$9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NIMULE-GULU'!$AC$10:$AC$21</c:f>
              <c:numCache>
                <c:formatCode>0</c:formatCode>
                <c:ptCount val="12"/>
                <c:pt idx="0">
                  <c:v>13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15</c:v>
                </c:pt>
                <c:pt idx="6">
                  <c:v>5</c:v>
                </c:pt>
                <c:pt idx="7">
                  <c:v>2</c:v>
                </c:pt>
                <c:pt idx="8">
                  <c:v>5</c:v>
                </c:pt>
                <c:pt idx="9">
                  <c:v>7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'06.07 NIMULE-GULU'!$AD$9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NIMULE-GULU'!$AD$10:$AD$21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283120"/>
        <c:axId val="261280768"/>
      </c:lineChart>
      <c:catAx>
        <c:axId val="261283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0768"/>
        <c:crosses val="autoZero"/>
        <c:auto val="1"/>
        <c:lblAlgn val="ctr"/>
        <c:lblOffset val="100"/>
        <c:noMultiLvlLbl val="0"/>
      </c:catAx>
      <c:valAx>
        <c:axId val="26128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'06.07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'06.07 NIMULE-GULU'!$C$60:$N$60</c:f>
              <c:numCache>
                <c:formatCode>0.00%</c:formatCode>
                <c:ptCount val="12"/>
                <c:pt idx="0">
                  <c:v>0.10674157303370786</c:v>
                </c:pt>
                <c:pt idx="1">
                  <c:v>2.247191011235955E-2</c:v>
                </c:pt>
                <c:pt idx="2">
                  <c:v>0.15168539325842698</c:v>
                </c:pt>
                <c:pt idx="3">
                  <c:v>5.6179775280898875E-3</c:v>
                </c:pt>
                <c:pt idx="4">
                  <c:v>0</c:v>
                </c:pt>
                <c:pt idx="5">
                  <c:v>0</c:v>
                </c:pt>
                <c:pt idx="6">
                  <c:v>6.741573033707865E-2</c:v>
                </c:pt>
                <c:pt idx="7">
                  <c:v>2.8089887640449437E-2</c:v>
                </c:pt>
                <c:pt idx="8">
                  <c:v>1.6853932584269662E-2</c:v>
                </c:pt>
                <c:pt idx="9">
                  <c:v>0.601123595505618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'06.07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GULU-NIMULE'!$AE$10:$AE$21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19</c:v>
                </c:pt>
                <c:pt idx="3">
                  <c:v>27</c:v>
                </c:pt>
                <c:pt idx="4">
                  <c:v>9</c:v>
                </c:pt>
                <c:pt idx="5">
                  <c:v>13</c:v>
                </c:pt>
                <c:pt idx="6">
                  <c:v>10</c:v>
                </c:pt>
                <c:pt idx="7">
                  <c:v>15</c:v>
                </c:pt>
                <c:pt idx="8">
                  <c:v>25</c:v>
                </c:pt>
                <c:pt idx="9">
                  <c:v>19</c:v>
                </c:pt>
                <c:pt idx="10">
                  <c:v>15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'06.07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GULU-NIMULE'!$AF$10:$AF$21</c:f>
              <c:numCache>
                <c:formatCode>0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27</c:v>
                </c:pt>
                <c:pt idx="3">
                  <c:v>30</c:v>
                </c:pt>
                <c:pt idx="4">
                  <c:v>12</c:v>
                </c:pt>
                <c:pt idx="5">
                  <c:v>22</c:v>
                </c:pt>
                <c:pt idx="6">
                  <c:v>12</c:v>
                </c:pt>
                <c:pt idx="7">
                  <c:v>22</c:v>
                </c:pt>
                <c:pt idx="8">
                  <c:v>30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285472"/>
        <c:axId val="261285864"/>
      </c:lineChart>
      <c:catAx>
        <c:axId val="261285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5864"/>
        <c:crosses val="autoZero"/>
        <c:auto val="1"/>
        <c:lblAlgn val="ctr"/>
        <c:lblOffset val="100"/>
        <c:noMultiLvlLbl val="0"/>
      </c:catAx>
      <c:valAx>
        <c:axId val="261285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28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'06.07 GULU-NIMULE'!$C$59:$N$59</c:f>
              <c:numCache>
                <c:formatCode>0.0%</c:formatCode>
                <c:ptCount val="12"/>
                <c:pt idx="0">
                  <c:v>0.13360323886639677</c:v>
                </c:pt>
                <c:pt idx="1">
                  <c:v>4.8582995951417005E-2</c:v>
                </c:pt>
                <c:pt idx="2">
                  <c:v>0.10121457489878542</c:v>
                </c:pt>
                <c:pt idx="3">
                  <c:v>0</c:v>
                </c:pt>
                <c:pt idx="4">
                  <c:v>8.0971659919028341E-3</c:v>
                </c:pt>
                <c:pt idx="5">
                  <c:v>4.048582995951417E-2</c:v>
                </c:pt>
                <c:pt idx="6">
                  <c:v>4.8582995951417005E-2</c:v>
                </c:pt>
                <c:pt idx="7">
                  <c:v>1.6194331983805668E-2</c:v>
                </c:pt>
                <c:pt idx="8">
                  <c:v>8.0971659919028341E-3</c:v>
                </c:pt>
                <c:pt idx="9">
                  <c:v>0.36437246963562753</c:v>
                </c:pt>
                <c:pt idx="10">
                  <c:v>0.23076923076923078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'06.07 GULU-NIMULE'!$S$9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GULU-NIMULE'!$S$10:$S$21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'06.07 GULU-NIMULE'!$T$9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'06.07 GULU-NIMULE'!$R$10:$R$21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'06.07 GULU-NIMULE'!$T$10:$T$21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'06.07 GULU-NIMULE'!$U$9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GULU-NIMULE'!$U$10:$U$21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'06.07 GULU-NIMULE'!$V$9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'06.07 GULU-NIMULE'!$W$9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'06.07 GULU-NIMULE'!$X$9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5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'06.07 GULU-NIMULE'!$Y$9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'06.07 GULU-NIMULE'!$Z$9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'06.07 GULU-NIMULE'!$AA$9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'06.07 GULU-NIMULE'!$AB$9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GULU-NIMULE'!$AB$10:$AB$21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11</c:v>
                </c:pt>
                <c:pt idx="3">
                  <c:v>17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9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'06.07 GULU-NIMULE'!$AC$9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GULU-NIMULE'!$AC$10:$AC$21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3</c:v>
                </c:pt>
                <c:pt idx="4">
                  <c:v>3</c:v>
                </c:pt>
                <c:pt idx="5">
                  <c:v>9</c:v>
                </c:pt>
                <c:pt idx="6">
                  <c:v>2</c:v>
                </c:pt>
                <c:pt idx="7">
                  <c:v>7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'06.07 GULU-NIMULE'!$AD$9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'06.07 GULU-NIMULE'!$AD$10:$AD$21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946104"/>
        <c:axId val="261946496"/>
      </c:lineChart>
      <c:catAx>
        <c:axId val="261946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46496"/>
        <c:crosses val="autoZero"/>
        <c:auto val="1"/>
        <c:lblAlgn val="ctr"/>
        <c:lblOffset val="100"/>
        <c:noMultiLvlLbl val="0"/>
      </c:catAx>
      <c:valAx>
        <c:axId val="2619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46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'06.07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'06.07 GULU-NIMULE'!$C$60:$N$60</c:f>
              <c:numCache>
                <c:formatCode>0.00%</c:formatCode>
                <c:ptCount val="12"/>
                <c:pt idx="0">
                  <c:v>0.1736842105263158</c:v>
                </c:pt>
                <c:pt idx="1">
                  <c:v>6.3157894736842107E-2</c:v>
                </c:pt>
                <c:pt idx="2">
                  <c:v>0.13157894736842105</c:v>
                </c:pt>
                <c:pt idx="3">
                  <c:v>0</c:v>
                </c:pt>
                <c:pt idx="4">
                  <c:v>1.0526315789473684E-2</c:v>
                </c:pt>
                <c:pt idx="5">
                  <c:v>5.2631578947368418E-2</c:v>
                </c:pt>
                <c:pt idx="6">
                  <c:v>6.3157894736842107E-2</c:v>
                </c:pt>
                <c:pt idx="7">
                  <c:v>2.1052631578947368E-2</c:v>
                </c:pt>
                <c:pt idx="8">
                  <c:v>1.0526315789473684E-2</c:v>
                </c:pt>
                <c:pt idx="9">
                  <c:v>0.47368421052631576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Nimule-Gulu'!$AE$9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Nimule-Gulu'!$R$10:$R$33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Nimule-Gulu'!$AE$10:$AE$33</c:f>
              <c:numCache>
                <c:formatCode>0</c:formatCode>
                <c:ptCount val="24"/>
                <c:pt idx="0">
                  <c:v>15</c:v>
                </c:pt>
                <c:pt idx="1">
                  <c:v>15.857142857142858</c:v>
                </c:pt>
                <c:pt idx="2">
                  <c:v>16.285714285714285</c:v>
                </c:pt>
                <c:pt idx="3">
                  <c:v>15</c:v>
                </c:pt>
                <c:pt idx="4">
                  <c:v>13.428571428571427</c:v>
                </c:pt>
                <c:pt idx="5">
                  <c:v>17.857142857142858</c:v>
                </c:pt>
                <c:pt idx="6">
                  <c:v>12.428571428571429</c:v>
                </c:pt>
                <c:pt idx="7">
                  <c:v>16.714285714285715</c:v>
                </c:pt>
                <c:pt idx="8">
                  <c:v>15.857142857142858</c:v>
                </c:pt>
                <c:pt idx="9">
                  <c:v>12.714285714285714</c:v>
                </c:pt>
                <c:pt idx="10">
                  <c:v>13.285714285714285</c:v>
                </c:pt>
                <c:pt idx="11">
                  <c:v>17.571428571428569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Nimule-Gulu'!$AF$9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Nimule-Gulu'!$R$10:$R$33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Nimule-Gulu'!$AF$10:$AF$33</c:f>
              <c:numCache>
                <c:formatCode>0</c:formatCode>
                <c:ptCount val="24"/>
                <c:pt idx="0">
                  <c:v>46.714285714285708</c:v>
                </c:pt>
                <c:pt idx="1">
                  <c:v>53.285714285714285</c:v>
                </c:pt>
                <c:pt idx="2">
                  <c:v>55.428571428571431</c:v>
                </c:pt>
                <c:pt idx="3">
                  <c:v>51.142857142857139</c:v>
                </c:pt>
                <c:pt idx="4">
                  <c:v>44.857142857142854</c:v>
                </c:pt>
                <c:pt idx="5">
                  <c:v>42</c:v>
                </c:pt>
                <c:pt idx="6">
                  <c:v>33.571428571428569</c:v>
                </c:pt>
                <c:pt idx="7">
                  <c:v>45.714285714285722</c:v>
                </c:pt>
                <c:pt idx="8">
                  <c:v>49.142857142857139</c:v>
                </c:pt>
                <c:pt idx="9">
                  <c:v>34.142857142857139</c:v>
                </c:pt>
                <c:pt idx="10">
                  <c:v>40.285714285714285</c:v>
                </c:pt>
                <c:pt idx="11">
                  <c:v>39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950808"/>
        <c:axId val="261944928"/>
      </c:lineChart>
      <c:catAx>
        <c:axId val="261950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44928"/>
        <c:crosses val="autoZero"/>
        <c:auto val="1"/>
        <c:lblAlgn val="ctr"/>
        <c:lblOffset val="100"/>
        <c:noMultiLvlLbl val="0"/>
      </c:catAx>
      <c:valAx>
        <c:axId val="2619449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50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Nimule-Gulu'!$C$107:$N$107</c:f>
              <c:numCache>
                <c:formatCode>0.0%</c:formatCode>
                <c:ptCount val="12"/>
                <c:pt idx="0">
                  <c:v>7.8295987493486194E-2</c:v>
                </c:pt>
                <c:pt idx="1">
                  <c:v>2.4752475247524757E-2</c:v>
                </c:pt>
                <c:pt idx="2">
                  <c:v>6.2662845231891612E-2</c:v>
                </c:pt>
                <c:pt idx="3">
                  <c:v>1.5633142261594576E-3</c:v>
                </c:pt>
                <c:pt idx="4">
                  <c:v>1.5633142261594576E-3</c:v>
                </c:pt>
                <c:pt idx="5">
                  <c:v>5.0807712350182371E-3</c:v>
                </c:pt>
                <c:pt idx="6">
                  <c:v>3.9603960396039591E-2</c:v>
                </c:pt>
                <c:pt idx="7">
                  <c:v>6.7743616466909825E-3</c:v>
                </c:pt>
                <c:pt idx="8">
                  <c:v>5.7321521625846774E-3</c:v>
                </c:pt>
                <c:pt idx="9">
                  <c:v>0.12050547159979154</c:v>
                </c:pt>
                <c:pt idx="10">
                  <c:v>0.65346534653465349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Nimule-Gulu'!$C$9:$N$9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Nimule-Gulu'!$C$108:$N$108</c:f>
              <c:numCache>
                <c:formatCode>0.00%</c:formatCode>
                <c:ptCount val="12"/>
                <c:pt idx="0">
                  <c:v>0.22593984962406019</c:v>
                </c:pt>
                <c:pt idx="1">
                  <c:v>7.1428571428571452E-2</c:v>
                </c:pt>
                <c:pt idx="2">
                  <c:v>0.18082706766917295</c:v>
                </c:pt>
                <c:pt idx="3">
                  <c:v>4.5112781954887212E-3</c:v>
                </c:pt>
                <c:pt idx="4">
                  <c:v>4.5112781954887212E-3</c:v>
                </c:pt>
                <c:pt idx="5">
                  <c:v>1.4661654135338343E-2</c:v>
                </c:pt>
                <c:pt idx="6">
                  <c:v>0.11428571428571425</c:v>
                </c:pt>
                <c:pt idx="7">
                  <c:v>1.9548872180451121E-2</c:v>
                </c:pt>
                <c:pt idx="8">
                  <c:v>1.6541353383458642E-2</c:v>
                </c:pt>
                <c:pt idx="9">
                  <c:v>0.34774436090225563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Gulu-Nimule'!$AE$9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Gulu-Nimule'!$R$10:$R$33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Gulu-Nimule'!$AE$10:$AE$33</c:f>
              <c:numCache>
                <c:formatCode>0</c:formatCode>
                <c:ptCount val="24"/>
                <c:pt idx="0">
                  <c:v>13.714285714285714</c:v>
                </c:pt>
                <c:pt idx="1">
                  <c:v>15.714285714285715</c:v>
                </c:pt>
                <c:pt idx="2">
                  <c:v>21.285714285714285</c:v>
                </c:pt>
                <c:pt idx="3">
                  <c:v>23.142857142857142</c:v>
                </c:pt>
                <c:pt idx="4">
                  <c:v>18.428571428571427</c:v>
                </c:pt>
                <c:pt idx="5">
                  <c:v>17</c:v>
                </c:pt>
                <c:pt idx="6">
                  <c:v>19.142857142857139</c:v>
                </c:pt>
                <c:pt idx="7">
                  <c:v>16</c:v>
                </c:pt>
                <c:pt idx="8">
                  <c:v>20.714285714285715</c:v>
                </c:pt>
                <c:pt idx="9">
                  <c:v>20.571428571428569</c:v>
                </c:pt>
                <c:pt idx="10">
                  <c:v>19.714285714285715</c:v>
                </c:pt>
                <c:pt idx="11">
                  <c:v>19.166666666666668</c:v>
                </c:pt>
                <c:pt idx="12">
                  <c:v>28.5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Gulu-Nimule'!$AF$9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Gulu-Nimule'!$R$10:$R$33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Gulu-Nimule'!$AF$10:$AF$33</c:f>
              <c:numCache>
                <c:formatCode>0</c:formatCode>
                <c:ptCount val="24"/>
                <c:pt idx="0">
                  <c:v>49.571428571428569</c:v>
                </c:pt>
                <c:pt idx="1">
                  <c:v>57.571428571428569</c:v>
                </c:pt>
                <c:pt idx="2">
                  <c:v>55.857142857142854</c:v>
                </c:pt>
                <c:pt idx="3">
                  <c:v>59.285714285714285</c:v>
                </c:pt>
                <c:pt idx="4">
                  <c:v>46.714285714285715</c:v>
                </c:pt>
                <c:pt idx="5">
                  <c:v>45.571428571428569</c:v>
                </c:pt>
                <c:pt idx="6">
                  <c:v>40.999999999999993</c:v>
                </c:pt>
                <c:pt idx="7">
                  <c:v>47.142857142857139</c:v>
                </c:pt>
                <c:pt idx="8">
                  <c:v>56.285714285714292</c:v>
                </c:pt>
                <c:pt idx="9">
                  <c:v>59.571428571428569</c:v>
                </c:pt>
                <c:pt idx="10">
                  <c:v>62.714285714285708</c:v>
                </c:pt>
                <c:pt idx="11">
                  <c:v>52.166666666666671</c:v>
                </c:pt>
                <c:pt idx="12">
                  <c:v>30.5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948848"/>
        <c:axId val="261945320"/>
      </c:lineChart>
      <c:catAx>
        <c:axId val="26194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45320"/>
        <c:crosses val="autoZero"/>
        <c:auto val="1"/>
        <c:lblAlgn val="ctr"/>
        <c:lblOffset val="100"/>
        <c:noMultiLvlLbl val="0"/>
      </c:catAx>
      <c:valAx>
        <c:axId val="261945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194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Gulu-Nimule'!$C$107:$N$107</c:f>
              <c:numCache>
                <c:formatCode>0.0%</c:formatCode>
                <c:ptCount val="12"/>
                <c:pt idx="0">
                  <c:v>6.3149967725740525E-2</c:v>
                </c:pt>
                <c:pt idx="1">
                  <c:v>3.4425876784049347E-2</c:v>
                </c:pt>
                <c:pt idx="2">
                  <c:v>6.2396901671089425E-2</c:v>
                </c:pt>
                <c:pt idx="3">
                  <c:v>8.4988883310621807E-3</c:v>
                </c:pt>
                <c:pt idx="4">
                  <c:v>1.0758086495015419E-3</c:v>
                </c:pt>
                <c:pt idx="5">
                  <c:v>1.441583590332066E-2</c:v>
                </c:pt>
                <c:pt idx="6">
                  <c:v>3.3242487269597651E-2</c:v>
                </c:pt>
                <c:pt idx="7">
                  <c:v>1.1762174567883529E-2</c:v>
                </c:pt>
                <c:pt idx="8">
                  <c:v>9.0367926558129561E-3</c:v>
                </c:pt>
                <c:pt idx="9">
                  <c:v>0.14297496951875496</c:v>
                </c:pt>
                <c:pt idx="10">
                  <c:v>0.61880513519328695</c:v>
                </c:pt>
                <c:pt idx="11">
                  <c:v>2.1516172990030839E-4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Gulu-Nimule'!$C$108:$N$108</c:f>
              <c:numCache>
                <c:formatCode>0.00%</c:formatCode>
                <c:ptCount val="12"/>
                <c:pt idx="0">
                  <c:v>0.16566321730950151</c:v>
                </c:pt>
                <c:pt idx="1">
                  <c:v>9.0310442144873035E-2</c:v>
                </c:pt>
                <c:pt idx="2">
                  <c:v>0.16368767638758233</c:v>
                </c:pt>
                <c:pt idx="3">
                  <c:v>2.2295390404515527E-2</c:v>
                </c:pt>
                <c:pt idx="4">
                  <c:v>2.8222013170272819E-3</c:v>
                </c:pt>
                <c:pt idx="5">
                  <c:v>3.7817497648165575E-2</c:v>
                </c:pt>
                <c:pt idx="6">
                  <c:v>8.7206020696143027E-2</c:v>
                </c:pt>
                <c:pt idx="7">
                  <c:v>3.0856067732831623E-2</c:v>
                </c:pt>
                <c:pt idx="8">
                  <c:v>2.3706491063029182E-2</c:v>
                </c:pt>
                <c:pt idx="9">
                  <c:v>0.37507055503292586</c:v>
                </c:pt>
                <c:pt idx="11">
                  <c:v>5.6444026340545645E-4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Nimule-Gulu-2Dir'!$C$9:$N$9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Nimule-Gulu-2Dir'!$C$107:$N$107</c:f>
              <c:numCache>
                <c:formatCode>0.0%</c:formatCode>
                <c:ptCount val="12"/>
                <c:pt idx="0">
                  <c:v>7.0000392819263832E-2</c:v>
                </c:pt>
                <c:pt idx="1">
                  <c:v>3.0050673685037506E-2</c:v>
                </c:pt>
                <c:pt idx="2">
                  <c:v>6.251718584279374E-2</c:v>
                </c:pt>
                <c:pt idx="3">
                  <c:v>5.3619829516439472E-3</c:v>
                </c:pt>
                <c:pt idx="4">
                  <c:v>1.2963035707271081E-3</c:v>
                </c:pt>
                <c:pt idx="5">
                  <c:v>1.0193659897081353E-2</c:v>
                </c:pt>
                <c:pt idx="6">
                  <c:v>3.6119731311623507E-2</c:v>
                </c:pt>
                <c:pt idx="7">
                  <c:v>9.5062261853321277E-3</c:v>
                </c:pt>
                <c:pt idx="8">
                  <c:v>7.5421298660486311E-3</c:v>
                </c:pt>
                <c:pt idx="9">
                  <c:v>0.1328121931099501</c:v>
                </c:pt>
                <c:pt idx="10">
                  <c:v>0.63448167498134089</c:v>
                </c:pt>
                <c:pt idx="11">
                  <c:v>1.1784577915700983E-4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Nimule-Gulu-2Dir'!$C$9:$N$9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Nimule-Gulu-2Dir'!$C$108:$N$108</c:f>
              <c:numCache>
                <c:formatCode>0.00%</c:formatCode>
                <c:ptCount val="12"/>
                <c:pt idx="0">
                  <c:v>0.19150994089199355</c:v>
                </c:pt>
                <c:pt idx="1">
                  <c:v>8.2213863514239649E-2</c:v>
                </c:pt>
                <c:pt idx="2">
                  <c:v>0.17103707684040845</c:v>
                </c:pt>
                <c:pt idx="3">
                  <c:v>1.4669532509403544E-2</c:v>
                </c:pt>
                <c:pt idx="4">
                  <c:v>3.5464803868887691E-3</c:v>
                </c:pt>
                <c:pt idx="5">
                  <c:v>2.7888232133261689E-2</c:v>
                </c:pt>
                <c:pt idx="6">
                  <c:v>9.8817839871037066E-2</c:v>
                </c:pt>
                <c:pt idx="7">
                  <c:v>2.600752283718431E-2</c:v>
                </c:pt>
                <c:pt idx="8">
                  <c:v>2.0634067705534661E-2</c:v>
                </c:pt>
                <c:pt idx="9">
                  <c:v>0.36335303600214941</c:v>
                </c:pt>
                <c:pt idx="11">
                  <c:v>3.2240730789897902E-4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Nimule-Gulu-2Dir'!$AE$9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Nimule-Gulu-2Dir'!$R$10:$R$33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Nimule-Gulu-2Dir'!$AE$10:$AE$33</c:f>
              <c:numCache>
                <c:formatCode>0</c:formatCode>
                <c:ptCount val="24"/>
                <c:pt idx="0">
                  <c:v>28.714285714285712</c:v>
                </c:pt>
                <c:pt idx="1">
                  <c:v>31.571428571428569</c:v>
                </c:pt>
                <c:pt idx="2">
                  <c:v>37.571428571428569</c:v>
                </c:pt>
                <c:pt idx="3">
                  <c:v>38.142857142857139</c:v>
                </c:pt>
                <c:pt idx="4">
                  <c:v>31.857142857142861</c:v>
                </c:pt>
                <c:pt idx="5">
                  <c:v>34.857142857142861</c:v>
                </c:pt>
                <c:pt idx="6">
                  <c:v>31.571428571428569</c:v>
                </c:pt>
                <c:pt idx="7">
                  <c:v>32.714285714285715</c:v>
                </c:pt>
                <c:pt idx="8">
                  <c:v>36.571428571428569</c:v>
                </c:pt>
                <c:pt idx="9">
                  <c:v>33.285714285714292</c:v>
                </c:pt>
                <c:pt idx="10">
                  <c:v>33</c:v>
                </c:pt>
                <c:pt idx="11">
                  <c:v>36.738095238095241</c:v>
                </c:pt>
                <c:pt idx="12">
                  <c:v>36.5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DB-4E80-8EA9-C563B52CBF18}"/>
            </c:ext>
          </c:extLst>
        </c:ser>
        <c:ser>
          <c:idx val="1"/>
          <c:order val="1"/>
          <c:tx>
            <c:strRef>
              <c:f>'Avg Week Nimule-Gulu-2Dir'!$AF$9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Nimule-Gulu-2Dir'!$R$10:$R$33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Nimule-Gulu-2Dir'!$AF$10:$AF$33</c:f>
              <c:numCache>
                <c:formatCode>0</c:formatCode>
                <c:ptCount val="24"/>
                <c:pt idx="0">
                  <c:v>96.285714285714278</c:v>
                </c:pt>
                <c:pt idx="1">
                  <c:v>110.85714285714286</c:v>
                </c:pt>
                <c:pt idx="2">
                  <c:v>111.28571428571428</c:v>
                </c:pt>
                <c:pt idx="3">
                  <c:v>110.42857142857143</c:v>
                </c:pt>
                <c:pt idx="4">
                  <c:v>91.571428571428584</c:v>
                </c:pt>
                <c:pt idx="5">
                  <c:v>87.571428571428584</c:v>
                </c:pt>
                <c:pt idx="6">
                  <c:v>74.571428571428569</c:v>
                </c:pt>
                <c:pt idx="7">
                  <c:v>92.857142857142861</c:v>
                </c:pt>
                <c:pt idx="8">
                  <c:v>105.42857142857143</c:v>
                </c:pt>
                <c:pt idx="9">
                  <c:v>93.714285714285708</c:v>
                </c:pt>
                <c:pt idx="10">
                  <c:v>103</c:v>
                </c:pt>
                <c:pt idx="11">
                  <c:v>91.166666666666657</c:v>
                </c:pt>
                <c:pt idx="12">
                  <c:v>43.5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DB-4E80-8EA9-C563B52CBF18}"/>
            </c:ext>
          </c:extLst>
        </c:ser>
        <c:ser>
          <c:idx val="5"/>
          <c:order val="2"/>
          <c:tx>
            <c:strRef>
              <c:f>'Avg Week Nimule-Gulu-2Dir'!$AC$9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Nimule-Gulu-2Dir'!$R$10:$R$33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Nimule-Gulu-2Dir'!$AC$10:$AC$33</c:f>
              <c:numCache>
                <c:formatCode>0</c:formatCode>
                <c:ptCount val="24"/>
                <c:pt idx="0">
                  <c:v>67.571428571428584</c:v>
                </c:pt>
                <c:pt idx="1">
                  <c:v>79.285714285714292</c:v>
                </c:pt>
                <c:pt idx="2">
                  <c:v>73.714285714285708</c:v>
                </c:pt>
                <c:pt idx="3">
                  <c:v>72.285714285714278</c:v>
                </c:pt>
                <c:pt idx="4">
                  <c:v>59.714285714285722</c:v>
                </c:pt>
                <c:pt idx="5">
                  <c:v>52.714285714285708</c:v>
                </c:pt>
                <c:pt idx="6">
                  <c:v>43</c:v>
                </c:pt>
                <c:pt idx="7">
                  <c:v>60.142857142857146</c:v>
                </c:pt>
                <c:pt idx="8">
                  <c:v>68.857142857142861</c:v>
                </c:pt>
                <c:pt idx="9">
                  <c:v>60.428571428571431</c:v>
                </c:pt>
                <c:pt idx="10">
                  <c:v>70</c:v>
                </c:pt>
                <c:pt idx="11">
                  <c:v>54.428571428571431</c:v>
                </c:pt>
                <c:pt idx="12">
                  <c:v>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DB-4E80-8EA9-C563B52CB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Nimule-Gulu-2Dir'!$S$9:$AF$9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Nimule-Gulu-2Dir'!$S$41:$AF$41</c:f>
              <c:numCache>
                <c:formatCode>_(* #,##0_);_(* \(#,##0\);_(* "-"_);_(@_)</c:formatCode>
                <c:ptCount val="14"/>
                <c:pt idx="0">
                  <c:v>84.857142857142861</c:v>
                </c:pt>
                <c:pt idx="1">
                  <c:v>36.428571428571423</c:v>
                </c:pt>
                <c:pt idx="2">
                  <c:v>75.785714285714278</c:v>
                </c:pt>
                <c:pt idx="3">
                  <c:v>6.4999999999999991</c:v>
                </c:pt>
                <c:pt idx="4">
                  <c:v>1.5714285714285712</c:v>
                </c:pt>
                <c:pt idx="5">
                  <c:v>12.357142857142856</c:v>
                </c:pt>
                <c:pt idx="6">
                  <c:v>43.785714285714278</c:v>
                </c:pt>
                <c:pt idx="7">
                  <c:v>11.523809523809522</c:v>
                </c:pt>
                <c:pt idx="8">
                  <c:v>9.1428571428571406</c:v>
                </c:pt>
                <c:pt idx="9">
                  <c:v>161</c:v>
                </c:pt>
                <c:pt idx="10">
                  <c:v>769.14285714285722</c:v>
                </c:pt>
                <c:pt idx="11">
                  <c:v>0.14285714285714285</c:v>
                </c:pt>
                <c:pt idx="12">
                  <c:v>443.09523809523807</c:v>
                </c:pt>
                <c:pt idx="13">
                  <c:v>1212.2380952380952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AE-4FD6-B557-281488DFDA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Nimule-Gulu-2Dir'!$S$9:$AF$9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Nimule-Gulu-2Dir'!$S$42:$AF$42</c:f>
              <c:numCache>
                <c:formatCode>0.000</c:formatCode>
                <c:ptCount val="14"/>
                <c:pt idx="0">
                  <c:v>1.0494699646643109</c:v>
                </c:pt>
                <c:pt idx="1">
                  <c:v>1.1233480176211454</c:v>
                </c:pt>
                <c:pt idx="2">
                  <c:v>1.1433189655172413</c:v>
                </c:pt>
                <c:pt idx="3">
                  <c:v>1.3</c:v>
                </c:pt>
                <c:pt idx="4">
                  <c:v>1</c:v>
                </c:pt>
                <c:pt idx="5">
                  <c:v>1.0421686746987953</c:v>
                </c:pt>
                <c:pt idx="6">
                  <c:v>1.060553633217993</c:v>
                </c:pt>
                <c:pt idx="7">
                  <c:v>1.149643705463183</c:v>
                </c:pt>
                <c:pt idx="8">
                  <c:v>1</c:v>
                </c:pt>
                <c:pt idx="9">
                  <c:v>1.0878378378378379</c:v>
                </c:pt>
                <c:pt idx="10">
                  <c:v>1.0091846298031866</c:v>
                </c:pt>
                <c:pt idx="11">
                  <c:v>1</c:v>
                </c:pt>
                <c:pt idx="12">
                  <c:v>1.0897698659015049</c:v>
                </c:pt>
                <c:pt idx="13">
                  <c:v>1.0372196304520545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A-4FAA-A4DC-252BF9BA8E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28</xdr:col>
      <xdr:colOff>63499</xdr:colOff>
      <xdr:row>58</xdr:row>
      <xdr:rowOff>238125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247650</xdr:rowOff>
    </xdr:from>
    <xdr:to>
      <xdr:col>23</xdr:col>
      <xdr:colOff>698500</xdr:colOff>
      <xdr:row>73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58</xdr:row>
      <xdr:rowOff>254000</xdr:rowOff>
    </xdr:from>
    <xdr:to>
      <xdr:col>31</xdr:col>
      <xdr:colOff>31750</xdr:colOff>
      <xdr:row>73</xdr:row>
      <xdr:rowOff>53975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28</xdr:col>
      <xdr:colOff>15874</xdr:colOff>
      <xdr:row>58</xdr:row>
      <xdr:rowOff>222250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215900</xdr:rowOff>
    </xdr:from>
    <xdr:to>
      <xdr:col>24</xdr:col>
      <xdr:colOff>15875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222250</xdr:rowOff>
    </xdr:from>
    <xdr:to>
      <xdr:col>31</xdr:col>
      <xdr:colOff>47625</xdr:colOff>
      <xdr:row>73</xdr:row>
      <xdr:rowOff>22225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247650</xdr:rowOff>
    </xdr:from>
    <xdr:to>
      <xdr:col>24</xdr:col>
      <xdr:colOff>0</xdr:colOff>
      <xdr:row>74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269875</xdr:rowOff>
    </xdr:from>
    <xdr:to>
      <xdr:col>24</xdr:col>
      <xdr:colOff>31750</xdr:colOff>
      <xdr:row>91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C63660A-473C-4D6E-A498-B8479A0DF1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15875</xdr:colOff>
      <xdr:row>58</xdr:row>
      <xdr:rowOff>269875</xdr:rowOff>
    </xdr:from>
    <xdr:to>
      <xdr:col>31</xdr:col>
      <xdr:colOff>0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4287B56-409C-4F9A-A9D5-043CEE821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74</xdr:row>
      <xdr:rowOff>269875</xdr:rowOff>
    </xdr:from>
    <xdr:to>
      <xdr:col>30</xdr:col>
      <xdr:colOff>698500</xdr:colOff>
      <xdr:row>90</xdr:row>
      <xdr:rowOff>284163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2A52CC6-B5CC-4212-94ED-CD9B0CDCA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6" zoomScale="60" workbookViewId="0">
      <selection activeCell="J3" sqref="J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175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7" t="s">
        <v>166</v>
      </c>
      <c r="H5" s="58"/>
      <c r="I5" s="14"/>
      <c r="J5" s="2" t="s">
        <v>5</v>
      </c>
      <c r="K5" s="57" t="s">
        <v>167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164</v>
      </c>
      <c r="E6" s="58"/>
      <c r="F6" s="2" t="s">
        <v>2</v>
      </c>
      <c r="G6" s="57" t="s">
        <v>165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50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59</v>
      </c>
      <c r="R10" s="1" t="s">
        <v>6</v>
      </c>
      <c r="S10" s="17">
        <f t="shared" ref="S10:AF10" si="2">SUM(C10:C13)</f>
        <v>11</v>
      </c>
      <c r="T10" s="17">
        <f t="shared" si="2"/>
        <v>5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169</v>
      </c>
      <c r="AD10" s="17">
        <f t="shared" si="2"/>
        <v>0</v>
      </c>
      <c r="AE10" s="31">
        <f t="shared" si="2"/>
        <v>19</v>
      </c>
      <c r="AF10" s="31">
        <f t="shared" si="2"/>
        <v>188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26</v>
      </c>
      <c r="N11" s="50">
        <v>0</v>
      </c>
      <c r="O11" s="15">
        <f t="shared" si="0"/>
        <v>2</v>
      </c>
      <c r="P11" s="15">
        <f t="shared" si="1"/>
        <v>28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242</v>
      </c>
      <c r="AD11" s="17">
        <f t="shared" si="3"/>
        <v>0</v>
      </c>
      <c r="AE11" s="31">
        <f t="shared" si="3"/>
        <v>17</v>
      </c>
      <c r="AF11" s="31">
        <f t="shared" si="3"/>
        <v>259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2</v>
      </c>
      <c r="P12" s="15">
        <f t="shared" si="1"/>
        <v>32</v>
      </c>
      <c r="R12" s="1" t="s">
        <v>8</v>
      </c>
      <c r="S12" s="17">
        <f t="shared" ref="S12:AF12" si="4">SUM(C18:C21)</f>
        <v>11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3</v>
      </c>
      <c r="Y12" s="17">
        <f t="shared" si="4"/>
        <v>0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241</v>
      </c>
      <c r="AD12" s="17">
        <f t="shared" si="4"/>
        <v>0</v>
      </c>
      <c r="AE12" s="31">
        <f t="shared" si="4"/>
        <v>26</v>
      </c>
      <c r="AF12" s="31">
        <f t="shared" si="4"/>
        <v>267</v>
      </c>
    </row>
    <row r="13" spans="2:32" ht="23.1" customHeight="1" x14ac:dyDescent="0.25">
      <c r="B13" s="23" t="s">
        <v>40</v>
      </c>
      <c r="C13" s="50">
        <v>3</v>
      </c>
      <c r="D13" s="50">
        <v>3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63</v>
      </c>
      <c r="N13" s="50">
        <v>0</v>
      </c>
      <c r="O13" s="15">
        <f t="shared" si="0"/>
        <v>6</v>
      </c>
      <c r="P13" s="15">
        <f t="shared" si="1"/>
        <v>69</v>
      </c>
      <c r="R13" s="1" t="s">
        <v>9</v>
      </c>
      <c r="S13" s="17">
        <f t="shared" ref="S13:AF13" si="5">SUM(C22:C25)</f>
        <v>19</v>
      </c>
      <c r="T13" s="17">
        <f t="shared" si="5"/>
        <v>5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4</v>
      </c>
      <c r="AC13" s="17">
        <f t="shared" si="5"/>
        <v>219</v>
      </c>
      <c r="AD13" s="17">
        <f t="shared" si="5"/>
        <v>0</v>
      </c>
      <c r="AE13" s="31">
        <f t="shared" si="5"/>
        <v>31</v>
      </c>
      <c r="AF13" s="31">
        <f t="shared" si="5"/>
        <v>250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59</v>
      </c>
      <c r="N14" s="50">
        <v>0</v>
      </c>
      <c r="O14" s="15">
        <f t="shared" si="0"/>
        <v>5</v>
      </c>
      <c r="P14" s="15">
        <f t="shared" si="1"/>
        <v>64</v>
      </c>
      <c r="R14" s="1" t="s">
        <v>10</v>
      </c>
      <c r="S14" s="17">
        <f t="shared" ref="S14:AF14" si="6">SUM(C26:C29)</f>
        <v>8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190</v>
      </c>
      <c r="AD14" s="17">
        <f t="shared" si="6"/>
        <v>0</v>
      </c>
      <c r="AE14" s="31">
        <f t="shared" si="6"/>
        <v>14</v>
      </c>
      <c r="AF14" s="31">
        <f t="shared" si="6"/>
        <v>204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63</v>
      </c>
      <c r="N15" s="50">
        <v>0</v>
      </c>
      <c r="O15" s="15">
        <f t="shared" si="0"/>
        <v>2</v>
      </c>
      <c r="P15" s="15">
        <f t="shared" si="1"/>
        <v>65</v>
      </c>
      <c r="R15" s="1" t="s">
        <v>11</v>
      </c>
      <c r="S15" s="17">
        <f t="shared" ref="S15:AF15" si="7">SUM(C30:C33)</f>
        <v>7</v>
      </c>
      <c r="T15" s="17">
        <f t="shared" si="7"/>
        <v>3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3</v>
      </c>
      <c r="AC15" s="17">
        <f t="shared" si="7"/>
        <v>117</v>
      </c>
      <c r="AD15" s="17">
        <f t="shared" si="7"/>
        <v>0</v>
      </c>
      <c r="AE15" s="31">
        <f t="shared" si="7"/>
        <v>19</v>
      </c>
      <c r="AF15" s="31">
        <f t="shared" si="7"/>
        <v>136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63</v>
      </c>
      <c r="N16" s="50">
        <v>0</v>
      </c>
      <c r="O16" s="15">
        <f t="shared" si="0"/>
        <v>5</v>
      </c>
      <c r="P16" s="15">
        <f t="shared" si="1"/>
        <v>68</v>
      </c>
      <c r="R16" s="1" t="s">
        <v>12</v>
      </c>
      <c r="S16" s="17">
        <f t="shared" ref="S16:AF16" si="8">SUM(C34:C37)</f>
        <v>11</v>
      </c>
      <c r="T16" s="17">
        <f t="shared" si="8"/>
        <v>3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1</v>
      </c>
      <c r="AB16" s="17">
        <f t="shared" si="8"/>
        <v>4</v>
      </c>
      <c r="AC16" s="17">
        <f t="shared" si="8"/>
        <v>116</v>
      </c>
      <c r="AD16" s="17">
        <f t="shared" si="8"/>
        <v>0</v>
      </c>
      <c r="AE16" s="31">
        <f t="shared" si="8"/>
        <v>21</v>
      </c>
      <c r="AF16" s="31">
        <f t="shared" si="8"/>
        <v>137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57</v>
      </c>
      <c r="N17" s="50">
        <v>0</v>
      </c>
      <c r="O17" s="15">
        <f t="shared" si="0"/>
        <v>5</v>
      </c>
      <c r="P17" s="15">
        <f t="shared" si="1"/>
        <v>62</v>
      </c>
      <c r="R17" s="1" t="s">
        <v>13</v>
      </c>
      <c r="S17" s="17">
        <f t="shared" ref="S17:AF17" si="9">SUM(C38:C41)</f>
        <v>11</v>
      </c>
      <c r="T17" s="17">
        <f t="shared" si="9"/>
        <v>4</v>
      </c>
      <c r="U17" s="17">
        <f t="shared" si="9"/>
        <v>1</v>
      </c>
      <c r="V17" s="17">
        <f t="shared" si="9"/>
        <v>0</v>
      </c>
      <c r="W17" s="17">
        <f t="shared" si="9"/>
        <v>1</v>
      </c>
      <c r="X17" s="17">
        <f t="shared" si="9"/>
        <v>2</v>
      </c>
      <c r="Y17" s="17">
        <f t="shared" si="9"/>
        <v>2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178</v>
      </c>
      <c r="AD17" s="17">
        <f t="shared" si="9"/>
        <v>0</v>
      </c>
      <c r="AE17" s="31">
        <f t="shared" si="9"/>
        <v>24</v>
      </c>
      <c r="AF17" s="31">
        <f t="shared" si="9"/>
        <v>202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53</v>
      </c>
      <c r="N18" s="50">
        <v>0</v>
      </c>
      <c r="O18" s="15">
        <f t="shared" si="0"/>
        <v>7</v>
      </c>
      <c r="P18" s="15">
        <f t="shared" si="1"/>
        <v>60</v>
      </c>
      <c r="R18" s="1" t="s">
        <v>14</v>
      </c>
      <c r="S18" s="17">
        <f t="shared" ref="S18:AF18" si="10">SUM(C42:C45)</f>
        <v>20</v>
      </c>
      <c r="T18" s="17">
        <f t="shared" si="10"/>
        <v>9</v>
      </c>
      <c r="U18" s="17">
        <f t="shared" si="10"/>
        <v>1</v>
      </c>
      <c r="V18" s="17">
        <f t="shared" si="10"/>
        <v>0</v>
      </c>
      <c r="W18" s="17">
        <f t="shared" si="10"/>
        <v>1</v>
      </c>
      <c r="X18" s="17">
        <f t="shared" si="10"/>
        <v>1</v>
      </c>
      <c r="Y18" s="17">
        <f t="shared" si="10"/>
        <v>2</v>
      </c>
      <c r="Z18" s="17">
        <f t="shared" si="10"/>
        <v>0</v>
      </c>
      <c r="AA18" s="17">
        <f t="shared" si="10"/>
        <v>5</v>
      </c>
      <c r="AB18" s="17">
        <f t="shared" si="10"/>
        <v>5</v>
      </c>
      <c r="AC18" s="17">
        <f t="shared" si="10"/>
        <v>206</v>
      </c>
      <c r="AD18" s="17">
        <f t="shared" si="10"/>
        <v>0</v>
      </c>
      <c r="AE18" s="31">
        <f t="shared" si="10"/>
        <v>44</v>
      </c>
      <c r="AF18" s="31">
        <f t="shared" si="10"/>
        <v>250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1</v>
      </c>
      <c r="F19" s="50">
        <v>0</v>
      </c>
      <c r="G19" s="50">
        <v>0</v>
      </c>
      <c r="H19" s="50">
        <v>1</v>
      </c>
      <c r="I19" s="50">
        <v>0</v>
      </c>
      <c r="J19" s="50">
        <v>1</v>
      </c>
      <c r="K19" s="50">
        <v>0</v>
      </c>
      <c r="L19" s="50">
        <v>0</v>
      </c>
      <c r="M19" s="50">
        <v>61</v>
      </c>
      <c r="N19" s="50">
        <v>0</v>
      </c>
      <c r="O19" s="15">
        <f t="shared" si="0"/>
        <v>5</v>
      </c>
      <c r="P19" s="15">
        <f t="shared" si="1"/>
        <v>66</v>
      </c>
      <c r="R19" s="1" t="s">
        <v>15</v>
      </c>
      <c r="S19" s="17">
        <f t="shared" ref="S19:AF19" si="11">SUM(C46:C49)</f>
        <v>5</v>
      </c>
      <c r="T19" s="17">
        <f t="shared" si="11"/>
        <v>5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110</v>
      </c>
      <c r="AD19" s="17">
        <f t="shared" si="11"/>
        <v>0</v>
      </c>
      <c r="AE19" s="31">
        <f t="shared" si="11"/>
        <v>20</v>
      </c>
      <c r="AF19" s="31">
        <f t="shared" si="11"/>
        <v>130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1</v>
      </c>
      <c r="F20" s="50">
        <v>0</v>
      </c>
      <c r="G20" s="50">
        <v>0</v>
      </c>
      <c r="H20" s="50">
        <v>1</v>
      </c>
      <c r="I20" s="50">
        <v>0</v>
      </c>
      <c r="J20" s="50">
        <v>1</v>
      </c>
      <c r="K20" s="50">
        <v>0</v>
      </c>
      <c r="L20" s="50">
        <v>1</v>
      </c>
      <c r="M20" s="50">
        <v>76</v>
      </c>
      <c r="N20" s="50">
        <v>0</v>
      </c>
      <c r="O20" s="15">
        <f t="shared" si="0"/>
        <v>6</v>
      </c>
      <c r="P20" s="15">
        <f t="shared" si="1"/>
        <v>82</v>
      </c>
      <c r="R20" s="1" t="s">
        <v>16</v>
      </c>
      <c r="S20" s="17">
        <f t="shared" ref="S20:AF20" si="12">SUM(C50:C53)</f>
        <v>12</v>
      </c>
      <c r="T20" s="17">
        <f t="shared" si="12"/>
        <v>4</v>
      </c>
      <c r="U20" s="17">
        <f t="shared" si="12"/>
        <v>0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167</v>
      </c>
      <c r="AD20" s="17">
        <f t="shared" si="12"/>
        <v>0</v>
      </c>
      <c r="AE20" s="31">
        <f t="shared" si="12"/>
        <v>32</v>
      </c>
      <c r="AF20" s="31">
        <f t="shared" si="12"/>
        <v>199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0</v>
      </c>
      <c r="J21" s="50">
        <v>1</v>
      </c>
      <c r="K21" s="50">
        <v>0</v>
      </c>
      <c r="L21" s="50">
        <v>1</v>
      </c>
      <c r="M21" s="50">
        <v>51</v>
      </c>
      <c r="N21" s="50">
        <v>0</v>
      </c>
      <c r="O21" s="15">
        <f t="shared" si="0"/>
        <v>8</v>
      </c>
      <c r="P21" s="15">
        <f t="shared" si="1"/>
        <v>59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4</v>
      </c>
      <c r="V21" s="17">
        <f t="shared" si="13"/>
        <v>0</v>
      </c>
      <c r="W21" s="17">
        <f t="shared" si="13"/>
        <v>0</v>
      </c>
      <c r="X21" s="17">
        <f t="shared" si="13"/>
        <v>7</v>
      </c>
      <c r="Y21" s="17">
        <f t="shared" si="13"/>
        <v>3</v>
      </c>
      <c r="Z21" s="17">
        <f t="shared" si="13"/>
        <v>0</v>
      </c>
      <c r="AA21" s="17">
        <f t="shared" si="13"/>
        <v>5</v>
      </c>
      <c r="AB21" s="17">
        <f t="shared" si="13"/>
        <v>13</v>
      </c>
      <c r="AC21" s="17">
        <f t="shared" si="13"/>
        <v>123</v>
      </c>
      <c r="AD21" s="17">
        <f t="shared" si="13"/>
        <v>0</v>
      </c>
      <c r="AE21" s="31">
        <f t="shared" si="13"/>
        <v>40</v>
      </c>
      <c r="AF21" s="31">
        <f t="shared" si="13"/>
        <v>163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63</v>
      </c>
      <c r="N22" s="50">
        <v>0</v>
      </c>
      <c r="O22" s="15">
        <f t="shared" si="0"/>
        <v>5</v>
      </c>
      <c r="P22" s="15">
        <f t="shared" si="1"/>
        <v>68</v>
      </c>
      <c r="R22" s="38" t="s">
        <v>90</v>
      </c>
      <c r="S22" s="39">
        <f>MAX(S10:S12)</f>
        <v>11</v>
      </c>
      <c r="T22" s="39">
        <f t="shared" ref="T22:AF22" si="14">MAX(T10:T12)</f>
        <v>5</v>
      </c>
      <c r="U22" s="39">
        <f t="shared" si="14"/>
        <v>5</v>
      </c>
      <c r="V22" s="39">
        <f t="shared" si="14"/>
        <v>0</v>
      </c>
      <c r="W22" s="39">
        <f t="shared" si="14"/>
        <v>0</v>
      </c>
      <c r="X22" s="39">
        <f t="shared" si="14"/>
        <v>3</v>
      </c>
      <c r="Y22" s="39">
        <f t="shared" si="14"/>
        <v>2</v>
      </c>
      <c r="Z22" s="39">
        <f t="shared" si="14"/>
        <v>3</v>
      </c>
      <c r="AA22" s="39">
        <f t="shared" si="14"/>
        <v>0</v>
      </c>
      <c r="AB22" s="39">
        <f t="shared" si="14"/>
        <v>3</v>
      </c>
      <c r="AC22" s="39">
        <f t="shared" si="14"/>
        <v>242</v>
      </c>
      <c r="AD22" s="39">
        <f t="shared" si="14"/>
        <v>0</v>
      </c>
      <c r="AE22" s="40">
        <f t="shared" si="14"/>
        <v>26</v>
      </c>
      <c r="AF22" s="40">
        <f t="shared" si="14"/>
        <v>267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44</v>
      </c>
      <c r="N23" s="50">
        <v>0</v>
      </c>
      <c r="O23" s="15">
        <f t="shared" si="0"/>
        <v>7</v>
      </c>
      <c r="P23" s="15">
        <f t="shared" si="1"/>
        <v>51</v>
      </c>
      <c r="R23" s="38" t="s">
        <v>91</v>
      </c>
      <c r="S23" s="39">
        <f>MAX(S13:S18)</f>
        <v>20</v>
      </c>
      <c r="T23" s="39">
        <f t="shared" ref="T23:AF23" si="15">MAX(T13:T18)</f>
        <v>9</v>
      </c>
      <c r="U23" s="39">
        <f t="shared" si="15"/>
        <v>1</v>
      </c>
      <c r="V23" s="39">
        <f t="shared" si="15"/>
        <v>0</v>
      </c>
      <c r="W23" s="39">
        <f t="shared" si="15"/>
        <v>1</v>
      </c>
      <c r="X23" s="39">
        <f t="shared" si="15"/>
        <v>2</v>
      </c>
      <c r="Y23" s="39">
        <f t="shared" si="15"/>
        <v>5</v>
      </c>
      <c r="Z23" s="39">
        <f t="shared" si="15"/>
        <v>2</v>
      </c>
      <c r="AA23" s="39">
        <f t="shared" si="15"/>
        <v>5</v>
      </c>
      <c r="AB23" s="39">
        <f t="shared" si="15"/>
        <v>5</v>
      </c>
      <c r="AC23" s="39">
        <f t="shared" si="15"/>
        <v>219</v>
      </c>
      <c r="AD23" s="39">
        <f t="shared" si="15"/>
        <v>0</v>
      </c>
      <c r="AE23" s="40">
        <f t="shared" si="15"/>
        <v>44</v>
      </c>
      <c r="AF23" s="40">
        <f t="shared" si="15"/>
        <v>250</v>
      </c>
    </row>
    <row r="24" spans="2:32" ht="23.1" customHeight="1" x14ac:dyDescent="0.25">
      <c r="B24" s="23" t="s">
        <v>51</v>
      </c>
      <c r="C24" s="50">
        <v>6</v>
      </c>
      <c r="D24" s="50">
        <v>4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60</v>
      </c>
      <c r="N24" s="50">
        <v>0</v>
      </c>
      <c r="O24" s="15">
        <f t="shared" si="0"/>
        <v>12</v>
      </c>
      <c r="P24" s="15">
        <f t="shared" si="1"/>
        <v>72</v>
      </c>
      <c r="R24" s="38" t="s">
        <v>92</v>
      </c>
      <c r="S24" s="39">
        <f>MAX(S19:S21)</f>
        <v>12</v>
      </c>
      <c r="T24" s="39">
        <f t="shared" ref="T24:AF24" si="16">MAX(T19:T21)</f>
        <v>5</v>
      </c>
      <c r="U24" s="39">
        <f t="shared" si="16"/>
        <v>4</v>
      </c>
      <c r="V24" s="39">
        <f t="shared" si="16"/>
        <v>0</v>
      </c>
      <c r="W24" s="39">
        <f t="shared" si="16"/>
        <v>1</v>
      </c>
      <c r="X24" s="39">
        <f t="shared" si="16"/>
        <v>7</v>
      </c>
      <c r="Y24" s="39">
        <f t="shared" si="16"/>
        <v>6</v>
      </c>
      <c r="Z24" s="39">
        <f t="shared" si="16"/>
        <v>1</v>
      </c>
      <c r="AA24" s="39">
        <f t="shared" si="16"/>
        <v>5</v>
      </c>
      <c r="AB24" s="39">
        <f t="shared" si="16"/>
        <v>13</v>
      </c>
      <c r="AC24" s="39">
        <f t="shared" si="16"/>
        <v>167</v>
      </c>
      <c r="AD24" s="39">
        <f t="shared" si="16"/>
        <v>0</v>
      </c>
      <c r="AE24" s="40">
        <f t="shared" si="16"/>
        <v>40</v>
      </c>
      <c r="AF24" s="40">
        <f t="shared" si="16"/>
        <v>199</v>
      </c>
    </row>
    <row r="25" spans="2:32" ht="23.1" customHeight="1" x14ac:dyDescent="0.25">
      <c r="B25" s="23" t="s">
        <v>52</v>
      </c>
      <c r="C25" s="50">
        <v>6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52</v>
      </c>
      <c r="N25" s="50">
        <v>0</v>
      </c>
      <c r="O25" s="15">
        <f t="shared" si="0"/>
        <v>7</v>
      </c>
      <c r="P25" s="15">
        <f t="shared" si="1"/>
        <v>59</v>
      </c>
      <c r="R25" s="37" t="s">
        <v>85</v>
      </c>
      <c r="S25" s="35">
        <f t="shared" ref="S25:AF25" si="17">SUM(S10:S12)</f>
        <v>31</v>
      </c>
      <c r="T25" s="16">
        <f t="shared" si="17"/>
        <v>8</v>
      </c>
      <c r="U25" s="16">
        <f t="shared" si="17"/>
        <v>8</v>
      </c>
      <c r="V25" s="16">
        <f t="shared" si="17"/>
        <v>0</v>
      </c>
      <c r="W25" s="16">
        <f t="shared" si="17"/>
        <v>0</v>
      </c>
      <c r="X25" s="16">
        <f t="shared" si="17"/>
        <v>3</v>
      </c>
      <c r="Y25" s="16">
        <f t="shared" si="17"/>
        <v>3</v>
      </c>
      <c r="Z25" s="16">
        <f t="shared" si="17"/>
        <v>3</v>
      </c>
      <c r="AA25" s="16">
        <f t="shared" si="17"/>
        <v>0</v>
      </c>
      <c r="AB25" s="16">
        <f t="shared" si="17"/>
        <v>6</v>
      </c>
      <c r="AC25" s="16">
        <f t="shared" si="17"/>
        <v>652</v>
      </c>
      <c r="AD25" s="16">
        <f t="shared" si="17"/>
        <v>0</v>
      </c>
      <c r="AE25" s="32">
        <f t="shared" si="17"/>
        <v>62</v>
      </c>
      <c r="AF25" s="32">
        <f t="shared" si="17"/>
        <v>714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72</v>
      </c>
      <c r="N26" s="50">
        <v>0</v>
      </c>
      <c r="O26" s="15">
        <f t="shared" si="0"/>
        <v>3</v>
      </c>
      <c r="P26" s="15">
        <f t="shared" si="1"/>
        <v>75</v>
      </c>
      <c r="R26" s="28" t="s">
        <v>86</v>
      </c>
      <c r="S26" s="16">
        <f t="shared" ref="S26:AF26" si="18">SUM(S13:S18)</f>
        <v>76</v>
      </c>
      <c r="T26" s="16">
        <f t="shared" si="18"/>
        <v>25</v>
      </c>
      <c r="U26" s="16">
        <f t="shared" si="18"/>
        <v>6</v>
      </c>
      <c r="V26" s="16">
        <f t="shared" si="18"/>
        <v>0</v>
      </c>
      <c r="W26" s="16">
        <f t="shared" si="18"/>
        <v>2</v>
      </c>
      <c r="X26" s="16">
        <f t="shared" si="18"/>
        <v>3</v>
      </c>
      <c r="Y26" s="16">
        <f t="shared" si="18"/>
        <v>12</v>
      </c>
      <c r="Z26" s="16">
        <f t="shared" si="18"/>
        <v>2</v>
      </c>
      <c r="AA26" s="16">
        <f t="shared" si="18"/>
        <v>7</v>
      </c>
      <c r="AB26" s="16">
        <f t="shared" si="18"/>
        <v>20</v>
      </c>
      <c r="AC26" s="16">
        <f t="shared" si="18"/>
        <v>1026</v>
      </c>
      <c r="AD26" s="16">
        <f t="shared" si="18"/>
        <v>0</v>
      </c>
      <c r="AE26" s="32">
        <f t="shared" si="18"/>
        <v>153</v>
      </c>
      <c r="AF26" s="32">
        <f t="shared" si="18"/>
        <v>1179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32</v>
      </c>
      <c r="N27" s="50">
        <v>0</v>
      </c>
      <c r="O27" s="15">
        <f t="shared" si="0"/>
        <v>2</v>
      </c>
      <c r="P27" s="15">
        <f t="shared" si="1"/>
        <v>34</v>
      </c>
      <c r="R27" s="29" t="s">
        <v>87</v>
      </c>
      <c r="S27" s="16">
        <f t="shared" ref="S27:AF27" si="19">SUM(S19:S21)</f>
        <v>25</v>
      </c>
      <c r="T27" s="16">
        <f t="shared" si="19"/>
        <v>9</v>
      </c>
      <c r="U27" s="16">
        <f t="shared" si="19"/>
        <v>5</v>
      </c>
      <c r="V27" s="16">
        <f t="shared" si="19"/>
        <v>0</v>
      </c>
      <c r="W27" s="16">
        <f t="shared" si="19"/>
        <v>1</v>
      </c>
      <c r="X27" s="16">
        <f t="shared" si="19"/>
        <v>7</v>
      </c>
      <c r="Y27" s="16">
        <f t="shared" si="19"/>
        <v>14</v>
      </c>
      <c r="Z27" s="16">
        <f t="shared" si="19"/>
        <v>1</v>
      </c>
      <c r="AA27" s="16">
        <f t="shared" si="19"/>
        <v>6</v>
      </c>
      <c r="AB27" s="16">
        <f t="shared" si="19"/>
        <v>24</v>
      </c>
      <c r="AC27" s="16">
        <f t="shared" si="19"/>
        <v>400</v>
      </c>
      <c r="AD27" s="16">
        <f t="shared" si="19"/>
        <v>0</v>
      </c>
      <c r="AE27" s="32">
        <f t="shared" si="19"/>
        <v>92</v>
      </c>
      <c r="AF27" s="32">
        <f t="shared" si="19"/>
        <v>492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59</v>
      </c>
      <c r="N28" s="50">
        <v>0</v>
      </c>
      <c r="O28" s="15">
        <f t="shared" si="0"/>
        <v>7</v>
      </c>
      <c r="P28" s="15">
        <f t="shared" si="1"/>
        <v>66</v>
      </c>
      <c r="R28" s="5" t="s">
        <v>17</v>
      </c>
      <c r="S28" s="16">
        <f t="shared" ref="S28:AF28" si="20">SUM(S10:S21)</f>
        <v>132</v>
      </c>
      <c r="T28" s="16">
        <f t="shared" si="20"/>
        <v>42</v>
      </c>
      <c r="U28" s="16">
        <f t="shared" si="20"/>
        <v>19</v>
      </c>
      <c r="V28" s="16">
        <f t="shared" si="20"/>
        <v>0</v>
      </c>
      <c r="W28" s="16">
        <f t="shared" si="20"/>
        <v>3</v>
      </c>
      <c r="X28" s="16">
        <f t="shared" si="20"/>
        <v>13</v>
      </c>
      <c r="Y28" s="16">
        <f t="shared" si="20"/>
        <v>29</v>
      </c>
      <c r="Z28" s="16">
        <f t="shared" si="20"/>
        <v>6</v>
      </c>
      <c r="AA28" s="16">
        <f t="shared" si="20"/>
        <v>13</v>
      </c>
      <c r="AB28" s="16">
        <f t="shared" si="20"/>
        <v>50</v>
      </c>
      <c r="AC28" s="16">
        <f t="shared" si="20"/>
        <v>2078</v>
      </c>
      <c r="AD28" s="16">
        <f t="shared" si="20"/>
        <v>0</v>
      </c>
      <c r="AE28" s="32">
        <f t="shared" si="20"/>
        <v>307</v>
      </c>
      <c r="AF28" s="32">
        <f t="shared" si="20"/>
        <v>2385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27</v>
      </c>
      <c r="N29" s="50">
        <v>0</v>
      </c>
      <c r="O29" s="15">
        <f t="shared" si="0"/>
        <v>2</v>
      </c>
      <c r="P29" s="15">
        <f t="shared" si="1"/>
        <v>29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30</v>
      </c>
      <c r="N30" s="50">
        <v>0</v>
      </c>
      <c r="O30" s="15">
        <f t="shared" si="0"/>
        <v>5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30</v>
      </c>
      <c r="N31" s="50">
        <v>0</v>
      </c>
      <c r="O31" s="15">
        <f t="shared" si="0"/>
        <v>5</v>
      </c>
      <c r="P31" s="15">
        <f t="shared" si="1"/>
        <v>35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29</v>
      </c>
      <c r="N32" s="50">
        <v>0</v>
      </c>
      <c r="O32" s="15">
        <f t="shared" si="0"/>
        <v>3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2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28</v>
      </c>
      <c r="N33" s="50">
        <v>0</v>
      </c>
      <c r="O33" s="15">
        <f t="shared" si="0"/>
        <v>6</v>
      </c>
      <c r="P33" s="15">
        <f t="shared" si="1"/>
        <v>34</v>
      </c>
    </row>
    <row r="34" spans="2:20" ht="23.1" customHeight="1" x14ac:dyDescent="0.25">
      <c r="B34" s="24" t="s">
        <v>61</v>
      </c>
      <c r="C34" s="50">
        <v>2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21</v>
      </c>
      <c r="N34" s="50">
        <v>0</v>
      </c>
      <c r="O34" s="15">
        <f t="shared" si="0"/>
        <v>5</v>
      </c>
      <c r="P34" s="15">
        <f t="shared" si="1"/>
        <v>26</v>
      </c>
    </row>
    <row r="35" spans="2:20" ht="23.1" customHeight="1" x14ac:dyDescent="0.25">
      <c r="B35" s="24" t="s">
        <v>62</v>
      </c>
      <c r="C35" s="50">
        <v>4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25</v>
      </c>
      <c r="N35" s="50">
        <v>0</v>
      </c>
      <c r="O35" s="15">
        <f t="shared" si="0"/>
        <v>8</v>
      </c>
      <c r="P35" s="15">
        <f t="shared" si="1"/>
        <v>33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41</v>
      </c>
      <c r="N36" s="50">
        <v>0</v>
      </c>
      <c r="O36" s="15">
        <f t="shared" si="0"/>
        <v>5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2</v>
      </c>
      <c r="M37" s="50">
        <v>29</v>
      </c>
      <c r="N37" s="50">
        <v>0</v>
      </c>
      <c r="O37" s="15">
        <f t="shared" si="0"/>
        <v>3</v>
      </c>
      <c r="P37" s="15">
        <f t="shared" si="1"/>
        <v>32</v>
      </c>
    </row>
    <row r="38" spans="2:20" ht="23.1" customHeight="1" x14ac:dyDescent="0.25">
      <c r="B38" s="24" t="s">
        <v>65</v>
      </c>
      <c r="C38" s="50">
        <v>3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49</v>
      </c>
      <c r="N38" s="50">
        <v>0</v>
      </c>
      <c r="O38" s="15">
        <f t="shared" si="0"/>
        <v>7</v>
      </c>
      <c r="P38" s="15">
        <f t="shared" si="1"/>
        <v>56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1</v>
      </c>
      <c r="F39" s="50">
        <v>0</v>
      </c>
      <c r="G39" s="50">
        <v>0</v>
      </c>
      <c r="H39" s="50">
        <v>1</v>
      </c>
      <c r="I39" s="50">
        <v>0</v>
      </c>
      <c r="J39" s="50">
        <v>2</v>
      </c>
      <c r="K39" s="50">
        <v>0</v>
      </c>
      <c r="L39" s="50">
        <v>0</v>
      </c>
      <c r="M39" s="50">
        <v>53</v>
      </c>
      <c r="N39" s="50">
        <v>0</v>
      </c>
      <c r="O39" s="15">
        <f t="shared" si="0"/>
        <v>8</v>
      </c>
      <c r="P39" s="15">
        <f t="shared" si="1"/>
        <v>61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0</v>
      </c>
      <c r="F40" s="50">
        <v>0</v>
      </c>
      <c r="G40" s="50">
        <v>1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6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39</v>
      </c>
      <c r="N41" s="50">
        <v>0</v>
      </c>
      <c r="O41" s="15">
        <f t="shared" si="0"/>
        <v>3</v>
      </c>
      <c r="P41" s="15">
        <f t="shared" si="1"/>
        <v>42</v>
      </c>
    </row>
    <row r="42" spans="2:20" ht="23.1" customHeight="1" x14ac:dyDescent="0.25">
      <c r="B42" s="24" t="s">
        <v>69</v>
      </c>
      <c r="C42" s="50">
        <v>4</v>
      </c>
      <c r="D42" s="50">
        <v>2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2</v>
      </c>
      <c r="L42" s="50">
        <v>1</v>
      </c>
      <c r="M42" s="50">
        <v>58</v>
      </c>
      <c r="N42" s="50">
        <v>0</v>
      </c>
      <c r="O42" s="15">
        <f t="shared" si="0"/>
        <v>9</v>
      </c>
      <c r="P42" s="15">
        <f t="shared" si="1"/>
        <v>67</v>
      </c>
    </row>
    <row r="43" spans="2:20" ht="23.1" customHeight="1" x14ac:dyDescent="0.25">
      <c r="B43" s="23" t="s">
        <v>70</v>
      </c>
      <c r="C43" s="50">
        <v>7</v>
      </c>
      <c r="D43" s="50">
        <v>4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58</v>
      </c>
      <c r="N43" s="50">
        <v>0</v>
      </c>
      <c r="O43" s="15">
        <f t="shared" si="0"/>
        <v>12</v>
      </c>
      <c r="P43" s="15">
        <f t="shared" si="1"/>
        <v>70</v>
      </c>
    </row>
    <row r="44" spans="2:20" ht="23.1" customHeight="1" x14ac:dyDescent="0.25">
      <c r="B44" s="25" t="s">
        <v>71</v>
      </c>
      <c r="C44" s="50">
        <v>3</v>
      </c>
      <c r="D44" s="50">
        <v>3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2</v>
      </c>
      <c r="M44" s="50">
        <v>64</v>
      </c>
      <c r="N44" s="50">
        <v>0</v>
      </c>
      <c r="O44" s="15">
        <f t="shared" si="0"/>
        <v>11</v>
      </c>
      <c r="P44" s="15">
        <f t="shared" si="1"/>
        <v>75</v>
      </c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0</v>
      </c>
      <c r="F45" s="50">
        <v>0</v>
      </c>
      <c r="G45" s="50">
        <v>1</v>
      </c>
      <c r="H45" s="50">
        <v>1</v>
      </c>
      <c r="I45" s="50">
        <v>1</v>
      </c>
      <c r="J45" s="50">
        <v>0</v>
      </c>
      <c r="K45" s="50">
        <v>1</v>
      </c>
      <c r="L45" s="50">
        <v>2</v>
      </c>
      <c r="M45" s="50">
        <v>26</v>
      </c>
      <c r="N45" s="50">
        <v>0</v>
      </c>
      <c r="O45" s="15">
        <f t="shared" si="0"/>
        <v>12</v>
      </c>
      <c r="P45" s="15">
        <f t="shared" si="1"/>
        <v>38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2</v>
      </c>
      <c r="J46" s="50">
        <v>1</v>
      </c>
      <c r="K46" s="50">
        <v>1</v>
      </c>
      <c r="L46" s="50">
        <v>0</v>
      </c>
      <c r="M46" s="50">
        <v>22</v>
      </c>
      <c r="N46" s="50">
        <v>0</v>
      </c>
      <c r="O46" s="15">
        <f t="shared" si="0"/>
        <v>7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2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5">
        <f t="shared" si="0"/>
        <v>5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2</v>
      </c>
      <c r="M48" s="50">
        <v>26</v>
      </c>
      <c r="N48" s="50">
        <v>0</v>
      </c>
      <c r="O48" s="15">
        <f t="shared" si="0"/>
        <v>6</v>
      </c>
      <c r="P48" s="15">
        <f t="shared" si="1"/>
        <v>32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2</v>
      </c>
      <c r="P49" s="15">
        <f t="shared" si="1"/>
        <v>37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2</v>
      </c>
      <c r="E50" s="50">
        <v>0</v>
      </c>
      <c r="F50" s="50">
        <v>0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3</v>
      </c>
      <c r="M50" s="50">
        <v>46</v>
      </c>
      <c r="N50" s="50">
        <v>0</v>
      </c>
      <c r="O50" s="15">
        <f t="shared" si="0"/>
        <v>13</v>
      </c>
      <c r="P50" s="15">
        <f t="shared" si="1"/>
        <v>59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3</v>
      </c>
      <c r="M51" s="50">
        <v>50</v>
      </c>
      <c r="N51" s="50">
        <v>0</v>
      </c>
      <c r="O51" s="15">
        <f t="shared" si="0"/>
        <v>7</v>
      </c>
      <c r="P51" s="15">
        <f t="shared" si="1"/>
        <v>57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3</v>
      </c>
      <c r="M52" s="50">
        <v>41</v>
      </c>
      <c r="N52" s="50">
        <v>0</v>
      </c>
      <c r="O52" s="15">
        <f t="shared" si="0"/>
        <v>5</v>
      </c>
      <c r="P52" s="15">
        <f t="shared" si="1"/>
        <v>46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30</v>
      </c>
      <c r="N53" s="50">
        <v>0</v>
      </c>
      <c r="O53" s="15">
        <f t="shared" si="0"/>
        <v>7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2</v>
      </c>
      <c r="F54" s="50">
        <v>0</v>
      </c>
      <c r="G54" s="50">
        <v>0</v>
      </c>
      <c r="H54" s="50">
        <v>3</v>
      </c>
      <c r="I54" s="50">
        <v>3</v>
      </c>
      <c r="J54" s="50">
        <v>0</v>
      </c>
      <c r="K54" s="50">
        <v>1</v>
      </c>
      <c r="L54" s="50">
        <v>4</v>
      </c>
      <c r="M54" s="50">
        <v>21</v>
      </c>
      <c r="N54" s="50">
        <v>0</v>
      </c>
      <c r="O54" s="15">
        <f t="shared" si="0"/>
        <v>16</v>
      </c>
      <c r="P54" s="15">
        <f t="shared" si="1"/>
        <v>37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2</v>
      </c>
      <c r="F55" s="50">
        <v>0</v>
      </c>
      <c r="G55" s="50">
        <v>0</v>
      </c>
      <c r="H55" s="50">
        <v>2</v>
      </c>
      <c r="I55" s="50">
        <v>0</v>
      </c>
      <c r="J55" s="50">
        <v>0</v>
      </c>
      <c r="K55" s="50">
        <v>1</v>
      </c>
      <c r="L55" s="50">
        <v>3</v>
      </c>
      <c r="M55" s="50">
        <v>40</v>
      </c>
      <c r="N55" s="50">
        <v>0</v>
      </c>
      <c r="O55" s="15">
        <f t="shared" si="0"/>
        <v>9</v>
      </c>
      <c r="P55" s="15">
        <f t="shared" si="1"/>
        <v>49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3</v>
      </c>
      <c r="L56" s="50">
        <v>4</v>
      </c>
      <c r="M56" s="50">
        <v>35</v>
      </c>
      <c r="N56" s="50">
        <v>0</v>
      </c>
      <c r="O56" s="15">
        <f t="shared" si="0"/>
        <v>10</v>
      </c>
      <c r="P56" s="15">
        <f t="shared" si="1"/>
        <v>45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2</v>
      </c>
      <c r="M57" s="50">
        <v>27</v>
      </c>
      <c r="N57" s="50">
        <v>0</v>
      </c>
      <c r="O57" s="15">
        <f t="shared" si="0"/>
        <v>5</v>
      </c>
      <c r="P57" s="15">
        <f t="shared" si="1"/>
        <v>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132</v>
      </c>
      <c r="D58" s="16">
        <f t="shared" si="21"/>
        <v>42</v>
      </c>
      <c r="E58" s="16">
        <f t="shared" si="21"/>
        <v>19</v>
      </c>
      <c r="F58" s="16">
        <f t="shared" si="21"/>
        <v>0</v>
      </c>
      <c r="G58" s="16">
        <f t="shared" si="21"/>
        <v>3</v>
      </c>
      <c r="H58" s="16">
        <f t="shared" si="21"/>
        <v>13</v>
      </c>
      <c r="I58" s="16">
        <f t="shared" si="21"/>
        <v>29</v>
      </c>
      <c r="J58" s="16">
        <f t="shared" si="21"/>
        <v>6</v>
      </c>
      <c r="K58" s="16">
        <f t="shared" si="21"/>
        <v>13</v>
      </c>
      <c r="L58" s="16">
        <f t="shared" si="21"/>
        <v>50</v>
      </c>
      <c r="M58" s="16">
        <f t="shared" si="21"/>
        <v>2078</v>
      </c>
      <c r="N58" s="16">
        <f t="shared" si="21"/>
        <v>0</v>
      </c>
      <c r="O58" s="16">
        <f t="shared" si="21"/>
        <v>307</v>
      </c>
      <c r="P58" s="16">
        <f t="shared" si="21"/>
        <v>2385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5.5345911949685536E-2</v>
      </c>
      <c r="D59" s="43">
        <f t="shared" si="22"/>
        <v>1.7610062893081761E-2</v>
      </c>
      <c r="E59" s="43">
        <f t="shared" si="22"/>
        <v>7.966457023060796E-3</v>
      </c>
      <c r="F59" s="43">
        <f t="shared" si="22"/>
        <v>0</v>
      </c>
      <c r="G59" s="43">
        <f t="shared" si="22"/>
        <v>1.2578616352201257E-3</v>
      </c>
      <c r="H59" s="43">
        <f t="shared" si="22"/>
        <v>5.450733752620545E-3</v>
      </c>
      <c r="I59" s="43">
        <f t="shared" si="22"/>
        <v>1.2159329140461216E-2</v>
      </c>
      <c r="J59" s="43">
        <f t="shared" si="22"/>
        <v>2.5157232704402514E-3</v>
      </c>
      <c r="K59" s="43">
        <f t="shared" si="22"/>
        <v>5.450733752620545E-3</v>
      </c>
      <c r="L59" s="43">
        <f t="shared" si="22"/>
        <v>2.0964360587002098E-2</v>
      </c>
      <c r="M59" s="43">
        <f t="shared" si="22"/>
        <v>0.87127882599580708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0.42996742671009774</v>
      </c>
      <c r="D60" s="44">
        <f t="shared" ref="D60:N60" si="23">D58/$O$58</f>
        <v>0.13680781758957655</v>
      </c>
      <c r="E60" s="44">
        <f t="shared" si="23"/>
        <v>6.1889250814332247E-2</v>
      </c>
      <c r="F60" s="44">
        <f t="shared" si="23"/>
        <v>0</v>
      </c>
      <c r="G60" s="44">
        <f t="shared" si="23"/>
        <v>9.7719869706840382E-3</v>
      </c>
      <c r="H60" s="44">
        <f t="shared" si="23"/>
        <v>4.2345276872964167E-2</v>
      </c>
      <c r="I60" s="44">
        <f t="shared" si="23"/>
        <v>9.4462540716612378E-2</v>
      </c>
      <c r="J60" s="44">
        <f t="shared" si="23"/>
        <v>1.9543973941368076E-2</v>
      </c>
      <c r="K60" s="44">
        <f t="shared" si="23"/>
        <v>4.2345276872964167E-2</v>
      </c>
      <c r="L60" s="44">
        <f t="shared" si="23"/>
        <v>0.16286644951140064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6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NIMULE-GULU'!D5</f>
        <v>31.07.19</v>
      </c>
      <c r="E5" s="3"/>
      <c r="F5" s="41" t="s">
        <v>1</v>
      </c>
      <c r="G5" s="63" t="str">
        <f>'31.07 NIMULE-GULU'!G5:H5</f>
        <v>ELEGU</v>
      </c>
      <c r="H5" s="64"/>
      <c r="I5" s="14"/>
      <c r="J5" s="2" t="s">
        <v>5</v>
      </c>
      <c r="K5" s="63" t="str">
        <f>'31.07 NIMULE-GULU'!K5:L5</f>
        <v>NANDATU SANDRAH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164</v>
      </c>
      <c r="H6" s="58"/>
      <c r="J6" s="2" t="s">
        <v>21</v>
      </c>
      <c r="K6" s="63" t="str">
        <f>'31.07 NIMULE-GULU'!K6:L6</f>
        <v>NORMAN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4</v>
      </c>
      <c r="L10" s="50">
        <v>0</v>
      </c>
      <c r="M10" s="50">
        <v>81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89</v>
      </c>
      <c r="R10" s="1" t="s">
        <v>6</v>
      </c>
      <c r="S10" s="17">
        <f t="shared" ref="S10:AF10" si="2">SUM(C10:C13)</f>
        <v>3</v>
      </c>
      <c r="T10" s="17">
        <f t="shared" si="2"/>
        <v>11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2</v>
      </c>
      <c r="AA10" s="17">
        <f t="shared" si="2"/>
        <v>14</v>
      </c>
      <c r="AB10" s="17">
        <f t="shared" si="2"/>
        <v>5</v>
      </c>
      <c r="AC10" s="17">
        <f t="shared" si="2"/>
        <v>237</v>
      </c>
      <c r="AD10" s="17">
        <f t="shared" si="2"/>
        <v>0</v>
      </c>
      <c r="AE10" s="31">
        <f t="shared" si="2"/>
        <v>43</v>
      </c>
      <c r="AF10" s="31">
        <f t="shared" si="2"/>
        <v>280</v>
      </c>
    </row>
    <row r="11" spans="2:32" s="6" customFormat="1" ht="23.1" customHeight="1" x14ac:dyDescent="0.25">
      <c r="B11" s="23" t="s">
        <v>38</v>
      </c>
      <c r="C11" s="50">
        <v>3</v>
      </c>
      <c r="D11" s="50">
        <v>7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5</v>
      </c>
      <c r="L11" s="50">
        <v>3</v>
      </c>
      <c r="M11" s="50">
        <v>47</v>
      </c>
      <c r="N11" s="50">
        <v>0</v>
      </c>
      <c r="O11" s="15">
        <f t="shared" si="0"/>
        <v>21</v>
      </c>
      <c r="P11" s="15">
        <f t="shared" si="1"/>
        <v>68</v>
      </c>
      <c r="R11" s="1" t="s">
        <v>7</v>
      </c>
      <c r="S11" s="17">
        <f t="shared" ref="S11:AF11" si="3">SUM(C14:C17)</f>
        <v>7</v>
      </c>
      <c r="T11" s="17">
        <f t="shared" si="3"/>
        <v>12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4</v>
      </c>
      <c r="AB11" s="17">
        <f t="shared" si="3"/>
        <v>3</v>
      </c>
      <c r="AC11" s="17">
        <f t="shared" si="3"/>
        <v>273</v>
      </c>
      <c r="AD11" s="17">
        <f t="shared" si="3"/>
        <v>0</v>
      </c>
      <c r="AE11" s="31">
        <f t="shared" si="3"/>
        <v>28</v>
      </c>
      <c r="AF11" s="31">
        <f t="shared" si="3"/>
        <v>301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4</v>
      </c>
      <c r="L12" s="50">
        <v>1</v>
      </c>
      <c r="M12" s="50">
        <v>38</v>
      </c>
      <c r="N12" s="50">
        <v>0</v>
      </c>
      <c r="O12" s="15">
        <f t="shared" si="0"/>
        <v>5</v>
      </c>
      <c r="P12" s="15">
        <f t="shared" si="1"/>
        <v>43</v>
      </c>
      <c r="R12" s="1" t="s">
        <v>8</v>
      </c>
      <c r="S12" s="17">
        <f t="shared" ref="S12:AF12" si="4">SUM(C18:C21)</f>
        <v>9</v>
      </c>
      <c r="T12" s="17">
        <f t="shared" si="4"/>
        <v>5</v>
      </c>
      <c r="U12" s="17">
        <f t="shared" si="4"/>
        <v>3</v>
      </c>
      <c r="V12" s="17">
        <f t="shared" si="4"/>
        <v>2</v>
      </c>
      <c r="W12" s="17">
        <f t="shared" si="4"/>
        <v>0</v>
      </c>
      <c r="X12" s="17">
        <f t="shared" si="4"/>
        <v>5</v>
      </c>
      <c r="Y12" s="17">
        <f t="shared" si="4"/>
        <v>0</v>
      </c>
      <c r="Z12" s="17">
        <f t="shared" si="4"/>
        <v>3</v>
      </c>
      <c r="AA12" s="17">
        <f t="shared" si="4"/>
        <v>6</v>
      </c>
      <c r="AB12" s="17">
        <f t="shared" si="4"/>
        <v>5</v>
      </c>
      <c r="AC12" s="17">
        <f t="shared" si="4"/>
        <v>209</v>
      </c>
      <c r="AD12" s="17">
        <f t="shared" si="4"/>
        <v>0</v>
      </c>
      <c r="AE12" s="31">
        <f t="shared" si="4"/>
        <v>38</v>
      </c>
      <c r="AF12" s="31">
        <f t="shared" si="4"/>
        <v>247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3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1</v>
      </c>
      <c r="L13" s="50">
        <v>1</v>
      </c>
      <c r="M13" s="50">
        <v>71</v>
      </c>
      <c r="N13" s="50">
        <v>0</v>
      </c>
      <c r="O13" s="15">
        <f t="shared" si="0"/>
        <v>9</v>
      </c>
      <c r="P13" s="15">
        <f t="shared" si="1"/>
        <v>80</v>
      </c>
      <c r="R13" s="1" t="s">
        <v>9</v>
      </c>
      <c r="S13" s="17">
        <f t="shared" ref="S13:AF13" si="5">SUM(C22:C25)</f>
        <v>7</v>
      </c>
      <c r="T13" s="17">
        <f t="shared" si="5"/>
        <v>9</v>
      </c>
      <c r="U13" s="17">
        <f t="shared" si="5"/>
        <v>3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2</v>
      </c>
      <c r="AB13" s="17">
        <f t="shared" si="5"/>
        <v>6</v>
      </c>
      <c r="AC13" s="17">
        <f t="shared" si="5"/>
        <v>217</v>
      </c>
      <c r="AD13" s="17">
        <f t="shared" si="5"/>
        <v>0</v>
      </c>
      <c r="AE13" s="31">
        <f t="shared" si="5"/>
        <v>32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1</v>
      </c>
      <c r="D14" s="50">
        <v>3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86</v>
      </c>
      <c r="N14" s="50">
        <v>0</v>
      </c>
      <c r="O14" s="15">
        <f t="shared" si="0"/>
        <v>7</v>
      </c>
      <c r="P14" s="15">
        <f t="shared" si="1"/>
        <v>93</v>
      </c>
      <c r="R14" s="1" t="s">
        <v>10</v>
      </c>
      <c r="S14" s="17">
        <f t="shared" ref="S14:AF14" si="6">SUM(C26:C29)</f>
        <v>4</v>
      </c>
      <c r="T14" s="17">
        <f t="shared" si="6"/>
        <v>13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2</v>
      </c>
      <c r="AB14" s="17">
        <f t="shared" si="6"/>
        <v>4</v>
      </c>
      <c r="AC14" s="17">
        <f t="shared" si="6"/>
        <v>172</v>
      </c>
      <c r="AD14" s="17">
        <f t="shared" si="6"/>
        <v>0</v>
      </c>
      <c r="AE14" s="31">
        <f t="shared" si="6"/>
        <v>25</v>
      </c>
      <c r="AF14" s="31">
        <f t="shared" si="6"/>
        <v>197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1</v>
      </c>
      <c r="M15" s="50">
        <v>77</v>
      </c>
      <c r="N15" s="50">
        <v>0</v>
      </c>
      <c r="O15" s="15">
        <f t="shared" si="0"/>
        <v>6</v>
      </c>
      <c r="P15" s="15">
        <f t="shared" si="1"/>
        <v>83</v>
      </c>
      <c r="R15" s="1" t="s">
        <v>11</v>
      </c>
      <c r="S15" s="17">
        <f t="shared" ref="S15:AF15" si="7">SUM(C30:C33)</f>
        <v>4</v>
      </c>
      <c r="T15" s="17">
        <f t="shared" si="7"/>
        <v>10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2</v>
      </c>
      <c r="Y15" s="17">
        <f t="shared" si="7"/>
        <v>4</v>
      </c>
      <c r="Z15" s="17">
        <f t="shared" si="7"/>
        <v>0</v>
      </c>
      <c r="AA15" s="17">
        <f t="shared" si="7"/>
        <v>4</v>
      </c>
      <c r="AB15" s="17">
        <f t="shared" si="7"/>
        <v>2</v>
      </c>
      <c r="AC15" s="17">
        <f t="shared" si="7"/>
        <v>171</v>
      </c>
      <c r="AD15" s="17">
        <f t="shared" si="7"/>
        <v>0</v>
      </c>
      <c r="AE15" s="31">
        <f t="shared" si="7"/>
        <v>31</v>
      </c>
      <c r="AF15" s="31">
        <f t="shared" si="7"/>
        <v>202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50</v>
      </c>
      <c r="N16" s="50">
        <v>0</v>
      </c>
      <c r="O16" s="15">
        <f t="shared" si="0"/>
        <v>4</v>
      </c>
      <c r="P16" s="15">
        <f t="shared" si="1"/>
        <v>54</v>
      </c>
      <c r="R16" s="1" t="s">
        <v>12</v>
      </c>
      <c r="S16" s="17">
        <f t="shared" ref="S16:AF16" si="8">SUM(C34:C37)</f>
        <v>0</v>
      </c>
      <c r="T16" s="17">
        <f t="shared" si="8"/>
        <v>5</v>
      </c>
      <c r="U16" s="17">
        <f t="shared" si="8"/>
        <v>2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4</v>
      </c>
      <c r="AB16" s="17">
        <f t="shared" si="8"/>
        <v>2</v>
      </c>
      <c r="AC16" s="17">
        <f t="shared" si="8"/>
        <v>135</v>
      </c>
      <c r="AD16" s="17">
        <f t="shared" si="8"/>
        <v>0</v>
      </c>
      <c r="AE16" s="31">
        <f t="shared" si="8"/>
        <v>19</v>
      </c>
      <c r="AF16" s="31">
        <f t="shared" si="8"/>
        <v>154</v>
      </c>
    </row>
    <row r="17" spans="2:32" ht="23.1" customHeight="1" x14ac:dyDescent="0.25">
      <c r="B17" s="23" t="s">
        <v>44</v>
      </c>
      <c r="C17" s="50">
        <v>5</v>
      </c>
      <c r="D17" s="50">
        <v>5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60</v>
      </c>
      <c r="N17" s="50">
        <v>0</v>
      </c>
      <c r="O17" s="15">
        <f t="shared" si="0"/>
        <v>11</v>
      </c>
      <c r="P17" s="15">
        <f t="shared" si="1"/>
        <v>71</v>
      </c>
      <c r="R17" s="1" t="s">
        <v>13</v>
      </c>
      <c r="S17" s="17">
        <f t="shared" ref="S17:AF17" si="9">SUM(C38:C41)</f>
        <v>11</v>
      </c>
      <c r="T17" s="17">
        <f t="shared" si="9"/>
        <v>2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1</v>
      </c>
      <c r="AB17" s="17">
        <f t="shared" si="9"/>
        <v>6</v>
      </c>
      <c r="AC17" s="17">
        <f t="shared" si="9"/>
        <v>187</v>
      </c>
      <c r="AD17" s="17">
        <f t="shared" si="9"/>
        <v>0</v>
      </c>
      <c r="AE17" s="31">
        <f t="shared" si="9"/>
        <v>24</v>
      </c>
      <c r="AF17" s="31">
        <f t="shared" si="9"/>
        <v>211</v>
      </c>
    </row>
    <row r="18" spans="2:32" ht="23.1" customHeight="1" x14ac:dyDescent="0.25">
      <c r="B18" s="23" t="s">
        <v>45</v>
      </c>
      <c r="C18" s="50">
        <v>4</v>
      </c>
      <c r="D18" s="50">
        <v>2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50</v>
      </c>
      <c r="N18" s="50">
        <v>0</v>
      </c>
      <c r="O18" s="15">
        <f t="shared" si="0"/>
        <v>9</v>
      </c>
      <c r="P18" s="15">
        <f t="shared" si="1"/>
        <v>59</v>
      </c>
      <c r="R18" s="1" t="s">
        <v>14</v>
      </c>
      <c r="S18" s="17">
        <f t="shared" ref="S18:AF18" si="10">SUM(C42:C45)</f>
        <v>10</v>
      </c>
      <c r="T18" s="17">
        <f t="shared" si="10"/>
        <v>13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2</v>
      </c>
      <c r="AB18" s="17">
        <f t="shared" si="10"/>
        <v>4</v>
      </c>
      <c r="AC18" s="17">
        <f t="shared" si="10"/>
        <v>216</v>
      </c>
      <c r="AD18" s="17">
        <f t="shared" si="10"/>
        <v>0</v>
      </c>
      <c r="AE18" s="31">
        <f t="shared" si="10"/>
        <v>34</v>
      </c>
      <c r="AF18" s="31">
        <f t="shared" si="10"/>
        <v>250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2</v>
      </c>
      <c r="L19" s="50">
        <v>2</v>
      </c>
      <c r="M19" s="50">
        <v>55</v>
      </c>
      <c r="N19" s="50">
        <v>0</v>
      </c>
      <c r="O19" s="15">
        <f t="shared" si="0"/>
        <v>7</v>
      </c>
      <c r="P19" s="15">
        <f t="shared" si="1"/>
        <v>62</v>
      </c>
      <c r="R19" s="1" t="s">
        <v>15</v>
      </c>
      <c r="S19" s="17">
        <f t="shared" ref="S19:AF19" si="11">SUM(C46:C49)</f>
        <v>7</v>
      </c>
      <c r="T19" s="17">
        <f t="shared" si="11"/>
        <v>13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1</v>
      </c>
      <c r="AB19" s="17">
        <f t="shared" si="11"/>
        <v>5</v>
      </c>
      <c r="AC19" s="17">
        <f t="shared" si="11"/>
        <v>246</v>
      </c>
      <c r="AD19" s="17">
        <f t="shared" si="11"/>
        <v>0</v>
      </c>
      <c r="AE19" s="31">
        <f t="shared" si="11"/>
        <v>30</v>
      </c>
      <c r="AF19" s="31">
        <f t="shared" si="11"/>
        <v>276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0</v>
      </c>
      <c r="G20" s="50">
        <v>0</v>
      </c>
      <c r="H20" s="50">
        <v>2</v>
      </c>
      <c r="I20" s="50">
        <v>0</v>
      </c>
      <c r="J20" s="50">
        <v>1</v>
      </c>
      <c r="K20" s="50">
        <v>2</v>
      </c>
      <c r="L20" s="50">
        <v>1</v>
      </c>
      <c r="M20" s="50">
        <v>39</v>
      </c>
      <c r="N20" s="50">
        <v>0</v>
      </c>
      <c r="O20" s="15">
        <f t="shared" si="0"/>
        <v>9</v>
      </c>
      <c r="P20" s="15">
        <f t="shared" si="1"/>
        <v>48</v>
      </c>
      <c r="R20" s="1" t="s">
        <v>16</v>
      </c>
      <c r="S20" s="17">
        <f t="shared" ref="S20:AF20" si="12">SUM(C50:C53)</f>
        <v>6</v>
      </c>
      <c r="T20" s="17">
        <f t="shared" si="12"/>
        <v>10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2</v>
      </c>
      <c r="AA20" s="17">
        <f t="shared" si="12"/>
        <v>0</v>
      </c>
      <c r="AB20" s="17">
        <f t="shared" si="12"/>
        <v>4</v>
      </c>
      <c r="AC20" s="17">
        <f t="shared" si="12"/>
        <v>261</v>
      </c>
      <c r="AD20" s="17">
        <f t="shared" si="12"/>
        <v>0</v>
      </c>
      <c r="AE20" s="31">
        <f t="shared" si="12"/>
        <v>24</v>
      </c>
      <c r="AF20" s="31">
        <f t="shared" si="12"/>
        <v>285</v>
      </c>
    </row>
    <row r="21" spans="2:32" ht="23.1" customHeight="1" x14ac:dyDescent="0.25">
      <c r="B21" s="23" t="s">
        <v>48</v>
      </c>
      <c r="C21" s="50">
        <v>3</v>
      </c>
      <c r="D21" s="50">
        <v>2</v>
      </c>
      <c r="E21" s="50">
        <v>0</v>
      </c>
      <c r="F21" s="50">
        <v>1</v>
      </c>
      <c r="G21" s="50">
        <v>0</v>
      </c>
      <c r="H21" s="50">
        <v>3</v>
      </c>
      <c r="I21" s="50">
        <v>0</v>
      </c>
      <c r="J21" s="50">
        <v>1</v>
      </c>
      <c r="K21" s="50">
        <v>2</v>
      </c>
      <c r="L21" s="50">
        <v>1</v>
      </c>
      <c r="M21" s="50">
        <v>65</v>
      </c>
      <c r="N21" s="50">
        <v>0</v>
      </c>
      <c r="O21" s="15">
        <f t="shared" si="0"/>
        <v>13</v>
      </c>
      <c r="P21" s="15">
        <f t="shared" si="1"/>
        <v>78</v>
      </c>
      <c r="R21" s="36" t="s">
        <v>20</v>
      </c>
      <c r="S21" s="34">
        <f t="shared" ref="S21:AF21" si="13">SUM(C54:C57)</f>
        <v>5</v>
      </c>
      <c r="T21" s="17">
        <f t="shared" si="13"/>
        <v>7</v>
      </c>
      <c r="U21" s="17">
        <f t="shared" si="13"/>
        <v>3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200</v>
      </c>
      <c r="AD21" s="17">
        <f t="shared" si="13"/>
        <v>0</v>
      </c>
      <c r="AE21" s="31">
        <f t="shared" si="13"/>
        <v>29</v>
      </c>
      <c r="AF21" s="31">
        <f t="shared" si="13"/>
        <v>229</v>
      </c>
    </row>
    <row r="22" spans="2:32" ht="23.1" customHeight="1" x14ac:dyDescent="0.25">
      <c r="B22" s="23" t="s">
        <v>49</v>
      </c>
      <c r="C22" s="50">
        <v>2</v>
      </c>
      <c r="D22" s="50">
        <v>4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1</v>
      </c>
      <c r="L22" s="50">
        <v>0</v>
      </c>
      <c r="M22" s="50">
        <v>58</v>
      </c>
      <c r="N22" s="50">
        <v>0</v>
      </c>
      <c r="O22" s="15">
        <f t="shared" si="0"/>
        <v>9</v>
      </c>
      <c r="P22" s="15">
        <f t="shared" si="1"/>
        <v>67</v>
      </c>
      <c r="R22" s="38" t="s">
        <v>90</v>
      </c>
      <c r="S22" s="39">
        <f>MAX(S10:S12)</f>
        <v>9</v>
      </c>
      <c r="T22" s="39">
        <f t="shared" ref="T22:AF22" si="14">MAX(T10:T12)</f>
        <v>12</v>
      </c>
      <c r="U22" s="39">
        <f t="shared" si="14"/>
        <v>4</v>
      </c>
      <c r="V22" s="39">
        <f t="shared" si="14"/>
        <v>2</v>
      </c>
      <c r="W22" s="39">
        <f t="shared" si="14"/>
        <v>0</v>
      </c>
      <c r="X22" s="39">
        <f t="shared" si="14"/>
        <v>5</v>
      </c>
      <c r="Y22" s="39">
        <f t="shared" si="14"/>
        <v>2</v>
      </c>
      <c r="Z22" s="39">
        <f t="shared" si="14"/>
        <v>3</v>
      </c>
      <c r="AA22" s="39">
        <f t="shared" si="14"/>
        <v>14</v>
      </c>
      <c r="AB22" s="39">
        <f t="shared" si="14"/>
        <v>5</v>
      </c>
      <c r="AC22" s="39">
        <f t="shared" si="14"/>
        <v>273</v>
      </c>
      <c r="AD22" s="39">
        <f t="shared" si="14"/>
        <v>0</v>
      </c>
      <c r="AE22" s="40">
        <f t="shared" si="14"/>
        <v>43</v>
      </c>
      <c r="AF22" s="40">
        <f t="shared" si="14"/>
        <v>301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1</v>
      </c>
      <c r="M23" s="50">
        <v>45</v>
      </c>
      <c r="N23" s="50">
        <v>0</v>
      </c>
      <c r="O23" s="15">
        <f t="shared" si="0"/>
        <v>8</v>
      </c>
      <c r="P23" s="15">
        <f t="shared" si="1"/>
        <v>53</v>
      </c>
      <c r="R23" s="38" t="s">
        <v>91</v>
      </c>
      <c r="S23" s="39">
        <f>MAX(S13:S18)</f>
        <v>11</v>
      </c>
      <c r="T23" s="39">
        <f t="shared" ref="T23:AF23" si="15">MAX(T13:T18)</f>
        <v>13</v>
      </c>
      <c r="U23" s="39">
        <f t="shared" si="15"/>
        <v>3</v>
      </c>
      <c r="V23" s="39">
        <f t="shared" si="15"/>
        <v>4</v>
      </c>
      <c r="W23" s="39">
        <f t="shared" si="15"/>
        <v>0</v>
      </c>
      <c r="X23" s="39">
        <f t="shared" si="15"/>
        <v>2</v>
      </c>
      <c r="Y23" s="39">
        <f t="shared" si="15"/>
        <v>4</v>
      </c>
      <c r="Z23" s="39">
        <f t="shared" si="15"/>
        <v>1</v>
      </c>
      <c r="AA23" s="39">
        <f t="shared" si="15"/>
        <v>4</v>
      </c>
      <c r="AB23" s="39">
        <f t="shared" si="15"/>
        <v>6</v>
      </c>
      <c r="AC23" s="39">
        <f t="shared" si="15"/>
        <v>217</v>
      </c>
      <c r="AD23" s="39">
        <f t="shared" si="15"/>
        <v>0</v>
      </c>
      <c r="AE23" s="40">
        <f t="shared" si="15"/>
        <v>34</v>
      </c>
      <c r="AF23" s="40">
        <f t="shared" si="15"/>
        <v>250</v>
      </c>
    </row>
    <row r="24" spans="2:32" ht="23.1" customHeight="1" x14ac:dyDescent="0.25">
      <c r="B24" s="23" t="s">
        <v>51</v>
      </c>
      <c r="C24" s="50">
        <v>1</v>
      </c>
      <c r="D24" s="50">
        <v>2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66</v>
      </c>
      <c r="N24" s="50">
        <v>0</v>
      </c>
      <c r="O24" s="15">
        <f t="shared" si="0"/>
        <v>8</v>
      </c>
      <c r="P24" s="15">
        <f t="shared" si="1"/>
        <v>74</v>
      </c>
      <c r="R24" s="38" t="s">
        <v>92</v>
      </c>
      <c r="S24" s="39">
        <f>MAX(S19:S21)</f>
        <v>7</v>
      </c>
      <c r="T24" s="39">
        <f t="shared" ref="T24:AF24" si="16">MAX(T19:T21)</f>
        <v>13</v>
      </c>
      <c r="U24" s="39">
        <f t="shared" si="16"/>
        <v>3</v>
      </c>
      <c r="V24" s="39">
        <f t="shared" si="16"/>
        <v>8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2</v>
      </c>
      <c r="AA24" s="39">
        <f t="shared" si="16"/>
        <v>1</v>
      </c>
      <c r="AB24" s="39">
        <f t="shared" si="16"/>
        <v>5</v>
      </c>
      <c r="AC24" s="39">
        <f t="shared" si="16"/>
        <v>261</v>
      </c>
      <c r="AD24" s="39">
        <f t="shared" si="16"/>
        <v>0</v>
      </c>
      <c r="AE24" s="40">
        <f t="shared" si="16"/>
        <v>30</v>
      </c>
      <c r="AF24" s="40">
        <f t="shared" si="16"/>
        <v>285</v>
      </c>
    </row>
    <row r="25" spans="2:32" ht="23.1" customHeight="1" x14ac:dyDescent="0.25">
      <c r="B25" s="23" t="s">
        <v>52</v>
      </c>
      <c r="C25" s="50">
        <v>1</v>
      </c>
      <c r="D25" s="50">
        <v>3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48</v>
      </c>
      <c r="N25" s="50">
        <v>0</v>
      </c>
      <c r="O25" s="15">
        <f t="shared" si="0"/>
        <v>7</v>
      </c>
      <c r="P25" s="15">
        <f t="shared" si="1"/>
        <v>55</v>
      </c>
      <c r="R25" s="37" t="s">
        <v>85</v>
      </c>
      <c r="S25" s="35">
        <f t="shared" ref="S25:AF25" si="17">SUM(S10:S12)</f>
        <v>19</v>
      </c>
      <c r="T25" s="16">
        <f t="shared" si="17"/>
        <v>28</v>
      </c>
      <c r="U25" s="16">
        <f t="shared" si="17"/>
        <v>7</v>
      </c>
      <c r="V25" s="16">
        <f t="shared" si="17"/>
        <v>5</v>
      </c>
      <c r="W25" s="16">
        <f t="shared" si="17"/>
        <v>0</v>
      </c>
      <c r="X25" s="16">
        <f t="shared" si="17"/>
        <v>5</v>
      </c>
      <c r="Y25" s="16">
        <f t="shared" si="17"/>
        <v>3</v>
      </c>
      <c r="Z25" s="16">
        <f t="shared" si="17"/>
        <v>5</v>
      </c>
      <c r="AA25" s="16">
        <f t="shared" si="17"/>
        <v>24</v>
      </c>
      <c r="AB25" s="16">
        <f t="shared" si="17"/>
        <v>13</v>
      </c>
      <c r="AC25" s="16">
        <f t="shared" si="17"/>
        <v>719</v>
      </c>
      <c r="AD25" s="16">
        <f t="shared" si="17"/>
        <v>0</v>
      </c>
      <c r="AE25" s="32">
        <f t="shared" si="17"/>
        <v>109</v>
      </c>
      <c r="AF25" s="32">
        <f t="shared" si="17"/>
        <v>828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1</v>
      </c>
      <c r="M26" s="50">
        <v>36</v>
      </c>
      <c r="N26" s="50">
        <v>0</v>
      </c>
      <c r="O26" s="15">
        <f t="shared" si="0"/>
        <v>4</v>
      </c>
      <c r="P26" s="15">
        <f t="shared" si="1"/>
        <v>40</v>
      </c>
      <c r="R26" s="28" t="s">
        <v>86</v>
      </c>
      <c r="S26" s="16">
        <f t="shared" ref="S26:AF26" si="18">SUM(S13:S18)</f>
        <v>36</v>
      </c>
      <c r="T26" s="16">
        <f t="shared" si="18"/>
        <v>52</v>
      </c>
      <c r="U26" s="16">
        <f t="shared" si="18"/>
        <v>9</v>
      </c>
      <c r="V26" s="16">
        <f t="shared" si="18"/>
        <v>14</v>
      </c>
      <c r="W26" s="16">
        <f t="shared" si="18"/>
        <v>0</v>
      </c>
      <c r="X26" s="16">
        <f t="shared" si="18"/>
        <v>2</v>
      </c>
      <c r="Y26" s="16">
        <f t="shared" si="18"/>
        <v>11</v>
      </c>
      <c r="Z26" s="16">
        <f t="shared" si="18"/>
        <v>2</v>
      </c>
      <c r="AA26" s="16">
        <f t="shared" si="18"/>
        <v>15</v>
      </c>
      <c r="AB26" s="16">
        <f t="shared" si="18"/>
        <v>24</v>
      </c>
      <c r="AC26" s="16">
        <f t="shared" si="18"/>
        <v>1098</v>
      </c>
      <c r="AD26" s="16">
        <f t="shared" si="18"/>
        <v>0</v>
      </c>
      <c r="AE26" s="32">
        <f t="shared" si="18"/>
        <v>165</v>
      </c>
      <c r="AF26" s="32">
        <f t="shared" si="18"/>
        <v>1263</v>
      </c>
    </row>
    <row r="27" spans="2:32" ht="23.1" customHeight="1" x14ac:dyDescent="0.25">
      <c r="B27" s="23" t="s">
        <v>54</v>
      </c>
      <c r="C27" s="50">
        <v>1</v>
      </c>
      <c r="D27" s="50">
        <v>4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1</v>
      </c>
      <c r="M27" s="50">
        <v>30</v>
      </c>
      <c r="N27" s="50">
        <v>0</v>
      </c>
      <c r="O27" s="15">
        <f t="shared" si="0"/>
        <v>8</v>
      </c>
      <c r="P27" s="15">
        <f t="shared" si="1"/>
        <v>38</v>
      </c>
      <c r="R27" s="29" t="s">
        <v>87</v>
      </c>
      <c r="S27" s="16">
        <f t="shared" ref="S27:AF27" si="19">SUM(S19:S21)</f>
        <v>18</v>
      </c>
      <c r="T27" s="16">
        <f t="shared" si="19"/>
        <v>30</v>
      </c>
      <c r="U27" s="16">
        <f t="shared" si="19"/>
        <v>7</v>
      </c>
      <c r="V27" s="16">
        <f t="shared" si="19"/>
        <v>8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3</v>
      </c>
      <c r="AA27" s="16">
        <f t="shared" si="19"/>
        <v>1</v>
      </c>
      <c r="AB27" s="16">
        <f t="shared" si="19"/>
        <v>9</v>
      </c>
      <c r="AC27" s="16">
        <f t="shared" si="19"/>
        <v>707</v>
      </c>
      <c r="AD27" s="16">
        <f t="shared" si="19"/>
        <v>0</v>
      </c>
      <c r="AE27" s="32">
        <f t="shared" si="19"/>
        <v>83</v>
      </c>
      <c r="AF27" s="32">
        <f t="shared" si="19"/>
        <v>790</v>
      </c>
    </row>
    <row r="28" spans="2:32" ht="23.1" customHeight="1" x14ac:dyDescent="0.25">
      <c r="B28" s="23" t="s">
        <v>55</v>
      </c>
      <c r="C28" s="50">
        <v>0</v>
      </c>
      <c r="D28" s="50">
        <v>4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60</v>
      </c>
      <c r="N28" s="50">
        <v>0</v>
      </c>
      <c r="O28" s="15">
        <f t="shared" si="0"/>
        <v>6</v>
      </c>
      <c r="P28" s="15">
        <f t="shared" si="1"/>
        <v>66</v>
      </c>
      <c r="R28" s="5" t="s">
        <v>17</v>
      </c>
      <c r="S28" s="16">
        <f t="shared" ref="S28:AF28" si="20">SUM(S10:S21)</f>
        <v>73</v>
      </c>
      <c r="T28" s="16">
        <f t="shared" si="20"/>
        <v>110</v>
      </c>
      <c r="U28" s="16">
        <f t="shared" si="20"/>
        <v>23</v>
      </c>
      <c r="V28" s="16">
        <f t="shared" si="20"/>
        <v>27</v>
      </c>
      <c r="W28" s="16">
        <f t="shared" si="20"/>
        <v>0</v>
      </c>
      <c r="X28" s="16">
        <f t="shared" si="20"/>
        <v>7</v>
      </c>
      <c r="Y28" s="16">
        <f t="shared" si="20"/>
        <v>21</v>
      </c>
      <c r="Z28" s="16">
        <f t="shared" si="20"/>
        <v>10</v>
      </c>
      <c r="AA28" s="16">
        <f t="shared" si="20"/>
        <v>40</v>
      </c>
      <c r="AB28" s="16">
        <f t="shared" si="20"/>
        <v>46</v>
      </c>
      <c r="AC28" s="16">
        <f t="shared" si="20"/>
        <v>2524</v>
      </c>
      <c r="AD28" s="16">
        <f t="shared" si="20"/>
        <v>0</v>
      </c>
      <c r="AE28" s="32">
        <f t="shared" si="20"/>
        <v>357</v>
      </c>
      <c r="AF28" s="32">
        <f t="shared" si="20"/>
        <v>2881</v>
      </c>
    </row>
    <row r="29" spans="2:32" ht="23.1" customHeight="1" x14ac:dyDescent="0.25">
      <c r="B29" s="23" t="s">
        <v>56</v>
      </c>
      <c r="C29" s="50">
        <v>2</v>
      </c>
      <c r="D29" s="50">
        <v>4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46</v>
      </c>
      <c r="N29" s="50">
        <v>0</v>
      </c>
      <c r="O29" s="15">
        <f t="shared" si="0"/>
        <v>7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2</v>
      </c>
      <c r="L30" s="50">
        <v>0</v>
      </c>
      <c r="M30" s="50">
        <v>35</v>
      </c>
      <c r="N30" s="50">
        <v>0</v>
      </c>
      <c r="O30" s="15">
        <f t="shared" si="0"/>
        <v>6</v>
      </c>
      <c r="P30" s="15">
        <f t="shared" si="1"/>
        <v>41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26</v>
      </c>
      <c r="N31" s="50">
        <v>0</v>
      </c>
      <c r="O31" s="15">
        <f t="shared" si="0"/>
        <v>5</v>
      </c>
      <c r="P31" s="15">
        <f t="shared" si="1"/>
        <v>31</v>
      </c>
    </row>
    <row r="32" spans="2:32" ht="23.1" customHeight="1" x14ac:dyDescent="0.25">
      <c r="B32" s="24" t="s">
        <v>59</v>
      </c>
      <c r="C32" s="50">
        <v>1</v>
      </c>
      <c r="D32" s="50">
        <v>4</v>
      </c>
      <c r="E32" s="50">
        <v>0</v>
      </c>
      <c r="F32" s="50">
        <v>3</v>
      </c>
      <c r="G32" s="50">
        <v>0</v>
      </c>
      <c r="H32" s="50">
        <v>1</v>
      </c>
      <c r="I32" s="50">
        <v>1</v>
      </c>
      <c r="J32" s="50">
        <v>0</v>
      </c>
      <c r="K32" s="50">
        <v>1</v>
      </c>
      <c r="L32" s="50">
        <v>0</v>
      </c>
      <c r="M32" s="50">
        <v>50</v>
      </c>
      <c r="N32" s="50">
        <v>0</v>
      </c>
      <c r="O32" s="15">
        <f t="shared" si="0"/>
        <v>11</v>
      </c>
      <c r="P32" s="15">
        <f t="shared" si="1"/>
        <v>61</v>
      </c>
    </row>
    <row r="33" spans="2:20" ht="23.1" customHeight="1" x14ac:dyDescent="0.25">
      <c r="B33" s="23" t="s">
        <v>60</v>
      </c>
      <c r="C33" s="50">
        <v>3</v>
      </c>
      <c r="D33" s="50">
        <v>2</v>
      </c>
      <c r="E33" s="50">
        <v>1</v>
      </c>
      <c r="F33" s="50">
        <v>0</v>
      </c>
      <c r="G33" s="50">
        <v>0</v>
      </c>
      <c r="H33" s="50">
        <v>1</v>
      </c>
      <c r="I33" s="50">
        <v>1</v>
      </c>
      <c r="J33" s="50">
        <v>0</v>
      </c>
      <c r="K33" s="50">
        <v>1</v>
      </c>
      <c r="L33" s="50">
        <v>0</v>
      </c>
      <c r="M33" s="50">
        <v>60</v>
      </c>
      <c r="N33" s="50">
        <v>0</v>
      </c>
      <c r="O33" s="15">
        <f t="shared" si="0"/>
        <v>9</v>
      </c>
      <c r="P33" s="15">
        <f t="shared" si="1"/>
        <v>69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42</v>
      </c>
      <c r="N34" s="50">
        <v>0</v>
      </c>
      <c r="O34" s="15">
        <f t="shared" si="0"/>
        <v>1</v>
      </c>
      <c r="P34" s="15">
        <f t="shared" si="1"/>
        <v>43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36</v>
      </c>
      <c r="N35" s="50">
        <v>0</v>
      </c>
      <c r="O35" s="15">
        <f t="shared" si="0"/>
        <v>5</v>
      </c>
      <c r="P35" s="15">
        <f t="shared" si="1"/>
        <v>41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2</v>
      </c>
      <c r="L36" s="50">
        <v>1</v>
      </c>
      <c r="M36" s="50">
        <v>17</v>
      </c>
      <c r="N36" s="50">
        <v>0</v>
      </c>
      <c r="O36" s="15">
        <f t="shared" si="0"/>
        <v>6</v>
      </c>
      <c r="P36" s="15">
        <f t="shared" si="1"/>
        <v>23</v>
      </c>
    </row>
    <row r="37" spans="2:20" ht="23.1" customHeight="1" x14ac:dyDescent="0.25">
      <c r="B37" s="23" t="s">
        <v>64</v>
      </c>
      <c r="C37" s="50">
        <v>0</v>
      </c>
      <c r="D37" s="50">
        <v>2</v>
      </c>
      <c r="E37" s="50">
        <v>0</v>
      </c>
      <c r="F37" s="50">
        <v>3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40</v>
      </c>
      <c r="N37" s="50">
        <v>0</v>
      </c>
      <c r="O37" s="15">
        <f t="shared" si="0"/>
        <v>7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44</v>
      </c>
      <c r="N38" s="50">
        <v>0</v>
      </c>
      <c r="O38" s="15">
        <f t="shared" si="0"/>
        <v>6</v>
      </c>
      <c r="P38" s="15">
        <f t="shared" si="1"/>
        <v>50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40</v>
      </c>
      <c r="N39" s="50">
        <v>0</v>
      </c>
      <c r="O39" s="15">
        <f t="shared" si="0"/>
        <v>4</v>
      </c>
      <c r="P39" s="15">
        <f t="shared" si="1"/>
        <v>44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5</v>
      </c>
      <c r="M40" s="50">
        <v>36</v>
      </c>
      <c r="N40" s="50">
        <v>0</v>
      </c>
      <c r="O40" s="15">
        <f t="shared" si="0"/>
        <v>11</v>
      </c>
      <c r="P40" s="15">
        <f t="shared" si="1"/>
        <v>47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67</v>
      </c>
      <c r="N41" s="50">
        <v>0</v>
      </c>
      <c r="O41" s="15">
        <f t="shared" si="0"/>
        <v>3</v>
      </c>
      <c r="P41" s="15">
        <f t="shared" si="1"/>
        <v>70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3</v>
      </c>
      <c r="M42" s="50">
        <v>48</v>
      </c>
      <c r="N42" s="50">
        <v>0</v>
      </c>
      <c r="O42" s="15">
        <f t="shared" si="0"/>
        <v>4</v>
      </c>
      <c r="P42" s="15">
        <f t="shared" si="1"/>
        <v>52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44</v>
      </c>
      <c r="N43" s="50">
        <v>0</v>
      </c>
      <c r="O43" s="15">
        <f t="shared" si="0"/>
        <v>7</v>
      </c>
      <c r="P43" s="15">
        <f t="shared" si="1"/>
        <v>51</v>
      </c>
    </row>
    <row r="44" spans="2:20" ht="23.1" customHeight="1" x14ac:dyDescent="0.25">
      <c r="B44" s="25" t="s">
        <v>71</v>
      </c>
      <c r="C44" s="50">
        <v>3</v>
      </c>
      <c r="D44" s="50">
        <v>7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64</v>
      </c>
      <c r="N44" s="50">
        <v>0</v>
      </c>
      <c r="O44" s="15">
        <f t="shared" si="0"/>
        <v>13</v>
      </c>
      <c r="P44" s="15">
        <f t="shared" si="1"/>
        <v>77</v>
      </c>
    </row>
    <row r="45" spans="2:20" ht="23.1" customHeight="1" x14ac:dyDescent="0.25">
      <c r="B45" s="23" t="s">
        <v>72</v>
      </c>
      <c r="C45" s="50">
        <v>3</v>
      </c>
      <c r="D45" s="50">
        <v>4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60</v>
      </c>
      <c r="N45" s="50">
        <v>0</v>
      </c>
      <c r="O45" s="15">
        <f t="shared" si="0"/>
        <v>10</v>
      </c>
      <c r="P45" s="15">
        <f t="shared" si="1"/>
        <v>70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57</v>
      </c>
      <c r="N46" s="50">
        <v>0</v>
      </c>
      <c r="O46" s="15">
        <f t="shared" si="0"/>
        <v>5</v>
      </c>
      <c r="P46" s="15">
        <f t="shared" si="1"/>
        <v>62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4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1</v>
      </c>
      <c r="L47" s="50">
        <v>1</v>
      </c>
      <c r="M47" s="50">
        <v>76</v>
      </c>
      <c r="N47" s="50">
        <v>0</v>
      </c>
      <c r="O47" s="15">
        <f t="shared" si="0"/>
        <v>10</v>
      </c>
      <c r="P47" s="15">
        <f t="shared" si="1"/>
        <v>86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5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62</v>
      </c>
      <c r="N48" s="50">
        <v>0</v>
      </c>
      <c r="O48" s="15">
        <f t="shared" si="0"/>
        <v>7</v>
      </c>
      <c r="P48" s="15">
        <f t="shared" si="1"/>
        <v>69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3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3</v>
      </c>
      <c r="M49" s="50">
        <v>51</v>
      </c>
      <c r="N49" s="50">
        <v>0</v>
      </c>
      <c r="O49" s="15">
        <f t="shared" si="0"/>
        <v>8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1</v>
      </c>
      <c r="M50" s="50">
        <v>65</v>
      </c>
      <c r="N50" s="50">
        <v>0</v>
      </c>
      <c r="O50" s="15">
        <f t="shared" si="0"/>
        <v>6</v>
      </c>
      <c r="P50" s="15">
        <f t="shared" si="1"/>
        <v>71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2</v>
      </c>
      <c r="M51" s="50">
        <v>85</v>
      </c>
      <c r="N51" s="50">
        <v>0</v>
      </c>
      <c r="O51" s="15">
        <f t="shared" si="0"/>
        <v>10</v>
      </c>
      <c r="P51" s="15">
        <f t="shared" si="1"/>
        <v>95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2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53</v>
      </c>
      <c r="N52" s="50">
        <v>0</v>
      </c>
      <c r="O52" s="15">
        <f t="shared" si="0"/>
        <v>5</v>
      </c>
      <c r="P52" s="15">
        <f t="shared" si="1"/>
        <v>58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58</v>
      </c>
      <c r="N53" s="50">
        <v>0</v>
      </c>
      <c r="O53" s="15">
        <f t="shared" si="0"/>
        <v>3</v>
      </c>
      <c r="P53" s="15">
        <f t="shared" si="1"/>
        <v>61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61</v>
      </c>
      <c r="N54" s="50">
        <v>0</v>
      </c>
      <c r="O54" s="15">
        <f t="shared" si="0"/>
        <v>9</v>
      </c>
      <c r="P54" s="15">
        <f t="shared" si="1"/>
        <v>70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5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65</v>
      </c>
      <c r="N55" s="50">
        <v>0</v>
      </c>
      <c r="O55" s="15">
        <f t="shared" si="0"/>
        <v>6</v>
      </c>
      <c r="P55" s="15">
        <f t="shared" si="1"/>
        <v>71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0</v>
      </c>
      <c r="F56" s="50">
        <v>4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49</v>
      </c>
      <c r="N56" s="50">
        <v>0</v>
      </c>
      <c r="O56" s="15">
        <f t="shared" si="0"/>
        <v>9</v>
      </c>
      <c r="P56" s="15">
        <f t="shared" si="1"/>
        <v>58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5</v>
      </c>
      <c r="P57" s="15">
        <f t="shared" si="1"/>
        <v>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73</v>
      </c>
      <c r="D58" s="16">
        <f t="shared" si="21"/>
        <v>110</v>
      </c>
      <c r="E58" s="16">
        <f t="shared" si="21"/>
        <v>23</v>
      </c>
      <c r="F58" s="16">
        <f t="shared" si="21"/>
        <v>27</v>
      </c>
      <c r="G58" s="16">
        <f t="shared" si="21"/>
        <v>0</v>
      </c>
      <c r="H58" s="16">
        <f t="shared" si="21"/>
        <v>7</v>
      </c>
      <c r="I58" s="16">
        <f t="shared" si="21"/>
        <v>21</v>
      </c>
      <c r="J58" s="16">
        <f t="shared" si="21"/>
        <v>10</v>
      </c>
      <c r="K58" s="16">
        <f t="shared" si="21"/>
        <v>40</v>
      </c>
      <c r="L58" s="16">
        <f t="shared" si="21"/>
        <v>46</v>
      </c>
      <c r="M58" s="16">
        <f t="shared" si="21"/>
        <v>2524</v>
      </c>
      <c r="N58" s="16">
        <f t="shared" si="21"/>
        <v>0</v>
      </c>
      <c r="O58" s="16">
        <f t="shared" si="21"/>
        <v>357</v>
      </c>
      <c r="P58" s="16">
        <f t="shared" si="21"/>
        <v>2881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2.5338424158278375E-2</v>
      </c>
      <c r="D59" s="43">
        <f t="shared" si="22"/>
        <v>3.8181187087816731E-2</v>
      </c>
      <c r="E59" s="43">
        <f t="shared" si="22"/>
        <v>7.9833391183616806E-3</v>
      </c>
      <c r="F59" s="43">
        <f t="shared" si="22"/>
        <v>9.3717459215550154E-3</v>
      </c>
      <c r="G59" s="43">
        <f t="shared" si="22"/>
        <v>0</v>
      </c>
      <c r="H59" s="43">
        <f t="shared" si="22"/>
        <v>2.4297119055883376E-3</v>
      </c>
      <c r="I59" s="43">
        <f t="shared" si="22"/>
        <v>7.2891357167650123E-3</v>
      </c>
      <c r="J59" s="43">
        <f t="shared" si="22"/>
        <v>3.4710170079833391E-3</v>
      </c>
      <c r="K59" s="43">
        <f t="shared" si="22"/>
        <v>1.3884068031933356E-2</v>
      </c>
      <c r="L59" s="43">
        <f t="shared" si="22"/>
        <v>1.5966678236723361E-2</v>
      </c>
      <c r="M59" s="43">
        <f t="shared" si="22"/>
        <v>0.87608469281499479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0.20448179271708683</v>
      </c>
      <c r="D60" s="44">
        <f t="shared" ref="D60:N60" si="23">D58/$O$58</f>
        <v>0.3081232492997199</v>
      </c>
      <c r="E60" s="44">
        <f t="shared" si="23"/>
        <v>6.4425770308123242E-2</v>
      </c>
      <c r="F60" s="44">
        <f t="shared" si="23"/>
        <v>7.5630252100840331E-2</v>
      </c>
      <c r="G60" s="44">
        <f t="shared" si="23"/>
        <v>0</v>
      </c>
      <c r="H60" s="44">
        <f t="shared" si="23"/>
        <v>1.9607843137254902E-2</v>
      </c>
      <c r="I60" s="44">
        <f t="shared" si="23"/>
        <v>5.8823529411764705E-2</v>
      </c>
      <c r="J60" s="44">
        <f t="shared" si="23"/>
        <v>2.8011204481792718E-2</v>
      </c>
      <c r="K60" s="44">
        <f t="shared" si="23"/>
        <v>0.11204481792717087</v>
      </c>
      <c r="L60" s="44">
        <f t="shared" si="23"/>
        <v>0.12885154061624648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9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'31.07 NIMULE-GULU'!G5:H5</f>
        <v>ELEGU</v>
      </c>
      <c r="H5" s="67"/>
      <c r="I5" s="14"/>
      <c r="J5" s="2" t="s">
        <v>5</v>
      </c>
      <c r="K5" s="66" t="str">
        <f>'31.07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'31.07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2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7</v>
      </c>
      <c r="AC10" s="17">
        <f t="shared" si="2"/>
        <v>6</v>
      </c>
      <c r="AD10" s="17">
        <f t="shared" si="2"/>
        <v>0</v>
      </c>
      <c r="AE10" s="31">
        <f t="shared" si="2"/>
        <v>12</v>
      </c>
      <c r="AF10" s="31">
        <f t="shared" si="2"/>
        <v>18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3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12</v>
      </c>
      <c r="AC11" s="17">
        <f t="shared" si="3"/>
        <v>5</v>
      </c>
      <c r="AD11" s="17">
        <f t="shared" si="3"/>
        <v>0</v>
      </c>
      <c r="AE11" s="31">
        <f t="shared" si="3"/>
        <v>21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9</v>
      </c>
      <c r="AD12" s="17">
        <f t="shared" si="4"/>
        <v>0</v>
      </c>
      <c r="AE12" s="31">
        <f t="shared" si="4"/>
        <v>10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9</v>
      </c>
      <c r="AC13" s="17">
        <f t="shared" si="5"/>
        <v>5</v>
      </c>
      <c r="AD13" s="17">
        <f t="shared" si="5"/>
        <v>0</v>
      </c>
      <c r="AE13" s="31">
        <f t="shared" si="5"/>
        <v>11</v>
      </c>
      <c r="AF13" s="31">
        <f t="shared" si="5"/>
        <v>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3</v>
      </c>
      <c r="M14" s="50">
        <v>1</v>
      </c>
      <c r="N14" s="50">
        <v>0</v>
      </c>
      <c r="O14" s="15">
        <f t="shared" si="0"/>
        <v>3</v>
      </c>
      <c r="P14" s="15">
        <f t="shared" si="1"/>
        <v>4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1</v>
      </c>
      <c r="AD14" s="17">
        <f t="shared" si="6"/>
        <v>0</v>
      </c>
      <c r="AE14" s="31">
        <f t="shared" si="6"/>
        <v>14</v>
      </c>
      <c r="AF14" s="31">
        <f t="shared" si="6"/>
        <v>15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2</v>
      </c>
      <c r="M15" s="50">
        <v>0</v>
      </c>
      <c r="N15" s="50">
        <v>0</v>
      </c>
      <c r="O15" s="15">
        <f t="shared" si="0"/>
        <v>3</v>
      </c>
      <c r="P15" s="15">
        <f t="shared" si="1"/>
        <v>3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3</v>
      </c>
      <c r="AC15" s="17">
        <f t="shared" si="7"/>
        <v>5</v>
      </c>
      <c r="AD15" s="17">
        <f t="shared" si="7"/>
        <v>0</v>
      </c>
      <c r="AE15" s="31">
        <f t="shared" si="7"/>
        <v>10</v>
      </c>
      <c r="AF15" s="31">
        <f t="shared" si="7"/>
        <v>15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3</v>
      </c>
      <c r="M16" s="50">
        <v>3</v>
      </c>
      <c r="N16" s="50">
        <v>0</v>
      </c>
      <c r="O16" s="15">
        <f t="shared" si="0"/>
        <v>6</v>
      </c>
      <c r="P16" s="15">
        <f t="shared" si="1"/>
        <v>9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1</v>
      </c>
      <c r="AB16" s="17">
        <f t="shared" si="8"/>
        <v>2</v>
      </c>
      <c r="AC16" s="17">
        <f t="shared" si="8"/>
        <v>3</v>
      </c>
      <c r="AD16" s="17">
        <f t="shared" si="8"/>
        <v>0</v>
      </c>
      <c r="AE16" s="31">
        <f t="shared" si="8"/>
        <v>15</v>
      </c>
      <c r="AF16" s="31">
        <f t="shared" si="8"/>
        <v>18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4</v>
      </c>
      <c r="M17" s="50">
        <v>1</v>
      </c>
      <c r="N17" s="50">
        <v>0</v>
      </c>
      <c r="O17" s="15">
        <f t="shared" si="0"/>
        <v>9</v>
      </c>
      <c r="P17" s="15">
        <f t="shared" si="1"/>
        <v>10</v>
      </c>
      <c r="R17" s="1" t="s">
        <v>13</v>
      </c>
      <c r="S17" s="17">
        <f t="shared" ref="S17:AF17" si="9">SUM(C38:C41)</f>
        <v>1</v>
      </c>
      <c r="T17" s="17">
        <f t="shared" si="9"/>
        <v>1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7</v>
      </c>
      <c r="AC17" s="17">
        <f t="shared" si="9"/>
        <v>7</v>
      </c>
      <c r="AD17" s="17">
        <f t="shared" si="9"/>
        <v>0</v>
      </c>
      <c r="AE17" s="31">
        <f t="shared" si="9"/>
        <v>13</v>
      </c>
      <c r="AF17" s="31">
        <f t="shared" si="9"/>
        <v>20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5</v>
      </c>
      <c r="T18" s="17">
        <f t="shared" si="10"/>
        <v>3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2</v>
      </c>
      <c r="AD18" s="17">
        <f t="shared" si="10"/>
        <v>0</v>
      </c>
      <c r="AE18" s="31">
        <f t="shared" si="10"/>
        <v>13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0</v>
      </c>
      <c r="T19" s="17">
        <f t="shared" si="11"/>
        <v>1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4</v>
      </c>
      <c r="AC19" s="17">
        <f t="shared" si="11"/>
        <v>9</v>
      </c>
      <c r="AD19" s="17">
        <f t="shared" si="11"/>
        <v>0</v>
      </c>
      <c r="AE19" s="31">
        <f t="shared" si="11"/>
        <v>7</v>
      </c>
      <c r="AF19" s="31">
        <f t="shared" si="11"/>
        <v>16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2</v>
      </c>
      <c r="T20" s="17">
        <f t="shared" si="12"/>
        <v>2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</v>
      </c>
      <c r="AD20" s="17">
        <f t="shared" si="12"/>
        <v>0</v>
      </c>
      <c r="AE20" s="31">
        <f t="shared" si="12"/>
        <v>9</v>
      </c>
      <c r="AF20" s="31">
        <f t="shared" si="12"/>
        <v>10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2</v>
      </c>
      <c r="P21" s="15">
        <f t="shared" si="1"/>
        <v>2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5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6</v>
      </c>
      <c r="AC21" s="17">
        <f t="shared" si="13"/>
        <v>3</v>
      </c>
      <c r="AD21" s="17">
        <f t="shared" si="13"/>
        <v>0</v>
      </c>
      <c r="AE21" s="31">
        <f t="shared" si="13"/>
        <v>21</v>
      </c>
      <c r="AF21" s="31">
        <f t="shared" si="13"/>
        <v>24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6</v>
      </c>
      <c r="M22" s="50">
        <v>0</v>
      </c>
      <c r="N22" s="50">
        <v>0</v>
      </c>
      <c r="O22" s="15">
        <f t="shared" si="0"/>
        <v>6</v>
      </c>
      <c r="P22" s="15">
        <f t="shared" si="1"/>
        <v>6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12</v>
      </c>
      <c r="AC22" s="39">
        <f t="shared" si="14"/>
        <v>9</v>
      </c>
      <c r="AD22" s="39">
        <f t="shared" si="14"/>
        <v>0</v>
      </c>
      <c r="AE22" s="40">
        <f t="shared" si="14"/>
        <v>21</v>
      </c>
      <c r="AF22" s="40">
        <f t="shared" si="14"/>
        <v>26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5</v>
      </c>
      <c r="T23" s="39">
        <f t="shared" ref="T23:AF23" si="15">MAX(T13:T18)</f>
        <v>3</v>
      </c>
      <c r="U23" s="39">
        <f t="shared" si="15"/>
        <v>4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1</v>
      </c>
      <c r="AB23" s="39">
        <f t="shared" si="15"/>
        <v>9</v>
      </c>
      <c r="AC23" s="39">
        <f t="shared" si="15"/>
        <v>7</v>
      </c>
      <c r="AD23" s="39">
        <f t="shared" si="15"/>
        <v>0</v>
      </c>
      <c r="AE23" s="40">
        <f t="shared" si="15"/>
        <v>15</v>
      </c>
      <c r="AF23" s="40">
        <f t="shared" si="15"/>
        <v>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3</v>
      </c>
      <c r="T24" s="39">
        <f t="shared" ref="T24:AF24" si="16">MAX(T19:T21)</f>
        <v>2</v>
      </c>
      <c r="U24" s="39">
        <f t="shared" si="16"/>
        <v>5</v>
      </c>
      <c r="V24" s="39">
        <f t="shared" si="16"/>
        <v>0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1</v>
      </c>
      <c r="AA24" s="39">
        <f t="shared" si="16"/>
        <v>0</v>
      </c>
      <c r="AB24" s="39">
        <f t="shared" si="16"/>
        <v>6</v>
      </c>
      <c r="AC24" s="39">
        <f t="shared" si="16"/>
        <v>9</v>
      </c>
      <c r="AD24" s="39">
        <f t="shared" si="16"/>
        <v>0</v>
      </c>
      <c r="AE24" s="40">
        <f t="shared" si="16"/>
        <v>21</v>
      </c>
      <c r="AF24" s="40">
        <f t="shared" si="16"/>
        <v>24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3</v>
      </c>
      <c r="N25" s="50">
        <v>0</v>
      </c>
      <c r="O25" s="15">
        <f t="shared" si="0"/>
        <v>3</v>
      </c>
      <c r="P25" s="15">
        <f t="shared" si="1"/>
        <v>6</v>
      </c>
      <c r="R25" s="37" t="s">
        <v>85</v>
      </c>
      <c r="S25" s="35">
        <f t="shared" ref="S25:AF25" si="17">SUM(S10:S12)</f>
        <v>8</v>
      </c>
      <c r="T25" s="16">
        <f t="shared" si="17"/>
        <v>1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0</v>
      </c>
      <c r="AA25" s="16">
        <f t="shared" si="17"/>
        <v>0</v>
      </c>
      <c r="AB25" s="16">
        <f t="shared" si="17"/>
        <v>21</v>
      </c>
      <c r="AC25" s="16">
        <f t="shared" si="17"/>
        <v>20</v>
      </c>
      <c r="AD25" s="16">
        <f t="shared" si="17"/>
        <v>0</v>
      </c>
      <c r="AE25" s="32">
        <f t="shared" si="17"/>
        <v>43</v>
      </c>
      <c r="AF25" s="32">
        <f t="shared" si="17"/>
        <v>63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12</v>
      </c>
      <c r="T26" s="16">
        <f t="shared" si="18"/>
        <v>7</v>
      </c>
      <c r="U26" s="16">
        <f t="shared" si="18"/>
        <v>18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1</v>
      </c>
      <c r="AA26" s="16">
        <f t="shared" si="18"/>
        <v>1</v>
      </c>
      <c r="AB26" s="16">
        <f t="shared" si="18"/>
        <v>27</v>
      </c>
      <c r="AC26" s="16">
        <f t="shared" si="18"/>
        <v>23</v>
      </c>
      <c r="AD26" s="16">
        <f t="shared" si="18"/>
        <v>0</v>
      </c>
      <c r="AE26" s="32">
        <f t="shared" si="18"/>
        <v>76</v>
      </c>
      <c r="AF26" s="32">
        <f t="shared" si="18"/>
        <v>99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4</v>
      </c>
      <c r="M27" s="50">
        <v>0</v>
      </c>
      <c r="N27" s="50">
        <v>0</v>
      </c>
      <c r="O27" s="15">
        <f t="shared" si="0"/>
        <v>4</v>
      </c>
      <c r="P27" s="15">
        <f t="shared" si="1"/>
        <v>4</v>
      </c>
      <c r="R27" s="29" t="s">
        <v>87</v>
      </c>
      <c r="S27" s="16">
        <f t="shared" ref="S27:AF27" si="19">SUM(S19:S21)</f>
        <v>5</v>
      </c>
      <c r="T27" s="16">
        <f t="shared" si="19"/>
        <v>5</v>
      </c>
      <c r="U27" s="16">
        <f t="shared" si="19"/>
        <v>10</v>
      </c>
      <c r="V27" s="16">
        <f t="shared" si="19"/>
        <v>0</v>
      </c>
      <c r="W27" s="16">
        <f t="shared" si="19"/>
        <v>1</v>
      </c>
      <c r="X27" s="16">
        <f t="shared" si="19"/>
        <v>0</v>
      </c>
      <c r="Y27" s="16">
        <f t="shared" si="19"/>
        <v>5</v>
      </c>
      <c r="Z27" s="16">
        <f t="shared" si="19"/>
        <v>1</v>
      </c>
      <c r="AA27" s="16">
        <f t="shared" si="19"/>
        <v>0</v>
      </c>
      <c r="AB27" s="16">
        <f t="shared" si="19"/>
        <v>10</v>
      </c>
      <c r="AC27" s="16">
        <f t="shared" si="19"/>
        <v>13</v>
      </c>
      <c r="AD27" s="16">
        <f t="shared" si="19"/>
        <v>0</v>
      </c>
      <c r="AE27" s="32">
        <f t="shared" si="19"/>
        <v>37</v>
      </c>
      <c r="AF27" s="32">
        <f t="shared" si="19"/>
        <v>50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4</v>
      </c>
      <c r="P28" s="15">
        <f t="shared" si="1"/>
        <v>5</v>
      </c>
      <c r="R28" s="5" t="s">
        <v>17</v>
      </c>
      <c r="S28" s="16">
        <f t="shared" ref="S28:AF28" si="20">SUM(S10:S21)</f>
        <v>25</v>
      </c>
      <c r="T28" s="16">
        <f t="shared" si="20"/>
        <v>13</v>
      </c>
      <c r="U28" s="16">
        <f t="shared" si="20"/>
        <v>33</v>
      </c>
      <c r="V28" s="16">
        <f t="shared" si="20"/>
        <v>1</v>
      </c>
      <c r="W28" s="16">
        <f t="shared" si="20"/>
        <v>1</v>
      </c>
      <c r="X28" s="16">
        <f t="shared" si="20"/>
        <v>0</v>
      </c>
      <c r="Y28" s="16">
        <f t="shared" si="20"/>
        <v>22</v>
      </c>
      <c r="Z28" s="16">
        <f t="shared" si="20"/>
        <v>2</v>
      </c>
      <c r="AA28" s="16">
        <f t="shared" si="20"/>
        <v>1</v>
      </c>
      <c r="AB28" s="16">
        <f t="shared" si="20"/>
        <v>58</v>
      </c>
      <c r="AC28" s="16">
        <f t="shared" si="20"/>
        <v>56</v>
      </c>
      <c r="AD28" s="16">
        <f t="shared" si="20"/>
        <v>0</v>
      </c>
      <c r="AE28" s="32">
        <f t="shared" si="20"/>
        <v>156</v>
      </c>
      <c r="AF28" s="32">
        <f t="shared" si="20"/>
        <v>212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2</v>
      </c>
      <c r="M32" s="50">
        <v>0</v>
      </c>
      <c r="N32" s="50">
        <v>0</v>
      </c>
      <c r="O32" s="15">
        <f t="shared" si="0"/>
        <v>4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0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2</v>
      </c>
      <c r="N34" s="50">
        <v>0</v>
      </c>
      <c r="O34" s="15">
        <f t="shared" si="0"/>
        <v>6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1</v>
      </c>
      <c r="N36" s="50">
        <v>0</v>
      </c>
      <c r="O36" s="15">
        <f t="shared" si="0"/>
        <v>4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3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5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3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2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1</v>
      </c>
      <c r="N42" s="50">
        <v>0</v>
      </c>
      <c r="O42" s="15">
        <f t="shared" si="0"/>
        <v>6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2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3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2</v>
      </c>
      <c r="N46" s="50">
        <v>0</v>
      </c>
      <c r="O46" s="15">
        <f t="shared" si="0"/>
        <v>4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5</v>
      </c>
      <c r="N47" s="50">
        <v>0</v>
      </c>
      <c r="O47" s="15">
        <f t="shared" si="0"/>
        <v>2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1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6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</v>
      </c>
      <c r="P53" s="15">
        <f t="shared" si="1"/>
        <v>1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5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2</v>
      </c>
      <c r="F55" s="50">
        <v>0</v>
      </c>
      <c r="G55" s="50">
        <v>1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3</v>
      </c>
      <c r="M56" s="50">
        <v>0</v>
      </c>
      <c r="N56" s="50">
        <v>0</v>
      </c>
      <c r="O56" s="15">
        <f t="shared" si="0"/>
        <v>5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2</v>
      </c>
      <c r="M57" s="50">
        <v>2</v>
      </c>
      <c r="N57" s="50">
        <v>0</v>
      </c>
      <c r="O57" s="15">
        <f t="shared" si="0"/>
        <v>5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</v>
      </c>
      <c r="D58" s="16">
        <f t="shared" si="21"/>
        <v>13</v>
      </c>
      <c r="E58" s="16">
        <f t="shared" si="21"/>
        <v>33</v>
      </c>
      <c r="F58" s="16">
        <f t="shared" si="21"/>
        <v>1</v>
      </c>
      <c r="G58" s="16">
        <f t="shared" si="21"/>
        <v>1</v>
      </c>
      <c r="H58" s="16">
        <f t="shared" si="21"/>
        <v>0</v>
      </c>
      <c r="I58" s="16">
        <f t="shared" si="21"/>
        <v>22</v>
      </c>
      <c r="J58" s="16">
        <f t="shared" si="21"/>
        <v>2</v>
      </c>
      <c r="K58" s="16">
        <f t="shared" si="21"/>
        <v>1</v>
      </c>
      <c r="L58" s="16">
        <f t="shared" si="21"/>
        <v>58</v>
      </c>
      <c r="M58" s="16">
        <f t="shared" si="21"/>
        <v>56</v>
      </c>
      <c r="N58" s="16">
        <f t="shared" si="21"/>
        <v>0</v>
      </c>
      <c r="O58" s="16">
        <f t="shared" si="21"/>
        <v>156</v>
      </c>
      <c r="P58" s="16">
        <f t="shared" si="21"/>
        <v>212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0.11792452830188679</v>
      </c>
      <c r="D59" s="43">
        <f t="shared" si="22"/>
        <v>6.1320754716981132E-2</v>
      </c>
      <c r="E59" s="43">
        <f t="shared" si="22"/>
        <v>0.15566037735849056</v>
      </c>
      <c r="F59" s="43">
        <f t="shared" si="22"/>
        <v>4.7169811320754715E-3</v>
      </c>
      <c r="G59" s="43">
        <f t="shared" si="22"/>
        <v>4.7169811320754715E-3</v>
      </c>
      <c r="H59" s="43">
        <f t="shared" si="22"/>
        <v>0</v>
      </c>
      <c r="I59" s="43">
        <f t="shared" si="22"/>
        <v>0.10377358490566038</v>
      </c>
      <c r="J59" s="43">
        <f t="shared" si="22"/>
        <v>9.433962264150943E-3</v>
      </c>
      <c r="K59" s="43">
        <f t="shared" si="22"/>
        <v>4.7169811320754715E-3</v>
      </c>
      <c r="L59" s="43">
        <f t="shared" si="22"/>
        <v>0.27358490566037735</v>
      </c>
      <c r="M59" s="43">
        <f t="shared" si="22"/>
        <v>0.26415094339622641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0.16025641025641027</v>
      </c>
      <c r="D60" s="44">
        <f t="shared" ref="D60:N60" si="23">D58/$O$58</f>
        <v>8.3333333333333329E-2</v>
      </c>
      <c r="E60" s="44">
        <f t="shared" si="23"/>
        <v>0.21153846153846154</v>
      </c>
      <c r="F60" s="44">
        <f t="shared" si="23"/>
        <v>6.41025641025641E-3</v>
      </c>
      <c r="G60" s="44">
        <f t="shared" si="23"/>
        <v>6.41025641025641E-3</v>
      </c>
      <c r="H60" s="44">
        <f t="shared" si="23"/>
        <v>0</v>
      </c>
      <c r="I60" s="44">
        <f t="shared" si="23"/>
        <v>0.14102564102564102</v>
      </c>
      <c r="J60" s="44">
        <f t="shared" si="23"/>
        <v>1.282051282051282E-2</v>
      </c>
      <c r="K60" s="44">
        <f t="shared" si="23"/>
        <v>6.41025641025641E-3</v>
      </c>
      <c r="L60" s="44">
        <f t="shared" si="23"/>
        <v>0.37179487179487181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3" zoomScale="60" workbookViewId="0">
      <selection activeCell="D11" sqref="D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'01.07 NIMULE-GULU'!D5</f>
        <v>01.07.19</v>
      </c>
      <c r="E5" s="3"/>
      <c r="F5" s="41" t="s">
        <v>1</v>
      </c>
      <c r="G5" s="66" t="str">
        <f>'31.07 NIMULE-GULU'!G5:H5</f>
        <v>ELEGU</v>
      </c>
      <c r="H5" s="67"/>
      <c r="I5" s="14"/>
      <c r="J5" s="2" t="s">
        <v>5</v>
      </c>
      <c r="K5" s="66" t="str">
        <f>'31.07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'31.07 GULU-NIMULE'!G6:H6</f>
        <v>NIMULE</v>
      </c>
      <c r="H6" s="67"/>
      <c r="J6" s="2" t="s">
        <v>21</v>
      </c>
      <c r="K6" s="66" t="str">
        <f>'31.07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2</v>
      </c>
      <c r="AD10" s="17">
        <f t="shared" si="2"/>
        <v>0</v>
      </c>
      <c r="AE10" s="31">
        <f t="shared" si="2"/>
        <v>6</v>
      </c>
      <c r="AF10" s="31">
        <f t="shared" si="2"/>
        <v>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3</v>
      </c>
      <c r="P12" s="15">
        <f t="shared" si="1"/>
        <v>5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6</v>
      </c>
      <c r="AC12" s="17">
        <f t="shared" si="4"/>
        <v>6</v>
      </c>
      <c r="AD12" s="17">
        <f t="shared" si="4"/>
        <v>0</v>
      </c>
      <c r="AE12" s="31">
        <f t="shared" si="4"/>
        <v>8</v>
      </c>
      <c r="AF12" s="31">
        <f t="shared" si="4"/>
        <v>14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3</v>
      </c>
      <c r="P13" s="15">
        <f t="shared" si="1"/>
        <v>3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6</v>
      </c>
      <c r="AD13" s="17">
        <f t="shared" si="5"/>
        <v>0</v>
      </c>
      <c r="AE13" s="31">
        <f t="shared" si="5"/>
        <v>10</v>
      </c>
      <c r="AF13" s="31">
        <f t="shared" si="5"/>
        <v>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5</v>
      </c>
      <c r="AD14" s="17">
        <f t="shared" si="6"/>
        <v>0</v>
      </c>
      <c r="AE14" s="31">
        <f t="shared" si="6"/>
        <v>9</v>
      </c>
      <c r="AF14" s="31">
        <f t="shared" si="6"/>
        <v>14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10</v>
      </c>
      <c r="AC15" s="17">
        <f t="shared" si="7"/>
        <v>5</v>
      </c>
      <c r="AD15" s="17">
        <f t="shared" si="7"/>
        <v>0</v>
      </c>
      <c r="AE15" s="31">
        <f t="shared" si="7"/>
        <v>17</v>
      </c>
      <c r="AF15" s="31">
        <f t="shared" si="7"/>
        <v>22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3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4</v>
      </c>
      <c r="AD16" s="17">
        <f t="shared" si="8"/>
        <v>0</v>
      </c>
      <c r="AE16" s="31">
        <f t="shared" si="8"/>
        <v>7</v>
      </c>
      <c r="AF16" s="31">
        <f t="shared" si="8"/>
        <v>11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3</v>
      </c>
      <c r="P17" s="15">
        <f t="shared" si="1"/>
        <v>4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3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4</v>
      </c>
      <c r="AC17" s="17">
        <f t="shared" si="9"/>
        <v>5</v>
      </c>
      <c r="AD17" s="17">
        <f t="shared" si="9"/>
        <v>0</v>
      </c>
      <c r="AE17" s="31">
        <f t="shared" si="9"/>
        <v>16</v>
      </c>
      <c r="AF17" s="31">
        <f t="shared" si="9"/>
        <v>21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1</v>
      </c>
      <c r="P18" s="15">
        <f t="shared" si="1"/>
        <v>2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8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3</v>
      </c>
      <c r="AC18" s="17">
        <f t="shared" si="10"/>
        <v>8</v>
      </c>
      <c r="AD18" s="17">
        <f t="shared" si="10"/>
        <v>0</v>
      </c>
      <c r="AE18" s="31">
        <f t="shared" si="10"/>
        <v>21</v>
      </c>
      <c r="AF18" s="31">
        <f t="shared" si="10"/>
        <v>29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3</v>
      </c>
      <c r="M19" s="50">
        <v>2</v>
      </c>
      <c r="N19" s="50">
        <v>0</v>
      </c>
      <c r="O19" s="15">
        <f t="shared" si="0"/>
        <v>3</v>
      </c>
      <c r="P19" s="15">
        <f t="shared" si="1"/>
        <v>5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7</v>
      </c>
      <c r="AC19" s="17">
        <f t="shared" si="11"/>
        <v>2</v>
      </c>
      <c r="AD19" s="17">
        <f t="shared" si="11"/>
        <v>0</v>
      </c>
      <c r="AE19" s="31">
        <f t="shared" si="11"/>
        <v>17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7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12</v>
      </c>
      <c r="AC20" s="17">
        <f t="shared" si="12"/>
        <v>7</v>
      </c>
      <c r="AD20" s="17">
        <f t="shared" si="12"/>
        <v>0</v>
      </c>
      <c r="AE20" s="31">
        <f t="shared" si="12"/>
        <v>25</v>
      </c>
      <c r="AF20" s="31">
        <f t="shared" si="12"/>
        <v>32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3</v>
      </c>
      <c r="N21" s="50">
        <v>0</v>
      </c>
      <c r="O21" s="15">
        <f t="shared" si="0"/>
        <v>2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9</v>
      </c>
      <c r="AC21" s="17">
        <f t="shared" si="13"/>
        <v>6</v>
      </c>
      <c r="AD21" s="17">
        <f t="shared" si="13"/>
        <v>0</v>
      </c>
      <c r="AE21" s="31">
        <f t="shared" si="13"/>
        <v>22</v>
      </c>
      <c r="AF21" s="31">
        <f t="shared" si="13"/>
        <v>28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2</v>
      </c>
      <c r="AA22" s="39">
        <f t="shared" si="14"/>
        <v>0</v>
      </c>
      <c r="AB22" s="39">
        <f t="shared" si="14"/>
        <v>6</v>
      </c>
      <c r="AC22" s="39">
        <f t="shared" si="14"/>
        <v>6</v>
      </c>
      <c r="AD22" s="39">
        <f t="shared" si="14"/>
        <v>0</v>
      </c>
      <c r="AE22" s="40">
        <f t="shared" si="14"/>
        <v>9</v>
      </c>
      <c r="AF22" s="40">
        <f t="shared" si="14"/>
        <v>14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1</v>
      </c>
      <c r="M23" s="50">
        <v>0</v>
      </c>
      <c r="N23" s="50">
        <v>0</v>
      </c>
      <c r="O23" s="15">
        <f t="shared" si="0"/>
        <v>3</v>
      </c>
      <c r="P23" s="15">
        <f t="shared" si="1"/>
        <v>3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0</v>
      </c>
      <c r="W23" s="39">
        <f t="shared" si="15"/>
        <v>0</v>
      </c>
      <c r="X23" s="39">
        <f t="shared" si="15"/>
        <v>3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10</v>
      </c>
      <c r="AC23" s="39">
        <f t="shared" si="15"/>
        <v>8</v>
      </c>
      <c r="AD23" s="39">
        <f t="shared" si="15"/>
        <v>0</v>
      </c>
      <c r="AE23" s="40">
        <f t="shared" si="15"/>
        <v>21</v>
      </c>
      <c r="AF23" s="40">
        <f t="shared" si="15"/>
        <v>29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8" t="s">
        <v>92</v>
      </c>
      <c r="S24" s="39">
        <f>MAX(S19:S21)</f>
        <v>2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0</v>
      </c>
      <c r="W24" s="39">
        <f t="shared" si="16"/>
        <v>1</v>
      </c>
      <c r="X24" s="39">
        <f t="shared" si="16"/>
        <v>1</v>
      </c>
      <c r="Y24" s="39">
        <f t="shared" si="16"/>
        <v>9</v>
      </c>
      <c r="Z24" s="39">
        <f t="shared" si="16"/>
        <v>1</v>
      </c>
      <c r="AA24" s="39">
        <f t="shared" si="16"/>
        <v>0</v>
      </c>
      <c r="AB24" s="39">
        <f t="shared" si="16"/>
        <v>12</v>
      </c>
      <c r="AC24" s="39">
        <f t="shared" si="16"/>
        <v>7</v>
      </c>
      <c r="AD24" s="39">
        <f t="shared" si="16"/>
        <v>0</v>
      </c>
      <c r="AE24" s="40">
        <f t="shared" si="16"/>
        <v>25</v>
      </c>
      <c r="AF24" s="40">
        <f t="shared" si="16"/>
        <v>32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2</v>
      </c>
      <c r="AA25" s="16">
        <f t="shared" si="17"/>
        <v>0</v>
      </c>
      <c r="AB25" s="16">
        <f t="shared" si="17"/>
        <v>8</v>
      </c>
      <c r="AC25" s="16">
        <f t="shared" si="17"/>
        <v>11</v>
      </c>
      <c r="AD25" s="16">
        <f t="shared" si="17"/>
        <v>0</v>
      </c>
      <c r="AE25" s="32">
        <f t="shared" si="17"/>
        <v>23</v>
      </c>
      <c r="AF25" s="32">
        <f t="shared" si="17"/>
        <v>34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0</v>
      </c>
      <c r="P26" s="15">
        <f t="shared" si="1"/>
        <v>1</v>
      </c>
      <c r="R26" s="28" t="s">
        <v>86</v>
      </c>
      <c r="S26" s="16">
        <f t="shared" ref="S26:AF26" si="18">SUM(S13:S18)</f>
        <v>15</v>
      </c>
      <c r="T26" s="16">
        <f t="shared" si="18"/>
        <v>0</v>
      </c>
      <c r="U26" s="16">
        <f t="shared" si="18"/>
        <v>25</v>
      </c>
      <c r="V26" s="16">
        <f t="shared" si="18"/>
        <v>0</v>
      </c>
      <c r="W26" s="16">
        <f t="shared" si="18"/>
        <v>0</v>
      </c>
      <c r="X26" s="16">
        <f t="shared" si="18"/>
        <v>5</v>
      </c>
      <c r="Y26" s="16">
        <f t="shared" si="18"/>
        <v>10</v>
      </c>
      <c r="Z26" s="16">
        <f t="shared" si="18"/>
        <v>3</v>
      </c>
      <c r="AA26" s="16">
        <f t="shared" si="18"/>
        <v>0</v>
      </c>
      <c r="AB26" s="16">
        <f t="shared" si="18"/>
        <v>22</v>
      </c>
      <c r="AC26" s="16">
        <f t="shared" si="18"/>
        <v>33</v>
      </c>
      <c r="AD26" s="16">
        <f t="shared" si="18"/>
        <v>0</v>
      </c>
      <c r="AE26" s="32">
        <f t="shared" si="18"/>
        <v>80</v>
      </c>
      <c r="AF26" s="32">
        <f t="shared" si="18"/>
        <v>113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4</v>
      </c>
      <c r="P27" s="15">
        <f t="shared" si="1"/>
        <v>7</v>
      </c>
      <c r="R27" s="29" t="s">
        <v>87</v>
      </c>
      <c r="S27" s="16">
        <f t="shared" ref="S27:AF27" si="19">SUM(S19:S21)</f>
        <v>4</v>
      </c>
      <c r="T27" s="16">
        <f t="shared" si="19"/>
        <v>0</v>
      </c>
      <c r="U27" s="16">
        <f t="shared" si="19"/>
        <v>14</v>
      </c>
      <c r="V27" s="16">
        <f t="shared" si="19"/>
        <v>0</v>
      </c>
      <c r="W27" s="16">
        <f t="shared" si="19"/>
        <v>1</v>
      </c>
      <c r="X27" s="16">
        <f t="shared" si="19"/>
        <v>1</v>
      </c>
      <c r="Y27" s="16">
        <f t="shared" si="19"/>
        <v>14</v>
      </c>
      <c r="Z27" s="16">
        <f t="shared" si="19"/>
        <v>2</v>
      </c>
      <c r="AA27" s="16">
        <f t="shared" si="19"/>
        <v>0</v>
      </c>
      <c r="AB27" s="16">
        <f t="shared" si="19"/>
        <v>28</v>
      </c>
      <c r="AC27" s="16">
        <f t="shared" si="19"/>
        <v>15</v>
      </c>
      <c r="AD27" s="16">
        <f t="shared" si="19"/>
        <v>0</v>
      </c>
      <c r="AE27" s="32">
        <f t="shared" si="19"/>
        <v>64</v>
      </c>
      <c r="AF27" s="32">
        <f t="shared" si="19"/>
        <v>79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5" t="s">
        <v>17</v>
      </c>
      <c r="S28" s="16">
        <f t="shared" ref="S28:AF28" si="20">SUM(S10:S21)</f>
        <v>23</v>
      </c>
      <c r="T28" s="16">
        <f t="shared" si="20"/>
        <v>0</v>
      </c>
      <c r="U28" s="16">
        <f t="shared" si="20"/>
        <v>44</v>
      </c>
      <c r="V28" s="16">
        <f t="shared" si="20"/>
        <v>0</v>
      </c>
      <c r="W28" s="16">
        <f t="shared" si="20"/>
        <v>1</v>
      </c>
      <c r="X28" s="16">
        <f t="shared" si="20"/>
        <v>6</v>
      </c>
      <c r="Y28" s="16">
        <f t="shared" si="20"/>
        <v>28</v>
      </c>
      <c r="Z28" s="16">
        <f t="shared" si="20"/>
        <v>7</v>
      </c>
      <c r="AA28" s="16">
        <f t="shared" si="20"/>
        <v>0</v>
      </c>
      <c r="AB28" s="16">
        <f t="shared" si="20"/>
        <v>58</v>
      </c>
      <c r="AC28" s="16">
        <f t="shared" si="20"/>
        <v>59</v>
      </c>
      <c r="AD28" s="16">
        <f t="shared" si="20"/>
        <v>0</v>
      </c>
      <c r="AE28" s="32">
        <f t="shared" si="20"/>
        <v>167</v>
      </c>
      <c r="AF28" s="32">
        <f t="shared" si="20"/>
        <v>226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2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2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3</v>
      </c>
      <c r="M31" s="50">
        <v>2</v>
      </c>
      <c r="N31" s="50">
        <v>0</v>
      </c>
      <c r="O31" s="15">
        <f t="shared" si="0"/>
        <v>3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1</v>
      </c>
      <c r="N32" s="50">
        <v>0</v>
      </c>
      <c r="O32" s="15">
        <f t="shared" si="0"/>
        <v>6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4</v>
      </c>
      <c r="M33" s="50">
        <v>0</v>
      </c>
      <c r="N33" s="50">
        <v>0</v>
      </c>
      <c r="O33" s="15">
        <f t="shared" si="0"/>
        <v>6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1</v>
      </c>
      <c r="P35" s="15">
        <f t="shared" si="1"/>
        <v>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0</v>
      </c>
      <c r="P36" s="15">
        <f t="shared" si="1"/>
        <v>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2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2</v>
      </c>
      <c r="M41" s="50">
        <v>3</v>
      </c>
      <c r="N41" s="50">
        <v>0</v>
      </c>
      <c r="O41" s="15">
        <f t="shared" si="0"/>
        <v>5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1</v>
      </c>
      <c r="P42" s="15">
        <f t="shared" si="1"/>
        <v>2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2</v>
      </c>
      <c r="M44" s="50">
        <v>3</v>
      </c>
      <c r="N44" s="50">
        <v>0</v>
      </c>
      <c r="O44" s="15">
        <f t="shared" si="0"/>
        <v>9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3</v>
      </c>
      <c r="N45" s="50">
        <v>0</v>
      </c>
      <c r="O45" s="15">
        <f t="shared" si="0"/>
        <v>7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2</v>
      </c>
      <c r="F46" s="50">
        <v>0</v>
      </c>
      <c r="G46" s="50">
        <v>0</v>
      </c>
      <c r="H46" s="50">
        <v>1</v>
      </c>
      <c r="I46" s="50">
        <v>1</v>
      </c>
      <c r="J46" s="50">
        <v>1</v>
      </c>
      <c r="K46" s="50">
        <v>0</v>
      </c>
      <c r="L46" s="50">
        <v>1</v>
      </c>
      <c r="M46" s="50">
        <v>1</v>
      </c>
      <c r="N46" s="50">
        <v>0</v>
      </c>
      <c r="O46" s="15">
        <f t="shared" si="0"/>
        <v>6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2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4</v>
      </c>
      <c r="M49" s="50">
        <v>1</v>
      </c>
      <c r="N49" s="50">
        <v>0</v>
      </c>
      <c r="O49" s="15">
        <f t="shared" si="0"/>
        <v>7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3</v>
      </c>
      <c r="F50" s="50">
        <v>0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3</v>
      </c>
      <c r="M50" s="50">
        <v>2</v>
      </c>
      <c r="N50" s="50">
        <v>0</v>
      </c>
      <c r="O50" s="15">
        <f t="shared" si="0"/>
        <v>8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2</v>
      </c>
      <c r="N51" s="50">
        <v>0</v>
      </c>
      <c r="O51" s="15">
        <f t="shared" si="0"/>
        <v>4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2</v>
      </c>
      <c r="M52" s="50">
        <v>2</v>
      </c>
      <c r="N52" s="50">
        <v>0</v>
      </c>
      <c r="O52" s="15">
        <f t="shared" si="0"/>
        <v>5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5</v>
      </c>
      <c r="M53" s="50">
        <v>1</v>
      </c>
      <c r="N53" s="50">
        <v>0</v>
      </c>
      <c r="O53" s="15">
        <f t="shared" si="0"/>
        <v>8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3</v>
      </c>
      <c r="F54" s="50">
        <v>0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2</v>
      </c>
      <c r="M54" s="50">
        <v>1</v>
      </c>
      <c r="N54" s="50">
        <v>0</v>
      </c>
      <c r="O54" s="15">
        <f t="shared" si="0"/>
        <v>8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4</v>
      </c>
      <c r="M55" s="50">
        <v>1</v>
      </c>
      <c r="N55" s="50">
        <v>0</v>
      </c>
      <c r="O55" s="15">
        <f t="shared" si="0"/>
        <v>7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2</v>
      </c>
      <c r="J56" s="50"/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2</v>
      </c>
      <c r="M57" s="50">
        <v>2</v>
      </c>
      <c r="N57" s="50">
        <v>0</v>
      </c>
      <c r="O57" s="15">
        <f t="shared" si="0"/>
        <v>4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</v>
      </c>
      <c r="D58" s="16">
        <f t="shared" si="21"/>
        <v>0</v>
      </c>
      <c r="E58" s="16">
        <f t="shared" si="21"/>
        <v>44</v>
      </c>
      <c r="F58" s="16">
        <f t="shared" si="21"/>
        <v>0</v>
      </c>
      <c r="G58" s="16">
        <f t="shared" si="21"/>
        <v>1</v>
      </c>
      <c r="H58" s="16">
        <f t="shared" si="21"/>
        <v>6</v>
      </c>
      <c r="I58" s="16">
        <f t="shared" si="21"/>
        <v>28</v>
      </c>
      <c r="J58" s="16">
        <f t="shared" si="21"/>
        <v>7</v>
      </c>
      <c r="K58" s="16">
        <f t="shared" si="21"/>
        <v>0</v>
      </c>
      <c r="L58" s="16">
        <f t="shared" si="21"/>
        <v>58</v>
      </c>
      <c r="M58" s="16">
        <f t="shared" si="21"/>
        <v>59</v>
      </c>
      <c r="N58" s="16">
        <f t="shared" si="21"/>
        <v>0</v>
      </c>
      <c r="O58" s="16">
        <f t="shared" si="21"/>
        <v>167</v>
      </c>
      <c r="P58" s="16">
        <f t="shared" si="21"/>
        <v>226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0.10176991150442478</v>
      </c>
      <c r="D59" s="43">
        <f t="shared" si="22"/>
        <v>0</v>
      </c>
      <c r="E59" s="43">
        <f t="shared" si="22"/>
        <v>0.19469026548672566</v>
      </c>
      <c r="F59" s="43">
        <f t="shared" si="22"/>
        <v>0</v>
      </c>
      <c r="G59" s="43">
        <f t="shared" si="22"/>
        <v>4.4247787610619468E-3</v>
      </c>
      <c r="H59" s="43">
        <f t="shared" si="22"/>
        <v>2.6548672566371681E-2</v>
      </c>
      <c r="I59" s="43">
        <f t="shared" si="22"/>
        <v>0.12389380530973451</v>
      </c>
      <c r="J59" s="43">
        <f t="shared" si="22"/>
        <v>3.0973451327433628E-2</v>
      </c>
      <c r="K59" s="43">
        <f t="shared" si="22"/>
        <v>0</v>
      </c>
      <c r="L59" s="43">
        <f t="shared" si="22"/>
        <v>0.25663716814159293</v>
      </c>
      <c r="M59" s="43">
        <f t="shared" si="22"/>
        <v>0.26106194690265488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0.1377245508982036</v>
      </c>
      <c r="D60" s="44">
        <f t="shared" ref="D60:N60" si="23">D58/$O$58</f>
        <v>0</v>
      </c>
      <c r="E60" s="44">
        <f t="shared" si="23"/>
        <v>0.26347305389221559</v>
      </c>
      <c r="F60" s="44">
        <f t="shared" si="23"/>
        <v>0</v>
      </c>
      <c r="G60" s="44">
        <f t="shared" si="23"/>
        <v>5.9880239520958087E-3</v>
      </c>
      <c r="H60" s="44">
        <f t="shared" si="23"/>
        <v>3.5928143712574849E-2</v>
      </c>
      <c r="I60" s="44">
        <f t="shared" si="23"/>
        <v>0.16766467065868262</v>
      </c>
      <c r="J60" s="44">
        <f t="shared" si="23"/>
        <v>4.1916167664670656E-2</v>
      </c>
      <c r="K60" s="44">
        <f t="shared" si="23"/>
        <v>0</v>
      </c>
      <c r="L60" s="44">
        <f t="shared" si="23"/>
        <v>0.3473053892215569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40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'31.07 NIMULE-GULU'!G5:H5</f>
        <v>ELEGU</v>
      </c>
      <c r="H5" s="67"/>
      <c r="I5" s="14"/>
      <c r="J5" s="2" t="s">
        <v>5</v>
      </c>
      <c r="K5" s="66" t="str">
        <f>'31.07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'31.07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9</v>
      </c>
      <c r="AC10" s="17">
        <f t="shared" si="2"/>
        <v>4</v>
      </c>
      <c r="AD10" s="17">
        <f t="shared" si="2"/>
        <v>0</v>
      </c>
      <c r="AE10" s="31">
        <f t="shared" si="2"/>
        <v>20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4</v>
      </c>
      <c r="P11" s="15">
        <f t="shared" si="1"/>
        <v>4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4</v>
      </c>
      <c r="AC11" s="17">
        <f t="shared" si="3"/>
        <v>2</v>
      </c>
      <c r="AD11" s="17">
        <f t="shared" si="3"/>
        <v>0</v>
      </c>
      <c r="AE11" s="31">
        <f t="shared" si="3"/>
        <v>11</v>
      </c>
      <c r="AF11" s="31">
        <f t="shared" si="3"/>
        <v>13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5</v>
      </c>
      <c r="M12" s="50">
        <v>1</v>
      </c>
      <c r="N12" s="50">
        <v>0</v>
      </c>
      <c r="O12" s="15">
        <f t="shared" si="0"/>
        <v>10</v>
      </c>
      <c r="P12" s="15">
        <f t="shared" si="1"/>
        <v>11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12</v>
      </c>
      <c r="AC12" s="17">
        <f t="shared" si="4"/>
        <v>6</v>
      </c>
      <c r="AD12" s="17">
        <f t="shared" si="4"/>
        <v>0</v>
      </c>
      <c r="AE12" s="31">
        <f t="shared" si="4"/>
        <v>17</v>
      </c>
      <c r="AF12" s="31">
        <f t="shared" si="4"/>
        <v>23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2</v>
      </c>
      <c r="N13" s="50">
        <v>0</v>
      </c>
      <c r="O13" s="15">
        <f t="shared" si="0"/>
        <v>4</v>
      </c>
      <c r="P13" s="15">
        <f t="shared" si="1"/>
        <v>6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3</v>
      </c>
      <c r="AC13" s="17">
        <f t="shared" si="5"/>
        <v>8</v>
      </c>
      <c r="AD13" s="17">
        <f t="shared" si="5"/>
        <v>0</v>
      </c>
      <c r="AE13" s="31">
        <f t="shared" si="5"/>
        <v>8</v>
      </c>
      <c r="AF13" s="31">
        <f t="shared" si="5"/>
        <v>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3</v>
      </c>
      <c r="AC14" s="17">
        <f t="shared" si="6"/>
        <v>5</v>
      </c>
      <c r="AD14" s="17">
        <f t="shared" si="6"/>
        <v>0</v>
      </c>
      <c r="AE14" s="31">
        <f t="shared" si="6"/>
        <v>12</v>
      </c>
      <c r="AF14" s="31">
        <f t="shared" si="6"/>
        <v>17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1</v>
      </c>
      <c r="M15" s="50">
        <v>1</v>
      </c>
      <c r="N15" s="50">
        <v>0</v>
      </c>
      <c r="O15" s="15">
        <f t="shared" si="0"/>
        <v>5</v>
      </c>
      <c r="P15" s="15">
        <f t="shared" si="1"/>
        <v>6</v>
      </c>
      <c r="R15" s="1" t="s">
        <v>11</v>
      </c>
      <c r="S15" s="17">
        <f t="shared" ref="S15:AF15" si="7">SUM(C30:C33)</f>
        <v>4</v>
      </c>
      <c r="T15" s="17">
        <f t="shared" si="7"/>
        <v>2</v>
      </c>
      <c r="U15" s="17">
        <f t="shared" si="7"/>
        <v>4</v>
      </c>
      <c r="V15" s="17">
        <f t="shared" si="7"/>
        <v>2</v>
      </c>
      <c r="W15" s="17">
        <f t="shared" si="7"/>
        <v>2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7</v>
      </c>
      <c r="AC15" s="17">
        <f t="shared" si="7"/>
        <v>4</v>
      </c>
      <c r="AD15" s="17">
        <f t="shared" si="7"/>
        <v>0</v>
      </c>
      <c r="AE15" s="31">
        <f t="shared" si="7"/>
        <v>23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1</v>
      </c>
      <c r="N16" s="50">
        <v>0</v>
      </c>
      <c r="O16" s="15">
        <f t="shared" si="0"/>
        <v>3</v>
      </c>
      <c r="P16" s="15">
        <f t="shared" si="1"/>
        <v>4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7</v>
      </c>
      <c r="AD16" s="17">
        <f t="shared" si="8"/>
        <v>0</v>
      </c>
      <c r="AE16" s="31">
        <f t="shared" si="8"/>
        <v>11</v>
      </c>
      <c r="AF16" s="31">
        <f t="shared" si="8"/>
        <v>18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5</v>
      </c>
      <c r="AC17" s="17">
        <f t="shared" si="9"/>
        <v>2</v>
      </c>
      <c r="AD17" s="17">
        <f t="shared" si="9"/>
        <v>0</v>
      </c>
      <c r="AE17" s="31">
        <f t="shared" si="9"/>
        <v>11</v>
      </c>
      <c r="AF17" s="31">
        <f t="shared" si="9"/>
        <v>13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3</v>
      </c>
      <c r="P18" s="15">
        <f t="shared" si="1"/>
        <v>3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5</v>
      </c>
      <c r="AD18" s="17">
        <f t="shared" si="10"/>
        <v>0</v>
      </c>
      <c r="AE18" s="31">
        <f t="shared" si="10"/>
        <v>13</v>
      </c>
      <c r="AF18" s="31">
        <f t="shared" si="10"/>
        <v>18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1</v>
      </c>
      <c r="N19" s="50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</v>
      </c>
      <c r="AD19" s="17">
        <f t="shared" si="11"/>
        <v>0</v>
      </c>
      <c r="AE19" s="31">
        <f t="shared" si="11"/>
        <v>5</v>
      </c>
      <c r="AF19" s="31">
        <f t="shared" si="11"/>
        <v>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6</v>
      </c>
      <c r="M20" s="50">
        <v>4</v>
      </c>
      <c r="N20" s="50">
        <v>0</v>
      </c>
      <c r="O20" s="15">
        <f t="shared" si="0"/>
        <v>7</v>
      </c>
      <c r="P20" s="15">
        <f t="shared" si="1"/>
        <v>11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5</v>
      </c>
      <c r="AD20" s="17">
        <f t="shared" si="12"/>
        <v>0</v>
      </c>
      <c r="AE20" s="31">
        <f t="shared" si="12"/>
        <v>13</v>
      </c>
      <c r="AF20" s="31">
        <f t="shared" si="12"/>
        <v>18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3</v>
      </c>
      <c r="P21" s="15">
        <f t="shared" si="1"/>
        <v>4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7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</v>
      </c>
      <c r="AD21" s="17">
        <f t="shared" si="13"/>
        <v>0</v>
      </c>
      <c r="AE21" s="31">
        <f t="shared" si="13"/>
        <v>12</v>
      </c>
      <c r="AF21" s="31">
        <f t="shared" si="13"/>
        <v>15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1</v>
      </c>
      <c r="AA22" s="39">
        <f t="shared" si="14"/>
        <v>0</v>
      </c>
      <c r="AB22" s="39">
        <f t="shared" si="14"/>
        <v>12</v>
      </c>
      <c r="AC22" s="39">
        <f t="shared" si="14"/>
        <v>6</v>
      </c>
      <c r="AD22" s="39">
        <f t="shared" si="14"/>
        <v>0</v>
      </c>
      <c r="AE22" s="40">
        <f t="shared" si="14"/>
        <v>20</v>
      </c>
      <c r="AF22" s="40">
        <f t="shared" si="14"/>
        <v>24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1</v>
      </c>
      <c r="P23" s="15">
        <f t="shared" si="1"/>
        <v>2</v>
      </c>
      <c r="R23" s="38" t="s">
        <v>91</v>
      </c>
      <c r="S23" s="39">
        <f>MAX(S13:S18)</f>
        <v>5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2</v>
      </c>
      <c r="W23" s="39">
        <f t="shared" si="15"/>
        <v>2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7</v>
      </c>
      <c r="AC23" s="39">
        <f t="shared" si="15"/>
        <v>8</v>
      </c>
      <c r="AD23" s="39">
        <f t="shared" si="15"/>
        <v>0</v>
      </c>
      <c r="AE23" s="40">
        <f t="shared" si="15"/>
        <v>23</v>
      </c>
      <c r="AF23" s="40">
        <f t="shared" si="15"/>
        <v>27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1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8" t="s">
        <v>92</v>
      </c>
      <c r="S24" s="39">
        <f>MAX(S19:S21)</f>
        <v>4</v>
      </c>
      <c r="T24" s="39">
        <f t="shared" ref="T24:AF24" si="16">MAX(T19:T21)</f>
        <v>2</v>
      </c>
      <c r="U24" s="39">
        <f t="shared" si="16"/>
        <v>7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0</v>
      </c>
      <c r="AA24" s="39">
        <f t="shared" si="16"/>
        <v>0</v>
      </c>
      <c r="AB24" s="39">
        <f t="shared" si="16"/>
        <v>3</v>
      </c>
      <c r="AC24" s="39">
        <f t="shared" si="16"/>
        <v>5</v>
      </c>
      <c r="AD24" s="39">
        <f t="shared" si="16"/>
        <v>0</v>
      </c>
      <c r="AE24" s="40">
        <f t="shared" si="16"/>
        <v>13</v>
      </c>
      <c r="AF24" s="40">
        <f t="shared" si="16"/>
        <v>18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1</v>
      </c>
      <c r="P25" s="15">
        <f t="shared" si="1"/>
        <v>3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4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11</v>
      </c>
      <c r="Z25" s="16">
        <f t="shared" si="17"/>
        <v>2</v>
      </c>
      <c r="AA25" s="16">
        <f t="shared" si="17"/>
        <v>0</v>
      </c>
      <c r="AB25" s="16">
        <f t="shared" si="17"/>
        <v>25</v>
      </c>
      <c r="AC25" s="16">
        <f t="shared" si="17"/>
        <v>12</v>
      </c>
      <c r="AD25" s="16">
        <f t="shared" si="17"/>
        <v>0</v>
      </c>
      <c r="AE25" s="32">
        <f t="shared" si="17"/>
        <v>48</v>
      </c>
      <c r="AF25" s="32">
        <f t="shared" si="17"/>
        <v>60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2</v>
      </c>
      <c r="P26" s="15">
        <f t="shared" si="1"/>
        <v>2</v>
      </c>
      <c r="R26" s="28" t="s">
        <v>86</v>
      </c>
      <c r="S26" s="16">
        <f t="shared" ref="S26:AF26" si="18">SUM(S13:S18)</f>
        <v>19</v>
      </c>
      <c r="T26" s="16">
        <f t="shared" si="18"/>
        <v>2</v>
      </c>
      <c r="U26" s="16">
        <f t="shared" si="18"/>
        <v>17</v>
      </c>
      <c r="V26" s="16">
        <f t="shared" si="18"/>
        <v>2</v>
      </c>
      <c r="W26" s="16">
        <f t="shared" si="18"/>
        <v>2</v>
      </c>
      <c r="X26" s="16">
        <f t="shared" si="18"/>
        <v>0</v>
      </c>
      <c r="Y26" s="16">
        <f t="shared" si="18"/>
        <v>10</v>
      </c>
      <c r="Z26" s="16">
        <f t="shared" si="18"/>
        <v>3</v>
      </c>
      <c r="AA26" s="16">
        <f t="shared" si="18"/>
        <v>0</v>
      </c>
      <c r="AB26" s="16">
        <f t="shared" si="18"/>
        <v>23</v>
      </c>
      <c r="AC26" s="16">
        <f t="shared" si="18"/>
        <v>31</v>
      </c>
      <c r="AD26" s="16">
        <f t="shared" si="18"/>
        <v>0</v>
      </c>
      <c r="AE26" s="32">
        <f t="shared" si="18"/>
        <v>78</v>
      </c>
      <c r="AF26" s="32">
        <f t="shared" si="18"/>
        <v>109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1</v>
      </c>
      <c r="M27" s="50">
        <v>4</v>
      </c>
      <c r="N27" s="50">
        <v>0</v>
      </c>
      <c r="O27" s="15">
        <f t="shared" si="0"/>
        <v>6</v>
      </c>
      <c r="P27" s="15">
        <f t="shared" si="1"/>
        <v>10</v>
      </c>
      <c r="R27" s="29" t="s">
        <v>87</v>
      </c>
      <c r="S27" s="16">
        <f t="shared" ref="S27:AF27" si="19">SUM(S19:S21)</f>
        <v>9</v>
      </c>
      <c r="T27" s="16">
        <f t="shared" si="19"/>
        <v>2</v>
      </c>
      <c r="U27" s="16">
        <f t="shared" si="19"/>
        <v>11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0</v>
      </c>
      <c r="AA27" s="16">
        <f t="shared" si="19"/>
        <v>0</v>
      </c>
      <c r="AB27" s="16">
        <f t="shared" si="19"/>
        <v>3</v>
      </c>
      <c r="AC27" s="16">
        <f t="shared" si="19"/>
        <v>10</v>
      </c>
      <c r="AD27" s="16">
        <f t="shared" si="19"/>
        <v>0</v>
      </c>
      <c r="AE27" s="32">
        <f t="shared" si="19"/>
        <v>30</v>
      </c>
      <c r="AF27" s="32">
        <f t="shared" si="19"/>
        <v>40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5" t="s">
        <v>17</v>
      </c>
      <c r="S28" s="16">
        <f t="shared" ref="S28:AF28" si="20">SUM(S10:S21)</f>
        <v>34</v>
      </c>
      <c r="T28" s="16">
        <f t="shared" si="20"/>
        <v>4</v>
      </c>
      <c r="U28" s="16">
        <f t="shared" si="20"/>
        <v>32</v>
      </c>
      <c r="V28" s="16">
        <f t="shared" si="20"/>
        <v>2</v>
      </c>
      <c r="W28" s="16">
        <f t="shared" si="20"/>
        <v>2</v>
      </c>
      <c r="X28" s="16">
        <f t="shared" si="20"/>
        <v>0</v>
      </c>
      <c r="Y28" s="16">
        <f t="shared" si="20"/>
        <v>26</v>
      </c>
      <c r="Z28" s="16">
        <f t="shared" si="20"/>
        <v>5</v>
      </c>
      <c r="AA28" s="16">
        <f t="shared" si="20"/>
        <v>0</v>
      </c>
      <c r="AB28" s="16">
        <f t="shared" si="20"/>
        <v>51</v>
      </c>
      <c r="AC28" s="16">
        <f t="shared" si="20"/>
        <v>53</v>
      </c>
      <c r="AD28" s="16">
        <f t="shared" si="20"/>
        <v>0</v>
      </c>
      <c r="AE28" s="32">
        <f t="shared" si="20"/>
        <v>156</v>
      </c>
      <c r="AF28" s="32">
        <f t="shared" si="20"/>
        <v>209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2</v>
      </c>
      <c r="E30" s="50">
        <v>3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4</v>
      </c>
      <c r="M30" s="50">
        <v>3</v>
      </c>
      <c r="N30" s="50">
        <v>0</v>
      </c>
      <c r="O30" s="15">
        <f t="shared" si="0"/>
        <v>10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3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2</v>
      </c>
      <c r="G32" s="50">
        <v>2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8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0</v>
      </c>
      <c r="N36" s="50">
        <v>0</v>
      </c>
      <c r="O36" s="15">
        <f t="shared" si="0"/>
        <v>6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1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3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2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3</v>
      </c>
      <c r="M42" s="50">
        <v>3</v>
      </c>
      <c r="N42" s="50">
        <v>0</v>
      </c>
      <c r="O42" s="15">
        <f t="shared" si="0"/>
        <v>5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4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2</v>
      </c>
      <c r="M50" s="50">
        <v>3</v>
      </c>
      <c r="N50" s="50">
        <v>0</v>
      </c>
      <c r="O50" s="15">
        <f t="shared" si="0"/>
        <v>5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1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4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3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2</v>
      </c>
      <c r="E55" s="50">
        <v>3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4</v>
      </c>
      <c r="E58" s="16">
        <f t="shared" si="21"/>
        <v>32</v>
      </c>
      <c r="F58" s="16">
        <f t="shared" si="21"/>
        <v>2</v>
      </c>
      <c r="G58" s="16">
        <f t="shared" si="21"/>
        <v>2</v>
      </c>
      <c r="H58" s="16">
        <f t="shared" si="21"/>
        <v>0</v>
      </c>
      <c r="I58" s="16">
        <f t="shared" si="21"/>
        <v>26</v>
      </c>
      <c r="J58" s="16">
        <f t="shared" si="21"/>
        <v>5</v>
      </c>
      <c r="K58" s="16">
        <f t="shared" si="21"/>
        <v>0</v>
      </c>
      <c r="L58" s="16">
        <f t="shared" si="21"/>
        <v>51</v>
      </c>
      <c r="M58" s="16">
        <f t="shared" si="21"/>
        <v>53</v>
      </c>
      <c r="N58" s="16">
        <f t="shared" si="21"/>
        <v>0</v>
      </c>
      <c r="O58" s="16">
        <f t="shared" si="21"/>
        <v>156</v>
      </c>
      <c r="P58" s="16">
        <f t="shared" si="21"/>
        <v>209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0.16267942583732056</v>
      </c>
      <c r="D59" s="43">
        <f t="shared" si="22"/>
        <v>1.9138755980861243E-2</v>
      </c>
      <c r="E59" s="43">
        <f t="shared" si="22"/>
        <v>0.15311004784688995</v>
      </c>
      <c r="F59" s="43">
        <f t="shared" si="22"/>
        <v>9.5693779904306216E-3</v>
      </c>
      <c r="G59" s="43">
        <f t="shared" si="22"/>
        <v>9.5693779904306216E-3</v>
      </c>
      <c r="H59" s="43">
        <f t="shared" si="22"/>
        <v>0</v>
      </c>
      <c r="I59" s="43">
        <f t="shared" si="22"/>
        <v>0.12440191387559808</v>
      </c>
      <c r="J59" s="43">
        <f t="shared" si="22"/>
        <v>2.3923444976076555E-2</v>
      </c>
      <c r="K59" s="43">
        <f t="shared" si="22"/>
        <v>0</v>
      </c>
      <c r="L59" s="43">
        <f t="shared" si="22"/>
        <v>0.24401913875598086</v>
      </c>
      <c r="M59" s="43">
        <f t="shared" si="22"/>
        <v>0.25358851674641147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0.21794871794871795</v>
      </c>
      <c r="D60" s="44">
        <f t="shared" ref="D60:N60" si="23">D58/$O$58</f>
        <v>2.564102564102564E-2</v>
      </c>
      <c r="E60" s="44">
        <f t="shared" si="23"/>
        <v>0.20512820512820512</v>
      </c>
      <c r="F60" s="44">
        <f t="shared" si="23"/>
        <v>1.282051282051282E-2</v>
      </c>
      <c r="G60" s="44">
        <f t="shared" si="23"/>
        <v>1.282051282051282E-2</v>
      </c>
      <c r="H60" s="44">
        <f t="shared" si="23"/>
        <v>0</v>
      </c>
      <c r="I60" s="44">
        <f t="shared" si="23"/>
        <v>0.16666666666666666</v>
      </c>
      <c r="J60" s="44">
        <f t="shared" si="23"/>
        <v>3.2051282051282048E-2</v>
      </c>
      <c r="K60" s="44">
        <f t="shared" si="23"/>
        <v>0</v>
      </c>
      <c r="L60" s="44">
        <f t="shared" si="23"/>
        <v>0.32692307692307693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16" zoomScale="60" workbookViewId="0">
      <selection activeCell="D10" sqref="D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'02.07 NIMULE-GULU'!D5</f>
        <v>02.07.19</v>
      </c>
      <c r="E5" s="3"/>
      <c r="F5" s="41" t="s">
        <v>1</v>
      </c>
      <c r="G5" s="66" t="str">
        <f>'31.07 NIMULE-GULU'!G5:H5</f>
        <v>ELEGU</v>
      </c>
      <c r="H5" s="67"/>
      <c r="I5" s="14"/>
      <c r="J5" s="2" t="s">
        <v>5</v>
      </c>
      <c r="K5" s="66" t="str">
        <f>'31.07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'31.07 GULU-NIMULE'!G6:H6</f>
        <v>NIMULE</v>
      </c>
      <c r="H6" s="67"/>
      <c r="J6" s="2" t="s">
        <v>21</v>
      </c>
      <c r="K6" s="66" t="str">
        <f>'31.07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3</v>
      </c>
      <c r="AD10" s="17">
        <f t="shared" si="2"/>
        <v>0</v>
      </c>
      <c r="AE10" s="31">
        <f t="shared" si="2"/>
        <v>8</v>
      </c>
      <c r="AF10" s="31">
        <f t="shared" si="2"/>
        <v>11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3</v>
      </c>
      <c r="P11" s="15">
        <f t="shared" si="1"/>
        <v>3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11</v>
      </c>
      <c r="AC11" s="17">
        <f t="shared" si="3"/>
        <v>5</v>
      </c>
      <c r="AD11" s="17">
        <f t="shared" si="3"/>
        <v>0</v>
      </c>
      <c r="AE11" s="31">
        <f t="shared" si="3"/>
        <v>17</v>
      </c>
      <c r="AF11" s="31">
        <f t="shared" si="3"/>
        <v>22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1</v>
      </c>
      <c r="M12" s="50">
        <v>3</v>
      </c>
      <c r="N12" s="50">
        <v>0</v>
      </c>
      <c r="O12" s="15">
        <f t="shared" si="0"/>
        <v>2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5</v>
      </c>
      <c r="AD12" s="17">
        <f t="shared" si="4"/>
        <v>0</v>
      </c>
      <c r="AE12" s="31">
        <f t="shared" si="4"/>
        <v>13</v>
      </c>
      <c r="AF12" s="31">
        <f t="shared" si="4"/>
        <v>18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15</v>
      </c>
      <c r="AC13" s="17">
        <f t="shared" si="5"/>
        <v>11</v>
      </c>
      <c r="AD13" s="17">
        <f t="shared" si="5"/>
        <v>0</v>
      </c>
      <c r="AE13" s="31">
        <f t="shared" si="5"/>
        <v>21</v>
      </c>
      <c r="AF13" s="31">
        <f t="shared" si="5"/>
        <v>32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2</v>
      </c>
      <c r="N14" s="50">
        <v>0</v>
      </c>
      <c r="O14" s="15">
        <f t="shared" si="0"/>
        <v>3</v>
      </c>
      <c r="P14" s="15">
        <f t="shared" si="1"/>
        <v>5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11</v>
      </c>
      <c r="AC14" s="17">
        <f t="shared" si="6"/>
        <v>4</v>
      </c>
      <c r="AD14" s="17">
        <f t="shared" si="6"/>
        <v>0</v>
      </c>
      <c r="AE14" s="31">
        <f t="shared" si="6"/>
        <v>15</v>
      </c>
      <c r="AF14" s="31">
        <f t="shared" si="6"/>
        <v>19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4</v>
      </c>
      <c r="AD15" s="17">
        <f t="shared" si="7"/>
        <v>0</v>
      </c>
      <c r="AE15" s="31">
        <f t="shared" si="7"/>
        <v>7</v>
      </c>
      <c r="AF15" s="31">
        <f t="shared" si="7"/>
        <v>11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7</v>
      </c>
      <c r="M16" s="50">
        <v>0</v>
      </c>
      <c r="N16" s="50">
        <v>0</v>
      </c>
      <c r="O16" s="15">
        <f t="shared" si="0"/>
        <v>10</v>
      </c>
      <c r="P16" s="15">
        <f t="shared" si="1"/>
        <v>10</v>
      </c>
      <c r="R16" s="1" t="s">
        <v>12</v>
      </c>
      <c r="S16" s="17">
        <f t="shared" ref="S16:AF16" si="8">SUM(C34:C37)</f>
        <v>1</v>
      </c>
      <c r="T16" s="17">
        <f t="shared" si="8"/>
        <v>1</v>
      </c>
      <c r="U16" s="17">
        <f t="shared" si="8"/>
        <v>10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7</v>
      </c>
      <c r="AC16" s="17">
        <f t="shared" si="8"/>
        <v>6</v>
      </c>
      <c r="AD16" s="17">
        <f t="shared" si="8"/>
        <v>0</v>
      </c>
      <c r="AE16" s="31">
        <f t="shared" si="8"/>
        <v>20</v>
      </c>
      <c r="AF16" s="31">
        <f t="shared" si="8"/>
        <v>26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9</v>
      </c>
      <c r="AC17" s="17">
        <f t="shared" si="9"/>
        <v>5</v>
      </c>
      <c r="AD17" s="17">
        <f t="shared" si="9"/>
        <v>0</v>
      </c>
      <c r="AE17" s="31">
        <f t="shared" si="9"/>
        <v>17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3</v>
      </c>
      <c r="P18" s="15">
        <f t="shared" si="1"/>
        <v>6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3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6</v>
      </c>
      <c r="AC18" s="17">
        <f t="shared" si="10"/>
        <v>8</v>
      </c>
      <c r="AD18" s="17">
        <f t="shared" si="10"/>
        <v>0</v>
      </c>
      <c r="AE18" s="31">
        <f t="shared" si="10"/>
        <v>19</v>
      </c>
      <c r="AF18" s="31">
        <f t="shared" si="10"/>
        <v>27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2</v>
      </c>
      <c r="M19" s="50">
        <v>0</v>
      </c>
      <c r="N19" s="50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2</v>
      </c>
      <c r="T19" s="17">
        <f t="shared" si="11"/>
        <v>1</v>
      </c>
      <c r="U19" s="17">
        <f t="shared" si="11"/>
        <v>7</v>
      </c>
      <c r="V19" s="17">
        <f t="shared" si="11"/>
        <v>0</v>
      </c>
      <c r="W19" s="17">
        <f t="shared" si="11"/>
        <v>0</v>
      </c>
      <c r="X19" s="17">
        <f t="shared" si="11"/>
        <v>4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10</v>
      </c>
      <c r="AC19" s="17">
        <f t="shared" si="11"/>
        <v>10</v>
      </c>
      <c r="AD19" s="17">
        <f t="shared" si="11"/>
        <v>0</v>
      </c>
      <c r="AE19" s="31">
        <f t="shared" si="11"/>
        <v>24</v>
      </c>
      <c r="AF19" s="31">
        <f t="shared" si="11"/>
        <v>34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2</v>
      </c>
      <c r="N20" s="50">
        <v>0</v>
      </c>
      <c r="O20" s="15">
        <f t="shared" si="0"/>
        <v>4</v>
      </c>
      <c r="P20" s="15">
        <f t="shared" si="1"/>
        <v>6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7</v>
      </c>
      <c r="AC20" s="17">
        <f t="shared" si="12"/>
        <v>11</v>
      </c>
      <c r="AD20" s="17">
        <f t="shared" si="12"/>
        <v>0</v>
      </c>
      <c r="AE20" s="31">
        <f t="shared" si="12"/>
        <v>16</v>
      </c>
      <c r="AF20" s="31">
        <f t="shared" si="12"/>
        <v>27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10</v>
      </c>
      <c r="AD21" s="17">
        <f t="shared" si="13"/>
        <v>0</v>
      </c>
      <c r="AE21" s="31">
        <f t="shared" si="13"/>
        <v>12</v>
      </c>
      <c r="AF21" s="31">
        <f t="shared" si="13"/>
        <v>22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11</v>
      </c>
      <c r="AC22" s="39">
        <f t="shared" si="14"/>
        <v>5</v>
      </c>
      <c r="AD22" s="39">
        <f t="shared" si="14"/>
        <v>0</v>
      </c>
      <c r="AE22" s="40">
        <f t="shared" si="14"/>
        <v>17</v>
      </c>
      <c r="AF22" s="40">
        <f t="shared" si="14"/>
        <v>22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3</v>
      </c>
      <c r="M23" s="50">
        <v>6</v>
      </c>
      <c r="N23" s="50">
        <v>0</v>
      </c>
      <c r="O23" s="15">
        <f t="shared" si="0"/>
        <v>6</v>
      </c>
      <c r="P23" s="15">
        <f t="shared" si="1"/>
        <v>12</v>
      </c>
      <c r="R23" s="38" t="s">
        <v>91</v>
      </c>
      <c r="S23" s="39">
        <f>MAX(S13:S18)</f>
        <v>4</v>
      </c>
      <c r="T23" s="39">
        <f t="shared" ref="T23:AF23" si="15">MAX(T13:T18)</f>
        <v>1</v>
      </c>
      <c r="U23" s="39">
        <f t="shared" si="15"/>
        <v>10</v>
      </c>
      <c r="V23" s="39">
        <f t="shared" si="15"/>
        <v>0</v>
      </c>
      <c r="W23" s="39">
        <f t="shared" si="15"/>
        <v>0</v>
      </c>
      <c r="X23" s="39">
        <f t="shared" si="15"/>
        <v>3</v>
      </c>
      <c r="Y23" s="39">
        <f t="shared" si="15"/>
        <v>1</v>
      </c>
      <c r="Z23" s="39">
        <f t="shared" si="15"/>
        <v>1</v>
      </c>
      <c r="AA23" s="39">
        <f t="shared" si="15"/>
        <v>0</v>
      </c>
      <c r="AB23" s="39">
        <f t="shared" si="15"/>
        <v>15</v>
      </c>
      <c r="AC23" s="39">
        <f t="shared" si="15"/>
        <v>11</v>
      </c>
      <c r="AD23" s="39">
        <f t="shared" si="15"/>
        <v>0</v>
      </c>
      <c r="AE23" s="40">
        <f t="shared" si="15"/>
        <v>21</v>
      </c>
      <c r="AF23" s="40">
        <f t="shared" si="15"/>
        <v>32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6</v>
      </c>
      <c r="M24" s="50">
        <v>2</v>
      </c>
      <c r="N24" s="50">
        <v>0</v>
      </c>
      <c r="O24" s="15">
        <f t="shared" si="0"/>
        <v>6</v>
      </c>
      <c r="P24" s="15">
        <f t="shared" si="1"/>
        <v>8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7</v>
      </c>
      <c r="V24" s="39">
        <f t="shared" si="16"/>
        <v>0</v>
      </c>
      <c r="W24" s="39">
        <f t="shared" si="16"/>
        <v>0</v>
      </c>
      <c r="X24" s="39">
        <f t="shared" si="16"/>
        <v>4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10</v>
      </c>
      <c r="AC24" s="39">
        <f t="shared" si="16"/>
        <v>11</v>
      </c>
      <c r="AD24" s="39">
        <f t="shared" si="16"/>
        <v>0</v>
      </c>
      <c r="AE24" s="40">
        <f t="shared" si="16"/>
        <v>24</v>
      </c>
      <c r="AF24" s="40">
        <f t="shared" si="16"/>
        <v>34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4</v>
      </c>
      <c r="M25" s="50">
        <v>1</v>
      </c>
      <c r="N25" s="50">
        <v>0</v>
      </c>
      <c r="O25" s="15">
        <f t="shared" si="0"/>
        <v>5</v>
      </c>
      <c r="P25" s="15">
        <f t="shared" si="1"/>
        <v>6</v>
      </c>
      <c r="R25" s="37" t="s">
        <v>85</v>
      </c>
      <c r="S25" s="35">
        <f t="shared" ref="S25:AF25" si="17">SUM(S10:S12)</f>
        <v>3</v>
      </c>
      <c r="T25" s="16">
        <f t="shared" si="17"/>
        <v>0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9</v>
      </c>
      <c r="Z25" s="16">
        <f t="shared" si="17"/>
        <v>1</v>
      </c>
      <c r="AA25" s="16">
        <f t="shared" si="17"/>
        <v>0</v>
      </c>
      <c r="AB25" s="16">
        <f t="shared" si="17"/>
        <v>20</v>
      </c>
      <c r="AC25" s="16">
        <f t="shared" si="17"/>
        <v>13</v>
      </c>
      <c r="AD25" s="16">
        <f t="shared" si="17"/>
        <v>0</v>
      </c>
      <c r="AE25" s="32">
        <f t="shared" si="17"/>
        <v>38</v>
      </c>
      <c r="AF25" s="32">
        <f t="shared" si="17"/>
        <v>51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2</v>
      </c>
      <c r="N26" s="50">
        <v>0</v>
      </c>
      <c r="O26" s="15">
        <f t="shared" si="0"/>
        <v>2</v>
      </c>
      <c r="P26" s="15">
        <f t="shared" si="1"/>
        <v>4</v>
      </c>
      <c r="R26" s="28" t="s">
        <v>86</v>
      </c>
      <c r="S26" s="16">
        <f t="shared" ref="S26:AF26" si="18">SUM(S13:S18)</f>
        <v>8</v>
      </c>
      <c r="T26" s="16">
        <f t="shared" si="18"/>
        <v>1</v>
      </c>
      <c r="U26" s="16">
        <f t="shared" si="18"/>
        <v>30</v>
      </c>
      <c r="V26" s="16">
        <f t="shared" si="18"/>
        <v>0</v>
      </c>
      <c r="W26" s="16">
        <f t="shared" si="18"/>
        <v>0</v>
      </c>
      <c r="X26" s="16">
        <f t="shared" si="18"/>
        <v>5</v>
      </c>
      <c r="Y26" s="16">
        <f t="shared" si="18"/>
        <v>2</v>
      </c>
      <c r="Z26" s="16">
        <f t="shared" si="18"/>
        <v>1</v>
      </c>
      <c r="AA26" s="16">
        <f t="shared" si="18"/>
        <v>0</v>
      </c>
      <c r="AB26" s="16">
        <f t="shared" si="18"/>
        <v>52</v>
      </c>
      <c r="AC26" s="16">
        <f t="shared" si="18"/>
        <v>38</v>
      </c>
      <c r="AD26" s="16">
        <f t="shared" si="18"/>
        <v>0</v>
      </c>
      <c r="AE26" s="32">
        <f t="shared" si="18"/>
        <v>99</v>
      </c>
      <c r="AF26" s="32">
        <f t="shared" si="18"/>
        <v>137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3</v>
      </c>
      <c r="M27" s="50">
        <v>2</v>
      </c>
      <c r="N27" s="50">
        <v>0</v>
      </c>
      <c r="O27" s="15">
        <f t="shared" si="0"/>
        <v>3</v>
      </c>
      <c r="P27" s="15">
        <f t="shared" si="1"/>
        <v>5</v>
      </c>
      <c r="R27" s="29" t="s">
        <v>87</v>
      </c>
      <c r="S27" s="16">
        <f t="shared" ref="S27:AF27" si="19">SUM(S19:S21)</f>
        <v>13</v>
      </c>
      <c r="T27" s="16">
        <f t="shared" si="19"/>
        <v>1</v>
      </c>
      <c r="U27" s="16">
        <f t="shared" si="19"/>
        <v>12</v>
      </c>
      <c r="V27" s="16">
        <f t="shared" si="19"/>
        <v>0</v>
      </c>
      <c r="W27" s="16">
        <f t="shared" si="19"/>
        <v>0</v>
      </c>
      <c r="X27" s="16">
        <f t="shared" si="19"/>
        <v>4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22</v>
      </c>
      <c r="AC27" s="16">
        <f t="shared" si="19"/>
        <v>31</v>
      </c>
      <c r="AD27" s="16">
        <f t="shared" si="19"/>
        <v>0</v>
      </c>
      <c r="AE27" s="32">
        <f t="shared" si="19"/>
        <v>52</v>
      </c>
      <c r="AF27" s="32">
        <f t="shared" si="19"/>
        <v>83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0</v>
      </c>
      <c r="N28" s="50">
        <v>0</v>
      </c>
      <c r="O28" s="15">
        <f t="shared" si="0"/>
        <v>6</v>
      </c>
      <c r="P28" s="15">
        <f t="shared" si="1"/>
        <v>6</v>
      </c>
      <c r="R28" s="5" t="s">
        <v>17</v>
      </c>
      <c r="S28" s="16">
        <f t="shared" ref="S28:AF28" si="20">SUM(S10:S21)</f>
        <v>24</v>
      </c>
      <c r="T28" s="16">
        <f t="shared" si="20"/>
        <v>2</v>
      </c>
      <c r="U28" s="16">
        <f t="shared" si="20"/>
        <v>47</v>
      </c>
      <c r="V28" s="16">
        <f t="shared" si="20"/>
        <v>0</v>
      </c>
      <c r="W28" s="16">
        <f t="shared" si="20"/>
        <v>0</v>
      </c>
      <c r="X28" s="16">
        <f t="shared" si="20"/>
        <v>9</v>
      </c>
      <c r="Y28" s="16">
        <f t="shared" si="20"/>
        <v>11</v>
      </c>
      <c r="Z28" s="16">
        <f t="shared" si="20"/>
        <v>2</v>
      </c>
      <c r="AA28" s="16">
        <f t="shared" si="20"/>
        <v>0</v>
      </c>
      <c r="AB28" s="16">
        <f t="shared" si="20"/>
        <v>94</v>
      </c>
      <c r="AC28" s="16">
        <f t="shared" si="20"/>
        <v>82</v>
      </c>
      <c r="AD28" s="16">
        <f t="shared" si="20"/>
        <v>0</v>
      </c>
      <c r="AE28" s="32">
        <f t="shared" si="20"/>
        <v>189</v>
      </c>
      <c r="AF28" s="32">
        <f t="shared" si="20"/>
        <v>271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3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3</v>
      </c>
      <c r="M30" s="50">
        <v>0</v>
      </c>
      <c r="N30" s="50">
        <v>0</v>
      </c>
      <c r="O30" s="15">
        <f t="shared" si="0"/>
        <v>4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1</v>
      </c>
      <c r="P31" s="15">
        <f t="shared" si="1"/>
        <v>1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0</v>
      </c>
      <c r="P32" s="15">
        <f t="shared" si="1"/>
        <v>1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2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2</v>
      </c>
      <c r="N34" s="50">
        <v>0</v>
      </c>
      <c r="O34" s="15">
        <f t="shared" si="0"/>
        <v>5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2</v>
      </c>
      <c r="N35" s="50">
        <v>0</v>
      </c>
      <c r="O35" s="15">
        <f t="shared" si="0"/>
        <v>6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3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1</v>
      </c>
      <c r="N36" s="50">
        <v>0</v>
      </c>
      <c r="O36" s="15">
        <f t="shared" si="0"/>
        <v>6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1</v>
      </c>
      <c r="N37" s="50">
        <v>0</v>
      </c>
      <c r="O37" s="15">
        <f t="shared" si="0"/>
        <v>3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2</v>
      </c>
      <c r="N38" s="50">
        <v>0</v>
      </c>
      <c r="O38" s="15">
        <f t="shared" si="0"/>
        <v>3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</v>
      </c>
      <c r="N39" s="50">
        <v>0</v>
      </c>
      <c r="O39" s="15">
        <f t="shared" si="0"/>
        <v>4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5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2</v>
      </c>
      <c r="M41" s="50">
        <v>2</v>
      </c>
      <c r="N41" s="50">
        <v>0</v>
      </c>
      <c r="O41" s="15">
        <f t="shared" si="0"/>
        <v>5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3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2</v>
      </c>
      <c r="I43" s="50">
        <v>0</v>
      </c>
      <c r="J43" s="50">
        <v>0</v>
      </c>
      <c r="K43" s="50">
        <v>0</v>
      </c>
      <c r="L43" s="50">
        <v>2</v>
      </c>
      <c r="M43" s="50">
        <v>1</v>
      </c>
      <c r="N43" s="50">
        <v>0</v>
      </c>
      <c r="O43" s="15">
        <f t="shared" si="0"/>
        <v>7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6</v>
      </c>
      <c r="N44" s="50">
        <v>0</v>
      </c>
      <c r="O44" s="15">
        <f t="shared" si="0"/>
        <v>2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2</v>
      </c>
      <c r="M45" s="50">
        <v>0</v>
      </c>
      <c r="N45" s="50">
        <v>0</v>
      </c>
      <c r="O45" s="15">
        <f t="shared" si="0"/>
        <v>7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3</v>
      </c>
      <c r="F46" s="50">
        <v>0</v>
      </c>
      <c r="G46" s="50">
        <v>0</v>
      </c>
      <c r="H46" s="50">
        <v>4</v>
      </c>
      <c r="I46" s="50">
        <v>0</v>
      </c>
      <c r="J46" s="50">
        <v>0</v>
      </c>
      <c r="K46" s="50">
        <v>0</v>
      </c>
      <c r="L46" s="50">
        <v>2</v>
      </c>
      <c r="M46" s="50">
        <v>3</v>
      </c>
      <c r="N46" s="50">
        <v>0</v>
      </c>
      <c r="O46" s="15">
        <f t="shared" si="0"/>
        <v>9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3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4</v>
      </c>
      <c r="M47" s="50">
        <v>2</v>
      </c>
      <c r="N47" s="50">
        <v>0</v>
      </c>
      <c r="O47" s="15">
        <f t="shared" si="0"/>
        <v>8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3</v>
      </c>
      <c r="N48" s="50">
        <v>0</v>
      </c>
      <c r="O48" s="15">
        <f t="shared" si="0"/>
        <v>2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2</v>
      </c>
      <c r="N49" s="50">
        <v>0</v>
      </c>
      <c r="O49" s="15">
        <f t="shared" si="0"/>
        <v>5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3</v>
      </c>
      <c r="M50" s="50">
        <v>4</v>
      </c>
      <c r="N50" s="50">
        <v>0</v>
      </c>
      <c r="O50" s="15">
        <f t="shared" si="0"/>
        <v>6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3</v>
      </c>
      <c r="N51" s="50">
        <v>0</v>
      </c>
      <c r="O51" s="15">
        <f t="shared" si="0"/>
        <v>6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2</v>
      </c>
      <c r="N52" s="50">
        <v>0</v>
      </c>
      <c r="O52" s="15">
        <f t="shared" si="0"/>
        <v>1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2</v>
      </c>
      <c r="N53" s="50">
        <v>0</v>
      </c>
      <c r="O53" s="15">
        <f t="shared" si="0"/>
        <v>3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2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3</v>
      </c>
      <c r="N55" s="50">
        <v>0</v>
      </c>
      <c r="O55" s="15">
        <f t="shared" si="0"/>
        <v>2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3</v>
      </c>
      <c r="N57" s="50">
        <v>0</v>
      </c>
      <c r="O57" s="15">
        <f t="shared" si="0"/>
        <v>5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</v>
      </c>
      <c r="D58" s="16">
        <f t="shared" si="21"/>
        <v>2</v>
      </c>
      <c r="E58" s="16">
        <f t="shared" si="21"/>
        <v>47</v>
      </c>
      <c r="F58" s="16">
        <f t="shared" si="21"/>
        <v>0</v>
      </c>
      <c r="G58" s="16">
        <f t="shared" si="21"/>
        <v>0</v>
      </c>
      <c r="H58" s="16">
        <f t="shared" si="21"/>
        <v>9</v>
      </c>
      <c r="I58" s="16">
        <f t="shared" si="21"/>
        <v>11</v>
      </c>
      <c r="J58" s="16">
        <f t="shared" si="21"/>
        <v>2</v>
      </c>
      <c r="K58" s="16">
        <f t="shared" si="21"/>
        <v>0</v>
      </c>
      <c r="L58" s="16">
        <f t="shared" si="21"/>
        <v>94</v>
      </c>
      <c r="M58" s="16">
        <f t="shared" si="21"/>
        <v>82</v>
      </c>
      <c r="N58" s="16">
        <f t="shared" si="21"/>
        <v>0</v>
      </c>
      <c r="O58" s="16">
        <f t="shared" si="21"/>
        <v>189</v>
      </c>
      <c r="P58" s="16">
        <f t="shared" si="21"/>
        <v>271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8.8560885608856083E-2</v>
      </c>
      <c r="D59" s="43">
        <f t="shared" si="22"/>
        <v>7.3800738007380072E-3</v>
      </c>
      <c r="E59" s="43">
        <f t="shared" si="22"/>
        <v>0.17343173431734318</v>
      </c>
      <c r="F59" s="43">
        <f t="shared" si="22"/>
        <v>0</v>
      </c>
      <c r="G59" s="43">
        <f t="shared" si="22"/>
        <v>0</v>
      </c>
      <c r="H59" s="43">
        <f t="shared" si="22"/>
        <v>3.3210332103321034E-2</v>
      </c>
      <c r="I59" s="43">
        <f t="shared" si="22"/>
        <v>4.0590405904059039E-2</v>
      </c>
      <c r="J59" s="43">
        <f t="shared" si="22"/>
        <v>7.3800738007380072E-3</v>
      </c>
      <c r="K59" s="43">
        <f t="shared" si="22"/>
        <v>0</v>
      </c>
      <c r="L59" s="43">
        <f t="shared" si="22"/>
        <v>0.34686346863468637</v>
      </c>
      <c r="M59" s="43">
        <f t="shared" si="22"/>
        <v>0.30258302583025831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0.12698412698412698</v>
      </c>
      <c r="D60" s="44">
        <f t="shared" ref="D60:N60" si="23">D58/$O$58</f>
        <v>1.0582010582010581E-2</v>
      </c>
      <c r="E60" s="44">
        <f t="shared" si="23"/>
        <v>0.24867724867724866</v>
      </c>
      <c r="F60" s="44">
        <f t="shared" si="23"/>
        <v>0</v>
      </c>
      <c r="G60" s="44">
        <f t="shared" si="23"/>
        <v>0</v>
      </c>
      <c r="H60" s="44">
        <f t="shared" si="23"/>
        <v>4.7619047619047616E-2</v>
      </c>
      <c r="I60" s="44">
        <f t="shared" si="23"/>
        <v>5.8201058201058198E-2</v>
      </c>
      <c r="J60" s="44">
        <f t="shared" si="23"/>
        <v>1.0582010582010581E-2</v>
      </c>
      <c r="K60" s="44">
        <f t="shared" si="23"/>
        <v>0</v>
      </c>
      <c r="L60" s="44">
        <f t="shared" si="23"/>
        <v>0.49735449735449733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6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'02.07 GULU-NIMULE'!G5:H5</f>
        <v>ELEGU</v>
      </c>
      <c r="H5" s="67"/>
      <c r="I5" s="14"/>
      <c r="J5" s="2" t="s">
        <v>5</v>
      </c>
      <c r="K5" s="66" t="str">
        <f>'02.07 GULU-NIMULE'!K5:L5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'02.07 GULU-NIMULE'!K6:L6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2</v>
      </c>
      <c r="M10" s="50">
        <v>2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1</v>
      </c>
      <c r="AB10" s="17">
        <f t="shared" si="2"/>
        <v>6</v>
      </c>
      <c r="AC10" s="17">
        <f t="shared" si="2"/>
        <v>9</v>
      </c>
      <c r="AD10" s="17">
        <f t="shared" si="2"/>
        <v>0</v>
      </c>
      <c r="AE10" s="31">
        <f t="shared" si="2"/>
        <v>10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3</v>
      </c>
      <c r="N12" s="50">
        <v>0</v>
      </c>
      <c r="O12" s="15">
        <f t="shared" si="0"/>
        <v>1</v>
      </c>
      <c r="P12" s="15">
        <f t="shared" si="1"/>
        <v>4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9</v>
      </c>
      <c r="AC12" s="17">
        <f t="shared" si="4"/>
        <v>3</v>
      </c>
      <c r="AD12" s="17">
        <f t="shared" si="4"/>
        <v>0</v>
      </c>
      <c r="AE12" s="31">
        <f t="shared" si="4"/>
        <v>16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2</v>
      </c>
      <c r="N13" s="50">
        <v>0</v>
      </c>
      <c r="O13" s="15">
        <f t="shared" si="0"/>
        <v>3</v>
      </c>
      <c r="P13" s="15">
        <f t="shared" si="1"/>
        <v>5</v>
      </c>
      <c r="R13" s="1" t="s">
        <v>9</v>
      </c>
      <c r="S13" s="17">
        <f t="shared" ref="S13:AF13" si="5">SUM(C22:C25)</f>
        <v>4</v>
      </c>
      <c r="T13" s="17">
        <f t="shared" si="5"/>
        <v>1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9</v>
      </c>
      <c r="AC13" s="17">
        <f t="shared" si="5"/>
        <v>6</v>
      </c>
      <c r="AD13" s="17">
        <f t="shared" si="5"/>
        <v>0</v>
      </c>
      <c r="AE13" s="31">
        <f t="shared" si="5"/>
        <v>19</v>
      </c>
      <c r="AF13" s="31">
        <f t="shared" si="5"/>
        <v>25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9</v>
      </c>
      <c r="AD14" s="17">
        <f t="shared" si="6"/>
        <v>0</v>
      </c>
      <c r="AE14" s="31">
        <f t="shared" si="6"/>
        <v>8</v>
      </c>
      <c r="AF14" s="31">
        <f t="shared" si="6"/>
        <v>17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3</v>
      </c>
      <c r="P15" s="15">
        <f t="shared" si="1"/>
        <v>4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8</v>
      </c>
      <c r="AD15" s="17">
        <f t="shared" si="7"/>
        <v>0</v>
      </c>
      <c r="AE15" s="31">
        <f t="shared" si="7"/>
        <v>15</v>
      </c>
      <c r="AF15" s="31">
        <f t="shared" si="7"/>
        <v>23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8</v>
      </c>
      <c r="AD16" s="17">
        <f t="shared" si="8"/>
        <v>0</v>
      </c>
      <c r="AE16" s="31">
        <f t="shared" si="8"/>
        <v>10</v>
      </c>
      <c r="AF16" s="31">
        <f t="shared" si="8"/>
        <v>18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15</v>
      </c>
      <c r="AC17" s="17">
        <f t="shared" si="9"/>
        <v>2</v>
      </c>
      <c r="AD17" s="17">
        <f t="shared" si="9"/>
        <v>0</v>
      </c>
      <c r="AE17" s="31">
        <f t="shared" si="9"/>
        <v>21</v>
      </c>
      <c r="AF17" s="31">
        <f t="shared" si="9"/>
        <v>23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2</v>
      </c>
      <c r="T18" s="17">
        <f t="shared" si="10"/>
        <v>2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5</v>
      </c>
      <c r="AD18" s="17">
        <f t="shared" si="10"/>
        <v>0</v>
      </c>
      <c r="AE18" s="31">
        <f t="shared" si="10"/>
        <v>10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5</v>
      </c>
      <c r="M19" s="50">
        <v>0</v>
      </c>
      <c r="N19" s="50">
        <v>0</v>
      </c>
      <c r="O19" s="15">
        <f t="shared" si="0"/>
        <v>9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6</v>
      </c>
      <c r="AC19" s="17">
        <f t="shared" si="11"/>
        <v>12</v>
      </c>
      <c r="AD19" s="17">
        <f t="shared" si="11"/>
        <v>0</v>
      </c>
      <c r="AE19" s="31">
        <f t="shared" si="11"/>
        <v>12</v>
      </c>
      <c r="AF19" s="31">
        <f t="shared" si="11"/>
        <v>24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4</v>
      </c>
      <c r="M20" s="50">
        <v>1</v>
      </c>
      <c r="N20" s="50">
        <v>0</v>
      </c>
      <c r="O20" s="15">
        <f t="shared" si="0"/>
        <v>4</v>
      </c>
      <c r="P20" s="15">
        <f t="shared" si="1"/>
        <v>5</v>
      </c>
      <c r="R20" s="1" t="s">
        <v>16</v>
      </c>
      <c r="S20" s="17">
        <f t="shared" ref="S20:AF20" si="12">SUM(C50:C53)</f>
        <v>4</v>
      </c>
      <c r="T20" s="17">
        <f t="shared" si="12"/>
        <v>1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8</v>
      </c>
      <c r="AD20" s="17">
        <f t="shared" si="12"/>
        <v>0</v>
      </c>
      <c r="AE20" s="31">
        <f t="shared" si="12"/>
        <v>12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7</v>
      </c>
      <c r="AD21" s="17">
        <f t="shared" si="13"/>
        <v>0</v>
      </c>
      <c r="AE21" s="31">
        <f t="shared" si="13"/>
        <v>12</v>
      </c>
      <c r="AF21" s="31">
        <f t="shared" si="13"/>
        <v>19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2</v>
      </c>
      <c r="M22" s="50">
        <v>3</v>
      </c>
      <c r="N22" s="50">
        <v>0</v>
      </c>
      <c r="O22" s="15">
        <f t="shared" si="0"/>
        <v>9</v>
      </c>
      <c r="P22" s="15">
        <f t="shared" si="1"/>
        <v>12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1</v>
      </c>
      <c r="AB22" s="39">
        <f t="shared" si="14"/>
        <v>9</v>
      </c>
      <c r="AC22" s="39">
        <f t="shared" si="14"/>
        <v>9</v>
      </c>
      <c r="AD22" s="39">
        <f t="shared" si="14"/>
        <v>0</v>
      </c>
      <c r="AE22" s="40">
        <f t="shared" si="14"/>
        <v>16</v>
      </c>
      <c r="AF22" s="40">
        <f t="shared" si="14"/>
        <v>19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2</v>
      </c>
      <c r="M23" s="50">
        <v>1</v>
      </c>
      <c r="N23" s="50">
        <v>0</v>
      </c>
      <c r="O23" s="15">
        <f t="shared" si="0"/>
        <v>5</v>
      </c>
      <c r="P23" s="15">
        <f t="shared" si="1"/>
        <v>6</v>
      </c>
      <c r="R23" s="38" t="s">
        <v>91</v>
      </c>
      <c r="S23" s="39">
        <f>MAX(S13:S18)</f>
        <v>4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0</v>
      </c>
      <c r="AA23" s="39">
        <f t="shared" si="15"/>
        <v>0</v>
      </c>
      <c r="AB23" s="39">
        <f t="shared" si="15"/>
        <v>15</v>
      </c>
      <c r="AC23" s="39">
        <f t="shared" si="15"/>
        <v>9</v>
      </c>
      <c r="AD23" s="39">
        <f t="shared" si="15"/>
        <v>0</v>
      </c>
      <c r="AE23" s="40">
        <f t="shared" si="15"/>
        <v>21</v>
      </c>
      <c r="AF23" s="40">
        <f t="shared" si="15"/>
        <v>25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4</v>
      </c>
      <c r="M24" s="50">
        <v>2</v>
      </c>
      <c r="N24" s="50">
        <v>0</v>
      </c>
      <c r="O24" s="15">
        <f t="shared" si="0"/>
        <v>4</v>
      </c>
      <c r="P24" s="15">
        <f t="shared" si="1"/>
        <v>6</v>
      </c>
      <c r="R24" s="38" t="s">
        <v>92</v>
      </c>
      <c r="S24" s="39">
        <f>MAX(S19:S21)</f>
        <v>4</v>
      </c>
      <c r="T24" s="39">
        <f t="shared" ref="T24:AF24" si="16">MAX(T19:T21)</f>
        <v>1</v>
      </c>
      <c r="U24" s="39">
        <f t="shared" si="16"/>
        <v>4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0</v>
      </c>
      <c r="AA24" s="39">
        <f t="shared" si="16"/>
        <v>0</v>
      </c>
      <c r="AB24" s="39">
        <f t="shared" si="16"/>
        <v>6</v>
      </c>
      <c r="AC24" s="39">
        <f t="shared" si="16"/>
        <v>12</v>
      </c>
      <c r="AD24" s="39">
        <f t="shared" si="16"/>
        <v>0</v>
      </c>
      <c r="AE24" s="40">
        <f t="shared" si="16"/>
        <v>12</v>
      </c>
      <c r="AF24" s="40">
        <f t="shared" si="16"/>
        <v>24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7" t="s">
        <v>85</v>
      </c>
      <c r="S25" s="35">
        <f t="shared" ref="S25:AF25" si="17">SUM(S10:S12)</f>
        <v>4</v>
      </c>
      <c r="T25" s="16">
        <f t="shared" si="17"/>
        <v>1</v>
      </c>
      <c r="U25" s="16">
        <f t="shared" si="17"/>
        <v>4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1</v>
      </c>
      <c r="AA25" s="16">
        <f t="shared" si="17"/>
        <v>1</v>
      </c>
      <c r="AB25" s="16">
        <f t="shared" si="17"/>
        <v>17</v>
      </c>
      <c r="AC25" s="16">
        <f t="shared" si="17"/>
        <v>15</v>
      </c>
      <c r="AD25" s="16">
        <f t="shared" si="17"/>
        <v>0</v>
      </c>
      <c r="AE25" s="32">
        <f t="shared" si="17"/>
        <v>35</v>
      </c>
      <c r="AF25" s="32">
        <f t="shared" si="17"/>
        <v>50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1</v>
      </c>
      <c r="P26" s="15">
        <f t="shared" si="1"/>
        <v>1</v>
      </c>
      <c r="R26" s="28" t="s">
        <v>86</v>
      </c>
      <c r="S26" s="16">
        <f t="shared" ref="S26:AF26" si="18">SUM(S13:S18)</f>
        <v>12</v>
      </c>
      <c r="T26" s="16">
        <f t="shared" si="18"/>
        <v>7</v>
      </c>
      <c r="U26" s="16">
        <f t="shared" si="18"/>
        <v>17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0</v>
      </c>
      <c r="AA26" s="16">
        <f t="shared" si="18"/>
        <v>0</v>
      </c>
      <c r="AB26" s="16">
        <f t="shared" si="18"/>
        <v>38</v>
      </c>
      <c r="AC26" s="16">
        <f t="shared" si="18"/>
        <v>38</v>
      </c>
      <c r="AD26" s="16">
        <f t="shared" si="18"/>
        <v>0</v>
      </c>
      <c r="AE26" s="32">
        <f t="shared" si="18"/>
        <v>83</v>
      </c>
      <c r="AF26" s="32">
        <f t="shared" si="18"/>
        <v>121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5</v>
      </c>
      <c r="N27" s="50">
        <v>0</v>
      </c>
      <c r="O27" s="15">
        <f t="shared" si="0"/>
        <v>1</v>
      </c>
      <c r="P27" s="15">
        <f t="shared" si="1"/>
        <v>6</v>
      </c>
      <c r="R27" s="29" t="s">
        <v>87</v>
      </c>
      <c r="S27" s="16">
        <f t="shared" ref="S27:AF27" si="19">SUM(S19:S21)</f>
        <v>8</v>
      </c>
      <c r="T27" s="16">
        <f t="shared" si="19"/>
        <v>3</v>
      </c>
      <c r="U27" s="16">
        <f t="shared" si="19"/>
        <v>8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0</v>
      </c>
      <c r="AA27" s="16">
        <f t="shared" si="19"/>
        <v>0</v>
      </c>
      <c r="AB27" s="16">
        <f t="shared" si="19"/>
        <v>13</v>
      </c>
      <c r="AC27" s="16">
        <f t="shared" si="19"/>
        <v>27</v>
      </c>
      <c r="AD27" s="16">
        <f t="shared" si="19"/>
        <v>0</v>
      </c>
      <c r="AE27" s="32">
        <f t="shared" si="19"/>
        <v>36</v>
      </c>
      <c r="AF27" s="32">
        <f t="shared" si="19"/>
        <v>63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5" t="s">
        <v>17</v>
      </c>
      <c r="S28" s="16">
        <f t="shared" ref="S28:AF28" si="20">SUM(S10:S21)</f>
        <v>24</v>
      </c>
      <c r="T28" s="16">
        <f t="shared" si="20"/>
        <v>11</v>
      </c>
      <c r="U28" s="16">
        <f t="shared" si="20"/>
        <v>29</v>
      </c>
      <c r="V28" s="16">
        <f t="shared" si="20"/>
        <v>0</v>
      </c>
      <c r="W28" s="16">
        <f t="shared" si="20"/>
        <v>0</v>
      </c>
      <c r="X28" s="16">
        <f t="shared" si="20"/>
        <v>0</v>
      </c>
      <c r="Y28" s="16">
        <f t="shared" si="20"/>
        <v>20</v>
      </c>
      <c r="Z28" s="16">
        <f t="shared" si="20"/>
        <v>1</v>
      </c>
      <c r="AA28" s="16">
        <f t="shared" si="20"/>
        <v>1</v>
      </c>
      <c r="AB28" s="16">
        <f t="shared" si="20"/>
        <v>68</v>
      </c>
      <c r="AC28" s="16">
        <f t="shared" si="20"/>
        <v>80</v>
      </c>
      <c r="AD28" s="16">
        <f t="shared" si="20"/>
        <v>0</v>
      </c>
      <c r="AE28" s="32">
        <f t="shared" si="20"/>
        <v>154</v>
      </c>
      <c r="AF28" s="32">
        <f t="shared" si="20"/>
        <v>234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2</v>
      </c>
      <c r="M29" s="50">
        <v>4</v>
      </c>
      <c r="N29" s="50">
        <v>0</v>
      </c>
      <c r="O29" s="15">
        <f t="shared" si="0"/>
        <v>4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4</v>
      </c>
      <c r="N30" s="50">
        <v>0</v>
      </c>
      <c r="O30" s="15">
        <f t="shared" si="0"/>
        <v>4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5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2</v>
      </c>
      <c r="N33" s="50">
        <v>0</v>
      </c>
      <c r="O33" s="15">
        <f t="shared" si="0"/>
        <v>6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0</v>
      </c>
      <c r="P34" s="15">
        <f t="shared" si="1"/>
        <v>2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3</v>
      </c>
      <c r="N35" s="50">
        <v>0</v>
      </c>
      <c r="O35" s="15">
        <f t="shared" si="0"/>
        <v>5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0</v>
      </c>
      <c r="N36" s="50">
        <v>0</v>
      </c>
      <c r="O36" s="15">
        <f t="shared" si="0"/>
        <v>4</v>
      </c>
      <c r="P36" s="15">
        <f t="shared" si="1"/>
        <v>4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2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12</v>
      </c>
      <c r="M39" s="50">
        <v>0</v>
      </c>
      <c r="N39" s="50">
        <v>0</v>
      </c>
      <c r="O39" s="15">
        <f t="shared" si="0"/>
        <v>15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2</v>
      </c>
      <c r="N40" s="50">
        <v>0</v>
      </c>
      <c r="O40" s="15">
        <f t="shared" si="0"/>
        <v>1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</row>
    <row r="42" spans="2:20" ht="23.1" customHeight="1" x14ac:dyDescent="0.25">
      <c r="B42" s="24" t="s">
        <v>69</v>
      </c>
      <c r="C42" s="50">
        <v>0</v>
      </c>
      <c r="D42" s="50">
        <v>2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4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4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1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1</v>
      </c>
      <c r="N48" s="50">
        <v>0</v>
      </c>
      <c r="O48" s="15">
        <f t="shared" si="0"/>
        <v>5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2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4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1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</v>
      </c>
      <c r="N52" s="50">
        <v>0</v>
      </c>
      <c r="O52" s="15">
        <f t="shared" si="0"/>
        <v>3</v>
      </c>
      <c r="P52" s="15">
        <f t="shared" si="1"/>
        <v>4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4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2</v>
      </c>
      <c r="M54" s="50">
        <v>4</v>
      </c>
      <c r="N54" s="50">
        <v>0</v>
      </c>
      <c r="O54" s="15">
        <f t="shared" si="0"/>
        <v>5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4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2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</v>
      </c>
      <c r="D58" s="16">
        <f t="shared" si="21"/>
        <v>11</v>
      </c>
      <c r="E58" s="16">
        <f t="shared" si="21"/>
        <v>29</v>
      </c>
      <c r="F58" s="16">
        <f t="shared" si="21"/>
        <v>0</v>
      </c>
      <c r="G58" s="16">
        <f t="shared" si="21"/>
        <v>0</v>
      </c>
      <c r="H58" s="16">
        <f t="shared" si="21"/>
        <v>0</v>
      </c>
      <c r="I58" s="16">
        <f t="shared" si="21"/>
        <v>20</v>
      </c>
      <c r="J58" s="16">
        <f t="shared" si="21"/>
        <v>1</v>
      </c>
      <c r="K58" s="16">
        <f t="shared" si="21"/>
        <v>1</v>
      </c>
      <c r="L58" s="16">
        <f t="shared" si="21"/>
        <v>68</v>
      </c>
      <c r="M58" s="16">
        <f t="shared" si="21"/>
        <v>80</v>
      </c>
      <c r="N58" s="16">
        <f t="shared" si="21"/>
        <v>0</v>
      </c>
      <c r="O58" s="16">
        <f t="shared" si="21"/>
        <v>154</v>
      </c>
      <c r="P58" s="16">
        <f t="shared" si="21"/>
        <v>234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0.10256410256410256</v>
      </c>
      <c r="D59" s="43">
        <f t="shared" si="22"/>
        <v>4.7008547008547008E-2</v>
      </c>
      <c r="E59" s="43">
        <f t="shared" si="22"/>
        <v>0.12393162393162394</v>
      </c>
      <c r="F59" s="43">
        <f t="shared" si="22"/>
        <v>0</v>
      </c>
      <c r="G59" s="43">
        <f t="shared" si="22"/>
        <v>0</v>
      </c>
      <c r="H59" s="43">
        <f t="shared" si="22"/>
        <v>0</v>
      </c>
      <c r="I59" s="43">
        <f t="shared" si="22"/>
        <v>8.5470085470085472E-2</v>
      </c>
      <c r="J59" s="43">
        <f t="shared" si="22"/>
        <v>4.2735042735042739E-3</v>
      </c>
      <c r="K59" s="43">
        <f t="shared" si="22"/>
        <v>4.2735042735042739E-3</v>
      </c>
      <c r="L59" s="43">
        <f t="shared" si="22"/>
        <v>0.29059829059829062</v>
      </c>
      <c r="M59" s="43">
        <f t="shared" si="22"/>
        <v>0.34188034188034189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0.15584415584415584</v>
      </c>
      <c r="D60" s="44">
        <f t="shared" ref="D60:N60" si="23">D58/$O$58</f>
        <v>7.1428571428571425E-2</v>
      </c>
      <c r="E60" s="44">
        <f t="shared" si="23"/>
        <v>0.18831168831168832</v>
      </c>
      <c r="F60" s="44">
        <f t="shared" si="23"/>
        <v>0</v>
      </c>
      <c r="G60" s="44">
        <f t="shared" si="23"/>
        <v>0</v>
      </c>
      <c r="H60" s="44">
        <f t="shared" si="23"/>
        <v>0</v>
      </c>
      <c r="I60" s="44">
        <f t="shared" si="23"/>
        <v>0.12987012987012986</v>
      </c>
      <c r="J60" s="44">
        <f t="shared" si="23"/>
        <v>6.4935064935064939E-3</v>
      </c>
      <c r="K60" s="44">
        <f t="shared" si="23"/>
        <v>6.4935064935064939E-3</v>
      </c>
      <c r="L60" s="44">
        <f t="shared" si="23"/>
        <v>0.44155844155844154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A43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'03.07 NIMULE-GULU'!D5</f>
        <v>03.07.19</v>
      </c>
      <c r="E5" s="3"/>
      <c r="F5" s="41" t="s">
        <v>1</v>
      </c>
      <c r="G5" s="66" t="str">
        <f>'03.07 NIMULE-GULU'!G5:H5</f>
        <v>ELEGU</v>
      </c>
      <c r="H5" s="67"/>
      <c r="I5" s="14"/>
      <c r="J5" s="2" t="s">
        <v>5</v>
      </c>
      <c r="K5" s="66" t="str">
        <f>'03.07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'31.07 GULU-NIMULE'!G6:H6</f>
        <v>NIMULE</v>
      </c>
      <c r="H6" s="67"/>
      <c r="J6" s="2" t="s">
        <v>21</v>
      </c>
      <c r="K6" s="66" t="str">
        <f>'03.07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2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2</v>
      </c>
      <c r="AD10" s="17">
        <f t="shared" si="2"/>
        <v>0</v>
      </c>
      <c r="AE10" s="31">
        <f t="shared" si="2"/>
        <v>11</v>
      </c>
      <c r="AF10" s="31">
        <f t="shared" si="2"/>
        <v>13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1</v>
      </c>
      <c r="I11" s="50">
        <v>2</v>
      </c>
      <c r="J11" s="50">
        <v>2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6</v>
      </c>
      <c r="P11" s="15">
        <f t="shared" si="1"/>
        <v>7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8</v>
      </c>
      <c r="AC11" s="17">
        <f t="shared" si="3"/>
        <v>1</v>
      </c>
      <c r="AD11" s="17">
        <f t="shared" si="3"/>
        <v>0</v>
      </c>
      <c r="AE11" s="31">
        <f t="shared" si="3"/>
        <v>17</v>
      </c>
      <c r="AF11" s="31">
        <f t="shared" si="3"/>
        <v>18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1</v>
      </c>
      <c r="M12" s="50">
        <v>1</v>
      </c>
      <c r="N12" s="50">
        <v>0</v>
      </c>
      <c r="O12" s="15">
        <f t="shared" si="0"/>
        <v>3</v>
      </c>
      <c r="P12" s="15">
        <f t="shared" si="1"/>
        <v>4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14</v>
      </c>
      <c r="AC12" s="17">
        <f t="shared" si="4"/>
        <v>6</v>
      </c>
      <c r="AD12" s="17">
        <f t="shared" si="4"/>
        <v>0</v>
      </c>
      <c r="AE12" s="31">
        <f t="shared" si="4"/>
        <v>18</v>
      </c>
      <c r="AF12" s="31">
        <f t="shared" si="4"/>
        <v>24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10</v>
      </c>
      <c r="V13" s="17">
        <f t="shared" si="5"/>
        <v>1</v>
      </c>
      <c r="W13" s="17">
        <f t="shared" si="5"/>
        <v>1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16</v>
      </c>
      <c r="AC13" s="17">
        <f t="shared" si="5"/>
        <v>7</v>
      </c>
      <c r="AD13" s="17">
        <f t="shared" si="5"/>
        <v>0</v>
      </c>
      <c r="AE13" s="31">
        <f t="shared" si="5"/>
        <v>37</v>
      </c>
      <c r="AF13" s="31">
        <f t="shared" si="5"/>
        <v>44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2</v>
      </c>
      <c r="M14" s="50">
        <v>0</v>
      </c>
      <c r="N14" s="50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11</v>
      </c>
      <c r="AC14" s="17">
        <f t="shared" si="6"/>
        <v>5</v>
      </c>
      <c r="AD14" s="17">
        <f t="shared" si="6"/>
        <v>0</v>
      </c>
      <c r="AE14" s="31">
        <f t="shared" si="6"/>
        <v>18</v>
      </c>
      <c r="AF14" s="31">
        <f t="shared" si="6"/>
        <v>23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11</v>
      </c>
      <c r="AC15" s="17">
        <f t="shared" si="7"/>
        <v>3</v>
      </c>
      <c r="AD15" s="17">
        <f t="shared" si="7"/>
        <v>0</v>
      </c>
      <c r="AE15" s="31">
        <f t="shared" si="7"/>
        <v>17</v>
      </c>
      <c r="AF15" s="31">
        <f t="shared" si="7"/>
        <v>20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3</v>
      </c>
      <c r="M16" s="50">
        <v>1</v>
      </c>
      <c r="N16" s="50">
        <v>0</v>
      </c>
      <c r="O16" s="15">
        <f t="shared" si="0"/>
        <v>4</v>
      </c>
      <c r="P16" s="15">
        <f t="shared" si="1"/>
        <v>5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8</v>
      </c>
      <c r="AC16" s="17">
        <f t="shared" si="8"/>
        <v>3</v>
      </c>
      <c r="AD16" s="17">
        <f t="shared" si="8"/>
        <v>0</v>
      </c>
      <c r="AE16" s="31">
        <f t="shared" si="8"/>
        <v>19</v>
      </c>
      <c r="AF16" s="31">
        <f t="shared" si="8"/>
        <v>22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3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6</v>
      </c>
      <c r="AD17" s="17">
        <f t="shared" si="9"/>
        <v>0</v>
      </c>
      <c r="AE17" s="31">
        <f t="shared" si="9"/>
        <v>5</v>
      </c>
      <c r="AF17" s="31">
        <f t="shared" si="9"/>
        <v>11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3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4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8</v>
      </c>
      <c r="AC18" s="17">
        <f t="shared" si="10"/>
        <v>0</v>
      </c>
      <c r="AD18" s="17">
        <f t="shared" si="10"/>
        <v>0</v>
      </c>
      <c r="AE18" s="31">
        <f t="shared" si="10"/>
        <v>21</v>
      </c>
      <c r="AF18" s="31">
        <f t="shared" si="10"/>
        <v>21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6</v>
      </c>
      <c r="M19" s="50">
        <v>2</v>
      </c>
      <c r="N19" s="50">
        <v>0</v>
      </c>
      <c r="O19" s="15">
        <f t="shared" si="0"/>
        <v>7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7</v>
      </c>
      <c r="AC19" s="17">
        <f t="shared" si="11"/>
        <v>4</v>
      </c>
      <c r="AD19" s="17">
        <f t="shared" si="11"/>
        <v>0</v>
      </c>
      <c r="AE19" s="31">
        <f t="shared" si="11"/>
        <v>15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1</v>
      </c>
      <c r="N20" s="50">
        <v>0</v>
      </c>
      <c r="O20" s="15">
        <f t="shared" si="0"/>
        <v>1</v>
      </c>
      <c r="P20" s="15">
        <f t="shared" si="1"/>
        <v>2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10</v>
      </c>
      <c r="AD20" s="17">
        <f t="shared" si="12"/>
        <v>0</v>
      </c>
      <c r="AE20" s="31">
        <f t="shared" si="12"/>
        <v>21</v>
      </c>
      <c r="AF20" s="31">
        <f t="shared" si="12"/>
        <v>31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4</v>
      </c>
      <c r="M21" s="50">
        <v>2</v>
      </c>
      <c r="N21" s="50">
        <v>0</v>
      </c>
      <c r="O21" s="15">
        <f t="shared" si="0"/>
        <v>7</v>
      </c>
      <c r="P21" s="15">
        <f t="shared" si="1"/>
        <v>9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6</v>
      </c>
      <c r="AD21" s="17">
        <f t="shared" si="13"/>
        <v>0</v>
      </c>
      <c r="AE21" s="31">
        <f t="shared" si="13"/>
        <v>14</v>
      </c>
      <c r="AF21" s="31">
        <f t="shared" si="13"/>
        <v>20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5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2</v>
      </c>
      <c r="M22" s="50">
        <v>1</v>
      </c>
      <c r="N22" s="50">
        <v>0</v>
      </c>
      <c r="O22" s="15">
        <f t="shared" si="0"/>
        <v>9</v>
      </c>
      <c r="P22" s="15">
        <f t="shared" si="1"/>
        <v>10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1</v>
      </c>
      <c r="X22" s="39">
        <f t="shared" si="14"/>
        <v>2</v>
      </c>
      <c r="Y22" s="39">
        <f t="shared" si="14"/>
        <v>7</v>
      </c>
      <c r="Z22" s="39">
        <f t="shared" si="14"/>
        <v>2</v>
      </c>
      <c r="AA22" s="39">
        <f t="shared" si="14"/>
        <v>0</v>
      </c>
      <c r="AB22" s="39">
        <f t="shared" si="14"/>
        <v>14</v>
      </c>
      <c r="AC22" s="39">
        <f t="shared" si="14"/>
        <v>6</v>
      </c>
      <c r="AD22" s="39">
        <f t="shared" si="14"/>
        <v>0</v>
      </c>
      <c r="AE22" s="40">
        <f t="shared" si="14"/>
        <v>18</v>
      </c>
      <c r="AF22" s="40">
        <f t="shared" si="14"/>
        <v>24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5</v>
      </c>
      <c r="M23" s="50">
        <v>2</v>
      </c>
      <c r="N23" s="50">
        <v>0</v>
      </c>
      <c r="O23" s="15">
        <f t="shared" si="0"/>
        <v>10</v>
      </c>
      <c r="P23" s="15">
        <f t="shared" si="1"/>
        <v>12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10</v>
      </c>
      <c r="V23" s="39">
        <f t="shared" si="15"/>
        <v>1</v>
      </c>
      <c r="W23" s="39">
        <f t="shared" si="15"/>
        <v>1</v>
      </c>
      <c r="X23" s="39">
        <f t="shared" si="15"/>
        <v>4</v>
      </c>
      <c r="Y23" s="39">
        <f t="shared" si="15"/>
        <v>2</v>
      </c>
      <c r="Z23" s="39">
        <f t="shared" si="15"/>
        <v>1</v>
      </c>
      <c r="AA23" s="39">
        <f t="shared" si="15"/>
        <v>0</v>
      </c>
      <c r="AB23" s="39">
        <f t="shared" si="15"/>
        <v>16</v>
      </c>
      <c r="AC23" s="39">
        <f t="shared" si="15"/>
        <v>7</v>
      </c>
      <c r="AD23" s="39">
        <f t="shared" si="15"/>
        <v>0</v>
      </c>
      <c r="AE23" s="40">
        <f t="shared" si="15"/>
        <v>37</v>
      </c>
      <c r="AF23" s="40">
        <f t="shared" si="15"/>
        <v>44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5</v>
      </c>
      <c r="M24" s="50">
        <v>3</v>
      </c>
      <c r="N24" s="50">
        <v>0</v>
      </c>
      <c r="O24" s="15">
        <f t="shared" si="0"/>
        <v>7</v>
      </c>
      <c r="P24" s="15">
        <f t="shared" si="1"/>
        <v>10</v>
      </c>
      <c r="R24" s="38" t="s">
        <v>92</v>
      </c>
      <c r="S24" s="39">
        <f>MAX(S19:S21)</f>
        <v>4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4</v>
      </c>
      <c r="Z24" s="39">
        <f t="shared" si="16"/>
        <v>0</v>
      </c>
      <c r="AA24" s="39">
        <f t="shared" si="16"/>
        <v>0</v>
      </c>
      <c r="AB24" s="39">
        <f t="shared" si="16"/>
        <v>9</v>
      </c>
      <c r="AC24" s="39">
        <f t="shared" si="16"/>
        <v>10</v>
      </c>
      <c r="AD24" s="39">
        <f t="shared" si="16"/>
        <v>0</v>
      </c>
      <c r="AE24" s="40">
        <f t="shared" si="16"/>
        <v>21</v>
      </c>
      <c r="AF24" s="40">
        <f t="shared" si="16"/>
        <v>31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2</v>
      </c>
      <c r="F25" s="50">
        <v>1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4</v>
      </c>
      <c r="M25" s="50">
        <v>1</v>
      </c>
      <c r="N25" s="50">
        <v>0</v>
      </c>
      <c r="O25" s="15">
        <f t="shared" si="0"/>
        <v>11</v>
      </c>
      <c r="P25" s="15">
        <f t="shared" si="1"/>
        <v>12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1</v>
      </c>
      <c r="X25" s="16">
        <f t="shared" si="17"/>
        <v>3</v>
      </c>
      <c r="Y25" s="16">
        <f t="shared" si="17"/>
        <v>11</v>
      </c>
      <c r="Z25" s="16">
        <f t="shared" si="17"/>
        <v>2</v>
      </c>
      <c r="AA25" s="16">
        <f t="shared" si="17"/>
        <v>0</v>
      </c>
      <c r="AB25" s="16">
        <f t="shared" si="17"/>
        <v>23</v>
      </c>
      <c r="AC25" s="16">
        <f t="shared" si="17"/>
        <v>9</v>
      </c>
      <c r="AD25" s="16">
        <f t="shared" si="17"/>
        <v>0</v>
      </c>
      <c r="AE25" s="32">
        <f t="shared" si="17"/>
        <v>46</v>
      </c>
      <c r="AF25" s="32">
        <f t="shared" si="17"/>
        <v>55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3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28" t="s">
        <v>86</v>
      </c>
      <c r="S26" s="16">
        <f t="shared" ref="S26:AF26" si="18">SUM(S13:S18)</f>
        <v>19</v>
      </c>
      <c r="T26" s="16">
        <f t="shared" si="18"/>
        <v>0</v>
      </c>
      <c r="U26" s="16">
        <f t="shared" si="18"/>
        <v>25</v>
      </c>
      <c r="V26" s="16">
        <f t="shared" si="18"/>
        <v>1</v>
      </c>
      <c r="W26" s="16">
        <f t="shared" si="18"/>
        <v>1</v>
      </c>
      <c r="X26" s="16">
        <f t="shared" si="18"/>
        <v>5</v>
      </c>
      <c r="Y26" s="16">
        <f t="shared" si="18"/>
        <v>7</v>
      </c>
      <c r="Z26" s="16">
        <f t="shared" si="18"/>
        <v>1</v>
      </c>
      <c r="AA26" s="16">
        <f t="shared" si="18"/>
        <v>0</v>
      </c>
      <c r="AB26" s="16">
        <f t="shared" si="18"/>
        <v>58</v>
      </c>
      <c r="AC26" s="16">
        <f t="shared" si="18"/>
        <v>24</v>
      </c>
      <c r="AD26" s="16">
        <f t="shared" si="18"/>
        <v>0</v>
      </c>
      <c r="AE26" s="32">
        <f t="shared" si="18"/>
        <v>117</v>
      </c>
      <c r="AF26" s="32">
        <f t="shared" si="18"/>
        <v>141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0</v>
      </c>
      <c r="N27" s="50">
        <v>0</v>
      </c>
      <c r="O27" s="15">
        <f t="shared" si="0"/>
        <v>2</v>
      </c>
      <c r="P27" s="15">
        <f t="shared" si="1"/>
        <v>2</v>
      </c>
      <c r="R27" s="29" t="s">
        <v>87</v>
      </c>
      <c r="S27" s="16">
        <f t="shared" ref="S27:AF27" si="19">SUM(S19:S21)</f>
        <v>9</v>
      </c>
      <c r="T27" s="16">
        <f t="shared" si="19"/>
        <v>0</v>
      </c>
      <c r="U27" s="16">
        <f t="shared" si="19"/>
        <v>10</v>
      </c>
      <c r="V27" s="16">
        <f t="shared" si="19"/>
        <v>0</v>
      </c>
      <c r="W27" s="16">
        <f t="shared" si="19"/>
        <v>0</v>
      </c>
      <c r="X27" s="16">
        <f t="shared" si="19"/>
        <v>2</v>
      </c>
      <c r="Y27" s="16">
        <f t="shared" si="19"/>
        <v>8</v>
      </c>
      <c r="Z27" s="16">
        <f t="shared" si="19"/>
        <v>0</v>
      </c>
      <c r="AA27" s="16">
        <f t="shared" si="19"/>
        <v>0</v>
      </c>
      <c r="AB27" s="16">
        <f t="shared" si="19"/>
        <v>21</v>
      </c>
      <c r="AC27" s="16">
        <f t="shared" si="19"/>
        <v>20</v>
      </c>
      <c r="AD27" s="16">
        <f t="shared" si="19"/>
        <v>0</v>
      </c>
      <c r="AE27" s="32">
        <f t="shared" si="19"/>
        <v>50</v>
      </c>
      <c r="AF27" s="32">
        <f t="shared" si="19"/>
        <v>70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5</v>
      </c>
      <c r="M28" s="50">
        <v>1</v>
      </c>
      <c r="N28" s="50">
        <v>0</v>
      </c>
      <c r="O28" s="15">
        <f t="shared" si="0"/>
        <v>9</v>
      </c>
      <c r="P28" s="15">
        <f t="shared" si="1"/>
        <v>10</v>
      </c>
      <c r="R28" s="5" t="s">
        <v>17</v>
      </c>
      <c r="S28" s="16">
        <f t="shared" ref="S28:AF28" si="20">SUM(S10:S21)</f>
        <v>34</v>
      </c>
      <c r="T28" s="16">
        <f t="shared" si="20"/>
        <v>0</v>
      </c>
      <c r="U28" s="16">
        <f t="shared" si="20"/>
        <v>35</v>
      </c>
      <c r="V28" s="16">
        <f t="shared" si="20"/>
        <v>1</v>
      </c>
      <c r="W28" s="16">
        <f t="shared" si="20"/>
        <v>2</v>
      </c>
      <c r="X28" s="16">
        <f t="shared" si="20"/>
        <v>10</v>
      </c>
      <c r="Y28" s="16">
        <f t="shared" si="20"/>
        <v>26</v>
      </c>
      <c r="Z28" s="16">
        <f t="shared" si="20"/>
        <v>3</v>
      </c>
      <c r="AA28" s="16">
        <f t="shared" si="20"/>
        <v>0</v>
      </c>
      <c r="AB28" s="16">
        <f t="shared" si="20"/>
        <v>102</v>
      </c>
      <c r="AC28" s="16">
        <f t="shared" si="20"/>
        <v>53</v>
      </c>
      <c r="AD28" s="16">
        <f t="shared" si="20"/>
        <v>0</v>
      </c>
      <c r="AE28" s="32">
        <f t="shared" si="20"/>
        <v>213</v>
      </c>
      <c r="AF28" s="32">
        <f t="shared" si="20"/>
        <v>266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3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2</v>
      </c>
      <c r="N30" s="50">
        <v>0</v>
      </c>
      <c r="O30" s="15">
        <f t="shared" si="0"/>
        <v>4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1</v>
      </c>
      <c r="N31" s="50">
        <v>0</v>
      </c>
      <c r="O31" s="15">
        <f t="shared" si="0"/>
        <v>4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3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4</v>
      </c>
      <c r="M33" s="50">
        <v>0</v>
      </c>
      <c r="N33" s="50">
        <v>0</v>
      </c>
      <c r="O33" s="15">
        <f t="shared" si="0"/>
        <v>6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3</v>
      </c>
      <c r="M35" s="50">
        <v>2</v>
      </c>
      <c r="N35" s="50">
        <v>0</v>
      </c>
      <c r="O35" s="15">
        <f t="shared" si="0"/>
        <v>6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4</v>
      </c>
      <c r="M36" s="50">
        <v>1</v>
      </c>
      <c r="N36" s="50">
        <v>0</v>
      </c>
      <c r="O36" s="15">
        <f t="shared" si="0"/>
        <v>9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1</v>
      </c>
      <c r="N38" s="50">
        <v>0</v>
      </c>
      <c r="O38" s="15">
        <f t="shared" si="0"/>
        <v>1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</v>
      </c>
      <c r="N39" s="50">
        <v>0</v>
      </c>
      <c r="O39" s="15">
        <f t="shared" si="0"/>
        <v>4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0</v>
      </c>
      <c r="P40" s="15">
        <f t="shared" si="1"/>
        <v>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0</v>
      </c>
      <c r="N42" s="50">
        <v>0</v>
      </c>
      <c r="O42" s="15">
        <f t="shared" si="0"/>
        <v>5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2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3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1</v>
      </c>
      <c r="M44" s="50">
        <v>0</v>
      </c>
      <c r="N44" s="50">
        <v>0</v>
      </c>
      <c r="O44" s="15">
        <f t="shared" si="0"/>
        <v>5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2</v>
      </c>
      <c r="I45" s="50">
        <v>0</v>
      </c>
      <c r="J45" s="50">
        <v>0</v>
      </c>
      <c r="K45" s="50">
        <v>0</v>
      </c>
      <c r="L45" s="50">
        <v>5</v>
      </c>
      <c r="M45" s="50">
        <v>0</v>
      </c>
      <c r="N45" s="50">
        <v>0</v>
      </c>
      <c r="O45" s="15">
        <f t="shared" si="0"/>
        <v>8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2</v>
      </c>
      <c r="I46" s="50">
        <v>1</v>
      </c>
      <c r="J46" s="50">
        <v>0</v>
      </c>
      <c r="K46" s="50">
        <v>0</v>
      </c>
      <c r="L46" s="50">
        <v>1</v>
      </c>
      <c r="M46" s="50">
        <v>2</v>
      </c>
      <c r="N46" s="50">
        <v>0</v>
      </c>
      <c r="O46" s="15">
        <f t="shared" si="0"/>
        <v>4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3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4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3</v>
      </c>
      <c r="M49" s="50">
        <v>0</v>
      </c>
      <c r="N49" s="50">
        <v>0</v>
      </c>
      <c r="O49" s="15">
        <f t="shared" si="0"/>
        <v>3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3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3</v>
      </c>
      <c r="N51" s="50">
        <v>0</v>
      </c>
      <c r="O51" s="15">
        <f t="shared" si="0"/>
        <v>4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5</v>
      </c>
      <c r="M52" s="50">
        <v>3</v>
      </c>
      <c r="N52" s="50">
        <v>0</v>
      </c>
      <c r="O52" s="15">
        <f t="shared" si="0"/>
        <v>7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2</v>
      </c>
      <c r="M53" s="50">
        <v>1</v>
      </c>
      <c r="N53" s="50">
        <v>0</v>
      </c>
      <c r="O53" s="15">
        <f t="shared" si="0"/>
        <v>7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3</v>
      </c>
      <c r="M56" s="50">
        <v>3</v>
      </c>
      <c r="N56" s="50">
        <v>0</v>
      </c>
      <c r="O56" s="15">
        <f t="shared" si="0"/>
        <v>5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2</v>
      </c>
      <c r="M57" s="50">
        <v>1</v>
      </c>
      <c r="N57" s="50">
        <v>0</v>
      </c>
      <c r="O57" s="15">
        <f t="shared" si="0"/>
        <v>7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0</v>
      </c>
      <c r="E58" s="16">
        <f t="shared" si="21"/>
        <v>35</v>
      </c>
      <c r="F58" s="16">
        <f t="shared" si="21"/>
        <v>1</v>
      </c>
      <c r="G58" s="16">
        <f t="shared" si="21"/>
        <v>2</v>
      </c>
      <c r="H58" s="16">
        <f t="shared" si="21"/>
        <v>10</v>
      </c>
      <c r="I58" s="16">
        <f t="shared" si="21"/>
        <v>26</v>
      </c>
      <c r="J58" s="16">
        <f t="shared" si="21"/>
        <v>3</v>
      </c>
      <c r="K58" s="16">
        <f t="shared" si="21"/>
        <v>0</v>
      </c>
      <c r="L58" s="16">
        <f t="shared" si="21"/>
        <v>102</v>
      </c>
      <c r="M58" s="16">
        <f t="shared" si="21"/>
        <v>53</v>
      </c>
      <c r="N58" s="16">
        <f t="shared" si="21"/>
        <v>0</v>
      </c>
      <c r="O58" s="16">
        <f t="shared" si="21"/>
        <v>213</v>
      </c>
      <c r="P58" s="16">
        <f t="shared" si="21"/>
        <v>266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0.12781954887218044</v>
      </c>
      <c r="D59" s="43">
        <f t="shared" si="22"/>
        <v>0</v>
      </c>
      <c r="E59" s="43">
        <f t="shared" si="22"/>
        <v>0.13157894736842105</v>
      </c>
      <c r="F59" s="43">
        <f t="shared" si="22"/>
        <v>3.7593984962406013E-3</v>
      </c>
      <c r="G59" s="43">
        <f t="shared" si="22"/>
        <v>7.5187969924812026E-3</v>
      </c>
      <c r="H59" s="43">
        <f t="shared" si="22"/>
        <v>3.7593984962406013E-2</v>
      </c>
      <c r="I59" s="43">
        <f t="shared" si="22"/>
        <v>9.7744360902255634E-2</v>
      </c>
      <c r="J59" s="43">
        <f t="shared" si="22"/>
        <v>1.1278195488721804E-2</v>
      </c>
      <c r="K59" s="43">
        <f t="shared" si="22"/>
        <v>0</v>
      </c>
      <c r="L59" s="43">
        <f t="shared" si="22"/>
        <v>0.38345864661654133</v>
      </c>
      <c r="M59" s="43">
        <f t="shared" si="22"/>
        <v>0.19924812030075187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0.15962441314553991</v>
      </c>
      <c r="D60" s="44">
        <f t="shared" ref="D60:N60" si="23">D58/$O$58</f>
        <v>0</v>
      </c>
      <c r="E60" s="44">
        <f t="shared" si="23"/>
        <v>0.16431924882629109</v>
      </c>
      <c r="F60" s="44">
        <f t="shared" si="23"/>
        <v>4.6948356807511738E-3</v>
      </c>
      <c r="G60" s="44">
        <f t="shared" si="23"/>
        <v>9.3896713615023476E-3</v>
      </c>
      <c r="H60" s="44">
        <f t="shared" si="23"/>
        <v>4.6948356807511735E-2</v>
      </c>
      <c r="I60" s="44">
        <f t="shared" si="23"/>
        <v>0.12206572769953052</v>
      </c>
      <c r="J60" s="44">
        <f t="shared" si="23"/>
        <v>1.4084507042253521E-2</v>
      </c>
      <c r="K60" s="44">
        <f t="shared" si="23"/>
        <v>0</v>
      </c>
      <c r="L60" s="44">
        <f t="shared" si="23"/>
        <v>0.47887323943661969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5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'03.07 GULU-NIMULE'!G5:H5</f>
        <v>ELEGU</v>
      </c>
      <c r="H5" s="67"/>
      <c r="I5" s="14"/>
      <c r="J5" s="2" t="s">
        <v>5</v>
      </c>
      <c r="K5" s="66" t="str">
        <f>'03.07 GULU-NIMULE'!K5:L5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'03.07 GULU-NIMULE'!K6:L6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5</v>
      </c>
      <c r="AD10" s="17">
        <f t="shared" si="2"/>
        <v>0</v>
      </c>
      <c r="AE10" s="31">
        <f t="shared" si="2"/>
        <v>13</v>
      </c>
      <c r="AF10" s="31">
        <f t="shared" si="2"/>
        <v>18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6</v>
      </c>
      <c r="AC11" s="17">
        <f t="shared" si="3"/>
        <v>1</v>
      </c>
      <c r="AD11" s="17">
        <f t="shared" si="3"/>
        <v>0</v>
      </c>
      <c r="AE11" s="31">
        <f t="shared" si="3"/>
        <v>13</v>
      </c>
      <c r="AF11" s="31">
        <f t="shared" si="3"/>
        <v>14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3</v>
      </c>
      <c r="M12" s="50">
        <v>1</v>
      </c>
      <c r="N12" s="50">
        <v>0</v>
      </c>
      <c r="O12" s="15">
        <f t="shared" si="0"/>
        <v>4</v>
      </c>
      <c r="P12" s="15">
        <f t="shared" si="1"/>
        <v>5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8</v>
      </c>
      <c r="AC12" s="17">
        <f t="shared" si="4"/>
        <v>6</v>
      </c>
      <c r="AD12" s="17">
        <f t="shared" si="4"/>
        <v>0</v>
      </c>
      <c r="AE12" s="31">
        <f t="shared" si="4"/>
        <v>14</v>
      </c>
      <c r="AF12" s="31">
        <f t="shared" si="4"/>
        <v>20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1</v>
      </c>
      <c r="P13" s="15">
        <f t="shared" si="1"/>
        <v>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4</v>
      </c>
      <c r="AD13" s="17">
        <f t="shared" si="5"/>
        <v>0</v>
      </c>
      <c r="AE13" s="31">
        <f t="shared" si="5"/>
        <v>6</v>
      </c>
      <c r="AF13" s="31">
        <f t="shared" si="5"/>
        <v>10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0</v>
      </c>
      <c r="N14" s="50">
        <v>0</v>
      </c>
      <c r="O14" s="15">
        <f t="shared" si="0"/>
        <v>4</v>
      </c>
      <c r="P14" s="15">
        <f t="shared" si="1"/>
        <v>4</v>
      </c>
      <c r="R14" s="1" t="s">
        <v>10</v>
      </c>
      <c r="S14" s="17">
        <f t="shared" ref="S14:AF14" si="6">SUM(C26:C29)</f>
        <v>3</v>
      </c>
      <c r="T14" s="17">
        <f t="shared" si="6"/>
        <v>2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1</v>
      </c>
      <c r="AB14" s="17">
        <f t="shared" si="6"/>
        <v>17</v>
      </c>
      <c r="AC14" s="17">
        <f t="shared" si="6"/>
        <v>4</v>
      </c>
      <c r="AD14" s="17">
        <f t="shared" si="6"/>
        <v>0</v>
      </c>
      <c r="AE14" s="31">
        <f t="shared" si="6"/>
        <v>26</v>
      </c>
      <c r="AF14" s="31">
        <f t="shared" si="6"/>
        <v>30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0</v>
      </c>
      <c r="N15" s="50">
        <v>0</v>
      </c>
      <c r="O15" s="15">
        <f t="shared" si="0"/>
        <v>5</v>
      </c>
      <c r="P15" s="15">
        <f t="shared" si="1"/>
        <v>5</v>
      </c>
      <c r="R15" s="1" t="s">
        <v>11</v>
      </c>
      <c r="S15" s="17">
        <f t="shared" ref="S15:AF15" si="7">SUM(C30:C33)</f>
        <v>4</v>
      </c>
      <c r="T15" s="17">
        <f t="shared" si="7"/>
        <v>3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9</v>
      </c>
      <c r="AC15" s="17">
        <f t="shared" si="7"/>
        <v>10</v>
      </c>
      <c r="AD15" s="17">
        <f t="shared" si="7"/>
        <v>0</v>
      </c>
      <c r="AE15" s="31">
        <f t="shared" si="7"/>
        <v>23</v>
      </c>
      <c r="AF15" s="31">
        <f t="shared" si="7"/>
        <v>33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4</v>
      </c>
      <c r="AD16" s="17">
        <f t="shared" si="8"/>
        <v>0</v>
      </c>
      <c r="AE16" s="31">
        <f t="shared" si="8"/>
        <v>10</v>
      </c>
      <c r="AF16" s="31">
        <f t="shared" si="8"/>
        <v>14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2</v>
      </c>
      <c r="P17" s="15">
        <f t="shared" si="1"/>
        <v>3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4</v>
      </c>
      <c r="AD17" s="17">
        <f t="shared" si="9"/>
        <v>0</v>
      </c>
      <c r="AE17" s="31">
        <f t="shared" si="9"/>
        <v>9</v>
      </c>
      <c r="AF17" s="31">
        <f t="shared" si="9"/>
        <v>13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2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2</v>
      </c>
      <c r="T18" s="17">
        <f t="shared" si="10"/>
        <v>1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6</v>
      </c>
      <c r="AD18" s="17">
        <f t="shared" si="10"/>
        <v>0</v>
      </c>
      <c r="AE18" s="31">
        <f t="shared" si="10"/>
        <v>8</v>
      </c>
      <c r="AF18" s="31">
        <f t="shared" si="10"/>
        <v>14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9</v>
      </c>
      <c r="T19" s="17">
        <f t="shared" si="11"/>
        <v>3</v>
      </c>
      <c r="U19" s="17">
        <f t="shared" si="11"/>
        <v>6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6</v>
      </c>
      <c r="AD19" s="17">
        <f t="shared" si="11"/>
        <v>0</v>
      </c>
      <c r="AE19" s="31">
        <f t="shared" si="11"/>
        <v>21</v>
      </c>
      <c r="AF19" s="31">
        <f t="shared" si="11"/>
        <v>27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4</v>
      </c>
      <c r="P20" s="15">
        <f t="shared" si="1"/>
        <v>5</v>
      </c>
      <c r="R20" s="1" t="s">
        <v>16</v>
      </c>
      <c r="S20" s="17">
        <f t="shared" ref="S20:AF20" si="12">SUM(C50:C53)</f>
        <v>6</v>
      </c>
      <c r="T20" s="17">
        <f t="shared" si="12"/>
        <v>1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4</v>
      </c>
      <c r="AD20" s="17">
        <f t="shared" si="12"/>
        <v>0</v>
      </c>
      <c r="AE20" s="31">
        <f t="shared" si="12"/>
        <v>11</v>
      </c>
      <c r="AF20" s="31">
        <f t="shared" si="12"/>
        <v>15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4</v>
      </c>
      <c r="P21" s="15">
        <f t="shared" si="1"/>
        <v>5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3</v>
      </c>
      <c r="AD21" s="17">
        <f t="shared" si="13"/>
        <v>0</v>
      </c>
      <c r="AE21" s="31">
        <f t="shared" si="13"/>
        <v>20</v>
      </c>
      <c r="AF21" s="31">
        <f t="shared" si="13"/>
        <v>23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0</v>
      </c>
      <c r="N22" s="50">
        <v>0</v>
      </c>
      <c r="O22" s="15">
        <f t="shared" si="0"/>
        <v>2</v>
      </c>
      <c r="P22" s="15">
        <f t="shared" si="1"/>
        <v>2</v>
      </c>
      <c r="R22" s="36" t="s">
        <v>146</v>
      </c>
      <c r="S22" s="34">
        <f>SUM(C58:C61)</f>
        <v>2</v>
      </c>
      <c r="T22" s="34">
        <f t="shared" ref="T22:AF22" si="14">SUM(D58:D61)</f>
        <v>2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4</v>
      </c>
      <c r="AD22" s="34">
        <f t="shared" si="14"/>
        <v>0</v>
      </c>
      <c r="AE22" s="31">
        <f t="shared" si="14"/>
        <v>10</v>
      </c>
      <c r="AF22" s="31">
        <f t="shared" si="14"/>
        <v>14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2</v>
      </c>
      <c r="P23" s="15">
        <f t="shared" si="1"/>
        <v>4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1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</v>
      </c>
      <c r="P25" s="15">
        <f t="shared" si="1"/>
        <v>2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45" t="s">
        <v>53</v>
      </c>
      <c r="C26" s="50">
        <v>1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5</v>
      </c>
      <c r="M26" s="50">
        <v>0</v>
      </c>
      <c r="N26" s="50">
        <v>0</v>
      </c>
      <c r="O26" s="15">
        <f t="shared" si="0"/>
        <v>8</v>
      </c>
      <c r="P26" s="15">
        <f t="shared" si="1"/>
        <v>8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5</v>
      </c>
      <c r="M27" s="50">
        <v>1</v>
      </c>
      <c r="N27" s="50">
        <v>0</v>
      </c>
      <c r="O27" s="15">
        <f t="shared" si="0"/>
        <v>7</v>
      </c>
      <c r="P27" s="15">
        <f t="shared" si="1"/>
        <v>8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1</v>
      </c>
      <c r="P28" s="15">
        <f t="shared" si="1"/>
        <v>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1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7</v>
      </c>
      <c r="M29" s="50">
        <v>0</v>
      </c>
      <c r="N29" s="50">
        <v>0</v>
      </c>
      <c r="O29" s="15">
        <f t="shared" si="0"/>
        <v>10</v>
      </c>
      <c r="P29" s="15">
        <f t="shared" si="1"/>
        <v>10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2</v>
      </c>
      <c r="E30" s="50">
        <v>2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5</v>
      </c>
      <c r="N30" s="50">
        <v>0</v>
      </c>
      <c r="O30" s="15">
        <f t="shared" si="0"/>
        <v>8</v>
      </c>
      <c r="P30" s="15">
        <f t="shared" si="1"/>
        <v>13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1</v>
      </c>
      <c r="P31" s="15">
        <f t="shared" si="1"/>
        <v>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4</v>
      </c>
      <c r="M32" s="50">
        <v>3</v>
      </c>
      <c r="N32" s="50">
        <v>0</v>
      </c>
      <c r="O32" s="15">
        <f t="shared" si="0"/>
        <v>7</v>
      </c>
      <c r="P32" s="15">
        <f t="shared" si="1"/>
        <v>10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1</v>
      </c>
      <c r="N33" s="50">
        <v>0</v>
      </c>
      <c r="O33" s="15">
        <f t="shared" si="0"/>
        <v>7</v>
      </c>
      <c r="P33" s="15">
        <f t="shared" si="1"/>
        <v>8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1</v>
      </c>
      <c r="P34" s="15">
        <f t="shared" si="1"/>
        <v>1</v>
      </c>
      <c r="R34" s="38" t="s">
        <v>90</v>
      </c>
      <c r="S34" s="39">
        <f t="shared" ref="S34:AF34" si="26">MAX(S10:S12)</f>
        <v>3</v>
      </c>
      <c r="T34" s="39">
        <f t="shared" si="26"/>
        <v>1</v>
      </c>
      <c r="U34" s="39">
        <f t="shared" si="26"/>
        <v>4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3</v>
      </c>
      <c r="Z34" s="39">
        <f t="shared" si="26"/>
        <v>1</v>
      </c>
      <c r="AA34" s="39">
        <f t="shared" si="26"/>
        <v>1</v>
      </c>
      <c r="AB34" s="39">
        <f t="shared" si="26"/>
        <v>8</v>
      </c>
      <c r="AC34" s="39">
        <f t="shared" si="26"/>
        <v>6</v>
      </c>
      <c r="AD34" s="39">
        <f t="shared" si="26"/>
        <v>0</v>
      </c>
      <c r="AE34" s="40">
        <f t="shared" si="26"/>
        <v>14</v>
      </c>
      <c r="AF34" s="40">
        <f t="shared" si="26"/>
        <v>20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2</v>
      </c>
      <c r="P35" s="15">
        <f t="shared" si="1"/>
        <v>4</v>
      </c>
      <c r="R35" s="38" t="s">
        <v>91</v>
      </c>
      <c r="S35" s="39">
        <f t="shared" ref="S35:AF35" si="27">MAX(S13:S18)</f>
        <v>4</v>
      </c>
      <c r="T35" s="39">
        <f t="shared" si="27"/>
        <v>3</v>
      </c>
      <c r="U35" s="39">
        <f t="shared" si="27"/>
        <v>4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0</v>
      </c>
      <c r="AA35" s="39">
        <f t="shared" si="27"/>
        <v>1</v>
      </c>
      <c r="AB35" s="39">
        <f t="shared" si="27"/>
        <v>17</v>
      </c>
      <c r="AC35" s="39">
        <f t="shared" si="27"/>
        <v>10</v>
      </c>
      <c r="AD35" s="39">
        <f t="shared" si="27"/>
        <v>0</v>
      </c>
      <c r="AE35" s="40">
        <f t="shared" si="27"/>
        <v>26</v>
      </c>
      <c r="AF35" s="40">
        <f t="shared" si="27"/>
        <v>33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  <c r="R36" s="38" t="s">
        <v>92</v>
      </c>
      <c r="S36" s="39">
        <f t="shared" ref="S36:AF36" si="28">MAX(S19:S21)</f>
        <v>9</v>
      </c>
      <c r="T36" s="39">
        <f t="shared" si="28"/>
        <v>3</v>
      </c>
      <c r="U36" s="39">
        <f t="shared" si="28"/>
        <v>6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8</v>
      </c>
      <c r="AC36" s="39">
        <f t="shared" si="28"/>
        <v>6</v>
      </c>
      <c r="AD36" s="39">
        <f t="shared" si="28"/>
        <v>0</v>
      </c>
      <c r="AE36" s="40">
        <f t="shared" si="28"/>
        <v>21</v>
      </c>
      <c r="AF36" s="40">
        <f t="shared" si="28"/>
        <v>27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2</v>
      </c>
      <c r="M37" s="50">
        <v>2</v>
      </c>
      <c r="N37" s="50">
        <v>0</v>
      </c>
      <c r="O37" s="15">
        <f t="shared" si="0"/>
        <v>5</v>
      </c>
      <c r="P37" s="15">
        <f t="shared" si="1"/>
        <v>7</v>
      </c>
      <c r="R37" s="37" t="s">
        <v>85</v>
      </c>
      <c r="S37" s="35">
        <f t="shared" ref="S37:AF37" si="29">SUM(S10:S12)</f>
        <v>5</v>
      </c>
      <c r="T37" s="16">
        <f t="shared" si="29"/>
        <v>1</v>
      </c>
      <c r="U37" s="16">
        <f t="shared" si="29"/>
        <v>5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8</v>
      </c>
      <c r="Z37" s="16">
        <f t="shared" si="29"/>
        <v>1</v>
      </c>
      <c r="AA37" s="16">
        <f t="shared" si="29"/>
        <v>1</v>
      </c>
      <c r="AB37" s="16">
        <f t="shared" si="29"/>
        <v>18</v>
      </c>
      <c r="AC37" s="16">
        <f t="shared" si="29"/>
        <v>12</v>
      </c>
      <c r="AD37" s="16">
        <f t="shared" si="29"/>
        <v>0</v>
      </c>
      <c r="AE37" s="32">
        <f t="shared" si="29"/>
        <v>40</v>
      </c>
      <c r="AF37" s="32">
        <f t="shared" si="29"/>
        <v>52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  <c r="R38" s="28" t="s">
        <v>86</v>
      </c>
      <c r="S38" s="16">
        <f t="shared" ref="S38:AF38" si="30">SUM(S13:S18)</f>
        <v>12</v>
      </c>
      <c r="T38" s="16">
        <f t="shared" si="30"/>
        <v>8</v>
      </c>
      <c r="U38" s="16">
        <f t="shared" si="30"/>
        <v>17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9</v>
      </c>
      <c r="Z38" s="16">
        <f t="shared" si="30"/>
        <v>0</v>
      </c>
      <c r="AA38" s="16">
        <f t="shared" si="30"/>
        <v>1</v>
      </c>
      <c r="AB38" s="16">
        <f t="shared" si="30"/>
        <v>35</v>
      </c>
      <c r="AC38" s="16">
        <f t="shared" si="30"/>
        <v>32</v>
      </c>
      <c r="AD38" s="16">
        <f t="shared" si="30"/>
        <v>0</v>
      </c>
      <c r="AE38" s="32">
        <f t="shared" si="30"/>
        <v>82</v>
      </c>
      <c r="AF38" s="32">
        <f t="shared" si="30"/>
        <v>114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1</v>
      </c>
      <c r="P39" s="15">
        <f t="shared" si="1"/>
        <v>3</v>
      </c>
      <c r="R39" s="29" t="s">
        <v>87</v>
      </c>
      <c r="S39" s="16">
        <f t="shared" ref="S39:AF39" si="31">SUM(S19:S21)</f>
        <v>18</v>
      </c>
      <c r="T39" s="16">
        <f t="shared" si="31"/>
        <v>5</v>
      </c>
      <c r="U39" s="16">
        <f t="shared" si="31"/>
        <v>12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5</v>
      </c>
      <c r="Z39" s="16">
        <f t="shared" si="31"/>
        <v>0</v>
      </c>
      <c r="AA39" s="16">
        <f t="shared" si="31"/>
        <v>0</v>
      </c>
      <c r="AB39" s="16">
        <f t="shared" si="31"/>
        <v>11</v>
      </c>
      <c r="AC39" s="16">
        <f t="shared" si="31"/>
        <v>13</v>
      </c>
      <c r="AD39" s="16">
        <f t="shared" si="31"/>
        <v>0</v>
      </c>
      <c r="AE39" s="32">
        <f t="shared" si="31"/>
        <v>52</v>
      </c>
      <c r="AF39" s="32">
        <f t="shared" si="31"/>
        <v>65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2</v>
      </c>
      <c r="P40" s="15">
        <f t="shared" si="1"/>
        <v>2</v>
      </c>
      <c r="R40" s="5" t="s">
        <v>17</v>
      </c>
      <c r="S40" s="16">
        <f t="shared" ref="S40:AF40" si="32">SUM(S10:S21)</f>
        <v>35</v>
      </c>
      <c r="T40" s="16">
        <f t="shared" si="32"/>
        <v>14</v>
      </c>
      <c r="U40" s="16">
        <f t="shared" si="32"/>
        <v>34</v>
      </c>
      <c r="V40" s="16">
        <f t="shared" si="32"/>
        <v>2</v>
      </c>
      <c r="W40" s="16">
        <f t="shared" si="32"/>
        <v>0</v>
      </c>
      <c r="X40" s="16">
        <f t="shared" si="32"/>
        <v>0</v>
      </c>
      <c r="Y40" s="16">
        <f t="shared" si="32"/>
        <v>22</v>
      </c>
      <c r="Z40" s="16">
        <f t="shared" si="32"/>
        <v>1</v>
      </c>
      <c r="AA40" s="16">
        <f t="shared" si="32"/>
        <v>2</v>
      </c>
      <c r="AB40" s="16">
        <f t="shared" si="32"/>
        <v>64</v>
      </c>
      <c r="AC40" s="16">
        <f t="shared" si="32"/>
        <v>57</v>
      </c>
      <c r="AD40" s="16">
        <f t="shared" si="32"/>
        <v>0</v>
      </c>
      <c r="AE40" s="32">
        <f t="shared" si="32"/>
        <v>174</v>
      </c>
      <c r="AF40" s="32">
        <f t="shared" si="32"/>
        <v>231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  <c r="R41" s="5" t="s">
        <v>159</v>
      </c>
      <c r="S41" s="16">
        <f>SUM(S10:S33)</f>
        <v>37</v>
      </c>
      <c r="T41" s="16">
        <f t="shared" ref="T41:AF41" si="33">SUM(T10:T33)</f>
        <v>16</v>
      </c>
      <c r="U41" s="16">
        <f t="shared" si="33"/>
        <v>38</v>
      </c>
      <c r="V41" s="16">
        <f t="shared" si="33"/>
        <v>2</v>
      </c>
      <c r="W41" s="16">
        <f t="shared" si="33"/>
        <v>0</v>
      </c>
      <c r="X41" s="16">
        <f t="shared" si="33"/>
        <v>0</v>
      </c>
      <c r="Y41" s="16">
        <f t="shared" si="33"/>
        <v>23</v>
      </c>
      <c r="Z41" s="16">
        <f t="shared" si="33"/>
        <v>1</v>
      </c>
      <c r="AA41" s="16">
        <f t="shared" si="33"/>
        <v>2</v>
      </c>
      <c r="AB41" s="16">
        <f t="shared" si="33"/>
        <v>65</v>
      </c>
      <c r="AC41" s="16">
        <f t="shared" si="33"/>
        <v>61</v>
      </c>
      <c r="AD41" s="16">
        <f t="shared" si="33"/>
        <v>0</v>
      </c>
      <c r="AE41" s="32">
        <f t="shared" si="33"/>
        <v>184</v>
      </c>
      <c r="AF41" s="32">
        <f t="shared" si="33"/>
        <v>245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  <c r="R42" s="5" t="s">
        <v>160</v>
      </c>
      <c r="S42" s="48">
        <f>S41/S40</f>
        <v>1.0571428571428572</v>
      </c>
      <c r="T42" s="48">
        <f t="shared" ref="T42:AF42" si="34">T41/T40</f>
        <v>1.1428571428571428</v>
      </c>
      <c r="U42" s="48">
        <f t="shared" si="34"/>
        <v>1.1176470588235294</v>
      </c>
      <c r="V42" s="48">
        <f t="shared" si="34"/>
        <v>1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1.0454545454545454</v>
      </c>
      <c r="Z42" s="48">
        <f t="shared" si="34"/>
        <v>1</v>
      </c>
      <c r="AA42" s="48">
        <f t="shared" si="34"/>
        <v>1</v>
      </c>
      <c r="AB42" s="48">
        <f t="shared" si="34"/>
        <v>1.015625</v>
      </c>
      <c r="AC42" s="48">
        <f t="shared" si="34"/>
        <v>1.0701754385964912</v>
      </c>
      <c r="AD42" s="48" t="e">
        <f t="shared" si="34"/>
        <v>#DIV/0!</v>
      </c>
      <c r="AE42" s="48">
        <f t="shared" si="34"/>
        <v>1.0574712643678161</v>
      </c>
      <c r="AF42" s="48">
        <f t="shared" si="34"/>
        <v>1.0606060606060606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4</v>
      </c>
      <c r="P44" s="15">
        <f t="shared" si="1"/>
        <v>5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0</v>
      </c>
      <c r="P45" s="15">
        <f t="shared" si="1"/>
        <v>1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1</v>
      </c>
      <c r="P46" s="15">
        <f t="shared" si="1"/>
        <v>3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1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0</v>
      </c>
      <c r="N47" s="50">
        <v>0</v>
      </c>
      <c r="O47" s="15">
        <f t="shared" si="0"/>
        <v>6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6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7</v>
      </c>
      <c r="P48" s="15">
        <f t="shared" si="1"/>
        <v>9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2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7</v>
      </c>
      <c r="P49" s="15">
        <f t="shared" si="1"/>
        <v>9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1</v>
      </c>
      <c r="P50" s="15">
        <f t="shared" si="1"/>
        <v>2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3</v>
      </c>
      <c r="N51" s="50">
        <v>0</v>
      </c>
      <c r="O51" s="15">
        <f t="shared" si="0"/>
        <v>8</v>
      </c>
      <c r="P51" s="15">
        <f t="shared" si="1"/>
        <v>11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2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4</v>
      </c>
      <c r="P54" s="15">
        <f t="shared" si="1"/>
        <v>4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3</v>
      </c>
      <c r="M55" s="50">
        <v>1</v>
      </c>
      <c r="N55" s="50">
        <v>0</v>
      </c>
      <c r="O55" s="15">
        <f t="shared" si="0"/>
        <v>5</v>
      </c>
      <c r="P55" s="15">
        <f t="shared" si="1"/>
        <v>6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3</v>
      </c>
      <c r="M56" s="50">
        <v>1</v>
      </c>
      <c r="N56" s="50">
        <v>0</v>
      </c>
      <c r="O56" s="15">
        <f t="shared" si="0"/>
        <v>7</v>
      </c>
      <c r="P56" s="15">
        <f t="shared" si="1"/>
        <v>8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1</v>
      </c>
      <c r="N57" s="50">
        <v>0</v>
      </c>
      <c r="O57" s="15">
        <f t="shared" si="0"/>
        <v>4</v>
      </c>
      <c r="P57" s="15">
        <f t="shared" si="1"/>
        <v>5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1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</v>
      </c>
      <c r="N58" s="50">
        <v>0</v>
      </c>
      <c r="O58" s="15">
        <f t="shared" ref="O58:O105" si="35">SUM(C58:L58,N58)</f>
        <v>3</v>
      </c>
      <c r="P58" s="15">
        <f t="shared" ref="P58:P105" si="36">SUM(C58:N58)</f>
        <v>5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35"/>
        <v>1</v>
      </c>
      <c r="P59" s="15">
        <f t="shared" si="36"/>
        <v>2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1</v>
      </c>
      <c r="E60" s="50">
        <v>1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1</v>
      </c>
      <c r="M60" s="50">
        <v>1</v>
      </c>
      <c r="N60" s="50">
        <v>0</v>
      </c>
      <c r="O60" s="15">
        <f t="shared" si="35"/>
        <v>5</v>
      </c>
      <c r="P60" s="15">
        <f t="shared" si="36"/>
        <v>6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35"/>
        <v>1</v>
      </c>
      <c r="P61" s="15">
        <f t="shared" si="36"/>
        <v>1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35"/>
        <v>0</v>
      </c>
      <c r="P62" s="15">
        <f t="shared" si="36"/>
        <v>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35"/>
        <v>0</v>
      </c>
      <c r="P63" s="15">
        <f t="shared" si="36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35"/>
        <v>0</v>
      </c>
      <c r="P64" s="15">
        <f t="shared" si="36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35"/>
        <v>0</v>
      </c>
      <c r="P65" s="15">
        <f t="shared" si="36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35"/>
        <v>0</v>
      </c>
      <c r="P66" s="15">
        <f t="shared" si="36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0</v>
      </c>
      <c r="P67" s="15">
        <f t="shared" si="36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0</v>
      </c>
      <c r="P68" s="15">
        <f t="shared" si="36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35"/>
        <v>0</v>
      </c>
      <c r="P69" s="15">
        <f t="shared" si="36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35"/>
        <v>0</v>
      </c>
      <c r="P70" s="15">
        <f t="shared" si="36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35"/>
        <v>0</v>
      </c>
      <c r="P71" s="15">
        <f t="shared" si="36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0</v>
      </c>
      <c r="P72" s="15">
        <f t="shared" si="36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0</v>
      </c>
      <c r="P73" s="15">
        <f t="shared" si="36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0</v>
      </c>
      <c r="P74" s="15">
        <f t="shared" si="36"/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</v>
      </c>
      <c r="D106" s="16">
        <f t="shared" ref="D106:P106" si="37">SUM(D10:D105)</f>
        <v>16</v>
      </c>
      <c r="E106" s="16">
        <f t="shared" si="37"/>
        <v>38</v>
      </c>
      <c r="F106" s="16">
        <f t="shared" si="37"/>
        <v>2</v>
      </c>
      <c r="G106" s="16">
        <f t="shared" si="37"/>
        <v>0</v>
      </c>
      <c r="H106" s="16">
        <f t="shared" si="37"/>
        <v>0</v>
      </c>
      <c r="I106" s="16">
        <f t="shared" si="37"/>
        <v>23</v>
      </c>
      <c r="J106" s="16">
        <f t="shared" si="37"/>
        <v>1</v>
      </c>
      <c r="K106" s="16">
        <f t="shared" si="37"/>
        <v>2</v>
      </c>
      <c r="L106" s="16">
        <f t="shared" si="37"/>
        <v>65</v>
      </c>
      <c r="M106" s="16">
        <f t="shared" si="37"/>
        <v>61</v>
      </c>
      <c r="N106" s="16">
        <f t="shared" si="37"/>
        <v>0</v>
      </c>
      <c r="O106" s="16">
        <f t="shared" si="37"/>
        <v>184</v>
      </c>
      <c r="P106" s="16">
        <f t="shared" si="37"/>
        <v>245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0.15102040816326531</v>
      </c>
      <c r="D107" s="43">
        <f t="shared" si="38"/>
        <v>6.5306122448979598E-2</v>
      </c>
      <c r="E107" s="43">
        <f t="shared" si="38"/>
        <v>0.15510204081632653</v>
      </c>
      <c r="F107" s="43">
        <f t="shared" si="38"/>
        <v>8.1632653061224497E-3</v>
      </c>
      <c r="G107" s="43">
        <f t="shared" si="38"/>
        <v>0</v>
      </c>
      <c r="H107" s="43">
        <f t="shared" si="38"/>
        <v>0</v>
      </c>
      <c r="I107" s="43">
        <f t="shared" si="38"/>
        <v>9.3877551020408165E-2</v>
      </c>
      <c r="J107" s="43">
        <f t="shared" si="38"/>
        <v>4.0816326530612249E-3</v>
      </c>
      <c r="K107" s="43">
        <f t="shared" si="38"/>
        <v>8.1632653061224497E-3</v>
      </c>
      <c r="L107" s="43">
        <f t="shared" si="38"/>
        <v>0.26530612244897961</v>
      </c>
      <c r="M107" s="43">
        <f t="shared" si="38"/>
        <v>0.24897959183673468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0.20108695652173914</v>
      </c>
      <c r="D108" s="44">
        <f t="shared" ref="D108:N108" si="39">D106/$O$106</f>
        <v>8.6956521739130432E-2</v>
      </c>
      <c r="E108" s="44">
        <f t="shared" si="39"/>
        <v>0.20652173913043478</v>
      </c>
      <c r="F108" s="44">
        <f t="shared" si="39"/>
        <v>1.0869565217391304E-2</v>
      </c>
      <c r="G108" s="44">
        <f t="shared" si="39"/>
        <v>0</v>
      </c>
      <c r="H108" s="44">
        <f t="shared" si="39"/>
        <v>0</v>
      </c>
      <c r="I108" s="44">
        <f t="shared" si="39"/>
        <v>0.125</v>
      </c>
      <c r="J108" s="44">
        <f t="shared" si="39"/>
        <v>5.434782608695652E-3</v>
      </c>
      <c r="K108" s="44">
        <f t="shared" si="39"/>
        <v>1.0869565217391304E-2</v>
      </c>
      <c r="L108" s="44">
        <f t="shared" si="39"/>
        <v>0.35326086956521741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2" zoomScale="60" workbookViewId="0">
      <selection activeCell="N10" sqref="N10:N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'04.07 NIMULE-GULU-24h'!D5</f>
        <v>04.07.19</v>
      </c>
      <c r="E5" s="3"/>
      <c r="F5" s="41" t="s">
        <v>1</v>
      </c>
      <c r="G5" s="66" t="str">
        <f>'04.07 NIMULE-GULU-24h'!G5:H5</f>
        <v>ELEGU</v>
      </c>
      <c r="H5" s="67"/>
      <c r="I5" s="14"/>
      <c r="J5" s="2" t="s">
        <v>5</v>
      </c>
      <c r="K5" s="66" t="str">
        <f>'04.07 NIMULE-GULU-24h'!K5:L5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'01.07 GULU-NIMULE'!G6:H6</f>
        <v>NIMULE</v>
      </c>
      <c r="H6" s="67"/>
      <c r="J6" s="2" t="s">
        <v>21</v>
      </c>
      <c r="K6" s="66" t="str">
        <f>'04.07 NIMULE-GULU-24h'!K6:L6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3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</v>
      </c>
      <c r="AD10" s="17">
        <f t="shared" si="2"/>
        <v>0</v>
      </c>
      <c r="AE10" s="31">
        <f t="shared" si="2"/>
        <v>8</v>
      </c>
      <c r="AF10" s="31">
        <f t="shared" si="2"/>
        <v>9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3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6</v>
      </c>
      <c r="AC11" s="17">
        <f t="shared" si="3"/>
        <v>5</v>
      </c>
      <c r="AD11" s="17">
        <f t="shared" si="3"/>
        <v>0</v>
      </c>
      <c r="AE11" s="31">
        <f t="shared" si="3"/>
        <v>12</v>
      </c>
      <c r="AF11" s="31">
        <f t="shared" si="3"/>
        <v>17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17</v>
      </c>
      <c r="AC12" s="17">
        <f t="shared" si="4"/>
        <v>3</v>
      </c>
      <c r="AD12" s="17">
        <f t="shared" si="4"/>
        <v>0</v>
      </c>
      <c r="AE12" s="31">
        <f t="shared" si="4"/>
        <v>27</v>
      </c>
      <c r="AF12" s="31">
        <f t="shared" si="4"/>
        <v>30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13</v>
      </c>
      <c r="AC13" s="17">
        <f t="shared" si="5"/>
        <v>4</v>
      </c>
      <c r="AD13" s="17">
        <f t="shared" si="5"/>
        <v>0</v>
      </c>
      <c r="AE13" s="31">
        <f t="shared" si="5"/>
        <v>17</v>
      </c>
      <c r="AF13" s="31">
        <f t="shared" si="5"/>
        <v>21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4</v>
      </c>
      <c r="M14" s="50">
        <v>4</v>
      </c>
      <c r="N14" s="50">
        <v>0</v>
      </c>
      <c r="O14" s="15">
        <f t="shared" si="0"/>
        <v>6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1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19</v>
      </c>
      <c r="AC14" s="17">
        <f t="shared" si="6"/>
        <v>5</v>
      </c>
      <c r="AD14" s="17">
        <f t="shared" si="6"/>
        <v>0</v>
      </c>
      <c r="AE14" s="31">
        <f t="shared" si="6"/>
        <v>31</v>
      </c>
      <c r="AF14" s="31">
        <f t="shared" si="6"/>
        <v>36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17</v>
      </c>
      <c r="AC15" s="17">
        <f t="shared" si="7"/>
        <v>4</v>
      </c>
      <c r="AD15" s="17">
        <f t="shared" si="7"/>
        <v>0</v>
      </c>
      <c r="AE15" s="31">
        <f t="shared" si="7"/>
        <v>28</v>
      </c>
      <c r="AF15" s="31">
        <f t="shared" si="7"/>
        <v>32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18</v>
      </c>
      <c r="AC16" s="17">
        <f t="shared" si="8"/>
        <v>1</v>
      </c>
      <c r="AD16" s="17">
        <f t="shared" si="8"/>
        <v>1</v>
      </c>
      <c r="AE16" s="31">
        <f t="shared" si="8"/>
        <v>36</v>
      </c>
      <c r="AF16" s="31">
        <f t="shared" si="8"/>
        <v>37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2</v>
      </c>
      <c r="P17" s="15">
        <f t="shared" si="1"/>
        <v>3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9</v>
      </c>
      <c r="AC17" s="17">
        <f t="shared" si="9"/>
        <v>5</v>
      </c>
      <c r="AD17" s="17">
        <f t="shared" si="9"/>
        <v>0</v>
      </c>
      <c r="AE17" s="31">
        <f t="shared" si="9"/>
        <v>16</v>
      </c>
      <c r="AF17" s="31">
        <f t="shared" si="9"/>
        <v>21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</v>
      </c>
      <c r="AA18" s="17">
        <f t="shared" si="10"/>
        <v>0</v>
      </c>
      <c r="AB18" s="17">
        <f t="shared" si="10"/>
        <v>7</v>
      </c>
      <c r="AC18" s="17">
        <f t="shared" si="10"/>
        <v>7</v>
      </c>
      <c r="AD18" s="17">
        <f t="shared" si="10"/>
        <v>0</v>
      </c>
      <c r="AE18" s="31">
        <f t="shared" si="10"/>
        <v>19</v>
      </c>
      <c r="AF18" s="31">
        <f t="shared" si="10"/>
        <v>26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9</v>
      </c>
      <c r="M19" s="50">
        <v>1</v>
      </c>
      <c r="N19" s="50">
        <v>0</v>
      </c>
      <c r="O19" s="15">
        <f t="shared" si="0"/>
        <v>9</v>
      </c>
      <c r="P19" s="15">
        <f t="shared" si="1"/>
        <v>10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3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5</v>
      </c>
      <c r="AC19" s="17">
        <f t="shared" si="11"/>
        <v>1</v>
      </c>
      <c r="AD19" s="17">
        <f t="shared" si="11"/>
        <v>0</v>
      </c>
      <c r="AE19" s="31">
        <f t="shared" si="11"/>
        <v>17</v>
      </c>
      <c r="AF19" s="31">
        <f t="shared" si="11"/>
        <v>18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3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6</v>
      </c>
      <c r="AC20" s="17">
        <f t="shared" si="12"/>
        <v>2</v>
      </c>
      <c r="AD20" s="17">
        <f t="shared" si="12"/>
        <v>0</v>
      </c>
      <c r="AE20" s="31">
        <f t="shared" si="12"/>
        <v>18</v>
      </c>
      <c r="AF20" s="31">
        <f t="shared" si="12"/>
        <v>20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6</v>
      </c>
      <c r="M21" s="50">
        <v>0</v>
      </c>
      <c r="N21" s="50">
        <v>0</v>
      </c>
      <c r="O21" s="15">
        <f t="shared" si="0"/>
        <v>10</v>
      </c>
      <c r="P21" s="15">
        <f t="shared" si="1"/>
        <v>10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10</v>
      </c>
      <c r="AC21" s="17">
        <f t="shared" si="13"/>
        <v>0</v>
      </c>
      <c r="AD21" s="17">
        <f t="shared" si="13"/>
        <v>0</v>
      </c>
      <c r="AE21" s="31">
        <f t="shared" si="13"/>
        <v>12</v>
      </c>
      <c r="AF21" s="31">
        <f t="shared" si="13"/>
        <v>12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4</v>
      </c>
      <c r="M22" s="50">
        <v>2</v>
      </c>
      <c r="N22" s="50">
        <v>0</v>
      </c>
      <c r="O22" s="15">
        <f t="shared" si="0"/>
        <v>5</v>
      </c>
      <c r="P22" s="15">
        <f t="shared" si="1"/>
        <v>7</v>
      </c>
      <c r="R22" s="36" t="s">
        <v>146</v>
      </c>
      <c r="S22" s="34">
        <f>SUM(C58:C61)</f>
        <v>1</v>
      </c>
      <c r="T22" s="34">
        <f t="shared" ref="T22:AF22" si="14">SUM(D58:D61)</f>
        <v>2</v>
      </c>
      <c r="U22" s="34">
        <f t="shared" si="14"/>
        <v>8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1</v>
      </c>
      <c r="AA22" s="34">
        <f t="shared" si="14"/>
        <v>0</v>
      </c>
      <c r="AB22" s="34">
        <f t="shared" si="14"/>
        <v>10</v>
      </c>
      <c r="AC22" s="34">
        <f t="shared" si="14"/>
        <v>0</v>
      </c>
      <c r="AD22" s="34">
        <f t="shared" si="14"/>
        <v>0</v>
      </c>
      <c r="AE22" s="31">
        <f t="shared" si="14"/>
        <v>25</v>
      </c>
      <c r="AF22" s="31">
        <f t="shared" si="14"/>
        <v>25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5</v>
      </c>
      <c r="M23" s="50">
        <v>0</v>
      </c>
      <c r="N23" s="50">
        <v>0</v>
      </c>
      <c r="O23" s="15">
        <f t="shared" si="0"/>
        <v>5</v>
      </c>
      <c r="P23" s="15">
        <f t="shared" si="1"/>
        <v>5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2</v>
      </c>
      <c r="N24" s="50">
        <v>0</v>
      </c>
      <c r="O24" s="15">
        <f t="shared" si="0"/>
        <v>5</v>
      </c>
      <c r="P24" s="15">
        <f t="shared" si="1"/>
        <v>7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5</v>
      </c>
      <c r="M26" s="50">
        <v>2</v>
      </c>
      <c r="N26" s="50">
        <v>0</v>
      </c>
      <c r="O26" s="15">
        <f t="shared" si="0"/>
        <v>9</v>
      </c>
      <c r="P26" s="15">
        <f t="shared" si="1"/>
        <v>11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7</v>
      </c>
      <c r="M27" s="50">
        <v>1</v>
      </c>
      <c r="N27" s="50">
        <v>0</v>
      </c>
      <c r="O27" s="15">
        <f t="shared" si="0"/>
        <v>10</v>
      </c>
      <c r="P27" s="15">
        <f t="shared" si="1"/>
        <v>11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1</v>
      </c>
      <c r="N28" s="50">
        <v>0</v>
      </c>
      <c r="O28" s="15">
        <f t="shared" si="0"/>
        <v>4</v>
      </c>
      <c r="P28" s="15">
        <f t="shared" si="1"/>
        <v>5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1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4</v>
      </c>
      <c r="M29" s="50">
        <v>1</v>
      </c>
      <c r="N29" s="50">
        <v>0</v>
      </c>
      <c r="O29" s="15">
        <f t="shared" si="0"/>
        <v>8</v>
      </c>
      <c r="P29" s="15">
        <f t="shared" si="1"/>
        <v>9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6</v>
      </c>
      <c r="M30" s="50">
        <v>1</v>
      </c>
      <c r="N30" s="50">
        <v>0</v>
      </c>
      <c r="O30" s="15">
        <f t="shared" si="0"/>
        <v>8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3</v>
      </c>
      <c r="M31" s="50">
        <v>2</v>
      </c>
      <c r="N31" s="50">
        <v>0</v>
      </c>
      <c r="O31" s="15">
        <f t="shared" si="0"/>
        <v>6</v>
      </c>
      <c r="P31" s="15">
        <f t="shared" si="1"/>
        <v>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1</v>
      </c>
      <c r="I32" s="50">
        <v>1</v>
      </c>
      <c r="J32" s="50">
        <v>0</v>
      </c>
      <c r="K32" s="50">
        <v>0</v>
      </c>
      <c r="L32" s="50">
        <v>7</v>
      </c>
      <c r="M32" s="50">
        <v>0</v>
      </c>
      <c r="N32" s="50">
        <v>0</v>
      </c>
      <c r="O32" s="15">
        <f t="shared" si="0"/>
        <v>12</v>
      </c>
      <c r="P32" s="15">
        <f t="shared" si="1"/>
        <v>12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1</v>
      </c>
      <c r="I33" s="50">
        <v>0</v>
      </c>
      <c r="J33" s="50">
        <v>0</v>
      </c>
      <c r="K33" s="50">
        <v>0</v>
      </c>
      <c r="L33" s="50">
        <v>1</v>
      </c>
      <c r="M33" s="50">
        <v>1</v>
      </c>
      <c r="N33" s="50">
        <v>0</v>
      </c>
      <c r="O33" s="15">
        <f t="shared" si="0"/>
        <v>2</v>
      </c>
      <c r="P33" s="15">
        <f t="shared" si="1"/>
        <v>3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2</v>
      </c>
      <c r="D34" s="50">
        <v>1</v>
      </c>
      <c r="E34" s="50">
        <v>3</v>
      </c>
      <c r="F34" s="50">
        <v>0</v>
      </c>
      <c r="G34" s="50">
        <v>0</v>
      </c>
      <c r="H34" s="50">
        <v>1</v>
      </c>
      <c r="I34" s="50">
        <v>0</v>
      </c>
      <c r="J34" s="50">
        <v>1</v>
      </c>
      <c r="K34" s="50">
        <v>0</v>
      </c>
      <c r="L34" s="50">
        <v>4</v>
      </c>
      <c r="M34" s="50">
        <v>0</v>
      </c>
      <c r="N34" s="50">
        <v>1</v>
      </c>
      <c r="O34" s="15">
        <f t="shared" si="0"/>
        <v>13</v>
      </c>
      <c r="P34" s="15">
        <f t="shared" si="1"/>
        <v>13</v>
      </c>
      <c r="R34" s="38" t="s">
        <v>90</v>
      </c>
      <c r="S34" s="39">
        <f t="shared" ref="S34:AF34" si="26">MAX(S10:S12)</f>
        <v>4</v>
      </c>
      <c r="T34" s="39">
        <f t="shared" si="26"/>
        <v>1</v>
      </c>
      <c r="U34" s="39">
        <f t="shared" si="26"/>
        <v>3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17</v>
      </c>
      <c r="AC34" s="39">
        <f t="shared" si="26"/>
        <v>5</v>
      </c>
      <c r="AD34" s="39">
        <f t="shared" si="26"/>
        <v>0</v>
      </c>
      <c r="AE34" s="40">
        <f t="shared" si="26"/>
        <v>27</v>
      </c>
      <c r="AF34" s="40">
        <f t="shared" si="26"/>
        <v>30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4</v>
      </c>
      <c r="M35" s="50">
        <v>0</v>
      </c>
      <c r="N35" s="50">
        <v>0</v>
      </c>
      <c r="O35" s="15">
        <f t="shared" si="0"/>
        <v>6</v>
      </c>
      <c r="P35" s="15">
        <f t="shared" si="1"/>
        <v>6</v>
      </c>
      <c r="R35" s="38" t="s">
        <v>91</v>
      </c>
      <c r="S35" s="39">
        <f t="shared" ref="S35:AF35" si="27">MAX(S13:S18)</f>
        <v>7</v>
      </c>
      <c r="T35" s="39">
        <f t="shared" si="27"/>
        <v>1</v>
      </c>
      <c r="U35" s="39">
        <f t="shared" si="27"/>
        <v>6</v>
      </c>
      <c r="V35" s="39">
        <f t="shared" si="27"/>
        <v>0</v>
      </c>
      <c r="W35" s="39">
        <f t="shared" si="27"/>
        <v>0</v>
      </c>
      <c r="X35" s="39">
        <f t="shared" si="27"/>
        <v>2</v>
      </c>
      <c r="Y35" s="39">
        <f t="shared" si="27"/>
        <v>4</v>
      </c>
      <c r="Z35" s="39">
        <f t="shared" si="27"/>
        <v>1</v>
      </c>
      <c r="AA35" s="39">
        <f t="shared" si="27"/>
        <v>0</v>
      </c>
      <c r="AB35" s="39">
        <f t="shared" si="27"/>
        <v>19</v>
      </c>
      <c r="AC35" s="39">
        <f t="shared" si="27"/>
        <v>7</v>
      </c>
      <c r="AD35" s="39">
        <f t="shared" si="27"/>
        <v>1</v>
      </c>
      <c r="AE35" s="40">
        <f t="shared" si="27"/>
        <v>36</v>
      </c>
      <c r="AF35" s="40">
        <f t="shared" si="27"/>
        <v>37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7</v>
      </c>
      <c r="M36" s="50">
        <v>1</v>
      </c>
      <c r="N36" s="50">
        <v>0</v>
      </c>
      <c r="O36" s="15">
        <f t="shared" si="0"/>
        <v>11</v>
      </c>
      <c r="P36" s="15">
        <f t="shared" si="1"/>
        <v>12</v>
      </c>
      <c r="R36" s="38" t="s">
        <v>92</v>
      </c>
      <c r="S36" s="39">
        <f t="shared" ref="S36:AF36" si="28">MAX(S19:S21)</f>
        <v>3</v>
      </c>
      <c r="T36" s="39">
        <f t="shared" si="28"/>
        <v>1</v>
      </c>
      <c r="U36" s="39">
        <f t="shared" si="28"/>
        <v>6</v>
      </c>
      <c r="V36" s="39">
        <f t="shared" si="28"/>
        <v>0</v>
      </c>
      <c r="W36" s="39">
        <f t="shared" si="28"/>
        <v>0</v>
      </c>
      <c r="X36" s="39">
        <f t="shared" si="28"/>
        <v>3</v>
      </c>
      <c r="Y36" s="39">
        <f t="shared" si="28"/>
        <v>0</v>
      </c>
      <c r="Z36" s="39">
        <f t="shared" si="28"/>
        <v>1</v>
      </c>
      <c r="AA36" s="39">
        <f t="shared" si="28"/>
        <v>0</v>
      </c>
      <c r="AB36" s="39">
        <f t="shared" si="28"/>
        <v>10</v>
      </c>
      <c r="AC36" s="39">
        <f t="shared" si="28"/>
        <v>2</v>
      </c>
      <c r="AD36" s="39">
        <f t="shared" si="28"/>
        <v>0</v>
      </c>
      <c r="AE36" s="40">
        <f t="shared" si="28"/>
        <v>18</v>
      </c>
      <c r="AF36" s="40">
        <f t="shared" si="28"/>
        <v>20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3</v>
      </c>
      <c r="M37" s="50">
        <v>0</v>
      </c>
      <c r="N37" s="50">
        <v>0</v>
      </c>
      <c r="O37" s="15">
        <f t="shared" si="0"/>
        <v>6</v>
      </c>
      <c r="P37" s="15">
        <f t="shared" si="1"/>
        <v>6</v>
      </c>
      <c r="R37" s="37" t="s">
        <v>85</v>
      </c>
      <c r="S37" s="35">
        <f t="shared" ref="S37:AF37" si="29">SUM(S10:S12)</f>
        <v>6</v>
      </c>
      <c r="T37" s="16">
        <f t="shared" si="29"/>
        <v>1</v>
      </c>
      <c r="U37" s="16">
        <f t="shared" si="29"/>
        <v>7</v>
      </c>
      <c r="V37" s="16">
        <f t="shared" si="29"/>
        <v>1</v>
      </c>
      <c r="W37" s="16">
        <f t="shared" si="29"/>
        <v>0</v>
      </c>
      <c r="X37" s="16">
        <f t="shared" si="29"/>
        <v>1</v>
      </c>
      <c r="Y37" s="16">
        <f t="shared" si="29"/>
        <v>7</v>
      </c>
      <c r="Z37" s="16">
        <f t="shared" si="29"/>
        <v>0</v>
      </c>
      <c r="AA37" s="16">
        <f t="shared" si="29"/>
        <v>0</v>
      </c>
      <c r="AB37" s="16">
        <f t="shared" si="29"/>
        <v>24</v>
      </c>
      <c r="AC37" s="16">
        <f t="shared" si="29"/>
        <v>9</v>
      </c>
      <c r="AD37" s="16">
        <f t="shared" si="29"/>
        <v>0</v>
      </c>
      <c r="AE37" s="32">
        <f t="shared" si="29"/>
        <v>47</v>
      </c>
      <c r="AF37" s="32">
        <f t="shared" si="29"/>
        <v>56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2</v>
      </c>
      <c r="P38" s="15">
        <f t="shared" si="1"/>
        <v>4</v>
      </c>
      <c r="R38" s="28" t="s">
        <v>86</v>
      </c>
      <c r="S38" s="16">
        <f t="shared" ref="S38:AF38" si="30">SUM(S13:S18)</f>
        <v>21</v>
      </c>
      <c r="T38" s="16">
        <f t="shared" si="30"/>
        <v>2</v>
      </c>
      <c r="U38" s="16">
        <f t="shared" si="30"/>
        <v>23</v>
      </c>
      <c r="V38" s="16">
        <f t="shared" si="30"/>
        <v>0</v>
      </c>
      <c r="W38" s="16">
        <f t="shared" si="30"/>
        <v>0</v>
      </c>
      <c r="X38" s="16">
        <f t="shared" si="30"/>
        <v>4</v>
      </c>
      <c r="Y38" s="16">
        <f t="shared" si="30"/>
        <v>11</v>
      </c>
      <c r="Z38" s="16">
        <f t="shared" si="30"/>
        <v>2</v>
      </c>
      <c r="AA38" s="16">
        <f t="shared" si="30"/>
        <v>0</v>
      </c>
      <c r="AB38" s="16">
        <f t="shared" si="30"/>
        <v>83</v>
      </c>
      <c r="AC38" s="16">
        <f t="shared" si="30"/>
        <v>26</v>
      </c>
      <c r="AD38" s="16">
        <f t="shared" si="30"/>
        <v>1</v>
      </c>
      <c r="AE38" s="32">
        <f t="shared" si="30"/>
        <v>147</v>
      </c>
      <c r="AF38" s="32">
        <f t="shared" si="30"/>
        <v>173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1</v>
      </c>
      <c r="P39" s="15">
        <f t="shared" si="1"/>
        <v>1</v>
      </c>
      <c r="R39" s="29" t="s">
        <v>87</v>
      </c>
      <c r="S39" s="16">
        <f t="shared" ref="S39:AF39" si="31">SUM(S19:S21)</f>
        <v>6</v>
      </c>
      <c r="T39" s="16">
        <f t="shared" si="31"/>
        <v>1</v>
      </c>
      <c r="U39" s="16">
        <f t="shared" si="31"/>
        <v>12</v>
      </c>
      <c r="V39" s="16">
        <f t="shared" si="31"/>
        <v>0</v>
      </c>
      <c r="W39" s="16">
        <f t="shared" si="31"/>
        <v>0</v>
      </c>
      <c r="X39" s="16">
        <f t="shared" si="31"/>
        <v>6</v>
      </c>
      <c r="Y39" s="16">
        <f t="shared" si="31"/>
        <v>0</v>
      </c>
      <c r="Z39" s="16">
        <f t="shared" si="31"/>
        <v>1</v>
      </c>
      <c r="AA39" s="16">
        <f t="shared" si="31"/>
        <v>0</v>
      </c>
      <c r="AB39" s="16">
        <f t="shared" si="31"/>
        <v>21</v>
      </c>
      <c r="AC39" s="16">
        <f t="shared" si="31"/>
        <v>3</v>
      </c>
      <c r="AD39" s="16">
        <f t="shared" si="31"/>
        <v>0</v>
      </c>
      <c r="AE39" s="32">
        <f t="shared" si="31"/>
        <v>47</v>
      </c>
      <c r="AF39" s="32">
        <f t="shared" si="31"/>
        <v>50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7</v>
      </c>
      <c r="M40" s="50">
        <v>1</v>
      </c>
      <c r="N40" s="50">
        <v>0</v>
      </c>
      <c r="O40" s="15">
        <f t="shared" si="0"/>
        <v>11</v>
      </c>
      <c r="P40" s="15">
        <f t="shared" si="1"/>
        <v>12</v>
      </c>
      <c r="R40" s="5" t="s">
        <v>17</v>
      </c>
      <c r="S40" s="16">
        <f t="shared" ref="S40:AF40" si="32">SUM(S10:S21)</f>
        <v>33</v>
      </c>
      <c r="T40" s="16">
        <f t="shared" si="32"/>
        <v>4</v>
      </c>
      <c r="U40" s="16">
        <f t="shared" si="32"/>
        <v>42</v>
      </c>
      <c r="V40" s="16">
        <f t="shared" si="32"/>
        <v>1</v>
      </c>
      <c r="W40" s="16">
        <f t="shared" si="32"/>
        <v>0</v>
      </c>
      <c r="X40" s="16">
        <f t="shared" si="32"/>
        <v>11</v>
      </c>
      <c r="Y40" s="16">
        <f t="shared" si="32"/>
        <v>18</v>
      </c>
      <c r="Z40" s="16">
        <f t="shared" si="32"/>
        <v>3</v>
      </c>
      <c r="AA40" s="16">
        <f t="shared" si="32"/>
        <v>0</v>
      </c>
      <c r="AB40" s="16">
        <f t="shared" si="32"/>
        <v>128</v>
      </c>
      <c r="AC40" s="16">
        <f t="shared" si="32"/>
        <v>38</v>
      </c>
      <c r="AD40" s="16">
        <f t="shared" si="32"/>
        <v>1</v>
      </c>
      <c r="AE40" s="32">
        <f t="shared" si="32"/>
        <v>241</v>
      </c>
      <c r="AF40" s="32">
        <f t="shared" si="32"/>
        <v>279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2</v>
      </c>
      <c r="P41" s="15">
        <f t="shared" si="1"/>
        <v>4</v>
      </c>
      <c r="R41" s="5" t="s">
        <v>159</v>
      </c>
      <c r="S41" s="16">
        <f>SUM(S10:S33)</f>
        <v>34</v>
      </c>
      <c r="T41" s="16">
        <f t="shared" ref="T41:AF41" si="33">SUM(T10:T33)</f>
        <v>6</v>
      </c>
      <c r="U41" s="16">
        <f t="shared" si="33"/>
        <v>50</v>
      </c>
      <c r="V41" s="16">
        <f t="shared" si="33"/>
        <v>4</v>
      </c>
      <c r="W41" s="16">
        <f t="shared" si="33"/>
        <v>0</v>
      </c>
      <c r="X41" s="16">
        <f t="shared" si="33"/>
        <v>11</v>
      </c>
      <c r="Y41" s="16">
        <f t="shared" si="33"/>
        <v>18</v>
      </c>
      <c r="Z41" s="16">
        <f t="shared" si="33"/>
        <v>4</v>
      </c>
      <c r="AA41" s="16">
        <f t="shared" si="33"/>
        <v>0</v>
      </c>
      <c r="AB41" s="16">
        <f t="shared" si="33"/>
        <v>138</v>
      </c>
      <c r="AC41" s="16">
        <f t="shared" si="33"/>
        <v>38</v>
      </c>
      <c r="AD41" s="16">
        <f t="shared" si="33"/>
        <v>1</v>
      </c>
      <c r="AE41" s="32">
        <f t="shared" si="33"/>
        <v>266</v>
      </c>
      <c r="AF41" s="32">
        <f t="shared" si="33"/>
        <v>304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3</v>
      </c>
      <c r="M42" s="50">
        <v>1</v>
      </c>
      <c r="N42" s="50">
        <v>0</v>
      </c>
      <c r="O42" s="15">
        <f t="shared" si="0"/>
        <v>7</v>
      </c>
      <c r="P42" s="15">
        <f t="shared" si="1"/>
        <v>8</v>
      </c>
      <c r="R42" s="5" t="s">
        <v>160</v>
      </c>
      <c r="S42" s="48">
        <f>S41/S40</f>
        <v>1.0303030303030303</v>
      </c>
      <c r="T42" s="48">
        <f t="shared" ref="T42:AF42" si="34">T41/T40</f>
        <v>1.5</v>
      </c>
      <c r="U42" s="48">
        <f t="shared" si="34"/>
        <v>1.1904761904761905</v>
      </c>
      <c r="V42" s="48">
        <f t="shared" si="34"/>
        <v>4</v>
      </c>
      <c r="W42" s="48" t="e">
        <f t="shared" si="34"/>
        <v>#DIV/0!</v>
      </c>
      <c r="X42" s="48">
        <f t="shared" si="34"/>
        <v>1</v>
      </c>
      <c r="Y42" s="48">
        <f t="shared" si="34"/>
        <v>1</v>
      </c>
      <c r="Z42" s="48">
        <f t="shared" si="34"/>
        <v>1.3333333333333333</v>
      </c>
      <c r="AA42" s="48" t="e">
        <f t="shared" si="34"/>
        <v>#DIV/0!</v>
      </c>
      <c r="AB42" s="48">
        <f t="shared" si="34"/>
        <v>1.078125</v>
      </c>
      <c r="AC42" s="48">
        <f t="shared" si="34"/>
        <v>1</v>
      </c>
      <c r="AD42" s="48">
        <f t="shared" si="34"/>
        <v>1</v>
      </c>
      <c r="AE42" s="48">
        <f t="shared" si="34"/>
        <v>1.103734439834025</v>
      </c>
      <c r="AF42" s="48">
        <f t="shared" si="34"/>
        <v>1.0896057347670252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4</v>
      </c>
      <c r="P44" s="15">
        <f t="shared" si="1"/>
        <v>5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2</v>
      </c>
      <c r="M45" s="50">
        <v>4</v>
      </c>
      <c r="N45" s="50">
        <v>0</v>
      </c>
      <c r="O45" s="15">
        <f t="shared" si="0"/>
        <v>4</v>
      </c>
      <c r="P45" s="15">
        <f t="shared" si="1"/>
        <v>8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</v>
      </c>
      <c r="P46" s="15">
        <f t="shared" si="1"/>
        <v>1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3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1</v>
      </c>
      <c r="E49" s="50">
        <v>2</v>
      </c>
      <c r="F49" s="50">
        <v>0</v>
      </c>
      <c r="G49" s="50">
        <v>0</v>
      </c>
      <c r="H49" s="50">
        <v>2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7</v>
      </c>
      <c r="P49" s="15">
        <f t="shared" si="1"/>
        <v>7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2</v>
      </c>
      <c r="M50" s="50">
        <v>0</v>
      </c>
      <c r="N50" s="50">
        <v>0</v>
      </c>
      <c r="O50" s="15">
        <f t="shared" si="0"/>
        <v>6</v>
      </c>
      <c r="P50" s="15">
        <f t="shared" si="1"/>
        <v>6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2</v>
      </c>
      <c r="I51" s="50">
        <v>0</v>
      </c>
      <c r="J51" s="50">
        <v>0</v>
      </c>
      <c r="K51" s="50">
        <v>0</v>
      </c>
      <c r="L51" s="50">
        <v>2</v>
      </c>
      <c r="M51" s="50">
        <v>1</v>
      </c>
      <c r="N51" s="50">
        <v>0</v>
      </c>
      <c r="O51" s="15">
        <f t="shared" si="0"/>
        <v>6</v>
      </c>
      <c r="P51" s="15">
        <f t="shared" si="1"/>
        <v>7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4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2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3</v>
      </c>
      <c r="M54" s="50">
        <v>0</v>
      </c>
      <c r="N54" s="50">
        <v>0</v>
      </c>
      <c r="O54" s="15">
        <f t="shared" si="0"/>
        <v>4</v>
      </c>
      <c r="P54" s="15">
        <f t="shared" si="1"/>
        <v>4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0</v>
      </c>
      <c r="N55" s="50">
        <v>0</v>
      </c>
      <c r="O55" s="15">
        <f t="shared" si="0"/>
        <v>2</v>
      </c>
      <c r="P55" s="15">
        <f t="shared" si="1"/>
        <v>2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5</v>
      </c>
      <c r="M57" s="50">
        <v>0</v>
      </c>
      <c r="N57" s="50">
        <v>0</v>
      </c>
      <c r="O57" s="15">
        <f t="shared" si="0"/>
        <v>5</v>
      </c>
      <c r="P57" s="15">
        <f t="shared" si="1"/>
        <v>5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1</v>
      </c>
      <c r="K58" s="50">
        <v>0</v>
      </c>
      <c r="L58" s="50">
        <v>3</v>
      </c>
      <c r="M58" s="50">
        <v>0</v>
      </c>
      <c r="N58" s="50">
        <v>0</v>
      </c>
      <c r="O58" s="15">
        <f t="shared" si="0"/>
        <v>7</v>
      </c>
      <c r="P58" s="15">
        <f t="shared" si="1"/>
        <v>7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1</v>
      </c>
      <c r="E59" s="50">
        <v>3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3</v>
      </c>
      <c r="M59" s="50">
        <v>0</v>
      </c>
      <c r="N59" s="50">
        <v>0</v>
      </c>
      <c r="O59" s="15">
        <f t="shared" si="0"/>
        <v>7</v>
      </c>
      <c r="P59" s="15">
        <f t="shared" si="1"/>
        <v>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2</v>
      </c>
      <c r="F60" s="50">
        <v>2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1</v>
      </c>
      <c r="M60" s="50">
        <v>0</v>
      </c>
      <c r="N60" s="50">
        <v>0</v>
      </c>
      <c r="O60" s="15">
        <f t="shared" si="0"/>
        <v>5</v>
      </c>
      <c r="P60" s="15">
        <f t="shared" si="1"/>
        <v>5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1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3</v>
      </c>
      <c r="M61" s="50">
        <v>0</v>
      </c>
      <c r="N61" s="50">
        <v>0</v>
      </c>
      <c r="O61" s="15">
        <f t="shared" si="0"/>
        <v>6</v>
      </c>
      <c r="P61" s="15">
        <f t="shared" si="1"/>
        <v>6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</v>
      </c>
      <c r="D106" s="16">
        <f t="shared" ref="D106:P106" si="37">SUM(D10:D105)</f>
        <v>6</v>
      </c>
      <c r="E106" s="16">
        <f t="shared" si="37"/>
        <v>50</v>
      </c>
      <c r="F106" s="16">
        <f t="shared" si="37"/>
        <v>4</v>
      </c>
      <c r="G106" s="16">
        <f t="shared" si="37"/>
        <v>0</v>
      </c>
      <c r="H106" s="16">
        <f t="shared" si="37"/>
        <v>11</v>
      </c>
      <c r="I106" s="16">
        <f t="shared" si="37"/>
        <v>18</v>
      </c>
      <c r="J106" s="16">
        <f t="shared" si="37"/>
        <v>4</v>
      </c>
      <c r="K106" s="16">
        <f t="shared" si="37"/>
        <v>0</v>
      </c>
      <c r="L106" s="16">
        <f t="shared" si="37"/>
        <v>138</v>
      </c>
      <c r="M106" s="16">
        <f t="shared" si="37"/>
        <v>38</v>
      </c>
      <c r="N106" s="16">
        <f t="shared" si="37"/>
        <v>1</v>
      </c>
      <c r="O106" s="16">
        <f t="shared" si="37"/>
        <v>266</v>
      </c>
      <c r="P106" s="16">
        <f t="shared" si="37"/>
        <v>304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0.1118421052631579</v>
      </c>
      <c r="D107" s="43">
        <f t="shared" si="38"/>
        <v>1.9736842105263157E-2</v>
      </c>
      <c r="E107" s="43">
        <f t="shared" si="38"/>
        <v>0.16447368421052633</v>
      </c>
      <c r="F107" s="43">
        <f t="shared" si="38"/>
        <v>1.3157894736842105E-2</v>
      </c>
      <c r="G107" s="43">
        <f t="shared" si="38"/>
        <v>0</v>
      </c>
      <c r="H107" s="43">
        <f t="shared" si="38"/>
        <v>3.6184210526315791E-2</v>
      </c>
      <c r="I107" s="43">
        <f t="shared" si="38"/>
        <v>5.921052631578947E-2</v>
      </c>
      <c r="J107" s="43">
        <f t="shared" si="38"/>
        <v>1.3157894736842105E-2</v>
      </c>
      <c r="K107" s="43">
        <f t="shared" si="38"/>
        <v>0</v>
      </c>
      <c r="L107" s="43">
        <f t="shared" si="38"/>
        <v>0.45394736842105265</v>
      </c>
      <c r="M107" s="43">
        <f t="shared" si="38"/>
        <v>0.125</v>
      </c>
      <c r="N107" s="43">
        <f t="shared" si="38"/>
        <v>3.2894736842105261E-3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0.12781954887218044</v>
      </c>
      <c r="D108" s="44">
        <f t="shared" ref="D108:N108" si="39">D106/$O$106</f>
        <v>2.2556390977443608E-2</v>
      </c>
      <c r="E108" s="44">
        <f t="shared" si="39"/>
        <v>0.18796992481203006</v>
      </c>
      <c r="F108" s="44">
        <f t="shared" si="39"/>
        <v>1.5037593984962405E-2</v>
      </c>
      <c r="G108" s="44">
        <f t="shared" si="39"/>
        <v>0</v>
      </c>
      <c r="H108" s="44">
        <f t="shared" si="39"/>
        <v>4.1353383458646614E-2</v>
      </c>
      <c r="I108" s="44">
        <f t="shared" si="39"/>
        <v>6.7669172932330823E-2</v>
      </c>
      <c r="J108" s="44">
        <f t="shared" si="39"/>
        <v>1.5037593984962405E-2</v>
      </c>
      <c r="K108" s="44">
        <f t="shared" si="39"/>
        <v>0</v>
      </c>
      <c r="L108" s="44">
        <f t="shared" si="39"/>
        <v>0.51879699248120303</v>
      </c>
      <c r="M108" s="44"/>
      <c r="N108" s="44">
        <f t="shared" si="39"/>
        <v>3.7593984962406013E-3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9" zoomScale="60" workbookViewId="0">
      <selection activeCell="D12" sqref="D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'04.07 GULU-NIMULE-24h'!G5:H5</f>
        <v>ELEGU</v>
      </c>
      <c r="H5" s="67"/>
      <c r="I5" s="14"/>
      <c r="J5" s="2" t="s">
        <v>5</v>
      </c>
      <c r="K5" s="66" t="str">
        <f>'04.07 GULU-NIMULE-24h'!K5:L5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'04.07 GULU-NIMULE-24h'!K6:L6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10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16</v>
      </c>
      <c r="AD10" s="17">
        <f t="shared" si="2"/>
        <v>0</v>
      </c>
      <c r="AE10" s="31">
        <f t="shared" si="2"/>
        <v>13</v>
      </c>
      <c r="AF10" s="31">
        <f t="shared" si="2"/>
        <v>29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2</v>
      </c>
      <c r="P11" s="15">
        <f t="shared" si="1"/>
        <v>3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16</v>
      </c>
      <c r="AC11" s="17">
        <f t="shared" si="3"/>
        <v>4</v>
      </c>
      <c r="AD11" s="17">
        <f t="shared" si="3"/>
        <v>0</v>
      </c>
      <c r="AE11" s="31">
        <f t="shared" si="3"/>
        <v>25</v>
      </c>
      <c r="AF11" s="31">
        <f t="shared" si="3"/>
        <v>29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2</v>
      </c>
      <c r="P12" s="15">
        <f t="shared" si="1"/>
        <v>5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5</v>
      </c>
      <c r="AC12" s="17">
        <f t="shared" si="4"/>
        <v>6</v>
      </c>
      <c r="AD12" s="17">
        <f t="shared" si="4"/>
        <v>0</v>
      </c>
      <c r="AE12" s="31">
        <f t="shared" si="4"/>
        <v>14</v>
      </c>
      <c r="AF12" s="31">
        <f t="shared" si="4"/>
        <v>20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4</v>
      </c>
      <c r="M13" s="50">
        <v>6</v>
      </c>
      <c r="N13" s="50">
        <v>0</v>
      </c>
      <c r="O13" s="15">
        <f t="shared" si="0"/>
        <v>5</v>
      </c>
      <c r="P13" s="15">
        <f t="shared" si="1"/>
        <v>11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5</v>
      </c>
      <c r="AC13" s="17">
        <f t="shared" si="5"/>
        <v>4</v>
      </c>
      <c r="AD13" s="17">
        <f t="shared" si="5"/>
        <v>0</v>
      </c>
      <c r="AE13" s="31">
        <f t="shared" si="5"/>
        <v>9</v>
      </c>
      <c r="AF13" s="31">
        <f t="shared" si="5"/>
        <v>13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6</v>
      </c>
      <c r="M14" s="50">
        <v>1</v>
      </c>
      <c r="N14" s="50">
        <v>0</v>
      </c>
      <c r="O14" s="15">
        <f t="shared" si="0"/>
        <v>8</v>
      </c>
      <c r="P14" s="15">
        <f t="shared" si="1"/>
        <v>9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9</v>
      </c>
      <c r="AC14" s="17">
        <f t="shared" si="6"/>
        <v>4</v>
      </c>
      <c r="AD14" s="17">
        <f t="shared" si="6"/>
        <v>0</v>
      </c>
      <c r="AE14" s="31">
        <f t="shared" si="6"/>
        <v>15</v>
      </c>
      <c r="AF14" s="31">
        <f t="shared" si="6"/>
        <v>19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1</v>
      </c>
      <c r="N15" s="50">
        <v>0</v>
      </c>
      <c r="O15" s="15">
        <f t="shared" si="0"/>
        <v>6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10</v>
      </c>
      <c r="AD15" s="17">
        <f t="shared" si="7"/>
        <v>0</v>
      </c>
      <c r="AE15" s="31">
        <f t="shared" si="7"/>
        <v>7</v>
      </c>
      <c r="AF15" s="31">
        <f t="shared" si="7"/>
        <v>17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5</v>
      </c>
      <c r="M16" s="50">
        <v>1</v>
      </c>
      <c r="N16" s="50">
        <v>0</v>
      </c>
      <c r="O16" s="15">
        <f t="shared" si="0"/>
        <v>5</v>
      </c>
      <c r="P16" s="15">
        <f t="shared" si="1"/>
        <v>6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5</v>
      </c>
      <c r="AD16" s="17">
        <f t="shared" si="8"/>
        <v>0</v>
      </c>
      <c r="AE16" s="31">
        <f t="shared" si="8"/>
        <v>10</v>
      </c>
      <c r="AF16" s="31">
        <f t="shared" si="8"/>
        <v>15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1</v>
      </c>
      <c r="I17" s="50">
        <v>1</v>
      </c>
      <c r="J17" s="50">
        <v>0</v>
      </c>
      <c r="K17" s="50">
        <v>0</v>
      </c>
      <c r="L17" s="50">
        <v>1</v>
      </c>
      <c r="M17" s="50">
        <v>1</v>
      </c>
      <c r="N17" s="50">
        <v>0</v>
      </c>
      <c r="O17" s="15">
        <f t="shared" si="0"/>
        <v>6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7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4</v>
      </c>
      <c r="AC17" s="17">
        <f t="shared" si="9"/>
        <v>8</v>
      </c>
      <c r="AD17" s="17">
        <f t="shared" si="9"/>
        <v>0</v>
      </c>
      <c r="AE17" s="31">
        <f t="shared" si="9"/>
        <v>13</v>
      </c>
      <c r="AF17" s="31">
        <f t="shared" si="9"/>
        <v>21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4</v>
      </c>
      <c r="P18" s="15">
        <f t="shared" si="1"/>
        <v>5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4</v>
      </c>
      <c r="AD18" s="17">
        <f t="shared" si="10"/>
        <v>0</v>
      </c>
      <c r="AE18" s="31">
        <f t="shared" si="10"/>
        <v>13</v>
      </c>
      <c r="AF18" s="31">
        <f t="shared" si="10"/>
        <v>17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1</v>
      </c>
      <c r="J19" s="50">
        <v>0</v>
      </c>
      <c r="K19" s="50">
        <v>1</v>
      </c>
      <c r="L19" s="50">
        <v>1</v>
      </c>
      <c r="M19" s="50">
        <v>1</v>
      </c>
      <c r="N19" s="50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4</v>
      </c>
      <c r="AD19" s="17">
        <f t="shared" si="11"/>
        <v>0</v>
      </c>
      <c r="AE19" s="31">
        <f t="shared" si="11"/>
        <v>9</v>
      </c>
      <c r="AF19" s="31">
        <f t="shared" si="11"/>
        <v>13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3</v>
      </c>
      <c r="AD20" s="17">
        <f t="shared" si="12"/>
        <v>0</v>
      </c>
      <c r="AE20" s="31">
        <f t="shared" si="12"/>
        <v>9</v>
      </c>
      <c r="AF20" s="31">
        <f t="shared" si="12"/>
        <v>12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2</v>
      </c>
      <c r="N21" s="50">
        <v>0</v>
      </c>
      <c r="O21" s="15">
        <f t="shared" si="0"/>
        <v>3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3</v>
      </c>
      <c r="AA21" s="17">
        <f t="shared" si="13"/>
        <v>0</v>
      </c>
      <c r="AB21" s="17">
        <f t="shared" si="13"/>
        <v>5</v>
      </c>
      <c r="AC21" s="17">
        <f t="shared" si="13"/>
        <v>4</v>
      </c>
      <c r="AD21" s="17">
        <f t="shared" si="13"/>
        <v>0</v>
      </c>
      <c r="AE21" s="31">
        <f t="shared" si="13"/>
        <v>12</v>
      </c>
      <c r="AF21" s="31">
        <f t="shared" si="13"/>
        <v>16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6" t="s">
        <v>146</v>
      </c>
      <c r="S22" s="34">
        <f>SUM(C58:C61)</f>
        <v>1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1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6</v>
      </c>
      <c r="AD22" s="34">
        <f t="shared" si="14"/>
        <v>0</v>
      </c>
      <c r="AE22" s="31">
        <f t="shared" si="14"/>
        <v>6</v>
      </c>
      <c r="AF22" s="31">
        <f t="shared" si="14"/>
        <v>12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0</v>
      </c>
      <c r="N23" s="50">
        <v>0</v>
      </c>
      <c r="O23" s="15">
        <f t="shared" si="0"/>
        <v>3</v>
      </c>
      <c r="P23" s="15">
        <f t="shared" si="1"/>
        <v>3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3</v>
      </c>
      <c r="P24" s="15">
        <f t="shared" si="1"/>
        <v>4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5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0</v>
      </c>
      <c r="N27" s="50">
        <v>0</v>
      </c>
      <c r="O27" s="15">
        <f t="shared" si="0"/>
        <v>2</v>
      </c>
      <c r="P27" s="15">
        <f t="shared" si="1"/>
        <v>2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2</v>
      </c>
      <c r="P28" s="15">
        <f t="shared" si="1"/>
        <v>5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2</v>
      </c>
      <c r="M29" s="50">
        <v>1</v>
      </c>
      <c r="N29" s="50">
        <v>0</v>
      </c>
      <c r="O29" s="15">
        <f t="shared" si="0"/>
        <v>6</v>
      </c>
      <c r="P29" s="15">
        <f t="shared" si="1"/>
        <v>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0</v>
      </c>
      <c r="N30" s="50">
        <v>0</v>
      </c>
      <c r="O30" s="15">
        <f t="shared" si="0"/>
        <v>2</v>
      </c>
      <c r="P30" s="15">
        <f t="shared" si="1"/>
        <v>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3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0</v>
      </c>
      <c r="P32" s="15">
        <f t="shared" si="1"/>
        <v>3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1</v>
      </c>
      <c r="P33" s="15">
        <f t="shared" si="1"/>
        <v>6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4</v>
      </c>
      <c r="P34" s="15">
        <f t="shared" si="1"/>
        <v>5</v>
      </c>
      <c r="R34" s="38" t="s">
        <v>90</v>
      </c>
      <c r="S34" s="39">
        <f t="shared" ref="S34:AF34" si="26">MAX(S10:S12)</f>
        <v>5</v>
      </c>
      <c r="T34" s="39">
        <f t="shared" si="26"/>
        <v>0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2</v>
      </c>
      <c r="Y34" s="39">
        <f t="shared" si="26"/>
        <v>2</v>
      </c>
      <c r="Z34" s="39">
        <f t="shared" si="26"/>
        <v>1</v>
      </c>
      <c r="AA34" s="39">
        <f t="shared" si="26"/>
        <v>1</v>
      </c>
      <c r="AB34" s="39">
        <f t="shared" si="26"/>
        <v>16</v>
      </c>
      <c r="AC34" s="39">
        <f t="shared" si="26"/>
        <v>16</v>
      </c>
      <c r="AD34" s="39">
        <f t="shared" si="26"/>
        <v>0</v>
      </c>
      <c r="AE34" s="40">
        <f t="shared" si="26"/>
        <v>25</v>
      </c>
      <c r="AF34" s="40">
        <f t="shared" si="26"/>
        <v>29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  <c r="R35" s="38" t="s">
        <v>91</v>
      </c>
      <c r="S35" s="39">
        <f t="shared" ref="S35:AF35" si="27">MAX(S13:S18)</f>
        <v>2</v>
      </c>
      <c r="T35" s="39">
        <f t="shared" si="27"/>
        <v>0</v>
      </c>
      <c r="U35" s="39">
        <f t="shared" si="27"/>
        <v>7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3</v>
      </c>
      <c r="Z35" s="39">
        <f t="shared" si="27"/>
        <v>1</v>
      </c>
      <c r="AA35" s="39">
        <f t="shared" si="27"/>
        <v>1</v>
      </c>
      <c r="AB35" s="39">
        <f t="shared" si="27"/>
        <v>9</v>
      </c>
      <c r="AC35" s="39">
        <f t="shared" si="27"/>
        <v>10</v>
      </c>
      <c r="AD35" s="39">
        <f t="shared" si="27"/>
        <v>0</v>
      </c>
      <c r="AE35" s="40">
        <f t="shared" si="27"/>
        <v>15</v>
      </c>
      <c r="AF35" s="40">
        <f t="shared" si="27"/>
        <v>21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1</v>
      </c>
      <c r="P36" s="15">
        <f t="shared" si="1"/>
        <v>3</v>
      </c>
      <c r="R36" s="38" t="s">
        <v>92</v>
      </c>
      <c r="S36" s="39">
        <f t="shared" ref="S36:AF36" si="28">MAX(S19:S21)</f>
        <v>1</v>
      </c>
      <c r="T36" s="39">
        <f t="shared" si="28"/>
        <v>0</v>
      </c>
      <c r="U36" s="39">
        <f t="shared" si="28"/>
        <v>6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3</v>
      </c>
      <c r="AA36" s="39">
        <f t="shared" si="28"/>
        <v>0</v>
      </c>
      <c r="AB36" s="39">
        <f t="shared" si="28"/>
        <v>5</v>
      </c>
      <c r="AC36" s="39">
        <f t="shared" si="28"/>
        <v>4</v>
      </c>
      <c r="AD36" s="39">
        <f t="shared" si="28"/>
        <v>0</v>
      </c>
      <c r="AE36" s="40">
        <f t="shared" si="28"/>
        <v>12</v>
      </c>
      <c r="AF36" s="40">
        <f t="shared" si="28"/>
        <v>16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0</v>
      </c>
      <c r="N37" s="50">
        <v>0</v>
      </c>
      <c r="O37" s="15">
        <f t="shared" si="0"/>
        <v>4</v>
      </c>
      <c r="P37" s="15">
        <f t="shared" si="1"/>
        <v>4</v>
      </c>
      <c r="R37" s="37" t="s">
        <v>85</v>
      </c>
      <c r="S37" s="35">
        <f t="shared" ref="S37:AF37" si="29">SUM(S10:S12)</f>
        <v>11</v>
      </c>
      <c r="T37" s="16">
        <f t="shared" si="29"/>
        <v>0</v>
      </c>
      <c r="U37" s="16">
        <f t="shared" si="29"/>
        <v>5</v>
      </c>
      <c r="V37" s="16">
        <f t="shared" si="29"/>
        <v>0</v>
      </c>
      <c r="W37" s="16">
        <f t="shared" si="29"/>
        <v>0</v>
      </c>
      <c r="X37" s="16">
        <f t="shared" si="29"/>
        <v>3</v>
      </c>
      <c r="Y37" s="16">
        <f t="shared" si="29"/>
        <v>5</v>
      </c>
      <c r="Z37" s="16">
        <f t="shared" si="29"/>
        <v>2</v>
      </c>
      <c r="AA37" s="16">
        <f t="shared" si="29"/>
        <v>1</v>
      </c>
      <c r="AB37" s="16">
        <f t="shared" si="29"/>
        <v>25</v>
      </c>
      <c r="AC37" s="16">
        <f t="shared" si="29"/>
        <v>26</v>
      </c>
      <c r="AD37" s="16">
        <f t="shared" si="29"/>
        <v>0</v>
      </c>
      <c r="AE37" s="32">
        <f t="shared" si="29"/>
        <v>52</v>
      </c>
      <c r="AF37" s="32">
        <f t="shared" si="29"/>
        <v>78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1</v>
      </c>
      <c r="M38" s="50">
        <v>4</v>
      </c>
      <c r="N38" s="50">
        <v>0</v>
      </c>
      <c r="O38" s="15">
        <f t="shared" si="0"/>
        <v>6</v>
      </c>
      <c r="P38" s="15">
        <f t="shared" si="1"/>
        <v>10</v>
      </c>
      <c r="R38" s="28" t="s">
        <v>86</v>
      </c>
      <c r="S38" s="16">
        <f t="shared" ref="S38:AF38" si="30">SUM(S13:S18)</f>
        <v>8</v>
      </c>
      <c r="T38" s="16">
        <f t="shared" si="30"/>
        <v>0</v>
      </c>
      <c r="U38" s="16">
        <f t="shared" si="30"/>
        <v>23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6</v>
      </c>
      <c r="Z38" s="16">
        <f t="shared" si="30"/>
        <v>1</v>
      </c>
      <c r="AA38" s="16">
        <f t="shared" si="30"/>
        <v>1</v>
      </c>
      <c r="AB38" s="16">
        <f t="shared" si="30"/>
        <v>28</v>
      </c>
      <c r="AC38" s="16">
        <f t="shared" si="30"/>
        <v>35</v>
      </c>
      <c r="AD38" s="16">
        <f t="shared" si="30"/>
        <v>0</v>
      </c>
      <c r="AE38" s="32">
        <f t="shared" si="30"/>
        <v>67</v>
      </c>
      <c r="AF38" s="32">
        <f t="shared" si="30"/>
        <v>102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1</v>
      </c>
      <c r="P39" s="15">
        <f t="shared" si="1"/>
        <v>1</v>
      </c>
      <c r="R39" s="29" t="s">
        <v>87</v>
      </c>
      <c r="S39" s="16">
        <f t="shared" ref="S39:AF39" si="31">SUM(S19:S21)</f>
        <v>2</v>
      </c>
      <c r="T39" s="16">
        <f t="shared" si="31"/>
        <v>0</v>
      </c>
      <c r="U39" s="16">
        <f t="shared" si="31"/>
        <v>14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3</v>
      </c>
      <c r="Z39" s="16">
        <f t="shared" si="31"/>
        <v>3</v>
      </c>
      <c r="AA39" s="16">
        <f t="shared" si="31"/>
        <v>0</v>
      </c>
      <c r="AB39" s="16">
        <f t="shared" si="31"/>
        <v>8</v>
      </c>
      <c r="AC39" s="16">
        <f t="shared" si="31"/>
        <v>11</v>
      </c>
      <c r="AD39" s="16">
        <f t="shared" si="31"/>
        <v>0</v>
      </c>
      <c r="AE39" s="32">
        <f t="shared" si="31"/>
        <v>30</v>
      </c>
      <c r="AF39" s="32">
        <f t="shared" si="31"/>
        <v>41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  <c r="R40" s="5" t="s">
        <v>17</v>
      </c>
      <c r="S40" s="16">
        <f t="shared" ref="S40:AF40" si="32">SUM(S10:S21)</f>
        <v>21</v>
      </c>
      <c r="T40" s="16">
        <f t="shared" si="32"/>
        <v>0</v>
      </c>
      <c r="U40" s="16">
        <f t="shared" si="32"/>
        <v>42</v>
      </c>
      <c r="V40" s="16">
        <f t="shared" si="32"/>
        <v>0</v>
      </c>
      <c r="W40" s="16">
        <f t="shared" si="32"/>
        <v>0</v>
      </c>
      <c r="X40" s="16">
        <f t="shared" si="32"/>
        <v>3</v>
      </c>
      <c r="Y40" s="16">
        <f t="shared" si="32"/>
        <v>14</v>
      </c>
      <c r="Z40" s="16">
        <f t="shared" si="32"/>
        <v>6</v>
      </c>
      <c r="AA40" s="16">
        <f t="shared" si="32"/>
        <v>2</v>
      </c>
      <c r="AB40" s="16">
        <f t="shared" si="32"/>
        <v>61</v>
      </c>
      <c r="AC40" s="16">
        <f t="shared" si="32"/>
        <v>72</v>
      </c>
      <c r="AD40" s="16">
        <f t="shared" si="32"/>
        <v>0</v>
      </c>
      <c r="AE40" s="32">
        <f t="shared" si="32"/>
        <v>149</v>
      </c>
      <c r="AF40" s="32">
        <f t="shared" si="32"/>
        <v>221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2</v>
      </c>
      <c r="M41" s="50">
        <v>1</v>
      </c>
      <c r="N41" s="50">
        <v>0</v>
      </c>
      <c r="O41" s="15">
        <f t="shared" si="0"/>
        <v>3</v>
      </c>
      <c r="P41" s="15">
        <f t="shared" si="1"/>
        <v>4</v>
      </c>
      <c r="R41" s="5" t="s">
        <v>159</v>
      </c>
      <c r="S41" s="16">
        <f>SUM(S10:S33)</f>
        <v>22</v>
      </c>
      <c r="T41" s="16">
        <f t="shared" ref="T41:AF41" si="33">SUM(T10:T33)</f>
        <v>0</v>
      </c>
      <c r="U41" s="16">
        <f t="shared" si="33"/>
        <v>45</v>
      </c>
      <c r="V41" s="16">
        <f t="shared" si="33"/>
        <v>0</v>
      </c>
      <c r="W41" s="16">
        <f t="shared" si="33"/>
        <v>0</v>
      </c>
      <c r="X41" s="16">
        <f t="shared" si="33"/>
        <v>4</v>
      </c>
      <c r="Y41" s="16">
        <f t="shared" si="33"/>
        <v>15</v>
      </c>
      <c r="Z41" s="16">
        <f t="shared" si="33"/>
        <v>6</v>
      </c>
      <c r="AA41" s="16">
        <f t="shared" si="33"/>
        <v>2</v>
      </c>
      <c r="AB41" s="16">
        <f t="shared" si="33"/>
        <v>61</v>
      </c>
      <c r="AC41" s="16">
        <f t="shared" si="33"/>
        <v>78</v>
      </c>
      <c r="AD41" s="16">
        <f t="shared" si="33"/>
        <v>0</v>
      </c>
      <c r="AE41" s="32">
        <f t="shared" si="33"/>
        <v>155</v>
      </c>
      <c r="AF41" s="32">
        <f t="shared" si="33"/>
        <v>233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2</v>
      </c>
      <c r="M42" s="50">
        <v>2</v>
      </c>
      <c r="N42" s="50">
        <v>0</v>
      </c>
      <c r="O42" s="15">
        <f t="shared" si="0"/>
        <v>2</v>
      </c>
      <c r="P42" s="15">
        <f t="shared" si="1"/>
        <v>4</v>
      </c>
      <c r="R42" s="5" t="s">
        <v>160</v>
      </c>
      <c r="S42" s="48">
        <f>S41/S40</f>
        <v>1.0476190476190477</v>
      </c>
      <c r="T42" s="48" t="e">
        <f t="shared" ref="T42:AF42" si="34">T41/T40</f>
        <v>#DIV/0!</v>
      </c>
      <c r="U42" s="48">
        <f t="shared" si="34"/>
        <v>1.0714285714285714</v>
      </c>
      <c r="V42" s="48" t="e">
        <f t="shared" si="34"/>
        <v>#DIV/0!</v>
      </c>
      <c r="W42" s="48" t="e">
        <f t="shared" si="34"/>
        <v>#DIV/0!</v>
      </c>
      <c r="X42" s="48">
        <f t="shared" si="34"/>
        <v>1.3333333333333333</v>
      </c>
      <c r="Y42" s="48">
        <f t="shared" si="34"/>
        <v>1.0714285714285714</v>
      </c>
      <c r="Z42" s="48">
        <f t="shared" si="34"/>
        <v>1</v>
      </c>
      <c r="AA42" s="48">
        <f t="shared" si="34"/>
        <v>1</v>
      </c>
      <c r="AB42" s="48">
        <f t="shared" si="34"/>
        <v>1</v>
      </c>
      <c r="AC42" s="48">
        <f t="shared" si="34"/>
        <v>1.0833333333333333</v>
      </c>
      <c r="AD42" s="48" t="e">
        <f t="shared" si="34"/>
        <v>#DIV/0!</v>
      </c>
      <c r="AE42" s="48">
        <f t="shared" si="34"/>
        <v>1.0402684563758389</v>
      </c>
      <c r="AF42" s="48">
        <f t="shared" si="34"/>
        <v>1.0542986425339367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4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5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1</v>
      </c>
      <c r="N47" s="50">
        <v>0</v>
      </c>
      <c r="O47" s="15">
        <f t="shared" si="0"/>
        <v>3</v>
      </c>
      <c r="P47" s="15">
        <f t="shared" si="1"/>
        <v>4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3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3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3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2</v>
      </c>
      <c r="P50" s="15">
        <f t="shared" si="1"/>
        <v>3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0</v>
      </c>
      <c r="N51" s="50">
        <v>0</v>
      </c>
      <c r="O51" s="15">
        <f t="shared" si="0"/>
        <v>3</v>
      </c>
      <c r="P51" s="15">
        <f t="shared" si="1"/>
        <v>3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2</v>
      </c>
      <c r="P52" s="15">
        <f t="shared" si="1"/>
        <v>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2</v>
      </c>
      <c r="P54" s="15">
        <f t="shared" si="1"/>
        <v>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1</v>
      </c>
      <c r="M55" s="50">
        <v>1</v>
      </c>
      <c r="N55" s="50">
        <v>0</v>
      </c>
      <c r="O55" s="15">
        <f t="shared" si="0"/>
        <v>2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3</v>
      </c>
      <c r="P56" s="15">
        <f t="shared" si="1"/>
        <v>3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3</v>
      </c>
      <c r="M57" s="50">
        <v>3</v>
      </c>
      <c r="N57" s="50">
        <v>0</v>
      </c>
      <c r="O57" s="15">
        <f t="shared" si="0"/>
        <v>5</v>
      </c>
      <c r="P57" s="15">
        <f t="shared" si="1"/>
        <v>8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1</v>
      </c>
      <c r="I58" s="50">
        <v>0</v>
      </c>
      <c r="J58" s="50">
        <v>0</v>
      </c>
      <c r="K58" s="50">
        <v>0</v>
      </c>
      <c r="L58" s="50">
        <v>0</v>
      </c>
      <c r="M58" s="50">
        <v>2</v>
      </c>
      <c r="N58" s="50">
        <v>0</v>
      </c>
      <c r="O58" s="15">
        <f t="shared" si="0"/>
        <v>1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2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0"/>
        <v>2</v>
      </c>
      <c r="P59" s="15">
        <f t="shared" si="1"/>
        <v>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</v>
      </c>
      <c r="N60" s="50">
        <v>0</v>
      </c>
      <c r="O60" s="15">
        <f t="shared" si="0"/>
        <v>1</v>
      </c>
      <c r="P60" s="15">
        <f t="shared" si="1"/>
        <v>3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</v>
      </c>
      <c r="N61" s="50">
        <v>0</v>
      </c>
      <c r="O61" s="15">
        <f t="shared" si="0"/>
        <v>2</v>
      </c>
      <c r="P61" s="15">
        <f t="shared" si="1"/>
        <v>3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</v>
      </c>
      <c r="D106" s="16">
        <f t="shared" ref="D106:P106" si="37">SUM(D10:D105)</f>
        <v>0</v>
      </c>
      <c r="E106" s="16">
        <f t="shared" si="37"/>
        <v>45</v>
      </c>
      <c r="F106" s="16">
        <f t="shared" si="37"/>
        <v>0</v>
      </c>
      <c r="G106" s="16">
        <f t="shared" si="37"/>
        <v>0</v>
      </c>
      <c r="H106" s="16">
        <f t="shared" si="37"/>
        <v>4</v>
      </c>
      <c r="I106" s="16">
        <f t="shared" si="37"/>
        <v>15</v>
      </c>
      <c r="J106" s="16">
        <f t="shared" si="37"/>
        <v>6</v>
      </c>
      <c r="K106" s="16">
        <f t="shared" si="37"/>
        <v>2</v>
      </c>
      <c r="L106" s="16">
        <f t="shared" si="37"/>
        <v>61</v>
      </c>
      <c r="M106" s="16">
        <f t="shared" si="37"/>
        <v>78</v>
      </c>
      <c r="N106" s="16">
        <f t="shared" si="37"/>
        <v>0</v>
      </c>
      <c r="O106" s="16">
        <f t="shared" si="37"/>
        <v>155</v>
      </c>
      <c r="P106" s="16">
        <f t="shared" si="37"/>
        <v>233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9.4420600858369105E-2</v>
      </c>
      <c r="D107" s="43">
        <f t="shared" si="38"/>
        <v>0</v>
      </c>
      <c r="E107" s="43">
        <f t="shared" si="38"/>
        <v>0.19313304721030042</v>
      </c>
      <c r="F107" s="43">
        <f t="shared" si="38"/>
        <v>0</v>
      </c>
      <c r="G107" s="43">
        <f t="shared" si="38"/>
        <v>0</v>
      </c>
      <c r="H107" s="43">
        <f t="shared" si="38"/>
        <v>1.7167381974248927E-2</v>
      </c>
      <c r="I107" s="43">
        <f t="shared" si="38"/>
        <v>6.4377682403433473E-2</v>
      </c>
      <c r="J107" s="43">
        <f t="shared" si="38"/>
        <v>2.575107296137339E-2</v>
      </c>
      <c r="K107" s="43">
        <f t="shared" si="38"/>
        <v>8.5836909871244635E-3</v>
      </c>
      <c r="L107" s="43">
        <f t="shared" si="38"/>
        <v>0.26180257510729615</v>
      </c>
      <c r="M107" s="43">
        <f t="shared" si="38"/>
        <v>0.33476394849785407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0.14193548387096774</v>
      </c>
      <c r="D108" s="44">
        <f t="shared" ref="D108:N108" si="39">D106/$O$106</f>
        <v>0</v>
      </c>
      <c r="E108" s="44">
        <f t="shared" si="39"/>
        <v>0.29032258064516131</v>
      </c>
      <c r="F108" s="44">
        <f t="shared" si="39"/>
        <v>0</v>
      </c>
      <c r="G108" s="44">
        <f t="shared" si="39"/>
        <v>0</v>
      </c>
      <c r="H108" s="44">
        <f t="shared" si="39"/>
        <v>2.5806451612903226E-2</v>
      </c>
      <c r="I108" s="44">
        <f t="shared" si="39"/>
        <v>9.6774193548387094E-2</v>
      </c>
      <c r="J108" s="44">
        <f t="shared" si="39"/>
        <v>3.870967741935484E-2</v>
      </c>
      <c r="K108" s="44">
        <f t="shared" si="39"/>
        <v>1.2903225806451613E-2</v>
      </c>
      <c r="L108" s="44">
        <f t="shared" si="39"/>
        <v>0.3935483870967742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6" zoomScale="60" workbookViewId="0">
      <selection activeCell="L10" sqref="L10:L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'05.07 NIMULE-GULU-24h'!D5</f>
        <v>05.07.19</v>
      </c>
      <c r="E5" s="3"/>
      <c r="F5" s="41" t="s">
        <v>1</v>
      </c>
      <c r="G5" s="66" t="str">
        <f>'05.07 NIMULE-GULU-24h'!G5:H5</f>
        <v>ELEGU</v>
      </c>
      <c r="H5" s="67"/>
      <c r="I5" s="14"/>
      <c r="J5" s="2" t="s">
        <v>5</v>
      </c>
      <c r="K5" s="66" t="str">
        <f>'05.07 NIMULE-GULU-24h'!K5:L5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'31.07 GULU-NIMULE'!G6:H6</f>
        <v>NIMULE</v>
      </c>
      <c r="H6" s="67"/>
      <c r="J6" s="2" t="s">
        <v>21</v>
      </c>
      <c r="K6" s="66" t="str">
        <f>'05.07 NIMULE-GULU-24h'!K6:L6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3</v>
      </c>
      <c r="AD10" s="17">
        <f t="shared" si="2"/>
        <v>0</v>
      </c>
      <c r="AE10" s="31">
        <f t="shared" si="2"/>
        <v>9</v>
      </c>
      <c r="AF10" s="31">
        <f t="shared" si="2"/>
        <v>12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3</v>
      </c>
      <c r="AD11" s="17">
        <f t="shared" si="3"/>
        <v>0</v>
      </c>
      <c r="AE11" s="31">
        <f t="shared" si="3"/>
        <v>18</v>
      </c>
      <c r="AF11" s="31">
        <f t="shared" si="3"/>
        <v>21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1</v>
      </c>
      <c r="I12" s="50">
        <v>0</v>
      </c>
      <c r="J12" s="50">
        <v>2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14</v>
      </c>
      <c r="AC12" s="17">
        <f t="shared" si="4"/>
        <v>5</v>
      </c>
      <c r="AD12" s="17">
        <f t="shared" si="4"/>
        <v>0</v>
      </c>
      <c r="AE12" s="31">
        <f t="shared" si="4"/>
        <v>26</v>
      </c>
      <c r="AF12" s="31">
        <f t="shared" si="4"/>
        <v>31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2</v>
      </c>
      <c r="N13" s="50">
        <v>0</v>
      </c>
      <c r="O13" s="15">
        <f t="shared" si="0"/>
        <v>3</v>
      </c>
      <c r="P13" s="15">
        <f t="shared" si="1"/>
        <v>5</v>
      </c>
      <c r="R13" s="1" t="s">
        <v>9</v>
      </c>
      <c r="S13" s="17">
        <f t="shared" ref="S13:AF13" si="5">SUM(C22:C25)</f>
        <v>5</v>
      </c>
      <c r="T13" s="17">
        <f t="shared" si="5"/>
        <v>1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8</v>
      </c>
      <c r="AC13" s="17">
        <f t="shared" si="5"/>
        <v>5</v>
      </c>
      <c r="AD13" s="17">
        <f t="shared" si="5"/>
        <v>0</v>
      </c>
      <c r="AE13" s="31">
        <f t="shared" si="5"/>
        <v>18</v>
      </c>
      <c r="AF13" s="31">
        <f t="shared" si="5"/>
        <v>23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1</v>
      </c>
      <c r="N14" s="50">
        <v>0</v>
      </c>
      <c r="O14" s="15">
        <f t="shared" si="0"/>
        <v>4</v>
      </c>
      <c r="P14" s="15">
        <f t="shared" si="1"/>
        <v>5</v>
      </c>
      <c r="R14" s="1" t="s">
        <v>10</v>
      </c>
      <c r="S14" s="17">
        <f t="shared" ref="S14:AF14" si="6">SUM(C26:C29)</f>
        <v>5</v>
      </c>
      <c r="T14" s="17">
        <f t="shared" si="6"/>
        <v>1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4</v>
      </c>
      <c r="AA14" s="17">
        <f t="shared" si="6"/>
        <v>0</v>
      </c>
      <c r="AB14" s="17">
        <f t="shared" si="6"/>
        <v>5</v>
      </c>
      <c r="AC14" s="17">
        <f t="shared" si="6"/>
        <v>4</v>
      </c>
      <c r="AD14" s="17">
        <f t="shared" si="6"/>
        <v>0</v>
      </c>
      <c r="AE14" s="31">
        <f t="shared" si="6"/>
        <v>22</v>
      </c>
      <c r="AF14" s="31">
        <f t="shared" si="6"/>
        <v>26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4</v>
      </c>
      <c r="P15" s="15">
        <f t="shared" si="1"/>
        <v>5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4</v>
      </c>
      <c r="AD15" s="17">
        <f t="shared" si="7"/>
        <v>0</v>
      </c>
      <c r="AE15" s="31">
        <f t="shared" si="7"/>
        <v>6</v>
      </c>
      <c r="AF15" s="31">
        <f t="shared" si="7"/>
        <v>10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3</v>
      </c>
      <c r="M16" s="50">
        <v>1</v>
      </c>
      <c r="N16" s="50">
        <v>0</v>
      </c>
      <c r="O16" s="15">
        <f t="shared" si="0"/>
        <v>6</v>
      </c>
      <c r="P16" s="15">
        <f t="shared" si="1"/>
        <v>7</v>
      </c>
      <c r="R16" s="1" t="s">
        <v>12</v>
      </c>
      <c r="S16" s="17">
        <f t="shared" ref="S16:AF16" si="8">SUM(C34:C37)</f>
        <v>9</v>
      </c>
      <c r="T16" s="17">
        <f t="shared" si="8"/>
        <v>1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2</v>
      </c>
      <c r="AA16" s="17">
        <f t="shared" si="8"/>
        <v>0</v>
      </c>
      <c r="AB16" s="17">
        <f t="shared" si="8"/>
        <v>4</v>
      </c>
      <c r="AC16" s="17">
        <f t="shared" si="8"/>
        <v>2</v>
      </c>
      <c r="AD16" s="17">
        <f t="shared" si="8"/>
        <v>0</v>
      </c>
      <c r="AE16" s="31">
        <f t="shared" si="8"/>
        <v>23</v>
      </c>
      <c r="AF16" s="31">
        <f t="shared" si="8"/>
        <v>25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8</v>
      </c>
      <c r="T17" s="17">
        <f t="shared" si="9"/>
        <v>2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3</v>
      </c>
      <c r="AD17" s="17">
        <f t="shared" si="9"/>
        <v>0</v>
      </c>
      <c r="AE17" s="31">
        <f t="shared" si="9"/>
        <v>19</v>
      </c>
      <c r="AF17" s="31">
        <f t="shared" si="9"/>
        <v>22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6</v>
      </c>
      <c r="P18" s="15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5</v>
      </c>
      <c r="AD18" s="17">
        <f t="shared" si="10"/>
        <v>0</v>
      </c>
      <c r="AE18" s="31">
        <f t="shared" si="10"/>
        <v>6</v>
      </c>
      <c r="AF18" s="31">
        <f t="shared" si="10"/>
        <v>11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8</v>
      </c>
      <c r="M19" s="50">
        <v>3</v>
      </c>
      <c r="N19" s="50">
        <v>0</v>
      </c>
      <c r="O19" s="15">
        <f t="shared" si="0"/>
        <v>9</v>
      </c>
      <c r="P19" s="15">
        <f t="shared" si="1"/>
        <v>12</v>
      </c>
      <c r="R19" s="1" t="s">
        <v>15</v>
      </c>
      <c r="S19" s="17">
        <f t="shared" ref="S19:AF19" si="11">SUM(C46:C49)</f>
        <v>4</v>
      </c>
      <c r="T19" s="17">
        <f t="shared" si="11"/>
        <v>2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4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5</v>
      </c>
      <c r="AC19" s="17">
        <f t="shared" si="11"/>
        <v>7</v>
      </c>
      <c r="AD19" s="17">
        <f t="shared" si="11"/>
        <v>0</v>
      </c>
      <c r="AE19" s="31">
        <f t="shared" si="11"/>
        <v>22</v>
      </c>
      <c r="AF19" s="31">
        <f t="shared" si="11"/>
        <v>29</v>
      </c>
    </row>
    <row r="20" spans="2:32" ht="23.1" customHeight="1" x14ac:dyDescent="0.25">
      <c r="B20" s="45" t="s">
        <v>47</v>
      </c>
      <c r="C20" s="50">
        <v>1</v>
      </c>
      <c r="D20" s="50">
        <v>1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7</v>
      </c>
      <c r="P20" s="15">
        <f t="shared" si="1"/>
        <v>8</v>
      </c>
      <c r="R20" s="1" t="s">
        <v>16</v>
      </c>
      <c r="S20" s="17">
        <f t="shared" ref="S20:AF20" si="12">SUM(C50:C53)</f>
        <v>8</v>
      </c>
      <c r="T20" s="17">
        <f t="shared" si="12"/>
        <v>2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4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5</v>
      </c>
      <c r="AD20" s="17">
        <f t="shared" si="12"/>
        <v>0</v>
      </c>
      <c r="AE20" s="31">
        <f t="shared" si="12"/>
        <v>19</v>
      </c>
      <c r="AF20" s="31">
        <f t="shared" si="12"/>
        <v>24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4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8</v>
      </c>
      <c r="AC21" s="17">
        <f t="shared" si="13"/>
        <v>3</v>
      </c>
      <c r="AD21" s="17">
        <f t="shared" si="13"/>
        <v>0</v>
      </c>
      <c r="AE21" s="31">
        <f t="shared" si="13"/>
        <v>27</v>
      </c>
      <c r="AF21" s="31">
        <f t="shared" si="13"/>
        <v>30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5</v>
      </c>
      <c r="M22" s="50">
        <v>1</v>
      </c>
      <c r="N22" s="50">
        <v>0</v>
      </c>
      <c r="O22" s="15">
        <f t="shared" si="0"/>
        <v>6</v>
      </c>
      <c r="P22" s="15">
        <f t="shared" si="1"/>
        <v>7</v>
      </c>
      <c r="R22" s="36" t="s">
        <v>146</v>
      </c>
      <c r="S22" s="34">
        <f>SUM(C58:C61)</f>
        <v>4</v>
      </c>
      <c r="T22" s="34">
        <f t="shared" ref="T22:AF22" si="14">SUM(D58:D61)</f>
        <v>4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2</v>
      </c>
      <c r="AA22" s="34">
        <f t="shared" si="14"/>
        <v>0</v>
      </c>
      <c r="AB22" s="34">
        <f t="shared" si="14"/>
        <v>15</v>
      </c>
      <c r="AC22" s="34">
        <f t="shared" si="14"/>
        <v>4</v>
      </c>
      <c r="AD22" s="34">
        <f t="shared" si="14"/>
        <v>0</v>
      </c>
      <c r="AE22" s="31">
        <f t="shared" si="14"/>
        <v>32</v>
      </c>
      <c r="AF22" s="31">
        <f t="shared" si="14"/>
        <v>36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1</v>
      </c>
      <c r="M23" s="50">
        <v>1</v>
      </c>
      <c r="N23" s="50">
        <v>0</v>
      </c>
      <c r="O23" s="15">
        <f t="shared" si="0"/>
        <v>5</v>
      </c>
      <c r="P23" s="15">
        <f t="shared" si="1"/>
        <v>6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45" t="s">
        <v>51</v>
      </c>
      <c r="C24" s="50">
        <v>2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6</v>
      </c>
      <c r="P24" s="15">
        <f t="shared" si="1"/>
        <v>7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1</v>
      </c>
      <c r="P25" s="15">
        <f t="shared" si="1"/>
        <v>3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2</v>
      </c>
      <c r="M26" s="50">
        <v>1</v>
      </c>
      <c r="N26" s="50">
        <v>0</v>
      </c>
      <c r="O26" s="15">
        <f t="shared" si="0"/>
        <v>5</v>
      </c>
      <c r="P26" s="15">
        <f t="shared" si="1"/>
        <v>6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1</v>
      </c>
      <c r="M27" s="50">
        <v>1</v>
      </c>
      <c r="N27" s="50">
        <v>0</v>
      </c>
      <c r="O27" s="15">
        <f t="shared" si="0"/>
        <v>6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1</v>
      </c>
      <c r="M28" s="50">
        <v>2</v>
      </c>
      <c r="N28" s="50">
        <v>0</v>
      </c>
      <c r="O28" s="15">
        <f t="shared" si="0"/>
        <v>7</v>
      </c>
      <c r="P28" s="15">
        <f t="shared" si="1"/>
        <v>9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1</v>
      </c>
      <c r="P30" s="15">
        <f t="shared" si="1"/>
        <v>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2</v>
      </c>
      <c r="P31" s="15">
        <f t="shared" si="1"/>
        <v>3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1</v>
      </c>
      <c r="P32" s="15">
        <f t="shared" si="1"/>
        <v>1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3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9</v>
      </c>
      <c r="P34" s="15">
        <f t="shared" si="1"/>
        <v>10</v>
      </c>
      <c r="R34" s="38" t="s">
        <v>90</v>
      </c>
      <c r="S34" s="39">
        <f t="shared" ref="S34:AF34" si="26">MAX(S10:S12)</f>
        <v>4</v>
      </c>
      <c r="T34" s="39">
        <f t="shared" si="26"/>
        <v>1</v>
      </c>
      <c r="U34" s="39">
        <f t="shared" si="26"/>
        <v>4</v>
      </c>
      <c r="V34" s="39">
        <f t="shared" si="26"/>
        <v>0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2</v>
      </c>
      <c r="AA34" s="39">
        <f t="shared" si="26"/>
        <v>0</v>
      </c>
      <c r="AB34" s="39">
        <f t="shared" si="26"/>
        <v>14</v>
      </c>
      <c r="AC34" s="39">
        <f t="shared" si="26"/>
        <v>5</v>
      </c>
      <c r="AD34" s="39">
        <f t="shared" si="26"/>
        <v>0</v>
      </c>
      <c r="AE34" s="40">
        <f t="shared" si="26"/>
        <v>26</v>
      </c>
      <c r="AF34" s="40">
        <f t="shared" si="26"/>
        <v>31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4</v>
      </c>
      <c r="P35" s="15">
        <f t="shared" si="1"/>
        <v>5</v>
      </c>
      <c r="R35" s="38" t="s">
        <v>91</v>
      </c>
      <c r="S35" s="39">
        <f t="shared" ref="S35:AF35" si="27">MAX(S13:S18)</f>
        <v>9</v>
      </c>
      <c r="T35" s="39">
        <f t="shared" si="27"/>
        <v>2</v>
      </c>
      <c r="U35" s="39">
        <f t="shared" si="27"/>
        <v>4</v>
      </c>
      <c r="V35" s="39">
        <f t="shared" si="27"/>
        <v>0</v>
      </c>
      <c r="W35" s="39">
        <f t="shared" si="27"/>
        <v>0</v>
      </c>
      <c r="X35" s="39">
        <f t="shared" si="27"/>
        <v>1</v>
      </c>
      <c r="Y35" s="39">
        <f t="shared" si="27"/>
        <v>4</v>
      </c>
      <c r="Z35" s="39">
        <f t="shared" si="27"/>
        <v>4</v>
      </c>
      <c r="AA35" s="39">
        <f t="shared" si="27"/>
        <v>0</v>
      </c>
      <c r="AB35" s="39">
        <f t="shared" si="27"/>
        <v>8</v>
      </c>
      <c r="AC35" s="39">
        <f t="shared" si="27"/>
        <v>5</v>
      </c>
      <c r="AD35" s="39">
        <f t="shared" si="27"/>
        <v>0</v>
      </c>
      <c r="AE35" s="40">
        <f t="shared" si="27"/>
        <v>23</v>
      </c>
      <c r="AF35" s="40">
        <f t="shared" si="27"/>
        <v>26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1</v>
      </c>
      <c r="I36" s="50">
        <v>0</v>
      </c>
      <c r="J36" s="50">
        <v>1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4</v>
      </c>
      <c r="P36" s="15">
        <f t="shared" si="1"/>
        <v>4</v>
      </c>
      <c r="R36" s="38" t="s">
        <v>92</v>
      </c>
      <c r="S36" s="39">
        <f t="shared" ref="S36:AF36" si="28">MAX(S19:S21)</f>
        <v>8</v>
      </c>
      <c r="T36" s="39">
        <f t="shared" si="28"/>
        <v>2</v>
      </c>
      <c r="U36" s="39">
        <f t="shared" si="28"/>
        <v>3</v>
      </c>
      <c r="V36" s="39">
        <f t="shared" si="28"/>
        <v>0</v>
      </c>
      <c r="W36" s="39">
        <f t="shared" si="28"/>
        <v>0</v>
      </c>
      <c r="X36" s="39">
        <f t="shared" si="28"/>
        <v>4</v>
      </c>
      <c r="Y36" s="39">
        <f t="shared" si="28"/>
        <v>5</v>
      </c>
      <c r="Z36" s="39">
        <f t="shared" si="28"/>
        <v>2</v>
      </c>
      <c r="AA36" s="39">
        <f t="shared" si="28"/>
        <v>0</v>
      </c>
      <c r="AB36" s="39">
        <f t="shared" si="28"/>
        <v>8</v>
      </c>
      <c r="AC36" s="39">
        <f t="shared" si="28"/>
        <v>7</v>
      </c>
      <c r="AD36" s="39">
        <f t="shared" si="28"/>
        <v>0</v>
      </c>
      <c r="AE36" s="40">
        <f t="shared" si="28"/>
        <v>27</v>
      </c>
      <c r="AF36" s="40">
        <f t="shared" si="28"/>
        <v>30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2</v>
      </c>
      <c r="M37" s="50">
        <v>0</v>
      </c>
      <c r="N37" s="50">
        <v>0</v>
      </c>
      <c r="O37" s="15">
        <f t="shared" si="0"/>
        <v>6</v>
      </c>
      <c r="P37" s="15">
        <f t="shared" si="1"/>
        <v>6</v>
      </c>
      <c r="R37" s="37" t="s">
        <v>85</v>
      </c>
      <c r="S37" s="35">
        <f t="shared" ref="S37:AF37" si="29">SUM(S10:S12)</f>
        <v>9</v>
      </c>
      <c r="T37" s="16">
        <f t="shared" si="29"/>
        <v>2</v>
      </c>
      <c r="U37" s="16">
        <f t="shared" si="29"/>
        <v>6</v>
      </c>
      <c r="V37" s="16">
        <f t="shared" si="29"/>
        <v>0</v>
      </c>
      <c r="W37" s="16">
        <f t="shared" si="29"/>
        <v>0</v>
      </c>
      <c r="X37" s="16">
        <f t="shared" si="29"/>
        <v>1</v>
      </c>
      <c r="Y37" s="16">
        <f t="shared" si="29"/>
        <v>9</v>
      </c>
      <c r="Z37" s="16">
        <f t="shared" si="29"/>
        <v>3</v>
      </c>
      <c r="AA37" s="16">
        <f t="shared" si="29"/>
        <v>0</v>
      </c>
      <c r="AB37" s="16">
        <f t="shared" si="29"/>
        <v>23</v>
      </c>
      <c r="AC37" s="16">
        <f t="shared" si="29"/>
        <v>11</v>
      </c>
      <c r="AD37" s="16">
        <f t="shared" si="29"/>
        <v>0</v>
      </c>
      <c r="AE37" s="32">
        <f t="shared" si="29"/>
        <v>53</v>
      </c>
      <c r="AF37" s="32">
        <f t="shared" si="29"/>
        <v>64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2</v>
      </c>
      <c r="P38" s="15">
        <f t="shared" si="1"/>
        <v>3</v>
      </c>
      <c r="R38" s="28" t="s">
        <v>86</v>
      </c>
      <c r="S38" s="16">
        <f t="shared" ref="S38:AF38" si="30">SUM(S13:S18)</f>
        <v>30</v>
      </c>
      <c r="T38" s="16">
        <f t="shared" si="30"/>
        <v>5</v>
      </c>
      <c r="U38" s="16">
        <f t="shared" si="30"/>
        <v>18</v>
      </c>
      <c r="V38" s="16">
        <f t="shared" si="30"/>
        <v>0</v>
      </c>
      <c r="W38" s="16">
        <f t="shared" si="30"/>
        <v>0</v>
      </c>
      <c r="X38" s="16">
        <f t="shared" si="30"/>
        <v>1</v>
      </c>
      <c r="Y38" s="16">
        <f t="shared" si="30"/>
        <v>11</v>
      </c>
      <c r="Z38" s="16">
        <f t="shared" si="30"/>
        <v>8</v>
      </c>
      <c r="AA38" s="16">
        <f t="shared" si="30"/>
        <v>0</v>
      </c>
      <c r="AB38" s="16">
        <f t="shared" si="30"/>
        <v>21</v>
      </c>
      <c r="AC38" s="16">
        <f t="shared" si="30"/>
        <v>23</v>
      </c>
      <c r="AD38" s="16">
        <f t="shared" si="30"/>
        <v>0</v>
      </c>
      <c r="AE38" s="32">
        <f t="shared" si="30"/>
        <v>94</v>
      </c>
      <c r="AF38" s="32">
        <f t="shared" si="30"/>
        <v>117</v>
      </c>
    </row>
    <row r="39" spans="2:32" ht="23.1" customHeight="1" x14ac:dyDescent="0.25">
      <c r="B39" s="46" t="s">
        <v>66</v>
      </c>
      <c r="C39" s="50">
        <v>1</v>
      </c>
      <c r="D39" s="50">
        <v>1</v>
      </c>
      <c r="E39" s="50">
        <v>2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6</v>
      </c>
      <c r="P39" s="15">
        <f t="shared" si="1"/>
        <v>7</v>
      </c>
      <c r="R39" s="29" t="s">
        <v>87</v>
      </c>
      <c r="S39" s="16">
        <f t="shared" ref="S39:AF39" si="31">SUM(S19:S21)</f>
        <v>17</v>
      </c>
      <c r="T39" s="16">
        <f t="shared" si="31"/>
        <v>4</v>
      </c>
      <c r="U39" s="16">
        <f t="shared" si="31"/>
        <v>8</v>
      </c>
      <c r="V39" s="16">
        <f t="shared" si="31"/>
        <v>0</v>
      </c>
      <c r="W39" s="16">
        <f t="shared" si="31"/>
        <v>0</v>
      </c>
      <c r="X39" s="16">
        <f t="shared" si="31"/>
        <v>12</v>
      </c>
      <c r="Y39" s="16">
        <f t="shared" si="31"/>
        <v>8</v>
      </c>
      <c r="Z39" s="16">
        <f t="shared" si="31"/>
        <v>4</v>
      </c>
      <c r="AA39" s="16">
        <f t="shared" si="31"/>
        <v>0</v>
      </c>
      <c r="AB39" s="16">
        <f t="shared" si="31"/>
        <v>15</v>
      </c>
      <c r="AC39" s="16">
        <f t="shared" si="31"/>
        <v>15</v>
      </c>
      <c r="AD39" s="16">
        <f t="shared" si="31"/>
        <v>0</v>
      </c>
      <c r="AE39" s="32">
        <f t="shared" si="31"/>
        <v>68</v>
      </c>
      <c r="AF39" s="32">
        <f t="shared" si="31"/>
        <v>83</v>
      </c>
    </row>
    <row r="40" spans="2:32" ht="23.1" customHeight="1" x14ac:dyDescent="0.25">
      <c r="B40" s="46" t="s">
        <v>67</v>
      </c>
      <c r="C40" s="50">
        <v>3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</v>
      </c>
      <c r="N40" s="50">
        <v>0</v>
      </c>
      <c r="O40" s="15">
        <f t="shared" si="0"/>
        <v>6</v>
      </c>
      <c r="P40" s="15">
        <f t="shared" si="1"/>
        <v>7</v>
      </c>
      <c r="R40" s="5" t="s">
        <v>17</v>
      </c>
      <c r="S40" s="16">
        <f t="shared" ref="S40:AF40" si="32">SUM(S10:S21)</f>
        <v>56</v>
      </c>
      <c r="T40" s="16">
        <f t="shared" si="32"/>
        <v>11</v>
      </c>
      <c r="U40" s="16">
        <f t="shared" si="32"/>
        <v>32</v>
      </c>
      <c r="V40" s="16">
        <f t="shared" si="32"/>
        <v>0</v>
      </c>
      <c r="W40" s="16">
        <f t="shared" si="32"/>
        <v>0</v>
      </c>
      <c r="X40" s="16">
        <f t="shared" si="32"/>
        <v>14</v>
      </c>
      <c r="Y40" s="16">
        <f t="shared" si="32"/>
        <v>28</v>
      </c>
      <c r="Z40" s="16">
        <f t="shared" si="32"/>
        <v>15</v>
      </c>
      <c r="AA40" s="16">
        <f t="shared" si="32"/>
        <v>0</v>
      </c>
      <c r="AB40" s="16">
        <f t="shared" si="32"/>
        <v>59</v>
      </c>
      <c r="AC40" s="16">
        <f t="shared" si="32"/>
        <v>49</v>
      </c>
      <c r="AD40" s="16">
        <f t="shared" si="32"/>
        <v>0</v>
      </c>
      <c r="AE40" s="32">
        <f t="shared" si="32"/>
        <v>215</v>
      </c>
      <c r="AF40" s="32">
        <f t="shared" si="32"/>
        <v>264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5</v>
      </c>
      <c r="P41" s="15">
        <f t="shared" si="1"/>
        <v>5</v>
      </c>
      <c r="R41" s="5" t="s">
        <v>159</v>
      </c>
      <c r="S41" s="16">
        <f>SUM(S10:S33)</f>
        <v>60</v>
      </c>
      <c r="T41" s="16">
        <f t="shared" ref="T41:AF41" si="33">SUM(T10:T33)</f>
        <v>15</v>
      </c>
      <c r="U41" s="16">
        <f t="shared" si="33"/>
        <v>36</v>
      </c>
      <c r="V41" s="16">
        <f t="shared" si="33"/>
        <v>0</v>
      </c>
      <c r="W41" s="16">
        <f t="shared" si="33"/>
        <v>0</v>
      </c>
      <c r="X41" s="16">
        <f t="shared" si="33"/>
        <v>14</v>
      </c>
      <c r="Y41" s="16">
        <f t="shared" si="33"/>
        <v>31</v>
      </c>
      <c r="Z41" s="16">
        <f t="shared" si="33"/>
        <v>17</v>
      </c>
      <c r="AA41" s="16">
        <f t="shared" si="33"/>
        <v>0</v>
      </c>
      <c r="AB41" s="16">
        <f t="shared" si="33"/>
        <v>74</v>
      </c>
      <c r="AC41" s="16">
        <f t="shared" si="33"/>
        <v>53</v>
      </c>
      <c r="AD41" s="16">
        <f t="shared" si="33"/>
        <v>0</v>
      </c>
      <c r="AE41" s="32">
        <f t="shared" si="33"/>
        <v>247</v>
      </c>
      <c r="AF41" s="32">
        <f t="shared" si="33"/>
        <v>300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</v>
      </c>
      <c r="P42" s="15">
        <f t="shared" si="1"/>
        <v>1</v>
      </c>
      <c r="R42" s="5" t="s">
        <v>160</v>
      </c>
      <c r="S42" s="48">
        <f>S41/S40</f>
        <v>1.0714285714285714</v>
      </c>
      <c r="T42" s="48">
        <f t="shared" ref="T42:AF42" si="34">T41/T40</f>
        <v>1.3636363636363635</v>
      </c>
      <c r="U42" s="48">
        <f t="shared" si="34"/>
        <v>1.125</v>
      </c>
      <c r="V42" s="48" t="e">
        <f t="shared" si="34"/>
        <v>#DIV/0!</v>
      </c>
      <c r="W42" s="48" t="e">
        <f t="shared" si="34"/>
        <v>#DIV/0!</v>
      </c>
      <c r="X42" s="48">
        <f t="shared" si="34"/>
        <v>1</v>
      </c>
      <c r="Y42" s="48">
        <f t="shared" si="34"/>
        <v>1.1071428571428572</v>
      </c>
      <c r="Z42" s="48">
        <f t="shared" si="34"/>
        <v>1.1333333333333333</v>
      </c>
      <c r="AA42" s="48" t="e">
        <f t="shared" si="34"/>
        <v>#DIV/0!</v>
      </c>
      <c r="AB42" s="48">
        <f t="shared" si="34"/>
        <v>1.2542372881355932</v>
      </c>
      <c r="AC42" s="48">
        <f t="shared" si="34"/>
        <v>1.0816326530612246</v>
      </c>
      <c r="AD42" s="48" t="e">
        <f t="shared" si="34"/>
        <v>#DIV/0!</v>
      </c>
      <c r="AE42" s="48">
        <f t="shared" si="34"/>
        <v>1.1488372093023256</v>
      </c>
      <c r="AF42" s="48">
        <f t="shared" si="34"/>
        <v>1.1363636363636365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3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1</v>
      </c>
      <c r="M46" s="50">
        <v>1</v>
      </c>
      <c r="N46" s="50">
        <v>0</v>
      </c>
      <c r="O46" s="15">
        <f t="shared" si="0"/>
        <v>5</v>
      </c>
      <c r="P46" s="15">
        <f t="shared" si="1"/>
        <v>6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2</v>
      </c>
      <c r="I47" s="50">
        <v>1</v>
      </c>
      <c r="J47" s="50">
        <v>0</v>
      </c>
      <c r="K47" s="50">
        <v>0</v>
      </c>
      <c r="L47" s="50">
        <v>2</v>
      </c>
      <c r="M47" s="50">
        <v>2</v>
      </c>
      <c r="N47" s="50">
        <v>0</v>
      </c>
      <c r="O47" s="15">
        <f t="shared" si="0"/>
        <v>7</v>
      </c>
      <c r="P47" s="15">
        <f t="shared" si="1"/>
        <v>9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1</v>
      </c>
      <c r="E49" s="50">
        <v>1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2</v>
      </c>
      <c r="M49" s="50">
        <v>1</v>
      </c>
      <c r="N49" s="50">
        <v>0</v>
      </c>
      <c r="O49" s="15">
        <f t="shared" si="0"/>
        <v>7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1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2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3</v>
      </c>
      <c r="P51" s="15">
        <f t="shared" si="1"/>
        <v>5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5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6</v>
      </c>
      <c r="P53" s="15">
        <f t="shared" si="1"/>
        <v>7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1</v>
      </c>
      <c r="I54" s="50">
        <v>2</v>
      </c>
      <c r="J54" s="50">
        <v>0</v>
      </c>
      <c r="K54" s="50">
        <v>0</v>
      </c>
      <c r="L54" s="50">
        <v>3</v>
      </c>
      <c r="M54" s="50">
        <v>0</v>
      </c>
      <c r="N54" s="50">
        <v>0</v>
      </c>
      <c r="O54" s="15">
        <f t="shared" si="0"/>
        <v>8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1</v>
      </c>
      <c r="I55" s="50">
        <v>1</v>
      </c>
      <c r="J55" s="50">
        <v>0</v>
      </c>
      <c r="K55" s="50">
        <v>0</v>
      </c>
      <c r="L55" s="50">
        <v>3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1</v>
      </c>
      <c r="I56" s="50">
        <v>1</v>
      </c>
      <c r="J56" s="50">
        <v>0</v>
      </c>
      <c r="K56" s="50">
        <v>0</v>
      </c>
      <c r="L56" s="50">
        <v>1</v>
      </c>
      <c r="M56" s="50">
        <v>1</v>
      </c>
      <c r="N56" s="50">
        <v>0</v>
      </c>
      <c r="O56" s="15">
        <f t="shared" si="0"/>
        <v>5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1</v>
      </c>
      <c r="I57" s="50">
        <v>1</v>
      </c>
      <c r="J57" s="50">
        <v>2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8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7</v>
      </c>
      <c r="M58" s="50">
        <v>0</v>
      </c>
      <c r="N58" s="50">
        <v>0</v>
      </c>
      <c r="O58" s="15">
        <f t="shared" si="0"/>
        <v>11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5</v>
      </c>
      <c r="M59" s="50">
        <v>0</v>
      </c>
      <c r="N59" s="50">
        <v>0</v>
      </c>
      <c r="O59" s="15">
        <f t="shared" si="0"/>
        <v>7</v>
      </c>
      <c r="P59" s="15">
        <f t="shared" si="1"/>
        <v>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3</v>
      </c>
      <c r="E60" s="50">
        <v>3</v>
      </c>
      <c r="F60" s="50">
        <v>0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1</v>
      </c>
      <c r="M60" s="50">
        <v>3</v>
      </c>
      <c r="N60" s="50">
        <v>0</v>
      </c>
      <c r="O60" s="15">
        <f t="shared" si="0"/>
        <v>9</v>
      </c>
      <c r="P60" s="15">
        <f t="shared" si="1"/>
        <v>12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1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2</v>
      </c>
      <c r="M61" s="50">
        <v>1</v>
      </c>
      <c r="N61" s="50">
        <v>0</v>
      </c>
      <c r="O61" s="15">
        <f t="shared" si="0"/>
        <v>5</v>
      </c>
      <c r="P61" s="15">
        <f t="shared" si="1"/>
        <v>6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</v>
      </c>
      <c r="D106" s="16">
        <f t="shared" ref="D106:P106" si="37">SUM(D10:D105)</f>
        <v>15</v>
      </c>
      <c r="E106" s="16">
        <f t="shared" si="37"/>
        <v>36</v>
      </c>
      <c r="F106" s="16">
        <f t="shared" si="37"/>
        <v>0</v>
      </c>
      <c r="G106" s="16">
        <f t="shared" si="37"/>
        <v>0</v>
      </c>
      <c r="H106" s="16">
        <f t="shared" si="37"/>
        <v>14</v>
      </c>
      <c r="I106" s="16">
        <f t="shared" si="37"/>
        <v>31</v>
      </c>
      <c r="J106" s="16">
        <f t="shared" si="37"/>
        <v>17</v>
      </c>
      <c r="K106" s="16">
        <f t="shared" si="37"/>
        <v>0</v>
      </c>
      <c r="L106" s="16">
        <f t="shared" si="37"/>
        <v>74</v>
      </c>
      <c r="M106" s="16">
        <f t="shared" si="37"/>
        <v>53</v>
      </c>
      <c r="N106" s="16">
        <f t="shared" si="37"/>
        <v>0</v>
      </c>
      <c r="O106" s="16">
        <f t="shared" si="37"/>
        <v>247</v>
      </c>
      <c r="P106" s="16">
        <f t="shared" si="37"/>
        <v>300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</v>
      </c>
      <c r="D107" s="43">
        <f t="shared" si="38"/>
        <v>0.05</v>
      </c>
      <c r="E107" s="43">
        <f t="shared" si="38"/>
        <v>0.12</v>
      </c>
      <c r="F107" s="43">
        <f t="shared" si="38"/>
        <v>0</v>
      </c>
      <c r="G107" s="43">
        <f t="shared" si="38"/>
        <v>0</v>
      </c>
      <c r="H107" s="43">
        <f t="shared" si="38"/>
        <v>4.6666666666666669E-2</v>
      </c>
      <c r="I107" s="43">
        <f t="shared" si="38"/>
        <v>0.10333333333333333</v>
      </c>
      <c r="J107" s="43">
        <f t="shared" si="38"/>
        <v>5.6666666666666664E-2</v>
      </c>
      <c r="K107" s="43">
        <f t="shared" si="38"/>
        <v>0</v>
      </c>
      <c r="L107" s="43">
        <f t="shared" si="38"/>
        <v>0.24666666666666667</v>
      </c>
      <c r="M107" s="43">
        <f t="shared" si="38"/>
        <v>0.17666666666666667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0.24291497975708501</v>
      </c>
      <c r="D108" s="44">
        <f t="shared" ref="D108:N108" si="39">D106/$O$106</f>
        <v>6.0728744939271252E-2</v>
      </c>
      <c r="E108" s="44">
        <f t="shared" si="39"/>
        <v>0.145748987854251</v>
      </c>
      <c r="F108" s="44">
        <f t="shared" si="39"/>
        <v>0</v>
      </c>
      <c r="G108" s="44">
        <f t="shared" si="39"/>
        <v>0</v>
      </c>
      <c r="H108" s="44">
        <f t="shared" si="39"/>
        <v>5.6680161943319839E-2</v>
      </c>
      <c r="I108" s="44">
        <f t="shared" si="39"/>
        <v>0.12550607287449392</v>
      </c>
      <c r="J108" s="44">
        <f t="shared" si="39"/>
        <v>6.8825910931174086E-2</v>
      </c>
      <c r="K108" s="44">
        <f t="shared" si="39"/>
        <v>0</v>
      </c>
      <c r="L108" s="44">
        <f t="shared" si="39"/>
        <v>0.29959514170040485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9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NIMULE-GULU'!C3:G3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'05.07 GULU-NIMULE-24h'!G5:H5</f>
        <v>ELEGU</v>
      </c>
      <c r="H5" s="67"/>
      <c r="I5" s="14"/>
      <c r="J5" s="2" t="s">
        <v>5</v>
      </c>
      <c r="K5" s="66" t="str">
        <f>'05.07 GULU-NIMULE-24h'!K5:L5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NIMULE-GULU'!D6:E6</f>
        <v>NIMULE</v>
      </c>
      <c r="E6" s="67"/>
      <c r="F6" s="2" t="s">
        <v>2</v>
      </c>
      <c r="G6" s="66" t="str">
        <f>'31.07 NIMULE-GULU'!G6:H6</f>
        <v>GULU</v>
      </c>
      <c r="H6" s="67"/>
      <c r="J6" s="2" t="s">
        <v>21</v>
      </c>
      <c r="K6" s="66" t="str">
        <f>'05.07 GULU-NIMULE-24h'!K6:L6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3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12</v>
      </c>
      <c r="AC10" s="17">
        <f t="shared" si="2"/>
        <v>13</v>
      </c>
      <c r="AD10" s="17">
        <f t="shared" si="2"/>
        <v>0</v>
      </c>
      <c r="AE10" s="31">
        <f t="shared" si="2"/>
        <v>18</v>
      </c>
      <c r="AF10" s="31">
        <f t="shared" si="2"/>
        <v>31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4</v>
      </c>
      <c r="M11" s="50">
        <v>2</v>
      </c>
      <c r="N11" s="50">
        <v>0</v>
      </c>
      <c r="O11" s="15">
        <f t="shared" si="0"/>
        <v>5</v>
      </c>
      <c r="P11" s="15">
        <f t="shared" si="1"/>
        <v>7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0</v>
      </c>
      <c r="AB11" s="17">
        <f t="shared" si="3"/>
        <v>8</v>
      </c>
      <c r="AC11" s="17">
        <f t="shared" si="3"/>
        <v>5</v>
      </c>
      <c r="AD11" s="17">
        <f t="shared" si="3"/>
        <v>0</v>
      </c>
      <c r="AE11" s="31">
        <f t="shared" si="3"/>
        <v>15</v>
      </c>
      <c r="AF11" s="31">
        <f t="shared" si="3"/>
        <v>20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3</v>
      </c>
      <c r="M12" s="50">
        <v>3</v>
      </c>
      <c r="N12" s="50">
        <v>0</v>
      </c>
      <c r="O12" s="15">
        <f t="shared" si="0"/>
        <v>6</v>
      </c>
      <c r="P12" s="15">
        <f t="shared" si="1"/>
        <v>9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12</v>
      </c>
      <c r="AC12" s="17">
        <f t="shared" si="4"/>
        <v>3</v>
      </c>
      <c r="AD12" s="17">
        <f t="shared" si="4"/>
        <v>0</v>
      </c>
      <c r="AE12" s="31">
        <f t="shared" si="4"/>
        <v>17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17</v>
      </c>
      <c r="AC13" s="17">
        <f t="shared" si="5"/>
        <v>7</v>
      </c>
      <c r="AD13" s="17">
        <f t="shared" si="5"/>
        <v>0</v>
      </c>
      <c r="AE13" s="31">
        <f t="shared" si="5"/>
        <v>21</v>
      </c>
      <c r="AF13" s="31">
        <f t="shared" si="5"/>
        <v>28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1</v>
      </c>
      <c r="N14" s="50">
        <v>0</v>
      </c>
      <c r="O14" s="15">
        <f t="shared" si="0"/>
        <v>1</v>
      </c>
      <c r="P14" s="15">
        <f t="shared" si="1"/>
        <v>2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7</v>
      </c>
      <c r="AD14" s="17">
        <f t="shared" si="6"/>
        <v>0</v>
      </c>
      <c r="AE14" s="31">
        <f t="shared" si="6"/>
        <v>5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0</v>
      </c>
      <c r="N15" s="50">
        <v>0</v>
      </c>
      <c r="O15" s="15">
        <f t="shared" si="0"/>
        <v>1</v>
      </c>
      <c r="P15" s="15">
        <f t="shared" si="1"/>
        <v>1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19</v>
      </c>
      <c r="AC15" s="17">
        <f t="shared" si="7"/>
        <v>15</v>
      </c>
      <c r="AD15" s="17">
        <f t="shared" si="7"/>
        <v>0</v>
      </c>
      <c r="AE15" s="31">
        <f t="shared" si="7"/>
        <v>28</v>
      </c>
      <c r="AF15" s="31">
        <f t="shared" si="7"/>
        <v>43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4</v>
      </c>
      <c r="M16" s="50">
        <v>2</v>
      </c>
      <c r="N16" s="50">
        <v>0</v>
      </c>
      <c r="O16" s="15">
        <f t="shared" si="0"/>
        <v>11</v>
      </c>
      <c r="P16" s="15">
        <f t="shared" si="1"/>
        <v>13</v>
      </c>
      <c r="R16" s="1" t="s">
        <v>12</v>
      </c>
      <c r="S16" s="17">
        <f t="shared" ref="S16:AF16" si="8">SUM(C34:C37)</f>
        <v>0</v>
      </c>
      <c r="T16" s="17">
        <f t="shared" si="8"/>
        <v>3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5</v>
      </c>
      <c r="AD16" s="17">
        <f t="shared" si="8"/>
        <v>0</v>
      </c>
      <c r="AE16" s="31">
        <f t="shared" si="8"/>
        <v>10</v>
      </c>
      <c r="AF16" s="31">
        <f t="shared" si="8"/>
        <v>15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2</v>
      </c>
      <c r="N17" s="50">
        <v>0</v>
      </c>
      <c r="O17" s="15">
        <f t="shared" si="0"/>
        <v>2</v>
      </c>
      <c r="P17" s="15">
        <f t="shared" si="1"/>
        <v>4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16</v>
      </c>
      <c r="AC17" s="17">
        <f t="shared" si="9"/>
        <v>2</v>
      </c>
      <c r="AD17" s="17">
        <f t="shared" si="9"/>
        <v>0</v>
      </c>
      <c r="AE17" s="31">
        <f t="shared" si="9"/>
        <v>26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4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1</v>
      </c>
      <c r="AB18" s="17">
        <f t="shared" si="10"/>
        <v>6</v>
      </c>
      <c r="AC18" s="17">
        <f t="shared" si="10"/>
        <v>5</v>
      </c>
      <c r="AD18" s="17">
        <f t="shared" si="10"/>
        <v>0</v>
      </c>
      <c r="AE18" s="31">
        <f t="shared" si="10"/>
        <v>10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2</v>
      </c>
      <c r="M19" s="50">
        <v>0</v>
      </c>
      <c r="N19" s="50">
        <v>0</v>
      </c>
      <c r="O19" s="15">
        <f t="shared" si="0"/>
        <v>4</v>
      </c>
      <c r="P19" s="15">
        <f t="shared" si="1"/>
        <v>4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9</v>
      </c>
      <c r="AC19" s="17">
        <f t="shared" si="11"/>
        <v>7</v>
      </c>
      <c r="AD19" s="17">
        <f t="shared" si="11"/>
        <v>0</v>
      </c>
      <c r="AE19" s="31">
        <f t="shared" si="11"/>
        <v>15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3</v>
      </c>
      <c r="P20" s="15">
        <f t="shared" si="1"/>
        <v>4</v>
      </c>
      <c r="R20" s="1" t="s">
        <v>16</v>
      </c>
      <c r="S20" s="17">
        <f t="shared" ref="S20:AF20" si="12">SUM(C50:C53)</f>
        <v>0</v>
      </c>
      <c r="T20" s="17">
        <f t="shared" si="12"/>
        <v>1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1</v>
      </c>
      <c r="AD20" s="17">
        <f t="shared" si="12"/>
        <v>0</v>
      </c>
      <c r="AE20" s="31">
        <f t="shared" si="12"/>
        <v>7</v>
      </c>
      <c r="AF20" s="31">
        <f t="shared" si="12"/>
        <v>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5</v>
      </c>
      <c r="M21" s="50">
        <v>2</v>
      </c>
      <c r="N21" s="50">
        <v>0</v>
      </c>
      <c r="O21" s="15">
        <f t="shared" si="0"/>
        <v>6</v>
      </c>
      <c r="P21" s="15">
        <f t="shared" si="1"/>
        <v>8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3</v>
      </c>
      <c r="AC21" s="17">
        <f t="shared" si="13"/>
        <v>7</v>
      </c>
      <c r="AD21" s="17">
        <f t="shared" si="13"/>
        <v>0</v>
      </c>
      <c r="AE21" s="31">
        <f t="shared" si="13"/>
        <v>6</v>
      </c>
      <c r="AF21" s="31">
        <f t="shared" si="13"/>
        <v>13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4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2</v>
      </c>
      <c r="AA22" s="39">
        <f t="shared" si="14"/>
        <v>1</v>
      </c>
      <c r="AB22" s="39">
        <f t="shared" si="14"/>
        <v>12</v>
      </c>
      <c r="AC22" s="39">
        <f t="shared" si="14"/>
        <v>13</v>
      </c>
      <c r="AD22" s="39">
        <f t="shared" si="14"/>
        <v>0</v>
      </c>
      <c r="AE22" s="40">
        <f t="shared" si="14"/>
        <v>18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5</v>
      </c>
      <c r="M23" s="50">
        <v>4</v>
      </c>
      <c r="N23" s="50">
        <v>0</v>
      </c>
      <c r="O23" s="15">
        <f t="shared" si="0"/>
        <v>5</v>
      </c>
      <c r="P23" s="15">
        <f t="shared" si="1"/>
        <v>9</v>
      </c>
      <c r="R23" s="38" t="s">
        <v>91</v>
      </c>
      <c r="S23" s="39">
        <f>MAX(S13:S18)</f>
        <v>4</v>
      </c>
      <c r="T23" s="39">
        <f t="shared" ref="T23:AF23" si="15">MAX(T13:T18)</f>
        <v>3</v>
      </c>
      <c r="U23" s="39">
        <f t="shared" si="15"/>
        <v>6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1</v>
      </c>
      <c r="AA23" s="39">
        <f t="shared" si="15"/>
        <v>1</v>
      </c>
      <c r="AB23" s="39">
        <f t="shared" si="15"/>
        <v>19</v>
      </c>
      <c r="AC23" s="39">
        <f t="shared" si="15"/>
        <v>15</v>
      </c>
      <c r="AD23" s="39">
        <f t="shared" si="15"/>
        <v>0</v>
      </c>
      <c r="AE23" s="40">
        <f t="shared" si="15"/>
        <v>28</v>
      </c>
      <c r="AF23" s="40">
        <f t="shared" si="15"/>
        <v>43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6</v>
      </c>
      <c r="M24" s="50">
        <v>1</v>
      </c>
      <c r="N24" s="50">
        <v>0</v>
      </c>
      <c r="O24" s="15">
        <f t="shared" si="0"/>
        <v>6</v>
      </c>
      <c r="P24" s="15">
        <f t="shared" si="1"/>
        <v>7</v>
      </c>
      <c r="R24" s="38" t="s">
        <v>92</v>
      </c>
      <c r="S24" s="39">
        <f>MAX(S19:S21)</f>
        <v>3</v>
      </c>
      <c r="T24" s="39">
        <f t="shared" ref="T24:AF24" si="16">MAX(T19:T21)</f>
        <v>1</v>
      </c>
      <c r="U24" s="39">
        <f t="shared" si="16"/>
        <v>4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0</v>
      </c>
      <c r="Z24" s="39">
        <f t="shared" si="16"/>
        <v>1</v>
      </c>
      <c r="AA24" s="39">
        <f t="shared" si="16"/>
        <v>0</v>
      </c>
      <c r="AB24" s="39">
        <f t="shared" si="16"/>
        <v>9</v>
      </c>
      <c r="AC24" s="39">
        <f t="shared" si="16"/>
        <v>7</v>
      </c>
      <c r="AD24" s="39">
        <f t="shared" si="16"/>
        <v>0</v>
      </c>
      <c r="AE24" s="40">
        <f t="shared" si="16"/>
        <v>15</v>
      </c>
      <c r="AF24" s="40">
        <f t="shared" si="16"/>
        <v>22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2</v>
      </c>
      <c r="N25" s="50">
        <v>0</v>
      </c>
      <c r="O25" s="15">
        <f t="shared" si="0"/>
        <v>5</v>
      </c>
      <c r="P25" s="15">
        <f t="shared" si="1"/>
        <v>7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3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2</v>
      </c>
      <c r="AA25" s="16">
        <f t="shared" si="17"/>
        <v>2</v>
      </c>
      <c r="AB25" s="16">
        <f t="shared" si="17"/>
        <v>32</v>
      </c>
      <c r="AC25" s="16">
        <f t="shared" si="17"/>
        <v>21</v>
      </c>
      <c r="AD25" s="16">
        <f t="shared" si="17"/>
        <v>0</v>
      </c>
      <c r="AE25" s="32">
        <f t="shared" si="17"/>
        <v>50</v>
      </c>
      <c r="AF25" s="32">
        <f t="shared" si="17"/>
        <v>71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10</v>
      </c>
      <c r="T26" s="16">
        <f t="shared" si="18"/>
        <v>3</v>
      </c>
      <c r="U26" s="16">
        <f t="shared" si="18"/>
        <v>17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5</v>
      </c>
      <c r="Z26" s="16">
        <f t="shared" si="18"/>
        <v>1</v>
      </c>
      <c r="AA26" s="16">
        <f t="shared" si="18"/>
        <v>1</v>
      </c>
      <c r="AB26" s="16">
        <f t="shared" si="18"/>
        <v>62</v>
      </c>
      <c r="AC26" s="16">
        <f t="shared" si="18"/>
        <v>41</v>
      </c>
      <c r="AD26" s="16">
        <f t="shared" si="18"/>
        <v>0</v>
      </c>
      <c r="AE26" s="32">
        <f t="shared" si="18"/>
        <v>100</v>
      </c>
      <c r="AF26" s="32">
        <f t="shared" si="18"/>
        <v>141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2</v>
      </c>
      <c r="N27" s="50">
        <v>0</v>
      </c>
      <c r="O27" s="15">
        <f t="shared" si="0"/>
        <v>1</v>
      </c>
      <c r="P27" s="15">
        <f t="shared" si="1"/>
        <v>3</v>
      </c>
      <c r="R27" s="29" t="s">
        <v>87</v>
      </c>
      <c r="S27" s="16">
        <f t="shared" ref="S27:AF27" si="19">SUM(S19:S21)</f>
        <v>5</v>
      </c>
      <c r="T27" s="16">
        <f t="shared" si="19"/>
        <v>1</v>
      </c>
      <c r="U27" s="16">
        <f t="shared" si="19"/>
        <v>7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0</v>
      </c>
      <c r="Z27" s="16">
        <f t="shared" si="19"/>
        <v>2</v>
      </c>
      <c r="AA27" s="16">
        <f t="shared" si="19"/>
        <v>0</v>
      </c>
      <c r="AB27" s="16">
        <f t="shared" si="19"/>
        <v>13</v>
      </c>
      <c r="AC27" s="16">
        <f t="shared" si="19"/>
        <v>15</v>
      </c>
      <c r="AD27" s="16">
        <f t="shared" si="19"/>
        <v>0</v>
      </c>
      <c r="AE27" s="32">
        <f t="shared" si="19"/>
        <v>28</v>
      </c>
      <c r="AF27" s="32">
        <f t="shared" si="19"/>
        <v>43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0</v>
      </c>
      <c r="P28" s="15">
        <f t="shared" si="1"/>
        <v>2</v>
      </c>
      <c r="R28" s="5" t="s">
        <v>17</v>
      </c>
      <c r="S28" s="16">
        <f t="shared" ref="S28:AF28" si="20">SUM(S10:S21)</f>
        <v>19</v>
      </c>
      <c r="T28" s="16">
        <f t="shared" si="20"/>
        <v>4</v>
      </c>
      <c r="U28" s="16">
        <f t="shared" si="20"/>
        <v>27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12</v>
      </c>
      <c r="Z28" s="16">
        <f t="shared" si="20"/>
        <v>5</v>
      </c>
      <c r="AA28" s="16">
        <f t="shared" si="20"/>
        <v>3</v>
      </c>
      <c r="AB28" s="16">
        <f t="shared" si="20"/>
        <v>107</v>
      </c>
      <c r="AC28" s="16">
        <f t="shared" si="20"/>
        <v>77</v>
      </c>
      <c r="AD28" s="16">
        <f t="shared" si="20"/>
        <v>0</v>
      </c>
      <c r="AE28" s="32">
        <f t="shared" si="20"/>
        <v>178</v>
      </c>
      <c r="AF28" s="32">
        <f t="shared" si="20"/>
        <v>255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2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6</v>
      </c>
      <c r="M30" s="50">
        <v>6</v>
      </c>
      <c r="N30" s="50">
        <v>0</v>
      </c>
      <c r="O30" s="15">
        <f t="shared" si="0"/>
        <v>6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6</v>
      </c>
      <c r="M31" s="50">
        <v>4</v>
      </c>
      <c r="N31" s="50">
        <v>0</v>
      </c>
      <c r="O31" s="15">
        <f t="shared" si="0"/>
        <v>10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5</v>
      </c>
      <c r="M32" s="50">
        <v>4</v>
      </c>
      <c r="N32" s="50">
        <v>0</v>
      </c>
      <c r="O32" s="15">
        <f t="shared" si="0"/>
        <v>8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3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3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1</v>
      </c>
      <c r="N36" s="50">
        <v>0</v>
      </c>
      <c r="O36" s="15">
        <f t="shared" si="0"/>
        <v>6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4</v>
      </c>
      <c r="M38" s="50">
        <v>0</v>
      </c>
      <c r="N38" s="50">
        <v>0</v>
      </c>
      <c r="O38" s="15">
        <f t="shared" si="0"/>
        <v>6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6</v>
      </c>
      <c r="M39" s="50">
        <v>0</v>
      </c>
      <c r="N39" s="50">
        <v>0</v>
      </c>
      <c r="O39" s="15">
        <f t="shared" si="0"/>
        <v>9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4</v>
      </c>
      <c r="M40" s="50">
        <v>0</v>
      </c>
      <c r="N40" s="50">
        <v>0</v>
      </c>
      <c r="O40" s="15">
        <f t="shared" si="0"/>
        <v>6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2</v>
      </c>
      <c r="M41" s="50">
        <v>2</v>
      </c>
      <c r="N41" s="50">
        <v>0</v>
      </c>
      <c r="O41" s="15">
        <f t="shared" si="0"/>
        <v>5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3</v>
      </c>
      <c r="N42" s="50">
        <v>0</v>
      </c>
      <c r="O42" s="15">
        <f t="shared" si="0"/>
        <v>2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2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4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6</v>
      </c>
      <c r="M48" s="50">
        <v>1</v>
      </c>
      <c r="N48" s="50">
        <v>0</v>
      </c>
      <c r="O48" s="15">
        <f t="shared" si="0"/>
        <v>7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1</v>
      </c>
      <c r="N50" s="50">
        <v>0</v>
      </c>
      <c r="O50" s="15">
        <f t="shared" si="0"/>
        <v>1</v>
      </c>
      <c r="P50" s="15">
        <f t="shared" si="1"/>
        <v>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2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2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1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</v>
      </c>
      <c r="D58" s="16">
        <f t="shared" si="21"/>
        <v>4</v>
      </c>
      <c r="E58" s="16">
        <f t="shared" si="21"/>
        <v>27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12</v>
      </c>
      <c r="J58" s="16">
        <f t="shared" si="21"/>
        <v>5</v>
      </c>
      <c r="K58" s="16">
        <f t="shared" si="21"/>
        <v>3</v>
      </c>
      <c r="L58" s="16">
        <f t="shared" si="21"/>
        <v>107</v>
      </c>
      <c r="M58" s="16">
        <f t="shared" si="21"/>
        <v>77</v>
      </c>
      <c r="N58" s="16">
        <f t="shared" si="21"/>
        <v>0</v>
      </c>
      <c r="O58" s="16">
        <f t="shared" si="21"/>
        <v>178</v>
      </c>
      <c r="P58" s="16">
        <f t="shared" si="21"/>
        <v>255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7.4509803921568626E-2</v>
      </c>
      <c r="D59" s="43">
        <f t="shared" si="22"/>
        <v>1.5686274509803921E-2</v>
      </c>
      <c r="E59" s="43">
        <f t="shared" si="22"/>
        <v>0.10588235294117647</v>
      </c>
      <c r="F59" s="43">
        <f t="shared" si="22"/>
        <v>3.9215686274509803E-3</v>
      </c>
      <c r="G59" s="43">
        <f t="shared" si="22"/>
        <v>0</v>
      </c>
      <c r="H59" s="43">
        <f t="shared" si="22"/>
        <v>0</v>
      </c>
      <c r="I59" s="43">
        <f t="shared" si="22"/>
        <v>4.7058823529411764E-2</v>
      </c>
      <c r="J59" s="43">
        <f t="shared" si="22"/>
        <v>1.9607843137254902E-2</v>
      </c>
      <c r="K59" s="43">
        <f t="shared" si="22"/>
        <v>1.1764705882352941E-2</v>
      </c>
      <c r="L59" s="43">
        <f t="shared" si="22"/>
        <v>0.41960784313725491</v>
      </c>
      <c r="M59" s="43">
        <f t="shared" si="22"/>
        <v>0.30196078431372547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0.10674157303370786</v>
      </c>
      <c r="D60" s="44">
        <f t="shared" ref="D60:N60" si="23">D58/$O$58</f>
        <v>2.247191011235955E-2</v>
      </c>
      <c r="E60" s="44">
        <f t="shared" si="23"/>
        <v>0.15168539325842698</v>
      </c>
      <c r="F60" s="44">
        <f t="shared" si="23"/>
        <v>5.6179775280898875E-3</v>
      </c>
      <c r="G60" s="44">
        <f t="shared" si="23"/>
        <v>0</v>
      </c>
      <c r="H60" s="44">
        <f t="shared" si="23"/>
        <v>0</v>
      </c>
      <c r="I60" s="44">
        <f t="shared" si="23"/>
        <v>6.741573033707865E-2</v>
      </c>
      <c r="J60" s="44">
        <f t="shared" si="23"/>
        <v>2.8089887640449437E-2</v>
      </c>
      <c r="K60" s="44">
        <f t="shared" si="23"/>
        <v>1.6853932584269662E-2</v>
      </c>
      <c r="L60" s="44">
        <f t="shared" si="23"/>
        <v>0.601123595505618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C46" zoomScale="60" workbookViewId="0">
      <selection activeCell="D20" sqref="D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'06.07 NIMULE-GULU'!D5</f>
        <v>06.07.19</v>
      </c>
      <c r="E5" s="3"/>
      <c r="F5" s="41" t="s">
        <v>1</v>
      </c>
      <c r="G5" s="66" t="str">
        <f>'06.07 NIMULE-GULU'!G5:H5</f>
        <v>ELEGU</v>
      </c>
      <c r="H5" s="67"/>
      <c r="I5" s="14"/>
      <c r="J5" s="2" t="s">
        <v>5</v>
      </c>
      <c r="K5" s="66" t="str">
        <f>'06.07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GULU-NIMULE'!D6:E6</f>
        <v>GULU</v>
      </c>
      <c r="E6" s="67"/>
      <c r="F6" s="2" t="s">
        <v>2</v>
      </c>
      <c r="G6" s="66" t="str">
        <f>'31.07 GULU-NIMULE'!G6:H6</f>
        <v>NIMULE</v>
      </c>
      <c r="H6" s="67"/>
      <c r="J6" s="2" t="s">
        <v>21</v>
      </c>
      <c r="K6" s="66" t="str">
        <f>'06.07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3</v>
      </c>
      <c r="T10" s="17">
        <f t="shared" si="2"/>
        <v>1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5</v>
      </c>
      <c r="AC10" s="17">
        <f t="shared" si="2"/>
        <v>3</v>
      </c>
      <c r="AD10" s="17">
        <f t="shared" si="2"/>
        <v>0</v>
      </c>
      <c r="AE10" s="31">
        <f t="shared" si="2"/>
        <v>11</v>
      </c>
      <c r="AF10" s="31">
        <f t="shared" si="2"/>
        <v>14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1</v>
      </c>
      <c r="N11" s="50">
        <v>0</v>
      </c>
      <c r="O11" s="15">
        <f t="shared" si="0"/>
        <v>2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11</v>
      </c>
      <c r="AC12" s="17">
        <f t="shared" si="4"/>
        <v>8</v>
      </c>
      <c r="AD12" s="17">
        <f t="shared" si="4"/>
        <v>0</v>
      </c>
      <c r="AE12" s="31">
        <f t="shared" si="4"/>
        <v>19</v>
      </c>
      <c r="AF12" s="31">
        <f t="shared" si="4"/>
        <v>27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2</v>
      </c>
      <c r="M13" s="50">
        <v>0</v>
      </c>
      <c r="N13" s="50">
        <v>0</v>
      </c>
      <c r="O13" s="15">
        <f t="shared" si="0"/>
        <v>4</v>
      </c>
      <c r="P13" s="15">
        <f t="shared" si="1"/>
        <v>4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17</v>
      </c>
      <c r="AC13" s="17">
        <f t="shared" si="5"/>
        <v>3</v>
      </c>
      <c r="AD13" s="17">
        <f t="shared" si="5"/>
        <v>0</v>
      </c>
      <c r="AE13" s="31">
        <f t="shared" si="5"/>
        <v>27</v>
      </c>
      <c r="AF13" s="31">
        <f t="shared" si="5"/>
        <v>30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1</v>
      </c>
      <c r="AB14" s="17">
        <f t="shared" si="6"/>
        <v>4</v>
      </c>
      <c r="AC14" s="17">
        <f t="shared" si="6"/>
        <v>3</v>
      </c>
      <c r="AD14" s="17">
        <f t="shared" si="6"/>
        <v>0</v>
      </c>
      <c r="AE14" s="31">
        <f t="shared" si="6"/>
        <v>9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1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6</v>
      </c>
      <c r="AC15" s="17">
        <f t="shared" si="7"/>
        <v>9</v>
      </c>
      <c r="AD15" s="17">
        <f t="shared" si="7"/>
        <v>0</v>
      </c>
      <c r="AE15" s="31">
        <f t="shared" si="7"/>
        <v>13</v>
      </c>
      <c r="AF15" s="31">
        <f t="shared" si="7"/>
        <v>22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6</v>
      </c>
      <c r="AC16" s="17">
        <f t="shared" si="8"/>
        <v>2</v>
      </c>
      <c r="AD16" s="17">
        <f t="shared" si="8"/>
        <v>0</v>
      </c>
      <c r="AE16" s="31">
        <f t="shared" si="8"/>
        <v>10</v>
      </c>
      <c r="AF16" s="31">
        <f t="shared" si="8"/>
        <v>12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5</v>
      </c>
      <c r="AC17" s="17">
        <f t="shared" si="9"/>
        <v>7</v>
      </c>
      <c r="AD17" s="17">
        <f t="shared" si="9"/>
        <v>0</v>
      </c>
      <c r="AE17" s="31">
        <f t="shared" si="9"/>
        <v>15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4</v>
      </c>
      <c r="N18" s="50">
        <v>0</v>
      </c>
      <c r="O18" s="15">
        <f t="shared" si="0"/>
        <v>5</v>
      </c>
      <c r="P18" s="15">
        <f t="shared" si="1"/>
        <v>9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4</v>
      </c>
      <c r="V18" s="17">
        <f t="shared" si="10"/>
        <v>0</v>
      </c>
      <c r="W18" s="17">
        <f t="shared" si="10"/>
        <v>1</v>
      </c>
      <c r="X18" s="17">
        <f t="shared" si="10"/>
        <v>5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8</v>
      </c>
      <c r="AC18" s="17">
        <f t="shared" si="10"/>
        <v>5</v>
      </c>
      <c r="AD18" s="17">
        <f t="shared" si="10"/>
        <v>0</v>
      </c>
      <c r="AE18" s="31">
        <f t="shared" si="10"/>
        <v>25</v>
      </c>
      <c r="AF18" s="31">
        <f t="shared" si="10"/>
        <v>30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2</v>
      </c>
      <c r="P19" s="15">
        <f t="shared" si="1"/>
        <v>3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9</v>
      </c>
      <c r="AC19" s="17">
        <f t="shared" si="11"/>
        <v>3</v>
      </c>
      <c r="AD19" s="17">
        <f t="shared" si="11"/>
        <v>0</v>
      </c>
      <c r="AE19" s="31">
        <f t="shared" si="11"/>
        <v>19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4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8</v>
      </c>
      <c r="T20" s="17">
        <f t="shared" si="12"/>
        <v>1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5</v>
      </c>
      <c r="AD20" s="17">
        <f t="shared" si="12"/>
        <v>0</v>
      </c>
      <c r="AE20" s="31">
        <f t="shared" si="12"/>
        <v>15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4</v>
      </c>
      <c r="M21" s="50">
        <v>1</v>
      </c>
      <c r="N21" s="50">
        <v>0</v>
      </c>
      <c r="O21" s="15">
        <f t="shared" si="0"/>
        <v>7</v>
      </c>
      <c r="P21" s="15">
        <f t="shared" si="1"/>
        <v>8</v>
      </c>
      <c r="R21" s="36" t="s">
        <v>20</v>
      </c>
      <c r="S21" s="34">
        <f t="shared" ref="S21:AF21" si="13">SUM(C54:C57)</f>
        <v>4</v>
      </c>
      <c r="T21" s="17">
        <f t="shared" si="13"/>
        <v>1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0</v>
      </c>
      <c r="AB21" s="17">
        <f t="shared" si="13"/>
        <v>9</v>
      </c>
      <c r="AC21" s="17">
        <f t="shared" si="13"/>
        <v>6</v>
      </c>
      <c r="AD21" s="17">
        <f t="shared" si="13"/>
        <v>0</v>
      </c>
      <c r="AE21" s="31">
        <f t="shared" si="13"/>
        <v>18</v>
      </c>
      <c r="AF21" s="31">
        <f t="shared" si="13"/>
        <v>24</v>
      </c>
    </row>
    <row r="22" spans="2:32" ht="23.1" customHeight="1" x14ac:dyDescent="0.25">
      <c r="B22" s="23" t="s">
        <v>49</v>
      </c>
      <c r="C22" s="50">
        <v>0</v>
      </c>
      <c r="D22" s="50">
        <v>2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6</v>
      </c>
      <c r="M22" s="50">
        <v>1</v>
      </c>
      <c r="N22" s="50">
        <v>0</v>
      </c>
      <c r="O22" s="15">
        <f t="shared" si="0"/>
        <v>12</v>
      </c>
      <c r="P22" s="15">
        <f t="shared" si="1"/>
        <v>13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0</v>
      </c>
      <c r="AA22" s="39">
        <f t="shared" si="14"/>
        <v>1</v>
      </c>
      <c r="AB22" s="39">
        <f t="shared" si="14"/>
        <v>11</v>
      </c>
      <c r="AC22" s="39">
        <f t="shared" si="14"/>
        <v>8</v>
      </c>
      <c r="AD22" s="39">
        <f t="shared" si="14"/>
        <v>0</v>
      </c>
      <c r="AE22" s="40">
        <f t="shared" si="14"/>
        <v>19</v>
      </c>
      <c r="AF22" s="40">
        <f t="shared" si="14"/>
        <v>27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6</v>
      </c>
      <c r="M23" s="50">
        <v>0</v>
      </c>
      <c r="N23" s="50">
        <v>0</v>
      </c>
      <c r="O23" s="15">
        <f t="shared" si="0"/>
        <v>7</v>
      </c>
      <c r="P23" s="15">
        <f t="shared" si="1"/>
        <v>7</v>
      </c>
      <c r="R23" s="38" t="s">
        <v>91</v>
      </c>
      <c r="S23" s="39">
        <f>MAX(S13:S18)</f>
        <v>3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0</v>
      </c>
      <c r="W23" s="39">
        <f t="shared" si="15"/>
        <v>1</v>
      </c>
      <c r="X23" s="39">
        <f t="shared" si="15"/>
        <v>5</v>
      </c>
      <c r="Y23" s="39">
        <f t="shared" si="15"/>
        <v>2</v>
      </c>
      <c r="Z23" s="39">
        <f t="shared" si="15"/>
        <v>1</v>
      </c>
      <c r="AA23" s="39">
        <f t="shared" si="15"/>
        <v>1</v>
      </c>
      <c r="AB23" s="39">
        <f t="shared" si="15"/>
        <v>17</v>
      </c>
      <c r="AC23" s="39">
        <f t="shared" si="15"/>
        <v>9</v>
      </c>
      <c r="AD23" s="39">
        <f t="shared" si="15"/>
        <v>0</v>
      </c>
      <c r="AE23" s="40">
        <f t="shared" si="15"/>
        <v>27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5</v>
      </c>
      <c r="P24" s="15">
        <f t="shared" si="1"/>
        <v>6</v>
      </c>
      <c r="R24" s="38" t="s">
        <v>92</v>
      </c>
      <c r="S24" s="39">
        <f>MAX(S19:S21)</f>
        <v>8</v>
      </c>
      <c r="T24" s="39">
        <f t="shared" ref="T24:AF24" si="16">MAX(T19:T21)</f>
        <v>1</v>
      </c>
      <c r="U24" s="39">
        <f t="shared" si="16"/>
        <v>2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2</v>
      </c>
      <c r="AA24" s="39">
        <f t="shared" si="16"/>
        <v>0</v>
      </c>
      <c r="AB24" s="39">
        <f t="shared" si="16"/>
        <v>9</v>
      </c>
      <c r="AC24" s="39">
        <f t="shared" si="16"/>
        <v>6</v>
      </c>
      <c r="AD24" s="39">
        <f t="shared" si="16"/>
        <v>0</v>
      </c>
      <c r="AE24" s="40">
        <f t="shared" si="16"/>
        <v>19</v>
      </c>
      <c r="AF24" s="40">
        <f t="shared" si="16"/>
        <v>24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1</v>
      </c>
      <c r="N25" s="50">
        <v>0</v>
      </c>
      <c r="O25" s="15">
        <f t="shared" si="0"/>
        <v>3</v>
      </c>
      <c r="P25" s="15">
        <f t="shared" si="1"/>
        <v>4</v>
      </c>
      <c r="R25" s="37" t="s">
        <v>85</v>
      </c>
      <c r="S25" s="35">
        <f t="shared" ref="S25:AF25" si="17">SUM(S10:S12)</f>
        <v>5</v>
      </c>
      <c r="T25" s="16">
        <f t="shared" si="17"/>
        <v>2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1</v>
      </c>
      <c r="Y25" s="16">
        <f t="shared" si="17"/>
        <v>2</v>
      </c>
      <c r="Z25" s="16">
        <f t="shared" si="17"/>
        <v>0</v>
      </c>
      <c r="AA25" s="16">
        <f t="shared" si="17"/>
        <v>1</v>
      </c>
      <c r="AB25" s="16">
        <f t="shared" si="17"/>
        <v>23</v>
      </c>
      <c r="AC25" s="16">
        <f t="shared" si="17"/>
        <v>14</v>
      </c>
      <c r="AD25" s="16">
        <f t="shared" si="17"/>
        <v>0</v>
      </c>
      <c r="AE25" s="32">
        <f t="shared" si="17"/>
        <v>39</v>
      </c>
      <c r="AF25" s="32">
        <f t="shared" si="17"/>
        <v>53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11</v>
      </c>
      <c r="T26" s="16">
        <f t="shared" si="18"/>
        <v>8</v>
      </c>
      <c r="U26" s="16">
        <f t="shared" si="18"/>
        <v>16</v>
      </c>
      <c r="V26" s="16">
        <f t="shared" si="18"/>
        <v>0</v>
      </c>
      <c r="W26" s="16">
        <f t="shared" si="18"/>
        <v>2</v>
      </c>
      <c r="X26" s="16">
        <f t="shared" si="18"/>
        <v>7</v>
      </c>
      <c r="Y26" s="16">
        <f t="shared" si="18"/>
        <v>6</v>
      </c>
      <c r="Z26" s="16">
        <f t="shared" si="18"/>
        <v>2</v>
      </c>
      <c r="AA26" s="16">
        <f t="shared" si="18"/>
        <v>1</v>
      </c>
      <c r="AB26" s="16">
        <f t="shared" si="18"/>
        <v>46</v>
      </c>
      <c r="AC26" s="16">
        <f t="shared" si="18"/>
        <v>29</v>
      </c>
      <c r="AD26" s="16">
        <f t="shared" si="18"/>
        <v>0</v>
      </c>
      <c r="AE26" s="32">
        <f t="shared" si="18"/>
        <v>99</v>
      </c>
      <c r="AF26" s="32">
        <f t="shared" si="18"/>
        <v>128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29" t="s">
        <v>87</v>
      </c>
      <c r="S27" s="16">
        <f t="shared" ref="S27:AF27" si="19">SUM(S19:S21)</f>
        <v>17</v>
      </c>
      <c r="T27" s="16">
        <f t="shared" si="19"/>
        <v>2</v>
      </c>
      <c r="U27" s="16">
        <f t="shared" si="19"/>
        <v>4</v>
      </c>
      <c r="V27" s="16">
        <f t="shared" si="19"/>
        <v>0</v>
      </c>
      <c r="W27" s="16">
        <f t="shared" si="19"/>
        <v>0</v>
      </c>
      <c r="X27" s="16">
        <f t="shared" si="19"/>
        <v>2</v>
      </c>
      <c r="Y27" s="16">
        <f t="shared" si="19"/>
        <v>4</v>
      </c>
      <c r="Z27" s="16">
        <f t="shared" si="19"/>
        <v>2</v>
      </c>
      <c r="AA27" s="16">
        <f t="shared" si="19"/>
        <v>0</v>
      </c>
      <c r="AB27" s="16">
        <f t="shared" si="19"/>
        <v>21</v>
      </c>
      <c r="AC27" s="16">
        <f t="shared" si="19"/>
        <v>14</v>
      </c>
      <c r="AD27" s="16">
        <f t="shared" si="19"/>
        <v>0</v>
      </c>
      <c r="AE27" s="32">
        <f t="shared" si="19"/>
        <v>52</v>
      </c>
      <c r="AF27" s="32">
        <f t="shared" si="19"/>
        <v>66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2</v>
      </c>
      <c r="M28" s="50">
        <v>0</v>
      </c>
      <c r="N28" s="50">
        <v>0</v>
      </c>
      <c r="O28" s="15">
        <f t="shared" si="0"/>
        <v>5</v>
      </c>
      <c r="P28" s="15">
        <f t="shared" si="1"/>
        <v>5</v>
      </c>
      <c r="R28" s="5" t="s">
        <v>17</v>
      </c>
      <c r="S28" s="16">
        <f t="shared" ref="S28:AF28" si="20">SUM(S10:S21)</f>
        <v>33</v>
      </c>
      <c r="T28" s="16">
        <f t="shared" si="20"/>
        <v>12</v>
      </c>
      <c r="U28" s="16">
        <f t="shared" si="20"/>
        <v>25</v>
      </c>
      <c r="V28" s="16">
        <f t="shared" si="20"/>
        <v>0</v>
      </c>
      <c r="W28" s="16">
        <f t="shared" si="20"/>
        <v>2</v>
      </c>
      <c r="X28" s="16">
        <f t="shared" si="20"/>
        <v>10</v>
      </c>
      <c r="Y28" s="16">
        <f t="shared" si="20"/>
        <v>12</v>
      </c>
      <c r="Z28" s="16">
        <f t="shared" si="20"/>
        <v>4</v>
      </c>
      <c r="AA28" s="16">
        <f t="shared" si="20"/>
        <v>2</v>
      </c>
      <c r="AB28" s="16">
        <f t="shared" si="20"/>
        <v>90</v>
      </c>
      <c r="AC28" s="16">
        <f t="shared" si="20"/>
        <v>57</v>
      </c>
      <c r="AD28" s="16">
        <f t="shared" si="20"/>
        <v>0</v>
      </c>
      <c r="AE28" s="32">
        <f t="shared" si="20"/>
        <v>190</v>
      </c>
      <c r="AF28" s="32">
        <f t="shared" si="20"/>
        <v>247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</v>
      </c>
      <c r="N29" s="50">
        <v>0</v>
      </c>
      <c r="O29" s="15">
        <f t="shared" si="0"/>
        <v>2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2</v>
      </c>
      <c r="M30" s="50">
        <v>2</v>
      </c>
      <c r="N30" s="50">
        <v>0</v>
      </c>
      <c r="O30" s="15">
        <f t="shared" si="0"/>
        <v>4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3</v>
      </c>
      <c r="M36" s="50">
        <v>0</v>
      </c>
      <c r="N36" s="50">
        <v>0</v>
      </c>
      <c r="O36" s="15">
        <f t="shared" si="0"/>
        <v>3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3</v>
      </c>
      <c r="M38" s="50">
        <v>0</v>
      </c>
      <c r="N38" s="50">
        <v>0</v>
      </c>
      <c r="O38" s="15">
        <f t="shared" si="0"/>
        <v>5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2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1</v>
      </c>
      <c r="N40" s="50">
        <v>0</v>
      </c>
      <c r="O40" s="15">
        <f t="shared" si="0"/>
        <v>4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1</v>
      </c>
      <c r="F41" s="50">
        <v>0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4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2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4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1</v>
      </c>
      <c r="F43" s="50">
        <v>0</v>
      </c>
      <c r="G43" s="50">
        <v>1</v>
      </c>
      <c r="H43" s="50">
        <v>3</v>
      </c>
      <c r="I43" s="50">
        <v>0</v>
      </c>
      <c r="J43" s="50">
        <v>0</v>
      </c>
      <c r="K43" s="50">
        <v>0</v>
      </c>
      <c r="L43" s="50">
        <v>5</v>
      </c>
      <c r="M43" s="50">
        <v>1</v>
      </c>
      <c r="N43" s="50">
        <v>0</v>
      </c>
      <c r="O43" s="15">
        <f t="shared" si="0"/>
        <v>13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v>1</v>
      </c>
      <c r="M45" s="50">
        <v>2</v>
      </c>
      <c r="N45" s="50">
        <v>0</v>
      </c>
      <c r="O45" s="15">
        <f t="shared" si="0"/>
        <v>5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3</v>
      </c>
      <c r="M46" s="50">
        <v>3</v>
      </c>
      <c r="N46" s="50">
        <v>0</v>
      </c>
      <c r="O46" s="15">
        <f t="shared" si="0"/>
        <v>6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3</v>
      </c>
      <c r="M47" s="50">
        <v>0</v>
      </c>
      <c r="N47" s="50">
        <v>0</v>
      </c>
      <c r="O47" s="15">
        <f t="shared" si="0"/>
        <v>5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3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3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3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5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3</v>
      </c>
      <c r="M54" s="50">
        <v>2</v>
      </c>
      <c r="N54" s="50">
        <v>0</v>
      </c>
      <c r="O54" s="15">
        <f t="shared" si="0"/>
        <v>6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4</v>
      </c>
      <c r="M55" s="50">
        <v>2</v>
      </c>
      <c r="N55" s="50">
        <v>0</v>
      </c>
      <c r="O55" s="15">
        <f t="shared" si="0"/>
        <v>6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1</v>
      </c>
      <c r="N56" s="50">
        <v>0</v>
      </c>
      <c r="O56" s="15">
        <f t="shared" si="0"/>
        <v>4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2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12</v>
      </c>
      <c r="E58" s="16">
        <f t="shared" si="21"/>
        <v>25</v>
      </c>
      <c r="F58" s="16">
        <f t="shared" si="21"/>
        <v>0</v>
      </c>
      <c r="G58" s="16">
        <f t="shared" si="21"/>
        <v>2</v>
      </c>
      <c r="H58" s="16">
        <f t="shared" si="21"/>
        <v>10</v>
      </c>
      <c r="I58" s="16">
        <f t="shared" si="21"/>
        <v>12</v>
      </c>
      <c r="J58" s="16">
        <f t="shared" si="21"/>
        <v>4</v>
      </c>
      <c r="K58" s="16">
        <f t="shared" si="21"/>
        <v>2</v>
      </c>
      <c r="L58" s="16">
        <f t="shared" si="21"/>
        <v>90</v>
      </c>
      <c r="M58" s="16">
        <f t="shared" si="21"/>
        <v>57</v>
      </c>
      <c r="N58" s="16">
        <f t="shared" si="21"/>
        <v>0</v>
      </c>
      <c r="O58" s="16">
        <f t="shared" si="21"/>
        <v>190</v>
      </c>
      <c r="P58" s="16">
        <f t="shared" si="21"/>
        <v>247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0.13360323886639677</v>
      </c>
      <c r="D59" s="43">
        <f t="shared" si="22"/>
        <v>4.8582995951417005E-2</v>
      </c>
      <c r="E59" s="43">
        <f t="shared" si="22"/>
        <v>0.10121457489878542</v>
      </c>
      <c r="F59" s="43">
        <f t="shared" si="22"/>
        <v>0</v>
      </c>
      <c r="G59" s="43">
        <f t="shared" si="22"/>
        <v>8.0971659919028341E-3</v>
      </c>
      <c r="H59" s="43">
        <f t="shared" si="22"/>
        <v>4.048582995951417E-2</v>
      </c>
      <c r="I59" s="43">
        <f t="shared" si="22"/>
        <v>4.8582995951417005E-2</v>
      </c>
      <c r="J59" s="43">
        <f t="shared" si="22"/>
        <v>1.6194331983805668E-2</v>
      </c>
      <c r="K59" s="43">
        <f t="shared" si="22"/>
        <v>8.0971659919028341E-3</v>
      </c>
      <c r="L59" s="43">
        <f t="shared" si="22"/>
        <v>0.36437246963562753</v>
      </c>
      <c r="M59" s="43">
        <f t="shared" si="22"/>
        <v>0.23076923076923078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0.1736842105263158</v>
      </c>
      <c r="D60" s="44">
        <f t="shared" ref="D60:N60" si="23">D58/$O$58</f>
        <v>6.3157894736842107E-2</v>
      </c>
      <c r="E60" s="44">
        <f t="shared" si="23"/>
        <v>0.13157894736842105</v>
      </c>
      <c r="F60" s="44">
        <f t="shared" si="23"/>
        <v>0</v>
      </c>
      <c r="G60" s="44">
        <f t="shared" si="23"/>
        <v>1.0526315789473684E-2</v>
      </c>
      <c r="H60" s="44">
        <f t="shared" si="23"/>
        <v>5.2631578947368418E-2</v>
      </c>
      <c r="I60" s="44">
        <f t="shared" si="23"/>
        <v>6.3157894736842107E-2</v>
      </c>
      <c r="J60" s="44">
        <f t="shared" si="23"/>
        <v>2.1052631578947368E-2</v>
      </c>
      <c r="K60" s="44">
        <f t="shared" si="23"/>
        <v>1.0526315789473684E-2</v>
      </c>
      <c r="L60" s="44">
        <f t="shared" si="23"/>
        <v>0.47368421052631576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J76" zoomScale="60" workbookViewId="0">
      <selection activeCell="S23" sqref="S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'06.07 NIMULE-GULU'!G5:H5</f>
        <v>ELEGU</v>
      </c>
      <c r="H5" s="67"/>
      <c r="I5" s="14"/>
      <c r="J5" s="2" t="s">
        <v>5</v>
      </c>
      <c r="K5" s="66" t="str">
        <f>'06.07 NIMULE-GULU'!K5:L5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'06.07 NIMULE-GULU'!D6:E6</f>
        <v>NIMULE</v>
      </c>
      <c r="E6" s="67"/>
      <c r="F6" s="2" t="s">
        <v>2</v>
      </c>
      <c r="G6" s="66" t="str">
        <f>'06.07 NIMULE-GULU'!G6:H6</f>
        <v>GULU</v>
      </c>
      <c r="H6" s="67"/>
      <c r="J6" s="2" t="s">
        <v>21</v>
      </c>
      <c r="K6" s="66" t="str">
        <f>'06.07 NIMULE-GULU'!K6:L6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NIMULE-GULU'!C10,'01.07 NIMULE-GULU'!C10,'02.07 NIMULE-GULU'!C10,'03.07 NIMULE-GULU'!C10,'04.07 NIMULE-GULU-24h'!C10,'05.07 NIMULE-GULU-24h'!C10,'06.07 NIMULE-GULU'!C10)</f>
        <v>1.2857142857142858</v>
      </c>
      <c r="D10" s="49">
        <f>AVERAGE('31.07 NIMULE-GULU'!D10,'01.07 NIMULE-GULU'!D10,'02.07 NIMULE-GULU'!D10,'03.07 NIMULE-GULU'!D10,'04.07 NIMULE-GULU-24h'!D10,'05.07 NIMULE-GULU-24h'!D10,'06.07 NIMULE-GULU'!D10)</f>
        <v>0</v>
      </c>
      <c r="E10" s="49">
        <f>AVERAGE('31.07 NIMULE-GULU'!E10,'01.07 NIMULE-GULU'!E10,'02.07 NIMULE-GULU'!E10,'03.07 NIMULE-GULU'!E10,'04.07 NIMULE-GULU-24h'!E10,'05.07 NIMULE-GULU-24h'!E10,'06.07 NIMULE-GULU'!E10)</f>
        <v>0.2857142857142857</v>
      </c>
      <c r="F10" s="49">
        <f>AVERAGE('31.07 NIMULE-GULU'!F10,'01.07 NIMULE-GULU'!F10,'02.07 NIMULE-GULU'!F10,'03.07 NIMULE-GULU'!F10,'04.07 NIMULE-GULU-24h'!F10,'05.07 NIMULE-GULU-24h'!F10,'06.07 NIMULE-GULU'!F10)</f>
        <v>0</v>
      </c>
      <c r="G10" s="49">
        <f>AVERAGE('31.07 NIMULE-GULU'!G10,'01.07 NIMULE-GULU'!G10,'02.07 NIMULE-GULU'!G10,'03.07 NIMULE-GULU'!G10,'04.07 NIMULE-GULU-24h'!G10,'05.07 NIMULE-GULU-24h'!G10,'06.07 NIMULE-GULU'!G10)</f>
        <v>0</v>
      </c>
      <c r="H10" s="49">
        <f>AVERAGE('31.07 NIMULE-GULU'!H10,'01.07 NIMULE-GULU'!H10,'02.07 NIMULE-GULU'!H10,'03.07 NIMULE-GULU'!H10,'04.07 NIMULE-GULU-24h'!H10,'05.07 NIMULE-GULU-24h'!H10,'06.07 NIMULE-GULU'!H10)</f>
        <v>0</v>
      </c>
      <c r="I10" s="49">
        <f>AVERAGE('31.07 NIMULE-GULU'!I10,'01.07 NIMULE-GULU'!I10,'02.07 NIMULE-GULU'!I10,'03.07 NIMULE-GULU'!I10,'04.07 NIMULE-GULU-24h'!I10,'05.07 NIMULE-GULU-24h'!I10,'06.07 NIMULE-GULU'!I10)</f>
        <v>0.7142857142857143</v>
      </c>
      <c r="J10" s="49">
        <f>AVERAGE('31.07 NIMULE-GULU'!J10,'01.07 NIMULE-GULU'!J10,'02.07 NIMULE-GULU'!J10,'03.07 NIMULE-GULU'!J10,'04.07 NIMULE-GULU-24h'!J10,'05.07 NIMULE-GULU-24h'!J10,'06.07 NIMULE-GULU'!J10)</f>
        <v>0.14285714285714285</v>
      </c>
      <c r="K10" s="49">
        <f>AVERAGE('31.07 NIMULE-GULU'!K10,'01.07 NIMULE-GULU'!K10,'02.07 NIMULE-GULU'!K10,'03.07 NIMULE-GULU'!K10,'04.07 NIMULE-GULU-24h'!K10,'05.07 NIMULE-GULU-24h'!K10,'06.07 NIMULE-GULU'!K10)</f>
        <v>0.14285714285714285</v>
      </c>
      <c r="L10" s="49">
        <f>AVERAGE('31.07 NIMULE-GULU'!L10,'01.07 NIMULE-GULU'!L10,'02.07 NIMULE-GULU'!L10,'03.07 NIMULE-GULU'!L10,'04.07 NIMULE-GULU-24h'!L10,'05.07 NIMULE-GULU-24h'!L10,'06.07 NIMULE-GULU'!L10)</f>
        <v>1.2857142857142858</v>
      </c>
      <c r="M10" s="49">
        <f>AVERAGE('31.07 NIMULE-GULU'!M10,'01.07 NIMULE-GULU'!M10,'02.07 NIMULE-GULU'!M10,'03.07 NIMULE-GULU'!M10,'04.07 NIMULE-GULU-24h'!M10,'05.07 NIMULE-GULU-24h'!M10,'06.07 NIMULE-GULU'!M10)</f>
        <v>9.2857142857142865</v>
      </c>
      <c r="N10" s="49">
        <f>AVERAGE('31.07 NIMULE-GULU'!N10,'01.07 NIMULE-GULU'!N10,'02.07 NIMULE-GULU'!N10,'03.07 NIMULE-GULU'!N10,'04.07 NIMULE-GULU-24h'!N10,'05.07 NIMULE-GULU-24h'!N10,'06.07 NIMULE-GULU'!N10)</f>
        <v>0</v>
      </c>
      <c r="O10" s="15">
        <f t="shared" ref="O10:O73" si="0">SUM(C10:L10,N10)</f>
        <v>3.8571428571428577</v>
      </c>
      <c r="P10" s="15">
        <f t="shared" ref="P10:P73" si="1">SUM(C10:N10)</f>
        <v>13.142857142857144</v>
      </c>
      <c r="R10" s="1" t="s">
        <v>6</v>
      </c>
      <c r="S10" s="17">
        <f t="shared" ref="S10:AF10" si="2">SUM(C10:C13)</f>
        <v>3</v>
      </c>
      <c r="T10" s="17">
        <f t="shared" si="2"/>
        <v>1</v>
      </c>
      <c r="U10" s="17">
        <f t="shared" si="2"/>
        <v>1.1428571428571428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0.42857142857142855</v>
      </c>
      <c r="AA10" s="17">
        <f t="shared" si="2"/>
        <v>0.2857142857142857</v>
      </c>
      <c r="AB10" s="17">
        <f t="shared" si="2"/>
        <v>6.1428571428571432</v>
      </c>
      <c r="AC10" s="17">
        <f t="shared" si="2"/>
        <v>31.714285714285715</v>
      </c>
      <c r="AD10" s="17">
        <f t="shared" si="2"/>
        <v>0</v>
      </c>
      <c r="AE10" s="31">
        <f t="shared" si="2"/>
        <v>15</v>
      </c>
      <c r="AF10" s="31">
        <f t="shared" si="2"/>
        <v>46.714285714285708</v>
      </c>
    </row>
    <row r="11" spans="2:32" s="6" customFormat="1" ht="23.1" customHeight="1" x14ac:dyDescent="0.25">
      <c r="B11" s="23" t="s">
        <v>38</v>
      </c>
      <c r="C11" s="49">
        <f>AVERAGE('31.07 NIMULE-GULU'!C11,'01.07 NIMULE-GULU'!C11,'02.07 NIMULE-GULU'!C11,'03.07 NIMULE-GULU'!C11,'04.07 NIMULE-GULU-24h'!C11,'05.07 NIMULE-GULU-24h'!C11,'06.07 NIMULE-GULU'!C11)</f>
        <v>0.42857142857142855</v>
      </c>
      <c r="D11" s="49">
        <f>AVERAGE('31.07 NIMULE-GULU'!D11,'01.07 NIMULE-GULU'!D11,'02.07 NIMULE-GULU'!D11,'03.07 NIMULE-GULU'!D11,'04.07 NIMULE-GULU-24h'!D11,'05.07 NIMULE-GULU-24h'!D11,'06.07 NIMULE-GULU'!D11)</f>
        <v>0.2857142857142857</v>
      </c>
      <c r="E11" s="49">
        <f>AVERAGE('31.07 NIMULE-GULU'!E11,'01.07 NIMULE-GULU'!E11,'02.07 NIMULE-GULU'!E11,'03.07 NIMULE-GULU'!E11,'04.07 NIMULE-GULU-24h'!E11,'05.07 NIMULE-GULU-24h'!E11,'06.07 NIMULE-GULU'!E11)</f>
        <v>0.2857142857142857</v>
      </c>
      <c r="F11" s="49">
        <f>AVERAGE('31.07 NIMULE-GULU'!F11,'01.07 NIMULE-GULU'!F11,'02.07 NIMULE-GULU'!F11,'03.07 NIMULE-GULU'!F11,'04.07 NIMULE-GULU-24h'!F11,'05.07 NIMULE-GULU-24h'!F11,'06.07 NIMULE-GULU'!F11)</f>
        <v>0</v>
      </c>
      <c r="G11" s="49">
        <f>AVERAGE('31.07 NIMULE-GULU'!G11,'01.07 NIMULE-GULU'!G11,'02.07 NIMULE-GULU'!G11,'03.07 NIMULE-GULU'!G11,'04.07 NIMULE-GULU-24h'!G11,'05.07 NIMULE-GULU-24h'!G11,'06.07 NIMULE-GULU'!G11)</f>
        <v>0</v>
      </c>
      <c r="H11" s="49">
        <f>AVERAGE('31.07 NIMULE-GULU'!H11,'01.07 NIMULE-GULU'!H11,'02.07 NIMULE-GULU'!H11,'03.07 NIMULE-GULU'!H11,'04.07 NIMULE-GULU-24h'!H11,'05.07 NIMULE-GULU-24h'!H11,'06.07 NIMULE-GULU'!H11)</f>
        <v>0</v>
      </c>
      <c r="I11" s="49">
        <f>AVERAGE('31.07 NIMULE-GULU'!I11,'01.07 NIMULE-GULU'!I11,'02.07 NIMULE-GULU'!I11,'03.07 NIMULE-GULU'!I11,'04.07 NIMULE-GULU-24h'!I11,'05.07 NIMULE-GULU-24h'!I11,'06.07 NIMULE-GULU'!I11)</f>
        <v>0.42857142857142855</v>
      </c>
      <c r="J11" s="49">
        <f>AVERAGE('31.07 NIMULE-GULU'!J11,'01.07 NIMULE-GULU'!J11,'02.07 NIMULE-GULU'!J11,'03.07 NIMULE-GULU'!J11,'04.07 NIMULE-GULU-24h'!J11,'05.07 NIMULE-GULU-24h'!J11,'06.07 NIMULE-GULU'!J11)</f>
        <v>0.2857142857142857</v>
      </c>
      <c r="K11" s="49">
        <f>AVERAGE('31.07 NIMULE-GULU'!K11,'01.07 NIMULE-GULU'!K11,'02.07 NIMULE-GULU'!K11,'03.07 NIMULE-GULU'!K11,'04.07 NIMULE-GULU-24h'!K11,'05.07 NIMULE-GULU-24h'!K11,'06.07 NIMULE-GULU'!K11)</f>
        <v>0.14285714285714285</v>
      </c>
      <c r="L11" s="49">
        <f>AVERAGE('31.07 NIMULE-GULU'!L11,'01.07 NIMULE-GULU'!L11,'02.07 NIMULE-GULU'!L11,'03.07 NIMULE-GULU'!L11,'04.07 NIMULE-GULU-24h'!L11,'05.07 NIMULE-GULU-24h'!L11,'06.07 NIMULE-GULU'!L11)</f>
        <v>1.5714285714285714</v>
      </c>
      <c r="M11" s="49">
        <f>AVERAGE('31.07 NIMULE-GULU'!M11,'01.07 NIMULE-GULU'!M11,'02.07 NIMULE-GULU'!M11,'03.07 NIMULE-GULU'!M11,'04.07 NIMULE-GULU-24h'!M11,'05.07 NIMULE-GULU-24h'!M11,'06.07 NIMULE-GULU'!M11)</f>
        <v>5</v>
      </c>
      <c r="N11" s="49">
        <f>AVERAGE('31.07 NIMULE-GULU'!N11,'01.07 NIMULE-GULU'!N11,'02.07 NIMULE-GULU'!N11,'03.07 NIMULE-GULU'!N11,'04.07 NIMULE-GULU-24h'!N11,'05.07 NIMULE-GULU-24h'!N11,'06.07 NIMULE-GULU'!N11)</f>
        <v>0</v>
      </c>
      <c r="O11" s="15">
        <f t="shared" si="0"/>
        <v>3.4285714285714279</v>
      </c>
      <c r="P11" s="15">
        <f t="shared" si="1"/>
        <v>8.428571428571427</v>
      </c>
      <c r="R11" s="1" t="s">
        <v>7</v>
      </c>
      <c r="S11" s="17">
        <f t="shared" ref="S11:AF11" si="3">SUM(C14:C17)</f>
        <v>3.2857142857142856</v>
      </c>
      <c r="T11" s="17">
        <f t="shared" si="3"/>
        <v>0.14285714285714285</v>
      </c>
      <c r="U11" s="17">
        <f t="shared" si="3"/>
        <v>2.4285714285714288</v>
      </c>
      <c r="V11" s="17">
        <f t="shared" si="3"/>
        <v>0.14285714285714285</v>
      </c>
      <c r="W11" s="17">
        <f t="shared" si="3"/>
        <v>0</v>
      </c>
      <c r="X11" s="17">
        <f t="shared" si="3"/>
        <v>0.14285714285714285</v>
      </c>
      <c r="Y11" s="17">
        <f t="shared" si="3"/>
        <v>2.1428571428571428</v>
      </c>
      <c r="Z11" s="17">
        <f t="shared" si="3"/>
        <v>0.42857142857142855</v>
      </c>
      <c r="AA11" s="17">
        <f t="shared" si="3"/>
        <v>0</v>
      </c>
      <c r="AB11" s="17">
        <f t="shared" si="3"/>
        <v>7.1428571428571432</v>
      </c>
      <c r="AC11" s="17">
        <f t="shared" si="3"/>
        <v>37.428571428571431</v>
      </c>
      <c r="AD11" s="17">
        <f t="shared" si="3"/>
        <v>0</v>
      </c>
      <c r="AE11" s="31">
        <f t="shared" si="3"/>
        <v>15.857142857142858</v>
      </c>
      <c r="AF11" s="31">
        <f t="shared" si="3"/>
        <v>53.285714285714285</v>
      </c>
    </row>
    <row r="12" spans="2:32" ht="23.1" customHeight="1" x14ac:dyDescent="0.25">
      <c r="B12" s="23" t="s">
        <v>39</v>
      </c>
      <c r="C12" s="49">
        <f>AVERAGE('31.07 NIMULE-GULU'!C12,'01.07 NIMULE-GULU'!C12,'02.07 NIMULE-GULU'!C12,'03.07 NIMULE-GULU'!C12,'04.07 NIMULE-GULU-24h'!C12,'05.07 NIMULE-GULU-24h'!C12,'06.07 NIMULE-GULU'!C12)</f>
        <v>0.42857142857142855</v>
      </c>
      <c r="D12" s="49">
        <f>AVERAGE('31.07 NIMULE-GULU'!D12,'01.07 NIMULE-GULU'!D12,'02.07 NIMULE-GULU'!D12,'03.07 NIMULE-GULU'!D12,'04.07 NIMULE-GULU-24h'!D12,'05.07 NIMULE-GULU-24h'!D12,'06.07 NIMULE-GULU'!D12)</f>
        <v>0.14285714285714285</v>
      </c>
      <c r="E12" s="49">
        <f>AVERAGE('31.07 NIMULE-GULU'!E12,'01.07 NIMULE-GULU'!E12,'02.07 NIMULE-GULU'!E12,'03.07 NIMULE-GULU'!E12,'04.07 NIMULE-GULU-24h'!E12,'05.07 NIMULE-GULU-24h'!E12,'06.07 NIMULE-GULU'!E12)</f>
        <v>0.14285714285714285</v>
      </c>
      <c r="F12" s="49">
        <f>AVERAGE('31.07 NIMULE-GULU'!F12,'01.07 NIMULE-GULU'!F12,'02.07 NIMULE-GULU'!F12,'03.07 NIMULE-GULU'!F12,'04.07 NIMULE-GULU-24h'!F12,'05.07 NIMULE-GULU-24h'!F12,'06.07 NIMULE-GULU'!F12)</f>
        <v>0</v>
      </c>
      <c r="G12" s="49">
        <f>AVERAGE('31.07 NIMULE-GULU'!G12,'01.07 NIMULE-GULU'!G12,'02.07 NIMULE-GULU'!G12,'03.07 NIMULE-GULU'!G12,'04.07 NIMULE-GULU-24h'!G12,'05.07 NIMULE-GULU-24h'!G12,'06.07 NIMULE-GULU'!G12)</f>
        <v>0</v>
      </c>
      <c r="H12" s="49">
        <f>AVERAGE('31.07 NIMULE-GULU'!H12,'01.07 NIMULE-GULU'!H12,'02.07 NIMULE-GULU'!H12,'03.07 NIMULE-GULU'!H12,'04.07 NIMULE-GULU-24h'!H12,'05.07 NIMULE-GULU-24h'!H12,'06.07 NIMULE-GULU'!H12)</f>
        <v>0</v>
      </c>
      <c r="I12" s="49">
        <f>AVERAGE('31.07 NIMULE-GULU'!I12,'01.07 NIMULE-GULU'!I12,'02.07 NIMULE-GULU'!I12,'03.07 NIMULE-GULU'!I12,'04.07 NIMULE-GULU-24h'!I12,'05.07 NIMULE-GULU-24h'!I12,'06.07 NIMULE-GULU'!I12)</f>
        <v>1.2857142857142858</v>
      </c>
      <c r="J12" s="49">
        <f>AVERAGE('31.07 NIMULE-GULU'!J12,'01.07 NIMULE-GULU'!J12,'02.07 NIMULE-GULU'!J12,'03.07 NIMULE-GULU'!J12,'04.07 NIMULE-GULU-24h'!J12,'05.07 NIMULE-GULU-24h'!J12,'06.07 NIMULE-GULU'!J12)</f>
        <v>0</v>
      </c>
      <c r="K12" s="49">
        <f>AVERAGE('31.07 NIMULE-GULU'!K12,'01.07 NIMULE-GULU'!K12,'02.07 NIMULE-GULU'!K12,'03.07 NIMULE-GULU'!K12,'04.07 NIMULE-GULU-24h'!K12,'05.07 NIMULE-GULU-24h'!K12,'06.07 NIMULE-GULU'!K12)</f>
        <v>0</v>
      </c>
      <c r="L12" s="49">
        <f>AVERAGE('31.07 NIMULE-GULU'!L12,'01.07 NIMULE-GULU'!L12,'02.07 NIMULE-GULU'!L12,'03.07 NIMULE-GULU'!L12,'04.07 NIMULE-GULU-24h'!L12,'05.07 NIMULE-GULU-24h'!L12,'06.07 NIMULE-GULU'!L12)</f>
        <v>1.8571428571428572</v>
      </c>
      <c r="M12" s="49">
        <f>AVERAGE('31.07 NIMULE-GULU'!M12,'01.07 NIMULE-GULU'!M12,'02.07 NIMULE-GULU'!M12,'03.07 NIMULE-GULU'!M12,'04.07 NIMULE-GULU-24h'!M12,'05.07 NIMULE-GULU-24h'!M12,'06.07 NIMULE-GULU'!M12)</f>
        <v>6.1428571428571432</v>
      </c>
      <c r="N12" s="49">
        <f>AVERAGE('31.07 NIMULE-GULU'!N12,'01.07 NIMULE-GULU'!N12,'02.07 NIMULE-GULU'!N12,'03.07 NIMULE-GULU'!N12,'04.07 NIMULE-GULU-24h'!N12,'05.07 NIMULE-GULU-24h'!N12,'06.07 NIMULE-GULU'!N12)</f>
        <v>0</v>
      </c>
      <c r="O12" s="15">
        <f t="shared" si="0"/>
        <v>3.8571428571428572</v>
      </c>
      <c r="P12" s="15">
        <f t="shared" si="1"/>
        <v>10</v>
      </c>
      <c r="R12" s="1" t="s">
        <v>8</v>
      </c>
      <c r="S12" s="17">
        <f t="shared" ref="S12:AF12" si="4">SUM(C18:C21)</f>
        <v>3.5714285714285712</v>
      </c>
      <c r="T12" s="17">
        <f t="shared" si="4"/>
        <v>0.42857142857142855</v>
      </c>
      <c r="U12" s="17">
        <f t="shared" si="4"/>
        <v>1.2857142857142856</v>
      </c>
      <c r="V12" s="17">
        <f t="shared" si="4"/>
        <v>0</v>
      </c>
      <c r="W12" s="17">
        <f t="shared" si="4"/>
        <v>0</v>
      </c>
      <c r="X12" s="17">
        <f t="shared" si="4"/>
        <v>0.71428571428571419</v>
      </c>
      <c r="Y12" s="17">
        <f t="shared" si="4"/>
        <v>1.8571428571428568</v>
      </c>
      <c r="Z12" s="17">
        <f t="shared" si="4"/>
        <v>0.71428571428571419</v>
      </c>
      <c r="AA12" s="17">
        <f t="shared" si="4"/>
        <v>0.42857142857142855</v>
      </c>
      <c r="AB12" s="17">
        <f t="shared" si="4"/>
        <v>7.2857142857142856</v>
      </c>
      <c r="AC12" s="17">
        <f t="shared" si="4"/>
        <v>39.142857142857146</v>
      </c>
      <c r="AD12" s="17">
        <f t="shared" si="4"/>
        <v>0</v>
      </c>
      <c r="AE12" s="31">
        <f t="shared" si="4"/>
        <v>16.285714285714285</v>
      </c>
      <c r="AF12" s="31">
        <f t="shared" si="4"/>
        <v>55.428571428571431</v>
      </c>
    </row>
    <row r="13" spans="2:32" ht="23.1" customHeight="1" x14ac:dyDescent="0.25">
      <c r="B13" s="23" t="s">
        <v>40</v>
      </c>
      <c r="C13" s="49">
        <f>AVERAGE('31.07 NIMULE-GULU'!C13,'01.07 NIMULE-GULU'!C13,'02.07 NIMULE-GULU'!C13,'03.07 NIMULE-GULU'!C13,'04.07 NIMULE-GULU-24h'!C13,'05.07 NIMULE-GULU-24h'!C13,'06.07 NIMULE-GULU'!C13)</f>
        <v>0.8571428571428571</v>
      </c>
      <c r="D13" s="49">
        <f>AVERAGE('31.07 NIMULE-GULU'!D13,'01.07 NIMULE-GULU'!D13,'02.07 NIMULE-GULU'!D13,'03.07 NIMULE-GULU'!D13,'04.07 NIMULE-GULU-24h'!D13,'05.07 NIMULE-GULU-24h'!D13,'06.07 NIMULE-GULU'!D13)</f>
        <v>0.5714285714285714</v>
      </c>
      <c r="E13" s="49">
        <f>AVERAGE('31.07 NIMULE-GULU'!E13,'01.07 NIMULE-GULU'!E13,'02.07 NIMULE-GULU'!E13,'03.07 NIMULE-GULU'!E13,'04.07 NIMULE-GULU-24h'!E13,'05.07 NIMULE-GULU-24h'!E13,'06.07 NIMULE-GULU'!E13)</f>
        <v>0.42857142857142855</v>
      </c>
      <c r="F13" s="49">
        <f>AVERAGE('31.07 NIMULE-GULU'!F13,'01.07 NIMULE-GULU'!F13,'02.07 NIMULE-GULU'!F13,'03.07 NIMULE-GULU'!F13,'04.07 NIMULE-GULU-24h'!F13,'05.07 NIMULE-GULU-24h'!F13,'06.07 NIMULE-GULU'!F13)</f>
        <v>0</v>
      </c>
      <c r="G13" s="49">
        <f>AVERAGE('31.07 NIMULE-GULU'!G13,'01.07 NIMULE-GULU'!G13,'02.07 NIMULE-GULU'!G13,'03.07 NIMULE-GULU'!G13,'04.07 NIMULE-GULU-24h'!G13,'05.07 NIMULE-GULU-24h'!G13,'06.07 NIMULE-GULU'!G13)</f>
        <v>0</v>
      </c>
      <c r="H13" s="49">
        <f>AVERAGE('31.07 NIMULE-GULU'!H13,'01.07 NIMULE-GULU'!H13,'02.07 NIMULE-GULU'!H13,'03.07 NIMULE-GULU'!H13,'04.07 NIMULE-GULU-24h'!H13,'05.07 NIMULE-GULU-24h'!H13,'06.07 NIMULE-GULU'!H13)</f>
        <v>0</v>
      </c>
      <c r="I13" s="49">
        <f>AVERAGE('31.07 NIMULE-GULU'!I13,'01.07 NIMULE-GULU'!I13,'02.07 NIMULE-GULU'!I13,'03.07 NIMULE-GULU'!I13,'04.07 NIMULE-GULU-24h'!I13,'05.07 NIMULE-GULU-24h'!I13,'06.07 NIMULE-GULU'!I13)</f>
        <v>0.5714285714285714</v>
      </c>
      <c r="J13" s="49">
        <f>AVERAGE('31.07 NIMULE-GULU'!J13,'01.07 NIMULE-GULU'!J13,'02.07 NIMULE-GULU'!J13,'03.07 NIMULE-GULU'!J13,'04.07 NIMULE-GULU-24h'!J13,'05.07 NIMULE-GULU-24h'!J13,'06.07 NIMULE-GULU'!J13)</f>
        <v>0</v>
      </c>
      <c r="K13" s="49">
        <f>AVERAGE('31.07 NIMULE-GULU'!K13,'01.07 NIMULE-GULU'!K13,'02.07 NIMULE-GULU'!K13,'03.07 NIMULE-GULU'!K13,'04.07 NIMULE-GULU-24h'!K13,'05.07 NIMULE-GULU-24h'!K13,'06.07 NIMULE-GULU'!K13)</f>
        <v>0</v>
      </c>
      <c r="L13" s="49">
        <f>AVERAGE('31.07 NIMULE-GULU'!L13,'01.07 NIMULE-GULU'!L13,'02.07 NIMULE-GULU'!L13,'03.07 NIMULE-GULU'!L13,'04.07 NIMULE-GULU-24h'!L13,'05.07 NIMULE-GULU-24h'!L13,'06.07 NIMULE-GULU'!L13)</f>
        <v>1.4285714285714286</v>
      </c>
      <c r="M13" s="49">
        <f>AVERAGE('31.07 NIMULE-GULU'!M13,'01.07 NIMULE-GULU'!M13,'02.07 NIMULE-GULU'!M13,'03.07 NIMULE-GULU'!M13,'04.07 NIMULE-GULU-24h'!M13,'05.07 NIMULE-GULU-24h'!M13,'06.07 NIMULE-GULU'!M13)</f>
        <v>11.285714285714286</v>
      </c>
      <c r="N13" s="49">
        <f>AVERAGE('31.07 NIMULE-GULU'!N13,'01.07 NIMULE-GULU'!N13,'02.07 NIMULE-GULU'!N13,'03.07 NIMULE-GULU'!N13,'04.07 NIMULE-GULU-24h'!N13,'05.07 NIMULE-GULU-24h'!N13,'06.07 NIMULE-GULU'!N13)</f>
        <v>0</v>
      </c>
      <c r="O13" s="15">
        <f t="shared" si="0"/>
        <v>3.8571428571428568</v>
      </c>
      <c r="P13" s="15">
        <f t="shared" si="1"/>
        <v>15.142857142857142</v>
      </c>
      <c r="R13" s="1" t="s">
        <v>9</v>
      </c>
      <c r="S13" s="17">
        <f t="shared" ref="S13:AF13" si="5">SUM(C22:C25)</f>
        <v>4.1428571428571432</v>
      </c>
      <c r="T13" s="17">
        <f t="shared" si="5"/>
        <v>0.8571428571428571</v>
      </c>
      <c r="U13" s="17">
        <f t="shared" si="5"/>
        <v>2.1428571428571423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0.71428571428571419</v>
      </c>
      <c r="Z13" s="17">
        <f t="shared" si="5"/>
        <v>0.14285714285714285</v>
      </c>
      <c r="AA13" s="17">
        <f t="shared" si="5"/>
        <v>0</v>
      </c>
      <c r="AB13" s="17">
        <f t="shared" si="5"/>
        <v>6.9999999999999991</v>
      </c>
      <c r="AC13" s="17">
        <f t="shared" si="5"/>
        <v>36.142857142857146</v>
      </c>
      <c r="AD13" s="17">
        <f t="shared" si="5"/>
        <v>0</v>
      </c>
      <c r="AE13" s="31">
        <f t="shared" si="5"/>
        <v>15</v>
      </c>
      <c r="AF13" s="31">
        <f t="shared" si="5"/>
        <v>51.142857142857139</v>
      </c>
    </row>
    <row r="14" spans="2:32" ht="23.1" customHeight="1" x14ac:dyDescent="0.25">
      <c r="B14" s="23" t="s">
        <v>41</v>
      </c>
      <c r="C14" s="49">
        <f>AVERAGE('31.07 NIMULE-GULU'!C14,'01.07 NIMULE-GULU'!C14,'02.07 NIMULE-GULU'!C14,'03.07 NIMULE-GULU'!C14,'04.07 NIMULE-GULU-24h'!C14,'05.07 NIMULE-GULU-24h'!C14,'06.07 NIMULE-GULU'!C14)</f>
        <v>0.8571428571428571</v>
      </c>
      <c r="D14" s="49">
        <f>AVERAGE('31.07 NIMULE-GULU'!D14,'01.07 NIMULE-GULU'!D14,'02.07 NIMULE-GULU'!D14,'03.07 NIMULE-GULU'!D14,'04.07 NIMULE-GULU-24h'!D14,'05.07 NIMULE-GULU-24h'!D14,'06.07 NIMULE-GULU'!D14)</f>
        <v>0</v>
      </c>
      <c r="E14" s="49">
        <f>AVERAGE('31.07 NIMULE-GULU'!E14,'01.07 NIMULE-GULU'!E14,'02.07 NIMULE-GULU'!E14,'03.07 NIMULE-GULU'!E14,'04.07 NIMULE-GULU-24h'!E14,'05.07 NIMULE-GULU-24h'!E14,'06.07 NIMULE-GULU'!E14)</f>
        <v>0.42857142857142855</v>
      </c>
      <c r="F14" s="49">
        <f>AVERAGE('31.07 NIMULE-GULU'!F14,'01.07 NIMULE-GULU'!F14,'02.07 NIMULE-GULU'!F14,'03.07 NIMULE-GULU'!F14,'04.07 NIMULE-GULU-24h'!F14,'05.07 NIMULE-GULU-24h'!F14,'06.07 NIMULE-GULU'!F14)</f>
        <v>0</v>
      </c>
      <c r="G14" s="49">
        <f>AVERAGE('31.07 NIMULE-GULU'!G14,'01.07 NIMULE-GULU'!G14,'02.07 NIMULE-GULU'!G14,'03.07 NIMULE-GULU'!G14,'04.07 NIMULE-GULU-24h'!G14,'05.07 NIMULE-GULU-24h'!G14,'06.07 NIMULE-GULU'!G14)</f>
        <v>0</v>
      </c>
      <c r="H14" s="49">
        <f>AVERAGE('31.07 NIMULE-GULU'!H14,'01.07 NIMULE-GULU'!H14,'02.07 NIMULE-GULU'!H14,'03.07 NIMULE-GULU'!H14,'04.07 NIMULE-GULU-24h'!H14,'05.07 NIMULE-GULU-24h'!H14,'06.07 NIMULE-GULU'!H14)</f>
        <v>0</v>
      </c>
      <c r="I14" s="49">
        <f>AVERAGE('31.07 NIMULE-GULU'!I14,'01.07 NIMULE-GULU'!I14,'02.07 NIMULE-GULU'!I14,'03.07 NIMULE-GULU'!I14,'04.07 NIMULE-GULU-24h'!I14,'05.07 NIMULE-GULU-24h'!I14,'06.07 NIMULE-GULU'!I14)</f>
        <v>0.14285714285714285</v>
      </c>
      <c r="J14" s="49">
        <f>AVERAGE('31.07 NIMULE-GULU'!J14,'01.07 NIMULE-GULU'!J14,'02.07 NIMULE-GULU'!J14,'03.07 NIMULE-GULU'!J14,'04.07 NIMULE-GULU-24h'!J14,'05.07 NIMULE-GULU-24h'!J14,'06.07 NIMULE-GULU'!J14)</f>
        <v>0</v>
      </c>
      <c r="K14" s="49">
        <f>AVERAGE('31.07 NIMULE-GULU'!K14,'01.07 NIMULE-GULU'!K14,'02.07 NIMULE-GULU'!K14,'03.07 NIMULE-GULU'!K14,'04.07 NIMULE-GULU-24h'!K14,'05.07 NIMULE-GULU-24h'!K14,'06.07 NIMULE-GULU'!K14)</f>
        <v>0</v>
      </c>
      <c r="L14" s="49">
        <f>AVERAGE('31.07 NIMULE-GULU'!L14,'01.07 NIMULE-GULU'!L14,'02.07 NIMULE-GULU'!L14,'03.07 NIMULE-GULU'!L14,'04.07 NIMULE-GULU-24h'!L14,'05.07 NIMULE-GULU-24h'!L14,'06.07 NIMULE-GULU'!L14)</f>
        <v>2</v>
      </c>
      <c r="M14" s="49">
        <f>AVERAGE('31.07 NIMULE-GULU'!M14,'01.07 NIMULE-GULU'!M14,'02.07 NIMULE-GULU'!M14,'03.07 NIMULE-GULU'!M14,'04.07 NIMULE-GULU-24h'!M14,'05.07 NIMULE-GULU-24h'!M14,'06.07 NIMULE-GULU'!M14)</f>
        <v>9.1428571428571423</v>
      </c>
      <c r="N14" s="49">
        <f>AVERAGE('31.07 NIMULE-GULU'!N14,'01.07 NIMULE-GULU'!N14,'02.07 NIMULE-GULU'!N14,'03.07 NIMULE-GULU'!N14,'04.07 NIMULE-GULU-24h'!N14,'05.07 NIMULE-GULU-24h'!N14,'06.07 NIMULE-GULU'!N14)</f>
        <v>0</v>
      </c>
      <c r="O14" s="15">
        <f t="shared" si="0"/>
        <v>3.4285714285714284</v>
      </c>
      <c r="P14" s="15">
        <f t="shared" si="1"/>
        <v>12.571428571428571</v>
      </c>
      <c r="R14" s="1" t="s">
        <v>10</v>
      </c>
      <c r="S14" s="17">
        <f t="shared" ref="S14:AF14" si="6">SUM(C26:C29)</f>
        <v>2.714285714285714</v>
      </c>
      <c r="T14" s="17">
        <f t="shared" si="6"/>
        <v>0.71428571428571419</v>
      </c>
      <c r="U14" s="17">
        <f t="shared" si="6"/>
        <v>2</v>
      </c>
      <c r="V14" s="17">
        <f t="shared" si="6"/>
        <v>0.14285714285714285</v>
      </c>
      <c r="W14" s="17">
        <f t="shared" si="6"/>
        <v>0</v>
      </c>
      <c r="X14" s="17">
        <f t="shared" si="6"/>
        <v>0</v>
      </c>
      <c r="Y14" s="17">
        <f t="shared" si="6"/>
        <v>1.4285714285714284</v>
      </c>
      <c r="Z14" s="17">
        <f t="shared" si="6"/>
        <v>0.14285714285714285</v>
      </c>
      <c r="AA14" s="17">
        <f t="shared" si="6"/>
        <v>0.14285714285714285</v>
      </c>
      <c r="AB14" s="17">
        <f t="shared" si="6"/>
        <v>6.1428571428571432</v>
      </c>
      <c r="AC14" s="17">
        <f t="shared" si="6"/>
        <v>31.428571428571431</v>
      </c>
      <c r="AD14" s="17">
        <f t="shared" si="6"/>
        <v>0</v>
      </c>
      <c r="AE14" s="31">
        <f t="shared" si="6"/>
        <v>13.428571428571427</v>
      </c>
      <c r="AF14" s="31">
        <f t="shared" si="6"/>
        <v>44.857142857142854</v>
      </c>
    </row>
    <row r="15" spans="2:32" ht="23.1" customHeight="1" x14ac:dyDescent="0.25">
      <c r="B15" s="23" t="s">
        <v>42</v>
      </c>
      <c r="C15" s="49">
        <f>AVERAGE('31.07 NIMULE-GULU'!C15,'01.07 NIMULE-GULU'!C15,'02.07 NIMULE-GULU'!C15,'03.07 NIMULE-GULU'!C15,'04.07 NIMULE-GULU-24h'!C15,'05.07 NIMULE-GULU-24h'!C15,'06.07 NIMULE-GULU'!C15)</f>
        <v>0.7142857142857143</v>
      </c>
      <c r="D15" s="49">
        <f>AVERAGE('31.07 NIMULE-GULU'!D15,'01.07 NIMULE-GULU'!D15,'02.07 NIMULE-GULU'!D15,'03.07 NIMULE-GULU'!D15,'04.07 NIMULE-GULU-24h'!D15,'05.07 NIMULE-GULU-24h'!D15,'06.07 NIMULE-GULU'!D15)</f>
        <v>0</v>
      </c>
      <c r="E15" s="49">
        <f>AVERAGE('31.07 NIMULE-GULU'!E15,'01.07 NIMULE-GULU'!E15,'02.07 NIMULE-GULU'!E15,'03.07 NIMULE-GULU'!E15,'04.07 NIMULE-GULU-24h'!E15,'05.07 NIMULE-GULU-24h'!E15,'06.07 NIMULE-GULU'!E15)</f>
        <v>0.5714285714285714</v>
      </c>
      <c r="F15" s="49">
        <f>AVERAGE('31.07 NIMULE-GULU'!F15,'01.07 NIMULE-GULU'!F15,'02.07 NIMULE-GULU'!F15,'03.07 NIMULE-GULU'!F15,'04.07 NIMULE-GULU-24h'!F15,'05.07 NIMULE-GULU-24h'!F15,'06.07 NIMULE-GULU'!F15)</f>
        <v>0.14285714285714285</v>
      </c>
      <c r="G15" s="49">
        <f>AVERAGE('31.07 NIMULE-GULU'!G15,'01.07 NIMULE-GULU'!G15,'02.07 NIMULE-GULU'!G15,'03.07 NIMULE-GULU'!G15,'04.07 NIMULE-GULU-24h'!G15,'05.07 NIMULE-GULU-24h'!G15,'06.07 NIMULE-GULU'!G15)</f>
        <v>0</v>
      </c>
      <c r="H15" s="49">
        <f>AVERAGE('31.07 NIMULE-GULU'!H15,'01.07 NIMULE-GULU'!H15,'02.07 NIMULE-GULU'!H15,'03.07 NIMULE-GULU'!H15,'04.07 NIMULE-GULU-24h'!H15,'05.07 NIMULE-GULU-24h'!H15,'06.07 NIMULE-GULU'!H15)</f>
        <v>0</v>
      </c>
      <c r="I15" s="49">
        <f>AVERAGE('31.07 NIMULE-GULU'!I15,'01.07 NIMULE-GULU'!I15,'02.07 NIMULE-GULU'!I15,'03.07 NIMULE-GULU'!I15,'04.07 NIMULE-GULU-24h'!I15,'05.07 NIMULE-GULU-24h'!I15,'06.07 NIMULE-GULU'!I15)</f>
        <v>0.2857142857142857</v>
      </c>
      <c r="J15" s="49">
        <f>AVERAGE('31.07 NIMULE-GULU'!J15,'01.07 NIMULE-GULU'!J15,'02.07 NIMULE-GULU'!J15,'03.07 NIMULE-GULU'!J15,'04.07 NIMULE-GULU-24h'!J15,'05.07 NIMULE-GULU-24h'!J15,'06.07 NIMULE-GULU'!J15)</f>
        <v>0.14285714285714285</v>
      </c>
      <c r="K15" s="49">
        <f>AVERAGE('31.07 NIMULE-GULU'!K15,'01.07 NIMULE-GULU'!K15,'02.07 NIMULE-GULU'!K15,'03.07 NIMULE-GULU'!K15,'04.07 NIMULE-GULU-24h'!K15,'05.07 NIMULE-GULU-24h'!K15,'06.07 NIMULE-GULU'!K15)</f>
        <v>0</v>
      </c>
      <c r="L15" s="49">
        <f>AVERAGE('31.07 NIMULE-GULU'!L15,'01.07 NIMULE-GULU'!L15,'02.07 NIMULE-GULU'!L15,'03.07 NIMULE-GULU'!L15,'04.07 NIMULE-GULU-24h'!L15,'05.07 NIMULE-GULU-24h'!L15,'06.07 NIMULE-GULU'!L15)</f>
        <v>1.7142857142857142</v>
      </c>
      <c r="M15" s="49">
        <f>AVERAGE('31.07 NIMULE-GULU'!M15,'01.07 NIMULE-GULU'!M15,'02.07 NIMULE-GULU'!M15,'03.07 NIMULE-GULU'!M15,'04.07 NIMULE-GULU-24h'!M15,'05.07 NIMULE-GULU-24h'!M15,'06.07 NIMULE-GULU'!M15)</f>
        <v>9.4285714285714288</v>
      </c>
      <c r="N15" s="49">
        <f>AVERAGE('31.07 NIMULE-GULU'!N15,'01.07 NIMULE-GULU'!N15,'02.07 NIMULE-GULU'!N15,'03.07 NIMULE-GULU'!N15,'04.07 NIMULE-GULU-24h'!N15,'05.07 NIMULE-GULU-24h'!N15,'06.07 NIMULE-GULU'!N15)</f>
        <v>0</v>
      </c>
      <c r="O15" s="15">
        <f t="shared" si="0"/>
        <v>3.5714285714285712</v>
      </c>
      <c r="P15" s="15">
        <f t="shared" si="1"/>
        <v>13</v>
      </c>
      <c r="R15" s="1" t="s">
        <v>11</v>
      </c>
      <c r="S15" s="17">
        <f t="shared" ref="S15:AF15" si="7">SUM(C30:C33)</f>
        <v>3.4285714285714288</v>
      </c>
      <c r="T15" s="17">
        <f t="shared" si="7"/>
        <v>1.2857142857142858</v>
      </c>
      <c r="U15" s="17">
        <f t="shared" si="7"/>
        <v>2.714285714285714</v>
      </c>
      <c r="V15" s="17">
        <f t="shared" si="7"/>
        <v>0.42857142857142855</v>
      </c>
      <c r="W15" s="17">
        <f t="shared" si="7"/>
        <v>0.2857142857142857</v>
      </c>
      <c r="X15" s="17">
        <f t="shared" si="7"/>
        <v>0</v>
      </c>
      <c r="Y15" s="17">
        <f t="shared" si="7"/>
        <v>2.4285714285714284</v>
      </c>
      <c r="Z15" s="17">
        <f t="shared" si="7"/>
        <v>0.2857142857142857</v>
      </c>
      <c r="AA15" s="17">
        <f t="shared" si="7"/>
        <v>0</v>
      </c>
      <c r="AB15" s="17">
        <f t="shared" si="7"/>
        <v>7</v>
      </c>
      <c r="AC15" s="17">
        <f t="shared" si="7"/>
        <v>24.142857142857146</v>
      </c>
      <c r="AD15" s="17">
        <f t="shared" si="7"/>
        <v>0</v>
      </c>
      <c r="AE15" s="31">
        <f t="shared" si="7"/>
        <v>17.857142857142858</v>
      </c>
      <c r="AF15" s="31">
        <f t="shared" si="7"/>
        <v>42</v>
      </c>
    </row>
    <row r="16" spans="2:32" ht="23.1" customHeight="1" x14ac:dyDescent="0.25">
      <c r="B16" s="23" t="s">
        <v>43</v>
      </c>
      <c r="C16" s="49">
        <f>AVERAGE('31.07 NIMULE-GULU'!C16,'01.07 NIMULE-GULU'!C16,'02.07 NIMULE-GULU'!C16,'03.07 NIMULE-GULU'!C16,'04.07 NIMULE-GULU-24h'!C16,'05.07 NIMULE-GULU-24h'!C16,'06.07 NIMULE-GULU'!C16)</f>
        <v>0.7142857142857143</v>
      </c>
      <c r="D16" s="49">
        <f>AVERAGE('31.07 NIMULE-GULU'!D16,'01.07 NIMULE-GULU'!D16,'02.07 NIMULE-GULU'!D16,'03.07 NIMULE-GULU'!D16,'04.07 NIMULE-GULU-24h'!D16,'05.07 NIMULE-GULU-24h'!D16,'06.07 NIMULE-GULU'!D16)</f>
        <v>0</v>
      </c>
      <c r="E16" s="49">
        <f>AVERAGE('31.07 NIMULE-GULU'!E16,'01.07 NIMULE-GULU'!E16,'02.07 NIMULE-GULU'!E16,'03.07 NIMULE-GULU'!E16,'04.07 NIMULE-GULU-24h'!E16,'05.07 NIMULE-GULU-24h'!E16,'06.07 NIMULE-GULU'!E16)</f>
        <v>0.8571428571428571</v>
      </c>
      <c r="F16" s="49">
        <f>AVERAGE('31.07 NIMULE-GULU'!F16,'01.07 NIMULE-GULU'!F16,'02.07 NIMULE-GULU'!F16,'03.07 NIMULE-GULU'!F16,'04.07 NIMULE-GULU-24h'!F16,'05.07 NIMULE-GULU-24h'!F16,'06.07 NIMULE-GULU'!F16)</f>
        <v>0</v>
      </c>
      <c r="G16" s="49">
        <f>AVERAGE('31.07 NIMULE-GULU'!G16,'01.07 NIMULE-GULU'!G16,'02.07 NIMULE-GULU'!G16,'03.07 NIMULE-GULU'!G16,'04.07 NIMULE-GULU-24h'!G16,'05.07 NIMULE-GULU-24h'!G16,'06.07 NIMULE-GULU'!G16)</f>
        <v>0</v>
      </c>
      <c r="H16" s="49">
        <f>AVERAGE('31.07 NIMULE-GULU'!H16,'01.07 NIMULE-GULU'!H16,'02.07 NIMULE-GULU'!H16,'03.07 NIMULE-GULU'!H16,'04.07 NIMULE-GULU-24h'!H16,'05.07 NIMULE-GULU-24h'!H16,'06.07 NIMULE-GULU'!H16)</f>
        <v>0</v>
      </c>
      <c r="I16" s="49">
        <f>AVERAGE('31.07 NIMULE-GULU'!I16,'01.07 NIMULE-GULU'!I16,'02.07 NIMULE-GULU'!I16,'03.07 NIMULE-GULU'!I16,'04.07 NIMULE-GULU-24h'!I16,'05.07 NIMULE-GULU-24h'!I16,'06.07 NIMULE-GULU'!I16)</f>
        <v>1</v>
      </c>
      <c r="J16" s="49">
        <f>AVERAGE('31.07 NIMULE-GULU'!J16,'01.07 NIMULE-GULU'!J16,'02.07 NIMULE-GULU'!J16,'03.07 NIMULE-GULU'!J16,'04.07 NIMULE-GULU-24h'!J16,'05.07 NIMULE-GULU-24h'!J16,'06.07 NIMULE-GULU'!J16)</f>
        <v>0.2857142857142857</v>
      </c>
      <c r="K16" s="49">
        <f>AVERAGE('31.07 NIMULE-GULU'!K16,'01.07 NIMULE-GULU'!K16,'02.07 NIMULE-GULU'!K16,'03.07 NIMULE-GULU'!K16,'04.07 NIMULE-GULU-24h'!K16,'05.07 NIMULE-GULU-24h'!K16,'06.07 NIMULE-GULU'!K16)</f>
        <v>0</v>
      </c>
      <c r="L16" s="49">
        <f>AVERAGE('31.07 NIMULE-GULU'!L16,'01.07 NIMULE-GULU'!L16,'02.07 NIMULE-GULU'!L16,'03.07 NIMULE-GULU'!L16,'04.07 NIMULE-GULU-24h'!L16,'05.07 NIMULE-GULU-24h'!L16,'06.07 NIMULE-GULU'!L16)</f>
        <v>2.1428571428571428</v>
      </c>
      <c r="M16" s="49">
        <f>AVERAGE('31.07 NIMULE-GULU'!M16,'01.07 NIMULE-GULU'!M16,'02.07 NIMULE-GULU'!M16,'03.07 NIMULE-GULU'!M16,'04.07 NIMULE-GULU-24h'!M16,'05.07 NIMULE-GULU-24h'!M16,'06.07 NIMULE-GULU'!M16)</f>
        <v>10</v>
      </c>
      <c r="N16" s="49">
        <f>AVERAGE('31.07 NIMULE-GULU'!N16,'01.07 NIMULE-GULU'!N16,'02.07 NIMULE-GULU'!N16,'03.07 NIMULE-GULU'!N16,'04.07 NIMULE-GULU-24h'!N16,'05.07 NIMULE-GULU-24h'!N16,'06.07 NIMULE-GULU'!N16)</f>
        <v>0</v>
      </c>
      <c r="O16" s="15">
        <f t="shared" si="0"/>
        <v>5</v>
      </c>
      <c r="P16" s="15">
        <f t="shared" si="1"/>
        <v>15</v>
      </c>
      <c r="R16" s="1" t="s">
        <v>12</v>
      </c>
      <c r="S16" s="17">
        <f t="shared" ref="S16:AF16" si="8">SUM(C34:C37)</f>
        <v>2.4285714285714284</v>
      </c>
      <c r="T16" s="17">
        <f t="shared" si="8"/>
        <v>1.4285714285714284</v>
      </c>
      <c r="U16" s="17">
        <f t="shared" si="8"/>
        <v>3.4285714285714284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2.2857142857142856</v>
      </c>
      <c r="Z16" s="17">
        <f t="shared" si="8"/>
        <v>0.14285714285714285</v>
      </c>
      <c r="AA16" s="17">
        <f t="shared" si="8"/>
        <v>0.2857142857142857</v>
      </c>
      <c r="AB16" s="17">
        <f t="shared" si="8"/>
        <v>2.4285714285714284</v>
      </c>
      <c r="AC16" s="17">
        <f t="shared" si="8"/>
        <v>21.142857142857142</v>
      </c>
      <c r="AD16" s="17">
        <f t="shared" si="8"/>
        <v>0</v>
      </c>
      <c r="AE16" s="31">
        <f t="shared" si="8"/>
        <v>12.428571428571429</v>
      </c>
      <c r="AF16" s="31">
        <f t="shared" si="8"/>
        <v>33.571428571428569</v>
      </c>
    </row>
    <row r="17" spans="2:32" ht="23.1" customHeight="1" x14ac:dyDescent="0.25">
      <c r="B17" s="23" t="s">
        <v>44</v>
      </c>
      <c r="C17" s="49">
        <f>AVERAGE('31.07 NIMULE-GULU'!C17,'01.07 NIMULE-GULU'!C17,'02.07 NIMULE-GULU'!C17,'03.07 NIMULE-GULU'!C17,'04.07 NIMULE-GULU-24h'!C17,'05.07 NIMULE-GULU-24h'!C17,'06.07 NIMULE-GULU'!C17)</f>
        <v>1</v>
      </c>
      <c r="D17" s="49">
        <f>AVERAGE('31.07 NIMULE-GULU'!D17,'01.07 NIMULE-GULU'!D17,'02.07 NIMULE-GULU'!D17,'03.07 NIMULE-GULU'!D17,'04.07 NIMULE-GULU-24h'!D17,'05.07 NIMULE-GULU-24h'!D17,'06.07 NIMULE-GULU'!D17)</f>
        <v>0.14285714285714285</v>
      </c>
      <c r="E17" s="49">
        <f>AVERAGE('31.07 NIMULE-GULU'!E17,'01.07 NIMULE-GULU'!E17,'02.07 NIMULE-GULU'!E17,'03.07 NIMULE-GULU'!E17,'04.07 NIMULE-GULU-24h'!E17,'05.07 NIMULE-GULU-24h'!E17,'06.07 NIMULE-GULU'!E17)</f>
        <v>0.5714285714285714</v>
      </c>
      <c r="F17" s="49">
        <f>AVERAGE('31.07 NIMULE-GULU'!F17,'01.07 NIMULE-GULU'!F17,'02.07 NIMULE-GULU'!F17,'03.07 NIMULE-GULU'!F17,'04.07 NIMULE-GULU-24h'!F17,'05.07 NIMULE-GULU-24h'!F17,'06.07 NIMULE-GULU'!F17)</f>
        <v>0</v>
      </c>
      <c r="G17" s="49">
        <f>AVERAGE('31.07 NIMULE-GULU'!G17,'01.07 NIMULE-GULU'!G17,'02.07 NIMULE-GULU'!G17,'03.07 NIMULE-GULU'!G17,'04.07 NIMULE-GULU-24h'!G17,'05.07 NIMULE-GULU-24h'!G17,'06.07 NIMULE-GULU'!G17)</f>
        <v>0</v>
      </c>
      <c r="H17" s="49">
        <f>AVERAGE('31.07 NIMULE-GULU'!H17,'01.07 NIMULE-GULU'!H17,'02.07 NIMULE-GULU'!H17,'03.07 NIMULE-GULU'!H17,'04.07 NIMULE-GULU-24h'!H17,'05.07 NIMULE-GULU-24h'!H17,'06.07 NIMULE-GULU'!H17)</f>
        <v>0.14285714285714285</v>
      </c>
      <c r="I17" s="49">
        <f>AVERAGE('31.07 NIMULE-GULU'!I17,'01.07 NIMULE-GULU'!I17,'02.07 NIMULE-GULU'!I17,'03.07 NIMULE-GULU'!I17,'04.07 NIMULE-GULU-24h'!I17,'05.07 NIMULE-GULU-24h'!I17,'06.07 NIMULE-GULU'!I17)</f>
        <v>0.7142857142857143</v>
      </c>
      <c r="J17" s="49">
        <f>AVERAGE('31.07 NIMULE-GULU'!J17,'01.07 NIMULE-GULU'!J17,'02.07 NIMULE-GULU'!J17,'03.07 NIMULE-GULU'!J17,'04.07 NIMULE-GULU-24h'!J17,'05.07 NIMULE-GULU-24h'!J17,'06.07 NIMULE-GULU'!J17)</f>
        <v>0</v>
      </c>
      <c r="K17" s="49">
        <f>AVERAGE('31.07 NIMULE-GULU'!K17,'01.07 NIMULE-GULU'!K17,'02.07 NIMULE-GULU'!K17,'03.07 NIMULE-GULU'!K17,'04.07 NIMULE-GULU-24h'!K17,'05.07 NIMULE-GULU-24h'!K17,'06.07 NIMULE-GULU'!K17)</f>
        <v>0</v>
      </c>
      <c r="L17" s="49">
        <f>AVERAGE('31.07 NIMULE-GULU'!L17,'01.07 NIMULE-GULU'!L17,'02.07 NIMULE-GULU'!L17,'03.07 NIMULE-GULU'!L17,'04.07 NIMULE-GULU-24h'!L17,'05.07 NIMULE-GULU-24h'!L17,'06.07 NIMULE-GULU'!L17)</f>
        <v>1.2857142857142858</v>
      </c>
      <c r="M17" s="49">
        <f>AVERAGE('31.07 NIMULE-GULU'!M17,'01.07 NIMULE-GULU'!M17,'02.07 NIMULE-GULU'!M17,'03.07 NIMULE-GULU'!M17,'04.07 NIMULE-GULU-24h'!M17,'05.07 NIMULE-GULU-24h'!M17,'06.07 NIMULE-GULU'!M17)</f>
        <v>8.8571428571428577</v>
      </c>
      <c r="N17" s="49">
        <f>AVERAGE('31.07 NIMULE-GULU'!N17,'01.07 NIMULE-GULU'!N17,'02.07 NIMULE-GULU'!N17,'03.07 NIMULE-GULU'!N17,'04.07 NIMULE-GULU-24h'!N17,'05.07 NIMULE-GULU-24h'!N17,'06.07 NIMULE-GULU'!N17)</f>
        <v>0</v>
      </c>
      <c r="O17" s="15">
        <f t="shared" si="0"/>
        <v>3.8571428571428568</v>
      </c>
      <c r="P17" s="15">
        <f t="shared" si="1"/>
        <v>12.714285714285715</v>
      </c>
      <c r="R17" s="1" t="s">
        <v>13</v>
      </c>
      <c r="S17" s="17">
        <f t="shared" ref="S17:AF17" si="9">SUM(C38:C41)</f>
        <v>3.285714285714286</v>
      </c>
      <c r="T17" s="17">
        <f t="shared" si="9"/>
        <v>1</v>
      </c>
      <c r="U17" s="17">
        <f t="shared" si="9"/>
        <v>3.4285714285714288</v>
      </c>
      <c r="V17" s="17">
        <f t="shared" si="9"/>
        <v>0</v>
      </c>
      <c r="W17" s="17">
        <f t="shared" si="9"/>
        <v>0.14285714285714285</v>
      </c>
      <c r="X17" s="17">
        <f t="shared" si="9"/>
        <v>0.2857142857142857</v>
      </c>
      <c r="Y17" s="17">
        <f t="shared" si="9"/>
        <v>0.99999999999999989</v>
      </c>
      <c r="Z17" s="17">
        <f t="shared" si="9"/>
        <v>0.42857142857142855</v>
      </c>
      <c r="AA17" s="17">
        <f t="shared" si="9"/>
        <v>0.2857142857142857</v>
      </c>
      <c r="AB17" s="17">
        <f t="shared" si="9"/>
        <v>6.8571428571428559</v>
      </c>
      <c r="AC17" s="17">
        <f t="shared" si="9"/>
        <v>29</v>
      </c>
      <c r="AD17" s="17">
        <f t="shared" si="9"/>
        <v>0</v>
      </c>
      <c r="AE17" s="31">
        <f t="shared" si="9"/>
        <v>16.714285714285715</v>
      </c>
      <c r="AF17" s="31">
        <f t="shared" si="9"/>
        <v>45.714285714285722</v>
      </c>
    </row>
    <row r="18" spans="2:32" ht="23.1" customHeight="1" x14ac:dyDescent="0.25">
      <c r="B18" s="23" t="s">
        <v>45</v>
      </c>
      <c r="C18" s="49">
        <f>AVERAGE('31.07 NIMULE-GULU'!C18,'01.07 NIMULE-GULU'!C18,'02.07 NIMULE-GULU'!C18,'03.07 NIMULE-GULU'!C18,'04.07 NIMULE-GULU-24h'!C18,'05.07 NIMULE-GULU-24h'!C18,'06.07 NIMULE-GULU'!C18)</f>
        <v>0.8571428571428571</v>
      </c>
      <c r="D18" s="49">
        <f>AVERAGE('31.07 NIMULE-GULU'!D18,'01.07 NIMULE-GULU'!D18,'02.07 NIMULE-GULU'!D18,'03.07 NIMULE-GULU'!D18,'04.07 NIMULE-GULU-24h'!D18,'05.07 NIMULE-GULU-24h'!D18,'06.07 NIMULE-GULU'!D18)</f>
        <v>0.14285714285714285</v>
      </c>
      <c r="E18" s="49">
        <f>AVERAGE('31.07 NIMULE-GULU'!E18,'01.07 NIMULE-GULU'!E18,'02.07 NIMULE-GULU'!E18,'03.07 NIMULE-GULU'!E18,'04.07 NIMULE-GULU-24h'!E18,'05.07 NIMULE-GULU-24h'!E18,'06.07 NIMULE-GULU'!E18)</f>
        <v>0.42857142857142855</v>
      </c>
      <c r="F18" s="49">
        <f>AVERAGE('31.07 NIMULE-GULU'!F18,'01.07 NIMULE-GULU'!F18,'02.07 NIMULE-GULU'!F18,'03.07 NIMULE-GULU'!F18,'04.07 NIMULE-GULU-24h'!F18,'05.07 NIMULE-GULU-24h'!F18,'06.07 NIMULE-GULU'!F18)</f>
        <v>0</v>
      </c>
      <c r="G18" s="49">
        <f>AVERAGE('31.07 NIMULE-GULU'!G18,'01.07 NIMULE-GULU'!G18,'02.07 NIMULE-GULU'!G18,'03.07 NIMULE-GULU'!G18,'04.07 NIMULE-GULU-24h'!G18,'05.07 NIMULE-GULU-24h'!G18,'06.07 NIMULE-GULU'!G18)</f>
        <v>0</v>
      </c>
      <c r="H18" s="49">
        <f>AVERAGE('31.07 NIMULE-GULU'!H18,'01.07 NIMULE-GULU'!H18,'02.07 NIMULE-GULU'!H18,'03.07 NIMULE-GULU'!H18,'04.07 NIMULE-GULU-24h'!H18,'05.07 NIMULE-GULU-24h'!H18,'06.07 NIMULE-GULU'!H18)</f>
        <v>0.14285714285714285</v>
      </c>
      <c r="I18" s="49">
        <f>AVERAGE('31.07 NIMULE-GULU'!I18,'01.07 NIMULE-GULU'!I18,'02.07 NIMULE-GULU'!I18,'03.07 NIMULE-GULU'!I18,'04.07 NIMULE-GULU-24h'!I18,'05.07 NIMULE-GULU-24h'!I18,'06.07 NIMULE-GULU'!I18)</f>
        <v>0.5714285714285714</v>
      </c>
      <c r="J18" s="49">
        <f>AVERAGE('31.07 NIMULE-GULU'!J18,'01.07 NIMULE-GULU'!J18,'02.07 NIMULE-GULU'!J18,'03.07 NIMULE-GULU'!J18,'04.07 NIMULE-GULU-24h'!J18,'05.07 NIMULE-GULU-24h'!J18,'06.07 NIMULE-GULU'!J18)</f>
        <v>0</v>
      </c>
      <c r="K18" s="49">
        <f>AVERAGE('31.07 NIMULE-GULU'!K18,'01.07 NIMULE-GULU'!K18,'02.07 NIMULE-GULU'!K18,'03.07 NIMULE-GULU'!K18,'04.07 NIMULE-GULU-24h'!K18,'05.07 NIMULE-GULU-24h'!K18,'06.07 NIMULE-GULU'!K18)</f>
        <v>0.14285714285714285</v>
      </c>
      <c r="L18" s="49">
        <f>AVERAGE('31.07 NIMULE-GULU'!L18,'01.07 NIMULE-GULU'!L18,'02.07 NIMULE-GULU'!L18,'03.07 NIMULE-GULU'!L18,'04.07 NIMULE-GULU-24h'!L18,'05.07 NIMULE-GULU-24h'!L18,'06.07 NIMULE-GULU'!L18)</f>
        <v>1.5714285714285714</v>
      </c>
      <c r="M18" s="49">
        <f>AVERAGE('31.07 NIMULE-GULU'!M18,'01.07 NIMULE-GULU'!M18,'02.07 NIMULE-GULU'!M18,'03.07 NIMULE-GULU'!M18,'04.07 NIMULE-GULU-24h'!M18,'05.07 NIMULE-GULU-24h'!M18,'06.07 NIMULE-GULU'!M18)</f>
        <v>7.8571428571428568</v>
      </c>
      <c r="N18" s="49">
        <f>AVERAGE('31.07 NIMULE-GULU'!N18,'01.07 NIMULE-GULU'!N18,'02.07 NIMULE-GULU'!N18,'03.07 NIMULE-GULU'!N18,'04.07 NIMULE-GULU-24h'!N18,'05.07 NIMULE-GULU-24h'!N18,'06.07 NIMULE-GULU'!N18)</f>
        <v>0</v>
      </c>
      <c r="O18" s="15">
        <f t="shared" si="0"/>
        <v>3.8571428571428568</v>
      </c>
      <c r="P18" s="15">
        <f t="shared" si="1"/>
        <v>11.714285714285714</v>
      </c>
      <c r="R18" s="1" t="s">
        <v>14</v>
      </c>
      <c r="S18" s="17">
        <f t="shared" ref="S18:AF18" si="10">SUM(C42:C45)</f>
        <v>5.2857142857142865</v>
      </c>
      <c r="T18" s="17">
        <f t="shared" si="10"/>
        <v>2.1428571428571428</v>
      </c>
      <c r="U18" s="17">
        <f t="shared" si="10"/>
        <v>2.7142857142857144</v>
      </c>
      <c r="V18" s="17">
        <f t="shared" si="10"/>
        <v>0</v>
      </c>
      <c r="W18" s="17">
        <f t="shared" si="10"/>
        <v>0.14285714285714285</v>
      </c>
      <c r="X18" s="17">
        <f t="shared" si="10"/>
        <v>0.14285714285714285</v>
      </c>
      <c r="Y18" s="17">
        <f t="shared" si="10"/>
        <v>0.71428571428571419</v>
      </c>
      <c r="Z18" s="17">
        <f t="shared" si="10"/>
        <v>0</v>
      </c>
      <c r="AA18" s="17">
        <f t="shared" si="10"/>
        <v>0.8571428571428571</v>
      </c>
      <c r="AB18" s="17">
        <f t="shared" si="10"/>
        <v>3.8571428571428577</v>
      </c>
      <c r="AC18" s="17">
        <f t="shared" si="10"/>
        <v>33.285714285714285</v>
      </c>
      <c r="AD18" s="17">
        <f t="shared" si="10"/>
        <v>0</v>
      </c>
      <c r="AE18" s="31">
        <f t="shared" si="10"/>
        <v>15.857142857142858</v>
      </c>
      <c r="AF18" s="31">
        <f t="shared" si="10"/>
        <v>49.142857142857139</v>
      </c>
    </row>
    <row r="19" spans="2:32" ht="23.1" customHeight="1" x14ac:dyDescent="0.25">
      <c r="B19" s="23" t="s">
        <v>46</v>
      </c>
      <c r="C19" s="49">
        <f>AVERAGE('31.07 NIMULE-GULU'!C19,'01.07 NIMULE-GULU'!C19,'02.07 NIMULE-GULU'!C19,'03.07 NIMULE-GULU'!C19,'04.07 NIMULE-GULU-24h'!C19,'05.07 NIMULE-GULU-24h'!C19,'06.07 NIMULE-GULU'!C19)</f>
        <v>0.7142857142857143</v>
      </c>
      <c r="D19" s="49">
        <f>AVERAGE('31.07 NIMULE-GULU'!D19,'01.07 NIMULE-GULU'!D19,'02.07 NIMULE-GULU'!D19,'03.07 NIMULE-GULU'!D19,'04.07 NIMULE-GULU-24h'!D19,'05.07 NIMULE-GULU-24h'!D19,'06.07 NIMULE-GULU'!D19)</f>
        <v>0.14285714285714285</v>
      </c>
      <c r="E19" s="49">
        <f>AVERAGE('31.07 NIMULE-GULU'!E19,'01.07 NIMULE-GULU'!E19,'02.07 NIMULE-GULU'!E19,'03.07 NIMULE-GULU'!E19,'04.07 NIMULE-GULU-24h'!E19,'05.07 NIMULE-GULU-24h'!E19,'06.07 NIMULE-GULU'!E19)</f>
        <v>0.2857142857142857</v>
      </c>
      <c r="F19" s="49">
        <f>AVERAGE('31.07 NIMULE-GULU'!F19,'01.07 NIMULE-GULU'!F19,'02.07 NIMULE-GULU'!F19,'03.07 NIMULE-GULU'!F19,'04.07 NIMULE-GULU-24h'!F19,'05.07 NIMULE-GULU-24h'!F19,'06.07 NIMULE-GULU'!F19)</f>
        <v>0</v>
      </c>
      <c r="G19" s="49">
        <f>AVERAGE('31.07 NIMULE-GULU'!G19,'01.07 NIMULE-GULU'!G19,'02.07 NIMULE-GULU'!G19,'03.07 NIMULE-GULU'!G19,'04.07 NIMULE-GULU-24h'!G19,'05.07 NIMULE-GULU-24h'!G19,'06.07 NIMULE-GULU'!G19)</f>
        <v>0</v>
      </c>
      <c r="H19" s="49">
        <f>AVERAGE('31.07 NIMULE-GULU'!H19,'01.07 NIMULE-GULU'!H19,'02.07 NIMULE-GULU'!H19,'03.07 NIMULE-GULU'!H19,'04.07 NIMULE-GULU-24h'!H19,'05.07 NIMULE-GULU-24h'!H19,'06.07 NIMULE-GULU'!H19)</f>
        <v>0.2857142857142857</v>
      </c>
      <c r="I19" s="49">
        <f>AVERAGE('31.07 NIMULE-GULU'!I19,'01.07 NIMULE-GULU'!I19,'02.07 NIMULE-GULU'!I19,'03.07 NIMULE-GULU'!I19,'04.07 NIMULE-GULU-24h'!I19,'05.07 NIMULE-GULU-24h'!I19,'06.07 NIMULE-GULU'!I19)</f>
        <v>0.8571428571428571</v>
      </c>
      <c r="J19" s="49">
        <f>AVERAGE('31.07 NIMULE-GULU'!J19,'01.07 NIMULE-GULU'!J19,'02.07 NIMULE-GULU'!J19,'03.07 NIMULE-GULU'!J19,'04.07 NIMULE-GULU-24h'!J19,'05.07 NIMULE-GULU-24h'!J19,'06.07 NIMULE-GULU'!J19)</f>
        <v>0.2857142857142857</v>
      </c>
      <c r="K19" s="49">
        <f>AVERAGE('31.07 NIMULE-GULU'!K19,'01.07 NIMULE-GULU'!K19,'02.07 NIMULE-GULU'!K19,'03.07 NIMULE-GULU'!K19,'04.07 NIMULE-GULU-24h'!K19,'05.07 NIMULE-GULU-24h'!K19,'06.07 NIMULE-GULU'!K19)</f>
        <v>0.2857142857142857</v>
      </c>
      <c r="L19" s="49">
        <f>AVERAGE('31.07 NIMULE-GULU'!L19,'01.07 NIMULE-GULU'!L19,'02.07 NIMULE-GULU'!L19,'03.07 NIMULE-GULU'!L19,'04.07 NIMULE-GULU-24h'!L19,'05.07 NIMULE-GULU-24h'!L19,'06.07 NIMULE-GULU'!L19)</f>
        <v>1.5714285714285714</v>
      </c>
      <c r="M19" s="49">
        <f>AVERAGE('31.07 NIMULE-GULU'!M19,'01.07 NIMULE-GULU'!M19,'02.07 NIMULE-GULU'!M19,'03.07 NIMULE-GULU'!M19,'04.07 NIMULE-GULU-24h'!M19,'05.07 NIMULE-GULU-24h'!M19,'06.07 NIMULE-GULU'!M19)</f>
        <v>10</v>
      </c>
      <c r="N19" s="49">
        <f>AVERAGE('31.07 NIMULE-GULU'!N19,'01.07 NIMULE-GULU'!N19,'02.07 NIMULE-GULU'!N19,'03.07 NIMULE-GULU'!N19,'04.07 NIMULE-GULU-24h'!N19,'05.07 NIMULE-GULU-24h'!N19,'06.07 NIMULE-GULU'!N19)</f>
        <v>0</v>
      </c>
      <c r="O19" s="15">
        <f t="shared" si="0"/>
        <v>4.4285714285714279</v>
      </c>
      <c r="P19" s="15">
        <f t="shared" si="1"/>
        <v>14.428571428571427</v>
      </c>
      <c r="R19" s="1" t="s">
        <v>15</v>
      </c>
      <c r="S19" s="17">
        <f t="shared" ref="S19:AF19" si="11">SUM(C46:C49)</f>
        <v>3</v>
      </c>
      <c r="T19" s="17">
        <f t="shared" si="11"/>
        <v>1.4285714285714284</v>
      </c>
      <c r="U19" s="17">
        <f t="shared" si="11"/>
        <v>2.8571428571428568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1.5714285714285714</v>
      </c>
      <c r="Z19" s="17">
        <f t="shared" si="11"/>
        <v>0.2857142857142857</v>
      </c>
      <c r="AA19" s="17">
        <f t="shared" si="11"/>
        <v>0.14285714285714285</v>
      </c>
      <c r="AB19" s="17">
        <f t="shared" si="11"/>
        <v>3.4285714285714288</v>
      </c>
      <c r="AC19" s="17">
        <f t="shared" si="11"/>
        <v>21.428571428571431</v>
      </c>
      <c r="AD19" s="17">
        <f t="shared" si="11"/>
        <v>0</v>
      </c>
      <c r="AE19" s="31">
        <f t="shared" si="11"/>
        <v>12.714285714285714</v>
      </c>
      <c r="AF19" s="31">
        <f t="shared" si="11"/>
        <v>34.142857142857139</v>
      </c>
    </row>
    <row r="20" spans="2:32" ht="23.1" customHeight="1" x14ac:dyDescent="0.25">
      <c r="B20" s="23" t="s">
        <v>47</v>
      </c>
      <c r="C20" s="49">
        <f>AVERAGE('31.07 NIMULE-GULU'!C20,'01.07 NIMULE-GULU'!C20,'02.07 NIMULE-GULU'!C20,'03.07 NIMULE-GULU'!C20,'04.07 NIMULE-GULU-24h'!C20,'05.07 NIMULE-GULU-24h'!C20,'06.07 NIMULE-GULU'!C20)</f>
        <v>0.42857142857142855</v>
      </c>
      <c r="D20" s="49">
        <f>AVERAGE('31.07 NIMULE-GULU'!D20,'01.07 NIMULE-GULU'!D20,'02.07 NIMULE-GULU'!D20,'03.07 NIMULE-GULU'!D20,'04.07 NIMULE-GULU-24h'!D20,'05.07 NIMULE-GULU-24h'!D20,'06.07 NIMULE-GULU'!D20)</f>
        <v>0.14285714285714285</v>
      </c>
      <c r="E20" s="49">
        <f>AVERAGE('31.07 NIMULE-GULU'!E20,'01.07 NIMULE-GULU'!E20,'02.07 NIMULE-GULU'!E20,'03.07 NIMULE-GULU'!E20,'04.07 NIMULE-GULU-24h'!E20,'05.07 NIMULE-GULU-24h'!E20,'06.07 NIMULE-GULU'!E20)</f>
        <v>0.42857142857142855</v>
      </c>
      <c r="F20" s="49">
        <f>AVERAGE('31.07 NIMULE-GULU'!F20,'01.07 NIMULE-GULU'!F20,'02.07 NIMULE-GULU'!F20,'03.07 NIMULE-GULU'!F20,'04.07 NIMULE-GULU-24h'!F20,'05.07 NIMULE-GULU-24h'!F20,'06.07 NIMULE-GULU'!F20)</f>
        <v>0</v>
      </c>
      <c r="G20" s="49">
        <f>AVERAGE('31.07 NIMULE-GULU'!G20,'01.07 NIMULE-GULU'!G20,'02.07 NIMULE-GULU'!G20,'03.07 NIMULE-GULU'!G20,'04.07 NIMULE-GULU-24h'!G20,'05.07 NIMULE-GULU-24h'!G20,'06.07 NIMULE-GULU'!G20)</f>
        <v>0</v>
      </c>
      <c r="H20" s="49">
        <f>AVERAGE('31.07 NIMULE-GULU'!H20,'01.07 NIMULE-GULU'!H20,'02.07 NIMULE-GULU'!H20,'03.07 NIMULE-GULU'!H20,'04.07 NIMULE-GULU-24h'!H20,'05.07 NIMULE-GULU-24h'!H20,'06.07 NIMULE-GULU'!H20)</f>
        <v>0.14285714285714285</v>
      </c>
      <c r="I20" s="49">
        <f>AVERAGE('31.07 NIMULE-GULU'!I20,'01.07 NIMULE-GULU'!I20,'02.07 NIMULE-GULU'!I20,'03.07 NIMULE-GULU'!I20,'04.07 NIMULE-GULU-24h'!I20,'05.07 NIMULE-GULU-24h'!I20,'06.07 NIMULE-GULU'!I20)</f>
        <v>0.14285714285714285</v>
      </c>
      <c r="J20" s="49">
        <f>AVERAGE('31.07 NIMULE-GULU'!J20,'01.07 NIMULE-GULU'!J20,'02.07 NIMULE-GULU'!J20,'03.07 NIMULE-GULU'!J20,'04.07 NIMULE-GULU-24h'!J20,'05.07 NIMULE-GULU-24h'!J20,'06.07 NIMULE-GULU'!J20)</f>
        <v>0.2857142857142857</v>
      </c>
      <c r="K20" s="49">
        <f>AVERAGE('31.07 NIMULE-GULU'!K20,'01.07 NIMULE-GULU'!K20,'02.07 NIMULE-GULU'!K20,'03.07 NIMULE-GULU'!K20,'04.07 NIMULE-GULU-24h'!K20,'05.07 NIMULE-GULU-24h'!K20,'06.07 NIMULE-GULU'!K20)</f>
        <v>0</v>
      </c>
      <c r="L20" s="49">
        <f>AVERAGE('31.07 NIMULE-GULU'!L20,'01.07 NIMULE-GULU'!L20,'02.07 NIMULE-GULU'!L20,'03.07 NIMULE-GULU'!L20,'04.07 NIMULE-GULU-24h'!L20,'05.07 NIMULE-GULU-24h'!L20,'06.07 NIMULE-GULU'!L20)</f>
        <v>2.4285714285714284</v>
      </c>
      <c r="M20" s="49">
        <f>AVERAGE('31.07 NIMULE-GULU'!M20,'01.07 NIMULE-GULU'!M20,'02.07 NIMULE-GULU'!M20,'03.07 NIMULE-GULU'!M20,'04.07 NIMULE-GULU-24h'!M20,'05.07 NIMULE-GULU-24h'!M20,'06.07 NIMULE-GULU'!M20)</f>
        <v>12.857142857142858</v>
      </c>
      <c r="N20" s="49">
        <f>AVERAGE('31.07 NIMULE-GULU'!N20,'01.07 NIMULE-GULU'!N20,'02.07 NIMULE-GULU'!N20,'03.07 NIMULE-GULU'!N20,'04.07 NIMULE-GULU-24h'!N20,'05.07 NIMULE-GULU-24h'!N20,'06.07 NIMULE-GULU'!N20)</f>
        <v>0</v>
      </c>
      <c r="O20" s="15">
        <f t="shared" si="0"/>
        <v>3.9999999999999996</v>
      </c>
      <c r="P20" s="15">
        <f t="shared" si="1"/>
        <v>16.857142857142858</v>
      </c>
      <c r="R20" s="1" t="s">
        <v>16</v>
      </c>
      <c r="S20" s="17">
        <f t="shared" ref="S20:AF20" si="12">SUM(C50:C53)</f>
        <v>4.1428571428571432</v>
      </c>
      <c r="T20" s="17">
        <f t="shared" si="12"/>
        <v>1.2857142857142856</v>
      </c>
      <c r="U20" s="17">
        <f t="shared" si="12"/>
        <v>3</v>
      </c>
      <c r="V20" s="17">
        <f t="shared" si="12"/>
        <v>0</v>
      </c>
      <c r="W20" s="17">
        <f t="shared" si="12"/>
        <v>0.14285714285714285</v>
      </c>
      <c r="X20" s="17">
        <f t="shared" si="12"/>
        <v>0</v>
      </c>
      <c r="Y20" s="17">
        <f t="shared" si="12"/>
        <v>1.8571428571428572</v>
      </c>
      <c r="Z20" s="17">
        <f t="shared" si="12"/>
        <v>0.14285714285714285</v>
      </c>
      <c r="AA20" s="17">
        <f t="shared" si="12"/>
        <v>0</v>
      </c>
      <c r="AB20" s="17">
        <f t="shared" si="12"/>
        <v>2.714285714285714</v>
      </c>
      <c r="AC20" s="17">
        <f t="shared" si="12"/>
        <v>27</v>
      </c>
      <c r="AD20" s="17">
        <f t="shared" si="12"/>
        <v>0</v>
      </c>
      <c r="AE20" s="31">
        <f t="shared" si="12"/>
        <v>13.285714285714285</v>
      </c>
      <c r="AF20" s="31">
        <f t="shared" si="12"/>
        <v>40.285714285714285</v>
      </c>
    </row>
    <row r="21" spans="2:32" ht="23.1" customHeight="1" x14ac:dyDescent="0.25">
      <c r="B21" s="23" t="s">
        <v>48</v>
      </c>
      <c r="C21" s="49">
        <f>AVERAGE('31.07 NIMULE-GULU'!C21,'01.07 NIMULE-GULU'!C21,'02.07 NIMULE-GULU'!C21,'03.07 NIMULE-GULU'!C21,'04.07 NIMULE-GULU-24h'!C21,'05.07 NIMULE-GULU-24h'!C21,'06.07 NIMULE-GULU'!C21)</f>
        <v>1.5714285714285714</v>
      </c>
      <c r="D21" s="49">
        <f>AVERAGE('31.07 NIMULE-GULU'!D21,'01.07 NIMULE-GULU'!D21,'02.07 NIMULE-GULU'!D21,'03.07 NIMULE-GULU'!D21,'04.07 NIMULE-GULU-24h'!D21,'05.07 NIMULE-GULU-24h'!D21,'06.07 NIMULE-GULU'!D21)</f>
        <v>0</v>
      </c>
      <c r="E21" s="49">
        <f>AVERAGE('31.07 NIMULE-GULU'!E21,'01.07 NIMULE-GULU'!E21,'02.07 NIMULE-GULU'!E21,'03.07 NIMULE-GULU'!E21,'04.07 NIMULE-GULU-24h'!E21,'05.07 NIMULE-GULU-24h'!E21,'06.07 NIMULE-GULU'!E21)</f>
        <v>0.14285714285714285</v>
      </c>
      <c r="F21" s="49">
        <f>AVERAGE('31.07 NIMULE-GULU'!F21,'01.07 NIMULE-GULU'!F21,'02.07 NIMULE-GULU'!F21,'03.07 NIMULE-GULU'!F21,'04.07 NIMULE-GULU-24h'!F21,'05.07 NIMULE-GULU-24h'!F21,'06.07 NIMULE-GULU'!F21)</f>
        <v>0</v>
      </c>
      <c r="G21" s="49">
        <f>AVERAGE('31.07 NIMULE-GULU'!G21,'01.07 NIMULE-GULU'!G21,'02.07 NIMULE-GULU'!G21,'03.07 NIMULE-GULU'!G21,'04.07 NIMULE-GULU-24h'!G21,'05.07 NIMULE-GULU-24h'!G21,'06.07 NIMULE-GULU'!G21)</f>
        <v>0</v>
      </c>
      <c r="H21" s="49">
        <f>AVERAGE('31.07 NIMULE-GULU'!H21,'01.07 NIMULE-GULU'!H21,'02.07 NIMULE-GULU'!H21,'03.07 NIMULE-GULU'!H21,'04.07 NIMULE-GULU-24h'!H21,'05.07 NIMULE-GULU-24h'!H21,'06.07 NIMULE-GULU'!H21)</f>
        <v>0.14285714285714285</v>
      </c>
      <c r="I21" s="49">
        <f>AVERAGE('31.07 NIMULE-GULU'!I21,'01.07 NIMULE-GULU'!I21,'02.07 NIMULE-GULU'!I21,'03.07 NIMULE-GULU'!I21,'04.07 NIMULE-GULU-24h'!I21,'05.07 NIMULE-GULU-24h'!I21,'06.07 NIMULE-GULU'!I21)</f>
        <v>0.2857142857142857</v>
      </c>
      <c r="J21" s="49">
        <f>AVERAGE('31.07 NIMULE-GULU'!J21,'01.07 NIMULE-GULU'!J21,'02.07 NIMULE-GULU'!J21,'03.07 NIMULE-GULU'!J21,'04.07 NIMULE-GULU-24h'!J21,'05.07 NIMULE-GULU-24h'!J21,'06.07 NIMULE-GULU'!J21)</f>
        <v>0.14285714285714285</v>
      </c>
      <c r="K21" s="49">
        <f>AVERAGE('31.07 NIMULE-GULU'!K21,'01.07 NIMULE-GULU'!K21,'02.07 NIMULE-GULU'!K21,'03.07 NIMULE-GULU'!K21,'04.07 NIMULE-GULU-24h'!K21,'05.07 NIMULE-GULU-24h'!K21,'06.07 NIMULE-GULU'!K21)</f>
        <v>0</v>
      </c>
      <c r="L21" s="49">
        <f>AVERAGE('31.07 NIMULE-GULU'!L21,'01.07 NIMULE-GULU'!L21,'02.07 NIMULE-GULU'!L21,'03.07 NIMULE-GULU'!L21,'04.07 NIMULE-GULU-24h'!L21,'05.07 NIMULE-GULU-24h'!L21,'06.07 NIMULE-GULU'!L21)</f>
        <v>1.7142857142857142</v>
      </c>
      <c r="M21" s="49">
        <f>AVERAGE('31.07 NIMULE-GULU'!M21,'01.07 NIMULE-GULU'!M21,'02.07 NIMULE-GULU'!M21,'03.07 NIMULE-GULU'!M21,'04.07 NIMULE-GULU-24h'!M21,'05.07 NIMULE-GULU-24h'!M21,'06.07 NIMULE-GULU'!M21)</f>
        <v>8.4285714285714288</v>
      </c>
      <c r="N21" s="49">
        <f>AVERAGE('31.07 NIMULE-GULU'!N21,'01.07 NIMULE-GULU'!N21,'02.07 NIMULE-GULU'!N21,'03.07 NIMULE-GULU'!N21,'04.07 NIMULE-GULU-24h'!N21,'05.07 NIMULE-GULU-24h'!N21,'06.07 NIMULE-GULU'!N21)</f>
        <v>0</v>
      </c>
      <c r="O21" s="15">
        <f t="shared" si="0"/>
        <v>4</v>
      </c>
      <c r="P21" s="15">
        <f t="shared" si="1"/>
        <v>12.428571428571429</v>
      </c>
      <c r="R21" s="36" t="s">
        <v>20</v>
      </c>
      <c r="S21" s="34">
        <f t="shared" ref="S21:AF21" si="13">SUM(C54:C57)</f>
        <v>3.1428571428571428</v>
      </c>
      <c r="T21" s="17">
        <f t="shared" si="13"/>
        <v>0.85714285714285698</v>
      </c>
      <c r="U21" s="17">
        <f t="shared" si="13"/>
        <v>3.7142857142857144</v>
      </c>
      <c r="V21" s="17">
        <f t="shared" si="13"/>
        <v>0.14285714285714285</v>
      </c>
      <c r="W21" s="17">
        <f t="shared" si="13"/>
        <v>0.14285714285714285</v>
      </c>
      <c r="X21" s="17">
        <f t="shared" si="13"/>
        <v>0.99999999999999978</v>
      </c>
      <c r="Y21" s="17">
        <f t="shared" si="13"/>
        <v>1.7142857142857142</v>
      </c>
      <c r="Z21" s="17">
        <f t="shared" si="13"/>
        <v>0.5714285714285714</v>
      </c>
      <c r="AA21" s="17">
        <f t="shared" si="13"/>
        <v>0.71428571428571419</v>
      </c>
      <c r="AB21" s="17">
        <f t="shared" si="13"/>
        <v>5.5714285714285712</v>
      </c>
      <c r="AC21" s="17">
        <f t="shared" si="13"/>
        <v>21.428571428571431</v>
      </c>
      <c r="AD21" s="17">
        <f t="shared" si="13"/>
        <v>0</v>
      </c>
      <c r="AE21" s="31">
        <f t="shared" si="13"/>
        <v>17.571428571428569</v>
      </c>
      <c r="AF21" s="31">
        <f t="shared" si="13"/>
        <v>39</v>
      </c>
    </row>
    <row r="22" spans="2:32" ht="23.1" customHeight="1" x14ac:dyDescent="0.25">
      <c r="B22" s="23" t="s">
        <v>49</v>
      </c>
      <c r="C22" s="49">
        <f>AVERAGE('31.07 NIMULE-GULU'!C22,'01.07 NIMULE-GULU'!C22,'02.07 NIMULE-GULU'!C22,'03.07 NIMULE-GULU'!C22,'04.07 NIMULE-GULU-24h'!C22,'05.07 NIMULE-GULU-24h'!C22,'06.07 NIMULE-GULU'!C22)</f>
        <v>1.1428571428571428</v>
      </c>
      <c r="D22" s="49">
        <f>AVERAGE('31.07 NIMULE-GULU'!D22,'01.07 NIMULE-GULU'!D22,'02.07 NIMULE-GULU'!D22,'03.07 NIMULE-GULU'!D22,'04.07 NIMULE-GULU-24h'!D22,'05.07 NIMULE-GULU-24h'!D22,'06.07 NIMULE-GULU'!D22)</f>
        <v>0.14285714285714285</v>
      </c>
      <c r="E22" s="49">
        <f>AVERAGE('31.07 NIMULE-GULU'!E22,'01.07 NIMULE-GULU'!E22,'02.07 NIMULE-GULU'!E22,'03.07 NIMULE-GULU'!E22,'04.07 NIMULE-GULU-24h'!E22,'05.07 NIMULE-GULU-24h'!E22,'06.07 NIMULE-GULU'!E22)</f>
        <v>0.7142857142857143</v>
      </c>
      <c r="F22" s="49">
        <f>AVERAGE('31.07 NIMULE-GULU'!F22,'01.07 NIMULE-GULU'!F22,'02.07 NIMULE-GULU'!F22,'03.07 NIMULE-GULU'!F22,'04.07 NIMULE-GULU-24h'!F22,'05.07 NIMULE-GULU-24h'!F22,'06.07 NIMULE-GULU'!F22)</f>
        <v>0</v>
      </c>
      <c r="G22" s="49">
        <f>AVERAGE('31.07 NIMULE-GULU'!G22,'01.07 NIMULE-GULU'!G22,'02.07 NIMULE-GULU'!G22,'03.07 NIMULE-GULU'!G22,'04.07 NIMULE-GULU-24h'!G22,'05.07 NIMULE-GULU-24h'!G22,'06.07 NIMULE-GULU'!G22)</f>
        <v>0</v>
      </c>
      <c r="H22" s="49">
        <f>AVERAGE('31.07 NIMULE-GULU'!H22,'01.07 NIMULE-GULU'!H22,'02.07 NIMULE-GULU'!H22,'03.07 NIMULE-GULU'!H22,'04.07 NIMULE-GULU-24h'!H22,'05.07 NIMULE-GULU-24h'!H22,'06.07 NIMULE-GULU'!H22)</f>
        <v>0</v>
      </c>
      <c r="I22" s="49">
        <f>AVERAGE('31.07 NIMULE-GULU'!I22,'01.07 NIMULE-GULU'!I22,'02.07 NIMULE-GULU'!I22,'03.07 NIMULE-GULU'!I22,'04.07 NIMULE-GULU-24h'!I22,'05.07 NIMULE-GULU-24h'!I22,'06.07 NIMULE-GULU'!I22)</f>
        <v>0.2857142857142857</v>
      </c>
      <c r="J22" s="49">
        <f>AVERAGE('31.07 NIMULE-GULU'!J22,'01.07 NIMULE-GULU'!J22,'02.07 NIMULE-GULU'!J22,'03.07 NIMULE-GULU'!J22,'04.07 NIMULE-GULU-24h'!J22,'05.07 NIMULE-GULU-24h'!J22,'06.07 NIMULE-GULU'!J22)</f>
        <v>0</v>
      </c>
      <c r="K22" s="49">
        <f>AVERAGE('31.07 NIMULE-GULU'!K22,'01.07 NIMULE-GULU'!K22,'02.07 NIMULE-GULU'!K22,'03.07 NIMULE-GULU'!K22,'04.07 NIMULE-GULU-24h'!K22,'05.07 NIMULE-GULU-24h'!K22,'06.07 NIMULE-GULU'!K22)</f>
        <v>0</v>
      </c>
      <c r="L22" s="49">
        <f>AVERAGE('31.07 NIMULE-GULU'!L22,'01.07 NIMULE-GULU'!L22,'02.07 NIMULE-GULU'!L22,'03.07 NIMULE-GULU'!L22,'04.07 NIMULE-GULU-24h'!L22,'05.07 NIMULE-GULU-24h'!L22,'06.07 NIMULE-GULU'!L22)</f>
        <v>2.2857142857142856</v>
      </c>
      <c r="M22" s="49">
        <f>AVERAGE('31.07 NIMULE-GULU'!M22,'01.07 NIMULE-GULU'!M22,'02.07 NIMULE-GULU'!M22,'03.07 NIMULE-GULU'!M22,'04.07 NIMULE-GULU-24h'!M22,'05.07 NIMULE-GULU-24h'!M22,'06.07 NIMULE-GULU'!M22)</f>
        <v>10</v>
      </c>
      <c r="N22" s="49">
        <f>AVERAGE('31.07 NIMULE-GULU'!N22,'01.07 NIMULE-GULU'!N22,'02.07 NIMULE-GULU'!N22,'03.07 NIMULE-GULU'!N22,'04.07 NIMULE-GULU-24h'!N22,'05.07 NIMULE-GULU-24h'!N22,'06.07 NIMULE-GULU'!N22)</f>
        <v>0</v>
      </c>
      <c r="O22" s="15">
        <f t="shared" si="0"/>
        <v>4.5714285714285712</v>
      </c>
      <c r="P22" s="15">
        <f t="shared" si="1"/>
        <v>14.571428571428571</v>
      </c>
      <c r="R22" s="1" t="s">
        <v>146</v>
      </c>
      <c r="S22" s="34">
        <f>SUM(C58:C61)</f>
        <v>1.5</v>
      </c>
      <c r="T22" s="34">
        <f t="shared" ref="T22:AF22" si="14">SUM(D58:D61)</f>
        <v>1</v>
      </c>
      <c r="U22" s="34">
        <f t="shared" si="14"/>
        <v>3.5</v>
      </c>
      <c r="V22" s="34">
        <f t="shared" si="14"/>
        <v>0</v>
      </c>
      <c r="W22" s="34">
        <f t="shared" si="14"/>
        <v>0</v>
      </c>
      <c r="X22" s="34">
        <f t="shared" si="14"/>
        <v>0.5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0.5</v>
      </c>
      <c r="AC22" s="34">
        <f t="shared" si="14"/>
        <v>5</v>
      </c>
      <c r="AD22" s="34">
        <f t="shared" si="14"/>
        <v>0</v>
      </c>
      <c r="AE22" s="31">
        <f t="shared" si="14"/>
        <v>8</v>
      </c>
      <c r="AF22" s="31">
        <f t="shared" si="14"/>
        <v>13</v>
      </c>
    </row>
    <row r="23" spans="2:32" ht="23.1" customHeight="1" x14ac:dyDescent="0.25">
      <c r="B23" s="23" t="s">
        <v>50</v>
      </c>
      <c r="C23" s="49">
        <f>AVERAGE('31.07 NIMULE-GULU'!C23,'01.07 NIMULE-GULU'!C23,'02.07 NIMULE-GULU'!C23,'03.07 NIMULE-GULU'!C23,'04.07 NIMULE-GULU-24h'!C23,'05.07 NIMULE-GULU-24h'!C23,'06.07 NIMULE-GULU'!C23)</f>
        <v>0.8571428571428571</v>
      </c>
      <c r="D23" s="49">
        <f>AVERAGE('31.07 NIMULE-GULU'!D23,'01.07 NIMULE-GULU'!D23,'02.07 NIMULE-GULU'!D23,'03.07 NIMULE-GULU'!D23,'04.07 NIMULE-GULU-24h'!D23,'05.07 NIMULE-GULU-24h'!D23,'06.07 NIMULE-GULU'!D23)</f>
        <v>0.14285714285714285</v>
      </c>
      <c r="E23" s="49">
        <f>AVERAGE('31.07 NIMULE-GULU'!E23,'01.07 NIMULE-GULU'!E23,'02.07 NIMULE-GULU'!E23,'03.07 NIMULE-GULU'!E23,'04.07 NIMULE-GULU-24h'!E23,'05.07 NIMULE-GULU-24h'!E23,'06.07 NIMULE-GULU'!E23)</f>
        <v>0.5714285714285714</v>
      </c>
      <c r="F23" s="49">
        <f>AVERAGE('31.07 NIMULE-GULU'!F23,'01.07 NIMULE-GULU'!F23,'02.07 NIMULE-GULU'!F23,'03.07 NIMULE-GULU'!F23,'04.07 NIMULE-GULU-24h'!F23,'05.07 NIMULE-GULU-24h'!F23,'06.07 NIMULE-GULU'!F23)</f>
        <v>0</v>
      </c>
      <c r="G23" s="49">
        <f>AVERAGE('31.07 NIMULE-GULU'!G23,'01.07 NIMULE-GULU'!G23,'02.07 NIMULE-GULU'!G23,'03.07 NIMULE-GULU'!G23,'04.07 NIMULE-GULU-24h'!G23,'05.07 NIMULE-GULU-24h'!G23,'06.07 NIMULE-GULU'!G23)</f>
        <v>0</v>
      </c>
      <c r="H23" s="49">
        <f>AVERAGE('31.07 NIMULE-GULU'!H23,'01.07 NIMULE-GULU'!H23,'02.07 NIMULE-GULU'!H23,'03.07 NIMULE-GULU'!H23,'04.07 NIMULE-GULU-24h'!H23,'05.07 NIMULE-GULU-24h'!H23,'06.07 NIMULE-GULU'!H23)</f>
        <v>0</v>
      </c>
      <c r="I23" s="49">
        <f>AVERAGE('31.07 NIMULE-GULU'!I23,'01.07 NIMULE-GULU'!I23,'02.07 NIMULE-GULU'!I23,'03.07 NIMULE-GULU'!I23,'04.07 NIMULE-GULU-24h'!I23,'05.07 NIMULE-GULU-24h'!I23,'06.07 NIMULE-GULU'!I23)</f>
        <v>0.2857142857142857</v>
      </c>
      <c r="J23" s="49">
        <f>AVERAGE('31.07 NIMULE-GULU'!J23,'01.07 NIMULE-GULU'!J23,'02.07 NIMULE-GULU'!J23,'03.07 NIMULE-GULU'!J23,'04.07 NIMULE-GULU-24h'!J23,'05.07 NIMULE-GULU-24h'!J23,'06.07 NIMULE-GULU'!J23)</f>
        <v>0</v>
      </c>
      <c r="K23" s="49">
        <f>AVERAGE('31.07 NIMULE-GULU'!K23,'01.07 NIMULE-GULU'!K23,'02.07 NIMULE-GULU'!K23,'03.07 NIMULE-GULU'!K23,'04.07 NIMULE-GULU-24h'!K23,'05.07 NIMULE-GULU-24h'!K23,'06.07 NIMULE-GULU'!K23)</f>
        <v>0</v>
      </c>
      <c r="L23" s="49">
        <f>AVERAGE('31.07 NIMULE-GULU'!L23,'01.07 NIMULE-GULU'!L23,'02.07 NIMULE-GULU'!L23,'03.07 NIMULE-GULU'!L23,'04.07 NIMULE-GULU-24h'!L23,'05.07 NIMULE-GULU-24h'!L23,'06.07 NIMULE-GULU'!L23)</f>
        <v>1.4285714285714286</v>
      </c>
      <c r="M23" s="49">
        <f>AVERAGE('31.07 NIMULE-GULU'!M23,'01.07 NIMULE-GULU'!M23,'02.07 NIMULE-GULU'!M23,'03.07 NIMULE-GULU'!M23,'04.07 NIMULE-GULU-24h'!M23,'05.07 NIMULE-GULU-24h'!M23,'06.07 NIMULE-GULU'!M23)</f>
        <v>7.4285714285714288</v>
      </c>
      <c r="N23" s="49">
        <f>AVERAGE('31.07 NIMULE-GULU'!N23,'01.07 NIMULE-GULU'!N23,'02.07 NIMULE-GULU'!N23,'03.07 NIMULE-GULU'!N23,'04.07 NIMULE-GULU-24h'!N23,'05.07 NIMULE-GULU-24h'!N23,'06.07 NIMULE-GULU'!N23)</f>
        <v>0</v>
      </c>
      <c r="O23" s="15">
        <f t="shared" si="0"/>
        <v>3.2857142857142856</v>
      </c>
      <c r="P23" s="15">
        <f t="shared" si="1"/>
        <v>10.714285714285715</v>
      </c>
      <c r="R23" s="1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23" t="s">
        <v>51</v>
      </c>
      <c r="C24" s="49">
        <f>AVERAGE('31.07 NIMULE-GULU'!C24,'01.07 NIMULE-GULU'!C24,'02.07 NIMULE-GULU'!C24,'03.07 NIMULE-GULU'!C24,'04.07 NIMULE-GULU-24h'!C24,'05.07 NIMULE-GULU-24h'!C24,'06.07 NIMULE-GULU'!C24)</f>
        <v>0.8571428571428571</v>
      </c>
      <c r="D24" s="49">
        <f>AVERAGE('31.07 NIMULE-GULU'!D24,'01.07 NIMULE-GULU'!D24,'02.07 NIMULE-GULU'!D24,'03.07 NIMULE-GULU'!D24,'04.07 NIMULE-GULU-24h'!D24,'05.07 NIMULE-GULU-24h'!D24,'06.07 NIMULE-GULU'!D24)</f>
        <v>0.5714285714285714</v>
      </c>
      <c r="E24" s="49">
        <f>AVERAGE('31.07 NIMULE-GULU'!E24,'01.07 NIMULE-GULU'!E24,'02.07 NIMULE-GULU'!E24,'03.07 NIMULE-GULU'!E24,'04.07 NIMULE-GULU-24h'!E24,'05.07 NIMULE-GULU-24h'!E24,'06.07 NIMULE-GULU'!E24)</f>
        <v>0.2857142857142857</v>
      </c>
      <c r="F24" s="49">
        <f>AVERAGE('31.07 NIMULE-GULU'!F24,'01.07 NIMULE-GULU'!F24,'02.07 NIMULE-GULU'!F24,'03.07 NIMULE-GULU'!F24,'04.07 NIMULE-GULU-24h'!F24,'05.07 NIMULE-GULU-24h'!F24,'06.07 NIMULE-GULU'!F24)</f>
        <v>0</v>
      </c>
      <c r="G24" s="49">
        <f>AVERAGE('31.07 NIMULE-GULU'!G24,'01.07 NIMULE-GULU'!G24,'02.07 NIMULE-GULU'!G24,'03.07 NIMULE-GULU'!G24,'04.07 NIMULE-GULU-24h'!G24,'05.07 NIMULE-GULU-24h'!G24,'06.07 NIMULE-GULU'!G24)</f>
        <v>0</v>
      </c>
      <c r="H24" s="49">
        <f>AVERAGE('31.07 NIMULE-GULU'!H24,'01.07 NIMULE-GULU'!H24,'02.07 NIMULE-GULU'!H24,'03.07 NIMULE-GULU'!H24,'04.07 NIMULE-GULU-24h'!H24,'05.07 NIMULE-GULU-24h'!H24,'06.07 NIMULE-GULU'!H24)</f>
        <v>0</v>
      </c>
      <c r="I24" s="49">
        <f>AVERAGE('31.07 NIMULE-GULU'!I24,'01.07 NIMULE-GULU'!I24,'02.07 NIMULE-GULU'!I24,'03.07 NIMULE-GULU'!I24,'04.07 NIMULE-GULU-24h'!I24,'05.07 NIMULE-GULU-24h'!I24,'06.07 NIMULE-GULU'!I24)</f>
        <v>0</v>
      </c>
      <c r="J24" s="49">
        <f>AVERAGE('31.07 NIMULE-GULU'!J24,'01.07 NIMULE-GULU'!J24,'02.07 NIMULE-GULU'!J24,'03.07 NIMULE-GULU'!J24,'04.07 NIMULE-GULU-24h'!J24,'05.07 NIMULE-GULU-24h'!J24,'06.07 NIMULE-GULU'!J24)</f>
        <v>0.14285714285714285</v>
      </c>
      <c r="K24" s="49">
        <f>AVERAGE('31.07 NIMULE-GULU'!K24,'01.07 NIMULE-GULU'!K24,'02.07 NIMULE-GULU'!K24,'03.07 NIMULE-GULU'!K24,'04.07 NIMULE-GULU-24h'!K24,'05.07 NIMULE-GULU-24h'!K24,'06.07 NIMULE-GULU'!K24)</f>
        <v>0</v>
      </c>
      <c r="L24" s="49">
        <f>AVERAGE('31.07 NIMULE-GULU'!L24,'01.07 NIMULE-GULU'!L24,'02.07 NIMULE-GULU'!L24,'03.07 NIMULE-GULU'!L24,'04.07 NIMULE-GULU-24h'!L24,'05.07 NIMULE-GULU-24h'!L24,'06.07 NIMULE-GULU'!L24)</f>
        <v>2.4285714285714284</v>
      </c>
      <c r="M24" s="49">
        <f>AVERAGE('31.07 NIMULE-GULU'!M24,'01.07 NIMULE-GULU'!M24,'02.07 NIMULE-GULU'!M24,'03.07 NIMULE-GULU'!M24,'04.07 NIMULE-GULU-24h'!M24,'05.07 NIMULE-GULU-24h'!M24,'06.07 NIMULE-GULU'!M24)</f>
        <v>10</v>
      </c>
      <c r="N24" s="49">
        <f>AVERAGE('31.07 NIMULE-GULU'!N24,'01.07 NIMULE-GULU'!N24,'02.07 NIMULE-GULU'!N24,'03.07 NIMULE-GULU'!N24,'04.07 NIMULE-GULU-24h'!N24,'05.07 NIMULE-GULU-24h'!N24,'06.07 NIMULE-GULU'!N24)</f>
        <v>0</v>
      </c>
      <c r="O24" s="15">
        <f t="shared" si="0"/>
        <v>4.2857142857142847</v>
      </c>
      <c r="P24" s="15">
        <f t="shared" si="1"/>
        <v>14.285714285714285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23" t="s">
        <v>52</v>
      </c>
      <c r="C25" s="49">
        <f>AVERAGE('31.07 NIMULE-GULU'!C25,'01.07 NIMULE-GULU'!C25,'02.07 NIMULE-GULU'!C25,'03.07 NIMULE-GULU'!C25,'04.07 NIMULE-GULU-24h'!C25,'05.07 NIMULE-GULU-24h'!C25,'06.07 NIMULE-GULU'!C25)</f>
        <v>1.2857142857142858</v>
      </c>
      <c r="D25" s="49">
        <f>AVERAGE('31.07 NIMULE-GULU'!D25,'01.07 NIMULE-GULU'!D25,'02.07 NIMULE-GULU'!D25,'03.07 NIMULE-GULU'!D25,'04.07 NIMULE-GULU-24h'!D25,'05.07 NIMULE-GULU-24h'!D25,'06.07 NIMULE-GULU'!D25)</f>
        <v>0</v>
      </c>
      <c r="E25" s="49">
        <f>AVERAGE('31.07 NIMULE-GULU'!E25,'01.07 NIMULE-GULU'!E25,'02.07 NIMULE-GULU'!E25,'03.07 NIMULE-GULU'!E25,'04.07 NIMULE-GULU-24h'!E25,'05.07 NIMULE-GULU-24h'!E25,'06.07 NIMULE-GULU'!E25)</f>
        <v>0.5714285714285714</v>
      </c>
      <c r="F25" s="49">
        <f>AVERAGE('31.07 NIMULE-GULU'!F25,'01.07 NIMULE-GULU'!F25,'02.07 NIMULE-GULU'!F25,'03.07 NIMULE-GULU'!F25,'04.07 NIMULE-GULU-24h'!F25,'05.07 NIMULE-GULU-24h'!F25,'06.07 NIMULE-GULU'!F25)</f>
        <v>0</v>
      </c>
      <c r="G25" s="49">
        <f>AVERAGE('31.07 NIMULE-GULU'!G25,'01.07 NIMULE-GULU'!G25,'02.07 NIMULE-GULU'!G25,'03.07 NIMULE-GULU'!G25,'04.07 NIMULE-GULU-24h'!G25,'05.07 NIMULE-GULU-24h'!G25,'06.07 NIMULE-GULU'!G25)</f>
        <v>0</v>
      </c>
      <c r="H25" s="49">
        <f>AVERAGE('31.07 NIMULE-GULU'!H25,'01.07 NIMULE-GULU'!H25,'02.07 NIMULE-GULU'!H25,'03.07 NIMULE-GULU'!H25,'04.07 NIMULE-GULU-24h'!H25,'05.07 NIMULE-GULU-24h'!H25,'06.07 NIMULE-GULU'!H25)</f>
        <v>0</v>
      </c>
      <c r="I25" s="49">
        <f>AVERAGE('31.07 NIMULE-GULU'!I25,'01.07 NIMULE-GULU'!I25,'02.07 NIMULE-GULU'!I25,'03.07 NIMULE-GULU'!I25,'04.07 NIMULE-GULU-24h'!I25,'05.07 NIMULE-GULU-24h'!I25,'06.07 NIMULE-GULU'!I25)</f>
        <v>0.14285714285714285</v>
      </c>
      <c r="J25" s="49">
        <f>AVERAGE('31.07 NIMULE-GULU'!J25,'01.07 NIMULE-GULU'!J25,'02.07 NIMULE-GULU'!J25,'03.07 NIMULE-GULU'!J25,'04.07 NIMULE-GULU-24h'!J25,'05.07 NIMULE-GULU-24h'!J25,'06.07 NIMULE-GULU'!J25)</f>
        <v>0</v>
      </c>
      <c r="K25" s="49">
        <f>AVERAGE('31.07 NIMULE-GULU'!K25,'01.07 NIMULE-GULU'!K25,'02.07 NIMULE-GULU'!K25,'03.07 NIMULE-GULU'!K25,'04.07 NIMULE-GULU-24h'!K25,'05.07 NIMULE-GULU-24h'!K25,'06.07 NIMULE-GULU'!K25)</f>
        <v>0</v>
      </c>
      <c r="L25" s="49">
        <f>AVERAGE('31.07 NIMULE-GULU'!L25,'01.07 NIMULE-GULU'!L25,'02.07 NIMULE-GULU'!L25,'03.07 NIMULE-GULU'!L25,'04.07 NIMULE-GULU-24h'!L25,'05.07 NIMULE-GULU-24h'!L25,'06.07 NIMULE-GULU'!L25)</f>
        <v>0.8571428571428571</v>
      </c>
      <c r="M25" s="49">
        <f>AVERAGE('31.07 NIMULE-GULU'!M25,'01.07 NIMULE-GULU'!M25,'02.07 NIMULE-GULU'!M25,'03.07 NIMULE-GULU'!M25,'04.07 NIMULE-GULU-24h'!M25,'05.07 NIMULE-GULU-24h'!M25,'06.07 NIMULE-GULU'!M25)</f>
        <v>8.7142857142857135</v>
      </c>
      <c r="N25" s="49">
        <f>AVERAGE('31.07 NIMULE-GULU'!N25,'01.07 NIMULE-GULU'!N25,'02.07 NIMULE-GULU'!N25,'03.07 NIMULE-GULU'!N25,'04.07 NIMULE-GULU-24h'!N25,'05.07 NIMULE-GULU-24h'!N25,'06.07 NIMULE-GULU'!N25)</f>
        <v>0</v>
      </c>
      <c r="O25" s="15">
        <f t="shared" si="0"/>
        <v>2.8571428571428572</v>
      </c>
      <c r="P25" s="15">
        <f t="shared" si="1"/>
        <v>11.571428571428571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23" t="s">
        <v>53</v>
      </c>
      <c r="C26" s="49">
        <f>AVERAGE('31.07 NIMULE-GULU'!C26,'01.07 NIMULE-GULU'!C26,'02.07 NIMULE-GULU'!C26,'03.07 NIMULE-GULU'!C26,'04.07 NIMULE-GULU-24h'!C26,'05.07 NIMULE-GULU-24h'!C26,'06.07 NIMULE-GULU'!C26)</f>
        <v>0.7142857142857143</v>
      </c>
      <c r="D26" s="49">
        <f>AVERAGE('31.07 NIMULE-GULU'!D26,'01.07 NIMULE-GULU'!D26,'02.07 NIMULE-GULU'!D26,'03.07 NIMULE-GULU'!D26,'04.07 NIMULE-GULU-24h'!D26,'05.07 NIMULE-GULU-24h'!D26,'06.07 NIMULE-GULU'!D26)</f>
        <v>0.2857142857142857</v>
      </c>
      <c r="E26" s="49">
        <f>AVERAGE('31.07 NIMULE-GULU'!E26,'01.07 NIMULE-GULU'!E26,'02.07 NIMULE-GULU'!E26,'03.07 NIMULE-GULU'!E26,'04.07 NIMULE-GULU-24h'!E26,'05.07 NIMULE-GULU-24h'!E26,'06.07 NIMULE-GULU'!E26)</f>
        <v>0.42857142857142855</v>
      </c>
      <c r="F26" s="49">
        <f>AVERAGE('31.07 NIMULE-GULU'!F26,'01.07 NIMULE-GULU'!F26,'02.07 NIMULE-GULU'!F26,'03.07 NIMULE-GULU'!F26,'04.07 NIMULE-GULU-24h'!F26,'05.07 NIMULE-GULU-24h'!F26,'06.07 NIMULE-GULU'!F26)</f>
        <v>0.14285714285714285</v>
      </c>
      <c r="G26" s="49">
        <f>AVERAGE('31.07 NIMULE-GULU'!G26,'01.07 NIMULE-GULU'!G26,'02.07 NIMULE-GULU'!G26,'03.07 NIMULE-GULU'!G26,'04.07 NIMULE-GULU-24h'!G26,'05.07 NIMULE-GULU-24h'!G26,'06.07 NIMULE-GULU'!G26)</f>
        <v>0</v>
      </c>
      <c r="H26" s="49">
        <f>AVERAGE('31.07 NIMULE-GULU'!H26,'01.07 NIMULE-GULU'!H26,'02.07 NIMULE-GULU'!H26,'03.07 NIMULE-GULU'!H26,'04.07 NIMULE-GULU-24h'!H26,'05.07 NIMULE-GULU-24h'!H26,'06.07 NIMULE-GULU'!H26)</f>
        <v>0</v>
      </c>
      <c r="I26" s="49">
        <f>AVERAGE('31.07 NIMULE-GULU'!I26,'01.07 NIMULE-GULU'!I26,'02.07 NIMULE-GULU'!I26,'03.07 NIMULE-GULU'!I26,'04.07 NIMULE-GULU-24h'!I26,'05.07 NIMULE-GULU-24h'!I26,'06.07 NIMULE-GULU'!I26)</f>
        <v>0.42857142857142855</v>
      </c>
      <c r="J26" s="49">
        <f>AVERAGE('31.07 NIMULE-GULU'!J26,'01.07 NIMULE-GULU'!J26,'02.07 NIMULE-GULU'!J26,'03.07 NIMULE-GULU'!J26,'04.07 NIMULE-GULU-24h'!J26,'05.07 NIMULE-GULU-24h'!J26,'06.07 NIMULE-GULU'!J26)</f>
        <v>0</v>
      </c>
      <c r="K26" s="49">
        <f>AVERAGE('31.07 NIMULE-GULU'!K26,'01.07 NIMULE-GULU'!K26,'02.07 NIMULE-GULU'!K26,'03.07 NIMULE-GULU'!K26,'04.07 NIMULE-GULU-24h'!K26,'05.07 NIMULE-GULU-24h'!K26,'06.07 NIMULE-GULU'!K26)</f>
        <v>0</v>
      </c>
      <c r="L26" s="49">
        <f>AVERAGE('31.07 NIMULE-GULU'!L26,'01.07 NIMULE-GULU'!L26,'02.07 NIMULE-GULU'!L26,'03.07 NIMULE-GULU'!L26,'04.07 NIMULE-GULU-24h'!L26,'05.07 NIMULE-GULU-24h'!L26,'06.07 NIMULE-GULU'!L26)</f>
        <v>1.7142857142857142</v>
      </c>
      <c r="M26" s="49">
        <f>AVERAGE('31.07 NIMULE-GULU'!M26,'01.07 NIMULE-GULU'!M26,'02.07 NIMULE-GULU'!M26,'03.07 NIMULE-GULU'!M26,'04.07 NIMULE-GULU-24h'!M26,'05.07 NIMULE-GULU-24h'!M26,'06.07 NIMULE-GULU'!M26)</f>
        <v>10.428571428571429</v>
      </c>
      <c r="N26" s="49">
        <f>AVERAGE('31.07 NIMULE-GULU'!N26,'01.07 NIMULE-GULU'!N26,'02.07 NIMULE-GULU'!N26,'03.07 NIMULE-GULU'!N26,'04.07 NIMULE-GULU-24h'!N26,'05.07 NIMULE-GULU-24h'!N26,'06.07 NIMULE-GULU'!N26)</f>
        <v>0</v>
      </c>
      <c r="O26" s="15">
        <f t="shared" si="0"/>
        <v>3.7142857142857144</v>
      </c>
      <c r="P26" s="15">
        <f t="shared" si="1"/>
        <v>14.142857142857142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23" t="s">
        <v>54</v>
      </c>
      <c r="C27" s="49">
        <f>AVERAGE('31.07 NIMULE-GULU'!C27,'01.07 NIMULE-GULU'!C27,'02.07 NIMULE-GULU'!C27,'03.07 NIMULE-GULU'!C27,'04.07 NIMULE-GULU-24h'!C27,'05.07 NIMULE-GULU-24h'!C27,'06.07 NIMULE-GULU'!C27)</f>
        <v>0.2857142857142857</v>
      </c>
      <c r="D27" s="49">
        <f>AVERAGE('31.07 NIMULE-GULU'!D27,'01.07 NIMULE-GULU'!D27,'02.07 NIMULE-GULU'!D27,'03.07 NIMULE-GULU'!D27,'04.07 NIMULE-GULU-24h'!D27,'05.07 NIMULE-GULU-24h'!D27,'06.07 NIMULE-GULU'!D27)</f>
        <v>0.14285714285714285</v>
      </c>
      <c r="E27" s="49">
        <f>AVERAGE('31.07 NIMULE-GULU'!E27,'01.07 NIMULE-GULU'!E27,'02.07 NIMULE-GULU'!E27,'03.07 NIMULE-GULU'!E27,'04.07 NIMULE-GULU-24h'!E27,'05.07 NIMULE-GULU-24h'!E27,'06.07 NIMULE-GULU'!E27)</f>
        <v>0.2857142857142857</v>
      </c>
      <c r="F27" s="49">
        <f>AVERAGE('31.07 NIMULE-GULU'!F27,'01.07 NIMULE-GULU'!F27,'02.07 NIMULE-GULU'!F27,'03.07 NIMULE-GULU'!F27,'04.07 NIMULE-GULU-24h'!F27,'05.07 NIMULE-GULU-24h'!F27,'06.07 NIMULE-GULU'!F27)</f>
        <v>0</v>
      </c>
      <c r="G27" s="49">
        <f>AVERAGE('31.07 NIMULE-GULU'!G27,'01.07 NIMULE-GULU'!G27,'02.07 NIMULE-GULU'!G27,'03.07 NIMULE-GULU'!G27,'04.07 NIMULE-GULU-24h'!G27,'05.07 NIMULE-GULU-24h'!G27,'06.07 NIMULE-GULU'!G27)</f>
        <v>0</v>
      </c>
      <c r="H27" s="49">
        <f>AVERAGE('31.07 NIMULE-GULU'!H27,'01.07 NIMULE-GULU'!H27,'02.07 NIMULE-GULU'!H27,'03.07 NIMULE-GULU'!H27,'04.07 NIMULE-GULU-24h'!H27,'05.07 NIMULE-GULU-24h'!H27,'06.07 NIMULE-GULU'!H27)</f>
        <v>0</v>
      </c>
      <c r="I27" s="49">
        <f>AVERAGE('31.07 NIMULE-GULU'!I27,'01.07 NIMULE-GULU'!I27,'02.07 NIMULE-GULU'!I27,'03.07 NIMULE-GULU'!I27,'04.07 NIMULE-GULU-24h'!I27,'05.07 NIMULE-GULU-24h'!I27,'06.07 NIMULE-GULU'!I27)</f>
        <v>0.2857142857142857</v>
      </c>
      <c r="J27" s="49">
        <f>AVERAGE('31.07 NIMULE-GULU'!J27,'01.07 NIMULE-GULU'!J27,'02.07 NIMULE-GULU'!J27,'03.07 NIMULE-GULU'!J27,'04.07 NIMULE-GULU-24h'!J27,'05.07 NIMULE-GULU-24h'!J27,'06.07 NIMULE-GULU'!J27)</f>
        <v>0.14285714285714285</v>
      </c>
      <c r="K27" s="49">
        <f>AVERAGE('31.07 NIMULE-GULU'!K27,'01.07 NIMULE-GULU'!K27,'02.07 NIMULE-GULU'!K27,'03.07 NIMULE-GULU'!K27,'04.07 NIMULE-GULU-24h'!K27,'05.07 NIMULE-GULU-24h'!K27,'06.07 NIMULE-GULU'!K27)</f>
        <v>0.14285714285714285</v>
      </c>
      <c r="L27" s="49">
        <f>AVERAGE('31.07 NIMULE-GULU'!L27,'01.07 NIMULE-GULU'!L27,'02.07 NIMULE-GULU'!L27,'03.07 NIMULE-GULU'!L27,'04.07 NIMULE-GULU-24h'!L27,'05.07 NIMULE-GULU-24h'!L27,'06.07 NIMULE-GULU'!L27)</f>
        <v>2</v>
      </c>
      <c r="M27" s="49">
        <f>AVERAGE('31.07 NIMULE-GULU'!M27,'01.07 NIMULE-GULU'!M27,'02.07 NIMULE-GULU'!M27,'03.07 NIMULE-GULU'!M27,'04.07 NIMULE-GULU-24h'!M27,'05.07 NIMULE-GULU-24h'!M27,'06.07 NIMULE-GULU'!M27)</f>
        <v>6.2857142857142856</v>
      </c>
      <c r="N27" s="49">
        <f>AVERAGE('31.07 NIMULE-GULU'!N27,'01.07 NIMULE-GULU'!N27,'02.07 NIMULE-GULU'!N27,'03.07 NIMULE-GULU'!N27,'04.07 NIMULE-GULU-24h'!N27,'05.07 NIMULE-GULU-24h'!N27,'06.07 NIMULE-GULU'!N27)</f>
        <v>0</v>
      </c>
      <c r="O27" s="15">
        <f t="shared" si="0"/>
        <v>3.2857142857142856</v>
      </c>
      <c r="P27" s="15">
        <f t="shared" si="1"/>
        <v>9.5714285714285712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AVERAGE('31.07 NIMULE-GULU'!C28,'01.07 NIMULE-GULU'!C28,'02.07 NIMULE-GULU'!C28,'03.07 NIMULE-GULU'!C28,'04.07 NIMULE-GULU-24h'!C28,'05.07 NIMULE-GULU-24h'!C28,'06.07 NIMULE-GULU'!C28)</f>
        <v>1.2857142857142858</v>
      </c>
      <c r="D28" s="49">
        <f>AVERAGE('31.07 NIMULE-GULU'!D28,'01.07 NIMULE-GULU'!D28,'02.07 NIMULE-GULU'!D28,'03.07 NIMULE-GULU'!D28,'04.07 NIMULE-GULU-24h'!D28,'05.07 NIMULE-GULU-24h'!D28,'06.07 NIMULE-GULU'!D28)</f>
        <v>0.14285714285714285</v>
      </c>
      <c r="E28" s="49">
        <f>AVERAGE('31.07 NIMULE-GULU'!E28,'01.07 NIMULE-GULU'!E28,'02.07 NIMULE-GULU'!E28,'03.07 NIMULE-GULU'!E28,'04.07 NIMULE-GULU-24h'!E28,'05.07 NIMULE-GULU-24h'!E28,'06.07 NIMULE-GULU'!E28)</f>
        <v>0.5714285714285714</v>
      </c>
      <c r="F28" s="49">
        <f>AVERAGE('31.07 NIMULE-GULU'!F28,'01.07 NIMULE-GULU'!F28,'02.07 NIMULE-GULU'!F28,'03.07 NIMULE-GULU'!F28,'04.07 NIMULE-GULU-24h'!F28,'05.07 NIMULE-GULU-24h'!F28,'06.07 NIMULE-GULU'!F28)</f>
        <v>0</v>
      </c>
      <c r="G28" s="49">
        <f>AVERAGE('31.07 NIMULE-GULU'!G28,'01.07 NIMULE-GULU'!G28,'02.07 NIMULE-GULU'!G28,'03.07 NIMULE-GULU'!G28,'04.07 NIMULE-GULU-24h'!G28,'05.07 NIMULE-GULU-24h'!G28,'06.07 NIMULE-GULU'!G28)</f>
        <v>0</v>
      </c>
      <c r="H28" s="49">
        <f>AVERAGE('31.07 NIMULE-GULU'!H28,'01.07 NIMULE-GULU'!H28,'02.07 NIMULE-GULU'!H28,'03.07 NIMULE-GULU'!H28,'04.07 NIMULE-GULU-24h'!H28,'05.07 NIMULE-GULU-24h'!H28,'06.07 NIMULE-GULU'!H28)</f>
        <v>0</v>
      </c>
      <c r="I28" s="49">
        <f>AVERAGE('31.07 NIMULE-GULU'!I28,'01.07 NIMULE-GULU'!I28,'02.07 NIMULE-GULU'!I28,'03.07 NIMULE-GULU'!I28,'04.07 NIMULE-GULU-24h'!I28,'05.07 NIMULE-GULU-24h'!I28,'06.07 NIMULE-GULU'!I28)</f>
        <v>0.2857142857142857</v>
      </c>
      <c r="J28" s="49">
        <f>AVERAGE('31.07 NIMULE-GULU'!J28,'01.07 NIMULE-GULU'!J28,'02.07 NIMULE-GULU'!J28,'03.07 NIMULE-GULU'!J28,'04.07 NIMULE-GULU-24h'!J28,'05.07 NIMULE-GULU-24h'!J28,'06.07 NIMULE-GULU'!J28)</f>
        <v>0</v>
      </c>
      <c r="K28" s="49">
        <f>AVERAGE('31.07 NIMULE-GULU'!K28,'01.07 NIMULE-GULU'!K28,'02.07 NIMULE-GULU'!K28,'03.07 NIMULE-GULU'!K28,'04.07 NIMULE-GULU-24h'!K28,'05.07 NIMULE-GULU-24h'!K28,'06.07 NIMULE-GULU'!K28)</f>
        <v>0</v>
      </c>
      <c r="L28" s="49">
        <f>AVERAGE('31.07 NIMULE-GULU'!L28,'01.07 NIMULE-GULU'!L28,'02.07 NIMULE-GULU'!L28,'03.07 NIMULE-GULU'!L28,'04.07 NIMULE-GULU-24h'!L28,'05.07 NIMULE-GULU-24h'!L28,'06.07 NIMULE-GULU'!L28)</f>
        <v>0.42857142857142855</v>
      </c>
      <c r="M28" s="49">
        <f>AVERAGE('31.07 NIMULE-GULU'!M28,'01.07 NIMULE-GULU'!M28,'02.07 NIMULE-GULU'!M28,'03.07 NIMULE-GULU'!M28,'04.07 NIMULE-GULU-24h'!M28,'05.07 NIMULE-GULU-24h'!M28,'06.07 NIMULE-GULU'!M28)</f>
        <v>9.8571428571428577</v>
      </c>
      <c r="N28" s="49">
        <f>AVERAGE('31.07 NIMULE-GULU'!N28,'01.07 NIMULE-GULU'!N28,'02.07 NIMULE-GULU'!N28,'03.07 NIMULE-GULU'!N28,'04.07 NIMULE-GULU-24h'!N28,'05.07 NIMULE-GULU-24h'!N28,'06.07 NIMULE-GULU'!N28)</f>
        <v>0</v>
      </c>
      <c r="O28" s="15">
        <f t="shared" si="0"/>
        <v>2.714285714285714</v>
      </c>
      <c r="P28" s="15">
        <f t="shared" si="1"/>
        <v>12.571428571428571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AVERAGE('31.07 NIMULE-GULU'!C29,'01.07 NIMULE-GULU'!C29,'02.07 NIMULE-GULU'!C29,'03.07 NIMULE-GULU'!C29,'04.07 NIMULE-GULU-24h'!C29,'05.07 NIMULE-GULU-24h'!C29,'06.07 NIMULE-GULU'!C29)</f>
        <v>0.42857142857142855</v>
      </c>
      <c r="D29" s="49">
        <f>AVERAGE('31.07 NIMULE-GULU'!D29,'01.07 NIMULE-GULU'!D29,'02.07 NIMULE-GULU'!D29,'03.07 NIMULE-GULU'!D29,'04.07 NIMULE-GULU-24h'!D29,'05.07 NIMULE-GULU-24h'!D29,'06.07 NIMULE-GULU'!D29)</f>
        <v>0.14285714285714285</v>
      </c>
      <c r="E29" s="49">
        <f>AVERAGE('31.07 NIMULE-GULU'!E29,'01.07 NIMULE-GULU'!E29,'02.07 NIMULE-GULU'!E29,'03.07 NIMULE-GULU'!E29,'04.07 NIMULE-GULU-24h'!E29,'05.07 NIMULE-GULU-24h'!E29,'06.07 NIMULE-GULU'!E29)</f>
        <v>0.7142857142857143</v>
      </c>
      <c r="F29" s="49">
        <f>AVERAGE('31.07 NIMULE-GULU'!F29,'01.07 NIMULE-GULU'!F29,'02.07 NIMULE-GULU'!F29,'03.07 NIMULE-GULU'!F29,'04.07 NIMULE-GULU-24h'!F29,'05.07 NIMULE-GULU-24h'!F29,'06.07 NIMULE-GULU'!F29)</f>
        <v>0</v>
      </c>
      <c r="G29" s="49">
        <f>AVERAGE('31.07 NIMULE-GULU'!G29,'01.07 NIMULE-GULU'!G29,'02.07 NIMULE-GULU'!G29,'03.07 NIMULE-GULU'!G29,'04.07 NIMULE-GULU-24h'!G29,'05.07 NIMULE-GULU-24h'!G29,'06.07 NIMULE-GULU'!G29)</f>
        <v>0</v>
      </c>
      <c r="H29" s="49">
        <f>AVERAGE('31.07 NIMULE-GULU'!H29,'01.07 NIMULE-GULU'!H29,'02.07 NIMULE-GULU'!H29,'03.07 NIMULE-GULU'!H29,'04.07 NIMULE-GULU-24h'!H29,'05.07 NIMULE-GULU-24h'!H29,'06.07 NIMULE-GULU'!H29)</f>
        <v>0</v>
      </c>
      <c r="I29" s="49">
        <f>AVERAGE('31.07 NIMULE-GULU'!I29,'01.07 NIMULE-GULU'!I29,'02.07 NIMULE-GULU'!I29,'03.07 NIMULE-GULU'!I29,'04.07 NIMULE-GULU-24h'!I29,'05.07 NIMULE-GULU-24h'!I29,'06.07 NIMULE-GULU'!I29)</f>
        <v>0.42857142857142855</v>
      </c>
      <c r="J29" s="49">
        <f>AVERAGE('31.07 NIMULE-GULU'!J29,'01.07 NIMULE-GULU'!J29,'02.07 NIMULE-GULU'!J29,'03.07 NIMULE-GULU'!J29,'04.07 NIMULE-GULU-24h'!J29,'05.07 NIMULE-GULU-24h'!J29,'06.07 NIMULE-GULU'!J29)</f>
        <v>0</v>
      </c>
      <c r="K29" s="49">
        <f>AVERAGE('31.07 NIMULE-GULU'!K29,'01.07 NIMULE-GULU'!K29,'02.07 NIMULE-GULU'!K29,'03.07 NIMULE-GULU'!K29,'04.07 NIMULE-GULU-24h'!K29,'05.07 NIMULE-GULU-24h'!K29,'06.07 NIMULE-GULU'!K29)</f>
        <v>0</v>
      </c>
      <c r="L29" s="49">
        <f>AVERAGE('31.07 NIMULE-GULU'!L29,'01.07 NIMULE-GULU'!L29,'02.07 NIMULE-GULU'!L29,'03.07 NIMULE-GULU'!L29,'04.07 NIMULE-GULU-24h'!L29,'05.07 NIMULE-GULU-24h'!L29,'06.07 NIMULE-GULU'!L29)</f>
        <v>2</v>
      </c>
      <c r="M29" s="49">
        <f>AVERAGE('31.07 NIMULE-GULU'!M29,'01.07 NIMULE-GULU'!M29,'02.07 NIMULE-GULU'!M29,'03.07 NIMULE-GULU'!M29,'04.07 NIMULE-GULU-24h'!M29,'05.07 NIMULE-GULU-24h'!M29,'06.07 NIMULE-GULU'!M29)</f>
        <v>4.8571428571428568</v>
      </c>
      <c r="N29" s="49">
        <f>AVERAGE('31.07 NIMULE-GULU'!N29,'01.07 NIMULE-GULU'!N29,'02.07 NIMULE-GULU'!N29,'03.07 NIMULE-GULU'!N29,'04.07 NIMULE-GULU-24h'!N29,'05.07 NIMULE-GULU-24h'!N29,'06.07 NIMULE-GULU'!N29)</f>
        <v>0</v>
      </c>
      <c r="O29" s="15">
        <f t="shared" si="0"/>
        <v>3.7142857142857144</v>
      </c>
      <c r="P29" s="15">
        <f t="shared" si="1"/>
        <v>8.5714285714285712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AVERAGE('31.07 NIMULE-GULU'!C30,'01.07 NIMULE-GULU'!C30,'02.07 NIMULE-GULU'!C30,'03.07 NIMULE-GULU'!C30,'04.07 NIMULE-GULU-24h'!C30,'05.07 NIMULE-GULU-24h'!C30,'06.07 NIMULE-GULU'!C30)</f>
        <v>0.7142857142857143</v>
      </c>
      <c r="D30" s="49">
        <f>AVERAGE('31.07 NIMULE-GULU'!D30,'01.07 NIMULE-GULU'!D30,'02.07 NIMULE-GULU'!D30,'03.07 NIMULE-GULU'!D30,'04.07 NIMULE-GULU-24h'!D30,'05.07 NIMULE-GULU-24h'!D30,'06.07 NIMULE-GULU'!D30)</f>
        <v>0.7142857142857143</v>
      </c>
      <c r="E30" s="49">
        <f>AVERAGE('31.07 NIMULE-GULU'!E30,'01.07 NIMULE-GULU'!E30,'02.07 NIMULE-GULU'!E30,'03.07 NIMULE-GULU'!E30,'04.07 NIMULE-GULU-24h'!E30,'05.07 NIMULE-GULU-24h'!E30,'06.07 NIMULE-GULU'!E30)</f>
        <v>1.1428571428571428</v>
      </c>
      <c r="F30" s="49">
        <f>AVERAGE('31.07 NIMULE-GULU'!F30,'01.07 NIMULE-GULU'!F30,'02.07 NIMULE-GULU'!F30,'03.07 NIMULE-GULU'!F30,'04.07 NIMULE-GULU-24h'!F30,'05.07 NIMULE-GULU-24h'!F30,'06.07 NIMULE-GULU'!F30)</f>
        <v>0</v>
      </c>
      <c r="G30" s="49">
        <f>AVERAGE('31.07 NIMULE-GULU'!G30,'01.07 NIMULE-GULU'!G30,'02.07 NIMULE-GULU'!G30,'03.07 NIMULE-GULU'!G30,'04.07 NIMULE-GULU-24h'!G30,'05.07 NIMULE-GULU-24h'!G30,'06.07 NIMULE-GULU'!G30)</f>
        <v>0</v>
      </c>
      <c r="H30" s="49">
        <f>AVERAGE('31.07 NIMULE-GULU'!H30,'01.07 NIMULE-GULU'!H30,'02.07 NIMULE-GULU'!H30,'03.07 NIMULE-GULU'!H30,'04.07 NIMULE-GULU-24h'!H30,'05.07 NIMULE-GULU-24h'!H30,'06.07 NIMULE-GULU'!H30)</f>
        <v>0</v>
      </c>
      <c r="I30" s="49">
        <f>AVERAGE('31.07 NIMULE-GULU'!I30,'01.07 NIMULE-GULU'!I30,'02.07 NIMULE-GULU'!I30,'03.07 NIMULE-GULU'!I30,'04.07 NIMULE-GULU-24h'!I30,'05.07 NIMULE-GULU-24h'!I30,'06.07 NIMULE-GULU'!I30)</f>
        <v>0.42857142857142855</v>
      </c>
      <c r="J30" s="49">
        <f>AVERAGE('31.07 NIMULE-GULU'!J30,'01.07 NIMULE-GULU'!J30,'02.07 NIMULE-GULU'!J30,'03.07 NIMULE-GULU'!J30,'04.07 NIMULE-GULU-24h'!J30,'05.07 NIMULE-GULU-24h'!J30,'06.07 NIMULE-GULU'!J30)</f>
        <v>0</v>
      </c>
      <c r="K30" s="49">
        <f>AVERAGE('31.07 NIMULE-GULU'!K30,'01.07 NIMULE-GULU'!K30,'02.07 NIMULE-GULU'!K30,'03.07 NIMULE-GULU'!K30,'04.07 NIMULE-GULU-24h'!K30,'05.07 NIMULE-GULU-24h'!K30,'06.07 NIMULE-GULU'!K30)</f>
        <v>0</v>
      </c>
      <c r="L30" s="49">
        <f>AVERAGE('31.07 NIMULE-GULU'!L30,'01.07 NIMULE-GULU'!L30,'02.07 NIMULE-GULU'!L30,'03.07 NIMULE-GULU'!L30,'04.07 NIMULE-GULU-24h'!L30,'05.07 NIMULE-GULU-24h'!L30,'06.07 NIMULE-GULU'!L30)</f>
        <v>2.2857142857142856</v>
      </c>
      <c r="M30" s="49">
        <f>AVERAGE('31.07 NIMULE-GULU'!M30,'01.07 NIMULE-GULU'!M30,'02.07 NIMULE-GULU'!M30,'03.07 NIMULE-GULU'!M30,'04.07 NIMULE-GULU-24h'!M30,'05.07 NIMULE-GULU-24h'!M30,'06.07 NIMULE-GULU'!M30)</f>
        <v>7.4285714285714288</v>
      </c>
      <c r="N30" s="49">
        <f>AVERAGE('31.07 NIMULE-GULU'!N30,'01.07 NIMULE-GULU'!N30,'02.07 NIMULE-GULU'!N30,'03.07 NIMULE-GULU'!N30,'04.07 NIMULE-GULU-24h'!N30,'05.07 NIMULE-GULU-24h'!N30,'06.07 NIMULE-GULU'!N30)</f>
        <v>0</v>
      </c>
      <c r="O30" s="15">
        <f t="shared" si="0"/>
        <v>5.2857142857142847</v>
      </c>
      <c r="P30" s="15">
        <f t="shared" si="1"/>
        <v>12.714285714285714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AVERAGE('31.07 NIMULE-GULU'!C31,'01.07 NIMULE-GULU'!C31,'02.07 NIMULE-GULU'!C31,'03.07 NIMULE-GULU'!C31,'04.07 NIMULE-GULU-24h'!C31,'05.07 NIMULE-GULU-24h'!C31,'06.07 NIMULE-GULU'!C31)</f>
        <v>0.7142857142857143</v>
      </c>
      <c r="D31" s="49">
        <f>AVERAGE('31.07 NIMULE-GULU'!D31,'01.07 NIMULE-GULU'!D31,'02.07 NIMULE-GULU'!D31,'03.07 NIMULE-GULU'!D31,'04.07 NIMULE-GULU-24h'!D31,'05.07 NIMULE-GULU-24h'!D31,'06.07 NIMULE-GULU'!D31)</f>
        <v>0.14285714285714285</v>
      </c>
      <c r="E31" s="49">
        <f>AVERAGE('31.07 NIMULE-GULU'!E31,'01.07 NIMULE-GULU'!E31,'02.07 NIMULE-GULU'!E31,'03.07 NIMULE-GULU'!E31,'04.07 NIMULE-GULU-24h'!E31,'05.07 NIMULE-GULU-24h'!E31,'06.07 NIMULE-GULU'!E31)</f>
        <v>0.5714285714285714</v>
      </c>
      <c r="F31" s="49">
        <f>AVERAGE('31.07 NIMULE-GULU'!F31,'01.07 NIMULE-GULU'!F31,'02.07 NIMULE-GULU'!F31,'03.07 NIMULE-GULU'!F31,'04.07 NIMULE-GULU-24h'!F31,'05.07 NIMULE-GULU-24h'!F31,'06.07 NIMULE-GULU'!F31)</f>
        <v>0.14285714285714285</v>
      </c>
      <c r="G31" s="49">
        <f>AVERAGE('31.07 NIMULE-GULU'!G31,'01.07 NIMULE-GULU'!G31,'02.07 NIMULE-GULU'!G31,'03.07 NIMULE-GULU'!G31,'04.07 NIMULE-GULU-24h'!G31,'05.07 NIMULE-GULU-24h'!G31,'06.07 NIMULE-GULU'!G31)</f>
        <v>0</v>
      </c>
      <c r="H31" s="49">
        <f>AVERAGE('31.07 NIMULE-GULU'!H31,'01.07 NIMULE-GULU'!H31,'02.07 NIMULE-GULU'!H31,'03.07 NIMULE-GULU'!H31,'04.07 NIMULE-GULU-24h'!H31,'05.07 NIMULE-GULU-24h'!H31,'06.07 NIMULE-GULU'!H31)</f>
        <v>0</v>
      </c>
      <c r="I31" s="49">
        <f>AVERAGE('31.07 NIMULE-GULU'!I31,'01.07 NIMULE-GULU'!I31,'02.07 NIMULE-GULU'!I31,'03.07 NIMULE-GULU'!I31,'04.07 NIMULE-GULU-24h'!I31,'05.07 NIMULE-GULU-24h'!I31,'06.07 NIMULE-GULU'!I31)</f>
        <v>0.8571428571428571</v>
      </c>
      <c r="J31" s="49">
        <f>AVERAGE('31.07 NIMULE-GULU'!J31,'01.07 NIMULE-GULU'!J31,'02.07 NIMULE-GULU'!J31,'03.07 NIMULE-GULU'!J31,'04.07 NIMULE-GULU-24h'!J31,'05.07 NIMULE-GULU-24h'!J31,'06.07 NIMULE-GULU'!J31)</f>
        <v>0.14285714285714285</v>
      </c>
      <c r="K31" s="49">
        <f>AVERAGE('31.07 NIMULE-GULU'!K31,'01.07 NIMULE-GULU'!K31,'02.07 NIMULE-GULU'!K31,'03.07 NIMULE-GULU'!K31,'04.07 NIMULE-GULU-24h'!K31,'05.07 NIMULE-GULU-24h'!K31,'06.07 NIMULE-GULU'!K31)</f>
        <v>0</v>
      </c>
      <c r="L31" s="49">
        <f>AVERAGE('31.07 NIMULE-GULU'!L31,'01.07 NIMULE-GULU'!L31,'02.07 NIMULE-GULU'!L31,'03.07 NIMULE-GULU'!L31,'04.07 NIMULE-GULU-24h'!L31,'05.07 NIMULE-GULU-24h'!L31,'06.07 NIMULE-GULU'!L31)</f>
        <v>2.1428571428571428</v>
      </c>
      <c r="M31" s="49">
        <f>AVERAGE('31.07 NIMULE-GULU'!M31,'01.07 NIMULE-GULU'!M31,'02.07 NIMULE-GULU'!M31,'03.07 NIMULE-GULU'!M31,'04.07 NIMULE-GULU-24h'!M31,'05.07 NIMULE-GULU-24h'!M31,'06.07 NIMULE-GULU'!M31)</f>
        <v>5.2857142857142856</v>
      </c>
      <c r="N31" s="49">
        <f>AVERAGE('31.07 NIMULE-GULU'!N31,'01.07 NIMULE-GULU'!N31,'02.07 NIMULE-GULU'!N31,'03.07 NIMULE-GULU'!N31,'04.07 NIMULE-GULU-24h'!N31,'05.07 NIMULE-GULU-24h'!N31,'06.07 NIMULE-GULU'!N31)</f>
        <v>0</v>
      </c>
      <c r="O31" s="15">
        <f t="shared" si="0"/>
        <v>4.7142857142857135</v>
      </c>
      <c r="P31" s="15">
        <f t="shared" si="1"/>
        <v>10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AVERAGE('31.07 NIMULE-GULU'!C32,'01.07 NIMULE-GULU'!C32,'02.07 NIMULE-GULU'!C32,'03.07 NIMULE-GULU'!C32,'04.07 NIMULE-GULU-24h'!C32,'05.07 NIMULE-GULU-24h'!C32,'06.07 NIMULE-GULU'!C32)</f>
        <v>1</v>
      </c>
      <c r="D32" s="49">
        <f>AVERAGE('31.07 NIMULE-GULU'!D32,'01.07 NIMULE-GULU'!D32,'02.07 NIMULE-GULU'!D32,'03.07 NIMULE-GULU'!D32,'04.07 NIMULE-GULU-24h'!D32,'05.07 NIMULE-GULU-24h'!D32,'06.07 NIMULE-GULU'!D32)</f>
        <v>0</v>
      </c>
      <c r="E32" s="49">
        <f>AVERAGE('31.07 NIMULE-GULU'!E32,'01.07 NIMULE-GULU'!E32,'02.07 NIMULE-GULU'!E32,'03.07 NIMULE-GULU'!E32,'04.07 NIMULE-GULU-24h'!E32,'05.07 NIMULE-GULU-24h'!E32,'06.07 NIMULE-GULU'!E32)</f>
        <v>0.5714285714285714</v>
      </c>
      <c r="F32" s="49">
        <f>AVERAGE('31.07 NIMULE-GULU'!F32,'01.07 NIMULE-GULU'!F32,'02.07 NIMULE-GULU'!F32,'03.07 NIMULE-GULU'!F32,'04.07 NIMULE-GULU-24h'!F32,'05.07 NIMULE-GULU-24h'!F32,'06.07 NIMULE-GULU'!F32)</f>
        <v>0.2857142857142857</v>
      </c>
      <c r="G32" s="49">
        <f>AVERAGE('31.07 NIMULE-GULU'!G32,'01.07 NIMULE-GULU'!G32,'02.07 NIMULE-GULU'!G32,'03.07 NIMULE-GULU'!G32,'04.07 NIMULE-GULU-24h'!G32,'05.07 NIMULE-GULU-24h'!G32,'06.07 NIMULE-GULU'!G32)</f>
        <v>0.2857142857142857</v>
      </c>
      <c r="H32" s="49">
        <f>AVERAGE('31.07 NIMULE-GULU'!H32,'01.07 NIMULE-GULU'!H32,'02.07 NIMULE-GULU'!H32,'03.07 NIMULE-GULU'!H32,'04.07 NIMULE-GULU-24h'!H32,'05.07 NIMULE-GULU-24h'!H32,'06.07 NIMULE-GULU'!H32)</f>
        <v>0</v>
      </c>
      <c r="I32" s="49">
        <f>AVERAGE('31.07 NIMULE-GULU'!I32,'01.07 NIMULE-GULU'!I32,'02.07 NIMULE-GULU'!I32,'03.07 NIMULE-GULU'!I32,'04.07 NIMULE-GULU-24h'!I32,'05.07 NIMULE-GULU-24h'!I32,'06.07 NIMULE-GULU'!I32)</f>
        <v>0.42857142857142855</v>
      </c>
      <c r="J32" s="49">
        <f>AVERAGE('31.07 NIMULE-GULU'!J32,'01.07 NIMULE-GULU'!J32,'02.07 NIMULE-GULU'!J32,'03.07 NIMULE-GULU'!J32,'04.07 NIMULE-GULU-24h'!J32,'05.07 NIMULE-GULU-24h'!J32,'06.07 NIMULE-GULU'!J32)</f>
        <v>0.14285714285714285</v>
      </c>
      <c r="K32" s="49">
        <f>AVERAGE('31.07 NIMULE-GULU'!K32,'01.07 NIMULE-GULU'!K32,'02.07 NIMULE-GULU'!K32,'03.07 NIMULE-GULU'!K32,'04.07 NIMULE-GULU-24h'!K32,'05.07 NIMULE-GULU-24h'!K32,'06.07 NIMULE-GULU'!K32)</f>
        <v>0</v>
      </c>
      <c r="L32" s="49">
        <f>AVERAGE('31.07 NIMULE-GULU'!L32,'01.07 NIMULE-GULU'!L32,'02.07 NIMULE-GULU'!L32,'03.07 NIMULE-GULU'!L32,'04.07 NIMULE-GULU-24h'!L32,'05.07 NIMULE-GULU-24h'!L32,'06.07 NIMULE-GULU'!L32)</f>
        <v>1.5714285714285714</v>
      </c>
      <c r="M32" s="49">
        <f>AVERAGE('31.07 NIMULE-GULU'!M32,'01.07 NIMULE-GULU'!M32,'02.07 NIMULE-GULU'!M32,'03.07 NIMULE-GULU'!M32,'04.07 NIMULE-GULU-24h'!M32,'05.07 NIMULE-GULU-24h'!M32,'06.07 NIMULE-GULU'!M32)</f>
        <v>6</v>
      </c>
      <c r="N32" s="49">
        <f>AVERAGE('31.07 NIMULE-GULU'!N32,'01.07 NIMULE-GULU'!N32,'02.07 NIMULE-GULU'!N32,'03.07 NIMULE-GULU'!N32,'04.07 NIMULE-GULU-24h'!N32,'05.07 NIMULE-GULU-24h'!N32,'06.07 NIMULE-GULU'!N32)</f>
        <v>0</v>
      </c>
      <c r="O32" s="15">
        <f t="shared" si="0"/>
        <v>4.2857142857142856</v>
      </c>
      <c r="P32" s="15">
        <f t="shared" si="1"/>
        <v>10.285714285714285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23" t="s">
        <v>60</v>
      </c>
      <c r="C33" s="49">
        <f>AVERAGE('31.07 NIMULE-GULU'!C33,'01.07 NIMULE-GULU'!C33,'02.07 NIMULE-GULU'!C33,'03.07 NIMULE-GULU'!C33,'04.07 NIMULE-GULU-24h'!C33,'05.07 NIMULE-GULU-24h'!C33,'06.07 NIMULE-GULU'!C33)</f>
        <v>1</v>
      </c>
      <c r="D33" s="49">
        <f>AVERAGE('31.07 NIMULE-GULU'!D33,'01.07 NIMULE-GULU'!D33,'02.07 NIMULE-GULU'!D33,'03.07 NIMULE-GULU'!D33,'04.07 NIMULE-GULU-24h'!D33,'05.07 NIMULE-GULU-24h'!D33,'06.07 NIMULE-GULU'!D33)</f>
        <v>0.42857142857142855</v>
      </c>
      <c r="E33" s="49">
        <f>AVERAGE('31.07 NIMULE-GULU'!E33,'01.07 NIMULE-GULU'!E33,'02.07 NIMULE-GULU'!E33,'03.07 NIMULE-GULU'!E33,'04.07 NIMULE-GULU-24h'!E33,'05.07 NIMULE-GULU-24h'!E33,'06.07 NIMULE-GULU'!E33)</f>
        <v>0.42857142857142855</v>
      </c>
      <c r="F33" s="49">
        <f>AVERAGE('31.07 NIMULE-GULU'!F33,'01.07 NIMULE-GULU'!F33,'02.07 NIMULE-GULU'!F33,'03.07 NIMULE-GULU'!F33,'04.07 NIMULE-GULU-24h'!F33,'05.07 NIMULE-GULU-24h'!F33,'06.07 NIMULE-GULU'!F33)</f>
        <v>0</v>
      </c>
      <c r="G33" s="49">
        <f>AVERAGE('31.07 NIMULE-GULU'!G33,'01.07 NIMULE-GULU'!G33,'02.07 NIMULE-GULU'!G33,'03.07 NIMULE-GULU'!G33,'04.07 NIMULE-GULU-24h'!G33,'05.07 NIMULE-GULU-24h'!G33,'06.07 NIMULE-GULU'!G33)</f>
        <v>0</v>
      </c>
      <c r="H33" s="49">
        <f>AVERAGE('31.07 NIMULE-GULU'!H33,'01.07 NIMULE-GULU'!H33,'02.07 NIMULE-GULU'!H33,'03.07 NIMULE-GULU'!H33,'04.07 NIMULE-GULU-24h'!H33,'05.07 NIMULE-GULU-24h'!H33,'06.07 NIMULE-GULU'!H33)</f>
        <v>0</v>
      </c>
      <c r="I33" s="49">
        <f>AVERAGE('31.07 NIMULE-GULU'!I33,'01.07 NIMULE-GULU'!I33,'02.07 NIMULE-GULU'!I33,'03.07 NIMULE-GULU'!I33,'04.07 NIMULE-GULU-24h'!I33,'05.07 NIMULE-GULU-24h'!I33,'06.07 NIMULE-GULU'!I33)</f>
        <v>0.7142857142857143</v>
      </c>
      <c r="J33" s="49">
        <f>AVERAGE('31.07 NIMULE-GULU'!J33,'01.07 NIMULE-GULU'!J33,'02.07 NIMULE-GULU'!J33,'03.07 NIMULE-GULU'!J33,'04.07 NIMULE-GULU-24h'!J33,'05.07 NIMULE-GULU-24h'!J33,'06.07 NIMULE-GULU'!J33)</f>
        <v>0</v>
      </c>
      <c r="K33" s="49">
        <f>AVERAGE('31.07 NIMULE-GULU'!K33,'01.07 NIMULE-GULU'!K33,'02.07 NIMULE-GULU'!K33,'03.07 NIMULE-GULU'!K33,'04.07 NIMULE-GULU-24h'!K33,'05.07 NIMULE-GULU-24h'!K33,'06.07 NIMULE-GULU'!K33)</f>
        <v>0</v>
      </c>
      <c r="L33" s="49">
        <f>AVERAGE('31.07 NIMULE-GULU'!L33,'01.07 NIMULE-GULU'!L33,'02.07 NIMULE-GULU'!L33,'03.07 NIMULE-GULU'!L33,'04.07 NIMULE-GULU-24h'!L33,'05.07 NIMULE-GULU-24h'!L33,'06.07 NIMULE-GULU'!L33)</f>
        <v>1</v>
      </c>
      <c r="M33" s="49">
        <f>AVERAGE('31.07 NIMULE-GULU'!M33,'01.07 NIMULE-GULU'!M33,'02.07 NIMULE-GULU'!M33,'03.07 NIMULE-GULU'!M33,'04.07 NIMULE-GULU-24h'!M33,'05.07 NIMULE-GULU-24h'!M33,'06.07 NIMULE-GULU'!M33)</f>
        <v>5.4285714285714288</v>
      </c>
      <c r="N33" s="49">
        <f>AVERAGE('31.07 NIMULE-GULU'!N33,'01.07 NIMULE-GULU'!N33,'02.07 NIMULE-GULU'!N33,'03.07 NIMULE-GULU'!N33,'04.07 NIMULE-GULU-24h'!N33,'05.07 NIMULE-GULU-24h'!N33,'06.07 NIMULE-GULU'!N33)</f>
        <v>0</v>
      </c>
      <c r="O33" s="15">
        <f t="shared" si="0"/>
        <v>3.5714285714285716</v>
      </c>
      <c r="P33" s="15">
        <f t="shared" si="1"/>
        <v>9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24" t="s">
        <v>61</v>
      </c>
      <c r="C34" s="49">
        <f>AVERAGE('31.07 NIMULE-GULU'!C34,'01.07 NIMULE-GULU'!C34,'02.07 NIMULE-GULU'!C34,'03.07 NIMULE-GULU'!C34,'04.07 NIMULE-GULU-24h'!C34,'05.07 NIMULE-GULU-24h'!C34,'06.07 NIMULE-GULU'!C34)</f>
        <v>0.5714285714285714</v>
      </c>
      <c r="D34" s="49">
        <f>AVERAGE('31.07 NIMULE-GULU'!D34,'01.07 NIMULE-GULU'!D34,'02.07 NIMULE-GULU'!D34,'03.07 NIMULE-GULU'!D34,'04.07 NIMULE-GULU-24h'!D34,'05.07 NIMULE-GULU-24h'!D34,'06.07 NIMULE-GULU'!D34)</f>
        <v>0.5714285714285714</v>
      </c>
      <c r="E34" s="49">
        <f>AVERAGE('31.07 NIMULE-GULU'!E34,'01.07 NIMULE-GULU'!E34,'02.07 NIMULE-GULU'!E34,'03.07 NIMULE-GULU'!E34,'04.07 NIMULE-GULU-24h'!E34,'05.07 NIMULE-GULU-24h'!E34,'06.07 NIMULE-GULU'!E34)</f>
        <v>1</v>
      </c>
      <c r="F34" s="49">
        <f>AVERAGE('31.07 NIMULE-GULU'!F34,'01.07 NIMULE-GULU'!F34,'02.07 NIMULE-GULU'!F34,'03.07 NIMULE-GULU'!F34,'04.07 NIMULE-GULU-24h'!F34,'05.07 NIMULE-GULU-24h'!F34,'06.07 NIMULE-GULU'!F34)</f>
        <v>0</v>
      </c>
      <c r="G34" s="49">
        <f>AVERAGE('31.07 NIMULE-GULU'!G34,'01.07 NIMULE-GULU'!G34,'02.07 NIMULE-GULU'!G34,'03.07 NIMULE-GULU'!G34,'04.07 NIMULE-GULU-24h'!G34,'05.07 NIMULE-GULU-24h'!G34,'06.07 NIMULE-GULU'!G34)</f>
        <v>0</v>
      </c>
      <c r="H34" s="49">
        <f>AVERAGE('31.07 NIMULE-GULU'!H34,'01.07 NIMULE-GULU'!H34,'02.07 NIMULE-GULU'!H34,'03.07 NIMULE-GULU'!H34,'04.07 NIMULE-GULU-24h'!H34,'05.07 NIMULE-GULU-24h'!H34,'06.07 NIMULE-GULU'!H34)</f>
        <v>0</v>
      </c>
      <c r="I34" s="49">
        <f>AVERAGE('31.07 NIMULE-GULU'!I34,'01.07 NIMULE-GULU'!I34,'02.07 NIMULE-GULU'!I34,'03.07 NIMULE-GULU'!I34,'04.07 NIMULE-GULU-24h'!I34,'05.07 NIMULE-GULU-24h'!I34,'06.07 NIMULE-GULU'!I34)</f>
        <v>0.2857142857142857</v>
      </c>
      <c r="J34" s="49">
        <f>AVERAGE('31.07 NIMULE-GULU'!J34,'01.07 NIMULE-GULU'!J34,'02.07 NIMULE-GULU'!J34,'03.07 NIMULE-GULU'!J34,'04.07 NIMULE-GULU-24h'!J34,'05.07 NIMULE-GULU-24h'!J34,'06.07 NIMULE-GULU'!J34)</f>
        <v>0</v>
      </c>
      <c r="K34" s="49">
        <f>AVERAGE('31.07 NIMULE-GULU'!K34,'01.07 NIMULE-GULU'!K34,'02.07 NIMULE-GULU'!K34,'03.07 NIMULE-GULU'!K34,'04.07 NIMULE-GULU-24h'!K34,'05.07 NIMULE-GULU-24h'!K34,'06.07 NIMULE-GULU'!K34)</f>
        <v>0</v>
      </c>
      <c r="L34" s="49">
        <f>AVERAGE('31.07 NIMULE-GULU'!L34,'01.07 NIMULE-GULU'!L34,'02.07 NIMULE-GULU'!L34,'03.07 NIMULE-GULU'!L34,'04.07 NIMULE-GULU-24h'!L34,'05.07 NIMULE-GULU-24h'!L34,'06.07 NIMULE-GULU'!L34)</f>
        <v>0.42857142857142855</v>
      </c>
      <c r="M34" s="49">
        <f>AVERAGE('31.07 NIMULE-GULU'!M34,'01.07 NIMULE-GULU'!M34,'02.07 NIMULE-GULU'!M34,'03.07 NIMULE-GULU'!M34,'04.07 NIMULE-GULU-24h'!M34,'05.07 NIMULE-GULU-24h'!M34,'06.07 NIMULE-GULU'!M34)</f>
        <v>4.5714285714285712</v>
      </c>
      <c r="N34" s="49">
        <f>AVERAGE('31.07 NIMULE-GULU'!N34,'01.07 NIMULE-GULU'!N34,'02.07 NIMULE-GULU'!N34,'03.07 NIMULE-GULU'!N34,'04.07 NIMULE-GULU-24h'!N34,'05.07 NIMULE-GULU-24h'!N34,'06.07 NIMULE-GULU'!N34)</f>
        <v>0</v>
      </c>
      <c r="O34" s="15">
        <f t="shared" si="0"/>
        <v>2.8571428571428568</v>
      </c>
      <c r="P34" s="15">
        <f t="shared" si="1"/>
        <v>7.4285714285714279</v>
      </c>
      <c r="R34" s="51" t="s">
        <v>90</v>
      </c>
      <c r="S34" s="52">
        <f t="shared" ref="S34:AF34" si="26">MAX(S10:S12)</f>
        <v>3.5714285714285712</v>
      </c>
      <c r="T34" s="52">
        <f t="shared" si="26"/>
        <v>1</v>
      </c>
      <c r="U34" s="52">
        <f t="shared" si="26"/>
        <v>2.4285714285714288</v>
      </c>
      <c r="V34" s="52">
        <f t="shared" si="26"/>
        <v>0.14285714285714285</v>
      </c>
      <c r="W34" s="52">
        <f t="shared" si="26"/>
        <v>0</v>
      </c>
      <c r="X34" s="52">
        <f t="shared" si="26"/>
        <v>0.71428571428571419</v>
      </c>
      <c r="Y34" s="52">
        <f t="shared" si="26"/>
        <v>3</v>
      </c>
      <c r="Z34" s="52">
        <f t="shared" si="26"/>
        <v>0.71428571428571419</v>
      </c>
      <c r="AA34" s="52">
        <f t="shared" si="26"/>
        <v>0.42857142857142855</v>
      </c>
      <c r="AB34" s="52">
        <f t="shared" si="26"/>
        <v>7.2857142857142856</v>
      </c>
      <c r="AC34" s="52">
        <f t="shared" si="26"/>
        <v>39.142857142857146</v>
      </c>
      <c r="AD34" s="52">
        <f t="shared" si="26"/>
        <v>0</v>
      </c>
      <c r="AE34" s="40">
        <f t="shared" si="26"/>
        <v>16.285714285714285</v>
      </c>
      <c r="AF34" s="40">
        <f t="shared" si="26"/>
        <v>55.428571428571431</v>
      </c>
    </row>
    <row r="35" spans="2:32" ht="23.1" customHeight="1" x14ac:dyDescent="0.25">
      <c r="B35" s="24" t="s">
        <v>62</v>
      </c>
      <c r="C35" s="49">
        <f>AVERAGE('31.07 NIMULE-GULU'!C35,'01.07 NIMULE-GULU'!C35,'02.07 NIMULE-GULU'!C35,'03.07 NIMULE-GULU'!C35,'04.07 NIMULE-GULU-24h'!C35,'05.07 NIMULE-GULU-24h'!C35,'06.07 NIMULE-GULU'!C35)</f>
        <v>0.8571428571428571</v>
      </c>
      <c r="D35" s="49">
        <f>AVERAGE('31.07 NIMULE-GULU'!D35,'01.07 NIMULE-GULU'!D35,'02.07 NIMULE-GULU'!D35,'03.07 NIMULE-GULU'!D35,'04.07 NIMULE-GULU-24h'!D35,'05.07 NIMULE-GULU-24h'!D35,'06.07 NIMULE-GULU'!D35)</f>
        <v>0.2857142857142857</v>
      </c>
      <c r="E35" s="49">
        <f>AVERAGE('31.07 NIMULE-GULU'!E35,'01.07 NIMULE-GULU'!E35,'02.07 NIMULE-GULU'!E35,'03.07 NIMULE-GULU'!E35,'04.07 NIMULE-GULU-24h'!E35,'05.07 NIMULE-GULU-24h'!E35,'06.07 NIMULE-GULU'!E35)</f>
        <v>0.5714285714285714</v>
      </c>
      <c r="F35" s="49">
        <f>AVERAGE('31.07 NIMULE-GULU'!F35,'01.07 NIMULE-GULU'!F35,'02.07 NIMULE-GULU'!F35,'03.07 NIMULE-GULU'!F35,'04.07 NIMULE-GULU-24h'!F35,'05.07 NIMULE-GULU-24h'!F35,'06.07 NIMULE-GULU'!F35)</f>
        <v>0</v>
      </c>
      <c r="G35" s="49">
        <f>AVERAGE('31.07 NIMULE-GULU'!G35,'01.07 NIMULE-GULU'!G35,'02.07 NIMULE-GULU'!G35,'03.07 NIMULE-GULU'!G35,'04.07 NIMULE-GULU-24h'!G35,'05.07 NIMULE-GULU-24h'!G35,'06.07 NIMULE-GULU'!G35)</f>
        <v>0</v>
      </c>
      <c r="H35" s="49">
        <f>AVERAGE('31.07 NIMULE-GULU'!H35,'01.07 NIMULE-GULU'!H35,'02.07 NIMULE-GULU'!H35,'03.07 NIMULE-GULU'!H35,'04.07 NIMULE-GULU-24h'!H35,'05.07 NIMULE-GULU-24h'!H35,'06.07 NIMULE-GULU'!H35)</f>
        <v>0</v>
      </c>
      <c r="I35" s="49">
        <f>AVERAGE('31.07 NIMULE-GULU'!I35,'01.07 NIMULE-GULU'!I35,'02.07 NIMULE-GULU'!I35,'03.07 NIMULE-GULU'!I35,'04.07 NIMULE-GULU-24h'!I35,'05.07 NIMULE-GULU-24h'!I35,'06.07 NIMULE-GULU'!I35)</f>
        <v>0.5714285714285714</v>
      </c>
      <c r="J35" s="49">
        <f>AVERAGE('31.07 NIMULE-GULU'!J35,'01.07 NIMULE-GULU'!J35,'02.07 NIMULE-GULU'!J35,'03.07 NIMULE-GULU'!J35,'04.07 NIMULE-GULU-24h'!J35,'05.07 NIMULE-GULU-24h'!J35,'06.07 NIMULE-GULU'!J35)</f>
        <v>0</v>
      </c>
      <c r="K35" s="49">
        <f>AVERAGE('31.07 NIMULE-GULU'!K35,'01.07 NIMULE-GULU'!K35,'02.07 NIMULE-GULU'!K35,'03.07 NIMULE-GULU'!K35,'04.07 NIMULE-GULU-24h'!K35,'05.07 NIMULE-GULU-24h'!K35,'06.07 NIMULE-GULU'!K35)</f>
        <v>0.14285714285714285</v>
      </c>
      <c r="L35" s="49">
        <f>AVERAGE('31.07 NIMULE-GULU'!L35,'01.07 NIMULE-GULU'!L35,'02.07 NIMULE-GULU'!L35,'03.07 NIMULE-GULU'!L35,'04.07 NIMULE-GULU-24h'!L35,'05.07 NIMULE-GULU-24h'!L35,'06.07 NIMULE-GULU'!L35)</f>
        <v>0.2857142857142857</v>
      </c>
      <c r="M35" s="49">
        <f>AVERAGE('31.07 NIMULE-GULU'!M35,'01.07 NIMULE-GULU'!M35,'02.07 NIMULE-GULU'!M35,'03.07 NIMULE-GULU'!M35,'04.07 NIMULE-GULU-24h'!M35,'05.07 NIMULE-GULU-24h'!M35,'06.07 NIMULE-GULU'!M35)</f>
        <v>4.8571428571428568</v>
      </c>
      <c r="N35" s="49">
        <f>AVERAGE('31.07 NIMULE-GULU'!N35,'01.07 NIMULE-GULU'!N35,'02.07 NIMULE-GULU'!N35,'03.07 NIMULE-GULU'!N35,'04.07 NIMULE-GULU-24h'!N35,'05.07 NIMULE-GULU-24h'!N35,'06.07 NIMULE-GULU'!N35)</f>
        <v>0</v>
      </c>
      <c r="O35" s="15">
        <f t="shared" si="0"/>
        <v>2.714285714285714</v>
      </c>
      <c r="P35" s="15">
        <f t="shared" si="1"/>
        <v>7.5714285714285712</v>
      </c>
      <c r="R35" s="51" t="s">
        <v>91</v>
      </c>
      <c r="S35" s="52">
        <f t="shared" ref="S35:AF35" si="27">MAX(S13:S18)</f>
        <v>5.2857142857142865</v>
      </c>
      <c r="T35" s="52">
        <f t="shared" si="27"/>
        <v>2.1428571428571428</v>
      </c>
      <c r="U35" s="52">
        <f t="shared" si="27"/>
        <v>3.4285714285714288</v>
      </c>
      <c r="V35" s="52">
        <f t="shared" si="27"/>
        <v>0.42857142857142855</v>
      </c>
      <c r="W35" s="52">
        <f t="shared" si="27"/>
        <v>0.2857142857142857</v>
      </c>
      <c r="X35" s="52">
        <f t="shared" si="27"/>
        <v>0.2857142857142857</v>
      </c>
      <c r="Y35" s="52">
        <f t="shared" si="27"/>
        <v>2.4285714285714284</v>
      </c>
      <c r="Z35" s="52">
        <f t="shared" si="27"/>
        <v>0.42857142857142855</v>
      </c>
      <c r="AA35" s="52">
        <f t="shared" si="27"/>
        <v>0.8571428571428571</v>
      </c>
      <c r="AB35" s="52">
        <f t="shared" si="27"/>
        <v>7</v>
      </c>
      <c r="AC35" s="52">
        <f t="shared" si="27"/>
        <v>36.142857142857146</v>
      </c>
      <c r="AD35" s="52">
        <f t="shared" si="27"/>
        <v>0</v>
      </c>
      <c r="AE35" s="40">
        <f t="shared" si="27"/>
        <v>17.857142857142858</v>
      </c>
      <c r="AF35" s="40">
        <f t="shared" si="27"/>
        <v>51.142857142857139</v>
      </c>
    </row>
    <row r="36" spans="2:32" ht="23.1" customHeight="1" x14ac:dyDescent="0.25">
      <c r="B36" s="24" t="s">
        <v>63</v>
      </c>
      <c r="C36" s="49">
        <f>AVERAGE('31.07 NIMULE-GULU'!C36,'01.07 NIMULE-GULU'!C36,'02.07 NIMULE-GULU'!C36,'03.07 NIMULE-GULU'!C36,'04.07 NIMULE-GULU-24h'!C36,'05.07 NIMULE-GULU-24h'!C36,'06.07 NIMULE-GULU'!C36)</f>
        <v>0.8571428571428571</v>
      </c>
      <c r="D36" s="49">
        <f>AVERAGE('31.07 NIMULE-GULU'!D36,'01.07 NIMULE-GULU'!D36,'02.07 NIMULE-GULU'!D36,'03.07 NIMULE-GULU'!D36,'04.07 NIMULE-GULU-24h'!D36,'05.07 NIMULE-GULU-24h'!D36,'06.07 NIMULE-GULU'!D36)</f>
        <v>0.42857142857142855</v>
      </c>
      <c r="E36" s="49">
        <f>AVERAGE('31.07 NIMULE-GULU'!E36,'01.07 NIMULE-GULU'!E36,'02.07 NIMULE-GULU'!E36,'03.07 NIMULE-GULU'!E36,'04.07 NIMULE-GULU-24h'!E36,'05.07 NIMULE-GULU-24h'!E36,'06.07 NIMULE-GULU'!E36)</f>
        <v>0.7142857142857143</v>
      </c>
      <c r="F36" s="49">
        <f>AVERAGE('31.07 NIMULE-GULU'!F36,'01.07 NIMULE-GULU'!F36,'02.07 NIMULE-GULU'!F36,'03.07 NIMULE-GULU'!F36,'04.07 NIMULE-GULU-24h'!F36,'05.07 NIMULE-GULU-24h'!F36,'06.07 NIMULE-GULU'!F36)</f>
        <v>0</v>
      </c>
      <c r="G36" s="49">
        <f>AVERAGE('31.07 NIMULE-GULU'!G36,'01.07 NIMULE-GULU'!G36,'02.07 NIMULE-GULU'!G36,'03.07 NIMULE-GULU'!G36,'04.07 NIMULE-GULU-24h'!G36,'05.07 NIMULE-GULU-24h'!G36,'06.07 NIMULE-GULU'!G36)</f>
        <v>0</v>
      </c>
      <c r="H36" s="49">
        <f>AVERAGE('31.07 NIMULE-GULU'!H36,'01.07 NIMULE-GULU'!H36,'02.07 NIMULE-GULU'!H36,'03.07 NIMULE-GULU'!H36,'04.07 NIMULE-GULU-24h'!H36,'05.07 NIMULE-GULU-24h'!H36,'06.07 NIMULE-GULU'!H36)</f>
        <v>0</v>
      </c>
      <c r="I36" s="49">
        <f>AVERAGE('31.07 NIMULE-GULU'!I36,'01.07 NIMULE-GULU'!I36,'02.07 NIMULE-GULU'!I36,'03.07 NIMULE-GULU'!I36,'04.07 NIMULE-GULU-24h'!I36,'05.07 NIMULE-GULU-24h'!I36,'06.07 NIMULE-GULU'!I36)</f>
        <v>0.8571428571428571</v>
      </c>
      <c r="J36" s="49">
        <f>AVERAGE('31.07 NIMULE-GULU'!J36,'01.07 NIMULE-GULU'!J36,'02.07 NIMULE-GULU'!J36,'03.07 NIMULE-GULU'!J36,'04.07 NIMULE-GULU-24h'!J36,'05.07 NIMULE-GULU-24h'!J36,'06.07 NIMULE-GULU'!J36)</f>
        <v>0.14285714285714285</v>
      </c>
      <c r="K36" s="49">
        <f>AVERAGE('31.07 NIMULE-GULU'!K36,'01.07 NIMULE-GULU'!K36,'02.07 NIMULE-GULU'!K36,'03.07 NIMULE-GULU'!K36,'04.07 NIMULE-GULU-24h'!K36,'05.07 NIMULE-GULU-24h'!K36,'06.07 NIMULE-GULU'!K36)</f>
        <v>0</v>
      </c>
      <c r="L36" s="49">
        <f>AVERAGE('31.07 NIMULE-GULU'!L36,'01.07 NIMULE-GULU'!L36,'02.07 NIMULE-GULU'!L36,'03.07 NIMULE-GULU'!L36,'04.07 NIMULE-GULU-24h'!L36,'05.07 NIMULE-GULU-24h'!L36,'06.07 NIMULE-GULU'!L36)</f>
        <v>1</v>
      </c>
      <c r="M36" s="49">
        <f>AVERAGE('31.07 NIMULE-GULU'!M36,'01.07 NIMULE-GULU'!M36,'02.07 NIMULE-GULU'!M36,'03.07 NIMULE-GULU'!M36,'04.07 NIMULE-GULU-24h'!M36,'05.07 NIMULE-GULU-24h'!M36,'06.07 NIMULE-GULU'!M36)</f>
        <v>6.4285714285714288</v>
      </c>
      <c r="N36" s="49">
        <f>AVERAGE('31.07 NIMULE-GULU'!N36,'01.07 NIMULE-GULU'!N36,'02.07 NIMULE-GULU'!N36,'03.07 NIMULE-GULU'!N36,'04.07 NIMULE-GULU-24h'!N36,'05.07 NIMULE-GULU-24h'!N36,'06.07 NIMULE-GULU'!N36)</f>
        <v>0</v>
      </c>
      <c r="O36" s="15">
        <f t="shared" si="0"/>
        <v>4</v>
      </c>
      <c r="P36" s="15">
        <f t="shared" si="1"/>
        <v>10.428571428571429</v>
      </c>
      <c r="R36" s="51" t="s">
        <v>92</v>
      </c>
      <c r="S36" s="52">
        <f t="shared" ref="S36:AF36" si="28">MAX(S19:S21)</f>
        <v>4.1428571428571432</v>
      </c>
      <c r="T36" s="52">
        <f t="shared" si="28"/>
        <v>1.4285714285714284</v>
      </c>
      <c r="U36" s="52">
        <f t="shared" si="28"/>
        <v>3.7142857142857144</v>
      </c>
      <c r="V36" s="52">
        <f t="shared" si="28"/>
        <v>0.14285714285714285</v>
      </c>
      <c r="W36" s="52">
        <f t="shared" si="28"/>
        <v>0.14285714285714285</v>
      </c>
      <c r="X36" s="52">
        <f t="shared" si="28"/>
        <v>0.99999999999999978</v>
      </c>
      <c r="Y36" s="52">
        <f t="shared" si="28"/>
        <v>1.8571428571428572</v>
      </c>
      <c r="Z36" s="52">
        <f t="shared" si="28"/>
        <v>0.5714285714285714</v>
      </c>
      <c r="AA36" s="52">
        <f t="shared" si="28"/>
        <v>0.71428571428571419</v>
      </c>
      <c r="AB36" s="52">
        <f t="shared" si="28"/>
        <v>5.5714285714285712</v>
      </c>
      <c r="AC36" s="52">
        <f t="shared" si="28"/>
        <v>27</v>
      </c>
      <c r="AD36" s="52">
        <f t="shared" si="28"/>
        <v>0</v>
      </c>
      <c r="AE36" s="40">
        <f t="shared" si="28"/>
        <v>17.571428571428569</v>
      </c>
      <c r="AF36" s="40">
        <f t="shared" si="28"/>
        <v>40.285714285714285</v>
      </c>
    </row>
    <row r="37" spans="2:32" ht="23.1" customHeight="1" x14ac:dyDescent="0.25">
      <c r="B37" s="23" t="s">
        <v>64</v>
      </c>
      <c r="C37" s="49">
        <f>AVERAGE('31.07 NIMULE-GULU'!C37,'01.07 NIMULE-GULU'!C37,'02.07 NIMULE-GULU'!C37,'03.07 NIMULE-GULU'!C37,'04.07 NIMULE-GULU-24h'!C37,'05.07 NIMULE-GULU-24h'!C37,'06.07 NIMULE-GULU'!C37)</f>
        <v>0.14285714285714285</v>
      </c>
      <c r="D37" s="49">
        <f>AVERAGE('31.07 NIMULE-GULU'!D37,'01.07 NIMULE-GULU'!D37,'02.07 NIMULE-GULU'!D37,'03.07 NIMULE-GULU'!D37,'04.07 NIMULE-GULU-24h'!D37,'05.07 NIMULE-GULU-24h'!D37,'06.07 NIMULE-GULU'!D37)</f>
        <v>0.14285714285714285</v>
      </c>
      <c r="E37" s="49">
        <f>AVERAGE('31.07 NIMULE-GULU'!E37,'01.07 NIMULE-GULU'!E37,'02.07 NIMULE-GULU'!E37,'03.07 NIMULE-GULU'!E37,'04.07 NIMULE-GULU-24h'!E37,'05.07 NIMULE-GULU-24h'!E37,'06.07 NIMULE-GULU'!E37)</f>
        <v>1.1428571428571428</v>
      </c>
      <c r="F37" s="49">
        <f>AVERAGE('31.07 NIMULE-GULU'!F37,'01.07 NIMULE-GULU'!F37,'02.07 NIMULE-GULU'!F37,'03.07 NIMULE-GULU'!F37,'04.07 NIMULE-GULU-24h'!F37,'05.07 NIMULE-GULU-24h'!F37,'06.07 NIMULE-GULU'!F37)</f>
        <v>0</v>
      </c>
      <c r="G37" s="49">
        <f>AVERAGE('31.07 NIMULE-GULU'!G37,'01.07 NIMULE-GULU'!G37,'02.07 NIMULE-GULU'!G37,'03.07 NIMULE-GULU'!G37,'04.07 NIMULE-GULU-24h'!G37,'05.07 NIMULE-GULU-24h'!G37,'06.07 NIMULE-GULU'!G37)</f>
        <v>0</v>
      </c>
      <c r="H37" s="49">
        <f>AVERAGE('31.07 NIMULE-GULU'!H37,'01.07 NIMULE-GULU'!H37,'02.07 NIMULE-GULU'!H37,'03.07 NIMULE-GULU'!H37,'04.07 NIMULE-GULU-24h'!H37,'05.07 NIMULE-GULU-24h'!H37,'06.07 NIMULE-GULU'!H37)</f>
        <v>0</v>
      </c>
      <c r="I37" s="49">
        <f>AVERAGE('31.07 NIMULE-GULU'!I37,'01.07 NIMULE-GULU'!I37,'02.07 NIMULE-GULU'!I37,'03.07 NIMULE-GULU'!I37,'04.07 NIMULE-GULU-24h'!I37,'05.07 NIMULE-GULU-24h'!I37,'06.07 NIMULE-GULU'!I37)</f>
        <v>0.5714285714285714</v>
      </c>
      <c r="J37" s="49">
        <f>AVERAGE('31.07 NIMULE-GULU'!J37,'01.07 NIMULE-GULU'!J37,'02.07 NIMULE-GULU'!J37,'03.07 NIMULE-GULU'!J37,'04.07 NIMULE-GULU-24h'!J37,'05.07 NIMULE-GULU-24h'!J37,'06.07 NIMULE-GULU'!J37)</f>
        <v>0</v>
      </c>
      <c r="K37" s="49">
        <f>AVERAGE('31.07 NIMULE-GULU'!K37,'01.07 NIMULE-GULU'!K37,'02.07 NIMULE-GULU'!K37,'03.07 NIMULE-GULU'!K37,'04.07 NIMULE-GULU-24h'!K37,'05.07 NIMULE-GULU-24h'!K37,'06.07 NIMULE-GULU'!K37)</f>
        <v>0.14285714285714285</v>
      </c>
      <c r="L37" s="49">
        <f>AVERAGE('31.07 NIMULE-GULU'!L37,'01.07 NIMULE-GULU'!L37,'02.07 NIMULE-GULU'!L37,'03.07 NIMULE-GULU'!L37,'04.07 NIMULE-GULU-24h'!L37,'05.07 NIMULE-GULU-24h'!L37,'06.07 NIMULE-GULU'!L37)</f>
        <v>0.7142857142857143</v>
      </c>
      <c r="M37" s="49">
        <f>AVERAGE('31.07 NIMULE-GULU'!M37,'01.07 NIMULE-GULU'!M37,'02.07 NIMULE-GULU'!M37,'03.07 NIMULE-GULU'!M37,'04.07 NIMULE-GULU-24h'!M37,'05.07 NIMULE-GULU-24h'!M37,'06.07 NIMULE-GULU'!M37)</f>
        <v>5.2857142857142856</v>
      </c>
      <c r="N37" s="49">
        <f>AVERAGE('31.07 NIMULE-GULU'!N37,'01.07 NIMULE-GULU'!N37,'02.07 NIMULE-GULU'!N37,'03.07 NIMULE-GULU'!N37,'04.07 NIMULE-GULU-24h'!N37,'05.07 NIMULE-GULU-24h'!N37,'06.07 NIMULE-GULU'!N37)</f>
        <v>0</v>
      </c>
      <c r="O37" s="15">
        <f t="shared" si="0"/>
        <v>2.8571428571428572</v>
      </c>
      <c r="P37" s="15">
        <f t="shared" si="1"/>
        <v>8.1428571428571423</v>
      </c>
      <c r="R37" s="37" t="s">
        <v>85</v>
      </c>
      <c r="S37" s="53">
        <f t="shared" ref="S37:AF37" si="29">SUM(S10:S12)</f>
        <v>9.8571428571428577</v>
      </c>
      <c r="T37" s="54">
        <f t="shared" si="29"/>
        <v>1.5714285714285714</v>
      </c>
      <c r="U37" s="54">
        <f t="shared" si="29"/>
        <v>4.8571428571428577</v>
      </c>
      <c r="V37" s="54">
        <f t="shared" si="29"/>
        <v>0.14285714285714285</v>
      </c>
      <c r="W37" s="54">
        <f t="shared" si="29"/>
        <v>0</v>
      </c>
      <c r="X37" s="54">
        <f t="shared" si="29"/>
        <v>0.85714285714285698</v>
      </c>
      <c r="Y37" s="54">
        <f t="shared" si="29"/>
        <v>6.9999999999999991</v>
      </c>
      <c r="Z37" s="54">
        <f t="shared" si="29"/>
        <v>1.5714285714285712</v>
      </c>
      <c r="AA37" s="54">
        <f t="shared" si="29"/>
        <v>0.71428571428571419</v>
      </c>
      <c r="AB37" s="54">
        <f t="shared" si="29"/>
        <v>20.571428571428573</v>
      </c>
      <c r="AC37" s="54">
        <f t="shared" si="29"/>
        <v>108.28571428571428</v>
      </c>
      <c r="AD37" s="54">
        <f t="shared" si="29"/>
        <v>0</v>
      </c>
      <c r="AE37" s="55">
        <f t="shared" si="29"/>
        <v>47.142857142857139</v>
      </c>
      <c r="AF37" s="55">
        <f t="shared" si="29"/>
        <v>155.42857142857144</v>
      </c>
    </row>
    <row r="38" spans="2:32" ht="23.1" customHeight="1" x14ac:dyDescent="0.25">
      <c r="B38" s="24" t="s">
        <v>65</v>
      </c>
      <c r="C38" s="49">
        <f>AVERAGE('31.07 NIMULE-GULU'!C38,'01.07 NIMULE-GULU'!C38,'02.07 NIMULE-GULU'!C38,'03.07 NIMULE-GULU'!C38,'04.07 NIMULE-GULU-24h'!C38,'05.07 NIMULE-GULU-24h'!C38,'06.07 NIMULE-GULU'!C38)</f>
        <v>0.8571428571428571</v>
      </c>
      <c r="D38" s="49">
        <f>AVERAGE('31.07 NIMULE-GULU'!D38,'01.07 NIMULE-GULU'!D38,'02.07 NIMULE-GULU'!D38,'03.07 NIMULE-GULU'!D38,'04.07 NIMULE-GULU-24h'!D38,'05.07 NIMULE-GULU-24h'!D38,'06.07 NIMULE-GULU'!D38)</f>
        <v>0.14285714285714285</v>
      </c>
      <c r="E38" s="49">
        <f>AVERAGE('31.07 NIMULE-GULU'!E38,'01.07 NIMULE-GULU'!E38,'02.07 NIMULE-GULU'!E38,'03.07 NIMULE-GULU'!E38,'04.07 NIMULE-GULU-24h'!E38,'05.07 NIMULE-GULU-24h'!E38,'06.07 NIMULE-GULU'!E38)</f>
        <v>0.8571428571428571</v>
      </c>
      <c r="F38" s="49">
        <f>AVERAGE('31.07 NIMULE-GULU'!F38,'01.07 NIMULE-GULU'!F38,'02.07 NIMULE-GULU'!F38,'03.07 NIMULE-GULU'!F38,'04.07 NIMULE-GULU-24h'!F38,'05.07 NIMULE-GULU-24h'!F38,'06.07 NIMULE-GULU'!F38)</f>
        <v>0</v>
      </c>
      <c r="G38" s="49">
        <f>AVERAGE('31.07 NIMULE-GULU'!G38,'01.07 NIMULE-GULU'!G38,'02.07 NIMULE-GULU'!G38,'03.07 NIMULE-GULU'!G38,'04.07 NIMULE-GULU-24h'!G38,'05.07 NIMULE-GULU-24h'!G38,'06.07 NIMULE-GULU'!G38)</f>
        <v>0</v>
      </c>
      <c r="H38" s="49">
        <f>AVERAGE('31.07 NIMULE-GULU'!H38,'01.07 NIMULE-GULU'!H38,'02.07 NIMULE-GULU'!H38,'03.07 NIMULE-GULU'!H38,'04.07 NIMULE-GULU-24h'!H38,'05.07 NIMULE-GULU-24h'!H38,'06.07 NIMULE-GULU'!H38)</f>
        <v>0</v>
      </c>
      <c r="I38" s="49">
        <f>AVERAGE('31.07 NIMULE-GULU'!I38,'01.07 NIMULE-GULU'!I38,'02.07 NIMULE-GULU'!I38,'03.07 NIMULE-GULU'!I38,'04.07 NIMULE-GULU-24h'!I38,'05.07 NIMULE-GULU-24h'!I38,'06.07 NIMULE-GULU'!I38)</f>
        <v>0.5714285714285714</v>
      </c>
      <c r="J38" s="49">
        <f>AVERAGE('31.07 NIMULE-GULU'!J38,'01.07 NIMULE-GULU'!J38,'02.07 NIMULE-GULU'!J38,'03.07 NIMULE-GULU'!J38,'04.07 NIMULE-GULU-24h'!J38,'05.07 NIMULE-GULU-24h'!J38,'06.07 NIMULE-GULU'!J38)</f>
        <v>0</v>
      </c>
      <c r="K38" s="49">
        <f>AVERAGE('31.07 NIMULE-GULU'!K38,'01.07 NIMULE-GULU'!K38,'02.07 NIMULE-GULU'!K38,'03.07 NIMULE-GULU'!K38,'04.07 NIMULE-GULU-24h'!K38,'05.07 NIMULE-GULU-24h'!K38,'06.07 NIMULE-GULU'!K38)</f>
        <v>0.2857142857142857</v>
      </c>
      <c r="L38" s="49">
        <f>AVERAGE('31.07 NIMULE-GULU'!L38,'01.07 NIMULE-GULU'!L38,'02.07 NIMULE-GULU'!L38,'03.07 NIMULE-GULU'!L38,'04.07 NIMULE-GULU-24h'!L38,'05.07 NIMULE-GULU-24h'!L38,'06.07 NIMULE-GULU'!L38)</f>
        <v>1.5714285714285714</v>
      </c>
      <c r="M38" s="49">
        <f>AVERAGE('31.07 NIMULE-GULU'!M38,'01.07 NIMULE-GULU'!M38,'02.07 NIMULE-GULU'!M38,'03.07 NIMULE-GULU'!M38,'04.07 NIMULE-GULU-24h'!M38,'05.07 NIMULE-GULU-24h'!M38,'06.07 NIMULE-GULU'!M38)</f>
        <v>7.8571428571428568</v>
      </c>
      <c r="N38" s="49">
        <f>AVERAGE('31.07 NIMULE-GULU'!N38,'01.07 NIMULE-GULU'!N38,'02.07 NIMULE-GULU'!N38,'03.07 NIMULE-GULU'!N38,'04.07 NIMULE-GULU-24h'!N38,'05.07 NIMULE-GULU-24h'!N38,'06.07 NIMULE-GULU'!N38)</f>
        <v>0</v>
      </c>
      <c r="O38" s="15">
        <f t="shared" si="0"/>
        <v>4.2857142857142856</v>
      </c>
      <c r="P38" s="15">
        <f t="shared" si="1"/>
        <v>12.142857142857142</v>
      </c>
      <c r="R38" s="28" t="s">
        <v>86</v>
      </c>
      <c r="S38" s="54">
        <f t="shared" ref="S38:AF38" si="30">SUM(S13:S18)</f>
        <v>21.285714285714285</v>
      </c>
      <c r="T38" s="54">
        <f t="shared" si="30"/>
        <v>7.428571428571427</v>
      </c>
      <c r="U38" s="54">
        <f t="shared" si="30"/>
        <v>16.428571428571427</v>
      </c>
      <c r="V38" s="54">
        <f t="shared" si="30"/>
        <v>0.5714285714285714</v>
      </c>
      <c r="W38" s="54">
        <f t="shared" si="30"/>
        <v>0.5714285714285714</v>
      </c>
      <c r="X38" s="54">
        <f t="shared" si="30"/>
        <v>0.42857142857142855</v>
      </c>
      <c r="Y38" s="54">
        <f t="shared" si="30"/>
        <v>8.5714285714285712</v>
      </c>
      <c r="Z38" s="54">
        <f t="shared" si="30"/>
        <v>1.1428571428571428</v>
      </c>
      <c r="AA38" s="54">
        <f t="shared" si="30"/>
        <v>1.5714285714285712</v>
      </c>
      <c r="AB38" s="54">
        <f t="shared" si="30"/>
        <v>33.285714285714278</v>
      </c>
      <c r="AC38" s="54">
        <f t="shared" si="30"/>
        <v>175.14285714285714</v>
      </c>
      <c r="AD38" s="54">
        <f t="shared" si="30"/>
        <v>0</v>
      </c>
      <c r="AE38" s="55">
        <f t="shared" si="30"/>
        <v>91.285714285714292</v>
      </c>
      <c r="AF38" s="55">
        <f t="shared" si="30"/>
        <v>266.42857142857144</v>
      </c>
    </row>
    <row r="39" spans="2:32" ht="23.1" customHeight="1" x14ac:dyDescent="0.25">
      <c r="B39" s="24" t="s">
        <v>66</v>
      </c>
      <c r="C39" s="49">
        <f>AVERAGE('31.07 NIMULE-GULU'!C39,'01.07 NIMULE-GULU'!C39,'02.07 NIMULE-GULU'!C39,'03.07 NIMULE-GULU'!C39,'04.07 NIMULE-GULU-24h'!C39,'05.07 NIMULE-GULU-24h'!C39,'06.07 NIMULE-GULU'!C39)</f>
        <v>1</v>
      </c>
      <c r="D39" s="49">
        <f>AVERAGE('31.07 NIMULE-GULU'!D39,'01.07 NIMULE-GULU'!D39,'02.07 NIMULE-GULU'!D39,'03.07 NIMULE-GULU'!D39,'04.07 NIMULE-GULU-24h'!D39,'05.07 NIMULE-GULU-24h'!D39,'06.07 NIMULE-GULU'!D39)</f>
        <v>0.2857142857142857</v>
      </c>
      <c r="E39" s="49">
        <f>AVERAGE('31.07 NIMULE-GULU'!E39,'01.07 NIMULE-GULU'!E39,'02.07 NIMULE-GULU'!E39,'03.07 NIMULE-GULU'!E39,'04.07 NIMULE-GULU-24h'!E39,'05.07 NIMULE-GULU-24h'!E39,'06.07 NIMULE-GULU'!E39)</f>
        <v>0.8571428571428571</v>
      </c>
      <c r="F39" s="49">
        <f>AVERAGE('31.07 NIMULE-GULU'!F39,'01.07 NIMULE-GULU'!F39,'02.07 NIMULE-GULU'!F39,'03.07 NIMULE-GULU'!F39,'04.07 NIMULE-GULU-24h'!F39,'05.07 NIMULE-GULU-24h'!F39,'06.07 NIMULE-GULU'!F39)</f>
        <v>0</v>
      </c>
      <c r="G39" s="49">
        <f>AVERAGE('31.07 NIMULE-GULU'!G39,'01.07 NIMULE-GULU'!G39,'02.07 NIMULE-GULU'!G39,'03.07 NIMULE-GULU'!G39,'04.07 NIMULE-GULU-24h'!G39,'05.07 NIMULE-GULU-24h'!G39,'06.07 NIMULE-GULU'!G39)</f>
        <v>0</v>
      </c>
      <c r="H39" s="49">
        <f>AVERAGE('31.07 NIMULE-GULU'!H39,'01.07 NIMULE-GULU'!H39,'02.07 NIMULE-GULU'!H39,'03.07 NIMULE-GULU'!H39,'04.07 NIMULE-GULU-24h'!H39,'05.07 NIMULE-GULU-24h'!H39,'06.07 NIMULE-GULU'!H39)</f>
        <v>0.14285714285714285</v>
      </c>
      <c r="I39" s="49">
        <f>AVERAGE('31.07 NIMULE-GULU'!I39,'01.07 NIMULE-GULU'!I39,'02.07 NIMULE-GULU'!I39,'03.07 NIMULE-GULU'!I39,'04.07 NIMULE-GULU-24h'!I39,'05.07 NIMULE-GULU-24h'!I39,'06.07 NIMULE-GULU'!I39)</f>
        <v>0.14285714285714285</v>
      </c>
      <c r="J39" s="49">
        <f>AVERAGE('31.07 NIMULE-GULU'!J39,'01.07 NIMULE-GULU'!J39,'02.07 NIMULE-GULU'!J39,'03.07 NIMULE-GULU'!J39,'04.07 NIMULE-GULU-24h'!J39,'05.07 NIMULE-GULU-24h'!J39,'06.07 NIMULE-GULU'!J39)</f>
        <v>0.2857142857142857</v>
      </c>
      <c r="K39" s="49">
        <f>AVERAGE('31.07 NIMULE-GULU'!K39,'01.07 NIMULE-GULU'!K39,'02.07 NIMULE-GULU'!K39,'03.07 NIMULE-GULU'!K39,'04.07 NIMULE-GULU-24h'!K39,'05.07 NIMULE-GULU-24h'!K39,'06.07 NIMULE-GULU'!K39)</f>
        <v>0</v>
      </c>
      <c r="L39" s="49">
        <f>AVERAGE('31.07 NIMULE-GULU'!L39,'01.07 NIMULE-GULU'!L39,'02.07 NIMULE-GULU'!L39,'03.07 NIMULE-GULU'!L39,'04.07 NIMULE-GULU-24h'!L39,'05.07 NIMULE-GULU-24h'!L39,'06.07 NIMULE-GULU'!L39)</f>
        <v>3</v>
      </c>
      <c r="M39" s="49">
        <f>AVERAGE('31.07 NIMULE-GULU'!M39,'01.07 NIMULE-GULU'!M39,'02.07 NIMULE-GULU'!M39,'03.07 NIMULE-GULU'!M39,'04.07 NIMULE-GULU-24h'!M39,'05.07 NIMULE-GULU-24h'!M39,'06.07 NIMULE-GULU'!M39)</f>
        <v>8.1428571428571423</v>
      </c>
      <c r="N39" s="49">
        <f>AVERAGE('31.07 NIMULE-GULU'!N39,'01.07 NIMULE-GULU'!N39,'02.07 NIMULE-GULU'!N39,'03.07 NIMULE-GULU'!N39,'04.07 NIMULE-GULU-24h'!N39,'05.07 NIMULE-GULU-24h'!N39,'06.07 NIMULE-GULU'!N39)</f>
        <v>0</v>
      </c>
      <c r="O39" s="15">
        <f t="shared" si="0"/>
        <v>5.7142857142857135</v>
      </c>
      <c r="P39" s="15">
        <f t="shared" si="1"/>
        <v>13.857142857142856</v>
      </c>
      <c r="R39" s="29" t="s">
        <v>87</v>
      </c>
      <c r="S39" s="54">
        <f t="shared" ref="S39:AF39" si="31">SUM(S19:S21)</f>
        <v>10.285714285714286</v>
      </c>
      <c r="T39" s="54">
        <f t="shared" si="31"/>
        <v>3.5714285714285712</v>
      </c>
      <c r="U39" s="54">
        <f t="shared" si="31"/>
        <v>9.5714285714285712</v>
      </c>
      <c r="V39" s="54">
        <f t="shared" si="31"/>
        <v>0.14285714285714285</v>
      </c>
      <c r="W39" s="54">
        <f t="shared" si="31"/>
        <v>0.2857142857142857</v>
      </c>
      <c r="X39" s="54">
        <f t="shared" si="31"/>
        <v>0.99999999999999978</v>
      </c>
      <c r="Y39" s="54">
        <f t="shared" si="31"/>
        <v>5.1428571428571432</v>
      </c>
      <c r="Z39" s="54">
        <f t="shared" si="31"/>
        <v>1</v>
      </c>
      <c r="AA39" s="54">
        <f t="shared" si="31"/>
        <v>0.85714285714285698</v>
      </c>
      <c r="AB39" s="54">
        <f t="shared" si="31"/>
        <v>11.714285714285714</v>
      </c>
      <c r="AC39" s="54">
        <f t="shared" si="31"/>
        <v>69.857142857142861</v>
      </c>
      <c r="AD39" s="54">
        <f t="shared" si="31"/>
        <v>0</v>
      </c>
      <c r="AE39" s="55">
        <f t="shared" si="31"/>
        <v>43.571428571428569</v>
      </c>
      <c r="AF39" s="55">
        <f t="shared" si="31"/>
        <v>113.42857142857142</v>
      </c>
    </row>
    <row r="40" spans="2:32" ht="23.1" customHeight="1" x14ac:dyDescent="0.25">
      <c r="B40" s="24" t="s">
        <v>67</v>
      </c>
      <c r="C40" s="49">
        <f>AVERAGE('31.07 NIMULE-GULU'!C40,'01.07 NIMULE-GULU'!C40,'02.07 NIMULE-GULU'!C40,'03.07 NIMULE-GULU'!C40,'04.07 NIMULE-GULU-24h'!C40,'05.07 NIMULE-GULU-24h'!C40,'06.07 NIMULE-GULU'!C40)</f>
        <v>0.7142857142857143</v>
      </c>
      <c r="D40" s="49">
        <f>AVERAGE('31.07 NIMULE-GULU'!D40,'01.07 NIMULE-GULU'!D40,'02.07 NIMULE-GULU'!D40,'03.07 NIMULE-GULU'!D40,'04.07 NIMULE-GULU-24h'!D40,'05.07 NIMULE-GULU-24h'!D40,'06.07 NIMULE-GULU'!D40)</f>
        <v>0.14285714285714285</v>
      </c>
      <c r="E40" s="49">
        <f>AVERAGE('31.07 NIMULE-GULU'!E40,'01.07 NIMULE-GULU'!E40,'02.07 NIMULE-GULU'!E40,'03.07 NIMULE-GULU'!E40,'04.07 NIMULE-GULU-24h'!E40,'05.07 NIMULE-GULU-24h'!E40,'06.07 NIMULE-GULU'!E40)</f>
        <v>1</v>
      </c>
      <c r="F40" s="49">
        <f>AVERAGE('31.07 NIMULE-GULU'!F40,'01.07 NIMULE-GULU'!F40,'02.07 NIMULE-GULU'!F40,'03.07 NIMULE-GULU'!F40,'04.07 NIMULE-GULU-24h'!F40,'05.07 NIMULE-GULU-24h'!F40,'06.07 NIMULE-GULU'!F40)</f>
        <v>0</v>
      </c>
      <c r="G40" s="49">
        <f>AVERAGE('31.07 NIMULE-GULU'!G40,'01.07 NIMULE-GULU'!G40,'02.07 NIMULE-GULU'!G40,'03.07 NIMULE-GULU'!G40,'04.07 NIMULE-GULU-24h'!G40,'05.07 NIMULE-GULU-24h'!G40,'06.07 NIMULE-GULU'!G40)</f>
        <v>0.14285714285714285</v>
      </c>
      <c r="H40" s="49">
        <f>AVERAGE('31.07 NIMULE-GULU'!H40,'01.07 NIMULE-GULU'!H40,'02.07 NIMULE-GULU'!H40,'03.07 NIMULE-GULU'!H40,'04.07 NIMULE-GULU-24h'!H40,'05.07 NIMULE-GULU-24h'!H40,'06.07 NIMULE-GULU'!H40)</f>
        <v>0.14285714285714285</v>
      </c>
      <c r="I40" s="49">
        <f>AVERAGE('31.07 NIMULE-GULU'!I40,'01.07 NIMULE-GULU'!I40,'02.07 NIMULE-GULU'!I40,'03.07 NIMULE-GULU'!I40,'04.07 NIMULE-GULU-24h'!I40,'05.07 NIMULE-GULU-24h'!I40,'06.07 NIMULE-GULU'!I40)</f>
        <v>0</v>
      </c>
      <c r="J40" s="49">
        <f>AVERAGE('31.07 NIMULE-GULU'!J40,'01.07 NIMULE-GULU'!J40,'02.07 NIMULE-GULU'!J40,'03.07 NIMULE-GULU'!J40,'04.07 NIMULE-GULU-24h'!J40,'05.07 NIMULE-GULU-24h'!J40,'06.07 NIMULE-GULU'!J40)</f>
        <v>0.14285714285714285</v>
      </c>
      <c r="K40" s="49">
        <f>AVERAGE('31.07 NIMULE-GULU'!K40,'01.07 NIMULE-GULU'!K40,'02.07 NIMULE-GULU'!K40,'03.07 NIMULE-GULU'!K40,'04.07 NIMULE-GULU-24h'!K40,'05.07 NIMULE-GULU-24h'!K40,'06.07 NIMULE-GULU'!K40)</f>
        <v>0</v>
      </c>
      <c r="L40" s="49">
        <f>AVERAGE('31.07 NIMULE-GULU'!L40,'01.07 NIMULE-GULU'!L40,'02.07 NIMULE-GULU'!L40,'03.07 NIMULE-GULU'!L40,'04.07 NIMULE-GULU-24h'!L40,'05.07 NIMULE-GULU-24h'!L40,'06.07 NIMULE-GULU'!L40)</f>
        <v>1.1428571428571428</v>
      </c>
      <c r="M40" s="49">
        <f>AVERAGE('31.07 NIMULE-GULU'!M40,'01.07 NIMULE-GULU'!M40,'02.07 NIMULE-GULU'!M40,'03.07 NIMULE-GULU'!M40,'04.07 NIMULE-GULU-24h'!M40,'05.07 NIMULE-GULU-24h'!M40,'06.07 NIMULE-GULU'!M40)</f>
        <v>6.4285714285714288</v>
      </c>
      <c r="N40" s="49">
        <f>AVERAGE('31.07 NIMULE-GULU'!N40,'01.07 NIMULE-GULU'!N40,'02.07 NIMULE-GULU'!N40,'03.07 NIMULE-GULU'!N40,'04.07 NIMULE-GULU-24h'!N40,'05.07 NIMULE-GULU-24h'!N40,'06.07 NIMULE-GULU'!N40)</f>
        <v>0</v>
      </c>
      <c r="O40" s="15">
        <f t="shared" si="0"/>
        <v>3.4285714285714284</v>
      </c>
      <c r="P40" s="15">
        <f t="shared" si="1"/>
        <v>9.8571428571428577</v>
      </c>
      <c r="R40" s="5" t="s">
        <v>17</v>
      </c>
      <c r="S40" s="54">
        <f t="shared" ref="S40:AF40" si="32">SUM(S10:S21)</f>
        <v>41.428571428571438</v>
      </c>
      <c r="T40" s="54">
        <f t="shared" si="32"/>
        <v>12.571428571428569</v>
      </c>
      <c r="U40" s="54">
        <f t="shared" si="32"/>
        <v>30.857142857142858</v>
      </c>
      <c r="V40" s="54">
        <f t="shared" si="32"/>
        <v>0.85714285714285698</v>
      </c>
      <c r="W40" s="54">
        <f t="shared" si="32"/>
        <v>0.85714285714285698</v>
      </c>
      <c r="X40" s="54">
        <f t="shared" si="32"/>
        <v>2.2857142857142856</v>
      </c>
      <c r="Y40" s="54">
        <f t="shared" si="32"/>
        <v>20.714285714285715</v>
      </c>
      <c r="Z40" s="54">
        <f t="shared" si="32"/>
        <v>3.7142857142857135</v>
      </c>
      <c r="AA40" s="54">
        <f t="shared" si="32"/>
        <v>3.1428571428571423</v>
      </c>
      <c r="AB40" s="54">
        <f t="shared" si="32"/>
        <v>65.571428571428584</v>
      </c>
      <c r="AC40" s="54">
        <f t="shared" si="32"/>
        <v>353.28571428571428</v>
      </c>
      <c r="AD40" s="54">
        <f t="shared" si="32"/>
        <v>0</v>
      </c>
      <c r="AE40" s="55">
        <f t="shared" si="32"/>
        <v>182</v>
      </c>
      <c r="AF40" s="55">
        <f t="shared" si="32"/>
        <v>535.28571428571422</v>
      </c>
    </row>
    <row r="41" spans="2:32" ht="23.1" customHeight="1" x14ac:dyDescent="0.25">
      <c r="B41" s="23" t="s">
        <v>68</v>
      </c>
      <c r="C41" s="49">
        <f>AVERAGE('31.07 NIMULE-GULU'!C41,'01.07 NIMULE-GULU'!C41,'02.07 NIMULE-GULU'!C41,'03.07 NIMULE-GULU'!C41,'04.07 NIMULE-GULU-24h'!C41,'05.07 NIMULE-GULU-24h'!C41,'06.07 NIMULE-GULU'!C41)</f>
        <v>0.7142857142857143</v>
      </c>
      <c r="D41" s="49">
        <f>AVERAGE('31.07 NIMULE-GULU'!D41,'01.07 NIMULE-GULU'!D41,'02.07 NIMULE-GULU'!D41,'03.07 NIMULE-GULU'!D41,'04.07 NIMULE-GULU-24h'!D41,'05.07 NIMULE-GULU-24h'!D41,'06.07 NIMULE-GULU'!D41)</f>
        <v>0.42857142857142855</v>
      </c>
      <c r="E41" s="49">
        <f>AVERAGE('31.07 NIMULE-GULU'!E41,'01.07 NIMULE-GULU'!E41,'02.07 NIMULE-GULU'!E41,'03.07 NIMULE-GULU'!E41,'04.07 NIMULE-GULU-24h'!E41,'05.07 NIMULE-GULU-24h'!E41,'06.07 NIMULE-GULU'!E41)</f>
        <v>0.7142857142857143</v>
      </c>
      <c r="F41" s="49">
        <f>AVERAGE('31.07 NIMULE-GULU'!F41,'01.07 NIMULE-GULU'!F41,'02.07 NIMULE-GULU'!F41,'03.07 NIMULE-GULU'!F41,'04.07 NIMULE-GULU-24h'!F41,'05.07 NIMULE-GULU-24h'!F41,'06.07 NIMULE-GULU'!F41)</f>
        <v>0</v>
      </c>
      <c r="G41" s="49">
        <f>AVERAGE('31.07 NIMULE-GULU'!G41,'01.07 NIMULE-GULU'!G41,'02.07 NIMULE-GULU'!G41,'03.07 NIMULE-GULU'!G41,'04.07 NIMULE-GULU-24h'!G41,'05.07 NIMULE-GULU-24h'!G41,'06.07 NIMULE-GULU'!G41)</f>
        <v>0</v>
      </c>
      <c r="H41" s="49">
        <f>AVERAGE('31.07 NIMULE-GULU'!H41,'01.07 NIMULE-GULU'!H41,'02.07 NIMULE-GULU'!H41,'03.07 NIMULE-GULU'!H41,'04.07 NIMULE-GULU-24h'!H41,'05.07 NIMULE-GULU-24h'!H41,'06.07 NIMULE-GULU'!H41)</f>
        <v>0</v>
      </c>
      <c r="I41" s="49">
        <f>AVERAGE('31.07 NIMULE-GULU'!I41,'01.07 NIMULE-GULU'!I41,'02.07 NIMULE-GULU'!I41,'03.07 NIMULE-GULU'!I41,'04.07 NIMULE-GULU-24h'!I41,'05.07 NIMULE-GULU-24h'!I41,'06.07 NIMULE-GULU'!I41)</f>
        <v>0.2857142857142857</v>
      </c>
      <c r="J41" s="49">
        <f>AVERAGE('31.07 NIMULE-GULU'!J41,'01.07 NIMULE-GULU'!J41,'02.07 NIMULE-GULU'!J41,'03.07 NIMULE-GULU'!J41,'04.07 NIMULE-GULU-24h'!J41,'05.07 NIMULE-GULU-24h'!J41,'06.07 NIMULE-GULU'!J41)</f>
        <v>0</v>
      </c>
      <c r="K41" s="49">
        <f>AVERAGE('31.07 NIMULE-GULU'!K41,'01.07 NIMULE-GULU'!K41,'02.07 NIMULE-GULU'!K41,'03.07 NIMULE-GULU'!K41,'04.07 NIMULE-GULU-24h'!K41,'05.07 NIMULE-GULU-24h'!K41,'06.07 NIMULE-GULU'!K41)</f>
        <v>0</v>
      </c>
      <c r="L41" s="49">
        <f>AVERAGE('31.07 NIMULE-GULU'!L41,'01.07 NIMULE-GULU'!L41,'02.07 NIMULE-GULU'!L41,'03.07 NIMULE-GULU'!L41,'04.07 NIMULE-GULU-24h'!L41,'05.07 NIMULE-GULU-24h'!L41,'06.07 NIMULE-GULU'!L41)</f>
        <v>1.1428571428571428</v>
      </c>
      <c r="M41" s="49">
        <f>AVERAGE('31.07 NIMULE-GULU'!M41,'01.07 NIMULE-GULU'!M41,'02.07 NIMULE-GULU'!M41,'03.07 NIMULE-GULU'!M41,'04.07 NIMULE-GULU-24h'!M41,'05.07 NIMULE-GULU-24h'!M41,'06.07 NIMULE-GULU'!M41)</f>
        <v>6.5714285714285712</v>
      </c>
      <c r="N41" s="49">
        <f>AVERAGE('31.07 NIMULE-GULU'!N41,'01.07 NIMULE-GULU'!N41,'02.07 NIMULE-GULU'!N41,'03.07 NIMULE-GULU'!N41,'04.07 NIMULE-GULU-24h'!N41,'05.07 NIMULE-GULU-24h'!N41,'06.07 NIMULE-GULU'!N41)</f>
        <v>0</v>
      </c>
      <c r="O41" s="15">
        <f t="shared" si="0"/>
        <v>3.2857142857142856</v>
      </c>
      <c r="P41" s="15">
        <f t="shared" si="1"/>
        <v>9.8571428571428577</v>
      </c>
      <c r="R41" s="5" t="s">
        <v>176</v>
      </c>
      <c r="S41" s="54">
        <f>SUM(S10:S33)</f>
        <v>42.928571428571438</v>
      </c>
      <c r="T41" s="54">
        <f t="shared" ref="T41:AD41" si="33">SUM(T10:T33)</f>
        <v>13.571428571428569</v>
      </c>
      <c r="U41" s="54">
        <f t="shared" si="33"/>
        <v>34.357142857142861</v>
      </c>
      <c r="V41" s="54">
        <f t="shared" si="33"/>
        <v>0.85714285714285698</v>
      </c>
      <c r="W41" s="54">
        <f t="shared" si="33"/>
        <v>0.85714285714285698</v>
      </c>
      <c r="X41" s="54">
        <f t="shared" si="33"/>
        <v>2.7857142857142856</v>
      </c>
      <c r="Y41" s="54">
        <f t="shared" si="33"/>
        <v>21.714285714285715</v>
      </c>
      <c r="Z41" s="54">
        <f t="shared" si="33"/>
        <v>3.7142857142857135</v>
      </c>
      <c r="AA41" s="54">
        <f t="shared" si="33"/>
        <v>3.1428571428571423</v>
      </c>
      <c r="AB41" s="54">
        <f t="shared" si="33"/>
        <v>66.071428571428584</v>
      </c>
      <c r="AC41" s="54">
        <f t="shared" si="33"/>
        <v>358.28571428571428</v>
      </c>
      <c r="AD41" s="54">
        <f t="shared" si="33"/>
        <v>0</v>
      </c>
      <c r="AE41" s="55">
        <f>SUM(AE10:AE33)</f>
        <v>190</v>
      </c>
      <c r="AF41" s="55">
        <f>SUM(AF10:AF33)</f>
        <v>548.28571428571422</v>
      </c>
    </row>
    <row r="42" spans="2:32" ht="23.1" customHeight="1" x14ac:dyDescent="0.25">
      <c r="B42" s="24" t="s">
        <v>69</v>
      </c>
      <c r="C42" s="49">
        <f>AVERAGE('31.07 NIMULE-GULU'!C42,'01.07 NIMULE-GULU'!C42,'02.07 NIMULE-GULU'!C42,'03.07 NIMULE-GULU'!C42,'04.07 NIMULE-GULU-24h'!C42,'05.07 NIMULE-GULU-24h'!C42,'06.07 NIMULE-GULU'!C42)</f>
        <v>0.7142857142857143</v>
      </c>
      <c r="D42" s="49">
        <f>AVERAGE('31.07 NIMULE-GULU'!D42,'01.07 NIMULE-GULU'!D42,'02.07 NIMULE-GULU'!D42,'03.07 NIMULE-GULU'!D42,'04.07 NIMULE-GULU-24h'!D42,'05.07 NIMULE-GULU-24h'!D42,'06.07 NIMULE-GULU'!D42)</f>
        <v>1</v>
      </c>
      <c r="E42" s="49">
        <f>AVERAGE('31.07 NIMULE-GULU'!E42,'01.07 NIMULE-GULU'!E42,'02.07 NIMULE-GULU'!E42,'03.07 NIMULE-GULU'!E42,'04.07 NIMULE-GULU-24h'!E42,'05.07 NIMULE-GULU-24h'!E42,'06.07 NIMULE-GULU'!E42)</f>
        <v>1.1428571428571428</v>
      </c>
      <c r="F42" s="49">
        <f>AVERAGE('31.07 NIMULE-GULU'!F42,'01.07 NIMULE-GULU'!F42,'02.07 NIMULE-GULU'!F42,'03.07 NIMULE-GULU'!F42,'04.07 NIMULE-GULU-24h'!F42,'05.07 NIMULE-GULU-24h'!F42,'06.07 NIMULE-GULU'!F42)</f>
        <v>0</v>
      </c>
      <c r="G42" s="49">
        <f>AVERAGE('31.07 NIMULE-GULU'!G42,'01.07 NIMULE-GULU'!G42,'02.07 NIMULE-GULU'!G42,'03.07 NIMULE-GULU'!G42,'04.07 NIMULE-GULU-24h'!G42,'05.07 NIMULE-GULU-24h'!G42,'06.07 NIMULE-GULU'!G42)</f>
        <v>0</v>
      </c>
      <c r="H42" s="49">
        <f>AVERAGE('31.07 NIMULE-GULU'!H42,'01.07 NIMULE-GULU'!H42,'02.07 NIMULE-GULU'!H42,'03.07 NIMULE-GULU'!H42,'04.07 NIMULE-GULU-24h'!H42,'05.07 NIMULE-GULU-24h'!H42,'06.07 NIMULE-GULU'!H42)</f>
        <v>0</v>
      </c>
      <c r="I42" s="49">
        <f>AVERAGE('31.07 NIMULE-GULU'!I42,'01.07 NIMULE-GULU'!I42,'02.07 NIMULE-GULU'!I42,'03.07 NIMULE-GULU'!I42,'04.07 NIMULE-GULU-24h'!I42,'05.07 NIMULE-GULU-24h'!I42,'06.07 NIMULE-GULU'!I42)</f>
        <v>0</v>
      </c>
      <c r="J42" s="49">
        <f>AVERAGE('31.07 NIMULE-GULU'!J42,'01.07 NIMULE-GULU'!J42,'02.07 NIMULE-GULU'!J42,'03.07 NIMULE-GULU'!J42,'04.07 NIMULE-GULU-24h'!J42,'05.07 NIMULE-GULU-24h'!J42,'06.07 NIMULE-GULU'!J42)</f>
        <v>0</v>
      </c>
      <c r="K42" s="49">
        <f>AVERAGE('31.07 NIMULE-GULU'!K42,'01.07 NIMULE-GULU'!K42,'02.07 NIMULE-GULU'!K42,'03.07 NIMULE-GULU'!K42,'04.07 NIMULE-GULU-24h'!K42,'05.07 NIMULE-GULU-24h'!K42,'06.07 NIMULE-GULU'!K42)</f>
        <v>0.2857142857142857</v>
      </c>
      <c r="L42" s="49">
        <f>AVERAGE('31.07 NIMULE-GULU'!L42,'01.07 NIMULE-GULU'!L42,'02.07 NIMULE-GULU'!L42,'03.07 NIMULE-GULU'!L42,'04.07 NIMULE-GULU-24h'!L42,'05.07 NIMULE-GULU-24h'!L42,'06.07 NIMULE-GULU'!L42)</f>
        <v>1.2857142857142858</v>
      </c>
      <c r="M42" s="49">
        <f>AVERAGE('31.07 NIMULE-GULU'!M42,'01.07 NIMULE-GULU'!M42,'02.07 NIMULE-GULU'!M42,'03.07 NIMULE-GULU'!M42,'04.07 NIMULE-GULU-24h'!M42,'05.07 NIMULE-GULU-24h'!M42,'06.07 NIMULE-GULU'!M42)</f>
        <v>9.5714285714285712</v>
      </c>
      <c r="N42" s="49">
        <f>AVERAGE('31.07 NIMULE-GULU'!N42,'01.07 NIMULE-GULU'!N42,'02.07 NIMULE-GULU'!N42,'03.07 NIMULE-GULU'!N42,'04.07 NIMULE-GULU-24h'!N42,'05.07 NIMULE-GULU-24h'!N42,'06.07 NIMULE-GULU'!N42)</f>
        <v>0</v>
      </c>
      <c r="O42" s="15">
        <f t="shared" si="0"/>
        <v>4.4285714285714288</v>
      </c>
      <c r="P42" s="15">
        <f t="shared" si="1"/>
        <v>14</v>
      </c>
      <c r="R42" s="5" t="s">
        <v>160</v>
      </c>
      <c r="S42" s="48">
        <f>S41/S40</f>
        <v>1.0362068965517242</v>
      </c>
      <c r="T42" s="48">
        <f t="shared" ref="T42:AF42" si="34">T41/T40</f>
        <v>1.0795454545454546</v>
      </c>
      <c r="U42" s="48">
        <f t="shared" si="34"/>
        <v>1.113425925925926</v>
      </c>
      <c r="V42" s="48">
        <f t="shared" si="34"/>
        <v>1</v>
      </c>
      <c r="W42" s="48">
        <f t="shared" si="34"/>
        <v>1</v>
      </c>
      <c r="X42" s="48">
        <f t="shared" si="34"/>
        <v>1.21875</v>
      </c>
      <c r="Y42" s="48">
        <f t="shared" si="34"/>
        <v>1.0482758620689656</v>
      </c>
      <c r="Z42" s="48">
        <f t="shared" si="34"/>
        <v>1</v>
      </c>
      <c r="AA42" s="48">
        <f t="shared" si="34"/>
        <v>1</v>
      </c>
      <c r="AB42" s="48">
        <f t="shared" si="34"/>
        <v>1.0076252723311547</v>
      </c>
      <c r="AC42" s="48">
        <f t="shared" si="34"/>
        <v>1.014152850788516</v>
      </c>
      <c r="AD42" s="48" t="e">
        <f t="shared" si="34"/>
        <v>#DIV/0!</v>
      </c>
      <c r="AE42" s="56">
        <f t="shared" si="34"/>
        <v>1.043956043956044</v>
      </c>
      <c r="AF42" s="56">
        <f t="shared" si="34"/>
        <v>1.0242860955431012</v>
      </c>
    </row>
    <row r="43" spans="2:32" ht="23.1" customHeight="1" x14ac:dyDescent="0.25">
      <c r="B43" s="23" t="s">
        <v>70</v>
      </c>
      <c r="C43" s="49">
        <f>AVERAGE('31.07 NIMULE-GULU'!C43,'01.07 NIMULE-GULU'!C43,'02.07 NIMULE-GULU'!C43,'03.07 NIMULE-GULU'!C43,'04.07 NIMULE-GULU-24h'!C43,'05.07 NIMULE-GULU-24h'!C43,'06.07 NIMULE-GULU'!C43)</f>
        <v>1.4285714285714286</v>
      </c>
      <c r="D43" s="49">
        <f>AVERAGE('31.07 NIMULE-GULU'!D43,'01.07 NIMULE-GULU'!D43,'02.07 NIMULE-GULU'!D43,'03.07 NIMULE-GULU'!D43,'04.07 NIMULE-GULU-24h'!D43,'05.07 NIMULE-GULU-24h'!D43,'06.07 NIMULE-GULU'!D43)</f>
        <v>0.5714285714285714</v>
      </c>
      <c r="E43" s="49">
        <f>AVERAGE('31.07 NIMULE-GULU'!E43,'01.07 NIMULE-GULU'!E43,'02.07 NIMULE-GULU'!E43,'03.07 NIMULE-GULU'!E43,'04.07 NIMULE-GULU-24h'!E43,'05.07 NIMULE-GULU-24h'!E43,'06.07 NIMULE-GULU'!E43)</f>
        <v>0.7142857142857143</v>
      </c>
      <c r="F43" s="49">
        <f>AVERAGE('31.07 NIMULE-GULU'!F43,'01.07 NIMULE-GULU'!F43,'02.07 NIMULE-GULU'!F43,'03.07 NIMULE-GULU'!F43,'04.07 NIMULE-GULU-24h'!F43,'05.07 NIMULE-GULU-24h'!F43,'06.07 NIMULE-GULU'!F43)</f>
        <v>0</v>
      </c>
      <c r="G43" s="49">
        <f>AVERAGE('31.07 NIMULE-GULU'!G43,'01.07 NIMULE-GULU'!G43,'02.07 NIMULE-GULU'!G43,'03.07 NIMULE-GULU'!G43,'04.07 NIMULE-GULU-24h'!G43,'05.07 NIMULE-GULU-24h'!G43,'06.07 NIMULE-GULU'!G43)</f>
        <v>0</v>
      </c>
      <c r="H43" s="49">
        <f>AVERAGE('31.07 NIMULE-GULU'!H43,'01.07 NIMULE-GULU'!H43,'02.07 NIMULE-GULU'!H43,'03.07 NIMULE-GULU'!H43,'04.07 NIMULE-GULU-24h'!H43,'05.07 NIMULE-GULU-24h'!H43,'06.07 NIMULE-GULU'!H43)</f>
        <v>0</v>
      </c>
      <c r="I43" s="49">
        <f>AVERAGE('31.07 NIMULE-GULU'!I43,'01.07 NIMULE-GULU'!I43,'02.07 NIMULE-GULU'!I43,'03.07 NIMULE-GULU'!I43,'04.07 NIMULE-GULU-24h'!I43,'05.07 NIMULE-GULU-24h'!I43,'06.07 NIMULE-GULU'!I43)</f>
        <v>0</v>
      </c>
      <c r="J43" s="49">
        <f>AVERAGE('31.07 NIMULE-GULU'!J43,'01.07 NIMULE-GULU'!J43,'02.07 NIMULE-GULU'!J43,'03.07 NIMULE-GULU'!J43,'04.07 NIMULE-GULU-24h'!J43,'05.07 NIMULE-GULU-24h'!J43,'06.07 NIMULE-GULU'!J43)</f>
        <v>0</v>
      </c>
      <c r="K43" s="49">
        <f>AVERAGE('31.07 NIMULE-GULU'!K43,'01.07 NIMULE-GULU'!K43,'02.07 NIMULE-GULU'!K43,'03.07 NIMULE-GULU'!K43,'04.07 NIMULE-GULU-24h'!K43,'05.07 NIMULE-GULU-24h'!K43,'06.07 NIMULE-GULU'!K43)</f>
        <v>0.14285714285714285</v>
      </c>
      <c r="L43" s="49">
        <f>AVERAGE('31.07 NIMULE-GULU'!L43,'01.07 NIMULE-GULU'!L43,'02.07 NIMULE-GULU'!L43,'03.07 NIMULE-GULU'!L43,'04.07 NIMULE-GULU-24h'!L43,'05.07 NIMULE-GULU-24h'!L43,'06.07 NIMULE-GULU'!L43)</f>
        <v>0.5714285714285714</v>
      </c>
      <c r="M43" s="49">
        <f>AVERAGE('31.07 NIMULE-GULU'!M43,'01.07 NIMULE-GULU'!M43,'02.07 NIMULE-GULU'!M43,'03.07 NIMULE-GULU'!M43,'04.07 NIMULE-GULU-24h'!M43,'05.07 NIMULE-GULU-24h'!M43,'06.07 NIMULE-GULU'!M43)</f>
        <v>8.8571428571428577</v>
      </c>
      <c r="N43" s="49">
        <f>AVERAGE('31.07 NIMULE-GULU'!N43,'01.07 NIMULE-GULU'!N43,'02.07 NIMULE-GULU'!N43,'03.07 NIMULE-GULU'!N43,'04.07 NIMULE-GULU-24h'!N43,'05.07 NIMULE-GULU-24h'!N43,'06.07 NIMULE-GULU'!N43)</f>
        <v>0</v>
      </c>
      <c r="O43" s="15">
        <f t="shared" si="0"/>
        <v>3.4285714285714288</v>
      </c>
      <c r="P43" s="15">
        <f t="shared" si="1"/>
        <v>12.285714285714286</v>
      </c>
    </row>
    <row r="44" spans="2:32" ht="23.1" customHeight="1" x14ac:dyDescent="0.25">
      <c r="B44" s="25" t="s">
        <v>71</v>
      </c>
      <c r="C44" s="49">
        <f>AVERAGE('31.07 NIMULE-GULU'!C44,'01.07 NIMULE-GULU'!C44,'02.07 NIMULE-GULU'!C44,'03.07 NIMULE-GULU'!C44,'04.07 NIMULE-GULU-24h'!C44,'05.07 NIMULE-GULU-24h'!C44,'06.07 NIMULE-GULU'!C44)</f>
        <v>1.2857142857142858</v>
      </c>
      <c r="D44" s="49">
        <f>AVERAGE('31.07 NIMULE-GULU'!D44,'01.07 NIMULE-GULU'!D44,'02.07 NIMULE-GULU'!D44,'03.07 NIMULE-GULU'!D44,'04.07 NIMULE-GULU-24h'!D44,'05.07 NIMULE-GULU-24h'!D44,'06.07 NIMULE-GULU'!D44)</f>
        <v>0.42857142857142855</v>
      </c>
      <c r="E44" s="49">
        <f>AVERAGE('31.07 NIMULE-GULU'!E44,'01.07 NIMULE-GULU'!E44,'02.07 NIMULE-GULU'!E44,'03.07 NIMULE-GULU'!E44,'04.07 NIMULE-GULU-24h'!E44,'05.07 NIMULE-GULU-24h'!E44,'06.07 NIMULE-GULU'!E44)</f>
        <v>0.5714285714285714</v>
      </c>
      <c r="F44" s="49">
        <f>AVERAGE('31.07 NIMULE-GULU'!F44,'01.07 NIMULE-GULU'!F44,'02.07 NIMULE-GULU'!F44,'03.07 NIMULE-GULU'!F44,'04.07 NIMULE-GULU-24h'!F44,'05.07 NIMULE-GULU-24h'!F44,'06.07 NIMULE-GULU'!F44)</f>
        <v>0</v>
      </c>
      <c r="G44" s="49">
        <f>AVERAGE('31.07 NIMULE-GULU'!G44,'01.07 NIMULE-GULU'!G44,'02.07 NIMULE-GULU'!G44,'03.07 NIMULE-GULU'!G44,'04.07 NIMULE-GULU-24h'!G44,'05.07 NIMULE-GULU-24h'!G44,'06.07 NIMULE-GULU'!G44)</f>
        <v>0</v>
      </c>
      <c r="H44" s="49">
        <f>AVERAGE('31.07 NIMULE-GULU'!H44,'01.07 NIMULE-GULU'!H44,'02.07 NIMULE-GULU'!H44,'03.07 NIMULE-GULU'!H44,'04.07 NIMULE-GULU-24h'!H44,'05.07 NIMULE-GULU-24h'!H44,'06.07 NIMULE-GULU'!H44)</f>
        <v>0</v>
      </c>
      <c r="I44" s="49">
        <f>AVERAGE('31.07 NIMULE-GULU'!I44,'01.07 NIMULE-GULU'!I44,'02.07 NIMULE-GULU'!I44,'03.07 NIMULE-GULU'!I44,'04.07 NIMULE-GULU-24h'!I44,'05.07 NIMULE-GULU-24h'!I44,'06.07 NIMULE-GULU'!I44)</f>
        <v>0.42857142857142855</v>
      </c>
      <c r="J44" s="49">
        <f>AVERAGE('31.07 NIMULE-GULU'!J44,'01.07 NIMULE-GULU'!J44,'02.07 NIMULE-GULU'!J44,'03.07 NIMULE-GULU'!J44,'04.07 NIMULE-GULU-24h'!J44,'05.07 NIMULE-GULU-24h'!J44,'06.07 NIMULE-GULU'!J44)</f>
        <v>0</v>
      </c>
      <c r="K44" s="49">
        <f>AVERAGE('31.07 NIMULE-GULU'!K44,'01.07 NIMULE-GULU'!K44,'02.07 NIMULE-GULU'!K44,'03.07 NIMULE-GULU'!K44,'04.07 NIMULE-GULU-24h'!K44,'05.07 NIMULE-GULU-24h'!K44,'06.07 NIMULE-GULU'!K44)</f>
        <v>0.14285714285714285</v>
      </c>
      <c r="L44" s="49">
        <f>AVERAGE('31.07 NIMULE-GULU'!L44,'01.07 NIMULE-GULU'!L44,'02.07 NIMULE-GULU'!L44,'03.07 NIMULE-GULU'!L44,'04.07 NIMULE-GULU-24h'!L44,'05.07 NIMULE-GULU-24h'!L44,'06.07 NIMULE-GULU'!L44)</f>
        <v>1.2857142857142858</v>
      </c>
      <c r="M44" s="49">
        <f>AVERAGE('31.07 NIMULE-GULU'!M44,'01.07 NIMULE-GULU'!M44,'02.07 NIMULE-GULU'!M44,'03.07 NIMULE-GULU'!M44,'04.07 NIMULE-GULU-24h'!M44,'05.07 NIMULE-GULU-24h'!M44,'06.07 NIMULE-GULU'!M44)</f>
        <v>10.142857142857142</v>
      </c>
      <c r="N44" s="49">
        <f>AVERAGE('31.07 NIMULE-GULU'!N44,'01.07 NIMULE-GULU'!N44,'02.07 NIMULE-GULU'!N44,'03.07 NIMULE-GULU'!N44,'04.07 NIMULE-GULU-24h'!N44,'05.07 NIMULE-GULU-24h'!N44,'06.07 NIMULE-GULU'!N44)</f>
        <v>0</v>
      </c>
      <c r="O44" s="15">
        <f t="shared" si="0"/>
        <v>4.1428571428571423</v>
      </c>
      <c r="P44" s="15">
        <f t="shared" si="1"/>
        <v>14.285714285714285</v>
      </c>
    </row>
    <row r="45" spans="2:32" ht="23.1" customHeight="1" x14ac:dyDescent="0.25">
      <c r="B45" s="23" t="s">
        <v>72</v>
      </c>
      <c r="C45" s="49">
        <f>AVERAGE('31.07 NIMULE-GULU'!C45,'01.07 NIMULE-GULU'!C45,'02.07 NIMULE-GULU'!C45,'03.07 NIMULE-GULU'!C45,'04.07 NIMULE-GULU-24h'!C45,'05.07 NIMULE-GULU-24h'!C45,'06.07 NIMULE-GULU'!C45)</f>
        <v>1.8571428571428572</v>
      </c>
      <c r="D45" s="49">
        <f>AVERAGE('31.07 NIMULE-GULU'!D45,'01.07 NIMULE-GULU'!D45,'02.07 NIMULE-GULU'!D45,'03.07 NIMULE-GULU'!D45,'04.07 NIMULE-GULU-24h'!D45,'05.07 NIMULE-GULU-24h'!D45,'06.07 NIMULE-GULU'!D45)</f>
        <v>0.14285714285714285</v>
      </c>
      <c r="E45" s="49">
        <f>AVERAGE('31.07 NIMULE-GULU'!E45,'01.07 NIMULE-GULU'!E45,'02.07 NIMULE-GULU'!E45,'03.07 NIMULE-GULU'!E45,'04.07 NIMULE-GULU-24h'!E45,'05.07 NIMULE-GULU-24h'!E45,'06.07 NIMULE-GULU'!E45)</f>
        <v>0.2857142857142857</v>
      </c>
      <c r="F45" s="49">
        <f>AVERAGE('31.07 NIMULE-GULU'!F45,'01.07 NIMULE-GULU'!F45,'02.07 NIMULE-GULU'!F45,'03.07 NIMULE-GULU'!F45,'04.07 NIMULE-GULU-24h'!F45,'05.07 NIMULE-GULU-24h'!F45,'06.07 NIMULE-GULU'!F45)</f>
        <v>0</v>
      </c>
      <c r="G45" s="49">
        <f>AVERAGE('31.07 NIMULE-GULU'!G45,'01.07 NIMULE-GULU'!G45,'02.07 NIMULE-GULU'!G45,'03.07 NIMULE-GULU'!G45,'04.07 NIMULE-GULU-24h'!G45,'05.07 NIMULE-GULU-24h'!G45,'06.07 NIMULE-GULU'!G45)</f>
        <v>0.14285714285714285</v>
      </c>
      <c r="H45" s="49">
        <f>AVERAGE('31.07 NIMULE-GULU'!H45,'01.07 NIMULE-GULU'!H45,'02.07 NIMULE-GULU'!H45,'03.07 NIMULE-GULU'!H45,'04.07 NIMULE-GULU-24h'!H45,'05.07 NIMULE-GULU-24h'!H45,'06.07 NIMULE-GULU'!H45)</f>
        <v>0.14285714285714285</v>
      </c>
      <c r="I45" s="49">
        <f>AVERAGE('31.07 NIMULE-GULU'!I45,'01.07 NIMULE-GULU'!I45,'02.07 NIMULE-GULU'!I45,'03.07 NIMULE-GULU'!I45,'04.07 NIMULE-GULU-24h'!I45,'05.07 NIMULE-GULU-24h'!I45,'06.07 NIMULE-GULU'!I45)</f>
        <v>0.2857142857142857</v>
      </c>
      <c r="J45" s="49">
        <f>AVERAGE('31.07 NIMULE-GULU'!J45,'01.07 NIMULE-GULU'!J45,'02.07 NIMULE-GULU'!J45,'03.07 NIMULE-GULU'!J45,'04.07 NIMULE-GULU-24h'!J45,'05.07 NIMULE-GULU-24h'!J45,'06.07 NIMULE-GULU'!J45)</f>
        <v>0</v>
      </c>
      <c r="K45" s="49">
        <f>AVERAGE('31.07 NIMULE-GULU'!K45,'01.07 NIMULE-GULU'!K45,'02.07 NIMULE-GULU'!K45,'03.07 NIMULE-GULU'!K45,'04.07 NIMULE-GULU-24h'!K45,'05.07 NIMULE-GULU-24h'!K45,'06.07 NIMULE-GULU'!K45)</f>
        <v>0.2857142857142857</v>
      </c>
      <c r="L45" s="49">
        <f>AVERAGE('31.07 NIMULE-GULU'!L45,'01.07 NIMULE-GULU'!L45,'02.07 NIMULE-GULU'!L45,'03.07 NIMULE-GULU'!L45,'04.07 NIMULE-GULU-24h'!L45,'05.07 NIMULE-GULU-24h'!L45,'06.07 NIMULE-GULU'!L45)</f>
        <v>0.7142857142857143</v>
      </c>
      <c r="M45" s="49">
        <f>AVERAGE('31.07 NIMULE-GULU'!M45,'01.07 NIMULE-GULU'!M45,'02.07 NIMULE-GULU'!M45,'03.07 NIMULE-GULU'!M45,'04.07 NIMULE-GULU-24h'!M45,'05.07 NIMULE-GULU-24h'!M45,'06.07 NIMULE-GULU'!M45)</f>
        <v>4.7142857142857144</v>
      </c>
      <c r="N45" s="49">
        <f>AVERAGE('31.07 NIMULE-GULU'!N45,'01.07 NIMULE-GULU'!N45,'02.07 NIMULE-GULU'!N45,'03.07 NIMULE-GULU'!N45,'04.07 NIMULE-GULU-24h'!N45,'05.07 NIMULE-GULU-24h'!N45,'06.07 NIMULE-GULU'!N45)</f>
        <v>0</v>
      </c>
      <c r="O45" s="15">
        <f t="shared" si="0"/>
        <v>3.8571428571428568</v>
      </c>
      <c r="P45" s="15">
        <f t="shared" si="1"/>
        <v>8.5714285714285712</v>
      </c>
    </row>
    <row r="46" spans="2:32" ht="23.1" customHeight="1" x14ac:dyDescent="0.25">
      <c r="B46" s="24" t="s">
        <v>73</v>
      </c>
      <c r="C46" s="49">
        <f>AVERAGE('31.07 NIMULE-GULU'!C46,'01.07 NIMULE-GULU'!C46,'02.07 NIMULE-GULU'!C46,'03.07 NIMULE-GULU'!C46,'04.07 NIMULE-GULU-24h'!C46,'05.07 NIMULE-GULU-24h'!C46,'06.07 NIMULE-GULU'!C46)</f>
        <v>0.2857142857142857</v>
      </c>
      <c r="D46" s="49">
        <f>AVERAGE('31.07 NIMULE-GULU'!D46,'01.07 NIMULE-GULU'!D46,'02.07 NIMULE-GULU'!D46,'03.07 NIMULE-GULU'!D46,'04.07 NIMULE-GULU-24h'!D46,'05.07 NIMULE-GULU-24h'!D46,'06.07 NIMULE-GULU'!D46)</f>
        <v>0.2857142857142857</v>
      </c>
      <c r="E46" s="49">
        <f>AVERAGE('31.07 NIMULE-GULU'!E46,'01.07 NIMULE-GULU'!E46,'02.07 NIMULE-GULU'!E46,'03.07 NIMULE-GULU'!E46,'04.07 NIMULE-GULU-24h'!E46,'05.07 NIMULE-GULU-24h'!E46,'06.07 NIMULE-GULU'!E46)</f>
        <v>0.5714285714285714</v>
      </c>
      <c r="F46" s="49">
        <f>AVERAGE('31.07 NIMULE-GULU'!F46,'01.07 NIMULE-GULU'!F46,'02.07 NIMULE-GULU'!F46,'03.07 NIMULE-GULU'!F46,'04.07 NIMULE-GULU-24h'!F46,'05.07 NIMULE-GULU-24h'!F46,'06.07 NIMULE-GULU'!F46)</f>
        <v>0</v>
      </c>
      <c r="G46" s="49">
        <f>AVERAGE('31.07 NIMULE-GULU'!G46,'01.07 NIMULE-GULU'!G46,'02.07 NIMULE-GULU'!G46,'03.07 NIMULE-GULU'!G46,'04.07 NIMULE-GULU-24h'!G46,'05.07 NIMULE-GULU-24h'!G46,'06.07 NIMULE-GULU'!G46)</f>
        <v>0</v>
      </c>
      <c r="H46" s="49">
        <f>AVERAGE('31.07 NIMULE-GULU'!H46,'01.07 NIMULE-GULU'!H46,'02.07 NIMULE-GULU'!H46,'03.07 NIMULE-GULU'!H46,'04.07 NIMULE-GULU-24h'!H46,'05.07 NIMULE-GULU-24h'!H46,'06.07 NIMULE-GULU'!H46)</f>
        <v>0</v>
      </c>
      <c r="I46" s="49">
        <f>AVERAGE('31.07 NIMULE-GULU'!I46,'01.07 NIMULE-GULU'!I46,'02.07 NIMULE-GULU'!I46,'03.07 NIMULE-GULU'!I46,'04.07 NIMULE-GULU-24h'!I46,'05.07 NIMULE-GULU-24h'!I46,'06.07 NIMULE-GULU'!I46)</f>
        <v>0.2857142857142857</v>
      </c>
      <c r="J46" s="49">
        <f>AVERAGE('31.07 NIMULE-GULU'!J46,'01.07 NIMULE-GULU'!J46,'02.07 NIMULE-GULU'!J46,'03.07 NIMULE-GULU'!J46,'04.07 NIMULE-GULU-24h'!J46,'05.07 NIMULE-GULU-24h'!J46,'06.07 NIMULE-GULU'!J46)</f>
        <v>0.14285714285714285</v>
      </c>
      <c r="K46" s="49">
        <f>AVERAGE('31.07 NIMULE-GULU'!K46,'01.07 NIMULE-GULU'!K46,'02.07 NIMULE-GULU'!K46,'03.07 NIMULE-GULU'!K46,'04.07 NIMULE-GULU-24h'!K46,'05.07 NIMULE-GULU-24h'!K46,'06.07 NIMULE-GULU'!K46)</f>
        <v>0.14285714285714285</v>
      </c>
      <c r="L46" s="49">
        <f>AVERAGE('31.07 NIMULE-GULU'!L46,'01.07 NIMULE-GULU'!L46,'02.07 NIMULE-GULU'!L46,'03.07 NIMULE-GULU'!L46,'04.07 NIMULE-GULU-24h'!L46,'05.07 NIMULE-GULU-24h'!L46,'06.07 NIMULE-GULU'!L46)</f>
        <v>1</v>
      </c>
      <c r="M46" s="49">
        <f>AVERAGE('31.07 NIMULE-GULU'!M46,'01.07 NIMULE-GULU'!M46,'02.07 NIMULE-GULU'!M46,'03.07 NIMULE-GULU'!M46,'04.07 NIMULE-GULU-24h'!M46,'05.07 NIMULE-GULU-24h'!M46,'06.07 NIMULE-GULU'!M46)</f>
        <v>4.4285714285714288</v>
      </c>
      <c r="N46" s="49">
        <f>AVERAGE('31.07 NIMULE-GULU'!N46,'01.07 NIMULE-GULU'!N46,'02.07 NIMULE-GULU'!N46,'03.07 NIMULE-GULU'!N46,'04.07 NIMULE-GULU-24h'!N46,'05.07 NIMULE-GULU-24h'!N46,'06.07 NIMULE-GULU'!N46)</f>
        <v>0</v>
      </c>
      <c r="O46" s="15">
        <f t="shared" si="0"/>
        <v>2.714285714285714</v>
      </c>
      <c r="P46" s="15">
        <f t="shared" si="1"/>
        <v>7.1428571428571423</v>
      </c>
      <c r="R46" s="8"/>
      <c r="T46"/>
    </row>
    <row r="47" spans="2:32" ht="23.1" customHeight="1" x14ac:dyDescent="0.25">
      <c r="B47" s="24" t="s">
        <v>74</v>
      </c>
      <c r="C47" s="49">
        <f>AVERAGE('31.07 NIMULE-GULU'!C47,'01.07 NIMULE-GULU'!C47,'02.07 NIMULE-GULU'!C47,'03.07 NIMULE-GULU'!C47,'04.07 NIMULE-GULU-24h'!C47,'05.07 NIMULE-GULU-24h'!C47,'06.07 NIMULE-GULU'!C47)</f>
        <v>0.7142857142857143</v>
      </c>
      <c r="D47" s="49">
        <f>AVERAGE('31.07 NIMULE-GULU'!D47,'01.07 NIMULE-GULU'!D47,'02.07 NIMULE-GULU'!D47,'03.07 NIMULE-GULU'!D47,'04.07 NIMULE-GULU-24h'!D47,'05.07 NIMULE-GULU-24h'!D47,'06.07 NIMULE-GULU'!D47)</f>
        <v>0.42857142857142855</v>
      </c>
      <c r="E47" s="49">
        <f>AVERAGE('31.07 NIMULE-GULU'!E47,'01.07 NIMULE-GULU'!E47,'02.07 NIMULE-GULU'!E47,'03.07 NIMULE-GULU'!E47,'04.07 NIMULE-GULU-24h'!E47,'05.07 NIMULE-GULU-24h'!E47,'06.07 NIMULE-GULU'!E47)</f>
        <v>0.7142857142857143</v>
      </c>
      <c r="F47" s="49">
        <f>AVERAGE('31.07 NIMULE-GULU'!F47,'01.07 NIMULE-GULU'!F47,'02.07 NIMULE-GULU'!F47,'03.07 NIMULE-GULU'!F47,'04.07 NIMULE-GULU-24h'!F47,'05.07 NIMULE-GULU-24h'!F47,'06.07 NIMULE-GULU'!F47)</f>
        <v>0</v>
      </c>
      <c r="G47" s="49">
        <f>AVERAGE('31.07 NIMULE-GULU'!G47,'01.07 NIMULE-GULU'!G47,'02.07 NIMULE-GULU'!G47,'03.07 NIMULE-GULU'!G47,'04.07 NIMULE-GULU-24h'!G47,'05.07 NIMULE-GULU-24h'!G47,'06.07 NIMULE-GULU'!G47)</f>
        <v>0</v>
      </c>
      <c r="H47" s="49">
        <f>AVERAGE('31.07 NIMULE-GULU'!H47,'01.07 NIMULE-GULU'!H47,'02.07 NIMULE-GULU'!H47,'03.07 NIMULE-GULU'!H47,'04.07 NIMULE-GULU-24h'!H47,'05.07 NIMULE-GULU-24h'!H47,'06.07 NIMULE-GULU'!H47)</f>
        <v>0</v>
      </c>
      <c r="I47" s="49">
        <f>AVERAGE('31.07 NIMULE-GULU'!I47,'01.07 NIMULE-GULU'!I47,'02.07 NIMULE-GULU'!I47,'03.07 NIMULE-GULU'!I47,'04.07 NIMULE-GULU-24h'!I47,'05.07 NIMULE-GULU-24h'!I47,'06.07 NIMULE-GULU'!I47)</f>
        <v>0.42857142857142855</v>
      </c>
      <c r="J47" s="49">
        <f>AVERAGE('31.07 NIMULE-GULU'!J47,'01.07 NIMULE-GULU'!J47,'02.07 NIMULE-GULU'!J47,'03.07 NIMULE-GULU'!J47,'04.07 NIMULE-GULU-24h'!J47,'05.07 NIMULE-GULU-24h'!J47,'06.07 NIMULE-GULU'!J47)</f>
        <v>0</v>
      </c>
      <c r="K47" s="49">
        <f>AVERAGE('31.07 NIMULE-GULU'!K47,'01.07 NIMULE-GULU'!K47,'02.07 NIMULE-GULU'!K47,'03.07 NIMULE-GULU'!K47,'04.07 NIMULE-GULU-24h'!K47,'05.07 NIMULE-GULU-24h'!K47,'06.07 NIMULE-GULU'!K47)</f>
        <v>0</v>
      </c>
      <c r="L47" s="49">
        <f>AVERAGE('31.07 NIMULE-GULU'!L47,'01.07 NIMULE-GULU'!L47,'02.07 NIMULE-GULU'!L47,'03.07 NIMULE-GULU'!L47,'04.07 NIMULE-GULU-24h'!L47,'05.07 NIMULE-GULU-24h'!L47,'06.07 NIMULE-GULU'!L47)</f>
        <v>0.7142857142857143</v>
      </c>
      <c r="M47" s="49">
        <f>AVERAGE('31.07 NIMULE-GULU'!M47,'01.07 NIMULE-GULU'!M47,'02.07 NIMULE-GULU'!M47,'03.07 NIMULE-GULU'!M47,'04.07 NIMULE-GULU-24h'!M47,'05.07 NIMULE-GULU-24h'!M47,'06.07 NIMULE-GULU'!M47)</f>
        <v>6</v>
      </c>
      <c r="N47" s="49">
        <f>AVERAGE('31.07 NIMULE-GULU'!N47,'01.07 NIMULE-GULU'!N47,'02.07 NIMULE-GULU'!N47,'03.07 NIMULE-GULU'!N47,'04.07 NIMULE-GULU-24h'!N47,'05.07 NIMULE-GULU-24h'!N47,'06.07 NIMULE-GULU'!N47)</f>
        <v>0</v>
      </c>
      <c r="O47" s="15">
        <f t="shared" si="0"/>
        <v>3</v>
      </c>
      <c r="P47" s="15">
        <f t="shared" si="1"/>
        <v>9</v>
      </c>
      <c r="R47" s="8"/>
      <c r="T47"/>
    </row>
    <row r="48" spans="2:32" ht="23.1" customHeight="1" x14ac:dyDescent="0.25">
      <c r="B48" s="24" t="s">
        <v>75</v>
      </c>
      <c r="C48" s="49">
        <f>AVERAGE('31.07 NIMULE-GULU'!C48,'01.07 NIMULE-GULU'!C48,'02.07 NIMULE-GULU'!C48,'03.07 NIMULE-GULU'!C48,'04.07 NIMULE-GULU-24h'!C48,'05.07 NIMULE-GULU-24h'!C48,'06.07 NIMULE-GULU'!C48)</f>
        <v>1.2857142857142858</v>
      </c>
      <c r="D48" s="49">
        <f>AVERAGE('31.07 NIMULE-GULU'!D48,'01.07 NIMULE-GULU'!D48,'02.07 NIMULE-GULU'!D48,'03.07 NIMULE-GULU'!D48,'04.07 NIMULE-GULU-24h'!D48,'05.07 NIMULE-GULU-24h'!D48,'06.07 NIMULE-GULU'!D48)</f>
        <v>0.2857142857142857</v>
      </c>
      <c r="E48" s="49">
        <f>AVERAGE('31.07 NIMULE-GULU'!E48,'01.07 NIMULE-GULU'!E48,'02.07 NIMULE-GULU'!E48,'03.07 NIMULE-GULU'!E48,'04.07 NIMULE-GULU-24h'!E48,'05.07 NIMULE-GULU-24h'!E48,'06.07 NIMULE-GULU'!E48)</f>
        <v>1</v>
      </c>
      <c r="F48" s="49">
        <f>AVERAGE('31.07 NIMULE-GULU'!F48,'01.07 NIMULE-GULU'!F48,'02.07 NIMULE-GULU'!F48,'03.07 NIMULE-GULU'!F48,'04.07 NIMULE-GULU-24h'!F48,'05.07 NIMULE-GULU-24h'!F48,'06.07 NIMULE-GULU'!F48)</f>
        <v>0</v>
      </c>
      <c r="G48" s="49">
        <f>AVERAGE('31.07 NIMULE-GULU'!G48,'01.07 NIMULE-GULU'!G48,'02.07 NIMULE-GULU'!G48,'03.07 NIMULE-GULU'!G48,'04.07 NIMULE-GULU-24h'!G48,'05.07 NIMULE-GULU-24h'!G48,'06.07 NIMULE-GULU'!G48)</f>
        <v>0</v>
      </c>
      <c r="H48" s="49">
        <f>AVERAGE('31.07 NIMULE-GULU'!H48,'01.07 NIMULE-GULU'!H48,'02.07 NIMULE-GULU'!H48,'03.07 NIMULE-GULU'!H48,'04.07 NIMULE-GULU-24h'!H48,'05.07 NIMULE-GULU-24h'!H48,'06.07 NIMULE-GULU'!H48)</f>
        <v>0</v>
      </c>
      <c r="I48" s="49">
        <f>AVERAGE('31.07 NIMULE-GULU'!I48,'01.07 NIMULE-GULU'!I48,'02.07 NIMULE-GULU'!I48,'03.07 NIMULE-GULU'!I48,'04.07 NIMULE-GULU-24h'!I48,'05.07 NIMULE-GULU-24h'!I48,'06.07 NIMULE-GULU'!I48)</f>
        <v>0.42857142857142855</v>
      </c>
      <c r="J48" s="49">
        <f>AVERAGE('31.07 NIMULE-GULU'!J48,'01.07 NIMULE-GULU'!J48,'02.07 NIMULE-GULU'!J48,'03.07 NIMULE-GULU'!J48,'04.07 NIMULE-GULU-24h'!J48,'05.07 NIMULE-GULU-24h'!J48,'06.07 NIMULE-GULU'!J48)</f>
        <v>0</v>
      </c>
      <c r="K48" s="49">
        <f>AVERAGE('31.07 NIMULE-GULU'!K48,'01.07 NIMULE-GULU'!K48,'02.07 NIMULE-GULU'!K48,'03.07 NIMULE-GULU'!K48,'04.07 NIMULE-GULU-24h'!K48,'05.07 NIMULE-GULU-24h'!K48,'06.07 NIMULE-GULU'!K48)</f>
        <v>0</v>
      </c>
      <c r="L48" s="49">
        <f>AVERAGE('31.07 NIMULE-GULU'!L48,'01.07 NIMULE-GULU'!L48,'02.07 NIMULE-GULU'!L48,'03.07 NIMULE-GULU'!L48,'04.07 NIMULE-GULU-24h'!L48,'05.07 NIMULE-GULU-24h'!L48,'06.07 NIMULE-GULU'!L48)</f>
        <v>1.4285714285714286</v>
      </c>
      <c r="M48" s="49">
        <f>AVERAGE('31.07 NIMULE-GULU'!M48,'01.07 NIMULE-GULU'!M48,'02.07 NIMULE-GULU'!M48,'03.07 NIMULE-GULU'!M48,'04.07 NIMULE-GULU-24h'!M48,'05.07 NIMULE-GULU-24h'!M48,'06.07 NIMULE-GULU'!M48)</f>
        <v>4.5714285714285712</v>
      </c>
      <c r="N48" s="49">
        <f>AVERAGE('31.07 NIMULE-GULU'!N48,'01.07 NIMULE-GULU'!N48,'02.07 NIMULE-GULU'!N48,'03.07 NIMULE-GULU'!N48,'04.07 NIMULE-GULU-24h'!N48,'05.07 NIMULE-GULU-24h'!N48,'06.07 NIMULE-GULU'!N48)</f>
        <v>0</v>
      </c>
      <c r="O48" s="15">
        <f t="shared" si="0"/>
        <v>4.4285714285714288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49">
        <f>AVERAGE('31.07 NIMULE-GULU'!C49,'01.07 NIMULE-GULU'!C49,'02.07 NIMULE-GULU'!C49,'03.07 NIMULE-GULU'!C49,'04.07 NIMULE-GULU-24h'!C49,'05.07 NIMULE-GULU-24h'!C49,'06.07 NIMULE-GULU'!C49)</f>
        <v>0.7142857142857143</v>
      </c>
      <c r="D49" s="49">
        <f>AVERAGE('31.07 NIMULE-GULU'!D49,'01.07 NIMULE-GULU'!D49,'02.07 NIMULE-GULU'!D49,'03.07 NIMULE-GULU'!D49,'04.07 NIMULE-GULU-24h'!D49,'05.07 NIMULE-GULU-24h'!D49,'06.07 NIMULE-GULU'!D49)</f>
        <v>0.42857142857142855</v>
      </c>
      <c r="E49" s="49">
        <f>AVERAGE('31.07 NIMULE-GULU'!E49,'01.07 NIMULE-GULU'!E49,'02.07 NIMULE-GULU'!E49,'03.07 NIMULE-GULU'!E49,'04.07 NIMULE-GULU-24h'!E49,'05.07 NIMULE-GULU-24h'!E49,'06.07 NIMULE-GULU'!E49)</f>
        <v>0.5714285714285714</v>
      </c>
      <c r="F49" s="49">
        <f>AVERAGE('31.07 NIMULE-GULU'!F49,'01.07 NIMULE-GULU'!F49,'02.07 NIMULE-GULU'!F49,'03.07 NIMULE-GULU'!F49,'04.07 NIMULE-GULU-24h'!F49,'05.07 NIMULE-GULU-24h'!F49,'06.07 NIMULE-GULU'!F49)</f>
        <v>0</v>
      </c>
      <c r="G49" s="49">
        <f>AVERAGE('31.07 NIMULE-GULU'!G49,'01.07 NIMULE-GULU'!G49,'02.07 NIMULE-GULU'!G49,'03.07 NIMULE-GULU'!G49,'04.07 NIMULE-GULU-24h'!G49,'05.07 NIMULE-GULU-24h'!G49,'06.07 NIMULE-GULU'!G49)</f>
        <v>0</v>
      </c>
      <c r="H49" s="49">
        <f>AVERAGE('31.07 NIMULE-GULU'!H49,'01.07 NIMULE-GULU'!H49,'02.07 NIMULE-GULU'!H49,'03.07 NIMULE-GULU'!H49,'04.07 NIMULE-GULU-24h'!H49,'05.07 NIMULE-GULU-24h'!H49,'06.07 NIMULE-GULU'!H49)</f>
        <v>0</v>
      </c>
      <c r="I49" s="49">
        <f>AVERAGE('31.07 NIMULE-GULU'!I49,'01.07 NIMULE-GULU'!I49,'02.07 NIMULE-GULU'!I49,'03.07 NIMULE-GULU'!I49,'04.07 NIMULE-GULU-24h'!I49,'05.07 NIMULE-GULU-24h'!I49,'06.07 NIMULE-GULU'!I49)</f>
        <v>0.42857142857142855</v>
      </c>
      <c r="J49" s="49">
        <f>AVERAGE('31.07 NIMULE-GULU'!J49,'01.07 NIMULE-GULU'!J49,'02.07 NIMULE-GULU'!J49,'03.07 NIMULE-GULU'!J49,'04.07 NIMULE-GULU-24h'!J49,'05.07 NIMULE-GULU-24h'!J49,'06.07 NIMULE-GULU'!J49)</f>
        <v>0.14285714285714285</v>
      </c>
      <c r="K49" s="49">
        <f>AVERAGE('31.07 NIMULE-GULU'!K49,'01.07 NIMULE-GULU'!K49,'02.07 NIMULE-GULU'!K49,'03.07 NIMULE-GULU'!K49,'04.07 NIMULE-GULU-24h'!K49,'05.07 NIMULE-GULU-24h'!K49,'06.07 NIMULE-GULU'!K49)</f>
        <v>0</v>
      </c>
      <c r="L49" s="49">
        <f>AVERAGE('31.07 NIMULE-GULU'!L49,'01.07 NIMULE-GULU'!L49,'02.07 NIMULE-GULU'!L49,'03.07 NIMULE-GULU'!L49,'04.07 NIMULE-GULU-24h'!L49,'05.07 NIMULE-GULU-24h'!L49,'06.07 NIMULE-GULU'!L49)</f>
        <v>0.2857142857142857</v>
      </c>
      <c r="M49" s="49">
        <f>AVERAGE('31.07 NIMULE-GULU'!M49,'01.07 NIMULE-GULU'!M49,'02.07 NIMULE-GULU'!M49,'03.07 NIMULE-GULU'!M49,'04.07 NIMULE-GULU-24h'!M49,'05.07 NIMULE-GULU-24h'!M49,'06.07 NIMULE-GULU'!M49)</f>
        <v>6.4285714285714288</v>
      </c>
      <c r="N49" s="49">
        <f>AVERAGE('31.07 NIMULE-GULU'!N49,'01.07 NIMULE-GULU'!N49,'02.07 NIMULE-GULU'!N49,'03.07 NIMULE-GULU'!N49,'04.07 NIMULE-GULU-24h'!N49,'05.07 NIMULE-GULU-24h'!N49,'06.07 NIMULE-GULU'!N49)</f>
        <v>0</v>
      </c>
      <c r="O49" s="15">
        <f t="shared" si="0"/>
        <v>2.5714285714285712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49">
        <f>AVERAGE('31.07 NIMULE-GULU'!C50,'01.07 NIMULE-GULU'!C50,'02.07 NIMULE-GULU'!C50,'03.07 NIMULE-GULU'!C50,'04.07 NIMULE-GULU-24h'!C50,'05.07 NIMULE-GULU-24h'!C50,'06.07 NIMULE-GULU'!C50)</f>
        <v>1</v>
      </c>
      <c r="D50" s="49">
        <f>AVERAGE('31.07 NIMULE-GULU'!D50,'01.07 NIMULE-GULU'!D50,'02.07 NIMULE-GULU'!D50,'03.07 NIMULE-GULU'!D50,'04.07 NIMULE-GULU-24h'!D50,'05.07 NIMULE-GULU-24h'!D50,'06.07 NIMULE-GULU'!D50)</f>
        <v>0.2857142857142857</v>
      </c>
      <c r="E50" s="49">
        <f>AVERAGE('31.07 NIMULE-GULU'!E50,'01.07 NIMULE-GULU'!E50,'02.07 NIMULE-GULU'!E50,'03.07 NIMULE-GULU'!E50,'04.07 NIMULE-GULU-24h'!E50,'05.07 NIMULE-GULU-24h'!E50,'06.07 NIMULE-GULU'!E50)</f>
        <v>0.8571428571428571</v>
      </c>
      <c r="F50" s="49">
        <f>AVERAGE('31.07 NIMULE-GULU'!F50,'01.07 NIMULE-GULU'!F50,'02.07 NIMULE-GULU'!F50,'03.07 NIMULE-GULU'!F50,'04.07 NIMULE-GULU-24h'!F50,'05.07 NIMULE-GULU-24h'!F50,'06.07 NIMULE-GULU'!F50)</f>
        <v>0</v>
      </c>
      <c r="G50" s="49">
        <f>AVERAGE('31.07 NIMULE-GULU'!G50,'01.07 NIMULE-GULU'!G50,'02.07 NIMULE-GULU'!G50,'03.07 NIMULE-GULU'!G50,'04.07 NIMULE-GULU-24h'!G50,'05.07 NIMULE-GULU-24h'!G50,'06.07 NIMULE-GULU'!G50)</f>
        <v>0.14285714285714285</v>
      </c>
      <c r="H50" s="49">
        <f>AVERAGE('31.07 NIMULE-GULU'!H50,'01.07 NIMULE-GULU'!H50,'02.07 NIMULE-GULU'!H50,'03.07 NIMULE-GULU'!H50,'04.07 NIMULE-GULU-24h'!H50,'05.07 NIMULE-GULU-24h'!H50,'06.07 NIMULE-GULU'!H50)</f>
        <v>0</v>
      </c>
      <c r="I50" s="49">
        <f>AVERAGE('31.07 NIMULE-GULU'!I50,'01.07 NIMULE-GULU'!I50,'02.07 NIMULE-GULU'!I50,'03.07 NIMULE-GULU'!I50,'04.07 NIMULE-GULU-24h'!I50,'05.07 NIMULE-GULU-24h'!I50,'06.07 NIMULE-GULU'!I50)</f>
        <v>0.7142857142857143</v>
      </c>
      <c r="J50" s="49">
        <f>AVERAGE('31.07 NIMULE-GULU'!J50,'01.07 NIMULE-GULU'!J50,'02.07 NIMULE-GULU'!J50,'03.07 NIMULE-GULU'!J50,'04.07 NIMULE-GULU-24h'!J50,'05.07 NIMULE-GULU-24h'!J50,'06.07 NIMULE-GULU'!J50)</f>
        <v>0</v>
      </c>
      <c r="K50" s="49">
        <f>AVERAGE('31.07 NIMULE-GULU'!K50,'01.07 NIMULE-GULU'!K50,'02.07 NIMULE-GULU'!K50,'03.07 NIMULE-GULU'!K50,'04.07 NIMULE-GULU-24h'!K50,'05.07 NIMULE-GULU-24h'!K50,'06.07 NIMULE-GULU'!K50)</f>
        <v>0</v>
      </c>
      <c r="L50" s="49">
        <f>AVERAGE('31.07 NIMULE-GULU'!L50,'01.07 NIMULE-GULU'!L50,'02.07 NIMULE-GULU'!L50,'03.07 NIMULE-GULU'!L50,'04.07 NIMULE-GULU-24h'!L50,'05.07 NIMULE-GULU-24h'!L50,'06.07 NIMULE-GULU'!L50)</f>
        <v>0.8571428571428571</v>
      </c>
      <c r="M50" s="49">
        <f>AVERAGE('31.07 NIMULE-GULU'!M50,'01.07 NIMULE-GULU'!M50,'02.07 NIMULE-GULU'!M50,'03.07 NIMULE-GULU'!M50,'04.07 NIMULE-GULU-24h'!M50,'05.07 NIMULE-GULU-24h'!M50,'06.07 NIMULE-GULU'!M50)</f>
        <v>8</v>
      </c>
      <c r="N50" s="49">
        <f>AVERAGE('31.07 NIMULE-GULU'!N50,'01.07 NIMULE-GULU'!N50,'02.07 NIMULE-GULU'!N50,'03.07 NIMULE-GULU'!N50,'04.07 NIMULE-GULU-24h'!N50,'05.07 NIMULE-GULU-24h'!N50,'06.07 NIMULE-GULU'!N50)</f>
        <v>0</v>
      </c>
      <c r="O50" s="15">
        <f t="shared" si="0"/>
        <v>3.8571428571428572</v>
      </c>
      <c r="P50" s="15">
        <f t="shared" si="1"/>
        <v>11.857142857142858</v>
      </c>
      <c r="R50" s="8"/>
      <c r="T50"/>
    </row>
    <row r="51" spans="2:20" ht="23.1" customHeight="1" x14ac:dyDescent="0.25">
      <c r="B51" s="24" t="s">
        <v>78</v>
      </c>
      <c r="C51" s="49">
        <f>AVERAGE('31.07 NIMULE-GULU'!C51,'01.07 NIMULE-GULU'!C51,'02.07 NIMULE-GULU'!C51,'03.07 NIMULE-GULU'!C51,'04.07 NIMULE-GULU-24h'!C51,'05.07 NIMULE-GULU-24h'!C51,'06.07 NIMULE-GULU'!C51)</f>
        <v>1.4285714285714286</v>
      </c>
      <c r="D51" s="49">
        <f>AVERAGE('31.07 NIMULE-GULU'!D51,'01.07 NIMULE-GULU'!D51,'02.07 NIMULE-GULU'!D51,'03.07 NIMULE-GULU'!D51,'04.07 NIMULE-GULU-24h'!D51,'05.07 NIMULE-GULU-24h'!D51,'06.07 NIMULE-GULU'!D51)</f>
        <v>0.42857142857142855</v>
      </c>
      <c r="E51" s="49">
        <f>AVERAGE('31.07 NIMULE-GULU'!E51,'01.07 NIMULE-GULU'!E51,'02.07 NIMULE-GULU'!E51,'03.07 NIMULE-GULU'!E51,'04.07 NIMULE-GULU-24h'!E51,'05.07 NIMULE-GULU-24h'!E51,'06.07 NIMULE-GULU'!E51)</f>
        <v>1</v>
      </c>
      <c r="F51" s="49">
        <f>AVERAGE('31.07 NIMULE-GULU'!F51,'01.07 NIMULE-GULU'!F51,'02.07 NIMULE-GULU'!F51,'03.07 NIMULE-GULU'!F51,'04.07 NIMULE-GULU-24h'!F51,'05.07 NIMULE-GULU-24h'!F51,'06.07 NIMULE-GULU'!F51)</f>
        <v>0</v>
      </c>
      <c r="G51" s="49">
        <f>AVERAGE('31.07 NIMULE-GULU'!G51,'01.07 NIMULE-GULU'!G51,'02.07 NIMULE-GULU'!G51,'03.07 NIMULE-GULU'!G51,'04.07 NIMULE-GULU-24h'!G51,'05.07 NIMULE-GULU-24h'!G51,'06.07 NIMULE-GULU'!G51)</f>
        <v>0</v>
      </c>
      <c r="H51" s="49">
        <f>AVERAGE('31.07 NIMULE-GULU'!H51,'01.07 NIMULE-GULU'!H51,'02.07 NIMULE-GULU'!H51,'03.07 NIMULE-GULU'!H51,'04.07 NIMULE-GULU-24h'!H51,'05.07 NIMULE-GULU-24h'!H51,'06.07 NIMULE-GULU'!H51)</f>
        <v>0</v>
      </c>
      <c r="I51" s="49">
        <f>AVERAGE('31.07 NIMULE-GULU'!I51,'01.07 NIMULE-GULU'!I51,'02.07 NIMULE-GULU'!I51,'03.07 NIMULE-GULU'!I51,'04.07 NIMULE-GULU-24h'!I51,'05.07 NIMULE-GULU-24h'!I51,'06.07 NIMULE-GULU'!I51)</f>
        <v>0.2857142857142857</v>
      </c>
      <c r="J51" s="49">
        <f>AVERAGE('31.07 NIMULE-GULU'!J51,'01.07 NIMULE-GULU'!J51,'02.07 NIMULE-GULU'!J51,'03.07 NIMULE-GULU'!J51,'04.07 NIMULE-GULU-24h'!J51,'05.07 NIMULE-GULU-24h'!J51,'06.07 NIMULE-GULU'!J51)</f>
        <v>0.14285714285714285</v>
      </c>
      <c r="K51" s="49">
        <f>AVERAGE('31.07 NIMULE-GULU'!K51,'01.07 NIMULE-GULU'!K51,'02.07 NIMULE-GULU'!K51,'03.07 NIMULE-GULU'!K51,'04.07 NIMULE-GULU-24h'!K51,'05.07 NIMULE-GULU-24h'!K51,'06.07 NIMULE-GULU'!K51)</f>
        <v>0</v>
      </c>
      <c r="L51" s="49">
        <f>AVERAGE('31.07 NIMULE-GULU'!L51,'01.07 NIMULE-GULU'!L51,'02.07 NIMULE-GULU'!L51,'03.07 NIMULE-GULU'!L51,'04.07 NIMULE-GULU-24h'!L51,'05.07 NIMULE-GULU-24h'!L51,'06.07 NIMULE-GULU'!L51)</f>
        <v>0.7142857142857143</v>
      </c>
      <c r="M51" s="49">
        <f>AVERAGE('31.07 NIMULE-GULU'!M51,'01.07 NIMULE-GULU'!M51,'02.07 NIMULE-GULU'!M51,'03.07 NIMULE-GULU'!M51,'04.07 NIMULE-GULU-24h'!M51,'05.07 NIMULE-GULU-24h'!M51,'06.07 NIMULE-GULU'!M51)</f>
        <v>8.1428571428571423</v>
      </c>
      <c r="N51" s="49">
        <f>AVERAGE('31.07 NIMULE-GULU'!N51,'01.07 NIMULE-GULU'!N51,'02.07 NIMULE-GULU'!N51,'03.07 NIMULE-GULU'!N51,'04.07 NIMULE-GULU-24h'!N51,'05.07 NIMULE-GULU-24h'!N51,'06.07 NIMULE-GULU'!N51)</f>
        <v>0</v>
      </c>
      <c r="O51" s="15">
        <f t="shared" si="0"/>
        <v>4</v>
      </c>
      <c r="P51" s="15">
        <f t="shared" si="1"/>
        <v>12.142857142857142</v>
      </c>
      <c r="R51" s="8"/>
      <c r="T51"/>
    </row>
    <row r="52" spans="2:20" ht="23.1" customHeight="1" x14ac:dyDescent="0.25">
      <c r="B52" s="24" t="s">
        <v>79</v>
      </c>
      <c r="C52" s="49">
        <f>AVERAGE('31.07 NIMULE-GULU'!C52,'01.07 NIMULE-GULU'!C52,'02.07 NIMULE-GULU'!C52,'03.07 NIMULE-GULU'!C52,'04.07 NIMULE-GULU-24h'!C52,'05.07 NIMULE-GULU-24h'!C52,'06.07 NIMULE-GULU'!C52)</f>
        <v>1</v>
      </c>
      <c r="D52" s="49">
        <f>AVERAGE('31.07 NIMULE-GULU'!D52,'01.07 NIMULE-GULU'!D52,'02.07 NIMULE-GULU'!D52,'03.07 NIMULE-GULU'!D52,'04.07 NIMULE-GULU-24h'!D52,'05.07 NIMULE-GULU-24h'!D52,'06.07 NIMULE-GULU'!D52)</f>
        <v>0</v>
      </c>
      <c r="E52" s="49">
        <f>AVERAGE('31.07 NIMULE-GULU'!E52,'01.07 NIMULE-GULU'!E52,'02.07 NIMULE-GULU'!E52,'03.07 NIMULE-GULU'!E52,'04.07 NIMULE-GULU-24h'!E52,'05.07 NIMULE-GULU-24h'!E52,'06.07 NIMULE-GULU'!E52)</f>
        <v>0.42857142857142855</v>
      </c>
      <c r="F52" s="49">
        <f>AVERAGE('31.07 NIMULE-GULU'!F52,'01.07 NIMULE-GULU'!F52,'02.07 NIMULE-GULU'!F52,'03.07 NIMULE-GULU'!F52,'04.07 NIMULE-GULU-24h'!F52,'05.07 NIMULE-GULU-24h'!F52,'06.07 NIMULE-GULU'!F52)</f>
        <v>0</v>
      </c>
      <c r="G52" s="49">
        <f>AVERAGE('31.07 NIMULE-GULU'!G52,'01.07 NIMULE-GULU'!G52,'02.07 NIMULE-GULU'!G52,'03.07 NIMULE-GULU'!G52,'04.07 NIMULE-GULU-24h'!G52,'05.07 NIMULE-GULU-24h'!G52,'06.07 NIMULE-GULU'!G52)</f>
        <v>0</v>
      </c>
      <c r="H52" s="49">
        <f>AVERAGE('31.07 NIMULE-GULU'!H52,'01.07 NIMULE-GULU'!H52,'02.07 NIMULE-GULU'!H52,'03.07 NIMULE-GULU'!H52,'04.07 NIMULE-GULU-24h'!H52,'05.07 NIMULE-GULU-24h'!H52,'06.07 NIMULE-GULU'!H52)</f>
        <v>0</v>
      </c>
      <c r="I52" s="49">
        <f>AVERAGE('31.07 NIMULE-GULU'!I52,'01.07 NIMULE-GULU'!I52,'02.07 NIMULE-GULU'!I52,'03.07 NIMULE-GULU'!I52,'04.07 NIMULE-GULU-24h'!I52,'05.07 NIMULE-GULU-24h'!I52,'06.07 NIMULE-GULU'!I52)</f>
        <v>0.42857142857142855</v>
      </c>
      <c r="J52" s="49">
        <f>AVERAGE('31.07 NIMULE-GULU'!J52,'01.07 NIMULE-GULU'!J52,'02.07 NIMULE-GULU'!J52,'03.07 NIMULE-GULU'!J52,'04.07 NIMULE-GULU-24h'!J52,'05.07 NIMULE-GULU-24h'!J52,'06.07 NIMULE-GULU'!J52)</f>
        <v>0</v>
      </c>
      <c r="K52" s="49">
        <f>AVERAGE('31.07 NIMULE-GULU'!K52,'01.07 NIMULE-GULU'!K52,'02.07 NIMULE-GULU'!K52,'03.07 NIMULE-GULU'!K52,'04.07 NIMULE-GULU-24h'!K52,'05.07 NIMULE-GULU-24h'!K52,'06.07 NIMULE-GULU'!K52)</f>
        <v>0</v>
      </c>
      <c r="L52" s="49">
        <f>AVERAGE('31.07 NIMULE-GULU'!L52,'01.07 NIMULE-GULU'!L52,'02.07 NIMULE-GULU'!L52,'03.07 NIMULE-GULU'!L52,'04.07 NIMULE-GULU-24h'!L52,'05.07 NIMULE-GULU-24h'!L52,'06.07 NIMULE-GULU'!L52)</f>
        <v>0.7142857142857143</v>
      </c>
      <c r="M52" s="49">
        <f>AVERAGE('31.07 NIMULE-GULU'!M52,'01.07 NIMULE-GULU'!M52,'02.07 NIMULE-GULU'!M52,'03.07 NIMULE-GULU'!M52,'04.07 NIMULE-GULU-24h'!M52,'05.07 NIMULE-GULU-24h'!M52,'06.07 NIMULE-GULU'!M52)</f>
        <v>6.4285714285714288</v>
      </c>
      <c r="N52" s="49">
        <f>AVERAGE('31.07 NIMULE-GULU'!N52,'01.07 NIMULE-GULU'!N52,'02.07 NIMULE-GULU'!N52,'03.07 NIMULE-GULU'!N52,'04.07 NIMULE-GULU-24h'!N52,'05.07 NIMULE-GULU-24h'!N52,'06.07 NIMULE-GULU'!N52)</f>
        <v>0</v>
      </c>
      <c r="O52" s="15">
        <f t="shared" si="0"/>
        <v>2.5714285714285716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49">
        <f>AVERAGE('31.07 NIMULE-GULU'!C53,'01.07 NIMULE-GULU'!C53,'02.07 NIMULE-GULU'!C53,'03.07 NIMULE-GULU'!C53,'04.07 NIMULE-GULU-24h'!C53,'05.07 NIMULE-GULU-24h'!C53,'06.07 NIMULE-GULU'!C53)</f>
        <v>0.7142857142857143</v>
      </c>
      <c r="D53" s="49">
        <f>AVERAGE('31.07 NIMULE-GULU'!D53,'01.07 NIMULE-GULU'!D53,'02.07 NIMULE-GULU'!D53,'03.07 NIMULE-GULU'!D53,'04.07 NIMULE-GULU-24h'!D53,'05.07 NIMULE-GULU-24h'!D53,'06.07 NIMULE-GULU'!D53)</f>
        <v>0.5714285714285714</v>
      </c>
      <c r="E53" s="49">
        <f>AVERAGE('31.07 NIMULE-GULU'!E53,'01.07 NIMULE-GULU'!E53,'02.07 NIMULE-GULU'!E53,'03.07 NIMULE-GULU'!E53,'04.07 NIMULE-GULU-24h'!E53,'05.07 NIMULE-GULU-24h'!E53,'06.07 NIMULE-GULU'!E53)</f>
        <v>0.7142857142857143</v>
      </c>
      <c r="F53" s="49">
        <f>AVERAGE('31.07 NIMULE-GULU'!F53,'01.07 NIMULE-GULU'!F53,'02.07 NIMULE-GULU'!F53,'03.07 NIMULE-GULU'!F53,'04.07 NIMULE-GULU-24h'!F53,'05.07 NIMULE-GULU-24h'!F53,'06.07 NIMULE-GULU'!F53)</f>
        <v>0</v>
      </c>
      <c r="G53" s="49">
        <f>AVERAGE('31.07 NIMULE-GULU'!G53,'01.07 NIMULE-GULU'!G53,'02.07 NIMULE-GULU'!G53,'03.07 NIMULE-GULU'!G53,'04.07 NIMULE-GULU-24h'!G53,'05.07 NIMULE-GULU-24h'!G53,'06.07 NIMULE-GULU'!G53)</f>
        <v>0</v>
      </c>
      <c r="H53" s="49">
        <f>AVERAGE('31.07 NIMULE-GULU'!H53,'01.07 NIMULE-GULU'!H53,'02.07 NIMULE-GULU'!H53,'03.07 NIMULE-GULU'!H53,'04.07 NIMULE-GULU-24h'!H53,'05.07 NIMULE-GULU-24h'!H53,'06.07 NIMULE-GULU'!H53)</f>
        <v>0</v>
      </c>
      <c r="I53" s="49">
        <f>AVERAGE('31.07 NIMULE-GULU'!I53,'01.07 NIMULE-GULU'!I53,'02.07 NIMULE-GULU'!I53,'03.07 NIMULE-GULU'!I53,'04.07 NIMULE-GULU-24h'!I53,'05.07 NIMULE-GULU-24h'!I53,'06.07 NIMULE-GULU'!I53)</f>
        <v>0.42857142857142855</v>
      </c>
      <c r="J53" s="49">
        <f>AVERAGE('31.07 NIMULE-GULU'!J53,'01.07 NIMULE-GULU'!J53,'02.07 NIMULE-GULU'!J53,'03.07 NIMULE-GULU'!J53,'04.07 NIMULE-GULU-24h'!J53,'05.07 NIMULE-GULU-24h'!J53,'06.07 NIMULE-GULU'!J53)</f>
        <v>0</v>
      </c>
      <c r="K53" s="49">
        <f>AVERAGE('31.07 NIMULE-GULU'!K53,'01.07 NIMULE-GULU'!K53,'02.07 NIMULE-GULU'!K53,'03.07 NIMULE-GULU'!K53,'04.07 NIMULE-GULU-24h'!K53,'05.07 NIMULE-GULU-24h'!K53,'06.07 NIMULE-GULU'!K53)</f>
        <v>0</v>
      </c>
      <c r="L53" s="49">
        <f>AVERAGE('31.07 NIMULE-GULU'!L53,'01.07 NIMULE-GULU'!L53,'02.07 NIMULE-GULU'!L53,'03.07 NIMULE-GULU'!L53,'04.07 NIMULE-GULU-24h'!L53,'05.07 NIMULE-GULU-24h'!L53,'06.07 NIMULE-GULU'!L53)</f>
        <v>0.42857142857142855</v>
      </c>
      <c r="M53" s="49">
        <f>AVERAGE('31.07 NIMULE-GULU'!M53,'01.07 NIMULE-GULU'!M53,'02.07 NIMULE-GULU'!M53,'03.07 NIMULE-GULU'!M53,'04.07 NIMULE-GULU-24h'!M53,'05.07 NIMULE-GULU-24h'!M53,'06.07 NIMULE-GULU'!M53)</f>
        <v>4.4285714285714288</v>
      </c>
      <c r="N53" s="49">
        <f>AVERAGE('31.07 NIMULE-GULU'!N53,'01.07 NIMULE-GULU'!N53,'02.07 NIMULE-GULU'!N53,'03.07 NIMULE-GULU'!N53,'04.07 NIMULE-GULU-24h'!N53,'05.07 NIMULE-GULU-24h'!N53,'06.07 NIMULE-GULU'!N53)</f>
        <v>0</v>
      </c>
      <c r="O53" s="15">
        <f t="shared" si="0"/>
        <v>2.8571428571428568</v>
      </c>
      <c r="P53" s="15">
        <f t="shared" si="1"/>
        <v>7.2857142857142856</v>
      </c>
      <c r="R53" s="8"/>
      <c r="T53"/>
    </row>
    <row r="54" spans="2:20" ht="23.1" customHeight="1" x14ac:dyDescent="0.25">
      <c r="B54" s="23" t="s">
        <v>81</v>
      </c>
      <c r="C54" s="49">
        <f>AVERAGE('31.07 NIMULE-GULU'!C54,'01.07 NIMULE-GULU'!C54,'02.07 NIMULE-GULU'!C54,'03.07 NIMULE-GULU'!C54,'04.07 NIMULE-GULU-24h'!C54,'05.07 NIMULE-GULU-24h'!C54,'06.07 NIMULE-GULU'!C54)</f>
        <v>1</v>
      </c>
      <c r="D54" s="49">
        <f>AVERAGE('31.07 NIMULE-GULU'!D54,'01.07 NIMULE-GULU'!D54,'02.07 NIMULE-GULU'!D54,'03.07 NIMULE-GULU'!D54,'04.07 NIMULE-GULU-24h'!D54,'05.07 NIMULE-GULU-24h'!D54,'06.07 NIMULE-GULU'!D54)</f>
        <v>0.2857142857142857</v>
      </c>
      <c r="E54" s="49">
        <f>AVERAGE('31.07 NIMULE-GULU'!E54,'01.07 NIMULE-GULU'!E54,'02.07 NIMULE-GULU'!E54,'03.07 NIMULE-GULU'!E54,'04.07 NIMULE-GULU-24h'!E54,'05.07 NIMULE-GULU-24h'!E54,'06.07 NIMULE-GULU'!E54)</f>
        <v>1.2857142857142858</v>
      </c>
      <c r="F54" s="49">
        <f>AVERAGE('31.07 NIMULE-GULU'!F54,'01.07 NIMULE-GULU'!F54,'02.07 NIMULE-GULU'!F54,'03.07 NIMULE-GULU'!F54,'04.07 NIMULE-GULU-24h'!F54,'05.07 NIMULE-GULU-24h'!F54,'06.07 NIMULE-GULU'!F54)</f>
        <v>0.14285714285714285</v>
      </c>
      <c r="G54" s="49">
        <f>AVERAGE('31.07 NIMULE-GULU'!G54,'01.07 NIMULE-GULU'!G54,'02.07 NIMULE-GULU'!G54,'03.07 NIMULE-GULU'!G54,'04.07 NIMULE-GULU-24h'!G54,'05.07 NIMULE-GULU-24h'!G54,'06.07 NIMULE-GULU'!G54)</f>
        <v>0</v>
      </c>
      <c r="H54" s="49">
        <f>AVERAGE('31.07 NIMULE-GULU'!H54,'01.07 NIMULE-GULU'!H54,'02.07 NIMULE-GULU'!H54,'03.07 NIMULE-GULU'!H54,'04.07 NIMULE-GULU-24h'!H54,'05.07 NIMULE-GULU-24h'!H54,'06.07 NIMULE-GULU'!H54)</f>
        <v>0.42857142857142855</v>
      </c>
      <c r="I54" s="49">
        <f>AVERAGE('31.07 NIMULE-GULU'!I54,'01.07 NIMULE-GULU'!I54,'02.07 NIMULE-GULU'!I54,'03.07 NIMULE-GULU'!I54,'04.07 NIMULE-GULU-24h'!I54,'05.07 NIMULE-GULU-24h'!I54,'06.07 NIMULE-GULU'!I54)</f>
        <v>0.8571428571428571</v>
      </c>
      <c r="J54" s="49">
        <f>AVERAGE('31.07 NIMULE-GULU'!J54,'01.07 NIMULE-GULU'!J54,'02.07 NIMULE-GULU'!J54,'03.07 NIMULE-GULU'!J54,'04.07 NIMULE-GULU-24h'!J54,'05.07 NIMULE-GULU-24h'!J54,'06.07 NIMULE-GULU'!J54)</f>
        <v>0</v>
      </c>
      <c r="K54" s="49">
        <f>AVERAGE('31.07 NIMULE-GULU'!K54,'01.07 NIMULE-GULU'!K54,'02.07 NIMULE-GULU'!K54,'03.07 NIMULE-GULU'!K54,'04.07 NIMULE-GULU-24h'!K54,'05.07 NIMULE-GULU-24h'!K54,'06.07 NIMULE-GULU'!K54)</f>
        <v>0.14285714285714285</v>
      </c>
      <c r="L54" s="49">
        <f>AVERAGE('31.07 NIMULE-GULU'!L54,'01.07 NIMULE-GULU'!L54,'02.07 NIMULE-GULU'!L54,'03.07 NIMULE-GULU'!L54,'04.07 NIMULE-GULU-24h'!L54,'05.07 NIMULE-GULU-24h'!L54,'06.07 NIMULE-GULU'!L54)</f>
        <v>1.1428571428571428</v>
      </c>
      <c r="M54" s="49">
        <f>AVERAGE('31.07 NIMULE-GULU'!M54,'01.07 NIMULE-GULU'!M54,'02.07 NIMULE-GULU'!M54,'03.07 NIMULE-GULU'!M54,'04.07 NIMULE-GULU-24h'!M54,'05.07 NIMULE-GULU-24h'!M54,'06.07 NIMULE-GULU'!M54)</f>
        <v>4.1428571428571432</v>
      </c>
      <c r="N54" s="49">
        <f>AVERAGE('31.07 NIMULE-GULU'!N54,'01.07 NIMULE-GULU'!N54,'02.07 NIMULE-GULU'!N54,'03.07 NIMULE-GULU'!N54,'04.07 NIMULE-GULU-24h'!N54,'05.07 NIMULE-GULU-24h'!N54,'06.07 NIMULE-GULU'!N54)</f>
        <v>0</v>
      </c>
      <c r="O54" s="15">
        <f t="shared" si="0"/>
        <v>5.2857142857142847</v>
      </c>
      <c r="P54" s="15">
        <f t="shared" si="1"/>
        <v>9.428571428571427</v>
      </c>
      <c r="R54" s="8"/>
      <c r="T54"/>
    </row>
    <row r="55" spans="2:20" ht="23.1" customHeight="1" x14ac:dyDescent="0.25">
      <c r="B55" s="23" t="s">
        <v>82</v>
      </c>
      <c r="C55" s="49">
        <f>AVERAGE('31.07 NIMULE-GULU'!C55,'01.07 NIMULE-GULU'!C55,'02.07 NIMULE-GULU'!C55,'03.07 NIMULE-GULU'!C55,'04.07 NIMULE-GULU-24h'!C55,'05.07 NIMULE-GULU-24h'!C55,'06.07 NIMULE-GULU'!C55)</f>
        <v>0.42857142857142855</v>
      </c>
      <c r="D55" s="49">
        <f>AVERAGE('31.07 NIMULE-GULU'!D55,'01.07 NIMULE-GULU'!D55,'02.07 NIMULE-GULU'!D55,'03.07 NIMULE-GULU'!D55,'04.07 NIMULE-GULU-24h'!D55,'05.07 NIMULE-GULU-24h'!D55,'06.07 NIMULE-GULU'!D55)</f>
        <v>0.42857142857142855</v>
      </c>
      <c r="E55" s="49">
        <f>AVERAGE('31.07 NIMULE-GULU'!E55,'01.07 NIMULE-GULU'!E55,'02.07 NIMULE-GULU'!E55,'03.07 NIMULE-GULU'!E55,'04.07 NIMULE-GULU-24h'!E55,'05.07 NIMULE-GULU-24h'!E55,'06.07 NIMULE-GULU'!E55)</f>
        <v>1.2857142857142858</v>
      </c>
      <c r="F55" s="49">
        <f>AVERAGE('31.07 NIMULE-GULU'!F55,'01.07 NIMULE-GULU'!F55,'02.07 NIMULE-GULU'!F55,'03.07 NIMULE-GULU'!F55,'04.07 NIMULE-GULU-24h'!F55,'05.07 NIMULE-GULU-24h'!F55,'06.07 NIMULE-GULU'!F55)</f>
        <v>0</v>
      </c>
      <c r="G55" s="49">
        <f>AVERAGE('31.07 NIMULE-GULU'!G55,'01.07 NIMULE-GULU'!G55,'02.07 NIMULE-GULU'!G55,'03.07 NIMULE-GULU'!G55,'04.07 NIMULE-GULU-24h'!G55,'05.07 NIMULE-GULU-24h'!G55,'06.07 NIMULE-GULU'!G55)</f>
        <v>0.14285714285714285</v>
      </c>
      <c r="H55" s="49">
        <f>AVERAGE('31.07 NIMULE-GULU'!H55,'01.07 NIMULE-GULU'!H55,'02.07 NIMULE-GULU'!H55,'03.07 NIMULE-GULU'!H55,'04.07 NIMULE-GULU-24h'!H55,'05.07 NIMULE-GULU-24h'!H55,'06.07 NIMULE-GULU'!H55)</f>
        <v>0.2857142857142857</v>
      </c>
      <c r="I55" s="49">
        <f>AVERAGE('31.07 NIMULE-GULU'!I55,'01.07 NIMULE-GULU'!I55,'02.07 NIMULE-GULU'!I55,'03.07 NIMULE-GULU'!I55,'04.07 NIMULE-GULU-24h'!I55,'05.07 NIMULE-GULU-24h'!I55,'06.07 NIMULE-GULU'!I55)</f>
        <v>0.2857142857142857</v>
      </c>
      <c r="J55" s="49">
        <f>AVERAGE('31.07 NIMULE-GULU'!J55,'01.07 NIMULE-GULU'!J55,'02.07 NIMULE-GULU'!J55,'03.07 NIMULE-GULU'!J55,'04.07 NIMULE-GULU-24h'!J55,'05.07 NIMULE-GULU-24h'!J55,'06.07 NIMULE-GULU'!J55)</f>
        <v>0.2857142857142857</v>
      </c>
      <c r="K55" s="49">
        <f>AVERAGE('31.07 NIMULE-GULU'!K55,'01.07 NIMULE-GULU'!K55,'02.07 NIMULE-GULU'!K55,'03.07 NIMULE-GULU'!K55,'04.07 NIMULE-GULU-24h'!K55,'05.07 NIMULE-GULU-24h'!K55,'06.07 NIMULE-GULU'!K55)</f>
        <v>0.14285714285714285</v>
      </c>
      <c r="L55" s="49">
        <f>AVERAGE('31.07 NIMULE-GULU'!L55,'01.07 NIMULE-GULU'!L55,'02.07 NIMULE-GULU'!L55,'03.07 NIMULE-GULU'!L55,'04.07 NIMULE-GULU-24h'!L55,'05.07 NIMULE-GULU-24h'!L55,'06.07 NIMULE-GULU'!L55)</f>
        <v>1</v>
      </c>
      <c r="M55" s="49">
        <f>AVERAGE('31.07 NIMULE-GULU'!M55,'01.07 NIMULE-GULU'!M55,'02.07 NIMULE-GULU'!M55,'03.07 NIMULE-GULU'!M55,'04.07 NIMULE-GULU-24h'!M55,'05.07 NIMULE-GULU-24h'!M55,'06.07 NIMULE-GULU'!M55)</f>
        <v>6.5714285714285712</v>
      </c>
      <c r="N55" s="49">
        <f>AVERAGE('31.07 NIMULE-GULU'!N55,'01.07 NIMULE-GULU'!N55,'02.07 NIMULE-GULU'!N55,'03.07 NIMULE-GULU'!N55,'04.07 NIMULE-GULU-24h'!N55,'05.07 NIMULE-GULU-24h'!N55,'06.07 NIMULE-GULU'!N55)</f>
        <v>0</v>
      </c>
      <c r="O55" s="15">
        <f t="shared" si="0"/>
        <v>4.2857142857142847</v>
      </c>
      <c r="P55" s="15">
        <f t="shared" si="1"/>
        <v>10.857142857142856</v>
      </c>
      <c r="R55" s="8"/>
      <c r="T55"/>
    </row>
    <row r="56" spans="2:20" ht="23.1" customHeight="1" x14ac:dyDescent="0.25">
      <c r="B56" s="23" t="s">
        <v>83</v>
      </c>
      <c r="C56" s="49">
        <f>AVERAGE('31.07 NIMULE-GULU'!C56,'01.07 NIMULE-GULU'!C56,'02.07 NIMULE-GULU'!C56,'03.07 NIMULE-GULU'!C56,'04.07 NIMULE-GULU-24h'!C56,'05.07 NIMULE-GULU-24h'!C56,'06.07 NIMULE-GULU'!C56)</f>
        <v>0.7142857142857143</v>
      </c>
      <c r="D56" s="49">
        <f>AVERAGE('31.07 NIMULE-GULU'!D56,'01.07 NIMULE-GULU'!D56,'02.07 NIMULE-GULU'!D56,'03.07 NIMULE-GULU'!D56,'04.07 NIMULE-GULU-24h'!D56,'05.07 NIMULE-GULU-24h'!D56,'06.07 NIMULE-GULU'!D56)</f>
        <v>0.14285714285714285</v>
      </c>
      <c r="E56" s="49">
        <f>AVERAGE('31.07 NIMULE-GULU'!E56,'01.07 NIMULE-GULU'!E56,'02.07 NIMULE-GULU'!E56,'03.07 NIMULE-GULU'!E56,'04.07 NIMULE-GULU-24h'!E56,'05.07 NIMULE-GULU-24h'!E56,'06.07 NIMULE-GULU'!E56)</f>
        <v>1</v>
      </c>
      <c r="F56" s="49">
        <f>AVERAGE('31.07 NIMULE-GULU'!F56,'01.07 NIMULE-GULU'!F56,'02.07 NIMULE-GULU'!F56,'03.07 NIMULE-GULU'!F56,'04.07 NIMULE-GULU-24h'!F56,'05.07 NIMULE-GULU-24h'!F56,'06.07 NIMULE-GULU'!F56)</f>
        <v>0</v>
      </c>
      <c r="G56" s="49">
        <f>AVERAGE('31.07 NIMULE-GULU'!G56,'01.07 NIMULE-GULU'!G56,'02.07 NIMULE-GULU'!G56,'03.07 NIMULE-GULU'!G56,'04.07 NIMULE-GULU-24h'!G56,'05.07 NIMULE-GULU-24h'!G56,'06.07 NIMULE-GULU'!G56)</f>
        <v>0</v>
      </c>
      <c r="H56" s="49">
        <f>AVERAGE('31.07 NIMULE-GULU'!H56,'01.07 NIMULE-GULU'!H56,'02.07 NIMULE-GULU'!H56,'03.07 NIMULE-GULU'!H56,'04.07 NIMULE-GULU-24h'!H56,'05.07 NIMULE-GULU-24h'!H56,'06.07 NIMULE-GULU'!H56)</f>
        <v>0.14285714285714285</v>
      </c>
      <c r="I56" s="49">
        <f>AVERAGE('31.07 NIMULE-GULU'!I56,'01.07 NIMULE-GULU'!I56,'02.07 NIMULE-GULU'!I56,'03.07 NIMULE-GULU'!I56,'04.07 NIMULE-GULU-24h'!I56,'05.07 NIMULE-GULU-24h'!I56,'06.07 NIMULE-GULU'!I56)</f>
        <v>0.42857142857142855</v>
      </c>
      <c r="J56" s="49">
        <f>AVERAGE('31.07 NIMULE-GULU'!J56,'01.07 NIMULE-GULU'!J56,'02.07 NIMULE-GULU'!J56,'03.07 NIMULE-GULU'!J56,'04.07 NIMULE-GULU-24h'!J56,'05.07 NIMULE-GULU-24h'!J56,'06.07 NIMULE-GULU'!J56)</f>
        <v>0</v>
      </c>
      <c r="K56" s="49">
        <f>AVERAGE('31.07 NIMULE-GULU'!K56,'01.07 NIMULE-GULU'!K56,'02.07 NIMULE-GULU'!K56,'03.07 NIMULE-GULU'!K56,'04.07 NIMULE-GULU-24h'!K56,'05.07 NIMULE-GULU-24h'!K56,'06.07 NIMULE-GULU'!K56)</f>
        <v>0.42857142857142855</v>
      </c>
      <c r="L56" s="49">
        <f>AVERAGE('31.07 NIMULE-GULU'!L56,'01.07 NIMULE-GULU'!L56,'02.07 NIMULE-GULU'!L56,'03.07 NIMULE-GULU'!L56,'04.07 NIMULE-GULU-24h'!L56,'05.07 NIMULE-GULU-24h'!L56,'06.07 NIMULE-GULU'!L56)</f>
        <v>1.8571428571428572</v>
      </c>
      <c r="M56" s="49">
        <f>AVERAGE('31.07 NIMULE-GULU'!M56,'01.07 NIMULE-GULU'!M56,'02.07 NIMULE-GULU'!M56,'03.07 NIMULE-GULU'!M56,'04.07 NIMULE-GULU-24h'!M56,'05.07 NIMULE-GULU-24h'!M56,'06.07 NIMULE-GULU'!M56)</f>
        <v>5.7142857142857144</v>
      </c>
      <c r="N56" s="49">
        <f>AVERAGE('31.07 NIMULE-GULU'!N56,'01.07 NIMULE-GULU'!N56,'02.07 NIMULE-GULU'!N56,'03.07 NIMULE-GULU'!N56,'04.07 NIMULE-GULU-24h'!N56,'05.07 NIMULE-GULU-24h'!N56,'06.07 NIMULE-GULU'!N56)</f>
        <v>0</v>
      </c>
      <c r="O56" s="15">
        <f t="shared" si="0"/>
        <v>4.7142857142857135</v>
      </c>
      <c r="P56" s="15">
        <f t="shared" si="1"/>
        <v>10.428571428571427</v>
      </c>
      <c r="R56" s="8"/>
      <c r="T56"/>
    </row>
    <row r="57" spans="2:20" ht="23.1" customHeight="1" x14ac:dyDescent="0.25">
      <c r="B57" s="23" t="s">
        <v>84</v>
      </c>
      <c r="C57" s="49">
        <f>AVERAGE('31.07 NIMULE-GULU'!C57,'01.07 NIMULE-GULU'!C57,'02.07 NIMULE-GULU'!C57,'03.07 NIMULE-GULU'!C57,'04.07 NIMULE-GULU-24h'!C57,'05.07 NIMULE-GULU-24h'!C57,'06.07 NIMULE-GULU'!C57)</f>
        <v>1</v>
      </c>
      <c r="D57" s="49">
        <f>AVERAGE('31.07 NIMULE-GULU'!D57,'01.07 NIMULE-GULU'!D57,'02.07 NIMULE-GULU'!D57,'03.07 NIMULE-GULU'!D57,'04.07 NIMULE-GULU-24h'!D57,'05.07 NIMULE-GULU-24h'!D57,'06.07 NIMULE-GULU'!D57)</f>
        <v>0</v>
      </c>
      <c r="E57" s="49">
        <f>AVERAGE('31.07 NIMULE-GULU'!E57,'01.07 NIMULE-GULU'!E57,'02.07 NIMULE-GULU'!E57,'03.07 NIMULE-GULU'!E57,'04.07 NIMULE-GULU-24h'!E57,'05.07 NIMULE-GULU-24h'!E57,'06.07 NIMULE-GULU'!E57)</f>
        <v>0.14285714285714285</v>
      </c>
      <c r="F57" s="49">
        <f>AVERAGE('31.07 NIMULE-GULU'!F57,'01.07 NIMULE-GULU'!F57,'02.07 NIMULE-GULU'!F57,'03.07 NIMULE-GULU'!F57,'04.07 NIMULE-GULU-24h'!F57,'05.07 NIMULE-GULU-24h'!F57,'06.07 NIMULE-GULU'!F57)</f>
        <v>0</v>
      </c>
      <c r="G57" s="49">
        <f>AVERAGE('31.07 NIMULE-GULU'!G57,'01.07 NIMULE-GULU'!G57,'02.07 NIMULE-GULU'!G57,'03.07 NIMULE-GULU'!G57,'04.07 NIMULE-GULU-24h'!G57,'05.07 NIMULE-GULU-24h'!G57,'06.07 NIMULE-GULU'!G57)</f>
        <v>0</v>
      </c>
      <c r="H57" s="49">
        <f>AVERAGE('31.07 NIMULE-GULU'!H57,'01.07 NIMULE-GULU'!H57,'02.07 NIMULE-GULU'!H57,'03.07 NIMULE-GULU'!H57,'04.07 NIMULE-GULU-24h'!H57,'05.07 NIMULE-GULU-24h'!H57,'06.07 NIMULE-GULU'!H57)</f>
        <v>0.14285714285714285</v>
      </c>
      <c r="I57" s="49">
        <f>AVERAGE('31.07 NIMULE-GULU'!I57,'01.07 NIMULE-GULU'!I57,'02.07 NIMULE-GULU'!I57,'03.07 NIMULE-GULU'!I57,'04.07 NIMULE-GULU-24h'!I57,'05.07 NIMULE-GULU-24h'!I57,'06.07 NIMULE-GULU'!I57)</f>
        <v>0.14285714285714285</v>
      </c>
      <c r="J57" s="49">
        <f>AVERAGE('31.07 NIMULE-GULU'!J57,'01.07 NIMULE-GULU'!J57,'02.07 NIMULE-GULU'!J57,'03.07 NIMULE-GULU'!J57,'04.07 NIMULE-GULU-24h'!J57,'05.07 NIMULE-GULU-24h'!J57,'06.07 NIMULE-GULU'!J57)</f>
        <v>0.2857142857142857</v>
      </c>
      <c r="K57" s="49">
        <f>AVERAGE('31.07 NIMULE-GULU'!K57,'01.07 NIMULE-GULU'!K57,'02.07 NIMULE-GULU'!K57,'03.07 NIMULE-GULU'!K57,'04.07 NIMULE-GULU-24h'!K57,'05.07 NIMULE-GULU-24h'!K57,'06.07 NIMULE-GULU'!K57)</f>
        <v>0</v>
      </c>
      <c r="L57" s="49">
        <f>AVERAGE('31.07 NIMULE-GULU'!L57,'01.07 NIMULE-GULU'!L57,'02.07 NIMULE-GULU'!L57,'03.07 NIMULE-GULU'!L57,'04.07 NIMULE-GULU-24h'!L57,'05.07 NIMULE-GULU-24h'!L57,'06.07 NIMULE-GULU'!L57)</f>
        <v>1.5714285714285714</v>
      </c>
      <c r="M57" s="49">
        <f>AVERAGE('31.07 NIMULE-GULU'!M57,'01.07 NIMULE-GULU'!M57,'02.07 NIMULE-GULU'!M57,'03.07 NIMULE-GULU'!M57,'04.07 NIMULE-GULU-24h'!M57,'05.07 NIMULE-GULU-24h'!M57,'06.07 NIMULE-GULU'!M57)</f>
        <v>5</v>
      </c>
      <c r="N57" s="49">
        <f>AVERAGE('31.07 NIMULE-GULU'!N57,'01.07 NIMULE-GULU'!N57,'02.07 NIMULE-GULU'!N57,'03.07 NIMULE-GULU'!N57,'04.07 NIMULE-GULU-24h'!N57,'05.07 NIMULE-GULU-24h'!N57,'06.07 NIMULE-GULU'!N57)</f>
        <v>0</v>
      </c>
      <c r="O57" s="15">
        <f t="shared" si="0"/>
        <v>3.2857142857142856</v>
      </c>
      <c r="P57" s="15">
        <f t="shared" si="1"/>
        <v>8.2857142857142847</v>
      </c>
      <c r="R57" s="8"/>
      <c r="T57"/>
    </row>
    <row r="58" spans="2:20" ht="23.1" customHeight="1" x14ac:dyDescent="0.25">
      <c r="B58" s="23" t="s">
        <v>99</v>
      </c>
      <c r="C58" s="49">
        <f>AVERAGE('04.07 NIMULE-GULU-24h'!C58,'05.07 NIMULE-GULU-24h'!C58)</f>
        <v>0.5</v>
      </c>
      <c r="D58" s="49">
        <f>AVERAGE('04.07 NIMULE-GULU-24h'!D58,'05.07 NIMULE-GULU-24h'!D58)</f>
        <v>0.5</v>
      </c>
      <c r="E58" s="49">
        <f>AVERAGE('04.07 NIMULE-GULU-24h'!E58,'05.07 NIMULE-GULU-24h'!E58)</f>
        <v>0.5</v>
      </c>
      <c r="F58" s="49">
        <f>AVERAGE('04.07 NIMULE-GULU-24h'!F58,'05.07 NIMULE-GULU-24h'!F58)</f>
        <v>0</v>
      </c>
      <c r="G58" s="49">
        <f>AVERAGE('04.07 NIMULE-GULU-24h'!G58,'05.07 NIMULE-GULU-24h'!G58)</f>
        <v>0</v>
      </c>
      <c r="H58" s="49">
        <f>AVERAGE('04.07 NIMULE-GULU-24h'!H58,'05.07 NIMULE-GULU-24h'!H58)</f>
        <v>0.5</v>
      </c>
      <c r="I58" s="49">
        <f>AVERAGE('04.07 NIMULE-GULU-24h'!I58,'05.07 NIMULE-GULU-24h'!I58)</f>
        <v>0</v>
      </c>
      <c r="J58" s="49">
        <f>AVERAGE('04.07 NIMULE-GULU-24h'!J58,'05.07 NIMULE-GULU-24h'!J58)</f>
        <v>0</v>
      </c>
      <c r="K58" s="49">
        <f>AVERAGE('04.07 NIMULE-GULU-24h'!K58,'05.07 NIMULE-GULU-24h'!K58)</f>
        <v>0</v>
      </c>
      <c r="L58" s="49">
        <f>AVERAGE('04.07 NIMULE-GULU-24h'!L58,'05.07 NIMULE-GULU-24h'!L58)</f>
        <v>0</v>
      </c>
      <c r="M58" s="49">
        <f>AVERAGE('04.07 NIMULE-GULU-24h'!M58,'05.07 NIMULE-GULU-24h'!M58)</f>
        <v>2</v>
      </c>
      <c r="N58" s="49">
        <f>AVERAGE('04.07 NIMULE-GULU-24h'!N58,'05.07 NIMULE-GULU-24h'!N58)</f>
        <v>0</v>
      </c>
      <c r="O58" s="15">
        <f t="shared" si="0"/>
        <v>2</v>
      </c>
      <c r="P58" s="15">
        <f t="shared" si="1"/>
        <v>4</v>
      </c>
      <c r="R58" s="8"/>
      <c r="T58"/>
    </row>
    <row r="59" spans="2:20" ht="23.1" customHeight="1" x14ac:dyDescent="0.25">
      <c r="B59" s="23" t="s">
        <v>100</v>
      </c>
      <c r="C59" s="49">
        <f>AVERAGE('04.07 NIMULE-GULU-24h'!C59,'05.07 NIMULE-GULU-24h'!C59)</f>
        <v>0</v>
      </c>
      <c r="D59" s="49">
        <f>AVERAGE('04.07 NIMULE-GULU-24h'!D59,'05.07 NIMULE-GULU-24h'!D59)</f>
        <v>0</v>
      </c>
      <c r="E59" s="49">
        <f>AVERAGE('04.07 NIMULE-GULU-24h'!E59,'05.07 NIMULE-GULU-24h'!E59)</f>
        <v>1.5</v>
      </c>
      <c r="F59" s="49">
        <f>AVERAGE('04.07 NIMULE-GULU-24h'!F59,'05.07 NIMULE-GULU-24h'!F59)</f>
        <v>0</v>
      </c>
      <c r="G59" s="49">
        <f>AVERAGE('04.07 NIMULE-GULU-24h'!G59,'05.07 NIMULE-GULU-24h'!G59)</f>
        <v>0</v>
      </c>
      <c r="H59" s="49">
        <f>AVERAGE('04.07 NIMULE-GULU-24h'!H59,'05.07 NIMULE-GULU-24h'!H59)</f>
        <v>0</v>
      </c>
      <c r="I59" s="49">
        <f>AVERAGE('04.07 NIMULE-GULU-24h'!I59,'05.07 NIMULE-GULU-24h'!I59)</f>
        <v>0</v>
      </c>
      <c r="J59" s="49">
        <f>AVERAGE('04.07 NIMULE-GULU-24h'!J59,'05.07 NIMULE-GULU-24h'!J59)</f>
        <v>0</v>
      </c>
      <c r="K59" s="49">
        <f>AVERAGE('04.07 NIMULE-GULU-24h'!K59,'05.07 NIMULE-GULU-24h'!K59)</f>
        <v>0</v>
      </c>
      <c r="L59" s="49">
        <f>AVERAGE('04.07 NIMULE-GULU-24h'!L59,'05.07 NIMULE-GULU-24h'!L59)</f>
        <v>0</v>
      </c>
      <c r="M59" s="49">
        <f>AVERAGE('04.07 NIMULE-GULU-24h'!M59,'05.07 NIMULE-GULU-24h'!M59)</f>
        <v>1</v>
      </c>
      <c r="N59" s="49">
        <f>AVERAGE('04.07 NIMULE-GULU-24h'!N59,'05.07 NIMULE-GULU-24h'!N59)</f>
        <v>0</v>
      </c>
      <c r="O59" s="15">
        <f t="shared" si="0"/>
        <v>1.5</v>
      </c>
      <c r="P59" s="15">
        <f t="shared" si="1"/>
        <v>2.5</v>
      </c>
      <c r="R59" s="8"/>
      <c r="T59"/>
    </row>
    <row r="60" spans="2:20" ht="23.1" customHeight="1" x14ac:dyDescent="0.25">
      <c r="B60" s="23" t="s">
        <v>101</v>
      </c>
      <c r="C60" s="49">
        <f>AVERAGE('04.07 NIMULE-GULU-24h'!C60,'05.07 NIMULE-GULU-24h'!C60)</f>
        <v>0.5</v>
      </c>
      <c r="D60" s="49">
        <f>AVERAGE('04.07 NIMULE-GULU-24h'!D60,'05.07 NIMULE-GULU-24h'!D60)</f>
        <v>0.5</v>
      </c>
      <c r="E60" s="49">
        <f>AVERAGE('04.07 NIMULE-GULU-24h'!E60,'05.07 NIMULE-GULU-24h'!E60)</f>
        <v>1</v>
      </c>
      <c r="F60" s="49">
        <f>AVERAGE('04.07 NIMULE-GULU-24h'!F60,'05.07 NIMULE-GULU-24h'!F60)</f>
        <v>0</v>
      </c>
      <c r="G60" s="49">
        <f>AVERAGE('04.07 NIMULE-GULU-24h'!G60,'05.07 NIMULE-GULU-24h'!G60)</f>
        <v>0</v>
      </c>
      <c r="H60" s="49">
        <f>AVERAGE('04.07 NIMULE-GULU-24h'!H60,'05.07 NIMULE-GULU-24h'!H60)</f>
        <v>0</v>
      </c>
      <c r="I60" s="49">
        <f>AVERAGE('04.07 NIMULE-GULU-24h'!I60,'05.07 NIMULE-GULU-24h'!I60)</f>
        <v>0.5</v>
      </c>
      <c r="J60" s="49">
        <f>AVERAGE('04.07 NIMULE-GULU-24h'!J60,'05.07 NIMULE-GULU-24h'!J60)</f>
        <v>0</v>
      </c>
      <c r="K60" s="49">
        <f>AVERAGE('04.07 NIMULE-GULU-24h'!K60,'05.07 NIMULE-GULU-24h'!K60)</f>
        <v>0</v>
      </c>
      <c r="L60" s="49">
        <f>AVERAGE('04.07 NIMULE-GULU-24h'!L60,'05.07 NIMULE-GULU-24h'!L60)</f>
        <v>0.5</v>
      </c>
      <c r="M60" s="49">
        <f>AVERAGE('04.07 NIMULE-GULU-24h'!M60,'05.07 NIMULE-GULU-24h'!M60)</f>
        <v>1.5</v>
      </c>
      <c r="N60" s="49">
        <f>AVERAGE('04.07 NIMULE-GULU-24h'!N60,'05.07 NIMULE-GULU-24h'!N60)</f>
        <v>0</v>
      </c>
      <c r="O60" s="15">
        <f t="shared" si="0"/>
        <v>3</v>
      </c>
      <c r="P60" s="15">
        <f t="shared" si="1"/>
        <v>4.5</v>
      </c>
      <c r="R60" s="8"/>
      <c r="T60"/>
    </row>
    <row r="61" spans="2:20" ht="23.1" customHeight="1" x14ac:dyDescent="0.25">
      <c r="B61" s="23" t="s">
        <v>102</v>
      </c>
      <c r="C61" s="49">
        <f>AVERAGE('04.07 NIMULE-GULU-24h'!C61,'05.07 NIMULE-GULU-24h'!C61)</f>
        <v>0.5</v>
      </c>
      <c r="D61" s="49">
        <f>AVERAGE('04.07 NIMULE-GULU-24h'!D61,'05.07 NIMULE-GULU-24h'!D61)</f>
        <v>0</v>
      </c>
      <c r="E61" s="49">
        <f>AVERAGE('04.07 NIMULE-GULU-24h'!E61,'05.07 NIMULE-GULU-24h'!E61)</f>
        <v>0.5</v>
      </c>
      <c r="F61" s="49">
        <f>AVERAGE('04.07 NIMULE-GULU-24h'!F61,'05.07 NIMULE-GULU-24h'!F61)</f>
        <v>0</v>
      </c>
      <c r="G61" s="49">
        <f>AVERAGE('04.07 NIMULE-GULU-24h'!G61,'05.07 NIMULE-GULU-24h'!G61)</f>
        <v>0</v>
      </c>
      <c r="H61" s="49">
        <f>AVERAGE('04.07 NIMULE-GULU-24h'!H61,'05.07 NIMULE-GULU-24h'!H61)</f>
        <v>0</v>
      </c>
      <c r="I61" s="49">
        <f>AVERAGE('04.07 NIMULE-GULU-24h'!I61,'05.07 NIMULE-GULU-24h'!I61)</f>
        <v>0.5</v>
      </c>
      <c r="J61" s="49">
        <f>AVERAGE('04.07 NIMULE-GULU-24h'!J61,'05.07 NIMULE-GULU-24h'!J61)</f>
        <v>0</v>
      </c>
      <c r="K61" s="49">
        <f>AVERAGE('04.07 NIMULE-GULU-24h'!K61,'05.07 NIMULE-GULU-24h'!K61)</f>
        <v>0</v>
      </c>
      <c r="L61" s="49">
        <f>AVERAGE('04.07 NIMULE-GULU-24h'!L61,'05.07 NIMULE-GULU-24h'!L61)</f>
        <v>0</v>
      </c>
      <c r="M61" s="49">
        <f>AVERAGE('04.07 NIMULE-GULU-24h'!M61,'05.07 NIMULE-GULU-24h'!M61)</f>
        <v>0.5</v>
      </c>
      <c r="N61" s="49">
        <f>AVERAGE('04.07 NIMULE-GULU-24h'!N61,'05.07 NIMULE-GULU-24h'!N61)</f>
        <v>0</v>
      </c>
      <c r="O61" s="15">
        <f t="shared" si="0"/>
        <v>1.5</v>
      </c>
      <c r="P61" s="15">
        <f t="shared" si="1"/>
        <v>2</v>
      </c>
      <c r="R61" s="8"/>
      <c r="T61"/>
    </row>
    <row r="62" spans="2:20" ht="23.1" customHeight="1" x14ac:dyDescent="0.25">
      <c r="B62" s="23" t="s">
        <v>107</v>
      </c>
      <c r="C62" s="49">
        <f>AVERAGE('04.07 NIMULE-GULU-24h'!C62,'05.07 NIMULE-GULU-24h'!C62)</f>
        <v>0</v>
      </c>
      <c r="D62" s="49">
        <f>AVERAGE('04.07 NIMULE-GULU-24h'!D62,'05.07 NIMULE-GULU-24h'!D62)</f>
        <v>0</v>
      </c>
      <c r="E62" s="49">
        <f>AVERAGE('04.07 NIMULE-GULU-24h'!E62,'05.07 NIMULE-GULU-24h'!E62)</f>
        <v>0</v>
      </c>
      <c r="F62" s="49">
        <f>AVERAGE('04.07 NIMULE-GULU-24h'!F62,'05.07 NIMULE-GULU-24h'!F62)</f>
        <v>0</v>
      </c>
      <c r="G62" s="49">
        <f>AVERAGE('04.07 NIMULE-GULU-24h'!G62,'05.07 NIMULE-GULU-24h'!G62)</f>
        <v>0</v>
      </c>
      <c r="H62" s="49">
        <f>AVERAGE('04.07 NIMULE-GULU-24h'!H62,'05.07 NIMULE-GULU-24h'!H62)</f>
        <v>0</v>
      </c>
      <c r="I62" s="49">
        <f>AVERAGE('04.07 NIMULE-GULU-24h'!I62,'05.07 NIMULE-GULU-24h'!I62)</f>
        <v>0</v>
      </c>
      <c r="J62" s="49">
        <f>AVERAGE('04.07 NIMULE-GULU-24h'!J62,'05.07 NIMULE-GULU-24h'!J62)</f>
        <v>0</v>
      </c>
      <c r="K62" s="49">
        <f>AVERAGE('04.07 NIMULE-GULU-24h'!K62,'05.07 NIMULE-GULU-24h'!K62)</f>
        <v>0</v>
      </c>
      <c r="L62" s="49">
        <f>AVERAGE('04.07 NIMULE-GULU-24h'!L62,'05.07 NIMULE-GULU-24h'!L62)</f>
        <v>0</v>
      </c>
      <c r="M62" s="49">
        <f>AVERAGE('04.07 NIMULE-GULU-24h'!M62,'05.07 NIMULE-GULU-24h'!M62)</f>
        <v>0</v>
      </c>
      <c r="N62" s="49">
        <f>AVERAGE('04.07 NIMULE-GULU-24h'!N62,'05.07 NIMULE-GULU-24h'!N62)</f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23" t="s">
        <v>108</v>
      </c>
      <c r="C63" s="49">
        <f>AVERAGE('04.07 NIMULE-GULU-24h'!C63,'05.07 NIMULE-GULU-24h'!C63)</f>
        <v>0</v>
      </c>
      <c r="D63" s="49">
        <f>AVERAGE('04.07 NIMULE-GULU-24h'!D63,'05.07 NIMULE-GULU-24h'!D63)</f>
        <v>0</v>
      </c>
      <c r="E63" s="49">
        <f>AVERAGE('04.07 NIMULE-GULU-24h'!E63,'05.07 NIMULE-GULU-24h'!E63)</f>
        <v>0</v>
      </c>
      <c r="F63" s="49">
        <f>AVERAGE('04.07 NIMULE-GULU-24h'!F63,'05.07 NIMULE-GULU-24h'!F63)</f>
        <v>0</v>
      </c>
      <c r="G63" s="49">
        <f>AVERAGE('04.07 NIMULE-GULU-24h'!G63,'05.07 NIMULE-GULU-24h'!G63)</f>
        <v>0</v>
      </c>
      <c r="H63" s="49">
        <f>AVERAGE('04.07 NIMULE-GULU-24h'!H63,'05.07 NIMULE-GULU-24h'!H63)</f>
        <v>0</v>
      </c>
      <c r="I63" s="49">
        <f>AVERAGE('04.07 NIMULE-GULU-24h'!I63,'05.07 NIMULE-GULU-24h'!I63)</f>
        <v>0</v>
      </c>
      <c r="J63" s="49">
        <f>AVERAGE('04.07 NIMULE-GULU-24h'!J63,'05.07 NIMULE-GULU-24h'!J63)</f>
        <v>0</v>
      </c>
      <c r="K63" s="49">
        <f>AVERAGE('04.07 NIMULE-GULU-24h'!K63,'05.07 NIMULE-GULU-24h'!K63)</f>
        <v>0</v>
      </c>
      <c r="L63" s="49">
        <f>AVERAGE('04.07 NIMULE-GULU-24h'!L63,'05.07 NIMULE-GULU-24h'!L63)</f>
        <v>0</v>
      </c>
      <c r="M63" s="49">
        <f>AVERAGE('04.07 NIMULE-GULU-24h'!M63,'05.07 NIMULE-GULU-24h'!M63)</f>
        <v>0</v>
      </c>
      <c r="N63" s="49">
        <f>AVERAGE('04.07 NIMULE-GULU-24h'!N63,'05.07 NIMULE-GULU-24h'!N63)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3" t="s">
        <v>109</v>
      </c>
      <c r="C64" s="49">
        <f>AVERAGE('04.07 NIMULE-GULU-24h'!C64,'05.07 NIMULE-GULU-24h'!C64)</f>
        <v>0</v>
      </c>
      <c r="D64" s="49">
        <f>AVERAGE('04.07 NIMULE-GULU-24h'!D64,'05.07 NIMULE-GULU-24h'!D64)</f>
        <v>0</v>
      </c>
      <c r="E64" s="49">
        <f>AVERAGE('04.07 NIMULE-GULU-24h'!E64,'05.07 NIMULE-GULU-24h'!E64)</f>
        <v>0</v>
      </c>
      <c r="F64" s="49">
        <f>AVERAGE('04.07 NIMULE-GULU-24h'!F64,'05.07 NIMULE-GULU-24h'!F64)</f>
        <v>0</v>
      </c>
      <c r="G64" s="49">
        <f>AVERAGE('04.07 NIMULE-GULU-24h'!G64,'05.07 NIMULE-GULU-24h'!G64)</f>
        <v>0</v>
      </c>
      <c r="H64" s="49">
        <f>AVERAGE('04.07 NIMULE-GULU-24h'!H64,'05.07 NIMULE-GULU-24h'!H64)</f>
        <v>0</v>
      </c>
      <c r="I64" s="49">
        <f>AVERAGE('04.07 NIMULE-GULU-24h'!I64,'05.07 NIMULE-GULU-24h'!I64)</f>
        <v>0</v>
      </c>
      <c r="J64" s="49">
        <f>AVERAGE('04.07 NIMULE-GULU-24h'!J64,'05.07 NIMULE-GULU-24h'!J64)</f>
        <v>0</v>
      </c>
      <c r="K64" s="49">
        <f>AVERAGE('04.07 NIMULE-GULU-24h'!K64,'05.07 NIMULE-GULU-24h'!K64)</f>
        <v>0</v>
      </c>
      <c r="L64" s="49">
        <f>AVERAGE('04.07 NIMULE-GULU-24h'!L64,'05.07 NIMULE-GULU-24h'!L64)</f>
        <v>0</v>
      </c>
      <c r="M64" s="49">
        <f>AVERAGE('04.07 NIMULE-GULU-24h'!M64,'05.07 NIMULE-GULU-24h'!M64)</f>
        <v>0</v>
      </c>
      <c r="N64" s="49">
        <f>AVERAGE('04.07 NIMULE-GULU-24h'!N64,'05.07 NIMULE-GULU-24h'!N64)</f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23" t="s">
        <v>158</v>
      </c>
      <c r="C65" s="49">
        <f>AVERAGE('04.07 NIMULE-GULU-24h'!C65,'05.07 NIMULE-GULU-24h'!C65)</f>
        <v>0</v>
      </c>
      <c r="D65" s="49">
        <f>AVERAGE('04.07 NIMULE-GULU-24h'!D65,'05.07 NIMULE-GULU-24h'!D65)</f>
        <v>0</v>
      </c>
      <c r="E65" s="49">
        <f>AVERAGE('04.07 NIMULE-GULU-24h'!E65,'05.07 NIMULE-GULU-24h'!E65)</f>
        <v>0</v>
      </c>
      <c r="F65" s="49">
        <f>AVERAGE('04.07 NIMULE-GULU-24h'!F65,'05.07 NIMULE-GULU-24h'!F65)</f>
        <v>0</v>
      </c>
      <c r="G65" s="49">
        <f>AVERAGE('04.07 NIMULE-GULU-24h'!G65,'05.07 NIMULE-GULU-24h'!G65)</f>
        <v>0</v>
      </c>
      <c r="H65" s="49">
        <f>AVERAGE('04.07 NIMULE-GULU-24h'!H65,'05.07 NIMULE-GULU-24h'!H65)</f>
        <v>0</v>
      </c>
      <c r="I65" s="49">
        <f>AVERAGE('04.07 NIMULE-GULU-24h'!I65,'05.07 NIMULE-GULU-24h'!I65)</f>
        <v>0</v>
      </c>
      <c r="J65" s="49">
        <f>AVERAGE('04.07 NIMULE-GULU-24h'!J65,'05.07 NIMULE-GULU-24h'!J65)</f>
        <v>0</v>
      </c>
      <c r="K65" s="49">
        <f>AVERAGE('04.07 NIMULE-GULU-24h'!K65,'05.07 NIMULE-GULU-24h'!K65)</f>
        <v>0</v>
      </c>
      <c r="L65" s="49">
        <f>AVERAGE('04.07 NIMULE-GULU-24h'!L65,'05.07 NIMULE-GULU-24h'!L65)</f>
        <v>0</v>
      </c>
      <c r="M65" s="49">
        <f>AVERAGE('04.07 NIMULE-GULU-24h'!M65,'05.07 NIMULE-GULU-24h'!M65)</f>
        <v>0</v>
      </c>
      <c r="N65" s="49">
        <f>AVERAGE('04.07 NIMULE-GULU-24h'!N65,'05.07 NIMULE-GULU-24h'!N65)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3" t="s">
        <v>103</v>
      </c>
      <c r="C66" s="49">
        <f>AVERAGE('04.07 NIMULE-GULU-24h'!C66,'05.07 NIMULE-GULU-24h'!C66)</f>
        <v>0</v>
      </c>
      <c r="D66" s="49">
        <f>AVERAGE('04.07 NIMULE-GULU-24h'!D66,'05.07 NIMULE-GULU-24h'!D66)</f>
        <v>0</v>
      </c>
      <c r="E66" s="49">
        <f>AVERAGE('04.07 NIMULE-GULU-24h'!E66,'05.07 NIMULE-GULU-24h'!E66)</f>
        <v>0</v>
      </c>
      <c r="F66" s="49">
        <f>AVERAGE('04.07 NIMULE-GULU-24h'!F66,'05.07 NIMULE-GULU-24h'!F66)</f>
        <v>0</v>
      </c>
      <c r="G66" s="49">
        <f>AVERAGE('04.07 NIMULE-GULU-24h'!G66,'05.07 NIMULE-GULU-24h'!G66)</f>
        <v>0</v>
      </c>
      <c r="H66" s="49">
        <f>AVERAGE('04.07 NIMULE-GULU-24h'!H66,'05.07 NIMULE-GULU-24h'!H66)</f>
        <v>0</v>
      </c>
      <c r="I66" s="49">
        <f>AVERAGE('04.07 NIMULE-GULU-24h'!I66,'05.07 NIMULE-GULU-24h'!I66)</f>
        <v>0</v>
      </c>
      <c r="J66" s="49">
        <f>AVERAGE('04.07 NIMULE-GULU-24h'!J66,'05.07 NIMULE-GULU-24h'!J66)</f>
        <v>0</v>
      </c>
      <c r="K66" s="49">
        <f>AVERAGE('04.07 NIMULE-GULU-24h'!K66,'05.07 NIMULE-GULU-24h'!K66)</f>
        <v>0</v>
      </c>
      <c r="L66" s="49">
        <f>AVERAGE('04.07 NIMULE-GULU-24h'!L66,'05.07 NIMULE-GULU-24h'!L66)</f>
        <v>0</v>
      </c>
      <c r="M66" s="49">
        <f>AVERAGE('04.07 NIMULE-GULU-24h'!M66,'05.07 NIMULE-GULU-24h'!M66)</f>
        <v>0</v>
      </c>
      <c r="N66" s="49">
        <f>AVERAGE('04.07 NIMULE-GULU-24h'!N66,'05.07 NIMULE-GULU-24h'!N66)</f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23" t="s">
        <v>104</v>
      </c>
      <c r="C67" s="49">
        <f>AVERAGE('04.07 NIMULE-GULU-24h'!C67,'05.07 NIMULE-GULU-24h'!C67)</f>
        <v>0</v>
      </c>
      <c r="D67" s="49">
        <f>AVERAGE('04.07 NIMULE-GULU-24h'!D67,'05.07 NIMULE-GULU-24h'!D67)</f>
        <v>0</v>
      </c>
      <c r="E67" s="49">
        <f>AVERAGE('04.07 NIMULE-GULU-24h'!E67,'05.07 NIMULE-GULU-24h'!E67)</f>
        <v>0</v>
      </c>
      <c r="F67" s="49">
        <f>AVERAGE('04.07 NIMULE-GULU-24h'!F67,'05.07 NIMULE-GULU-24h'!F67)</f>
        <v>0</v>
      </c>
      <c r="G67" s="49">
        <f>AVERAGE('04.07 NIMULE-GULU-24h'!G67,'05.07 NIMULE-GULU-24h'!G67)</f>
        <v>0</v>
      </c>
      <c r="H67" s="49">
        <f>AVERAGE('04.07 NIMULE-GULU-24h'!H67,'05.07 NIMULE-GULU-24h'!H67)</f>
        <v>0</v>
      </c>
      <c r="I67" s="49">
        <f>AVERAGE('04.07 NIMULE-GULU-24h'!I67,'05.07 NIMULE-GULU-24h'!I67)</f>
        <v>0</v>
      </c>
      <c r="J67" s="49">
        <f>AVERAGE('04.07 NIMULE-GULU-24h'!J67,'05.07 NIMULE-GULU-24h'!J67)</f>
        <v>0</v>
      </c>
      <c r="K67" s="49">
        <f>AVERAGE('04.07 NIMULE-GULU-24h'!K67,'05.07 NIMULE-GULU-24h'!K67)</f>
        <v>0</v>
      </c>
      <c r="L67" s="49">
        <f>AVERAGE('04.07 NIMULE-GULU-24h'!L67,'05.07 NIMULE-GULU-24h'!L67)</f>
        <v>0</v>
      </c>
      <c r="M67" s="49">
        <f>AVERAGE('04.07 NIMULE-GULU-24h'!M67,'05.07 NIMULE-GULU-24h'!M67)</f>
        <v>0</v>
      </c>
      <c r="N67" s="49">
        <f>AVERAGE('04.07 NIMULE-GULU-24h'!N67,'05.07 NIMULE-GULU-24h'!N67)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3" t="s">
        <v>105</v>
      </c>
      <c r="C68" s="49">
        <f>AVERAGE('04.07 NIMULE-GULU-24h'!C68,'05.07 NIMULE-GULU-24h'!C68)</f>
        <v>0</v>
      </c>
      <c r="D68" s="49">
        <f>AVERAGE('04.07 NIMULE-GULU-24h'!D68,'05.07 NIMULE-GULU-24h'!D68)</f>
        <v>0</v>
      </c>
      <c r="E68" s="49">
        <f>AVERAGE('04.07 NIMULE-GULU-24h'!E68,'05.07 NIMULE-GULU-24h'!E68)</f>
        <v>0</v>
      </c>
      <c r="F68" s="49">
        <f>AVERAGE('04.07 NIMULE-GULU-24h'!F68,'05.07 NIMULE-GULU-24h'!F68)</f>
        <v>0</v>
      </c>
      <c r="G68" s="49">
        <f>AVERAGE('04.07 NIMULE-GULU-24h'!G68,'05.07 NIMULE-GULU-24h'!G68)</f>
        <v>0</v>
      </c>
      <c r="H68" s="49">
        <f>AVERAGE('04.07 NIMULE-GULU-24h'!H68,'05.07 NIMULE-GULU-24h'!H68)</f>
        <v>0</v>
      </c>
      <c r="I68" s="49">
        <f>AVERAGE('04.07 NIMULE-GULU-24h'!I68,'05.07 NIMULE-GULU-24h'!I68)</f>
        <v>0</v>
      </c>
      <c r="J68" s="49">
        <f>AVERAGE('04.07 NIMULE-GULU-24h'!J68,'05.07 NIMULE-GULU-24h'!J68)</f>
        <v>0</v>
      </c>
      <c r="K68" s="49">
        <f>AVERAGE('04.07 NIMULE-GULU-24h'!K68,'05.07 NIMULE-GULU-24h'!K68)</f>
        <v>0</v>
      </c>
      <c r="L68" s="49">
        <f>AVERAGE('04.07 NIMULE-GULU-24h'!L68,'05.07 NIMULE-GULU-24h'!L68)</f>
        <v>0</v>
      </c>
      <c r="M68" s="49">
        <f>AVERAGE('04.07 NIMULE-GULU-24h'!M68,'05.07 NIMULE-GULU-24h'!M68)</f>
        <v>0</v>
      </c>
      <c r="N68" s="49">
        <f>AVERAGE('04.07 NIMULE-GULU-24h'!N68,'05.07 NIMULE-GULU-24h'!N68)</f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23" t="s">
        <v>106</v>
      </c>
      <c r="C69" s="49">
        <f>AVERAGE('04.07 NIMULE-GULU-24h'!C69,'05.07 NIMULE-GULU-24h'!C69)</f>
        <v>0</v>
      </c>
      <c r="D69" s="49">
        <f>AVERAGE('04.07 NIMULE-GULU-24h'!D69,'05.07 NIMULE-GULU-24h'!D69)</f>
        <v>0</v>
      </c>
      <c r="E69" s="49">
        <f>AVERAGE('04.07 NIMULE-GULU-24h'!E69,'05.07 NIMULE-GULU-24h'!E69)</f>
        <v>0</v>
      </c>
      <c r="F69" s="49">
        <f>AVERAGE('04.07 NIMULE-GULU-24h'!F69,'05.07 NIMULE-GULU-24h'!F69)</f>
        <v>0</v>
      </c>
      <c r="G69" s="49">
        <f>AVERAGE('04.07 NIMULE-GULU-24h'!G69,'05.07 NIMULE-GULU-24h'!G69)</f>
        <v>0</v>
      </c>
      <c r="H69" s="49">
        <f>AVERAGE('04.07 NIMULE-GULU-24h'!H69,'05.07 NIMULE-GULU-24h'!H69)</f>
        <v>0</v>
      </c>
      <c r="I69" s="49">
        <f>AVERAGE('04.07 NIMULE-GULU-24h'!I69,'05.07 NIMULE-GULU-24h'!I69)</f>
        <v>0</v>
      </c>
      <c r="J69" s="49">
        <f>AVERAGE('04.07 NIMULE-GULU-24h'!J69,'05.07 NIMULE-GULU-24h'!J69)</f>
        <v>0</v>
      </c>
      <c r="K69" s="49">
        <f>AVERAGE('04.07 NIMULE-GULU-24h'!K69,'05.07 NIMULE-GULU-24h'!K69)</f>
        <v>0</v>
      </c>
      <c r="L69" s="49">
        <f>AVERAGE('04.07 NIMULE-GULU-24h'!L69,'05.07 NIMULE-GULU-24h'!L69)</f>
        <v>0</v>
      </c>
      <c r="M69" s="49">
        <f>AVERAGE('04.07 NIMULE-GULU-24h'!M69,'05.07 NIMULE-GULU-24h'!M69)</f>
        <v>0</v>
      </c>
      <c r="N69" s="49">
        <f>AVERAGE('04.07 NIMULE-GULU-24h'!N69,'05.07 NIMULE-GULU-24h'!N69)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3" t="s">
        <v>110</v>
      </c>
      <c r="C70" s="49">
        <f>AVERAGE('04.07 NIMULE-GULU-24h'!C70,'05.07 NIMULE-GULU-24h'!C70)</f>
        <v>0</v>
      </c>
      <c r="D70" s="49">
        <f>AVERAGE('04.07 NIMULE-GULU-24h'!D70,'05.07 NIMULE-GULU-24h'!D70)</f>
        <v>0</v>
      </c>
      <c r="E70" s="49">
        <f>AVERAGE('04.07 NIMULE-GULU-24h'!E70,'05.07 NIMULE-GULU-24h'!E70)</f>
        <v>0</v>
      </c>
      <c r="F70" s="49">
        <f>AVERAGE('04.07 NIMULE-GULU-24h'!F70,'05.07 NIMULE-GULU-24h'!F70)</f>
        <v>0</v>
      </c>
      <c r="G70" s="49">
        <f>AVERAGE('04.07 NIMULE-GULU-24h'!G70,'05.07 NIMULE-GULU-24h'!G70)</f>
        <v>0</v>
      </c>
      <c r="H70" s="49">
        <f>AVERAGE('04.07 NIMULE-GULU-24h'!H70,'05.07 NIMULE-GULU-24h'!H70)</f>
        <v>0</v>
      </c>
      <c r="I70" s="49">
        <f>AVERAGE('04.07 NIMULE-GULU-24h'!I70,'05.07 NIMULE-GULU-24h'!I70)</f>
        <v>0</v>
      </c>
      <c r="J70" s="49">
        <f>AVERAGE('04.07 NIMULE-GULU-24h'!J70,'05.07 NIMULE-GULU-24h'!J70)</f>
        <v>0</v>
      </c>
      <c r="K70" s="49">
        <f>AVERAGE('04.07 NIMULE-GULU-24h'!K70,'05.07 NIMULE-GULU-24h'!K70)</f>
        <v>0</v>
      </c>
      <c r="L70" s="49">
        <f>AVERAGE('04.07 NIMULE-GULU-24h'!L70,'05.07 NIMULE-GULU-24h'!L70)</f>
        <v>0</v>
      </c>
      <c r="M70" s="49">
        <f>AVERAGE('04.07 NIMULE-GULU-24h'!M70,'05.07 NIMULE-GULU-24h'!M70)</f>
        <v>0</v>
      </c>
      <c r="N70" s="49">
        <f>AVERAGE('04.07 NIMULE-GULU-24h'!N70,'05.07 NIMULE-GULU-24h'!N70)</f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23" t="s">
        <v>111</v>
      </c>
      <c r="C71" s="49">
        <f>AVERAGE('04.07 NIMULE-GULU-24h'!C71,'05.07 NIMULE-GULU-24h'!C71)</f>
        <v>0</v>
      </c>
      <c r="D71" s="49">
        <f>AVERAGE('04.07 NIMULE-GULU-24h'!D71,'05.07 NIMULE-GULU-24h'!D71)</f>
        <v>0</v>
      </c>
      <c r="E71" s="49">
        <f>AVERAGE('04.07 NIMULE-GULU-24h'!E71,'05.07 NIMULE-GULU-24h'!E71)</f>
        <v>0</v>
      </c>
      <c r="F71" s="49">
        <f>AVERAGE('04.07 NIMULE-GULU-24h'!F71,'05.07 NIMULE-GULU-24h'!F71)</f>
        <v>0</v>
      </c>
      <c r="G71" s="49">
        <f>AVERAGE('04.07 NIMULE-GULU-24h'!G71,'05.07 NIMULE-GULU-24h'!G71)</f>
        <v>0</v>
      </c>
      <c r="H71" s="49">
        <f>AVERAGE('04.07 NIMULE-GULU-24h'!H71,'05.07 NIMULE-GULU-24h'!H71)</f>
        <v>0</v>
      </c>
      <c r="I71" s="49">
        <f>AVERAGE('04.07 NIMULE-GULU-24h'!I71,'05.07 NIMULE-GULU-24h'!I71)</f>
        <v>0</v>
      </c>
      <c r="J71" s="49">
        <f>AVERAGE('04.07 NIMULE-GULU-24h'!J71,'05.07 NIMULE-GULU-24h'!J71)</f>
        <v>0</v>
      </c>
      <c r="K71" s="49">
        <f>AVERAGE('04.07 NIMULE-GULU-24h'!K71,'05.07 NIMULE-GULU-24h'!K71)</f>
        <v>0</v>
      </c>
      <c r="L71" s="49">
        <f>AVERAGE('04.07 NIMULE-GULU-24h'!L71,'05.07 NIMULE-GULU-24h'!L71)</f>
        <v>0</v>
      </c>
      <c r="M71" s="49">
        <f>AVERAGE('04.07 NIMULE-GULU-24h'!M71,'05.07 NIMULE-GULU-24h'!M71)</f>
        <v>0</v>
      </c>
      <c r="N71" s="49">
        <f>AVERAGE('04.07 NIMULE-GULU-24h'!N71,'05.07 NIMULE-GULU-24h'!N71)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3" t="s">
        <v>112</v>
      </c>
      <c r="C72" s="49">
        <f>AVERAGE('04.07 NIMULE-GULU-24h'!C72,'05.07 NIMULE-GULU-24h'!C72)</f>
        <v>0</v>
      </c>
      <c r="D72" s="49">
        <f>AVERAGE('04.07 NIMULE-GULU-24h'!D72,'05.07 NIMULE-GULU-24h'!D72)</f>
        <v>0</v>
      </c>
      <c r="E72" s="49">
        <f>AVERAGE('04.07 NIMULE-GULU-24h'!E72,'05.07 NIMULE-GULU-24h'!E72)</f>
        <v>0</v>
      </c>
      <c r="F72" s="49">
        <f>AVERAGE('04.07 NIMULE-GULU-24h'!F72,'05.07 NIMULE-GULU-24h'!F72)</f>
        <v>0</v>
      </c>
      <c r="G72" s="49">
        <f>AVERAGE('04.07 NIMULE-GULU-24h'!G72,'05.07 NIMULE-GULU-24h'!G72)</f>
        <v>0</v>
      </c>
      <c r="H72" s="49">
        <f>AVERAGE('04.07 NIMULE-GULU-24h'!H72,'05.07 NIMULE-GULU-24h'!H72)</f>
        <v>0</v>
      </c>
      <c r="I72" s="49">
        <f>AVERAGE('04.07 NIMULE-GULU-24h'!I72,'05.07 NIMULE-GULU-24h'!I72)</f>
        <v>0</v>
      </c>
      <c r="J72" s="49">
        <f>AVERAGE('04.07 NIMULE-GULU-24h'!J72,'05.07 NIMULE-GULU-24h'!J72)</f>
        <v>0</v>
      </c>
      <c r="K72" s="49">
        <f>AVERAGE('04.07 NIMULE-GULU-24h'!K72,'05.07 NIMULE-GULU-24h'!K72)</f>
        <v>0</v>
      </c>
      <c r="L72" s="49">
        <f>AVERAGE('04.07 NIMULE-GULU-24h'!L72,'05.07 NIMULE-GULU-24h'!L72)</f>
        <v>0</v>
      </c>
      <c r="M72" s="49">
        <f>AVERAGE('04.07 NIMULE-GULU-24h'!M72,'05.07 NIMULE-GULU-24h'!M72)</f>
        <v>0</v>
      </c>
      <c r="N72" s="49">
        <f>AVERAGE('04.07 NIMULE-GULU-24h'!N72,'05.07 NIMULE-GULU-24h'!N72)</f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23" t="s">
        <v>113</v>
      </c>
      <c r="C73" s="49">
        <f>AVERAGE('04.07 NIMULE-GULU-24h'!C73,'05.07 NIMULE-GULU-24h'!C73)</f>
        <v>0</v>
      </c>
      <c r="D73" s="49">
        <f>AVERAGE('04.07 NIMULE-GULU-24h'!D73,'05.07 NIMULE-GULU-24h'!D73)</f>
        <v>0</v>
      </c>
      <c r="E73" s="49">
        <f>AVERAGE('04.07 NIMULE-GULU-24h'!E73,'05.07 NIMULE-GULU-24h'!E73)</f>
        <v>0</v>
      </c>
      <c r="F73" s="49">
        <f>AVERAGE('04.07 NIMULE-GULU-24h'!F73,'05.07 NIMULE-GULU-24h'!F73)</f>
        <v>0</v>
      </c>
      <c r="G73" s="49">
        <f>AVERAGE('04.07 NIMULE-GULU-24h'!G73,'05.07 NIMULE-GULU-24h'!G73)</f>
        <v>0</v>
      </c>
      <c r="H73" s="49">
        <f>AVERAGE('04.07 NIMULE-GULU-24h'!H73,'05.07 NIMULE-GULU-24h'!H73)</f>
        <v>0</v>
      </c>
      <c r="I73" s="49">
        <f>AVERAGE('04.07 NIMULE-GULU-24h'!I73,'05.07 NIMULE-GULU-24h'!I73)</f>
        <v>0</v>
      </c>
      <c r="J73" s="49">
        <f>AVERAGE('04.07 NIMULE-GULU-24h'!J73,'05.07 NIMULE-GULU-24h'!J73)</f>
        <v>0</v>
      </c>
      <c r="K73" s="49">
        <f>AVERAGE('04.07 NIMULE-GULU-24h'!K73,'05.07 NIMULE-GULU-24h'!K73)</f>
        <v>0</v>
      </c>
      <c r="L73" s="49">
        <f>AVERAGE('04.07 NIMULE-GULU-24h'!L73,'05.07 NIMULE-GULU-24h'!L73)</f>
        <v>0</v>
      </c>
      <c r="M73" s="49">
        <f>AVERAGE('04.07 NIMULE-GULU-24h'!M73,'05.07 NIMULE-GULU-24h'!M73)</f>
        <v>0</v>
      </c>
      <c r="N73" s="49">
        <f>AVERAGE('04.07 NIMULE-GULU-24h'!N73,'05.07 NIMULE-GULU-24h'!N73)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AVERAGE('04.07 NIMULE-GULU-24h'!C74,'05.07 NIMULE-GULU-24h'!C74)</f>
        <v>0</v>
      </c>
      <c r="D74" s="49">
        <f>AVERAGE('04.07 NIMULE-GULU-24h'!D74,'05.07 NIMULE-GULU-24h'!D74)</f>
        <v>0</v>
      </c>
      <c r="E74" s="49">
        <f>AVERAGE('04.07 NIMULE-GULU-24h'!E74,'05.07 NIMULE-GULU-24h'!E74)</f>
        <v>0</v>
      </c>
      <c r="F74" s="49">
        <f>AVERAGE('04.07 NIMULE-GULU-24h'!F74,'05.07 NIMULE-GULU-24h'!F74)</f>
        <v>0</v>
      </c>
      <c r="G74" s="49">
        <f>AVERAGE('04.07 NIMULE-GULU-24h'!G74,'05.07 NIMULE-GULU-24h'!G74)</f>
        <v>0</v>
      </c>
      <c r="H74" s="49">
        <f>AVERAGE('04.07 NIMULE-GULU-24h'!H74,'05.07 NIMULE-GULU-24h'!H74)</f>
        <v>0</v>
      </c>
      <c r="I74" s="49">
        <f>AVERAGE('04.07 NIMULE-GULU-24h'!I74,'05.07 NIMULE-GULU-24h'!I74)</f>
        <v>0</v>
      </c>
      <c r="J74" s="49">
        <f>AVERAGE('04.07 NIMULE-GULU-24h'!J74,'05.07 NIMULE-GULU-24h'!J74)</f>
        <v>0</v>
      </c>
      <c r="K74" s="49">
        <f>AVERAGE('04.07 NIMULE-GULU-24h'!K74,'05.07 NIMULE-GULU-24h'!K74)</f>
        <v>0</v>
      </c>
      <c r="L74" s="49">
        <f>AVERAGE('04.07 NIMULE-GULU-24h'!L74,'05.07 NIMULE-GULU-24h'!L74)</f>
        <v>0</v>
      </c>
      <c r="M74" s="49">
        <f>AVERAGE('04.07 NIMULE-GULU-24h'!M74,'05.07 NIMULE-GULU-24h'!M74)</f>
        <v>0</v>
      </c>
      <c r="N74" s="49">
        <f>AVERAGE('04.07 NIMULE-GULU-24h'!N74,'05.07 NIMULE-GULU-24h'!N74)</f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23" t="s">
        <v>115</v>
      </c>
      <c r="C75" s="49">
        <f>AVERAGE('04.07 NIMULE-GULU-24h'!C75,'05.07 NIMULE-GULU-24h'!C75)</f>
        <v>0</v>
      </c>
      <c r="D75" s="49">
        <f>AVERAGE('04.07 NIMULE-GULU-24h'!D75,'05.07 NIMULE-GULU-24h'!D75)</f>
        <v>0</v>
      </c>
      <c r="E75" s="49">
        <f>AVERAGE('04.07 NIMULE-GULU-24h'!E75,'05.07 NIMULE-GULU-24h'!E75)</f>
        <v>0</v>
      </c>
      <c r="F75" s="49">
        <f>AVERAGE('04.07 NIMULE-GULU-24h'!F75,'05.07 NIMULE-GULU-24h'!F75)</f>
        <v>0</v>
      </c>
      <c r="G75" s="49">
        <f>AVERAGE('04.07 NIMULE-GULU-24h'!G75,'05.07 NIMULE-GULU-24h'!G75)</f>
        <v>0</v>
      </c>
      <c r="H75" s="49">
        <f>AVERAGE('04.07 NIMULE-GULU-24h'!H75,'05.07 NIMULE-GULU-24h'!H75)</f>
        <v>0</v>
      </c>
      <c r="I75" s="49">
        <f>AVERAGE('04.07 NIMULE-GULU-24h'!I75,'05.07 NIMULE-GULU-24h'!I75)</f>
        <v>0</v>
      </c>
      <c r="J75" s="49">
        <f>AVERAGE('04.07 NIMULE-GULU-24h'!J75,'05.07 NIMULE-GULU-24h'!J75)</f>
        <v>0</v>
      </c>
      <c r="K75" s="49">
        <f>AVERAGE('04.07 NIMULE-GULU-24h'!K75,'05.07 NIMULE-GULU-24h'!K75)</f>
        <v>0</v>
      </c>
      <c r="L75" s="49">
        <f>AVERAGE('04.07 NIMULE-GULU-24h'!L75,'05.07 NIMULE-GULU-24h'!L75)</f>
        <v>0</v>
      </c>
      <c r="M75" s="49">
        <f>AVERAGE('04.07 NIMULE-GULU-24h'!M75,'05.07 NIMULE-GULU-24h'!M75)</f>
        <v>0</v>
      </c>
      <c r="N75" s="49">
        <f>AVERAGE('04.07 NIMULE-GULU-24h'!N75,'05.07 NIMULE-GULU-24h'!N75)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3" t="s">
        <v>116</v>
      </c>
      <c r="C76" s="49">
        <f>AVERAGE('04.07 NIMULE-GULU-24h'!C76,'05.07 NIMULE-GULU-24h'!C76)</f>
        <v>0</v>
      </c>
      <c r="D76" s="49">
        <f>AVERAGE('04.07 NIMULE-GULU-24h'!D76,'05.07 NIMULE-GULU-24h'!D76)</f>
        <v>0</v>
      </c>
      <c r="E76" s="49">
        <f>AVERAGE('04.07 NIMULE-GULU-24h'!E76,'05.07 NIMULE-GULU-24h'!E76)</f>
        <v>0</v>
      </c>
      <c r="F76" s="49">
        <f>AVERAGE('04.07 NIMULE-GULU-24h'!F76,'05.07 NIMULE-GULU-24h'!F76)</f>
        <v>0</v>
      </c>
      <c r="G76" s="49">
        <f>AVERAGE('04.07 NIMULE-GULU-24h'!G76,'05.07 NIMULE-GULU-24h'!G76)</f>
        <v>0</v>
      </c>
      <c r="H76" s="49">
        <f>AVERAGE('04.07 NIMULE-GULU-24h'!H76,'05.07 NIMULE-GULU-24h'!H76)</f>
        <v>0</v>
      </c>
      <c r="I76" s="49">
        <f>AVERAGE('04.07 NIMULE-GULU-24h'!I76,'05.07 NIMULE-GULU-24h'!I76)</f>
        <v>0</v>
      </c>
      <c r="J76" s="49">
        <f>AVERAGE('04.07 NIMULE-GULU-24h'!J76,'05.07 NIMULE-GULU-24h'!J76)</f>
        <v>0</v>
      </c>
      <c r="K76" s="49">
        <f>AVERAGE('04.07 NIMULE-GULU-24h'!K76,'05.07 NIMULE-GULU-24h'!K76)</f>
        <v>0</v>
      </c>
      <c r="L76" s="49">
        <f>AVERAGE('04.07 NIMULE-GULU-24h'!L76,'05.07 NIMULE-GULU-24h'!L76)</f>
        <v>0</v>
      </c>
      <c r="M76" s="49">
        <f>AVERAGE('04.07 NIMULE-GULU-24h'!M76,'05.07 NIMULE-GULU-24h'!M76)</f>
        <v>0</v>
      </c>
      <c r="N76" s="49">
        <f>AVERAGE('04.07 NIMULE-GULU-24h'!N76,'05.07 NIMULE-GULU-24h'!N76)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AVERAGE('04.07 NIMULE-GULU-24h'!C77,'05.07 NIMULE-GULU-24h'!C77)</f>
        <v>0</v>
      </c>
      <c r="D77" s="49">
        <f>AVERAGE('04.07 NIMULE-GULU-24h'!D77,'05.07 NIMULE-GULU-24h'!D77)</f>
        <v>0</v>
      </c>
      <c r="E77" s="49">
        <f>AVERAGE('04.07 NIMULE-GULU-24h'!E77,'05.07 NIMULE-GULU-24h'!E77)</f>
        <v>0</v>
      </c>
      <c r="F77" s="49">
        <f>AVERAGE('04.07 NIMULE-GULU-24h'!F77,'05.07 NIMULE-GULU-24h'!F77)</f>
        <v>0</v>
      </c>
      <c r="G77" s="49">
        <f>AVERAGE('04.07 NIMULE-GULU-24h'!G77,'05.07 NIMULE-GULU-24h'!G77)</f>
        <v>0</v>
      </c>
      <c r="H77" s="49">
        <f>AVERAGE('04.07 NIMULE-GULU-24h'!H77,'05.07 NIMULE-GULU-24h'!H77)</f>
        <v>0</v>
      </c>
      <c r="I77" s="49">
        <f>AVERAGE('04.07 NIMULE-GULU-24h'!I77,'05.07 NIMULE-GULU-24h'!I77)</f>
        <v>0</v>
      </c>
      <c r="J77" s="49">
        <f>AVERAGE('04.07 NIMULE-GULU-24h'!J77,'05.07 NIMULE-GULU-24h'!J77)</f>
        <v>0</v>
      </c>
      <c r="K77" s="49">
        <f>AVERAGE('04.07 NIMULE-GULU-24h'!K77,'05.07 NIMULE-GULU-24h'!K77)</f>
        <v>0</v>
      </c>
      <c r="L77" s="49">
        <f>AVERAGE('04.07 NIMULE-GULU-24h'!L77,'05.07 NIMULE-GULU-24h'!L77)</f>
        <v>0</v>
      </c>
      <c r="M77" s="49">
        <f>AVERAGE('04.07 NIMULE-GULU-24h'!M77,'05.07 NIMULE-GULU-24h'!M77)</f>
        <v>0</v>
      </c>
      <c r="N77" s="49">
        <f>AVERAGE('04.07 NIMULE-GULU-24h'!N77,'05.07 NIMULE-GULU-24h'!N77)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AVERAGE('04.07 NIMULE-GULU-24h'!C78,'05.07 NIMULE-GULU-24h'!C78)</f>
        <v>0</v>
      </c>
      <c r="D78" s="49">
        <f>AVERAGE('04.07 NIMULE-GULU-24h'!D78,'05.07 NIMULE-GULU-24h'!D78)</f>
        <v>0</v>
      </c>
      <c r="E78" s="49">
        <f>AVERAGE('04.07 NIMULE-GULU-24h'!E78,'05.07 NIMULE-GULU-24h'!E78)</f>
        <v>0</v>
      </c>
      <c r="F78" s="49">
        <f>AVERAGE('04.07 NIMULE-GULU-24h'!F78,'05.07 NIMULE-GULU-24h'!F78)</f>
        <v>0</v>
      </c>
      <c r="G78" s="49">
        <f>AVERAGE('04.07 NIMULE-GULU-24h'!G78,'05.07 NIMULE-GULU-24h'!G78)</f>
        <v>0</v>
      </c>
      <c r="H78" s="49">
        <f>AVERAGE('04.07 NIMULE-GULU-24h'!H78,'05.07 NIMULE-GULU-24h'!H78)</f>
        <v>0</v>
      </c>
      <c r="I78" s="49">
        <f>AVERAGE('04.07 NIMULE-GULU-24h'!I78,'05.07 NIMULE-GULU-24h'!I78)</f>
        <v>0</v>
      </c>
      <c r="J78" s="49">
        <f>AVERAGE('04.07 NIMULE-GULU-24h'!J78,'05.07 NIMULE-GULU-24h'!J78)</f>
        <v>0</v>
      </c>
      <c r="K78" s="49">
        <f>AVERAGE('04.07 NIMULE-GULU-24h'!K78,'05.07 NIMULE-GULU-24h'!K78)</f>
        <v>0</v>
      </c>
      <c r="L78" s="49">
        <f>AVERAGE('04.07 NIMULE-GULU-24h'!L78,'05.07 NIMULE-GULU-24h'!L78)</f>
        <v>0</v>
      </c>
      <c r="M78" s="49">
        <f>AVERAGE('04.07 NIMULE-GULU-24h'!M78,'05.07 NIMULE-GULU-24h'!M78)</f>
        <v>0</v>
      </c>
      <c r="N78" s="49">
        <f>AVERAGE('04.07 NIMULE-GULU-24h'!N78,'05.07 NIMULE-GULU-24h'!N78)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AVERAGE('04.07 NIMULE-GULU-24h'!C79,'05.07 NIMULE-GULU-24h'!C79)</f>
        <v>0</v>
      </c>
      <c r="D79" s="49">
        <f>AVERAGE('04.07 NIMULE-GULU-24h'!D79,'05.07 NIMULE-GULU-24h'!D79)</f>
        <v>0</v>
      </c>
      <c r="E79" s="49">
        <f>AVERAGE('04.07 NIMULE-GULU-24h'!E79,'05.07 NIMULE-GULU-24h'!E79)</f>
        <v>0</v>
      </c>
      <c r="F79" s="49">
        <f>AVERAGE('04.07 NIMULE-GULU-24h'!F79,'05.07 NIMULE-GULU-24h'!F79)</f>
        <v>0</v>
      </c>
      <c r="G79" s="49">
        <f>AVERAGE('04.07 NIMULE-GULU-24h'!G79,'05.07 NIMULE-GULU-24h'!G79)</f>
        <v>0</v>
      </c>
      <c r="H79" s="49">
        <f>AVERAGE('04.07 NIMULE-GULU-24h'!H79,'05.07 NIMULE-GULU-24h'!H79)</f>
        <v>0</v>
      </c>
      <c r="I79" s="49">
        <f>AVERAGE('04.07 NIMULE-GULU-24h'!I79,'05.07 NIMULE-GULU-24h'!I79)</f>
        <v>0</v>
      </c>
      <c r="J79" s="49">
        <f>AVERAGE('04.07 NIMULE-GULU-24h'!J79,'05.07 NIMULE-GULU-24h'!J79)</f>
        <v>0</v>
      </c>
      <c r="K79" s="49">
        <f>AVERAGE('04.07 NIMULE-GULU-24h'!K79,'05.07 NIMULE-GULU-24h'!K79)</f>
        <v>0</v>
      </c>
      <c r="L79" s="49">
        <f>AVERAGE('04.07 NIMULE-GULU-24h'!L79,'05.07 NIMULE-GULU-24h'!L79)</f>
        <v>0</v>
      </c>
      <c r="M79" s="49">
        <f>AVERAGE('04.07 NIMULE-GULU-24h'!M79,'05.07 NIMULE-GULU-24h'!M79)</f>
        <v>0</v>
      </c>
      <c r="N79" s="49">
        <f>AVERAGE('04.07 NIMULE-GULU-24h'!N79,'05.07 NIMULE-GULU-24h'!N79)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AVERAGE('04.07 NIMULE-GULU-24h'!C80,'05.07 NIMULE-GULU-24h'!C80)</f>
        <v>0</v>
      </c>
      <c r="D80" s="49">
        <f>AVERAGE('04.07 NIMULE-GULU-24h'!D80,'05.07 NIMULE-GULU-24h'!D80)</f>
        <v>0</v>
      </c>
      <c r="E80" s="49">
        <f>AVERAGE('04.07 NIMULE-GULU-24h'!E80,'05.07 NIMULE-GULU-24h'!E80)</f>
        <v>0</v>
      </c>
      <c r="F80" s="49">
        <f>AVERAGE('04.07 NIMULE-GULU-24h'!F80,'05.07 NIMULE-GULU-24h'!F80)</f>
        <v>0</v>
      </c>
      <c r="G80" s="49">
        <f>AVERAGE('04.07 NIMULE-GULU-24h'!G80,'05.07 NIMULE-GULU-24h'!G80)</f>
        <v>0</v>
      </c>
      <c r="H80" s="49">
        <f>AVERAGE('04.07 NIMULE-GULU-24h'!H80,'05.07 NIMULE-GULU-24h'!H80)</f>
        <v>0</v>
      </c>
      <c r="I80" s="49">
        <f>AVERAGE('04.07 NIMULE-GULU-24h'!I80,'05.07 NIMULE-GULU-24h'!I80)</f>
        <v>0</v>
      </c>
      <c r="J80" s="49">
        <f>AVERAGE('04.07 NIMULE-GULU-24h'!J80,'05.07 NIMULE-GULU-24h'!J80)</f>
        <v>0</v>
      </c>
      <c r="K80" s="49">
        <f>AVERAGE('04.07 NIMULE-GULU-24h'!K80,'05.07 NIMULE-GULU-24h'!K80)</f>
        <v>0</v>
      </c>
      <c r="L80" s="49">
        <f>AVERAGE('04.07 NIMULE-GULU-24h'!L80,'05.07 NIMULE-GULU-24h'!L80)</f>
        <v>0</v>
      </c>
      <c r="M80" s="49">
        <f>AVERAGE('04.07 NIMULE-GULU-24h'!M80,'05.07 NIMULE-GULU-24h'!M80)</f>
        <v>0</v>
      </c>
      <c r="N80" s="49">
        <f>AVERAGE('04.07 NIMULE-GULU-24h'!N80,'05.07 NIMULE-GULU-24h'!N80)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AVERAGE('04.07 NIMULE-GULU-24h'!C81,'05.07 NIMULE-GULU-24h'!C81)</f>
        <v>0</v>
      </c>
      <c r="D81" s="49">
        <f>AVERAGE('04.07 NIMULE-GULU-24h'!D81,'05.07 NIMULE-GULU-24h'!D81)</f>
        <v>0</v>
      </c>
      <c r="E81" s="49">
        <f>AVERAGE('04.07 NIMULE-GULU-24h'!E81,'05.07 NIMULE-GULU-24h'!E81)</f>
        <v>0</v>
      </c>
      <c r="F81" s="49">
        <f>AVERAGE('04.07 NIMULE-GULU-24h'!F81,'05.07 NIMULE-GULU-24h'!F81)</f>
        <v>0</v>
      </c>
      <c r="G81" s="49">
        <f>AVERAGE('04.07 NIMULE-GULU-24h'!G81,'05.07 NIMULE-GULU-24h'!G81)</f>
        <v>0</v>
      </c>
      <c r="H81" s="49">
        <f>AVERAGE('04.07 NIMULE-GULU-24h'!H81,'05.07 NIMULE-GULU-24h'!H81)</f>
        <v>0</v>
      </c>
      <c r="I81" s="49">
        <f>AVERAGE('04.07 NIMULE-GULU-24h'!I81,'05.07 NIMULE-GULU-24h'!I81)</f>
        <v>0</v>
      </c>
      <c r="J81" s="49">
        <f>AVERAGE('04.07 NIMULE-GULU-24h'!J81,'05.07 NIMULE-GULU-24h'!J81)</f>
        <v>0</v>
      </c>
      <c r="K81" s="49">
        <f>AVERAGE('04.07 NIMULE-GULU-24h'!K81,'05.07 NIMULE-GULU-24h'!K81)</f>
        <v>0</v>
      </c>
      <c r="L81" s="49">
        <f>AVERAGE('04.07 NIMULE-GULU-24h'!L81,'05.07 NIMULE-GULU-24h'!L81)</f>
        <v>0</v>
      </c>
      <c r="M81" s="49">
        <f>AVERAGE('04.07 NIMULE-GULU-24h'!M81,'05.07 NIMULE-GULU-24h'!M81)</f>
        <v>0</v>
      </c>
      <c r="N81" s="49">
        <f>AVERAGE('04.07 NIMULE-GULU-24h'!N81,'05.07 NIMULE-GULU-24h'!N81)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AVERAGE('04.07 NIMULE-GULU-24h'!C82,'05.07 NIMULE-GULU-24h'!C82)</f>
        <v>0</v>
      </c>
      <c r="D82" s="49">
        <f>AVERAGE('04.07 NIMULE-GULU-24h'!D82,'05.07 NIMULE-GULU-24h'!D82)</f>
        <v>0</v>
      </c>
      <c r="E82" s="49">
        <f>AVERAGE('04.07 NIMULE-GULU-24h'!E82,'05.07 NIMULE-GULU-24h'!E82)</f>
        <v>0</v>
      </c>
      <c r="F82" s="49">
        <f>AVERAGE('04.07 NIMULE-GULU-24h'!F82,'05.07 NIMULE-GULU-24h'!F82)</f>
        <v>0</v>
      </c>
      <c r="G82" s="49">
        <f>AVERAGE('04.07 NIMULE-GULU-24h'!G82,'05.07 NIMULE-GULU-24h'!G82)</f>
        <v>0</v>
      </c>
      <c r="H82" s="49">
        <f>AVERAGE('04.07 NIMULE-GULU-24h'!H82,'05.07 NIMULE-GULU-24h'!H82)</f>
        <v>0</v>
      </c>
      <c r="I82" s="49">
        <f>AVERAGE('04.07 NIMULE-GULU-24h'!I82,'05.07 NIMULE-GULU-24h'!I82)</f>
        <v>0</v>
      </c>
      <c r="J82" s="49">
        <f>AVERAGE('04.07 NIMULE-GULU-24h'!J82,'05.07 NIMULE-GULU-24h'!J82)</f>
        <v>0</v>
      </c>
      <c r="K82" s="49">
        <f>AVERAGE('04.07 NIMULE-GULU-24h'!K82,'05.07 NIMULE-GULU-24h'!K82)</f>
        <v>0</v>
      </c>
      <c r="L82" s="49">
        <f>AVERAGE('04.07 NIMULE-GULU-24h'!L82,'05.07 NIMULE-GULU-24h'!L82)</f>
        <v>0</v>
      </c>
      <c r="M82" s="49">
        <f>AVERAGE('04.07 NIMULE-GULU-24h'!M82,'05.07 NIMULE-GULU-24h'!M82)</f>
        <v>0</v>
      </c>
      <c r="N82" s="49">
        <f>AVERAGE('04.07 NIMULE-GULU-24h'!N82,'05.07 NIMULE-GULU-24h'!N82)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AVERAGE('04.07 NIMULE-GULU-24h'!C83,'05.07 NIMULE-GULU-24h'!C83)</f>
        <v>0</v>
      </c>
      <c r="D83" s="49">
        <f>AVERAGE('04.07 NIMULE-GULU-24h'!D83,'05.07 NIMULE-GULU-24h'!D83)</f>
        <v>0</v>
      </c>
      <c r="E83" s="49">
        <f>AVERAGE('04.07 NIMULE-GULU-24h'!E83,'05.07 NIMULE-GULU-24h'!E83)</f>
        <v>0</v>
      </c>
      <c r="F83" s="49">
        <f>AVERAGE('04.07 NIMULE-GULU-24h'!F83,'05.07 NIMULE-GULU-24h'!F83)</f>
        <v>0</v>
      </c>
      <c r="G83" s="49">
        <f>AVERAGE('04.07 NIMULE-GULU-24h'!G83,'05.07 NIMULE-GULU-24h'!G83)</f>
        <v>0</v>
      </c>
      <c r="H83" s="49">
        <f>AVERAGE('04.07 NIMULE-GULU-24h'!H83,'05.07 NIMULE-GULU-24h'!H83)</f>
        <v>0</v>
      </c>
      <c r="I83" s="49">
        <f>AVERAGE('04.07 NIMULE-GULU-24h'!I83,'05.07 NIMULE-GULU-24h'!I83)</f>
        <v>0</v>
      </c>
      <c r="J83" s="49">
        <f>AVERAGE('04.07 NIMULE-GULU-24h'!J83,'05.07 NIMULE-GULU-24h'!J83)</f>
        <v>0</v>
      </c>
      <c r="K83" s="49">
        <f>AVERAGE('04.07 NIMULE-GULU-24h'!K83,'05.07 NIMULE-GULU-24h'!K83)</f>
        <v>0</v>
      </c>
      <c r="L83" s="49">
        <f>AVERAGE('04.07 NIMULE-GULU-24h'!L83,'05.07 NIMULE-GULU-24h'!L83)</f>
        <v>0</v>
      </c>
      <c r="M83" s="49">
        <f>AVERAGE('04.07 NIMULE-GULU-24h'!M83,'05.07 NIMULE-GULU-24h'!M83)</f>
        <v>0</v>
      </c>
      <c r="N83" s="49">
        <f>AVERAGE('04.07 NIMULE-GULU-24h'!N83,'05.07 NIMULE-GULU-24h'!N83)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AVERAGE('04.07 NIMULE-GULU-24h'!C84,'05.07 NIMULE-GULU-24h'!C84)</f>
        <v>0</v>
      </c>
      <c r="D84" s="49">
        <f>AVERAGE('04.07 NIMULE-GULU-24h'!D84,'05.07 NIMULE-GULU-24h'!D84)</f>
        <v>0</v>
      </c>
      <c r="E84" s="49">
        <f>AVERAGE('04.07 NIMULE-GULU-24h'!E84,'05.07 NIMULE-GULU-24h'!E84)</f>
        <v>0</v>
      </c>
      <c r="F84" s="49">
        <f>AVERAGE('04.07 NIMULE-GULU-24h'!F84,'05.07 NIMULE-GULU-24h'!F84)</f>
        <v>0</v>
      </c>
      <c r="G84" s="49">
        <f>AVERAGE('04.07 NIMULE-GULU-24h'!G84,'05.07 NIMULE-GULU-24h'!G84)</f>
        <v>0</v>
      </c>
      <c r="H84" s="49">
        <f>AVERAGE('04.07 NIMULE-GULU-24h'!H84,'05.07 NIMULE-GULU-24h'!H84)</f>
        <v>0</v>
      </c>
      <c r="I84" s="49">
        <f>AVERAGE('04.07 NIMULE-GULU-24h'!I84,'05.07 NIMULE-GULU-24h'!I84)</f>
        <v>0</v>
      </c>
      <c r="J84" s="49">
        <f>AVERAGE('04.07 NIMULE-GULU-24h'!J84,'05.07 NIMULE-GULU-24h'!J84)</f>
        <v>0</v>
      </c>
      <c r="K84" s="49">
        <f>AVERAGE('04.07 NIMULE-GULU-24h'!K84,'05.07 NIMULE-GULU-24h'!K84)</f>
        <v>0</v>
      </c>
      <c r="L84" s="49">
        <f>AVERAGE('04.07 NIMULE-GULU-24h'!L84,'05.07 NIMULE-GULU-24h'!L84)</f>
        <v>0</v>
      </c>
      <c r="M84" s="49">
        <f>AVERAGE('04.07 NIMULE-GULU-24h'!M84,'05.07 NIMULE-GULU-24h'!M84)</f>
        <v>0</v>
      </c>
      <c r="N84" s="49">
        <f>AVERAGE('04.07 NIMULE-GULU-24h'!N84,'05.07 NIMULE-GULU-24h'!N84)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AVERAGE('04.07 NIMULE-GULU-24h'!C85,'05.07 NIMULE-GULU-24h'!C85)</f>
        <v>0</v>
      </c>
      <c r="D85" s="49">
        <f>AVERAGE('04.07 NIMULE-GULU-24h'!D85,'05.07 NIMULE-GULU-24h'!D85)</f>
        <v>0</v>
      </c>
      <c r="E85" s="49">
        <f>AVERAGE('04.07 NIMULE-GULU-24h'!E85,'05.07 NIMULE-GULU-24h'!E85)</f>
        <v>0</v>
      </c>
      <c r="F85" s="49">
        <f>AVERAGE('04.07 NIMULE-GULU-24h'!F85,'05.07 NIMULE-GULU-24h'!F85)</f>
        <v>0</v>
      </c>
      <c r="G85" s="49">
        <f>AVERAGE('04.07 NIMULE-GULU-24h'!G85,'05.07 NIMULE-GULU-24h'!G85)</f>
        <v>0</v>
      </c>
      <c r="H85" s="49">
        <f>AVERAGE('04.07 NIMULE-GULU-24h'!H85,'05.07 NIMULE-GULU-24h'!H85)</f>
        <v>0</v>
      </c>
      <c r="I85" s="49">
        <f>AVERAGE('04.07 NIMULE-GULU-24h'!I85,'05.07 NIMULE-GULU-24h'!I85)</f>
        <v>0</v>
      </c>
      <c r="J85" s="49">
        <f>AVERAGE('04.07 NIMULE-GULU-24h'!J85,'05.07 NIMULE-GULU-24h'!J85)</f>
        <v>0</v>
      </c>
      <c r="K85" s="49">
        <f>AVERAGE('04.07 NIMULE-GULU-24h'!K85,'05.07 NIMULE-GULU-24h'!K85)</f>
        <v>0</v>
      </c>
      <c r="L85" s="49">
        <f>AVERAGE('04.07 NIMULE-GULU-24h'!L85,'05.07 NIMULE-GULU-24h'!L85)</f>
        <v>0</v>
      </c>
      <c r="M85" s="49">
        <f>AVERAGE('04.07 NIMULE-GULU-24h'!M85,'05.07 NIMULE-GULU-24h'!M85)</f>
        <v>0</v>
      </c>
      <c r="N85" s="49">
        <f>AVERAGE('04.07 NIMULE-GULU-24h'!N85,'05.07 NIMULE-GULU-24h'!N85)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AVERAGE('04.07 NIMULE-GULU-24h'!C86,'05.07 NIMULE-GULU-24h'!C86)</f>
        <v>0</v>
      </c>
      <c r="D86" s="49">
        <f>AVERAGE('04.07 NIMULE-GULU-24h'!D86,'05.07 NIMULE-GULU-24h'!D86)</f>
        <v>0</v>
      </c>
      <c r="E86" s="49">
        <f>AVERAGE('04.07 NIMULE-GULU-24h'!E86,'05.07 NIMULE-GULU-24h'!E86)</f>
        <v>0</v>
      </c>
      <c r="F86" s="49">
        <f>AVERAGE('04.07 NIMULE-GULU-24h'!F86,'05.07 NIMULE-GULU-24h'!F86)</f>
        <v>0</v>
      </c>
      <c r="G86" s="49">
        <f>AVERAGE('04.07 NIMULE-GULU-24h'!G86,'05.07 NIMULE-GULU-24h'!G86)</f>
        <v>0</v>
      </c>
      <c r="H86" s="49">
        <f>AVERAGE('04.07 NIMULE-GULU-24h'!H86,'05.07 NIMULE-GULU-24h'!H86)</f>
        <v>0</v>
      </c>
      <c r="I86" s="49">
        <f>AVERAGE('04.07 NIMULE-GULU-24h'!I86,'05.07 NIMULE-GULU-24h'!I86)</f>
        <v>0</v>
      </c>
      <c r="J86" s="49">
        <f>AVERAGE('04.07 NIMULE-GULU-24h'!J86,'05.07 NIMULE-GULU-24h'!J86)</f>
        <v>0</v>
      </c>
      <c r="K86" s="49">
        <f>AVERAGE('04.07 NIMULE-GULU-24h'!K86,'05.07 NIMULE-GULU-24h'!K86)</f>
        <v>0</v>
      </c>
      <c r="L86" s="49">
        <f>AVERAGE('04.07 NIMULE-GULU-24h'!L86,'05.07 NIMULE-GULU-24h'!L86)</f>
        <v>0</v>
      </c>
      <c r="M86" s="49">
        <f>AVERAGE('04.07 NIMULE-GULU-24h'!M86,'05.07 NIMULE-GULU-24h'!M86)</f>
        <v>0</v>
      </c>
      <c r="N86" s="49">
        <f>AVERAGE('04.07 NIMULE-GULU-24h'!N86,'05.07 NIMULE-GULU-24h'!N86)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AVERAGE('04.07 NIMULE-GULU-24h'!C87,'05.07 NIMULE-GULU-24h'!C87)</f>
        <v>0</v>
      </c>
      <c r="D87" s="49">
        <f>AVERAGE('04.07 NIMULE-GULU-24h'!D87,'05.07 NIMULE-GULU-24h'!D87)</f>
        <v>0</v>
      </c>
      <c r="E87" s="49">
        <f>AVERAGE('04.07 NIMULE-GULU-24h'!E87,'05.07 NIMULE-GULU-24h'!E87)</f>
        <v>0</v>
      </c>
      <c r="F87" s="49">
        <f>AVERAGE('04.07 NIMULE-GULU-24h'!F87,'05.07 NIMULE-GULU-24h'!F87)</f>
        <v>0</v>
      </c>
      <c r="G87" s="49">
        <f>AVERAGE('04.07 NIMULE-GULU-24h'!G87,'05.07 NIMULE-GULU-24h'!G87)</f>
        <v>0</v>
      </c>
      <c r="H87" s="49">
        <f>AVERAGE('04.07 NIMULE-GULU-24h'!H87,'05.07 NIMULE-GULU-24h'!H87)</f>
        <v>0</v>
      </c>
      <c r="I87" s="49">
        <f>AVERAGE('04.07 NIMULE-GULU-24h'!I87,'05.07 NIMULE-GULU-24h'!I87)</f>
        <v>0</v>
      </c>
      <c r="J87" s="49">
        <f>AVERAGE('04.07 NIMULE-GULU-24h'!J87,'05.07 NIMULE-GULU-24h'!J87)</f>
        <v>0</v>
      </c>
      <c r="K87" s="49">
        <f>AVERAGE('04.07 NIMULE-GULU-24h'!K87,'05.07 NIMULE-GULU-24h'!K87)</f>
        <v>0</v>
      </c>
      <c r="L87" s="49">
        <f>AVERAGE('04.07 NIMULE-GULU-24h'!L87,'05.07 NIMULE-GULU-24h'!L87)</f>
        <v>0</v>
      </c>
      <c r="M87" s="49">
        <f>AVERAGE('04.07 NIMULE-GULU-24h'!M87,'05.07 NIMULE-GULU-24h'!M87)</f>
        <v>0</v>
      </c>
      <c r="N87" s="49">
        <f>AVERAGE('04.07 NIMULE-GULU-24h'!N87,'05.07 NIMULE-GULU-24h'!N87)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AVERAGE('04.07 NIMULE-GULU-24h'!C88,'05.07 NIMULE-GULU-24h'!C88)</f>
        <v>0</v>
      </c>
      <c r="D88" s="49">
        <f>AVERAGE('04.07 NIMULE-GULU-24h'!D88,'05.07 NIMULE-GULU-24h'!D88)</f>
        <v>0</v>
      </c>
      <c r="E88" s="49">
        <f>AVERAGE('04.07 NIMULE-GULU-24h'!E88,'05.07 NIMULE-GULU-24h'!E88)</f>
        <v>0</v>
      </c>
      <c r="F88" s="49">
        <f>AVERAGE('04.07 NIMULE-GULU-24h'!F88,'05.07 NIMULE-GULU-24h'!F88)</f>
        <v>0</v>
      </c>
      <c r="G88" s="49">
        <f>AVERAGE('04.07 NIMULE-GULU-24h'!G88,'05.07 NIMULE-GULU-24h'!G88)</f>
        <v>0</v>
      </c>
      <c r="H88" s="49">
        <f>AVERAGE('04.07 NIMULE-GULU-24h'!H88,'05.07 NIMULE-GULU-24h'!H88)</f>
        <v>0</v>
      </c>
      <c r="I88" s="49">
        <f>AVERAGE('04.07 NIMULE-GULU-24h'!I88,'05.07 NIMULE-GULU-24h'!I88)</f>
        <v>0</v>
      </c>
      <c r="J88" s="49">
        <f>AVERAGE('04.07 NIMULE-GULU-24h'!J88,'05.07 NIMULE-GULU-24h'!J88)</f>
        <v>0</v>
      </c>
      <c r="K88" s="49">
        <f>AVERAGE('04.07 NIMULE-GULU-24h'!K88,'05.07 NIMULE-GULU-24h'!K88)</f>
        <v>0</v>
      </c>
      <c r="L88" s="49">
        <f>AVERAGE('04.07 NIMULE-GULU-24h'!L88,'05.07 NIMULE-GULU-24h'!L88)</f>
        <v>0</v>
      </c>
      <c r="M88" s="49">
        <f>AVERAGE('04.07 NIMULE-GULU-24h'!M88,'05.07 NIMULE-GULU-24h'!M88)</f>
        <v>0</v>
      </c>
      <c r="N88" s="49">
        <f>AVERAGE('04.07 NIMULE-GULU-24h'!N88,'05.07 NIMULE-GULU-24h'!N88)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AVERAGE('04.07 NIMULE-GULU-24h'!C89,'05.07 NIMULE-GULU-24h'!C89)</f>
        <v>0</v>
      </c>
      <c r="D89" s="49">
        <f>AVERAGE('04.07 NIMULE-GULU-24h'!D89,'05.07 NIMULE-GULU-24h'!D89)</f>
        <v>0</v>
      </c>
      <c r="E89" s="49">
        <f>AVERAGE('04.07 NIMULE-GULU-24h'!E89,'05.07 NIMULE-GULU-24h'!E89)</f>
        <v>0</v>
      </c>
      <c r="F89" s="49">
        <f>AVERAGE('04.07 NIMULE-GULU-24h'!F89,'05.07 NIMULE-GULU-24h'!F89)</f>
        <v>0</v>
      </c>
      <c r="G89" s="49">
        <f>AVERAGE('04.07 NIMULE-GULU-24h'!G89,'05.07 NIMULE-GULU-24h'!G89)</f>
        <v>0</v>
      </c>
      <c r="H89" s="49">
        <f>AVERAGE('04.07 NIMULE-GULU-24h'!H89,'05.07 NIMULE-GULU-24h'!H89)</f>
        <v>0</v>
      </c>
      <c r="I89" s="49">
        <f>AVERAGE('04.07 NIMULE-GULU-24h'!I89,'05.07 NIMULE-GULU-24h'!I89)</f>
        <v>0</v>
      </c>
      <c r="J89" s="49">
        <f>AVERAGE('04.07 NIMULE-GULU-24h'!J89,'05.07 NIMULE-GULU-24h'!J89)</f>
        <v>0</v>
      </c>
      <c r="K89" s="49">
        <f>AVERAGE('04.07 NIMULE-GULU-24h'!K89,'05.07 NIMULE-GULU-24h'!K89)</f>
        <v>0</v>
      </c>
      <c r="L89" s="49">
        <f>AVERAGE('04.07 NIMULE-GULU-24h'!L89,'05.07 NIMULE-GULU-24h'!L89)</f>
        <v>0</v>
      </c>
      <c r="M89" s="49">
        <f>AVERAGE('04.07 NIMULE-GULU-24h'!M89,'05.07 NIMULE-GULU-24h'!M89)</f>
        <v>0</v>
      </c>
      <c r="N89" s="49">
        <f>AVERAGE('04.07 NIMULE-GULU-24h'!N89,'05.07 NIMULE-GULU-24h'!N89)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AVERAGE('04.07 NIMULE-GULU-24h'!C90,'05.07 NIMULE-GULU-24h'!C90)</f>
        <v>0</v>
      </c>
      <c r="D90" s="49">
        <f>AVERAGE('04.07 NIMULE-GULU-24h'!D90,'05.07 NIMULE-GULU-24h'!D90)</f>
        <v>0</v>
      </c>
      <c r="E90" s="49">
        <f>AVERAGE('04.07 NIMULE-GULU-24h'!E90,'05.07 NIMULE-GULU-24h'!E90)</f>
        <v>0</v>
      </c>
      <c r="F90" s="49">
        <f>AVERAGE('04.07 NIMULE-GULU-24h'!F90,'05.07 NIMULE-GULU-24h'!F90)</f>
        <v>0</v>
      </c>
      <c r="G90" s="49">
        <f>AVERAGE('04.07 NIMULE-GULU-24h'!G90,'05.07 NIMULE-GULU-24h'!G90)</f>
        <v>0</v>
      </c>
      <c r="H90" s="49">
        <f>AVERAGE('04.07 NIMULE-GULU-24h'!H90,'05.07 NIMULE-GULU-24h'!H90)</f>
        <v>0</v>
      </c>
      <c r="I90" s="49">
        <f>AVERAGE('04.07 NIMULE-GULU-24h'!I90,'05.07 NIMULE-GULU-24h'!I90)</f>
        <v>0</v>
      </c>
      <c r="J90" s="49">
        <f>AVERAGE('04.07 NIMULE-GULU-24h'!J90,'05.07 NIMULE-GULU-24h'!J90)</f>
        <v>0</v>
      </c>
      <c r="K90" s="49">
        <f>AVERAGE('04.07 NIMULE-GULU-24h'!K90,'05.07 NIMULE-GULU-24h'!K90)</f>
        <v>0</v>
      </c>
      <c r="L90" s="49">
        <f>AVERAGE('04.07 NIMULE-GULU-24h'!L90,'05.07 NIMULE-GULU-24h'!L90)</f>
        <v>0</v>
      </c>
      <c r="M90" s="49">
        <f>AVERAGE('04.07 NIMULE-GULU-24h'!M90,'05.07 NIMULE-GULU-24h'!M90)</f>
        <v>0</v>
      </c>
      <c r="N90" s="49">
        <f>AVERAGE('04.07 NIMULE-GULU-24h'!N90,'05.07 NIMULE-GULU-24h'!N90)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AVERAGE('04.07 NIMULE-GULU-24h'!C91,'05.07 NIMULE-GULU-24h'!C91)</f>
        <v>0</v>
      </c>
      <c r="D91" s="49">
        <f>AVERAGE('04.07 NIMULE-GULU-24h'!D91,'05.07 NIMULE-GULU-24h'!D91)</f>
        <v>0</v>
      </c>
      <c r="E91" s="49">
        <f>AVERAGE('04.07 NIMULE-GULU-24h'!E91,'05.07 NIMULE-GULU-24h'!E91)</f>
        <v>0</v>
      </c>
      <c r="F91" s="49">
        <f>AVERAGE('04.07 NIMULE-GULU-24h'!F91,'05.07 NIMULE-GULU-24h'!F91)</f>
        <v>0</v>
      </c>
      <c r="G91" s="49">
        <f>AVERAGE('04.07 NIMULE-GULU-24h'!G91,'05.07 NIMULE-GULU-24h'!G91)</f>
        <v>0</v>
      </c>
      <c r="H91" s="49">
        <f>AVERAGE('04.07 NIMULE-GULU-24h'!H91,'05.07 NIMULE-GULU-24h'!H91)</f>
        <v>0</v>
      </c>
      <c r="I91" s="49">
        <f>AVERAGE('04.07 NIMULE-GULU-24h'!I91,'05.07 NIMULE-GULU-24h'!I91)</f>
        <v>0</v>
      </c>
      <c r="J91" s="49">
        <f>AVERAGE('04.07 NIMULE-GULU-24h'!J91,'05.07 NIMULE-GULU-24h'!J91)</f>
        <v>0</v>
      </c>
      <c r="K91" s="49">
        <f>AVERAGE('04.07 NIMULE-GULU-24h'!K91,'05.07 NIMULE-GULU-24h'!K91)</f>
        <v>0</v>
      </c>
      <c r="L91" s="49">
        <f>AVERAGE('04.07 NIMULE-GULU-24h'!L91,'05.07 NIMULE-GULU-24h'!L91)</f>
        <v>0</v>
      </c>
      <c r="M91" s="49">
        <f>AVERAGE('04.07 NIMULE-GULU-24h'!M91,'05.07 NIMULE-GULU-24h'!M91)</f>
        <v>0</v>
      </c>
      <c r="N91" s="49">
        <f>AVERAGE('04.07 NIMULE-GULU-24h'!N91,'05.07 NIMULE-GULU-24h'!N91)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AVERAGE('04.07 NIMULE-GULU-24h'!C92,'05.07 NIMULE-GULU-24h'!C92)</f>
        <v>0</v>
      </c>
      <c r="D92" s="49">
        <f>AVERAGE('04.07 NIMULE-GULU-24h'!D92,'05.07 NIMULE-GULU-24h'!D92)</f>
        <v>0</v>
      </c>
      <c r="E92" s="49">
        <f>AVERAGE('04.07 NIMULE-GULU-24h'!E92,'05.07 NIMULE-GULU-24h'!E92)</f>
        <v>0</v>
      </c>
      <c r="F92" s="49">
        <f>AVERAGE('04.07 NIMULE-GULU-24h'!F92,'05.07 NIMULE-GULU-24h'!F92)</f>
        <v>0</v>
      </c>
      <c r="G92" s="49">
        <f>AVERAGE('04.07 NIMULE-GULU-24h'!G92,'05.07 NIMULE-GULU-24h'!G92)</f>
        <v>0</v>
      </c>
      <c r="H92" s="49">
        <f>AVERAGE('04.07 NIMULE-GULU-24h'!H92,'05.07 NIMULE-GULU-24h'!H92)</f>
        <v>0</v>
      </c>
      <c r="I92" s="49">
        <f>AVERAGE('04.07 NIMULE-GULU-24h'!I92,'05.07 NIMULE-GULU-24h'!I92)</f>
        <v>0</v>
      </c>
      <c r="J92" s="49">
        <f>AVERAGE('04.07 NIMULE-GULU-24h'!J92,'05.07 NIMULE-GULU-24h'!J92)</f>
        <v>0</v>
      </c>
      <c r="K92" s="49">
        <f>AVERAGE('04.07 NIMULE-GULU-24h'!K92,'05.07 NIMULE-GULU-24h'!K92)</f>
        <v>0</v>
      </c>
      <c r="L92" s="49">
        <f>AVERAGE('04.07 NIMULE-GULU-24h'!L92,'05.07 NIMULE-GULU-24h'!L92)</f>
        <v>0</v>
      </c>
      <c r="M92" s="49">
        <f>AVERAGE('04.07 NIMULE-GULU-24h'!M92,'05.07 NIMULE-GULU-24h'!M92)</f>
        <v>0</v>
      </c>
      <c r="N92" s="49">
        <f>AVERAGE('04.07 NIMULE-GULU-24h'!N92,'05.07 NIMULE-GULU-24h'!N92)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AVERAGE('04.07 NIMULE-GULU-24h'!C93,'05.07 NIMULE-GULU-24h'!C93)</f>
        <v>0</v>
      </c>
      <c r="D93" s="49">
        <f>AVERAGE('04.07 NIMULE-GULU-24h'!D93,'05.07 NIMULE-GULU-24h'!D93)</f>
        <v>0</v>
      </c>
      <c r="E93" s="49">
        <f>AVERAGE('04.07 NIMULE-GULU-24h'!E93,'05.07 NIMULE-GULU-24h'!E93)</f>
        <v>0</v>
      </c>
      <c r="F93" s="49">
        <f>AVERAGE('04.07 NIMULE-GULU-24h'!F93,'05.07 NIMULE-GULU-24h'!F93)</f>
        <v>0</v>
      </c>
      <c r="G93" s="49">
        <f>AVERAGE('04.07 NIMULE-GULU-24h'!G93,'05.07 NIMULE-GULU-24h'!G93)</f>
        <v>0</v>
      </c>
      <c r="H93" s="49">
        <f>AVERAGE('04.07 NIMULE-GULU-24h'!H93,'05.07 NIMULE-GULU-24h'!H93)</f>
        <v>0</v>
      </c>
      <c r="I93" s="49">
        <f>AVERAGE('04.07 NIMULE-GULU-24h'!I93,'05.07 NIMULE-GULU-24h'!I93)</f>
        <v>0</v>
      </c>
      <c r="J93" s="49">
        <f>AVERAGE('04.07 NIMULE-GULU-24h'!J93,'05.07 NIMULE-GULU-24h'!J93)</f>
        <v>0</v>
      </c>
      <c r="K93" s="49">
        <f>AVERAGE('04.07 NIMULE-GULU-24h'!K93,'05.07 NIMULE-GULU-24h'!K93)</f>
        <v>0</v>
      </c>
      <c r="L93" s="49">
        <f>AVERAGE('04.07 NIMULE-GULU-24h'!L93,'05.07 NIMULE-GULU-24h'!L93)</f>
        <v>0</v>
      </c>
      <c r="M93" s="49">
        <f>AVERAGE('04.07 NIMULE-GULU-24h'!M93,'05.07 NIMULE-GULU-24h'!M93)</f>
        <v>0</v>
      </c>
      <c r="N93" s="49">
        <f>AVERAGE('04.07 NIMULE-GULU-24h'!N93,'05.07 NIMULE-GULU-24h'!N93)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AVERAGE('04.07 NIMULE-GULU-24h'!C94,'05.07 NIMULE-GULU-24h'!C94)</f>
        <v>0</v>
      </c>
      <c r="D94" s="49">
        <f>AVERAGE('04.07 NIMULE-GULU-24h'!D94,'05.07 NIMULE-GULU-24h'!D94)</f>
        <v>0</v>
      </c>
      <c r="E94" s="49">
        <f>AVERAGE('04.07 NIMULE-GULU-24h'!E94,'05.07 NIMULE-GULU-24h'!E94)</f>
        <v>0</v>
      </c>
      <c r="F94" s="49">
        <f>AVERAGE('04.07 NIMULE-GULU-24h'!F94,'05.07 NIMULE-GULU-24h'!F94)</f>
        <v>0</v>
      </c>
      <c r="G94" s="49">
        <f>AVERAGE('04.07 NIMULE-GULU-24h'!G94,'05.07 NIMULE-GULU-24h'!G94)</f>
        <v>0</v>
      </c>
      <c r="H94" s="49">
        <f>AVERAGE('04.07 NIMULE-GULU-24h'!H94,'05.07 NIMULE-GULU-24h'!H94)</f>
        <v>0</v>
      </c>
      <c r="I94" s="49">
        <f>AVERAGE('04.07 NIMULE-GULU-24h'!I94,'05.07 NIMULE-GULU-24h'!I94)</f>
        <v>0</v>
      </c>
      <c r="J94" s="49">
        <f>AVERAGE('04.07 NIMULE-GULU-24h'!J94,'05.07 NIMULE-GULU-24h'!J94)</f>
        <v>0</v>
      </c>
      <c r="K94" s="49">
        <f>AVERAGE('04.07 NIMULE-GULU-24h'!K94,'05.07 NIMULE-GULU-24h'!K94)</f>
        <v>0</v>
      </c>
      <c r="L94" s="49">
        <f>AVERAGE('04.07 NIMULE-GULU-24h'!L94,'05.07 NIMULE-GULU-24h'!L94)</f>
        <v>0</v>
      </c>
      <c r="M94" s="49">
        <f>AVERAGE('04.07 NIMULE-GULU-24h'!M94,'05.07 NIMULE-GULU-24h'!M94)</f>
        <v>0</v>
      </c>
      <c r="N94" s="49">
        <f>AVERAGE('04.07 NIMULE-GULU-24h'!N94,'05.07 NIMULE-GULU-24h'!N94)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AVERAGE('04.07 NIMULE-GULU-24h'!C95,'05.07 NIMULE-GULU-24h'!C95)</f>
        <v>0</v>
      </c>
      <c r="D95" s="49">
        <f>AVERAGE('04.07 NIMULE-GULU-24h'!D95,'05.07 NIMULE-GULU-24h'!D95)</f>
        <v>0</v>
      </c>
      <c r="E95" s="49">
        <f>AVERAGE('04.07 NIMULE-GULU-24h'!E95,'05.07 NIMULE-GULU-24h'!E95)</f>
        <v>0</v>
      </c>
      <c r="F95" s="49">
        <f>AVERAGE('04.07 NIMULE-GULU-24h'!F95,'05.07 NIMULE-GULU-24h'!F95)</f>
        <v>0</v>
      </c>
      <c r="G95" s="49">
        <f>AVERAGE('04.07 NIMULE-GULU-24h'!G95,'05.07 NIMULE-GULU-24h'!G95)</f>
        <v>0</v>
      </c>
      <c r="H95" s="49">
        <f>AVERAGE('04.07 NIMULE-GULU-24h'!H95,'05.07 NIMULE-GULU-24h'!H95)</f>
        <v>0</v>
      </c>
      <c r="I95" s="49">
        <f>AVERAGE('04.07 NIMULE-GULU-24h'!I95,'05.07 NIMULE-GULU-24h'!I95)</f>
        <v>0</v>
      </c>
      <c r="J95" s="49">
        <f>AVERAGE('04.07 NIMULE-GULU-24h'!J95,'05.07 NIMULE-GULU-24h'!J95)</f>
        <v>0</v>
      </c>
      <c r="K95" s="49">
        <f>AVERAGE('04.07 NIMULE-GULU-24h'!K95,'05.07 NIMULE-GULU-24h'!K95)</f>
        <v>0</v>
      </c>
      <c r="L95" s="49">
        <f>AVERAGE('04.07 NIMULE-GULU-24h'!L95,'05.07 NIMULE-GULU-24h'!L95)</f>
        <v>0</v>
      </c>
      <c r="M95" s="49">
        <f>AVERAGE('04.07 NIMULE-GULU-24h'!M95,'05.07 NIMULE-GULU-24h'!M95)</f>
        <v>0</v>
      </c>
      <c r="N95" s="49">
        <f>AVERAGE('04.07 NIMULE-GULU-24h'!N95,'05.07 NIMULE-GULU-24h'!N95)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AVERAGE('04.07 NIMULE-GULU-24h'!C96,'05.07 NIMULE-GULU-24h'!C96)</f>
        <v>0</v>
      </c>
      <c r="D96" s="49">
        <f>AVERAGE('04.07 NIMULE-GULU-24h'!D96,'05.07 NIMULE-GULU-24h'!D96)</f>
        <v>0</v>
      </c>
      <c r="E96" s="49">
        <f>AVERAGE('04.07 NIMULE-GULU-24h'!E96,'05.07 NIMULE-GULU-24h'!E96)</f>
        <v>0</v>
      </c>
      <c r="F96" s="49">
        <f>AVERAGE('04.07 NIMULE-GULU-24h'!F96,'05.07 NIMULE-GULU-24h'!F96)</f>
        <v>0</v>
      </c>
      <c r="G96" s="49">
        <f>AVERAGE('04.07 NIMULE-GULU-24h'!G96,'05.07 NIMULE-GULU-24h'!G96)</f>
        <v>0</v>
      </c>
      <c r="H96" s="49">
        <f>AVERAGE('04.07 NIMULE-GULU-24h'!H96,'05.07 NIMULE-GULU-24h'!H96)</f>
        <v>0</v>
      </c>
      <c r="I96" s="49">
        <f>AVERAGE('04.07 NIMULE-GULU-24h'!I96,'05.07 NIMULE-GULU-24h'!I96)</f>
        <v>0</v>
      </c>
      <c r="J96" s="49">
        <f>AVERAGE('04.07 NIMULE-GULU-24h'!J96,'05.07 NIMULE-GULU-24h'!J96)</f>
        <v>0</v>
      </c>
      <c r="K96" s="49">
        <f>AVERAGE('04.07 NIMULE-GULU-24h'!K96,'05.07 NIMULE-GULU-24h'!K96)</f>
        <v>0</v>
      </c>
      <c r="L96" s="49">
        <f>AVERAGE('04.07 NIMULE-GULU-24h'!L96,'05.07 NIMULE-GULU-24h'!L96)</f>
        <v>0</v>
      </c>
      <c r="M96" s="49">
        <f>AVERAGE('04.07 NIMULE-GULU-24h'!M96,'05.07 NIMULE-GULU-24h'!M96)</f>
        <v>0</v>
      </c>
      <c r="N96" s="49">
        <f>AVERAGE('04.07 NIMULE-GULU-24h'!N96,'05.07 NIMULE-GULU-24h'!N96)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AVERAGE('04.07 NIMULE-GULU-24h'!C97,'05.07 NIMULE-GULU-24h'!C97)</f>
        <v>0</v>
      </c>
      <c r="D97" s="49">
        <f>AVERAGE('04.07 NIMULE-GULU-24h'!D97,'05.07 NIMULE-GULU-24h'!D97)</f>
        <v>0</v>
      </c>
      <c r="E97" s="49">
        <f>AVERAGE('04.07 NIMULE-GULU-24h'!E97,'05.07 NIMULE-GULU-24h'!E97)</f>
        <v>0</v>
      </c>
      <c r="F97" s="49">
        <f>AVERAGE('04.07 NIMULE-GULU-24h'!F97,'05.07 NIMULE-GULU-24h'!F97)</f>
        <v>0</v>
      </c>
      <c r="G97" s="49">
        <f>AVERAGE('04.07 NIMULE-GULU-24h'!G97,'05.07 NIMULE-GULU-24h'!G97)</f>
        <v>0</v>
      </c>
      <c r="H97" s="49">
        <f>AVERAGE('04.07 NIMULE-GULU-24h'!H97,'05.07 NIMULE-GULU-24h'!H97)</f>
        <v>0</v>
      </c>
      <c r="I97" s="49">
        <f>AVERAGE('04.07 NIMULE-GULU-24h'!I97,'05.07 NIMULE-GULU-24h'!I97)</f>
        <v>0</v>
      </c>
      <c r="J97" s="49">
        <f>AVERAGE('04.07 NIMULE-GULU-24h'!J97,'05.07 NIMULE-GULU-24h'!J97)</f>
        <v>0</v>
      </c>
      <c r="K97" s="49">
        <f>AVERAGE('04.07 NIMULE-GULU-24h'!K97,'05.07 NIMULE-GULU-24h'!K97)</f>
        <v>0</v>
      </c>
      <c r="L97" s="49">
        <f>AVERAGE('04.07 NIMULE-GULU-24h'!L97,'05.07 NIMULE-GULU-24h'!L97)</f>
        <v>0</v>
      </c>
      <c r="M97" s="49">
        <f>AVERAGE('04.07 NIMULE-GULU-24h'!M97,'05.07 NIMULE-GULU-24h'!M97)</f>
        <v>0</v>
      </c>
      <c r="N97" s="49">
        <f>AVERAGE('04.07 NIMULE-GULU-24h'!N97,'05.07 NIMULE-GULU-24h'!N97)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AVERAGE('04.07 NIMULE-GULU-24h'!C98,'05.07 NIMULE-GULU-24h'!C98)</f>
        <v>0</v>
      </c>
      <c r="D98" s="49">
        <f>AVERAGE('04.07 NIMULE-GULU-24h'!D98,'05.07 NIMULE-GULU-24h'!D98)</f>
        <v>0</v>
      </c>
      <c r="E98" s="49">
        <f>AVERAGE('04.07 NIMULE-GULU-24h'!E98,'05.07 NIMULE-GULU-24h'!E98)</f>
        <v>0</v>
      </c>
      <c r="F98" s="49">
        <f>AVERAGE('04.07 NIMULE-GULU-24h'!F98,'05.07 NIMULE-GULU-24h'!F98)</f>
        <v>0</v>
      </c>
      <c r="G98" s="49">
        <f>AVERAGE('04.07 NIMULE-GULU-24h'!G98,'05.07 NIMULE-GULU-24h'!G98)</f>
        <v>0</v>
      </c>
      <c r="H98" s="49">
        <f>AVERAGE('04.07 NIMULE-GULU-24h'!H98,'05.07 NIMULE-GULU-24h'!H98)</f>
        <v>0</v>
      </c>
      <c r="I98" s="49">
        <f>AVERAGE('04.07 NIMULE-GULU-24h'!I98,'05.07 NIMULE-GULU-24h'!I98)</f>
        <v>0</v>
      </c>
      <c r="J98" s="49">
        <f>AVERAGE('04.07 NIMULE-GULU-24h'!J98,'05.07 NIMULE-GULU-24h'!J98)</f>
        <v>0</v>
      </c>
      <c r="K98" s="49">
        <f>AVERAGE('04.07 NIMULE-GULU-24h'!K98,'05.07 NIMULE-GULU-24h'!K98)</f>
        <v>0</v>
      </c>
      <c r="L98" s="49">
        <f>AVERAGE('04.07 NIMULE-GULU-24h'!L98,'05.07 NIMULE-GULU-24h'!L98)</f>
        <v>0</v>
      </c>
      <c r="M98" s="49">
        <f>AVERAGE('04.07 NIMULE-GULU-24h'!M98,'05.07 NIMULE-GULU-24h'!M98)</f>
        <v>0</v>
      </c>
      <c r="N98" s="49">
        <f>AVERAGE('04.07 NIMULE-GULU-24h'!N98,'05.07 NIMULE-GULU-24h'!N98)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AVERAGE('04.07 NIMULE-GULU-24h'!C99,'05.07 NIMULE-GULU-24h'!C99)</f>
        <v>0</v>
      </c>
      <c r="D99" s="49">
        <f>AVERAGE('04.07 NIMULE-GULU-24h'!D99,'05.07 NIMULE-GULU-24h'!D99)</f>
        <v>0</v>
      </c>
      <c r="E99" s="49">
        <f>AVERAGE('04.07 NIMULE-GULU-24h'!E99,'05.07 NIMULE-GULU-24h'!E99)</f>
        <v>0</v>
      </c>
      <c r="F99" s="49">
        <f>AVERAGE('04.07 NIMULE-GULU-24h'!F99,'05.07 NIMULE-GULU-24h'!F99)</f>
        <v>0</v>
      </c>
      <c r="G99" s="49">
        <f>AVERAGE('04.07 NIMULE-GULU-24h'!G99,'05.07 NIMULE-GULU-24h'!G99)</f>
        <v>0</v>
      </c>
      <c r="H99" s="49">
        <f>AVERAGE('04.07 NIMULE-GULU-24h'!H99,'05.07 NIMULE-GULU-24h'!H99)</f>
        <v>0</v>
      </c>
      <c r="I99" s="49">
        <f>AVERAGE('04.07 NIMULE-GULU-24h'!I99,'05.07 NIMULE-GULU-24h'!I99)</f>
        <v>0</v>
      </c>
      <c r="J99" s="49">
        <f>AVERAGE('04.07 NIMULE-GULU-24h'!J99,'05.07 NIMULE-GULU-24h'!J99)</f>
        <v>0</v>
      </c>
      <c r="K99" s="49">
        <f>AVERAGE('04.07 NIMULE-GULU-24h'!K99,'05.07 NIMULE-GULU-24h'!K99)</f>
        <v>0</v>
      </c>
      <c r="L99" s="49">
        <f>AVERAGE('04.07 NIMULE-GULU-24h'!L99,'05.07 NIMULE-GULU-24h'!L99)</f>
        <v>0</v>
      </c>
      <c r="M99" s="49">
        <f>AVERAGE('04.07 NIMULE-GULU-24h'!M99,'05.07 NIMULE-GULU-24h'!M99)</f>
        <v>0</v>
      </c>
      <c r="N99" s="49">
        <f>AVERAGE('04.07 NIMULE-GULU-24h'!N99,'05.07 NIMULE-GULU-24h'!N99)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AVERAGE('04.07 NIMULE-GULU-24h'!C100,'05.07 NIMULE-GULU-24h'!C100)</f>
        <v>0</v>
      </c>
      <c r="D100" s="49">
        <f>AVERAGE('04.07 NIMULE-GULU-24h'!D100,'05.07 NIMULE-GULU-24h'!D100)</f>
        <v>0</v>
      </c>
      <c r="E100" s="49">
        <f>AVERAGE('04.07 NIMULE-GULU-24h'!E100,'05.07 NIMULE-GULU-24h'!E100)</f>
        <v>0</v>
      </c>
      <c r="F100" s="49">
        <f>AVERAGE('04.07 NIMULE-GULU-24h'!F100,'05.07 NIMULE-GULU-24h'!F100)</f>
        <v>0</v>
      </c>
      <c r="G100" s="49">
        <f>AVERAGE('04.07 NIMULE-GULU-24h'!G100,'05.07 NIMULE-GULU-24h'!G100)</f>
        <v>0</v>
      </c>
      <c r="H100" s="49">
        <f>AVERAGE('04.07 NIMULE-GULU-24h'!H100,'05.07 NIMULE-GULU-24h'!H100)</f>
        <v>0</v>
      </c>
      <c r="I100" s="49">
        <f>AVERAGE('04.07 NIMULE-GULU-24h'!I100,'05.07 NIMULE-GULU-24h'!I100)</f>
        <v>0</v>
      </c>
      <c r="J100" s="49">
        <f>AVERAGE('04.07 NIMULE-GULU-24h'!J100,'05.07 NIMULE-GULU-24h'!J100)</f>
        <v>0</v>
      </c>
      <c r="K100" s="49">
        <f>AVERAGE('04.07 NIMULE-GULU-24h'!K100,'05.07 NIMULE-GULU-24h'!K100)</f>
        <v>0</v>
      </c>
      <c r="L100" s="49">
        <f>AVERAGE('04.07 NIMULE-GULU-24h'!L100,'05.07 NIMULE-GULU-24h'!L100)</f>
        <v>0</v>
      </c>
      <c r="M100" s="49">
        <f>AVERAGE('04.07 NIMULE-GULU-24h'!M100,'05.07 NIMULE-GULU-24h'!M100)</f>
        <v>0</v>
      </c>
      <c r="N100" s="49">
        <f>AVERAGE('04.07 NIMULE-GULU-24h'!N100,'05.07 NIMULE-GULU-24h'!N100)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3" t="s">
        <v>141</v>
      </c>
      <c r="C101" s="49">
        <f>AVERAGE('04.07 NIMULE-GULU-24h'!C101,'05.07 NIMULE-GULU-24h'!C101)</f>
        <v>0</v>
      </c>
      <c r="D101" s="49">
        <f>AVERAGE('04.07 NIMULE-GULU-24h'!D101,'05.07 NIMULE-GULU-24h'!D101)</f>
        <v>0</v>
      </c>
      <c r="E101" s="49">
        <f>AVERAGE('04.07 NIMULE-GULU-24h'!E101,'05.07 NIMULE-GULU-24h'!E101)</f>
        <v>0</v>
      </c>
      <c r="F101" s="49">
        <f>AVERAGE('04.07 NIMULE-GULU-24h'!F101,'05.07 NIMULE-GULU-24h'!F101)</f>
        <v>0</v>
      </c>
      <c r="G101" s="49">
        <f>AVERAGE('04.07 NIMULE-GULU-24h'!G101,'05.07 NIMULE-GULU-24h'!G101)</f>
        <v>0</v>
      </c>
      <c r="H101" s="49">
        <f>AVERAGE('04.07 NIMULE-GULU-24h'!H101,'05.07 NIMULE-GULU-24h'!H101)</f>
        <v>0</v>
      </c>
      <c r="I101" s="49">
        <f>AVERAGE('04.07 NIMULE-GULU-24h'!I101,'05.07 NIMULE-GULU-24h'!I101)</f>
        <v>0</v>
      </c>
      <c r="J101" s="49">
        <f>AVERAGE('04.07 NIMULE-GULU-24h'!J101,'05.07 NIMULE-GULU-24h'!J101)</f>
        <v>0</v>
      </c>
      <c r="K101" s="49">
        <f>AVERAGE('04.07 NIMULE-GULU-24h'!K101,'05.07 NIMULE-GULU-24h'!K101)</f>
        <v>0</v>
      </c>
      <c r="L101" s="49">
        <f>AVERAGE('04.07 NIMULE-GULU-24h'!L101,'05.07 NIMULE-GULU-24h'!L101)</f>
        <v>0</v>
      </c>
      <c r="M101" s="49">
        <f>AVERAGE('04.07 NIMULE-GULU-24h'!M101,'05.07 NIMULE-GULU-24h'!M101)</f>
        <v>0</v>
      </c>
      <c r="N101" s="49">
        <f>AVERAGE('04.07 NIMULE-GULU-24h'!N101,'05.07 NIMULE-GULU-24h'!N101)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AVERAGE('04.07 NIMULE-GULU-24h'!C102,'05.07 NIMULE-GULU-24h'!C102)</f>
        <v>0</v>
      </c>
      <c r="D102" s="49">
        <f>AVERAGE('04.07 NIMULE-GULU-24h'!D102,'05.07 NIMULE-GULU-24h'!D102)</f>
        <v>0</v>
      </c>
      <c r="E102" s="49">
        <f>AVERAGE('04.07 NIMULE-GULU-24h'!E102,'05.07 NIMULE-GULU-24h'!E102)</f>
        <v>0</v>
      </c>
      <c r="F102" s="49">
        <f>AVERAGE('04.07 NIMULE-GULU-24h'!F102,'05.07 NIMULE-GULU-24h'!F102)</f>
        <v>0</v>
      </c>
      <c r="G102" s="49">
        <f>AVERAGE('04.07 NIMULE-GULU-24h'!G102,'05.07 NIMULE-GULU-24h'!G102)</f>
        <v>0</v>
      </c>
      <c r="H102" s="49">
        <f>AVERAGE('04.07 NIMULE-GULU-24h'!H102,'05.07 NIMULE-GULU-24h'!H102)</f>
        <v>0</v>
      </c>
      <c r="I102" s="49">
        <f>AVERAGE('04.07 NIMULE-GULU-24h'!I102,'05.07 NIMULE-GULU-24h'!I102)</f>
        <v>0</v>
      </c>
      <c r="J102" s="49">
        <f>AVERAGE('04.07 NIMULE-GULU-24h'!J102,'05.07 NIMULE-GULU-24h'!J102)</f>
        <v>0</v>
      </c>
      <c r="K102" s="49">
        <f>AVERAGE('04.07 NIMULE-GULU-24h'!K102,'05.07 NIMULE-GULU-24h'!K102)</f>
        <v>0</v>
      </c>
      <c r="L102" s="49">
        <f>AVERAGE('04.07 NIMULE-GULU-24h'!L102,'05.07 NIMULE-GULU-24h'!L102)</f>
        <v>0</v>
      </c>
      <c r="M102" s="49">
        <f>AVERAGE('04.07 NIMULE-GULU-24h'!M102,'05.07 NIMULE-GULU-24h'!M102)</f>
        <v>0</v>
      </c>
      <c r="N102" s="49">
        <f>AVERAGE('04.07 NIMULE-GULU-24h'!N102,'05.07 NIMULE-GULU-24h'!N102)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AVERAGE('04.07 NIMULE-GULU-24h'!C103,'05.07 NIMULE-GULU-24h'!C103)</f>
        <v>0</v>
      </c>
      <c r="D103" s="49">
        <f>AVERAGE('04.07 NIMULE-GULU-24h'!D103,'05.07 NIMULE-GULU-24h'!D103)</f>
        <v>0</v>
      </c>
      <c r="E103" s="49">
        <f>AVERAGE('04.07 NIMULE-GULU-24h'!E103,'05.07 NIMULE-GULU-24h'!E103)</f>
        <v>0</v>
      </c>
      <c r="F103" s="49">
        <f>AVERAGE('04.07 NIMULE-GULU-24h'!F103,'05.07 NIMULE-GULU-24h'!F103)</f>
        <v>0</v>
      </c>
      <c r="G103" s="49">
        <f>AVERAGE('04.07 NIMULE-GULU-24h'!G103,'05.07 NIMULE-GULU-24h'!G103)</f>
        <v>0</v>
      </c>
      <c r="H103" s="49">
        <f>AVERAGE('04.07 NIMULE-GULU-24h'!H103,'05.07 NIMULE-GULU-24h'!H103)</f>
        <v>0</v>
      </c>
      <c r="I103" s="49">
        <f>AVERAGE('04.07 NIMULE-GULU-24h'!I103,'05.07 NIMULE-GULU-24h'!I103)</f>
        <v>0</v>
      </c>
      <c r="J103" s="49">
        <f>AVERAGE('04.07 NIMULE-GULU-24h'!J103,'05.07 NIMULE-GULU-24h'!J103)</f>
        <v>0</v>
      </c>
      <c r="K103" s="49">
        <f>AVERAGE('04.07 NIMULE-GULU-24h'!K103,'05.07 NIMULE-GULU-24h'!K103)</f>
        <v>0</v>
      </c>
      <c r="L103" s="49">
        <f>AVERAGE('04.07 NIMULE-GULU-24h'!L103,'05.07 NIMULE-GULU-24h'!L103)</f>
        <v>0</v>
      </c>
      <c r="M103" s="49">
        <f>AVERAGE('04.07 NIMULE-GULU-24h'!M103,'05.07 NIMULE-GULU-24h'!M103)</f>
        <v>0</v>
      </c>
      <c r="N103" s="49">
        <f>AVERAGE('04.07 NIMULE-GULU-24h'!N103,'05.07 NIMULE-GULU-24h'!N103)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5" t="s">
        <v>144</v>
      </c>
      <c r="C104" s="49">
        <f>AVERAGE('04.07 NIMULE-GULU-24h'!C104,'05.07 NIMULE-GULU-24h'!C104)</f>
        <v>0</v>
      </c>
      <c r="D104" s="49">
        <f>AVERAGE('04.07 NIMULE-GULU-24h'!D104,'05.07 NIMULE-GULU-24h'!D104)</f>
        <v>0</v>
      </c>
      <c r="E104" s="49">
        <f>AVERAGE('04.07 NIMULE-GULU-24h'!E104,'05.07 NIMULE-GULU-24h'!E104)</f>
        <v>0</v>
      </c>
      <c r="F104" s="49">
        <f>AVERAGE('04.07 NIMULE-GULU-24h'!F104,'05.07 NIMULE-GULU-24h'!F104)</f>
        <v>0</v>
      </c>
      <c r="G104" s="49">
        <f>AVERAGE('04.07 NIMULE-GULU-24h'!G104,'05.07 NIMULE-GULU-24h'!G104)</f>
        <v>0</v>
      </c>
      <c r="H104" s="49">
        <f>AVERAGE('04.07 NIMULE-GULU-24h'!H104,'05.07 NIMULE-GULU-24h'!H104)</f>
        <v>0</v>
      </c>
      <c r="I104" s="49">
        <f>AVERAGE('04.07 NIMULE-GULU-24h'!I104,'05.07 NIMULE-GULU-24h'!I104)</f>
        <v>0</v>
      </c>
      <c r="J104" s="49">
        <f>AVERAGE('04.07 NIMULE-GULU-24h'!J104,'05.07 NIMULE-GULU-24h'!J104)</f>
        <v>0</v>
      </c>
      <c r="K104" s="49">
        <f>AVERAGE('04.07 NIMULE-GULU-24h'!K104,'05.07 NIMULE-GULU-24h'!K104)</f>
        <v>0</v>
      </c>
      <c r="L104" s="49">
        <f>AVERAGE('04.07 NIMULE-GULU-24h'!L104,'05.07 NIMULE-GULU-24h'!L104)</f>
        <v>0</v>
      </c>
      <c r="M104" s="49">
        <f>AVERAGE('04.07 NIMULE-GULU-24h'!M104,'05.07 NIMULE-GULU-24h'!M104)</f>
        <v>0</v>
      </c>
      <c r="N104" s="49">
        <f>AVERAGE('04.07 NIMULE-GULU-24h'!N104,'05.07 NIMULE-GULU-24h'!N104)</f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23" t="s">
        <v>145</v>
      </c>
      <c r="C105" s="49">
        <f>AVERAGE('04.07 NIMULE-GULU-24h'!C105,'05.07 NIMULE-GULU-24h'!C105)</f>
        <v>0</v>
      </c>
      <c r="D105" s="49">
        <f>AVERAGE('04.07 NIMULE-GULU-24h'!D105,'05.07 NIMULE-GULU-24h'!D105)</f>
        <v>0</v>
      </c>
      <c r="E105" s="49">
        <f>AVERAGE('04.07 NIMULE-GULU-24h'!E105,'05.07 NIMULE-GULU-24h'!E105)</f>
        <v>0</v>
      </c>
      <c r="F105" s="49">
        <f>AVERAGE('04.07 NIMULE-GULU-24h'!F105,'05.07 NIMULE-GULU-24h'!F105)</f>
        <v>0</v>
      </c>
      <c r="G105" s="49">
        <f>AVERAGE('04.07 NIMULE-GULU-24h'!G105,'05.07 NIMULE-GULU-24h'!G105)</f>
        <v>0</v>
      </c>
      <c r="H105" s="49">
        <f>AVERAGE('04.07 NIMULE-GULU-24h'!H105,'05.07 NIMULE-GULU-24h'!H105)</f>
        <v>0</v>
      </c>
      <c r="I105" s="49">
        <f>AVERAGE('04.07 NIMULE-GULU-24h'!I105,'05.07 NIMULE-GULU-24h'!I105)</f>
        <v>0</v>
      </c>
      <c r="J105" s="49">
        <f>AVERAGE('04.07 NIMULE-GULU-24h'!J105,'05.07 NIMULE-GULU-24h'!J105)</f>
        <v>0</v>
      </c>
      <c r="K105" s="49">
        <f>AVERAGE('04.07 NIMULE-GULU-24h'!K105,'05.07 NIMULE-GULU-24h'!K105)</f>
        <v>0</v>
      </c>
      <c r="L105" s="49">
        <f>AVERAGE('04.07 NIMULE-GULU-24h'!L105,'05.07 NIMULE-GULU-24h'!L105)</f>
        <v>0</v>
      </c>
      <c r="M105" s="49">
        <f>AVERAGE('04.07 NIMULE-GULU-24h'!M105,'05.07 NIMULE-GULU-24h'!M105)</f>
        <v>0</v>
      </c>
      <c r="N105" s="49">
        <f>AVERAGE('04.07 NIMULE-GULU-24h'!N105,'05.07 NIMULE-GULU-24h'!N105)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42.928571428571438</v>
      </c>
      <c r="D106" s="16">
        <f t="shared" ref="D106:P106" si="37">SUM(D10:D105)</f>
        <v>13.571428571428575</v>
      </c>
      <c r="E106" s="16">
        <f t="shared" si="37"/>
        <v>34.357142857142861</v>
      </c>
      <c r="F106" s="16">
        <f t="shared" si="37"/>
        <v>0.85714285714285698</v>
      </c>
      <c r="G106" s="16">
        <f t="shared" si="37"/>
        <v>0.85714285714285698</v>
      </c>
      <c r="H106" s="16">
        <f t="shared" si="37"/>
        <v>2.7857142857142851</v>
      </c>
      <c r="I106" s="16">
        <f t="shared" si="37"/>
        <v>21.714285714285708</v>
      </c>
      <c r="J106" s="16">
        <f t="shared" si="37"/>
        <v>3.7142857142857131</v>
      </c>
      <c r="K106" s="16">
        <f t="shared" si="37"/>
        <v>3.1428571428571419</v>
      </c>
      <c r="L106" s="16">
        <f t="shared" si="37"/>
        <v>66.071428571428569</v>
      </c>
      <c r="M106" s="16">
        <f t="shared" si="37"/>
        <v>358.28571428571433</v>
      </c>
      <c r="N106" s="16">
        <f t="shared" si="37"/>
        <v>0</v>
      </c>
      <c r="O106" s="16">
        <f t="shared" si="37"/>
        <v>190</v>
      </c>
      <c r="P106" s="16">
        <f t="shared" si="37"/>
        <v>548.28571428571433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7.8295987493486194E-2</v>
      </c>
      <c r="D107" s="43">
        <f t="shared" si="38"/>
        <v>2.4752475247524757E-2</v>
      </c>
      <c r="E107" s="43">
        <f t="shared" si="38"/>
        <v>6.2662845231891612E-2</v>
      </c>
      <c r="F107" s="43">
        <f t="shared" si="38"/>
        <v>1.5633142261594576E-3</v>
      </c>
      <c r="G107" s="43">
        <f t="shared" si="38"/>
        <v>1.5633142261594576E-3</v>
      </c>
      <c r="H107" s="43">
        <f t="shared" si="38"/>
        <v>5.0807712350182371E-3</v>
      </c>
      <c r="I107" s="43">
        <f t="shared" si="38"/>
        <v>3.9603960396039591E-2</v>
      </c>
      <c r="J107" s="43">
        <f t="shared" si="38"/>
        <v>6.7743616466909825E-3</v>
      </c>
      <c r="K107" s="43">
        <f t="shared" si="38"/>
        <v>5.7321521625846774E-3</v>
      </c>
      <c r="L107" s="43">
        <f t="shared" si="38"/>
        <v>0.12050547159979154</v>
      </c>
      <c r="M107" s="43">
        <f t="shared" si="38"/>
        <v>0.65346534653465349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0.22593984962406019</v>
      </c>
      <c r="D108" s="44">
        <f t="shared" ref="D108:N108" si="39">D106/$O$106</f>
        <v>7.1428571428571452E-2</v>
      </c>
      <c r="E108" s="44">
        <f t="shared" si="39"/>
        <v>0.18082706766917295</v>
      </c>
      <c r="F108" s="44">
        <f t="shared" si="39"/>
        <v>4.5112781954887212E-3</v>
      </c>
      <c r="G108" s="44">
        <f t="shared" si="39"/>
        <v>4.5112781954887212E-3</v>
      </c>
      <c r="H108" s="44">
        <f t="shared" si="39"/>
        <v>1.4661654135338343E-2</v>
      </c>
      <c r="I108" s="44">
        <f t="shared" si="39"/>
        <v>0.11428571428571425</v>
      </c>
      <c r="J108" s="44">
        <f t="shared" si="39"/>
        <v>1.9548872180451121E-2</v>
      </c>
      <c r="K108" s="44">
        <f t="shared" si="39"/>
        <v>1.6541353383458642E-2</v>
      </c>
      <c r="L108" s="44">
        <f t="shared" si="39"/>
        <v>0.34774436090225563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61" zoomScale="60" workbookViewId="0">
      <selection activeCell="AC81" sqref="AC8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'06.07 GULU-NIMULE'!G5:H5</f>
        <v>ELEGU</v>
      </c>
      <c r="H5" s="67"/>
      <c r="I5" s="14"/>
      <c r="J5" s="2" t="s">
        <v>5</v>
      </c>
      <c r="K5" s="66" t="str">
        <f>'06.07 GULU-NIMULE'!K5:L5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'06.07 GULU-NIMULE'!D6:E6</f>
        <v>GULU</v>
      </c>
      <c r="E6" s="67"/>
      <c r="F6" s="2" t="s">
        <v>2</v>
      </c>
      <c r="G6" s="66" t="str">
        <f>'06.07 GULU-NIMULE'!G6:H6</f>
        <v>NIMULE</v>
      </c>
      <c r="H6" s="67"/>
      <c r="J6" s="2" t="s">
        <v>21</v>
      </c>
      <c r="K6" s="66" t="str">
        <f>'06.07 GULU-NIMULE'!K6:L6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GULU-NIMULE'!C10,'01.07 GULU-NIMULE'!C10,'02.07 GULU-NIMULE'!C10,'03.07 GULU-NIMULE'!C10,'04.07 GULU-NIMULE-24h'!C10,'05.07 GULU-NIMULE-24h'!C10,'06.07 GULU-NIMULE'!C10)</f>
        <v>0.42857142857142855</v>
      </c>
      <c r="D10" s="49">
        <f>AVERAGE('31.07 GULU-NIMULE'!D10,'01.07 GULU-NIMULE'!D10,'02.07 GULU-NIMULE'!D10,'03.07 GULU-NIMULE'!D10,'04.07 GULU-NIMULE-24h'!D10,'05.07 GULU-NIMULE-24h'!D10,'06.07 GULU-NIMULE'!D10)</f>
        <v>0.42857142857142855</v>
      </c>
      <c r="E10" s="49">
        <f>AVERAGE('31.07 GULU-NIMULE'!E10,'01.07 GULU-NIMULE'!E10,'02.07 GULU-NIMULE'!E10,'03.07 GULU-NIMULE'!E10,'04.07 GULU-NIMULE-24h'!E10,'05.07 GULU-NIMULE-24h'!E10,'06.07 GULU-NIMULE'!E10)</f>
        <v>0.42857142857142855</v>
      </c>
      <c r="F10" s="49">
        <f>AVERAGE('31.07 GULU-NIMULE'!F10,'01.07 GULU-NIMULE'!F10,'02.07 GULU-NIMULE'!F10,'03.07 GULU-NIMULE'!F10,'04.07 GULU-NIMULE-24h'!F10,'05.07 GULU-NIMULE-24h'!F10,'06.07 GULU-NIMULE'!F10)</f>
        <v>0</v>
      </c>
      <c r="G10" s="49">
        <f>AVERAGE('31.07 GULU-NIMULE'!G10,'01.07 GULU-NIMULE'!G10,'02.07 GULU-NIMULE'!G10,'03.07 GULU-NIMULE'!G10,'04.07 GULU-NIMULE-24h'!G10,'05.07 GULU-NIMULE-24h'!G10,'06.07 GULU-NIMULE'!G10)</f>
        <v>0</v>
      </c>
      <c r="H10" s="49">
        <f>AVERAGE('31.07 GULU-NIMULE'!H10,'01.07 GULU-NIMULE'!H10,'02.07 GULU-NIMULE'!H10,'03.07 GULU-NIMULE'!H10,'04.07 GULU-NIMULE-24h'!H10,'05.07 GULU-NIMULE-24h'!H10,'06.07 GULU-NIMULE'!H10)</f>
        <v>0</v>
      </c>
      <c r="I10" s="49">
        <f>AVERAGE('31.07 GULU-NIMULE'!I10,'01.07 GULU-NIMULE'!I10,'02.07 GULU-NIMULE'!I10,'03.07 GULU-NIMULE'!I10,'04.07 GULU-NIMULE-24h'!I10,'05.07 GULU-NIMULE-24h'!I10,'06.07 GULU-NIMULE'!I10)</f>
        <v>0.2857142857142857</v>
      </c>
      <c r="J10" s="49">
        <f>AVERAGE('31.07 GULU-NIMULE'!J10,'01.07 GULU-NIMULE'!J10,'02.07 GULU-NIMULE'!J10,'03.07 GULU-NIMULE'!J10,'04.07 GULU-NIMULE-24h'!J10,'05.07 GULU-NIMULE-24h'!J10,'06.07 GULU-NIMULE'!J10)</f>
        <v>0.14285714285714285</v>
      </c>
      <c r="K10" s="49">
        <f>AVERAGE('31.07 GULU-NIMULE'!K10,'01.07 GULU-NIMULE'!K10,'02.07 GULU-NIMULE'!K10,'03.07 GULU-NIMULE'!K10,'04.07 GULU-NIMULE-24h'!K10,'05.07 GULU-NIMULE-24h'!K10,'06.07 GULU-NIMULE'!K10)</f>
        <v>0.5714285714285714</v>
      </c>
      <c r="L10" s="49">
        <f>AVERAGE('31.07 GULU-NIMULE'!L10,'01.07 GULU-NIMULE'!L10,'02.07 GULU-NIMULE'!L10,'03.07 GULU-NIMULE'!L10,'04.07 GULU-NIMULE-24h'!L10,'05.07 GULU-NIMULE-24h'!L10,'06.07 GULU-NIMULE'!L10)</f>
        <v>0.2857142857142857</v>
      </c>
      <c r="M10" s="49">
        <f>AVERAGE('31.07 GULU-NIMULE'!M10,'01.07 GULU-NIMULE'!M10,'02.07 GULU-NIMULE'!M10,'03.07 GULU-NIMULE'!M10,'04.07 GULU-NIMULE-24h'!M10,'05.07 GULU-NIMULE-24h'!M10,'06.07 GULU-NIMULE'!M10)</f>
        <v>11.714285714285714</v>
      </c>
      <c r="N10" s="49">
        <f>AVERAGE('31.07 GULU-NIMULE'!N10,'01.07 GULU-NIMULE'!N10,'02.07 GULU-NIMULE'!N10,'03.07 GULU-NIMULE'!N10,'04.07 GULU-NIMULE-24h'!N10,'05.07 GULU-NIMULE-24h'!N10,'06.07 GULU-NIMULE'!N10)</f>
        <v>0</v>
      </c>
      <c r="O10" s="15">
        <f t="shared" ref="O10:O73" si="0">SUM(C10:L10,N10)</f>
        <v>2.5714285714285712</v>
      </c>
      <c r="P10" s="15">
        <f t="shared" ref="P10:P73" si="1">SUM(C10:N10)</f>
        <v>14.285714285714285</v>
      </c>
      <c r="R10" s="1" t="s">
        <v>6</v>
      </c>
      <c r="S10" s="17">
        <f t="shared" ref="S10:AF10" si="2">SUM(C10:C13)</f>
        <v>2.1428571428571428</v>
      </c>
      <c r="T10" s="17">
        <f t="shared" si="2"/>
        <v>1.7142857142857144</v>
      </c>
      <c r="U10" s="17">
        <f t="shared" si="2"/>
        <v>1.4285714285714284</v>
      </c>
      <c r="V10" s="17">
        <f t="shared" si="2"/>
        <v>0.2857142857142857</v>
      </c>
      <c r="W10" s="17">
        <f t="shared" si="2"/>
        <v>0</v>
      </c>
      <c r="X10" s="17">
        <f t="shared" si="2"/>
        <v>0.42857142857142855</v>
      </c>
      <c r="Y10" s="17">
        <f t="shared" si="2"/>
        <v>2</v>
      </c>
      <c r="Z10" s="17">
        <f t="shared" si="2"/>
        <v>1.2857142857142856</v>
      </c>
      <c r="AA10" s="17">
        <f t="shared" si="2"/>
        <v>1.9999999999999998</v>
      </c>
      <c r="AB10" s="17">
        <f t="shared" si="2"/>
        <v>2.4285714285714284</v>
      </c>
      <c r="AC10" s="17">
        <f t="shared" si="2"/>
        <v>35.857142857142861</v>
      </c>
      <c r="AD10" s="17">
        <f t="shared" si="2"/>
        <v>0</v>
      </c>
      <c r="AE10" s="31">
        <f t="shared" si="2"/>
        <v>13.714285714285714</v>
      </c>
      <c r="AF10" s="31">
        <f t="shared" si="2"/>
        <v>49.571428571428569</v>
      </c>
    </row>
    <row r="11" spans="2:32" s="6" customFormat="1" ht="23.1" customHeight="1" x14ac:dyDescent="0.25">
      <c r="B11" s="23" t="s">
        <v>38</v>
      </c>
      <c r="C11" s="49">
        <f>AVERAGE('31.07 GULU-NIMULE'!C11,'01.07 GULU-NIMULE'!C11,'02.07 GULU-NIMULE'!C11,'03.07 GULU-NIMULE'!C11,'04.07 GULU-NIMULE-24h'!C11,'05.07 GULU-NIMULE-24h'!C11,'06.07 GULU-NIMULE'!C11)</f>
        <v>0.8571428571428571</v>
      </c>
      <c r="D11" s="49">
        <f>AVERAGE('31.07 GULU-NIMULE'!D11,'01.07 GULU-NIMULE'!D11,'02.07 GULU-NIMULE'!D11,'03.07 GULU-NIMULE'!D11,'04.07 GULU-NIMULE-24h'!D11,'05.07 GULU-NIMULE-24h'!D11,'06.07 GULU-NIMULE'!D11)</f>
        <v>1</v>
      </c>
      <c r="E11" s="49">
        <f>AVERAGE('31.07 GULU-NIMULE'!E11,'01.07 GULU-NIMULE'!E11,'02.07 GULU-NIMULE'!E11,'03.07 GULU-NIMULE'!E11,'04.07 GULU-NIMULE-24h'!E11,'05.07 GULU-NIMULE-24h'!E11,'06.07 GULU-NIMULE'!E11)</f>
        <v>0.14285714285714285</v>
      </c>
      <c r="F11" s="49">
        <f>AVERAGE('31.07 GULU-NIMULE'!F11,'01.07 GULU-NIMULE'!F11,'02.07 GULU-NIMULE'!F11,'03.07 GULU-NIMULE'!F11,'04.07 GULU-NIMULE-24h'!F11,'05.07 GULU-NIMULE-24h'!F11,'06.07 GULU-NIMULE'!F11)</f>
        <v>0.2857142857142857</v>
      </c>
      <c r="G11" s="49">
        <f>AVERAGE('31.07 GULU-NIMULE'!G11,'01.07 GULU-NIMULE'!G11,'02.07 GULU-NIMULE'!G11,'03.07 GULU-NIMULE'!G11,'04.07 GULU-NIMULE-24h'!G11,'05.07 GULU-NIMULE-24h'!G11,'06.07 GULU-NIMULE'!G11)</f>
        <v>0</v>
      </c>
      <c r="H11" s="49">
        <f>AVERAGE('31.07 GULU-NIMULE'!H11,'01.07 GULU-NIMULE'!H11,'02.07 GULU-NIMULE'!H11,'03.07 GULU-NIMULE'!H11,'04.07 GULU-NIMULE-24h'!H11,'05.07 GULU-NIMULE-24h'!H11,'06.07 GULU-NIMULE'!H11)</f>
        <v>0.14285714285714285</v>
      </c>
      <c r="I11" s="49">
        <f>AVERAGE('31.07 GULU-NIMULE'!I11,'01.07 GULU-NIMULE'!I11,'02.07 GULU-NIMULE'!I11,'03.07 GULU-NIMULE'!I11,'04.07 GULU-NIMULE-24h'!I11,'05.07 GULU-NIMULE-24h'!I11,'06.07 GULU-NIMULE'!I11)</f>
        <v>0.7142857142857143</v>
      </c>
      <c r="J11" s="49">
        <f>AVERAGE('31.07 GULU-NIMULE'!J11,'01.07 GULU-NIMULE'!J11,'02.07 GULU-NIMULE'!J11,'03.07 GULU-NIMULE'!J11,'04.07 GULU-NIMULE-24h'!J11,'05.07 GULU-NIMULE-24h'!J11,'06.07 GULU-NIMULE'!J11)</f>
        <v>0.42857142857142855</v>
      </c>
      <c r="K11" s="49">
        <f>AVERAGE('31.07 GULU-NIMULE'!K11,'01.07 GULU-NIMULE'!K11,'02.07 GULU-NIMULE'!K11,'03.07 GULU-NIMULE'!K11,'04.07 GULU-NIMULE-24h'!K11,'05.07 GULU-NIMULE-24h'!K11,'06.07 GULU-NIMULE'!K11)</f>
        <v>0.7142857142857143</v>
      </c>
      <c r="L11" s="49">
        <f>AVERAGE('31.07 GULU-NIMULE'!L11,'01.07 GULU-NIMULE'!L11,'02.07 GULU-NIMULE'!L11,'03.07 GULU-NIMULE'!L11,'04.07 GULU-NIMULE-24h'!L11,'05.07 GULU-NIMULE-24h'!L11,'06.07 GULU-NIMULE'!L11)</f>
        <v>0.7142857142857143</v>
      </c>
      <c r="M11" s="49">
        <f>AVERAGE('31.07 GULU-NIMULE'!M11,'01.07 GULU-NIMULE'!M11,'02.07 GULU-NIMULE'!M11,'03.07 GULU-NIMULE'!M11,'04.07 GULU-NIMULE-24h'!M11,'05.07 GULU-NIMULE-24h'!M11,'06.07 GULU-NIMULE'!M11)</f>
        <v>7</v>
      </c>
      <c r="N11" s="49">
        <f>AVERAGE('31.07 GULU-NIMULE'!N11,'01.07 GULU-NIMULE'!N11,'02.07 GULU-NIMULE'!N11,'03.07 GULU-NIMULE'!N11,'04.07 GULU-NIMULE-24h'!N11,'05.07 GULU-NIMULE-24h'!N11,'06.07 GULU-NIMULE'!N11)</f>
        <v>0</v>
      </c>
      <c r="O11" s="15">
        <f t="shared" si="0"/>
        <v>5</v>
      </c>
      <c r="P11" s="15">
        <f t="shared" si="1"/>
        <v>12</v>
      </c>
      <c r="R11" s="1" t="s">
        <v>7</v>
      </c>
      <c r="S11" s="17">
        <f t="shared" ref="S11:AF11" si="3">SUM(C14:C17)</f>
        <v>2.2857142857142856</v>
      </c>
      <c r="T11" s="17">
        <f t="shared" si="3"/>
        <v>1.8571428571428572</v>
      </c>
      <c r="U11" s="17">
        <f t="shared" si="3"/>
        <v>1.4285714285714284</v>
      </c>
      <c r="V11" s="17">
        <f t="shared" si="3"/>
        <v>0.2857142857142857</v>
      </c>
      <c r="W11" s="17">
        <f t="shared" si="3"/>
        <v>0</v>
      </c>
      <c r="X11" s="17">
        <f t="shared" si="3"/>
        <v>0.14285714285714285</v>
      </c>
      <c r="Y11" s="17">
        <f t="shared" si="3"/>
        <v>3</v>
      </c>
      <c r="Z11" s="17">
        <f t="shared" si="3"/>
        <v>0</v>
      </c>
      <c r="AA11" s="17">
        <f t="shared" si="3"/>
        <v>0.5714285714285714</v>
      </c>
      <c r="AB11" s="17">
        <f t="shared" si="3"/>
        <v>6.1428571428571423</v>
      </c>
      <c r="AC11" s="17">
        <f t="shared" si="3"/>
        <v>41.857142857142854</v>
      </c>
      <c r="AD11" s="17">
        <f t="shared" si="3"/>
        <v>0</v>
      </c>
      <c r="AE11" s="31">
        <f t="shared" si="3"/>
        <v>15.714285714285715</v>
      </c>
      <c r="AF11" s="31">
        <f t="shared" si="3"/>
        <v>57.571428571428569</v>
      </c>
    </row>
    <row r="12" spans="2:32" ht="23.1" customHeight="1" x14ac:dyDescent="0.25">
      <c r="B12" s="23" t="s">
        <v>39</v>
      </c>
      <c r="C12" s="49">
        <f>AVERAGE('31.07 GULU-NIMULE'!C12,'01.07 GULU-NIMULE'!C12,'02.07 GULU-NIMULE'!C12,'03.07 GULU-NIMULE'!C12,'04.07 GULU-NIMULE-24h'!C12,'05.07 GULU-NIMULE-24h'!C12,'06.07 GULU-NIMULE'!C12)</f>
        <v>0.14285714285714285</v>
      </c>
      <c r="D12" s="49">
        <f>AVERAGE('31.07 GULU-NIMULE'!D12,'01.07 GULU-NIMULE'!D12,'02.07 GULU-NIMULE'!D12,'03.07 GULU-NIMULE'!D12,'04.07 GULU-NIMULE-24h'!D12,'05.07 GULU-NIMULE-24h'!D12,'06.07 GULU-NIMULE'!D12)</f>
        <v>0</v>
      </c>
      <c r="E12" s="49">
        <f>AVERAGE('31.07 GULU-NIMULE'!E12,'01.07 GULU-NIMULE'!E12,'02.07 GULU-NIMULE'!E12,'03.07 GULU-NIMULE'!E12,'04.07 GULU-NIMULE-24h'!E12,'05.07 GULU-NIMULE-24h'!E12,'06.07 GULU-NIMULE'!E12)</f>
        <v>0.2857142857142857</v>
      </c>
      <c r="F12" s="49">
        <f>AVERAGE('31.07 GULU-NIMULE'!F12,'01.07 GULU-NIMULE'!F12,'02.07 GULU-NIMULE'!F12,'03.07 GULU-NIMULE'!F12,'04.07 GULU-NIMULE-24h'!F12,'05.07 GULU-NIMULE-24h'!F12,'06.07 GULU-NIMULE'!F12)</f>
        <v>0</v>
      </c>
      <c r="G12" s="49">
        <f>AVERAGE('31.07 GULU-NIMULE'!G12,'01.07 GULU-NIMULE'!G12,'02.07 GULU-NIMULE'!G12,'03.07 GULU-NIMULE'!G12,'04.07 GULU-NIMULE-24h'!G12,'05.07 GULU-NIMULE-24h'!G12,'06.07 GULU-NIMULE'!G12)</f>
        <v>0</v>
      </c>
      <c r="H12" s="49">
        <f>AVERAGE('31.07 GULU-NIMULE'!H12,'01.07 GULU-NIMULE'!H12,'02.07 GULU-NIMULE'!H12,'03.07 GULU-NIMULE'!H12,'04.07 GULU-NIMULE-24h'!H12,'05.07 GULU-NIMULE-24h'!H12,'06.07 GULU-NIMULE'!H12)</f>
        <v>0.2857142857142857</v>
      </c>
      <c r="I12" s="49">
        <f>AVERAGE('31.07 GULU-NIMULE'!I12,'01.07 GULU-NIMULE'!I12,'02.07 GULU-NIMULE'!I12,'03.07 GULU-NIMULE'!I12,'04.07 GULU-NIMULE-24h'!I12,'05.07 GULU-NIMULE-24h'!I12,'06.07 GULU-NIMULE'!I12)</f>
        <v>0.2857142857142857</v>
      </c>
      <c r="J12" s="49">
        <f>AVERAGE('31.07 GULU-NIMULE'!J12,'01.07 GULU-NIMULE'!J12,'02.07 GULU-NIMULE'!J12,'03.07 GULU-NIMULE'!J12,'04.07 GULU-NIMULE-24h'!J12,'05.07 GULU-NIMULE-24h'!J12,'06.07 GULU-NIMULE'!J12)</f>
        <v>0.42857142857142855</v>
      </c>
      <c r="K12" s="49">
        <f>AVERAGE('31.07 GULU-NIMULE'!K12,'01.07 GULU-NIMULE'!K12,'02.07 GULU-NIMULE'!K12,'03.07 GULU-NIMULE'!K12,'04.07 GULU-NIMULE-24h'!K12,'05.07 GULU-NIMULE-24h'!K12,'06.07 GULU-NIMULE'!K12)</f>
        <v>0.5714285714285714</v>
      </c>
      <c r="L12" s="49">
        <f>AVERAGE('31.07 GULU-NIMULE'!L12,'01.07 GULU-NIMULE'!L12,'02.07 GULU-NIMULE'!L12,'03.07 GULU-NIMULE'!L12,'04.07 GULU-NIMULE-24h'!L12,'05.07 GULU-NIMULE-24h'!L12,'06.07 GULU-NIMULE'!L12)</f>
        <v>0.5714285714285714</v>
      </c>
      <c r="M12" s="49">
        <f>AVERAGE('31.07 GULU-NIMULE'!M12,'01.07 GULU-NIMULE'!M12,'02.07 GULU-NIMULE'!M12,'03.07 GULU-NIMULE'!M12,'04.07 GULU-NIMULE-24h'!M12,'05.07 GULU-NIMULE-24h'!M12,'06.07 GULU-NIMULE'!M12)</f>
        <v>6.7142857142857144</v>
      </c>
      <c r="N12" s="49">
        <f>AVERAGE('31.07 GULU-NIMULE'!N12,'01.07 GULU-NIMULE'!N12,'02.07 GULU-NIMULE'!N12,'03.07 GULU-NIMULE'!N12,'04.07 GULU-NIMULE-24h'!N12,'05.07 GULU-NIMULE-24h'!N12,'06.07 GULU-NIMULE'!N12)</f>
        <v>0</v>
      </c>
      <c r="O12" s="15">
        <f t="shared" si="0"/>
        <v>2.5714285714285712</v>
      </c>
      <c r="P12" s="15">
        <f t="shared" si="1"/>
        <v>9.2857142857142847</v>
      </c>
      <c r="R12" s="1" t="s">
        <v>8</v>
      </c>
      <c r="S12" s="17">
        <f t="shared" ref="S12:AF12" si="4">SUM(C18:C21)</f>
        <v>3</v>
      </c>
      <c r="T12" s="17">
        <f t="shared" si="4"/>
        <v>1.1428571428571428</v>
      </c>
      <c r="U12" s="17">
        <f t="shared" si="4"/>
        <v>2.1428571428571428</v>
      </c>
      <c r="V12" s="17">
        <f t="shared" si="4"/>
        <v>0.2857142857142857</v>
      </c>
      <c r="W12" s="17">
        <f t="shared" si="4"/>
        <v>0.14285714285714285</v>
      </c>
      <c r="X12" s="17">
        <f t="shared" si="4"/>
        <v>1</v>
      </c>
      <c r="Y12" s="17">
        <f t="shared" si="4"/>
        <v>1.4285714285714286</v>
      </c>
      <c r="Z12" s="17">
        <f t="shared" si="4"/>
        <v>0.5714285714285714</v>
      </c>
      <c r="AA12" s="17">
        <f t="shared" si="4"/>
        <v>0.99999999999999989</v>
      </c>
      <c r="AB12" s="17">
        <f t="shared" si="4"/>
        <v>10.571428571428573</v>
      </c>
      <c r="AC12" s="17">
        <f t="shared" si="4"/>
        <v>34.571428571428569</v>
      </c>
      <c r="AD12" s="17">
        <f t="shared" si="4"/>
        <v>0</v>
      </c>
      <c r="AE12" s="31">
        <f t="shared" si="4"/>
        <v>21.285714285714285</v>
      </c>
      <c r="AF12" s="31">
        <f t="shared" si="4"/>
        <v>55.857142857142854</v>
      </c>
    </row>
    <row r="13" spans="2:32" ht="23.1" customHeight="1" x14ac:dyDescent="0.25">
      <c r="B13" s="23" t="s">
        <v>40</v>
      </c>
      <c r="C13" s="49">
        <f>AVERAGE('31.07 GULU-NIMULE'!C13,'01.07 GULU-NIMULE'!C13,'02.07 GULU-NIMULE'!C13,'03.07 GULU-NIMULE'!C13,'04.07 GULU-NIMULE-24h'!C13,'05.07 GULU-NIMULE-24h'!C13,'06.07 GULU-NIMULE'!C13)</f>
        <v>0.7142857142857143</v>
      </c>
      <c r="D13" s="49">
        <f>AVERAGE('31.07 GULU-NIMULE'!D13,'01.07 GULU-NIMULE'!D13,'02.07 GULU-NIMULE'!D13,'03.07 GULU-NIMULE'!D13,'04.07 GULU-NIMULE-24h'!D13,'05.07 GULU-NIMULE-24h'!D13,'06.07 GULU-NIMULE'!D13)</f>
        <v>0.2857142857142857</v>
      </c>
      <c r="E13" s="49">
        <f>AVERAGE('31.07 GULU-NIMULE'!E13,'01.07 GULU-NIMULE'!E13,'02.07 GULU-NIMULE'!E13,'03.07 GULU-NIMULE'!E13,'04.07 GULU-NIMULE-24h'!E13,'05.07 GULU-NIMULE-24h'!E13,'06.07 GULU-NIMULE'!E13)</f>
        <v>0.5714285714285714</v>
      </c>
      <c r="F13" s="49">
        <f>AVERAGE('31.07 GULU-NIMULE'!F13,'01.07 GULU-NIMULE'!F13,'02.07 GULU-NIMULE'!F13,'03.07 GULU-NIMULE'!F13,'04.07 GULU-NIMULE-24h'!F13,'05.07 GULU-NIMULE-24h'!F13,'06.07 GULU-NIMULE'!F13)</f>
        <v>0</v>
      </c>
      <c r="G13" s="49">
        <f>AVERAGE('31.07 GULU-NIMULE'!G13,'01.07 GULU-NIMULE'!G13,'02.07 GULU-NIMULE'!G13,'03.07 GULU-NIMULE'!G13,'04.07 GULU-NIMULE-24h'!G13,'05.07 GULU-NIMULE-24h'!G13,'06.07 GULU-NIMULE'!G13)</f>
        <v>0</v>
      </c>
      <c r="H13" s="49">
        <f>AVERAGE('31.07 GULU-NIMULE'!H13,'01.07 GULU-NIMULE'!H13,'02.07 GULU-NIMULE'!H13,'03.07 GULU-NIMULE'!H13,'04.07 GULU-NIMULE-24h'!H13,'05.07 GULU-NIMULE-24h'!H13,'06.07 GULU-NIMULE'!H13)</f>
        <v>0</v>
      </c>
      <c r="I13" s="49">
        <f>AVERAGE('31.07 GULU-NIMULE'!I13,'01.07 GULU-NIMULE'!I13,'02.07 GULU-NIMULE'!I13,'03.07 GULU-NIMULE'!I13,'04.07 GULU-NIMULE-24h'!I13,'05.07 GULU-NIMULE-24h'!I13,'06.07 GULU-NIMULE'!I13)</f>
        <v>0.7142857142857143</v>
      </c>
      <c r="J13" s="49">
        <f>AVERAGE('31.07 GULU-NIMULE'!J13,'01.07 GULU-NIMULE'!J13,'02.07 GULU-NIMULE'!J13,'03.07 GULU-NIMULE'!J13,'04.07 GULU-NIMULE-24h'!J13,'05.07 GULU-NIMULE-24h'!J13,'06.07 GULU-NIMULE'!J13)</f>
        <v>0.2857142857142857</v>
      </c>
      <c r="K13" s="49">
        <f>AVERAGE('31.07 GULU-NIMULE'!K13,'01.07 GULU-NIMULE'!K13,'02.07 GULU-NIMULE'!K13,'03.07 GULU-NIMULE'!K13,'04.07 GULU-NIMULE-24h'!K13,'05.07 GULU-NIMULE-24h'!K13,'06.07 GULU-NIMULE'!K13)</f>
        <v>0.14285714285714285</v>
      </c>
      <c r="L13" s="49">
        <f>AVERAGE('31.07 GULU-NIMULE'!L13,'01.07 GULU-NIMULE'!L13,'02.07 GULU-NIMULE'!L13,'03.07 GULU-NIMULE'!L13,'04.07 GULU-NIMULE-24h'!L13,'05.07 GULU-NIMULE-24h'!L13,'06.07 GULU-NIMULE'!L13)</f>
        <v>0.8571428571428571</v>
      </c>
      <c r="M13" s="49">
        <f>AVERAGE('31.07 GULU-NIMULE'!M13,'01.07 GULU-NIMULE'!M13,'02.07 GULU-NIMULE'!M13,'03.07 GULU-NIMULE'!M13,'04.07 GULU-NIMULE-24h'!M13,'05.07 GULU-NIMULE-24h'!M13,'06.07 GULU-NIMULE'!M13)</f>
        <v>10.428571428571429</v>
      </c>
      <c r="N13" s="49">
        <f>AVERAGE('31.07 GULU-NIMULE'!N13,'01.07 GULU-NIMULE'!N13,'02.07 GULU-NIMULE'!N13,'03.07 GULU-NIMULE'!N13,'04.07 GULU-NIMULE-24h'!N13,'05.07 GULU-NIMULE-24h'!N13,'06.07 GULU-NIMULE'!N13)</f>
        <v>0</v>
      </c>
      <c r="O13" s="15">
        <f t="shared" si="0"/>
        <v>3.5714285714285712</v>
      </c>
      <c r="P13" s="15">
        <f t="shared" si="1"/>
        <v>14</v>
      </c>
      <c r="R13" s="1" t="s">
        <v>9</v>
      </c>
      <c r="S13" s="17">
        <f t="shared" ref="S13:AF13" si="5">SUM(C22:C25)</f>
        <v>3.4285714285714284</v>
      </c>
      <c r="T13" s="17">
        <f t="shared" si="5"/>
        <v>1.7142857142857142</v>
      </c>
      <c r="U13" s="17">
        <f t="shared" si="5"/>
        <v>3.8571428571428568</v>
      </c>
      <c r="V13" s="17">
        <f t="shared" si="5"/>
        <v>0.5714285714285714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0.99999999999999989</v>
      </c>
      <c r="Z13" s="17">
        <f t="shared" si="5"/>
        <v>0.5714285714285714</v>
      </c>
      <c r="AA13" s="17">
        <f t="shared" si="5"/>
        <v>0.2857142857142857</v>
      </c>
      <c r="AB13" s="17">
        <f t="shared" si="5"/>
        <v>11.142857142857144</v>
      </c>
      <c r="AC13" s="17">
        <f t="shared" si="5"/>
        <v>36.142857142857139</v>
      </c>
      <c r="AD13" s="17">
        <f t="shared" si="5"/>
        <v>0</v>
      </c>
      <c r="AE13" s="31">
        <f t="shared" si="5"/>
        <v>23.142857142857142</v>
      </c>
      <c r="AF13" s="31">
        <f t="shared" si="5"/>
        <v>59.285714285714285</v>
      </c>
    </row>
    <row r="14" spans="2:32" ht="23.1" customHeight="1" x14ac:dyDescent="0.25">
      <c r="B14" s="23" t="s">
        <v>41</v>
      </c>
      <c r="C14" s="49">
        <f>AVERAGE('31.07 GULU-NIMULE'!C14,'01.07 GULU-NIMULE'!C14,'02.07 GULU-NIMULE'!C14,'03.07 GULU-NIMULE'!C14,'04.07 GULU-NIMULE-24h'!C14,'05.07 GULU-NIMULE-24h'!C14,'06.07 GULU-NIMULE'!C14)</f>
        <v>0.7142857142857143</v>
      </c>
      <c r="D14" s="49">
        <f>AVERAGE('31.07 GULU-NIMULE'!D14,'01.07 GULU-NIMULE'!D14,'02.07 GULU-NIMULE'!D14,'03.07 GULU-NIMULE'!D14,'04.07 GULU-NIMULE-24h'!D14,'05.07 GULU-NIMULE-24h'!D14,'06.07 GULU-NIMULE'!D14)</f>
        <v>0.42857142857142855</v>
      </c>
      <c r="E14" s="49">
        <f>AVERAGE('31.07 GULU-NIMULE'!E14,'01.07 GULU-NIMULE'!E14,'02.07 GULU-NIMULE'!E14,'03.07 GULU-NIMULE'!E14,'04.07 GULU-NIMULE-24h'!E14,'05.07 GULU-NIMULE-24h'!E14,'06.07 GULU-NIMULE'!E14)</f>
        <v>0.2857142857142857</v>
      </c>
      <c r="F14" s="49">
        <f>AVERAGE('31.07 GULU-NIMULE'!F14,'01.07 GULU-NIMULE'!F14,'02.07 GULU-NIMULE'!F14,'03.07 GULU-NIMULE'!F14,'04.07 GULU-NIMULE-24h'!F14,'05.07 GULU-NIMULE-24h'!F14,'06.07 GULU-NIMULE'!F14)</f>
        <v>0.2857142857142857</v>
      </c>
      <c r="G14" s="49">
        <f>AVERAGE('31.07 GULU-NIMULE'!G14,'01.07 GULU-NIMULE'!G14,'02.07 GULU-NIMULE'!G14,'03.07 GULU-NIMULE'!G14,'04.07 GULU-NIMULE-24h'!G14,'05.07 GULU-NIMULE-24h'!G14,'06.07 GULU-NIMULE'!G14)</f>
        <v>0</v>
      </c>
      <c r="H14" s="49">
        <f>AVERAGE('31.07 GULU-NIMULE'!H14,'01.07 GULU-NIMULE'!H14,'02.07 GULU-NIMULE'!H14,'03.07 GULU-NIMULE'!H14,'04.07 GULU-NIMULE-24h'!H14,'05.07 GULU-NIMULE-24h'!H14,'06.07 GULU-NIMULE'!H14)</f>
        <v>0</v>
      </c>
      <c r="I14" s="49">
        <f>AVERAGE('31.07 GULU-NIMULE'!I14,'01.07 GULU-NIMULE'!I14,'02.07 GULU-NIMULE'!I14,'03.07 GULU-NIMULE'!I14,'04.07 GULU-NIMULE-24h'!I14,'05.07 GULU-NIMULE-24h'!I14,'06.07 GULU-NIMULE'!I14)</f>
        <v>0.5714285714285714</v>
      </c>
      <c r="J14" s="49">
        <f>AVERAGE('31.07 GULU-NIMULE'!J14,'01.07 GULU-NIMULE'!J14,'02.07 GULU-NIMULE'!J14,'03.07 GULU-NIMULE'!J14,'04.07 GULU-NIMULE-24h'!J14,'05.07 GULU-NIMULE-24h'!J14,'06.07 GULU-NIMULE'!J14)</f>
        <v>0</v>
      </c>
      <c r="K14" s="49">
        <f>AVERAGE('31.07 GULU-NIMULE'!K14,'01.07 GULU-NIMULE'!K14,'02.07 GULU-NIMULE'!K14,'03.07 GULU-NIMULE'!K14,'04.07 GULU-NIMULE-24h'!K14,'05.07 GULU-NIMULE-24h'!K14,'06.07 GULU-NIMULE'!K14)</f>
        <v>0.2857142857142857</v>
      </c>
      <c r="L14" s="49">
        <f>AVERAGE('31.07 GULU-NIMULE'!L14,'01.07 GULU-NIMULE'!L14,'02.07 GULU-NIMULE'!L14,'03.07 GULU-NIMULE'!L14,'04.07 GULU-NIMULE-24h'!L14,'05.07 GULU-NIMULE-24h'!L14,'06.07 GULU-NIMULE'!L14)</f>
        <v>1.7142857142857142</v>
      </c>
      <c r="M14" s="49">
        <f>AVERAGE('31.07 GULU-NIMULE'!M14,'01.07 GULU-NIMULE'!M14,'02.07 GULU-NIMULE'!M14,'03.07 GULU-NIMULE'!M14,'04.07 GULU-NIMULE-24h'!M14,'05.07 GULU-NIMULE-24h'!M14,'06.07 GULU-NIMULE'!M14)</f>
        <v>13.285714285714286</v>
      </c>
      <c r="N14" s="49">
        <f>AVERAGE('31.07 GULU-NIMULE'!N14,'01.07 GULU-NIMULE'!N14,'02.07 GULU-NIMULE'!N14,'03.07 GULU-NIMULE'!N14,'04.07 GULU-NIMULE-24h'!N14,'05.07 GULU-NIMULE-24h'!N14,'06.07 GULU-NIMULE'!N14)</f>
        <v>0</v>
      </c>
      <c r="O14" s="15">
        <f t="shared" si="0"/>
        <v>4.2857142857142856</v>
      </c>
      <c r="P14" s="15">
        <f t="shared" si="1"/>
        <v>17.571428571428573</v>
      </c>
      <c r="R14" s="1" t="s">
        <v>10</v>
      </c>
      <c r="S14" s="17">
        <f t="shared" ref="S14:AF14" si="6">SUM(C26:C29)</f>
        <v>2.5714285714285716</v>
      </c>
      <c r="T14" s="17">
        <f t="shared" si="6"/>
        <v>2.2857142857142856</v>
      </c>
      <c r="U14" s="17">
        <f t="shared" si="6"/>
        <v>3</v>
      </c>
      <c r="V14" s="17">
        <f t="shared" si="6"/>
        <v>0.2857142857142857</v>
      </c>
      <c r="W14" s="17">
        <f t="shared" si="6"/>
        <v>0</v>
      </c>
      <c r="X14" s="17">
        <f t="shared" si="6"/>
        <v>0.2857142857142857</v>
      </c>
      <c r="Y14" s="17">
        <f t="shared" si="6"/>
        <v>1.1428571428571428</v>
      </c>
      <c r="Z14" s="17">
        <f t="shared" si="6"/>
        <v>0.5714285714285714</v>
      </c>
      <c r="AA14" s="17">
        <f t="shared" si="6"/>
        <v>0.42857142857142855</v>
      </c>
      <c r="AB14" s="17">
        <f t="shared" si="6"/>
        <v>7.8571428571428577</v>
      </c>
      <c r="AC14" s="17">
        <f t="shared" si="6"/>
        <v>28.285714285714288</v>
      </c>
      <c r="AD14" s="17">
        <f t="shared" si="6"/>
        <v>0</v>
      </c>
      <c r="AE14" s="31">
        <f t="shared" si="6"/>
        <v>18.428571428571427</v>
      </c>
      <c r="AF14" s="31">
        <f t="shared" si="6"/>
        <v>46.714285714285715</v>
      </c>
    </row>
    <row r="15" spans="2:32" ht="23.1" customHeight="1" x14ac:dyDescent="0.25">
      <c r="B15" s="23" t="s">
        <v>42</v>
      </c>
      <c r="C15" s="49">
        <f>AVERAGE('31.07 GULU-NIMULE'!C15,'01.07 GULU-NIMULE'!C15,'02.07 GULU-NIMULE'!C15,'03.07 GULU-NIMULE'!C15,'04.07 GULU-NIMULE-24h'!C15,'05.07 GULU-NIMULE-24h'!C15,'06.07 GULU-NIMULE'!C15)</f>
        <v>0.5714285714285714</v>
      </c>
      <c r="D15" s="49">
        <f>AVERAGE('31.07 GULU-NIMULE'!D15,'01.07 GULU-NIMULE'!D15,'02.07 GULU-NIMULE'!D15,'03.07 GULU-NIMULE'!D15,'04.07 GULU-NIMULE-24h'!D15,'05.07 GULU-NIMULE-24h'!D15,'06.07 GULU-NIMULE'!D15)</f>
        <v>0.42857142857142855</v>
      </c>
      <c r="E15" s="49">
        <f>AVERAGE('31.07 GULU-NIMULE'!E15,'01.07 GULU-NIMULE'!E15,'02.07 GULU-NIMULE'!E15,'03.07 GULU-NIMULE'!E15,'04.07 GULU-NIMULE-24h'!E15,'05.07 GULU-NIMULE-24h'!E15,'06.07 GULU-NIMULE'!E15)</f>
        <v>0</v>
      </c>
      <c r="F15" s="49">
        <f>AVERAGE('31.07 GULU-NIMULE'!F15,'01.07 GULU-NIMULE'!F15,'02.07 GULU-NIMULE'!F15,'03.07 GULU-NIMULE'!F15,'04.07 GULU-NIMULE-24h'!F15,'05.07 GULU-NIMULE-24h'!F15,'06.07 GULU-NIMULE'!F15)</f>
        <v>0</v>
      </c>
      <c r="G15" s="49">
        <f>AVERAGE('31.07 GULU-NIMULE'!G15,'01.07 GULU-NIMULE'!G15,'02.07 GULU-NIMULE'!G15,'03.07 GULU-NIMULE'!G15,'04.07 GULU-NIMULE-24h'!G15,'05.07 GULU-NIMULE-24h'!G15,'06.07 GULU-NIMULE'!G15)</f>
        <v>0</v>
      </c>
      <c r="H15" s="49">
        <f>AVERAGE('31.07 GULU-NIMULE'!H15,'01.07 GULU-NIMULE'!H15,'02.07 GULU-NIMULE'!H15,'03.07 GULU-NIMULE'!H15,'04.07 GULU-NIMULE-24h'!H15,'05.07 GULU-NIMULE-24h'!H15,'06.07 GULU-NIMULE'!H15)</f>
        <v>0</v>
      </c>
      <c r="I15" s="49">
        <f>AVERAGE('31.07 GULU-NIMULE'!I15,'01.07 GULU-NIMULE'!I15,'02.07 GULU-NIMULE'!I15,'03.07 GULU-NIMULE'!I15,'04.07 GULU-NIMULE-24h'!I15,'05.07 GULU-NIMULE-24h'!I15,'06.07 GULU-NIMULE'!I15)</f>
        <v>0.8571428571428571</v>
      </c>
      <c r="J15" s="49">
        <f>AVERAGE('31.07 GULU-NIMULE'!J15,'01.07 GULU-NIMULE'!J15,'02.07 GULU-NIMULE'!J15,'03.07 GULU-NIMULE'!J15,'04.07 GULU-NIMULE-24h'!J15,'05.07 GULU-NIMULE-24h'!J15,'06.07 GULU-NIMULE'!J15)</f>
        <v>0</v>
      </c>
      <c r="K15" s="49">
        <f>AVERAGE('31.07 GULU-NIMULE'!K15,'01.07 GULU-NIMULE'!K15,'02.07 GULU-NIMULE'!K15,'03.07 GULU-NIMULE'!K15,'04.07 GULU-NIMULE-24h'!K15,'05.07 GULU-NIMULE-24h'!K15,'06.07 GULU-NIMULE'!K15)</f>
        <v>0.2857142857142857</v>
      </c>
      <c r="L15" s="49">
        <f>AVERAGE('31.07 GULU-NIMULE'!L15,'01.07 GULU-NIMULE'!L15,'02.07 GULU-NIMULE'!L15,'03.07 GULU-NIMULE'!L15,'04.07 GULU-NIMULE-24h'!L15,'05.07 GULU-NIMULE-24h'!L15,'06.07 GULU-NIMULE'!L15)</f>
        <v>0.7142857142857143</v>
      </c>
      <c r="M15" s="49">
        <f>AVERAGE('31.07 GULU-NIMULE'!M15,'01.07 GULU-NIMULE'!M15,'02.07 GULU-NIMULE'!M15,'03.07 GULU-NIMULE'!M15,'04.07 GULU-NIMULE-24h'!M15,'05.07 GULU-NIMULE-24h'!M15,'06.07 GULU-NIMULE'!M15)</f>
        <v>11.571428571428571</v>
      </c>
      <c r="N15" s="49">
        <f>AVERAGE('31.07 GULU-NIMULE'!N15,'01.07 GULU-NIMULE'!N15,'02.07 GULU-NIMULE'!N15,'03.07 GULU-NIMULE'!N15,'04.07 GULU-NIMULE-24h'!N15,'05.07 GULU-NIMULE-24h'!N15,'06.07 GULU-NIMULE'!N15)</f>
        <v>0</v>
      </c>
      <c r="O15" s="15">
        <f t="shared" si="0"/>
        <v>2.8571428571428572</v>
      </c>
      <c r="P15" s="15">
        <f t="shared" si="1"/>
        <v>14.428571428571429</v>
      </c>
      <c r="R15" s="1" t="s">
        <v>11</v>
      </c>
      <c r="S15" s="17">
        <f t="shared" ref="S15:AF15" si="7">SUM(C30:C33)</f>
        <v>2.1428571428571428</v>
      </c>
      <c r="T15" s="17">
        <f t="shared" si="7"/>
        <v>1.5714285714285712</v>
      </c>
      <c r="U15" s="17">
        <f t="shared" si="7"/>
        <v>1.857142857142857</v>
      </c>
      <c r="V15" s="17">
        <f t="shared" si="7"/>
        <v>0.42857142857142855</v>
      </c>
      <c r="W15" s="17">
        <f t="shared" si="7"/>
        <v>0</v>
      </c>
      <c r="X15" s="17">
        <f t="shared" si="7"/>
        <v>0.71428571428571419</v>
      </c>
      <c r="Y15" s="17">
        <f t="shared" si="7"/>
        <v>2.2857142857142856</v>
      </c>
      <c r="Z15" s="17">
        <f t="shared" si="7"/>
        <v>0.14285714285714285</v>
      </c>
      <c r="AA15" s="17">
        <f t="shared" si="7"/>
        <v>0.5714285714285714</v>
      </c>
      <c r="AB15" s="17">
        <f t="shared" si="7"/>
        <v>7.2857142857142865</v>
      </c>
      <c r="AC15" s="17">
        <f t="shared" si="7"/>
        <v>28.571428571428569</v>
      </c>
      <c r="AD15" s="17">
        <f t="shared" si="7"/>
        <v>0</v>
      </c>
      <c r="AE15" s="31">
        <f t="shared" si="7"/>
        <v>17</v>
      </c>
      <c r="AF15" s="31">
        <f t="shared" si="7"/>
        <v>45.571428571428569</v>
      </c>
    </row>
    <row r="16" spans="2:32" ht="23.1" customHeight="1" x14ac:dyDescent="0.25">
      <c r="B16" s="23" t="s">
        <v>43</v>
      </c>
      <c r="C16" s="49">
        <f>AVERAGE('31.07 GULU-NIMULE'!C16,'01.07 GULU-NIMULE'!C16,'02.07 GULU-NIMULE'!C16,'03.07 GULU-NIMULE'!C16,'04.07 GULU-NIMULE-24h'!C16,'05.07 GULU-NIMULE-24h'!C16,'06.07 GULU-NIMULE'!C16)</f>
        <v>0.2857142857142857</v>
      </c>
      <c r="D16" s="49">
        <f>AVERAGE('31.07 GULU-NIMULE'!D16,'01.07 GULU-NIMULE'!D16,'02.07 GULU-NIMULE'!D16,'03.07 GULU-NIMULE'!D16,'04.07 GULU-NIMULE-24h'!D16,'05.07 GULU-NIMULE-24h'!D16,'06.07 GULU-NIMULE'!D16)</f>
        <v>0.14285714285714285</v>
      </c>
      <c r="E16" s="49">
        <f>AVERAGE('31.07 GULU-NIMULE'!E16,'01.07 GULU-NIMULE'!E16,'02.07 GULU-NIMULE'!E16,'03.07 GULU-NIMULE'!E16,'04.07 GULU-NIMULE-24h'!E16,'05.07 GULU-NIMULE-24h'!E16,'06.07 GULU-NIMULE'!E16)</f>
        <v>0.5714285714285714</v>
      </c>
      <c r="F16" s="49">
        <f>AVERAGE('31.07 GULU-NIMULE'!F16,'01.07 GULU-NIMULE'!F16,'02.07 GULU-NIMULE'!F16,'03.07 GULU-NIMULE'!F16,'04.07 GULU-NIMULE-24h'!F16,'05.07 GULU-NIMULE-24h'!F16,'06.07 GULU-NIMULE'!F16)</f>
        <v>0</v>
      </c>
      <c r="G16" s="49">
        <f>AVERAGE('31.07 GULU-NIMULE'!G16,'01.07 GULU-NIMULE'!G16,'02.07 GULU-NIMULE'!G16,'03.07 GULU-NIMULE'!G16,'04.07 GULU-NIMULE-24h'!G16,'05.07 GULU-NIMULE-24h'!G16,'06.07 GULU-NIMULE'!G16)</f>
        <v>0</v>
      </c>
      <c r="H16" s="49">
        <f>AVERAGE('31.07 GULU-NIMULE'!H16,'01.07 GULU-NIMULE'!H16,'02.07 GULU-NIMULE'!H16,'03.07 GULU-NIMULE'!H16,'04.07 GULU-NIMULE-24h'!H16,'05.07 GULU-NIMULE-24h'!H16,'06.07 GULU-NIMULE'!H16)</f>
        <v>0.14285714285714285</v>
      </c>
      <c r="I16" s="49">
        <f>AVERAGE('31.07 GULU-NIMULE'!I16,'01.07 GULU-NIMULE'!I16,'02.07 GULU-NIMULE'!I16,'03.07 GULU-NIMULE'!I16,'04.07 GULU-NIMULE-24h'!I16,'05.07 GULU-NIMULE-24h'!I16,'06.07 GULU-NIMULE'!I16)</f>
        <v>0.8571428571428571</v>
      </c>
      <c r="J16" s="49">
        <f>AVERAGE('31.07 GULU-NIMULE'!J16,'01.07 GULU-NIMULE'!J16,'02.07 GULU-NIMULE'!J16,'03.07 GULU-NIMULE'!J16,'04.07 GULU-NIMULE-24h'!J16,'05.07 GULU-NIMULE-24h'!J16,'06.07 GULU-NIMULE'!J16)</f>
        <v>0</v>
      </c>
      <c r="K16" s="49">
        <f>AVERAGE('31.07 GULU-NIMULE'!K16,'01.07 GULU-NIMULE'!K16,'02.07 GULU-NIMULE'!K16,'03.07 GULU-NIMULE'!K16,'04.07 GULU-NIMULE-24h'!K16,'05.07 GULU-NIMULE-24h'!K16,'06.07 GULU-NIMULE'!K16)</f>
        <v>0</v>
      </c>
      <c r="L16" s="49">
        <f>AVERAGE('31.07 GULU-NIMULE'!L16,'01.07 GULU-NIMULE'!L16,'02.07 GULU-NIMULE'!L16,'03.07 GULU-NIMULE'!L16,'04.07 GULU-NIMULE-24h'!L16,'05.07 GULU-NIMULE-24h'!L16,'06.07 GULU-NIMULE'!L16)</f>
        <v>2.4285714285714284</v>
      </c>
      <c r="M16" s="49">
        <f>AVERAGE('31.07 GULU-NIMULE'!M16,'01.07 GULU-NIMULE'!M16,'02.07 GULU-NIMULE'!M16,'03.07 GULU-NIMULE'!M16,'04.07 GULU-NIMULE-24h'!M16,'05.07 GULU-NIMULE-24h'!M16,'06.07 GULU-NIMULE'!M16)</f>
        <v>7.7142857142857144</v>
      </c>
      <c r="N16" s="49">
        <f>AVERAGE('31.07 GULU-NIMULE'!N16,'01.07 GULU-NIMULE'!N16,'02.07 GULU-NIMULE'!N16,'03.07 GULU-NIMULE'!N16,'04.07 GULU-NIMULE-24h'!N16,'05.07 GULU-NIMULE-24h'!N16,'06.07 GULU-NIMULE'!N16)</f>
        <v>0</v>
      </c>
      <c r="O16" s="15">
        <f t="shared" si="0"/>
        <v>4.4285714285714288</v>
      </c>
      <c r="P16" s="15">
        <f t="shared" si="1"/>
        <v>12.142857142857142</v>
      </c>
      <c r="R16" s="1" t="s">
        <v>12</v>
      </c>
      <c r="S16" s="17">
        <f t="shared" ref="S16:AF16" si="8">SUM(C34:C37)</f>
        <v>3.2857142857142856</v>
      </c>
      <c r="T16" s="17">
        <f t="shared" si="8"/>
        <v>1.1428571428571428</v>
      </c>
      <c r="U16" s="17">
        <f t="shared" si="8"/>
        <v>4.5714285714285712</v>
      </c>
      <c r="V16" s="17">
        <f t="shared" si="8"/>
        <v>0.5714285714285714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1.4285714285714284</v>
      </c>
      <c r="Z16" s="17">
        <f t="shared" si="8"/>
        <v>0.42857142857142855</v>
      </c>
      <c r="AA16" s="17">
        <f t="shared" si="8"/>
        <v>0.5714285714285714</v>
      </c>
      <c r="AB16" s="17">
        <f t="shared" si="8"/>
        <v>6.5714285714285712</v>
      </c>
      <c r="AC16" s="17">
        <f t="shared" si="8"/>
        <v>21.857142857142858</v>
      </c>
      <c r="AD16" s="17">
        <f t="shared" si="8"/>
        <v>0.14285714285714285</v>
      </c>
      <c r="AE16" s="31">
        <f t="shared" si="8"/>
        <v>19.142857142857139</v>
      </c>
      <c r="AF16" s="31">
        <f t="shared" si="8"/>
        <v>40.999999999999993</v>
      </c>
    </row>
    <row r="17" spans="2:32" ht="23.1" customHeight="1" x14ac:dyDescent="0.25">
      <c r="B17" s="23" t="s">
        <v>44</v>
      </c>
      <c r="C17" s="49">
        <f>AVERAGE('31.07 GULU-NIMULE'!C17,'01.07 GULU-NIMULE'!C17,'02.07 GULU-NIMULE'!C17,'03.07 GULU-NIMULE'!C17,'04.07 GULU-NIMULE-24h'!C17,'05.07 GULU-NIMULE-24h'!C17,'06.07 GULU-NIMULE'!C17)</f>
        <v>0.7142857142857143</v>
      </c>
      <c r="D17" s="49">
        <f>AVERAGE('31.07 GULU-NIMULE'!D17,'01.07 GULU-NIMULE'!D17,'02.07 GULU-NIMULE'!D17,'03.07 GULU-NIMULE'!D17,'04.07 GULU-NIMULE-24h'!D17,'05.07 GULU-NIMULE-24h'!D17,'06.07 GULU-NIMULE'!D17)</f>
        <v>0.8571428571428571</v>
      </c>
      <c r="E17" s="49">
        <f>AVERAGE('31.07 GULU-NIMULE'!E17,'01.07 GULU-NIMULE'!E17,'02.07 GULU-NIMULE'!E17,'03.07 GULU-NIMULE'!E17,'04.07 GULU-NIMULE-24h'!E17,'05.07 GULU-NIMULE-24h'!E17,'06.07 GULU-NIMULE'!E17)</f>
        <v>0.5714285714285714</v>
      </c>
      <c r="F17" s="49">
        <f>AVERAGE('31.07 GULU-NIMULE'!F17,'01.07 GULU-NIMULE'!F17,'02.07 GULU-NIMULE'!F17,'03.07 GULU-NIMULE'!F17,'04.07 GULU-NIMULE-24h'!F17,'05.07 GULU-NIMULE-24h'!F17,'06.07 GULU-NIMULE'!F17)</f>
        <v>0</v>
      </c>
      <c r="G17" s="49">
        <f>AVERAGE('31.07 GULU-NIMULE'!G17,'01.07 GULU-NIMULE'!G17,'02.07 GULU-NIMULE'!G17,'03.07 GULU-NIMULE'!G17,'04.07 GULU-NIMULE-24h'!G17,'05.07 GULU-NIMULE-24h'!G17,'06.07 GULU-NIMULE'!G17)</f>
        <v>0</v>
      </c>
      <c r="H17" s="49">
        <f>AVERAGE('31.07 GULU-NIMULE'!H17,'01.07 GULU-NIMULE'!H17,'02.07 GULU-NIMULE'!H17,'03.07 GULU-NIMULE'!H17,'04.07 GULU-NIMULE-24h'!H17,'05.07 GULU-NIMULE-24h'!H17,'06.07 GULU-NIMULE'!H17)</f>
        <v>0</v>
      </c>
      <c r="I17" s="49">
        <f>AVERAGE('31.07 GULU-NIMULE'!I17,'01.07 GULU-NIMULE'!I17,'02.07 GULU-NIMULE'!I17,'03.07 GULU-NIMULE'!I17,'04.07 GULU-NIMULE-24h'!I17,'05.07 GULU-NIMULE-24h'!I17,'06.07 GULU-NIMULE'!I17)</f>
        <v>0.7142857142857143</v>
      </c>
      <c r="J17" s="49">
        <f>AVERAGE('31.07 GULU-NIMULE'!J17,'01.07 GULU-NIMULE'!J17,'02.07 GULU-NIMULE'!J17,'03.07 GULU-NIMULE'!J17,'04.07 GULU-NIMULE-24h'!J17,'05.07 GULU-NIMULE-24h'!J17,'06.07 GULU-NIMULE'!J17)</f>
        <v>0</v>
      </c>
      <c r="K17" s="49">
        <f>AVERAGE('31.07 GULU-NIMULE'!K17,'01.07 GULU-NIMULE'!K17,'02.07 GULU-NIMULE'!K17,'03.07 GULU-NIMULE'!K17,'04.07 GULU-NIMULE-24h'!K17,'05.07 GULU-NIMULE-24h'!K17,'06.07 GULU-NIMULE'!K17)</f>
        <v>0</v>
      </c>
      <c r="L17" s="49">
        <f>AVERAGE('31.07 GULU-NIMULE'!L17,'01.07 GULU-NIMULE'!L17,'02.07 GULU-NIMULE'!L17,'03.07 GULU-NIMULE'!L17,'04.07 GULU-NIMULE-24h'!L17,'05.07 GULU-NIMULE-24h'!L17,'06.07 GULU-NIMULE'!L17)</f>
        <v>1.2857142857142858</v>
      </c>
      <c r="M17" s="49">
        <f>AVERAGE('31.07 GULU-NIMULE'!M17,'01.07 GULU-NIMULE'!M17,'02.07 GULU-NIMULE'!M17,'03.07 GULU-NIMULE'!M17,'04.07 GULU-NIMULE-24h'!M17,'05.07 GULU-NIMULE-24h'!M17,'06.07 GULU-NIMULE'!M17)</f>
        <v>9.2857142857142865</v>
      </c>
      <c r="N17" s="49">
        <f>AVERAGE('31.07 GULU-NIMULE'!N17,'01.07 GULU-NIMULE'!N17,'02.07 GULU-NIMULE'!N17,'03.07 GULU-NIMULE'!N17,'04.07 GULU-NIMULE-24h'!N17,'05.07 GULU-NIMULE-24h'!N17,'06.07 GULU-NIMULE'!N17)</f>
        <v>0</v>
      </c>
      <c r="O17" s="15">
        <f t="shared" si="0"/>
        <v>4.1428571428571432</v>
      </c>
      <c r="P17" s="15">
        <f t="shared" si="1"/>
        <v>13.428571428571431</v>
      </c>
      <c r="R17" s="1" t="s">
        <v>13</v>
      </c>
      <c r="S17" s="17">
        <f t="shared" ref="S17:AF17" si="9">SUM(C38:C41)</f>
        <v>4.1428571428571423</v>
      </c>
      <c r="T17" s="17">
        <f t="shared" si="9"/>
        <v>0.8571428571428571</v>
      </c>
      <c r="U17" s="17">
        <f t="shared" si="9"/>
        <v>3.1428571428571428</v>
      </c>
      <c r="V17" s="17">
        <f t="shared" si="9"/>
        <v>0.2857142857142857</v>
      </c>
      <c r="W17" s="17">
        <f t="shared" si="9"/>
        <v>0</v>
      </c>
      <c r="X17" s="17">
        <f t="shared" si="9"/>
        <v>0.71428571428571419</v>
      </c>
      <c r="Y17" s="17">
        <f t="shared" si="9"/>
        <v>0.85714285714285698</v>
      </c>
      <c r="Z17" s="17">
        <f t="shared" si="9"/>
        <v>0.2857142857142857</v>
      </c>
      <c r="AA17" s="17">
        <f t="shared" si="9"/>
        <v>0.14285714285714285</v>
      </c>
      <c r="AB17" s="17">
        <f t="shared" si="9"/>
        <v>5.5714285714285721</v>
      </c>
      <c r="AC17" s="17">
        <f t="shared" si="9"/>
        <v>31.142857142857142</v>
      </c>
      <c r="AD17" s="17">
        <f t="shared" si="9"/>
        <v>0</v>
      </c>
      <c r="AE17" s="31">
        <f t="shared" si="9"/>
        <v>16</v>
      </c>
      <c r="AF17" s="31">
        <f t="shared" si="9"/>
        <v>47.142857142857139</v>
      </c>
    </row>
    <row r="18" spans="2:32" ht="23.1" customHeight="1" x14ac:dyDescent="0.25">
      <c r="B18" s="23" t="s">
        <v>45</v>
      </c>
      <c r="C18" s="49">
        <f>AVERAGE('31.07 GULU-NIMULE'!C18,'01.07 GULU-NIMULE'!C18,'02.07 GULU-NIMULE'!C18,'03.07 GULU-NIMULE'!C18,'04.07 GULU-NIMULE-24h'!C18,'05.07 GULU-NIMULE-24h'!C18,'06.07 GULU-NIMULE'!C18)</f>
        <v>1.1428571428571428</v>
      </c>
      <c r="D18" s="49">
        <f>AVERAGE('31.07 GULU-NIMULE'!D18,'01.07 GULU-NIMULE'!D18,'02.07 GULU-NIMULE'!D18,'03.07 GULU-NIMULE'!D18,'04.07 GULU-NIMULE-24h'!D18,'05.07 GULU-NIMULE-24h'!D18,'06.07 GULU-NIMULE'!D18)</f>
        <v>0.2857142857142857</v>
      </c>
      <c r="E18" s="49">
        <f>AVERAGE('31.07 GULU-NIMULE'!E18,'01.07 GULU-NIMULE'!E18,'02.07 GULU-NIMULE'!E18,'03.07 GULU-NIMULE'!E18,'04.07 GULU-NIMULE-24h'!E18,'05.07 GULU-NIMULE-24h'!E18,'06.07 GULU-NIMULE'!E18)</f>
        <v>0.5714285714285714</v>
      </c>
      <c r="F18" s="49">
        <f>AVERAGE('31.07 GULU-NIMULE'!F18,'01.07 GULU-NIMULE'!F18,'02.07 GULU-NIMULE'!F18,'03.07 GULU-NIMULE'!F18,'04.07 GULU-NIMULE-24h'!F18,'05.07 GULU-NIMULE-24h'!F18,'06.07 GULU-NIMULE'!F18)</f>
        <v>0</v>
      </c>
      <c r="G18" s="49">
        <f>AVERAGE('31.07 GULU-NIMULE'!G18,'01.07 GULU-NIMULE'!G18,'02.07 GULU-NIMULE'!G18,'03.07 GULU-NIMULE'!G18,'04.07 GULU-NIMULE-24h'!G18,'05.07 GULU-NIMULE-24h'!G18,'06.07 GULU-NIMULE'!G18)</f>
        <v>0</v>
      </c>
      <c r="H18" s="49">
        <f>AVERAGE('31.07 GULU-NIMULE'!H18,'01.07 GULU-NIMULE'!H18,'02.07 GULU-NIMULE'!H18,'03.07 GULU-NIMULE'!H18,'04.07 GULU-NIMULE-24h'!H18,'05.07 GULU-NIMULE-24h'!H18,'06.07 GULU-NIMULE'!H18)</f>
        <v>0.14285714285714285</v>
      </c>
      <c r="I18" s="49">
        <f>AVERAGE('31.07 GULU-NIMULE'!I18,'01.07 GULU-NIMULE'!I18,'02.07 GULU-NIMULE'!I18,'03.07 GULU-NIMULE'!I18,'04.07 GULU-NIMULE-24h'!I18,'05.07 GULU-NIMULE-24h'!I18,'06.07 GULU-NIMULE'!I18)</f>
        <v>0.7142857142857143</v>
      </c>
      <c r="J18" s="49">
        <f>AVERAGE('31.07 GULU-NIMULE'!J18,'01.07 GULU-NIMULE'!J18,'02.07 GULU-NIMULE'!J18,'03.07 GULU-NIMULE'!J18,'04.07 GULU-NIMULE-24h'!J18,'05.07 GULU-NIMULE-24h'!J18,'06.07 GULU-NIMULE'!J18)</f>
        <v>0.14285714285714285</v>
      </c>
      <c r="K18" s="49">
        <f>AVERAGE('31.07 GULU-NIMULE'!K18,'01.07 GULU-NIMULE'!K18,'02.07 GULU-NIMULE'!K18,'03.07 GULU-NIMULE'!K18,'04.07 GULU-NIMULE-24h'!K18,'05.07 GULU-NIMULE-24h'!K18,'06.07 GULU-NIMULE'!K18)</f>
        <v>0</v>
      </c>
      <c r="L18" s="49">
        <f>AVERAGE('31.07 GULU-NIMULE'!L18,'01.07 GULU-NIMULE'!L18,'02.07 GULU-NIMULE'!L18,'03.07 GULU-NIMULE'!L18,'04.07 GULU-NIMULE-24h'!L18,'05.07 GULU-NIMULE-24h'!L18,'06.07 GULU-NIMULE'!L18)</f>
        <v>1.5714285714285714</v>
      </c>
      <c r="M18" s="49">
        <f>AVERAGE('31.07 GULU-NIMULE'!M18,'01.07 GULU-NIMULE'!M18,'02.07 GULU-NIMULE'!M18,'03.07 GULU-NIMULE'!M18,'04.07 GULU-NIMULE-24h'!M18,'05.07 GULU-NIMULE-24h'!M18,'06.07 GULU-NIMULE'!M18)</f>
        <v>8.5714285714285712</v>
      </c>
      <c r="N18" s="49">
        <f>AVERAGE('31.07 GULU-NIMULE'!N18,'01.07 GULU-NIMULE'!N18,'02.07 GULU-NIMULE'!N18,'03.07 GULU-NIMULE'!N18,'04.07 GULU-NIMULE-24h'!N18,'05.07 GULU-NIMULE-24h'!N18,'06.07 GULU-NIMULE'!N18)</f>
        <v>0</v>
      </c>
      <c r="O18" s="15">
        <f t="shared" si="0"/>
        <v>4.5714285714285712</v>
      </c>
      <c r="P18" s="15">
        <f t="shared" si="1"/>
        <v>13.142857142857142</v>
      </c>
      <c r="R18" s="1" t="s">
        <v>14</v>
      </c>
      <c r="S18" s="17">
        <f t="shared" ref="S18:AF18" si="10">SUM(C42:C45)</f>
        <v>4.4285714285714288</v>
      </c>
      <c r="T18" s="17">
        <f t="shared" si="10"/>
        <v>2.1428571428571428</v>
      </c>
      <c r="U18" s="17">
        <f t="shared" si="10"/>
        <v>4.4285714285714288</v>
      </c>
      <c r="V18" s="17">
        <f t="shared" si="10"/>
        <v>0</v>
      </c>
      <c r="W18" s="17">
        <f t="shared" si="10"/>
        <v>0.14285714285714285</v>
      </c>
      <c r="X18" s="17">
        <f t="shared" si="10"/>
        <v>1.7142857142857142</v>
      </c>
      <c r="Y18" s="17">
        <f t="shared" si="10"/>
        <v>1.5714285714285714</v>
      </c>
      <c r="Z18" s="17">
        <f t="shared" si="10"/>
        <v>0.7142857142857143</v>
      </c>
      <c r="AA18" s="17">
        <f t="shared" si="10"/>
        <v>0.2857142857142857</v>
      </c>
      <c r="AB18" s="17">
        <f t="shared" si="10"/>
        <v>5.2857142857142856</v>
      </c>
      <c r="AC18" s="17">
        <f t="shared" si="10"/>
        <v>35.571428571428569</v>
      </c>
      <c r="AD18" s="17">
        <f t="shared" si="10"/>
        <v>0</v>
      </c>
      <c r="AE18" s="31">
        <f t="shared" si="10"/>
        <v>20.714285714285715</v>
      </c>
      <c r="AF18" s="31">
        <f t="shared" si="10"/>
        <v>56.285714285714292</v>
      </c>
    </row>
    <row r="19" spans="2:32" ht="23.1" customHeight="1" x14ac:dyDescent="0.25">
      <c r="B19" s="23" t="s">
        <v>46</v>
      </c>
      <c r="C19" s="49">
        <f>AVERAGE('31.07 GULU-NIMULE'!C19,'01.07 GULU-NIMULE'!C19,'02.07 GULU-NIMULE'!C19,'03.07 GULU-NIMULE'!C19,'04.07 GULU-NIMULE-24h'!C19,'05.07 GULU-NIMULE-24h'!C19,'06.07 GULU-NIMULE'!C19)</f>
        <v>0.14285714285714285</v>
      </c>
      <c r="D19" s="49">
        <f>AVERAGE('31.07 GULU-NIMULE'!D19,'01.07 GULU-NIMULE'!D19,'02.07 GULU-NIMULE'!D19,'03.07 GULU-NIMULE'!D19,'04.07 GULU-NIMULE-24h'!D19,'05.07 GULU-NIMULE-24h'!D19,'06.07 GULU-NIMULE'!D19)</f>
        <v>0</v>
      </c>
      <c r="E19" s="49">
        <f>AVERAGE('31.07 GULU-NIMULE'!E19,'01.07 GULU-NIMULE'!E19,'02.07 GULU-NIMULE'!E19,'03.07 GULU-NIMULE'!E19,'04.07 GULU-NIMULE-24h'!E19,'05.07 GULU-NIMULE-24h'!E19,'06.07 GULU-NIMULE'!E19)</f>
        <v>0.14285714285714285</v>
      </c>
      <c r="F19" s="49">
        <f>AVERAGE('31.07 GULU-NIMULE'!F19,'01.07 GULU-NIMULE'!F19,'02.07 GULU-NIMULE'!F19,'03.07 GULU-NIMULE'!F19,'04.07 GULU-NIMULE-24h'!F19,'05.07 GULU-NIMULE-24h'!F19,'06.07 GULU-NIMULE'!F19)</f>
        <v>0.14285714285714285</v>
      </c>
      <c r="G19" s="49">
        <f>AVERAGE('31.07 GULU-NIMULE'!G19,'01.07 GULU-NIMULE'!G19,'02.07 GULU-NIMULE'!G19,'03.07 GULU-NIMULE'!G19,'04.07 GULU-NIMULE-24h'!G19,'05.07 GULU-NIMULE-24h'!G19,'06.07 GULU-NIMULE'!G19)</f>
        <v>0.14285714285714285</v>
      </c>
      <c r="H19" s="49">
        <f>AVERAGE('31.07 GULU-NIMULE'!H19,'01.07 GULU-NIMULE'!H19,'02.07 GULU-NIMULE'!H19,'03.07 GULU-NIMULE'!H19,'04.07 GULU-NIMULE-24h'!H19,'05.07 GULU-NIMULE-24h'!H19,'06.07 GULU-NIMULE'!H19)</f>
        <v>0.14285714285714285</v>
      </c>
      <c r="I19" s="49">
        <f>AVERAGE('31.07 GULU-NIMULE'!I19,'01.07 GULU-NIMULE'!I19,'02.07 GULU-NIMULE'!I19,'03.07 GULU-NIMULE'!I19,'04.07 GULU-NIMULE-24h'!I19,'05.07 GULU-NIMULE-24h'!I19,'06.07 GULU-NIMULE'!I19)</f>
        <v>0</v>
      </c>
      <c r="J19" s="49">
        <f>AVERAGE('31.07 GULU-NIMULE'!J19,'01.07 GULU-NIMULE'!J19,'02.07 GULU-NIMULE'!J19,'03.07 GULU-NIMULE'!J19,'04.07 GULU-NIMULE-24h'!J19,'05.07 GULU-NIMULE-24h'!J19,'06.07 GULU-NIMULE'!J19)</f>
        <v>0.14285714285714285</v>
      </c>
      <c r="K19" s="49">
        <f>AVERAGE('31.07 GULU-NIMULE'!K19,'01.07 GULU-NIMULE'!K19,'02.07 GULU-NIMULE'!K19,'03.07 GULU-NIMULE'!K19,'04.07 GULU-NIMULE-24h'!K19,'05.07 GULU-NIMULE-24h'!K19,'06.07 GULU-NIMULE'!K19)</f>
        <v>0.2857142857142857</v>
      </c>
      <c r="L19" s="49">
        <f>AVERAGE('31.07 GULU-NIMULE'!L19,'01.07 GULU-NIMULE'!L19,'02.07 GULU-NIMULE'!L19,'03.07 GULU-NIMULE'!L19,'04.07 GULU-NIMULE-24h'!L19,'05.07 GULU-NIMULE-24h'!L19,'06.07 GULU-NIMULE'!L19)</f>
        <v>4.4285714285714288</v>
      </c>
      <c r="M19" s="49">
        <f>AVERAGE('31.07 GULU-NIMULE'!M19,'01.07 GULU-NIMULE'!M19,'02.07 GULU-NIMULE'!M19,'03.07 GULU-NIMULE'!M19,'04.07 GULU-NIMULE-24h'!M19,'05.07 GULU-NIMULE-24h'!M19,'06.07 GULU-NIMULE'!M19)</f>
        <v>9.1428571428571423</v>
      </c>
      <c r="N19" s="49">
        <f>AVERAGE('31.07 GULU-NIMULE'!N19,'01.07 GULU-NIMULE'!N19,'02.07 GULU-NIMULE'!N19,'03.07 GULU-NIMULE'!N19,'04.07 GULU-NIMULE-24h'!N19,'05.07 GULU-NIMULE-24h'!N19,'06.07 GULU-NIMULE'!N19)</f>
        <v>0</v>
      </c>
      <c r="O19" s="15">
        <f t="shared" si="0"/>
        <v>5.5714285714285712</v>
      </c>
      <c r="P19" s="15">
        <f t="shared" si="1"/>
        <v>14.714285714285714</v>
      </c>
      <c r="R19" s="1" t="s">
        <v>15</v>
      </c>
      <c r="S19" s="17">
        <f t="shared" ref="S19:AF19" si="11">SUM(C46:C49)</f>
        <v>3.4285714285714288</v>
      </c>
      <c r="T19" s="17">
        <f t="shared" si="11"/>
        <v>2.4285714285714288</v>
      </c>
      <c r="U19" s="17">
        <f t="shared" si="11"/>
        <v>3.1428571428571428</v>
      </c>
      <c r="V19" s="17">
        <f t="shared" si="11"/>
        <v>0</v>
      </c>
      <c r="W19" s="17">
        <f t="shared" si="11"/>
        <v>0</v>
      </c>
      <c r="X19" s="17">
        <f t="shared" si="11"/>
        <v>2.2857142857142856</v>
      </c>
      <c r="Y19" s="17">
        <f t="shared" si="11"/>
        <v>1.5714285714285712</v>
      </c>
      <c r="Z19" s="17">
        <f t="shared" si="11"/>
        <v>0.71428571428571419</v>
      </c>
      <c r="AA19" s="17">
        <f t="shared" si="11"/>
        <v>0.14285714285714285</v>
      </c>
      <c r="AB19" s="17">
        <f t="shared" si="11"/>
        <v>6.8571428571428568</v>
      </c>
      <c r="AC19" s="17">
        <f t="shared" si="11"/>
        <v>39</v>
      </c>
      <c r="AD19" s="17">
        <f t="shared" si="11"/>
        <v>0</v>
      </c>
      <c r="AE19" s="31">
        <f t="shared" si="11"/>
        <v>20.571428571428569</v>
      </c>
      <c r="AF19" s="31">
        <f t="shared" si="11"/>
        <v>59.571428571428569</v>
      </c>
    </row>
    <row r="20" spans="2:32" ht="23.1" customHeight="1" x14ac:dyDescent="0.25">
      <c r="B20" s="23" t="s">
        <v>47</v>
      </c>
      <c r="C20" s="49">
        <f>AVERAGE('31.07 GULU-NIMULE'!C20,'01.07 GULU-NIMULE'!C20,'02.07 GULU-NIMULE'!C20,'03.07 GULU-NIMULE'!C20,'04.07 GULU-NIMULE-24h'!C20,'05.07 GULU-NIMULE-24h'!C20,'06.07 GULU-NIMULE'!C20)</f>
        <v>0.7142857142857143</v>
      </c>
      <c r="D20" s="49">
        <f>AVERAGE('31.07 GULU-NIMULE'!D20,'01.07 GULU-NIMULE'!D20,'02.07 GULU-NIMULE'!D20,'03.07 GULU-NIMULE'!D20,'04.07 GULU-NIMULE-24h'!D20,'05.07 GULU-NIMULE-24h'!D20,'06.07 GULU-NIMULE'!D20)</f>
        <v>0.2857142857142857</v>
      </c>
      <c r="E20" s="49">
        <f>AVERAGE('31.07 GULU-NIMULE'!E20,'01.07 GULU-NIMULE'!E20,'02.07 GULU-NIMULE'!E20,'03.07 GULU-NIMULE'!E20,'04.07 GULU-NIMULE-24h'!E20,'05.07 GULU-NIMULE-24h'!E20,'06.07 GULU-NIMULE'!E20)</f>
        <v>0.42857142857142855</v>
      </c>
      <c r="F20" s="49">
        <f>AVERAGE('31.07 GULU-NIMULE'!F20,'01.07 GULU-NIMULE'!F20,'02.07 GULU-NIMULE'!F20,'03.07 GULU-NIMULE'!F20,'04.07 GULU-NIMULE-24h'!F20,'05.07 GULU-NIMULE-24h'!F20,'06.07 GULU-NIMULE'!F20)</f>
        <v>0</v>
      </c>
      <c r="G20" s="49">
        <f>AVERAGE('31.07 GULU-NIMULE'!G20,'01.07 GULU-NIMULE'!G20,'02.07 GULU-NIMULE'!G20,'03.07 GULU-NIMULE'!G20,'04.07 GULU-NIMULE-24h'!G20,'05.07 GULU-NIMULE-24h'!G20,'06.07 GULU-NIMULE'!G20)</f>
        <v>0</v>
      </c>
      <c r="H20" s="49">
        <f>AVERAGE('31.07 GULU-NIMULE'!H20,'01.07 GULU-NIMULE'!H20,'02.07 GULU-NIMULE'!H20,'03.07 GULU-NIMULE'!H20,'04.07 GULU-NIMULE-24h'!H20,'05.07 GULU-NIMULE-24h'!H20,'06.07 GULU-NIMULE'!H20)</f>
        <v>0.2857142857142857</v>
      </c>
      <c r="I20" s="49">
        <f>AVERAGE('31.07 GULU-NIMULE'!I20,'01.07 GULU-NIMULE'!I20,'02.07 GULU-NIMULE'!I20,'03.07 GULU-NIMULE'!I20,'04.07 GULU-NIMULE-24h'!I20,'05.07 GULU-NIMULE-24h'!I20,'06.07 GULU-NIMULE'!I20)</f>
        <v>0.2857142857142857</v>
      </c>
      <c r="J20" s="49">
        <f>AVERAGE('31.07 GULU-NIMULE'!J20,'01.07 GULU-NIMULE'!J20,'02.07 GULU-NIMULE'!J20,'03.07 GULU-NIMULE'!J20,'04.07 GULU-NIMULE-24h'!J20,'05.07 GULU-NIMULE-24h'!J20,'06.07 GULU-NIMULE'!J20)</f>
        <v>0.14285714285714285</v>
      </c>
      <c r="K20" s="49">
        <f>AVERAGE('31.07 GULU-NIMULE'!K20,'01.07 GULU-NIMULE'!K20,'02.07 GULU-NIMULE'!K20,'03.07 GULU-NIMULE'!K20,'04.07 GULU-NIMULE-24h'!K20,'05.07 GULU-NIMULE-24h'!K20,'06.07 GULU-NIMULE'!K20)</f>
        <v>0.42857142857142855</v>
      </c>
      <c r="L20" s="49">
        <f>AVERAGE('31.07 GULU-NIMULE'!L20,'01.07 GULU-NIMULE'!L20,'02.07 GULU-NIMULE'!L20,'03.07 GULU-NIMULE'!L20,'04.07 GULU-NIMULE-24h'!L20,'05.07 GULU-NIMULE-24h'!L20,'06.07 GULU-NIMULE'!L20)</f>
        <v>1.8571428571428572</v>
      </c>
      <c r="M20" s="49">
        <f>AVERAGE('31.07 GULU-NIMULE'!M20,'01.07 GULU-NIMULE'!M20,'02.07 GULU-NIMULE'!M20,'03.07 GULU-NIMULE'!M20,'04.07 GULU-NIMULE-24h'!M20,'05.07 GULU-NIMULE-24h'!M20,'06.07 GULU-NIMULE'!M20)</f>
        <v>6.7142857142857144</v>
      </c>
      <c r="N20" s="49">
        <f>AVERAGE('31.07 GULU-NIMULE'!N20,'01.07 GULU-NIMULE'!N20,'02.07 GULU-NIMULE'!N20,'03.07 GULU-NIMULE'!N20,'04.07 GULU-NIMULE-24h'!N20,'05.07 GULU-NIMULE-24h'!N20,'06.07 GULU-NIMULE'!N20)</f>
        <v>0</v>
      </c>
      <c r="O20" s="15">
        <f t="shared" si="0"/>
        <v>4.4285714285714288</v>
      </c>
      <c r="P20" s="15">
        <f t="shared" si="1"/>
        <v>11.142857142857142</v>
      </c>
      <c r="R20" s="1" t="s">
        <v>16</v>
      </c>
      <c r="S20" s="17">
        <f t="shared" ref="S20:AF20" si="12">SUM(C50:C53)</f>
        <v>5.1428571428571423</v>
      </c>
      <c r="T20" s="17">
        <f t="shared" si="12"/>
        <v>1.8571428571428572</v>
      </c>
      <c r="U20" s="17">
        <f t="shared" si="12"/>
        <v>4</v>
      </c>
      <c r="V20" s="17">
        <f t="shared" si="12"/>
        <v>0</v>
      </c>
      <c r="W20" s="17">
        <f t="shared" si="12"/>
        <v>0.14285714285714285</v>
      </c>
      <c r="X20" s="17">
        <f t="shared" si="12"/>
        <v>1</v>
      </c>
      <c r="Y20" s="17">
        <f t="shared" si="12"/>
        <v>1.1428571428571428</v>
      </c>
      <c r="Z20" s="17">
        <f t="shared" si="12"/>
        <v>0.2857142857142857</v>
      </c>
      <c r="AA20" s="17">
        <f t="shared" si="12"/>
        <v>0</v>
      </c>
      <c r="AB20" s="17">
        <f t="shared" si="12"/>
        <v>6.1428571428571423</v>
      </c>
      <c r="AC20" s="17">
        <f t="shared" si="12"/>
        <v>43</v>
      </c>
      <c r="AD20" s="17">
        <f t="shared" si="12"/>
        <v>0</v>
      </c>
      <c r="AE20" s="31">
        <f t="shared" si="12"/>
        <v>19.714285714285715</v>
      </c>
      <c r="AF20" s="31">
        <f t="shared" si="12"/>
        <v>62.714285714285708</v>
      </c>
    </row>
    <row r="21" spans="2:32" ht="23.1" customHeight="1" x14ac:dyDescent="0.25">
      <c r="B21" s="23" t="s">
        <v>48</v>
      </c>
      <c r="C21" s="49">
        <f>AVERAGE('31.07 GULU-NIMULE'!C21,'01.07 GULU-NIMULE'!C21,'02.07 GULU-NIMULE'!C21,'03.07 GULU-NIMULE'!C21,'04.07 GULU-NIMULE-24h'!C21,'05.07 GULU-NIMULE-24h'!C21,'06.07 GULU-NIMULE'!C21)</f>
        <v>1</v>
      </c>
      <c r="D21" s="49">
        <f>AVERAGE('31.07 GULU-NIMULE'!D21,'01.07 GULU-NIMULE'!D21,'02.07 GULU-NIMULE'!D21,'03.07 GULU-NIMULE'!D21,'04.07 GULU-NIMULE-24h'!D21,'05.07 GULU-NIMULE-24h'!D21,'06.07 GULU-NIMULE'!D21)</f>
        <v>0.5714285714285714</v>
      </c>
      <c r="E21" s="49">
        <f>AVERAGE('31.07 GULU-NIMULE'!E21,'01.07 GULU-NIMULE'!E21,'02.07 GULU-NIMULE'!E21,'03.07 GULU-NIMULE'!E21,'04.07 GULU-NIMULE-24h'!E21,'05.07 GULU-NIMULE-24h'!E21,'06.07 GULU-NIMULE'!E21)</f>
        <v>1</v>
      </c>
      <c r="F21" s="49">
        <f>AVERAGE('31.07 GULU-NIMULE'!F21,'01.07 GULU-NIMULE'!F21,'02.07 GULU-NIMULE'!F21,'03.07 GULU-NIMULE'!F21,'04.07 GULU-NIMULE-24h'!F21,'05.07 GULU-NIMULE-24h'!F21,'06.07 GULU-NIMULE'!F21)</f>
        <v>0.14285714285714285</v>
      </c>
      <c r="G21" s="49">
        <f>AVERAGE('31.07 GULU-NIMULE'!G21,'01.07 GULU-NIMULE'!G21,'02.07 GULU-NIMULE'!G21,'03.07 GULU-NIMULE'!G21,'04.07 GULU-NIMULE-24h'!G21,'05.07 GULU-NIMULE-24h'!G21,'06.07 GULU-NIMULE'!G21)</f>
        <v>0</v>
      </c>
      <c r="H21" s="49">
        <f>AVERAGE('31.07 GULU-NIMULE'!H21,'01.07 GULU-NIMULE'!H21,'02.07 GULU-NIMULE'!H21,'03.07 GULU-NIMULE'!H21,'04.07 GULU-NIMULE-24h'!H21,'05.07 GULU-NIMULE-24h'!H21,'06.07 GULU-NIMULE'!H21)</f>
        <v>0.42857142857142855</v>
      </c>
      <c r="I21" s="49">
        <f>AVERAGE('31.07 GULU-NIMULE'!I21,'01.07 GULU-NIMULE'!I21,'02.07 GULU-NIMULE'!I21,'03.07 GULU-NIMULE'!I21,'04.07 GULU-NIMULE-24h'!I21,'05.07 GULU-NIMULE-24h'!I21,'06.07 GULU-NIMULE'!I21)</f>
        <v>0.42857142857142855</v>
      </c>
      <c r="J21" s="49">
        <f>AVERAGE('31.07 GULU-NIMULE'!J21,'01.07 GULU-NIMULE'!J21,'02.07 GULU-NIMULE'!J21,'03.07 GULU-NIMULE'!J21,'04.07 GULU-NIMULE-24h'!J21,'05.07 GULU-NIMULE-24h'!J21,'06.07 GULU-NIMULE'!J21)</f>
        <v>0.14285714285714285</v>
      </c>
      <c r="K21" s="49">
        <f>AVERAGE('31.07 GULU-NIMULE'!K21,'01.07 GULU-NIMULE'!K21,'02.07 GULU-NIMULE'!K21,'03.07 GULU-NIMULE'!K21,'04.07 GULU-NIMULE-24h'!K21,'05.07 GULU-NIMULE-24h'!K21,'06.07 GULU-NIMULE'!K21)</f>
        <v>0.2857142857142857</v>
      </c>
      <c r="L21" s="49">
        <f>AVERAGE('31.07 GULU-NIMULE'!L21,'01.07 GULU-NIMULE'!L21,'02.07 GULU-NIMULE'!L21,'03.07 GULU-NIMULE'!L21,'04.07 GULU-NIMULE-24h'!L21,'05.07 GULU-NIMULE-24h'!L21,'06.07 GULU-NIMULE'!L21)</f>
        <v>2.7142857142857144</v>
      </c>
      <c r="M21" s="49">
        <f>AVERAGE('31.07 GULU-NIMULE'!M21,'01.07 GULU-NIMULE'!M21,'02.07 GULU-NIMULE'!M21,'03.07 GULU-NIMULE'!M21,'04.07 GULU-NIMULE-24h'!M21,'05.07 GULU-NIMULE-24h'!M21,'06.07 GULU-NIMULE'!M21)</f>
        <v>10.142857142857142</v>
      </c>
      <c r="N21" s="49">
        <f>AVERAGE('31.07 GULU-NIMULE'!N21,'01.07 GULU-NIMULE'!N21,'02.07 GULU-NIMULE'!N21,'03.07 GULU-NIMULE'!N21,'04.07 GULU-NIMULE-24h'!N21,'05.07 GULU-NIMULE-24h'!N21,'06.07 GULU-NIMULE'!N21)</f>
        <v>0</v>
      </c>
      <c r="O21" s="15">
        <f t="shared" si="0"/>
        <v>6.7142857142857135</v>
      </c>
      <c r="P21" s="15">
        <f t="shared" si="1"/>
        <v>16.857142857142854</v>
      </c>
      <c r="R21" s="36" t="s">
        <v>20</v>
      </c>
      <c r="S21" s="34">
        <f t="shared" ref="S21:AF21" si="13">SUM(C54:C57)</f>
        <v>3.4285714285714288</v>
      </c>
      <c r="T21" s="17">
        <f t="shared" si="13"/>
        <v>1.1428571428571428</v>
      </c>
      <c r="U21" s="17">
        <f t="shared" si="13"/>
        <v>2.4285714285714284</v>
      </c>
      <c r="V21" s="17">
        <f t="shared" si="13"/>
        <v>1.1428571428571428</v>
      </c>
      <c r="W21" s="17">
        <f t="shared" si="13"/>
        <v>0</v>
      </c>
      <c r="X21" s="17">
        <f t="shared" si="13"/>
        <v>0.5714285714285714</v>
      </c>
      <c r="Y21" s="17">
        <f t="shared" si="13"/>
        <v>3.1428571428571428</v>
      </c>
      <c r="Z21" s="17">
        <f t="shared" si="13"/>
        <v>0.73809523809523814</v>
      </c>
      <c r="AA21" s="17">
        <f t="shared" si="13"/>
        <v>0</v>
      </c>
      <c r="AB21" s="17">
        <f t="shared" si="13"/>
        <v>6.5714285714285712</v>
      </c>
      <c r="AC21" s="17">
        <f t="shared" si="13"/>
        <v>33</v>
      </c>
      <c r="AD21" s="17">
        <f t="shared" si="13"/>
        <v>0</v>
      </c>
      <c r="AE21" s="31">
        <f t="shared" si="13"/>
        <v>19.166666666666668</v>
      </c>
      <c r="AF21" s="31">
        <f t="shared" si="13"/>
        <v>52.166666666666671</v>
      </c>
    </row>
    <row r="22" spans="2:32" ht="23.1" customHeight="1" x14ac:dyDescent="0.25">
      <c r="B22" s="23" t="s">
        <v>49</v>
      </c>
      <c r="C22" s="49">
        <f>AVERAGE('31.07 GULU-NIMULE'!C22,'01.07 GULU-NIMULE'!C22,'02.07 GULU-NIMULE'!C22,'03.07 GULU-NIMULE'!C22,'04.07 GULU-NIMULE-24h'!C22,'05.07 GULU-NIMULE-24h'!C22,'06.07 GULU-NIMULE'!C22)</f>
        <v>0.7142857142857143</v>
      </c>
      <c r="D22" s="49">
        <f>AVERAGE('31.07 GULU-NIMULE'!D22,'01.07 GULU-NIMULE'!D22,'02.07 GULU-NIMULE'!D22,'03.07 GULU-NIMULE'!D22,'04.07 GULU-NIMULE-24h'!D22,'05.07 GULU-NIMULE-24h'!D22,'06.07 GULU-NIMULE'!D22)</f>
        <v>0.8571428571428571</v>
      </c>
      <c r="E22" s="49">
        <f>AVERAGE('31.07 GULU-NIMULE'!E22,'01.07 GULU-NIMULE'!E22,'02.07 GULU-NIMULE'!E22,'03.07 GULU-NIMULE'!E22,'04.07 GULU-NIMULE-24h'!E22,'05.07 GULU-NIMULE-24h'!E22,'06.07 GULU-NIMULE'!E22)</f>
        <v>1.5714285714285714</v>
      </c>
      <c r="F22" s="49">
        <f>AVERAGE('31.07 GULU-NIMULE'!F22,'01.07 GULU-NIMULE'!F22,'02.07 GULU-NIMULE'!F22,'03.07 GULU-NIMULE'!F22,'04.07 GULU-NIMULE-24h'!F22,'05.07 GULU-NIMULE-24h'!F22,'06.07 GULU-NIMULE'!F22)</f>
        <v>0</v>
      </c>
      <c r="G22" s="49">
        <f>AVERAGE('31.07 GULU-NIMULE'!G22,'01.07 GULU-NIMULE'!G22,'02.07 GULU-NIMULE'!G22,'03.07 GULU-NIMULE'!G22,'04.07 GULU-NIMULE-24h'!G22,'05.07 GULU-NIMULE-24h'!G22,'06.07 GULU-NIMULE'!G22)</f>
        <v>0</v>
      </c>
      <c r="H22" s="49">
        <f>AVERAGE('31.07 GULU-NIMULE'!H22,'01.07 GULU-NIMULE'!H22,'02.07 GULU-NIMULE'!H22,'03.07 GULU-NIMULE'!H22,'04.07 GULU-NIMULE-24h'!H22,'05.07 GULU-NIMULE-24h'!H22,'06.07 GULU-NIMULE'!H22)</f>
        <v>0</v>
      </c>
      <c r="I22" s="49">
        <f>AVERAGE('31.07 GULU-NIMULE'!I22,'01.07 GULU-NIMULE'!I22,'02.07 GULU-NIMULE'!I22,'03.07 GULU-NIMULE'!I22,'04.07 GULU-NIMULE-24h'!I22,'05.07 GULU-NIMULE-24h'!I22,'06.07 GULU-NIMULE'!I22)</f>
        <v>0.42857142857142855</v>
      </c>
      <c r="J22" s="49">
        <f>AVERAGE('31.07 GULU-NIMULE'!J22,'01.07 GULU-NIMULE'!J22,'02.07 GULU-NIMULE'!J22,'03.07 GULU-NIMULE'!J22,'04.07 GULU-NIMULE-24h'!J22,'05.07 GULU-NIMULE-24h'!J22,'06.07 GULU-NIMULE'!J22)</f>
        <v>0.2857142857142857</v>
      </c>
      <c r="K22" s="49">
        <f>AVERAGE('31.07 GULU-NIMULE'!K22,'01.07 GULU-NIMULE'!K22,'02.07 GULU-NIMULE'!K22,'03.07 GULU-NIMULE'!K22,'04.07 GULU-NIMULE-24h'!K22,'05.07 GULU-NIMULE-24h'!K22,'06.07 GULU-NIMULE'!K22)</f>
        <v>0.14285714285714285</v>
      </c>
      <c r="L22" s="49">
        <f>AVERAGE('31.07 GULU-NIMULE'!L22,'01.07 GULU-NIMULE'!L22,'02.07 GULU-NIMULE'!L22,'03.07 GULU-NIMULE'!L22,'04.07 GULU-NIMULE-24h'!L22,'05.07 GULU-NIMULE-24h'!L22,'06.07 GULU-NIMULE'!L22)</f>
        <v>2.8571428571428572</v>
      </c>
      <c r="M22" s="49">
        <f>AVERAGE('31.07 GULU-NIMULE'!M22,'01.07 GULU-NIMULE'!M22,'02.07 GULU-NIMULE'!M22,'03.07 GULU-NIMULE'!M22,'04.07 GULU-NIMULE-24h'!M22,'05.07 GULU-NIMULE-24h'!M22,'06.07 GULU-NIMULE'!M22)</f>
        <v>9.7142857142857135</v>
      </c>
      <c r="N22" s="49">
        <f>AVERAGE('31.07 GULU-NIMULE'!N22,'01.07 GULU-NIMULE'!N22,'02.07 GULU-NIMULE'!N22,'03.07 GULU-NIMULE'!N22,'04.07 GULU-NIMULE-24h'!N22,'05.07 GULU-NIMULE-24h'!N22,'06.07 GULU-NIMULE'!N22)</f>
        <v>0</v>
      </c>
      <c r="O22" s="15">
        <f t="shared" si="0"/>
        <v>6.8571428571428568</v>
      </c>
      <c r="P22" s="15">
        <f t="shared" si="1"/>
        <v>16.571428571428569</v>
      </c>
      <c r="R22" s="1" t="s">
        <v>146</v>
      </c>
      <c r="S22" s="34">
        <f>SUM(C58:C61)</f>
        <v>2.5</v>
      </c>
      <c r="T22" s="34">
        <f t="shared" ref="T22:AF22" si="14">SUM(D58:D61)</f>
        <v>3</v>
      </c>
      <c r="U22" s="34">
        <f t="shared" si="14"/>
        <v>6</v>
      </c>
      <c r="V22" s="34">
        <f t="shared" si="14"/>
        <v>1.5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1.5</v>
      </c>
      <c r="AA22" s="34">
        <f t="shared" si="14"/>
        <v>0</v>
      </c>
      <c r="AB22" s="34">
        <f t="shared" si="14"/>
        <v>12.5</v>
      </c>
      <c r="AC22" s="34">
        <f t="shared" si="14"/>
        <v>2</v>
      </c>
      <c r="AD22" s="34">
        <f t="shared" si="14"/>
        <v>0</v>
      </c>
      <c r="AE22" s="31">
        <f t="shared" si="14"/>
        <v>28.5</v>
      </c>
      <c r="AF22" s="31">
        <f t="shared" si="14"/>
        <v>30.5</v>
      </c>
    </row>
    <row r="23" spans="2:32" ht="23.1" customHeight="1" x14ac:dyDescent="0.25">
      <c r="B23" s="23" t="s">
        <v>50</v>
      </c>
      <c r="C23" s="49">
        <f>AVERAGE('31.07 GULU-NIMULE'!C23,'01.07 GULU-NIMULE'!C23,'02.07 GULU-NIMULE'!C23,'03.07 GULU-NIMULE'!C23,'04.07 GULU-NIMULE-24h'!C23,'05.07 GULU-NIMULE-24h'!C23,'06.07 GULU-NIMULE'!C23)</f>
        <v>0.8571428571428571</v>
      </c>
      <c r="D23" s="49">
        <f>AVERAGE('31.07 GULU-NIMULE'!D23,'01.07 GULU-NIMULE'!D23,'02.07 GULU-NIMULE'!D23,'03.07 GULU-NIMULE'!D23,'04.07 GULU-NIMULE-24h'!D23,'05.07 GULU-NIMULE-24h'!D23,'06.07 GULU-NIMULE'!D23)</f>
        <v>0</v>
      </c>
      <c r="E23" s="49">
        <f>AVERAGE('31.07 GULU-NIMULE'!E23,'01.07 GULU-NIMULE'!E23,'02.07 GULU-NIMULE'!E23,'03.07 GULU-NIMULE'!E23,'04.07 GULU-NIMULE-24h'!E23,'05.07 GULU-NIMULE-24h'!E23,'06.07 GULU-NIMULE'!E23)</f>
        <v>1</v>
      </c>
      <c r="F23" s="49">
        <f>AVERAGE('31.07 GULU-NIMULE'!F23,'01.07 GULU-NIMULE'!F23,'02.07 GULU-NIMULE'!F23,'03.07 GULU-NIMULE'!F23,'04.07 GULU-NIMULE-24h'!F23,'05.07 GULU-NIMULE-24h'!F23,'06.07 GULU-NIMULE'!F23)</f>
        <v>0.14285714285714285</v>
      </c>
      <c r="G23" s="49">
        <f>AVERAGE('31.07 GULU-NIMULE'!G23,'01.07 GULU-NIMULE'!G23,'02.07 GULU-NIMULE'!G23,'03.07 GULU-NIMULE'!G23,'04.07 GULU-NIMULE-24h'!G23,'05.07 GULU-NIMULE-24h'!G23,'06.07 GULU-NIMULE'!G23)</f>
        <v>0</v>
      </c>
      <c r="H23" s="49">
        <f>AVERAGE('31.07 GULU-NIMULE'!H23,'01.07 GULU-NIMULE'!H23,'02.07 GULU-NIMULE'!H23,'03.07 GULU-NIMULE'!H23,'04.07 GULU-NIMULE-24h'!H23,'05.07 GULU-NIMULE-24h'!H23,'06.07 GULU-NIMULE'!H23)</f>
        <v>0.42857142857142855</v>
      </c>
      <c r="I23" s="49">
        <f>AVERAGE('31.07 GULU-NIMULE'!I23,'01.07 GULU-NIMULE'!I23,'02.07 GULU-NIMULE'!I23,'03.07 GULU-NIMULE'!I23,'04.07 GULU-NIMULE-24h'!I23,'05.07 GULU-NIMULE-24h'!I23,'06.07 GULU-NIMULE'!I23)</f>
        <v>0.2857142857142857</v>
      </c>
      <c r="J23" s="49">
        <f>AVERAGE('31.07 GULU-NIMULE'!J23,'01.07 GULU-NIMULE'!J23,'02.07 GULU-NIMULE'!J23,'03.07 GULU-NIMULE'!J23,'04.07 GULU-NIMULE-24h'!J23,'05.07 GULU-NIMULE-24h'!J23,'06.07 GULU-NIMULE'!J23)</f>
        <v>0.2857142857142857</v>
      </c>
      <c r="K23" s="49">
        <f>AVERAGE('31.07 GULU-NIMULE'!K23,'01.07 GULU-NIMULE'!K23,'02.07 GULU-NIMULE'!K23,'03.07 GULU-NIMULE'!K23,'04.07 GULU-NIMULE-24h'!K23,'05.07 GULU-NIMULE-24h'!K23,'06.07 GULU-NIMULE'!K23)</f>
        <v>0.14285714285714285</v>
      </c>
      <c r="L23" s="49">
        <f>AVERAGE('31.07 GULU-NIMULE'!L23,'01.07 GULU-NIMULE'!L23,'02.07 GULU-NIMULE'!L23,'03.07 GULU-NIMULE'!L23,'04.07 GULU-NIMULE-24h'!L23,'05.07 GULU-NIMULE-24h'!L23,'06.07 GULU-NIMULE'!L23)</f>
        <v>3.1428571428571428</v>
      </c>
      <c r="M23" s="49">
        <f>AVERAGE('31.07 GULU-NIMULE'!M23,'01.07 GULU-NIMULE'!M23,'02.07 GULU-NIMULE'!M23,'03.07 GULU-NIMULE'!M23,'04.07 GULU-NIMULE-24h'!M23,'05.07 GULU-NIMULE-24h'!M23,'06.07 GULU-NIMULE'!M23)</f>
        <v>7.7142857142857144</v>
      </c>
      <c r="N23" s="49">
        <f>AVERAGE('31.07 GULU-NIMULE'!N23,'01.07 GULU-NIMULE'!N23,'02.07 GULU-NIMULE'!N23,'03.07 GULU-NIMULE'!N23,'04.07 GULU-NIMULE-24h'!N23,'05.07 GULU-NIMULE-24h'!N23,'06.07 GULU-NIMULE'!N23)</f>
        <v>0</v>
      </c>
      <c r="O23" s="15">
        <f t="shared" si="0"/>
        <v>6.2857142857142847</v>
      </c>
      <c r="P23" s="15">
        <f t="shared" si="1"/>
        <v>14</v>
      </c>
      <c r="R23" s="1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23" t="s">
        <v>51</v>
      </c>
      <c r="C24" s="49">
        <f>AVERAGE('31.07 GULU-NIMULE'!C24,'01.07 GULU-NIMULE'!C24,'02.07 GULU-NIMULE'!C24,'03.07 GULU-NIMULE'!C24,'04.07 GULU-NIMULE-24h'!C24,'05.07 GULU-NIMULE-24h'!C24,'06.07 GULU-NIMULE'!C24)</f>
        <v>1</v>
      </c>
      <c r="D24" s="49">
        <f>AVERAGE('31.07 GULU-NIMULE'!D24,'01.07 GULU-NIMULE'!D24,'02.07 GULU-NIMULE'!D24,'03.07 GULU-NIMULE'!D24,'04.07 GULU-NIMULE-24h'!D24,'05.07 GULU-NIMULE-24h'!D24,'06.07 GULU-NIMULE'!D24)</f>
        <v>0.42857142857142855</v>
      </c>
      <c r="E24" s="49">
        <f>AVERAGE('31.07 GULU-NIMULE'!E24,'01.07 GULU-NIMULE'!E24,'02.07 GULU-NIMULE'!E24,'03.07 GULU-NIMULE'!E24,'04.07 GULU-NIMULE-24h'!E24,'05.07 GULU-NIMULE-24h'!E24,'06.07 GULU-NIMULE'!E24)</f>
        <v>0.8571428571428571</v>
      </c>
      <c r="F24" s="49">
        <f>AVERAGE('31.07 GULU-NIMULE'!F24,'01.07 GULU-NIMULE'!F24,'02.07 GULU-NIMULE'!F24,'03.07 GULU-NIMULE'!F24,'04.07 GULU-NIMULE-24h'!F24,'05.07 GULU-NIMULE-24h'!F24,'06.07 GULU-NIMULE'!F24)</f>
        <v>0.2857142857142857</v>
      </c>
      <c r="G24" s="49">
        <f>AVERAGE('31.07 GULU-NIMULE'!G24,'01.07 GULU-NIMULE'!G24,'02.07 GULU-NIMULE'!G24,'03.07 GULU-NIMULE'!G24,'04.07 GULU-NIMULE-24h'!G24,'05.07 GULU-NIMULE-24h'!G24,'06.07 GULU-NIMULE'!G24)</f>
        <v>0</v>
      </c>
      <c r="H24" s="49">
        <f>AVERAGE('31.07 GULU-NIMULE'!H24,'01.07 GULU-NIMULE'!H24,'02.07 GULU-NIMULE'!H24,'03.07 GULU-NIMULE'!H24,'04.07 GULU-NIMULE-24h'!H24,'05.07 GULU-NIMULE-24h'!H24,'06.07 GULU-NIMULE'!H24)</f>
        <v>0</v>
      </c>
      <c r="I24" s="49">
        <f>AVERAGE('31.07 GULU-NIMULE'!I24,'01.07 GULU-NIMULE'!I24,'02.07 GULU-NIMULE'!I24,'03.07 GULU-NIMULE'!I24,'04.07 GULU-NIMULE-24h'!I24,'05.07 GULU-NIMULE-24h'!I24,'06.07 GULU-NIMULE'!I24)</f>
        <v>0.2857142857142857</v>
      </c>
      <c r="J24" s="49">
        <f>AVERAGE('31.07 GULU-NIMULE'!J24,'01.07 GULU-NIMULE'!J24,'02.07 GULU-NIMULE'!J24,'03.07 GULU-NIMULE'!J24,'04.07 GULU-NIMULE-24h'!J24,'05.07 GULU-NIMULE-24h'!J24,'06.07 GULU-NIMULE'!J24)</f>
        <v>0</v>
      </c>
      <c r="K24" s="49">
        <f>AVERAGE('31.07 GULU-NIMULE'!K24,'01.07 GULU-NIMULE'!K24,'02.07 GULU-NIMULE'!K24,'03.07 GULU-NIMULE'!K24,'04.07 GULU-NIMULE-24h'!K24,'05.07 GULU-NIMULE-24h'!K24,'06.07 GULU-NIMULE'!K24)</f>
        <v>0</v>
      </c>
      <c r="L24" s="49">
        <f>AVERAGE('31.07 GULU-NIMULE'!L24,'01.07 GULU-NIMULE'!L24,'02.07 GULU-NIMULE'!L24,'03.07 GULU-NIMULE'!L24,'04.07 GULU-NIMULE-24h'!L24,'05.07 GULU-NIMULE-24h'!L24,'06.07 GULU-NIMULE'!L24)</f>
        <v>2.7142857142857144</v>
      </c>
      <c r="M24" s="49">
        <f>AVERAGE('31.07 GULU-NIMULE'!M24,'01.07 GULU-NIMULE'!M24,'02.07 GULU-NIMULE'!M24,'03.07 GULU-NIMULE'!M24,'04.07 GULU-NIMULE-24h'!M24,'05.07 GULU-NIMULE-24h'!M24,'06.07 GULU-NIMULE'!M24)</f>
        <v>11.142857142857142</v>
      </c>
      <c r="N24" s="49">
        <f>AVERAGE('31.07 GULU-NIMULE'!N24,'01.07 GULU-NIMULE'!N24,'02.07 GULU-NIMULE'!N24,'03.07 GULU-NIMULE'!N24,'04.07 GULU-NIMULE-24h'!N24,'05.07 GULU-NIMULE-24h'!N24,'06.07 GULU-NIMULE'!N24)</f>
        <v>0</v>
      </c>
      <c r="O24" s="15">
        <f t="shared" si="0"/>
        <v>5.5714285714285712</v>
      </c>
      <c r="P24" s="15">
        <f t="shared" si="1"/>
        <v>16.714285714285715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23" t="s">
        <v>52</v>
      </c>
      <c r="C25" s="49">
        <f>AVERAGE('31.07 GULU-NIMULE'!C25,'01.07 GULU-NIMULE'!C25,'02.07 GULU-NIMULE'!C25,'03.07 GULU-NIMULE'!C25,'04.07 GULU-NIMULE-24h'!C25,'05.07 GULU-NIMULE-24h'!C25,'06.07 GULU-NIMULE'!C25)</f>
        <v>0.8571428571428571</v>
      </c>
      <c r="D25" s="49">
        <f>AVERAGE('31.07 GULU-NIMULE'!D25,'01.07 GULU-NIMULE'!D25,'02.07 GULU-NIMULE'!D25,'03.07 GULU-NIMULE'!D25,'04.07 GULU-NIMULE-24h'!D25,'05.07 GULU-NIMULE-24h'!D25,'06.07 GULU-NIMULE'!D25)</f>
        <v>0.42857142857142855</v>
      </c>
      <c r="E25" s="49">
        <f>AVERAGE('31.07 GULU-NIMULE'!E25,'01.07 GULU-NIMULE'!E25,'02.07 GULU-NIMULE'!E25,'03.07 GULU-NIMULE'!E25,'04.07 GULU-NIMULE-24h'!E25,'05.07 GULU-NIMULE-24h'!E25,'06.07 GULU-NIMULE'!E25)</f>
        <v>0.42857142857142855</v>
      </c>
      <c r="F25" s="49">
        <f>AVERAGE('31.07 GULU-NIMULE'!F25,'01.07 GULU-NIMULE'!F25,'02.07 GULU-NIMULE'!F25,'03.07 GULU-NIMULE'!F25,'04.07 GULU-NIMULE-24h'!F25,'05.07 GULU-NIMULE-24h'!F25,'06.07 GULU-NIMULE'!F25)</f>
        <v>0.14285714285714285</v>
      </c>
      <c r="G25" s="49">
        <f>AVERAGE('31.07 GULU-NIMULE'!G25,'01.07 GULU-NIMULE'!G25,'02.07 GULU-NIMULE'!G25,'03.07 GULU-NIMULE'!G25,'04.07 GULU-NIMULE-24h'!G25,'05.07 GULU-NIMULE-24h'!G25,'06.07 GULU-NIMULE'!G25)</f>
        <v>0.14285714285714285</v>
      </c>
      <c r="H25" s="49">
        <f>AVERAGE('31.07 GULU-NIMULE'!H25,'01.07 GULU-NIMULE'!H25,'02.07 GULU-NIMULE'!H25,'03.07 GULU-NIMULE'!H25,'04.07 GULU-NIMULE-24h'!H25,'05.07 GULU-NIMULE-24h'!H25,'06.07 GULU-NIMULE'!H25)</f>
        <v>0</v>
      </c>
      <c r="I25" s="49">
        <f>AVERAGE('31.07 GULU-NIMULE'!I25,'01.07 GULU-NIMULE'!I25,'02.07 GULU-NIMULE'!I25,'03.07 GULU-NIMULE'!I25,'04.07 GULU-NIMULE-24h'!I25,'05.07 GULU-NIMULE-24h'!I25,'06.07 GULU-NIMULE'!I25)</f>
        <v>0</v>
      </c>
      <c r="J25" s="49">
        <f>AVERAGE('31.07 GULU-NIMULE'!J25,'01.07 GULU-NIMULE'!J25,'02.07 GULU-NIMULE'!J25,'03.07 GULU-NIMULE'!J25,'04.07 GULU-NIMULE-24h'!J25,'05.07 GULU-NIMULE-24h'!J25,'06.07 GULU-NIMULE'!J25)</f>
        <v>0</v>
      </c>
      <c r="K25" s="49">
        <f>AVERAGE('31.07 GULU-NIMULE'!K25,'01.07 GULU-NIMULE'!K25,'02.07 GULU-NIMULE'!K25,'03.07 GULU-NIMULE'!K25,'04.07 GULU-NIMULE-24h'!K25,'05.07 GULU-NIMULE-24h'!K25,'06.07 GULU-NIMULE'!K25)</f>
        <v>0</v>
      </c>
      <c r="L25" s="49">
        <f>AVERAGE('31.07 GULU-NIMULE'!L25,'01.07 GULU-NIMULE'!L25,'02.07 GULU-NIMULE'!L25,'03.07 GULU-NIMULE'!L25,'04.07 GULU-NIMULE-24h'!L25,'05.07 GULU-NIMULE-24h'!L25,'06.07 GULU-NIMULE'!L25)</f>
        <v>2.4285714285714284</v>
      </c>
      <c r="M25" s="49">
        <f>AVERAGE('31.07 GULU-NIMULE'!M25,'01.07 GULU-NIMULE'!M25,'02.07 GULU-NIMULE'!M25,'03.07 GULU-NIMULE'!M25,'04.07 GULU-NIMULE-24h'!M25,'05.07 GULU-NIMULE-24h'!M25,'06.07 GULU-NIMULE'!M25)</f>
        <v>7.5714285714285712</v>
      </c>
      <c r="N25" s="49">
        <f>AVERAGE('31.07 GULU-NIMULE'!N25,'01.07 GULU-NIMULE'!N25,'02.07 GULU-NIMULE'!N25,'03.07 GULU-NIMULE'!N25,'04.07 GULU-NIMULE-24h'!N25,'05.07 GULU-NIMULE-24h'!N25,'06.07 GULU-NIMULE'!N25)</f>
        <v>0</v>
      </c>
      <c r="O25" s="15">
        <f t="shared" si="0"/>
        <v>4.4285714285714279</v>
      </c>
      <c r="P25" s="15">
        <f t="shared" si="1"/>
        <v>12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23" t="s">
        <v>53</v>
      </c>
      <c r="C26" s="49">
        <f>AVERAGE('31.07 GULU-NIMULE'!C26,'01.07 GULU-NIMULE'!C26,'02.07 GULU-NIMULE'!C26,'03.07 GULU-NIMULE'!C26,'04.07 GULU-NIMULE-24h'!C26,'05.07 GULU-NIMULE-24h'!C26,'06.07 GULU-NIMULE'!C26)</f>
        <v>0.7142857142857143</v>
      </c>
      <c r="D26" s="49">
        <f>AVERAGE('31.07 GULU-NIMULE'!D26,'01.07 GULU-NIMULE'!D26,'02.07 GULU-NIMULE'!D26,'03.07 GULU-NIMULE'!D26,'04.07 GULU-NIMULE-24h'!D26,'05.07 GULU-NIMULE-24h'!D26,'06.07 GULU-NIMULE'!D26)</f>
        <v>0.14285714285714285</v>
      </c>
      <c r="E26" s="49">
        <f>AVERAGE('31.07 GULU-NIMULE'!E26,'01.07 GULU-NIMULE'!E26,'02.07 GULU-NIMULE'!E26,'03.07 GULU-NIMULE'!E26,'04.07 GULU-NIMULE-24h'!E26,'05.07 GULU-NIMULE-24h'!E26,'06.07 GULU-NIMULE'!E26)</f>
        <v>0.14285714285714285</v>
      </c>
      <c r="F26" s="49">
        <f>AVERAGE('31.07 GULU-NIMULE'!F26,'01.07 GULU-NIMULE'!F26,'02.07 GULU-NIMULE'!F26,'03.07 GULU-NIMULE'!F26,'04.07 GULU-NIMULE-24h'!F26,'05.07 GULU-NIMULE-24h'!F26,'06.07 GULU-NIMULE'!F26)</f>
        <v>0</v>
      </c>
      <c r="G26" s="49">
        <f>AVERAGE('31.07 GULU-NIMULE'!G26,'01.07 GULU-NIMULE'!G26,'02.07 GULU-NIMULE'!G26,'03.07 GULU-NIMULE'!G26,'04.07 GULU-NIMULE-24h'!G26,'05.07 GULU-NIMULE-24h'!G26,'06.07 GULU-NIMULE'!G26)</f>
        <v>0</v>
      </c>
      <c r="H26" s="49">
        <f>AVERAGE('31.07 GULU-NIMULE'!H26,'01.07 GULU-NIMULE'!H26,'02.07 GULU-NIMULE'!H26,'03.07 GULU-NIMULE'!H26,'04.07 GULU-NIMULE-24h'!H26,'05.07 GULU-NIMULE-24h'!H26,'06.07 GULU-NIMULE'!H26)</f>
        <v>0.14285714285714285</v>
      </c>
      <c r="I26" s="49">
        <f>AVERAGE('31.07 GULU-NIMULE'!I26,'01.07 GULU-NIMULE'!I26,'02.07 GULU-NIMULE'!I26,'03.07 GULU-NIMULE'!I26,'04.07 GULU-NIMULE-24h'!I26,'05.07 GULU-NIMULE-24h'!I26,'06.07 GULU-NIMULE'!I26)</f>
        <v>0.2857142857142857</v>
      </c>
      <c r="J26" s="49">
        <f>AVERAGE('31.07 GULU-NIMULE'!J26,'01.07 GULU-NIMULE'!J26,'02.07 GULU-NIMULE'!J26,'03.07 GULU-NIMULE'!J26,'04.07 GULU-NIMULE-24h'!J26,'05.07 GULU-NIMULE-24h'!J26,'06.07 GULU-NIMULE'!J26)</f>
        <v>0.14285714285714285</v>
      </c>
      <c r="K26" s="49">
        <f>AVERAGE('31.07 GULU-NIMULE'!K26,'01.07 GULU-NIMULE'!K26,'02.07 GULU-NIMULE'!K26,'03.07 GULU-NIMULE'!K26,'04.07 GULU-NIMULE-24h'!K26,'05.07 GULU-NIMULE-24h'!K26,'06.07 GULU-NIMULE'!K26)</f>
        <v>0.14285714285714285</v>
      </c>
      <c r="L26" s="49">
        <f>AVERAGE('31.07 GULU-NIMULE'!L26,'01.07 GULU-NIMULE'!L26,'02.07 GULU-NIMULE'!L26,'03.07 GULU-NIMULE'!L26,'04.07 GULU-NIMULE-24h'!L26,'05.07 GULU-NIMULE-24h'!L26,'06.07 GULU-NIMULE'!L26)</f>
        <v>2</v>
      </c>
      <c r="M26" s="49">
        <f>AVERAGE('31.07 GULU-NIMULE'!M26,'01.07 GULU-NIMULE'!M26,'02.07 GULU-NIMULE'!M26,'03.07 GULU-NIMULE'!M26,'04.07 GULU-NIMULE-24h'!M26,'05.07 GULU-NIMULE-24h'!M26,'06.07 GULU-NIMULE'!M26)</f>
        <v>6.4285714285714288</v>
      </c>
      <c r="N26" s="49">
        <f>AVERAGE('31.07 GULU-NIMULE'!N26,'01.07 GULU-NIMULE'!N26,'02.07 GULU-NIMULE'!N26,'03.07 GULU-NIMULE'!N26,'04.07 GULU-NIMULE-24h'!N26,'05.07 GULU-NIMULE-24h'!N26,'06.07 GULU-NIMULE'!N26)</f>
        <v>0</v>
      </c>
      <c r="O26" s="15">
        <f t="shared" si="0"/>
        <v>3.714285714285714</v>
      </c>
      <c r="P26" s="15">
        <f t="shared" si="1"/>
        <v>10.142857142857142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23" t="s">
        <v>54</v>
      </c>
      <c r="C27" s="49">
        <f>AVERAGE('31.07 GULU-NIMULE'!C27,'01.07 GULU-NIMULE'!C27,'02.07 GULU-NIMULE'!C27,'03.07 GULU-NIMULE'!C27,'04.07 GULU-NIMULE-24h'!C27,'05.07 GULU-NIMULE-24h'!C27,'06.07 GULU-NIMULE'!C27)</f>
        <v>0.7142857142857143</v>
      </c>
      <c r="D27" s="49">
        <f>AVERAGE('31.07 GULU-NIMULE'!D27,'01.07 GULU-NIMULE'!D27,'02.07 GULU-NIMULE'!D27,'03.07 GULU-NIMULE'!D27,'04.07 GULU-NIMULE-24h'!D27,'05.07 GULU-NIMULE-24h'!D27,'06.07 GULU-NIMULE'!D27)</f>
        <v>0.5714285714285714</v>
      </c>
      <c r="E27" s="49">
        <f>AVERAGE('31.07 GULU-NIMULE'!E27,'01.07 GULU-NIMULE'!E27,'02.07 GULU-NIMULE'!E27,'03.07 GULU-NIMULE'!E27,'04.07 GULU-NIMULE-24h'!E27,'05.07 GULU-NIMULE-24h'!E27,'06.07 GULU-NIMULE'!E27)</f>
        <v>0.5714285714285714</v>
      </c>
      <c r="F27" s="49">
        <f>AVERAGE('31.07 GULU-NIMULE'!F27,'01.07 GULU-NIMULE'!F27,'02.07 GULU-NIMULE'!F27,'03.07 GULU-NIMULE'!F27,'04.07 GULU-NIMULE-24h'!F27,'05.07 GULU-NIMULE-24h'!F27,'06.07 GULU-NIMULE'!F27)</f>
        <v>0.14285714285714285</v>
      </c>
      <c r="G27" s="49">
        <f>AVERAGE('31.07 GULU-NIMULE'!G27,'01.07 GULU-NIMULE'!G27,'02.07 GULU-NIMULE'!G27,'03.07 GULU-NIMULE'!G27,'04.07 GULU-NIMULE-24h'!G27,'05.07 GULU-NIMULE-24h'!G27,'06.07 GULU-NIMULE'!G27)</f>
        <v>0</v>
      </c>
      <c r="H27" s="49">
        <f>AVERAGE('31.07 GULU-NIMULE'!H27,'01.07 GULU-NIMULE'!H27,'02.07 GULU-NIMULE'!H27,'03.07 GULU-NIMULE'!H27,'04.07 GULU-NIMULE-24h'!H27,'05.07 GULU-NIMULE-24h'!H27,'06.07 GULU-NIMULE'!H27)</f>
        <v>0</v>
      </c>
      <c r="I27" s="49">
        <f>AVERAGE('31.07 GULU-NIMULE'!I27,'01.07 GULU-NIMULE'!I27,'02.07 GULU-NIMULE'!I27,'03.07 GULU-NIMULE'!I27,'04.07 GULU-NIMULE-24h'!I27,'05.07 GULU-NIMULE-24h'!I27,'06.07 GULU-NIMULE'!I27)</f>
        <v>0.2857142857142857</v>
      </c>
      <c r="J27" s="49">
        <f>AVERAGE('31.07 GULU-NIMULE'!J27,'01.07 GULU-NIMULE'!J27,'02.07 GULU-NIMULE'!J27,'03.07 GULU-NIMULE'!J27,'04.07 GULU-NIMULE-24h'!J27,'05.07 GULU-NIMULE-24h'!J27,'06.07 GULU-NIMULE'!J27)</f>
        <v>0.2857142857142857</v>
      </c>
      <c r="K27" s="49">
        <f>AVERAGE('31.07 GULU-NIMULE'!K27,'01.07 GULU-NIMULE'!K27,'02.07 GULU-NIMULE'!K27,'03.07 GULU-NIMULE'!K27,'04.07 GULU-NIMULE-24h'!K27,'05.07 GULU-NIMULE-24h'!K27,'06.07 GULU-NIMULE'!K27)</f>
        <v>0.14285714285714285</v>
      </c>
      <c r="L27" s="49">
        <f>AVERAGE('31.07 GULU-NIMULE'!L27,'01.07 GULU-NIMULE'!L27,'02.07 GULU-NIMULE'!L27,'03.07 GULU-NIMULE'!L27,'04.07 GULU-NIMULE-24h'!L27,'05.07 GULU-NIMULE-24h'!L27,'06.07 GULU-NIMULE'!L27)</f>
        <v>2</v>
      </c>
      <c r="M27" s="49">
        <f>AVERAGE('31.07 GULU-NIMULE'!M27,'01.07 GULU-NIMULE'!M27,'02.07 GULU-NIMULE'!M27,'03.07 GULU-NIMULE'!M27,'04.07 GULU-NIMULE-24h'!M27,'05.07 GULU-NIMULE-24h'!M27,'06.07 GULU-NIMULE'!M27)</f>
        <v>5.4285714285714288</v>
      </c>
      <c r="N27" s="49">
        <f>AVERAGE('31.07 GULU-NIMULE'!N27,'01.07 GULU-NIMULE'!N27,'02.07 GULU-NIMULE'!N27,'03.07 GULU-NIMULE'!N27,'04.07 GULU-NIMULE-24h'!N27,'05.07 GULU-NIMULE-24h'!N27,'06.07 GULU-NIMULE'!N27)</f>
        <v>0</v>
      </c>
      <c r="O27" s="15">
        <f t="shared" si="0"/>
        <v>4.7142857142857135</v>
      </c>
      <c r="P27" s="15">
        <f t="shared" si="1"/>
        <v>10.142857142857142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AVERAGE('31.07 GULU-NIMULE'!C28,'01.07 GULU-NIMULE'!C28,'02.07 GULU-NIMULE'!C28,'03.07 GULU-NIMULE'!C28,'04.07 GULU-NIMULE-24h'!C28,'05.07 GULU-NIMULE-24h'!C28,'06.07 GULU-NIMULE'!C28)</f>
        <v>0.42857142857142855</v>
      </c>
      <c r="D28" s="49">
        <f>AVERAGE('31.07 GULU-NIMULE'!D28,'01.07 GULU-NIMULE'!D28,'02.07 GULU-NIMULE'!D28,'03.07 GULU-NIMULE'!D28,'04.07 GULU-NIMULE-24h'!D28,'05.07 GULU-NIMULE-24h'!D28,'06.07 GULU-NIMULE'!D28)</f>
        <v>0.8571428571428571</v>
      </c>
      <c r="E28" s="49">
        <f>AVERAGE('31.07 GULU-NIMULE'!E28,'01.07 GULU-NIMULE'!E28,'02.07 GULU-NIMULE'!E28,'03.07 GULU-NIMULE'!E28,'04.07 GULU-NIMULE-24h'!E28,'05.07 GULU-NIMULE-24h'!E28,'06.07 GULU-NIMULE'!E28)</f>
        <v>1.1428571428571428</v>
      </c>
      <c r="F28" s="49">
        <f>AVERAGE('31.07 GULU-NIMULE'!F28,'01.07 GULU-NIMULE'!F28,'02.07 GULU-NIMULE'!F28,'03.07 GULU-NIMULE'!F28,'04.07 GULU-NIMULE-24h'!F28,'05.07 GULU-NIMULE-24h'!F28,'06.07 GULU-NIMULE'!F28)</f>
        <v>0</v>
      </c>
      <c r="G28" s="49">
        <f>AVERAGE('31.07 GULU-NIMULE'!G28,'01.07 GULU-NIMULE'!G28,'02.07 GULU-NIMULE'!G28,'03.07 GULU-NIMULE'!G28,'04.07 GULU-NIMULE-24h'!G28,'05.07 GULU-NIMULE-24h'!G28,'06.07 GULU-NIMULE'!G28)</f>
        <v>0</v>
      </c>
      <c r="H28" s="49">
        <f>AVERAGE('31.07 GULU-NIMULE'!H28,'01.07 GULU-NIMULE'!H28,'02.07 GULU-NIMULE'!H28,'03.07 GULU-NIMULE'!H28,'04.07 GULU-NIMULE-24h'!H28,'05.07 GULU-NIMULE-24h'!H28,'06.07 GULU-NIMULE'!H28)</f>
        <v>0.14285714285714285</v>
      </c>
      <c r="I28" s="49">
        <f>AVERAGE('31.07 GULU-NIMULE'!I28,'01.07 GULU-NIMULE'!I28,'02.07 GULU-NIMULE'!I28,'03.07 GULU-NIMULE'!I28,'04.07 GULU-NIMULE-24h'!I28,'05.07 GULU-NIMULE-24h'!I28,'06.07 GULU-NIMULE'!I28)</f>
        <v>0.42857142857142855</v>
      </c>
      <c r="J28" s="49">
        <f>AVERAGE('31.07 GULU-NIMULE'!J28,'01.07 GULU-NIMULE'!J28,'02.07 GULU-NIMULE'!J28,'03.07 GULU-NIMULE'!J28,'04.07 GULU-NIMULE-24h'!J28,'05.07 GULU-NIMULE-24h'!J28,'06.07 GULU-NIMULE'!J28)</f>
        <v>0.14285714285714285</v>
      </c>
      <c r="K28" s="49">
        <f>AVERAGE('31.07 GULU-NIMULE'!K28,'01.07 GULU-NIMULE'!K28,'02.07 GULU-NIMULE'!K28,'03.07 GULU-NIMULE'!K28,'04.07 GULU-NIMULE-24h'!K28,'05.07 GULU-NIMULE-24h'!K28,'06.07 GULU-NIMULE'!K28)</f>
        <v>0.14285714285714285</v>
      </c>
      <c r="L28" s="49">
        <f>AVERAGE('31.07 GULU-NIMULE'!L28,'01.07 GULU-NIMULE'!L28,'02.07 GULU-NIMULE'!L28,'03.07 GULU-NIMULE'!L28,'04.07 GULU-NIMULE-24h'!L28,'05.07 GULU-NIMULE-24h'!L28,'06.07 GULU-NIMULE'!L28)</f>
        <v>2.4285714285714284</v>
      </c>
      <c r="M28" s="49">
        <f>AVERAGE('31.07 GULU-NIMULE'!M28,'01.07 GULU-NIMULE'!M28,'02.07 GULU-NIMULE'!M28,'03.07 GULU-NIMULE'!M28,'04.07 GULU-NIMULE-24h'!M28,'05.07 GULU-NIMULE-24h'!M28,'06.07 GULU-NIMULE'!M28)</f>
        <v>9.2857142857142865</v>
      </c>
      <c r="N28" s="49">
        <f>AVERAGE('31.07 GULU-NIMULE'!N28,'01.07 GULU-NIMULE'!N28,'02.07 GULU-NIMULE'!N28,'03.07 GULU-NIMULE'!N28,'04.07 GULU-NIMULE-24h'!N28,'05.07 GULU-NIMULE-24h'!N28,'06.07 GULU-NIMULE'!N28)</f>
        <v>0</v>
      </c>
      <c r="O28" s="15">
        <f t="shared" si="0"/>
        <v>5.7142857142857135</v>
      </c>
      <c r="P28" s="15">
        <f t="shared" si="1"/>
        <v>15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AVERAGE('31.07 GULU-NIMULE'!C29,'01.07 GULU-NIMULE'!C29,'02.07 GULU-NIMULE'!C29,'03.07 GULU-NIMULE'!C29,'04.07 GULU-NIMULE-24h'!C29,'05.07 GULU-NIMULE-24h'!C29,'06.07 GULU-NIMULE'!C29)</f>
        <v>0.7142857142857143</v>
      </c>
      <c r="D29" s="49">
        <f>AVERAGE('31.07 GULU-NIMULE'!D29,'01.07 GULU-NIMULE'!D29,'02.07 GULU-NIMULE'!D29,'03.07 GULU-NIMULE'!D29,'04.07 GULU-NIMULE-24h'!D29,'05.07 GULU-NIMULE-24h'!D29,'06.07 GULU-NIMULE'!D29)</f>
        <v>0.7142857142857143</v>
      </c>
      <c r="E29" s="49">
        <f>AVERAGE('31.07 GULU-NIMULE'!E29,'01.07 GULU-NIMULE'!E29,'02.07 GULU-NIMULE'!E29,'03.07 GULU-NIMULE'!E29,'04.07 GULU-NIMULE-24h'!E29,'05.07 GULU-NIMULE-24h'!E29,'06.07 GULU-NIMULE'!E29)</f>
        <v>1.1428571428571428</v>
      </c>
      <c r="F29" s="49">
        <f>AVERAGE('31.07 GULU-NIMULE'!F29,'01.07 GULU-NIMULE'!F29,'02.07 GULU-NIMULE'!F29,'03.07 GULU-NIMULE'!F29,'04.07 GULU-NIMULE-24h'!F29,'05.07 GULU-NIMULE-24h'!F29,'06.07 GULU-NIMULE'!F29)</f>
        <v>0.14285714285714285</v>
      </c>
      <c r="G29" s="49">
        <f>AVERAGE('31.07 GULU-NIMULE'!G29,'01.07 GULU-NIMULE'!G29,'02.07 GULU-NIMULE'!G29,'03.07 GULU-NIMULE'!G29,'04.07 GULU-NIMULE-24h'!G29,'05.07 GULU-NIMULE-24h'!G29,'06.07 GULU-NIMULE'!G29)</f>
        <v>0</v>
      </c>
      <c r="H29" s="49">
        <f>AVERAGE('31.07 GULU-NIMULE'!H29,'01.07 GULU-NIMULE'!H29,'02.07 GULU-NIMULE'!H29,'03.07 GULU-NIMULE'!H29,'04.07 GULU-NIMULE-24h'!H29,'05.07 GULU-NIMULE-24h'!H29,'06.07 GULU-NIMULE'!H29)</f>
        <v>0</v>
      </c>
      <c r="I29" s="49">
        <f>AVERAGE('31.07 GULU-NIMULE'!I29,'01.07 GULU-NIMULE'!I29,'02.07 GULU-NIMULE'!I29,'03.07 GULU-NIMULE'!I29,'04.07 GULU-NIMULE-24h'!I29,'05.07 GULU-NIMULE-24h'!I29,'06.07 GULU-NIMULE'!I29)</f>
        <v>0.14285714285714285</v>
      </c>
      <c r="J29" s="49">
        <f>AVERAGE('31.07 GULU-NIMULE'!J29,'01.07 GULU-NIMULE'!J29,'02.07 GULU-NIMULE'!J29,'03.07 GULU-NIMULE'!J29,'04.07 GULU-NIMULE-24h'!J29,'05.07 GULU-NIMULE-24h'!J29,'06.07 GULU-NIMULE'!J29)</f>
        <v>0</v>
      </c>
      <c r="K29" s="49">
        <f>AVERAGE('31.07 GULU-NIMULE'!K29,'01.07 GULU-NIMULE'!K29,'02.07 GULU-NIMULE'!K29,'03.07 GULU-NIMULE'!K29,'04.07 GULU-NIMULE-24h'!K29,'05.07 GULU-NIMULE-24h'!K29,'06.07 GULU-NIMULE'!K29)</f>
        <v>0</v>
      </c>
      <c r="L29" s="49">
        <f>AVERAGE('31.07 GULU-NIMULE'!L29,'01.07 GULU-NIMULE'!L29,'02.07 GULU-NIMULE'!L29,'03.07 GULU-NIMULE'!L29,'04.07 GULU-NIMULE-24h'!L29,'05.07 GULU-NIMULE-24h'!L29,'06.07 GULU-NIMULE'!L29)</f>
        <v>1.4285714285714286</v>
      </c>
      <c r="M29" s="49">
        <f>AVERAGE('31.07 GULU-NIMULE'!M29,'01.07 GULU-NIMULE'!M29,'02.07 GULU-NIMULE'!M29,'03.07 GULU-NIMULE'!M29,'04.07 GULU-NIMULE-24h'!M29,'05.07 GULU-NIMULE-24h'!M29,'06.07 GULU-NIMULE'!M29)</f>
        <v>7.1428571428571432</v>
      </c>
      <c r="N29" s="49">
        <f>AVERAGE('31.07 GULU-NIMULE'!N29,'01.07 GULU-NIMULE'!N29,'02.07 GULU-NIMULE'!N29,'03.07 GULU-NIMULE'!N29,'04.07 GULU-NIMULE-24h'!N29,'05.07 GULU-NIMULE-24h'!N29,'06.07 GULU-NIMULE'!N29)</f>
        <v>0</v>
      </c>
      <c r="O29" s="15">
        <f t="shared" si="0"/>
        <v>4.2857142857142856</v>
      </c>
      <c r="P29" s="15">
        <f t="shared" si="1"/>
        <v>11.428571428571429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AVERAGE('31.07 GULU-NIMULE'!C30,'01.07 GULU-NIMULE'!C30,'02.07 GULU-NIMULE'!C30,'03.07 GULU-NIMULE'!C30,'04.07 GULU-NIMULE-24h'!C30,'05.07 GULU-NIMULE-24h'!C30,'06.07 GULU-NIMULE'!C30)</f>
        <v>0.42857142857142855</v>
      </c>
      <c r="D30" s="49">
        <f>AVERAGE('31.07 GULU-NIMULE'!D30,'01.07 GULU-NIMULE'!D30,'02.07 GULU-NIMULE'!D30,'03.07 GULU-NIMULE'!D30,'04.07 GULU-NIMULE-24h'!D30,'05.07 GULU-NIMULE-24h'!D30,'06.07 GULU-NIMULE'!D30)</f>
        <v>0.2857142857142857</v>
      </c>
      <c r="E30" s="49">
        <f>AVERAGE('31.07 GULU-NIMULE'!E30,'01.07 GULU-NIMULE'!E30,'02.07 GULU-NIMULE'!E30,'03.07 GULU-NIMULE'!E30,'04.07 GULU-NIMULE-24h'!E30,'05.07 GULU-NIMULE-24h'!E30,'06.07 GULU-NIMULE'!E30)</f>
        <v>0.42857142857142855</v>
      </c>
      <c r="F30" s="49">
        <f>AVERAGE('31.07 GULU-NIMULE'!F30,'01.07 GULU-NIMULE'!F30,'02.07 GULU-NIMULE'!F30,'03.07 GULU-NIMULE'!F30,'04.07 GULU-NIMULE-24h'!F30,'05.07 GULU-NIMULE-24h'!F30,'06.07 GULU-NIMULE'!F30)</f>
        <v>0</v>
      </c>
      <c r="G30" s="49">
        <f>AVERAGE('31.07 GULU-NIMULE'!G30,'01.07 GULU-NIMULE'!G30,'02.07 GULU-NIMULE'!G30,'03.07 GULU-NIMULE'!G30,'04.07 GULU-NIMULE-24h'!G30,'05.07 GULU-NIMULE-24h'!G30,'06.07 GULU-NIMULE'!G30)</f>
        <v>0</v>
      </c>
      <c r="H30" s="49">
        <f>AVERAGE('31.07 GULU-NIMULE'!H30,'01.07 GULU-NIMULE'!H30,'02.07 GULU-NIMULE'!H30,'03.07 GULU-NIMULE'!H30,'04.07 GULU-NIMULE-24h'!H30,'05.07 GULU-NIMULE-24h'!H30,'06.07 GULU-NIMULE'!H30)</f>
        <v>0.14285714285714285</v>
      </c>
      <c r="I30" s="49">
        <f>AVERAGE('31.07 GULU-NIMULE'!I30,'01.07 GULU-NIMULE'!I30,'02.07 GULU-NIMULE'!I30,'03.07 GULU-NIMULE'!I30,'04.07 GULU-NIMULE-24h'!I30,'05.07 GULU-NIMULE-24h'!I30,'06.07 GULU-NIMULE'!I30)</f>
        <v>0.5714285714285714</v>
      </c>
      <c r="J30" s="49">
        <f>AVERAGE('31.07 GULU-NIMULE'!J30,'01.07 GULU-NIMULE'!J30,'02.07 GULU-NIMULE'!J30,'03.07 GULU-NIMULE'!J30,'04.07 GULU-NIMULE-24h'!J30,'05.07 GULU-NIMULE-24h'!J30,'06.07 GULU-NIMULE'!J30)</f>
        <v>0</v>
      </c>
      <c r="K30" s="49">
        <f>AVERAGE('31.07 GULU-NIMULE'!K30,'01.07 GULU-NIMULE'!K30,'02.07 GULU-NIMULE'!K30,'03.07 GULU-NIMULE'!K30,'04.07 GULU-NIMULE-24h'!K30,'05.07 GULU-NIMULE-24h'!K30,'06.07 GULU-NIMULE'!K30)</f>
        <v>0.2857142857142857</v>
      </c>
      <c r="L30" s="49">
        <f>AVERAGE('31.07 GULU-NIMULE'!L30,'01.07 GULU-NIMULE'!L30,'02.07 GULU-NIMULE'!L30,'03.07 GULU-NIMULE'!L30,'04.07 GULU-NIMULE-24h'!L30,'05.07 GULU-NIMULE-24h'!L30,'06.07 GULU-NIMULE'!L30)</f>
        <v>2</v>
      </c>
      <c r="M30" s="49">
        <f>AVERAGE('31.07 GULU-NIMULE'!M30,'01.07 GULU-NIMULE'!M30,'02.07 GULU-NIMULE'!M30,'03.07 GULU-NIMULE'!M30,'04.07 GULU-NIMULE-24h'!M30,'05.07 GULU-NIMULE-24h'!M30,'06.07 GULU-NIMULE'!M30)</f>
        <v>6.1428571428571432</v>
      </c>
      <c r="N30" s="49">
        <f>AVERAGE('31.07 GULU-NIMULE'!N30,'01.07 GULU-NIMULE'!N30,'02.07 GULU-NIMULE'!N30,'03.07 GULU-NIMULE'!N30,'04.07 GULU-NIMULE-24h'!N30,'05.07 GULU-NIMULE-24h'!N30,'06.07 GULU-NIMULE'!N30)</f>
        <v>0</v>
      </c>
      <c r="O30" s="15">
        <f t="shared" si="0"/>
        <v>4.1428571428571423</v>
      </c>
      <c r="P30" s="15">
        <f t="shared" si="1"/>
        <v>10.285714285714285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AVERAGE('31.07 GULU-NIMULE'!C31,'01.07 GULU-NIMULE'!C31,'02.07 GULU-NIMULE'!C31,'03.07 GULU-NIMULE'!C31,'04.07 GULU-NIMULE-24h'!C31,'05.07 GULU-NIMULE-24h'!C31,'06.07 GULU-NIMULE'!C31)</f>
        <v>0.2857142857142857</v>
      </c>
      <c r="D31" s="49">
        <f>AVERAGE('31.07 GULU-NIMULE'!D31,'01.07 GULU-NIMULE'!D31,'02.07 GULU-NIMULE'!D31,'03.07 GULU-NIMULE'!D31,'04.07 GULU-NIMULE-24h'!D31,'05.07 GULU-NIMULE-24h'!D31,'06.07 GULU-NIMULE'!D31)</f>
        <v>0.42857142857142855</v>
      </c>
      <c r="E31" s="49">
        <f>AVERAGE('31.07 GULU-NIMULE'!E31,'01.07 GULU-NIMULE'!E31,'02.07 GULU-NIMULE'!E31,'03.07 GULU-NIMULE'!E31,'04.07 GULU-NIMULE-24h'!E31,'05.07 GULU-NIMULE-24h'!E31,'06.07 GULU-NIMULE'!E31)</f>
        <v>0.2857142857142857</v>
      </c>
      <c r="F31" s="49">
        <f>AVERAGE('31.07 GULU-NIMULE'!F31,'01.07 GULU-NIMULE'!F31,'02.07 GULU-NIMULE'!F31,'03.07 GULU-NIMULE'!F31,'04.07 GULU-NIMULE-24h'!F31,'05.07 GULU-NIMULE-24h'!F31,'06.07 GULU-NIMULE'!F31)</f>
        <v>0</v>
      </c>
      <c r="G31" s="49">
        <f>AVERAGE('31.07 GULU-NIMULE'!G31,'01.07 GULU-NIMULE'!G31,'02.07 GULU-NIMULE'!G31,'03.07 GULU-NIMULE'!G31,'04.07 GULU-NIMULE-24h'!G31,'05.07 GULU-NIMULE-24h'!G31,'06.07 GULU-NIMULE'!G31)</f>
        <v>0</v>
      </c>
      <c r="H31" s="49">
        <f>AVERAGE('31.07 GULU-NIMULE'!H31,'01.07 GULU-NIMULE'!H31,'02.07 GULU-NIMULE'!H31,'03.07 GULU-NIMULE'!H31,'04.07 GULU-NIMULE-24h'!H31,'05.07 GULU-NIMULE-24h'!H31,'06.07 GULU-NIMULE'!H31)</f>
        <v>0</v>
      </c>
      <c r="I31" s="49">
        <f>AVERAGE('31.07 GULU-NIMULE'!I31,'01.07 GULU-NIMULE'!I31,'02.07 GULU-NIMULE'!I31,'03.07 GULU-NIMULE'!I31,'04.07 GULU-NIMULE-24h'!I31,'05.07 GULU-NIMULE-24h'!I31,'06.07 GULU-NIMULE'!I31)</f>
        <v>0.7142857142857143</v>
      </c>
      <c r="J31" s="49">
        <f>AVERAGE('31.07 GULU-NIMULE'!J31,'01.07 GULU-NIMULE'!J31,'02.07 GULU-NIMULE'!J31,'03.07 GULU-NIMULE'!J31,'04.07 GULU-NIMULE-24h'!J31,'05.07 GULU-NIMULE-24h'!J31,'06.07 GULU-NIMULE'!J31)</f>
        <v>0</v>
      </c>
      <c r="K31" s="49">
        <f>AVERAGE('31.07 GULU-NIMULE'!K31,'01.07 GULU-NIMULE'!K31,'02.07 GULU-NIMULE'!K31,'03.07 GULU-NIMULE'!K31,'04.07 GULU-NIMULE-24h'!K31,'05.07 GULU-NIMULE-24h'!K31,'06.07 GULU-NIMULE'!K31)</f>
        <v>0</v>
      </c>
      <c r="L31" s="49">
        <f>AVERAGE('31.07 GULU-NIMULE'!L31,'01.07 GULU-NIMULE'!L31,'02.07 GULU-NIMULE'!L31,'03.07 GULU-NIMULE'!L31,'04.07 GULU-NIMULE-24h'!L31,'05.07 GULU-NIMULE-24h'!L31,'06.07 GULU-NIMULE'!L31)</f>
        <v>1.8571428571428572</v>
      </c>
      <c r="M31" s="49">
        <f>AVERAGE('31.07 GULU-NIMULE'!M31,'01.07 GULU-NIMULE'!M31,'02.07 GULU-NIMULE'!M31,'03.07 GULU-NIMULE'!M31,'04.07 GULU-NIMULE-24h'!M31,'05.07 GULU-NIMULE-24h'!M31,'06.07 GULU-NIMULE'!M31)</f>
        <v>4.8571428571428568</v>
      </c>
      <c r="N31" s="49">
        <f>AVERAGE('31.07 GULU-NIMULE'!N31,'01.07 GULU-NIMULE'!N31,'02.07 GULU-NIMULE'!N31,'03.07 GULU-NIMULE'!N31,'04.07 GULU-NIMULE-24h'!N31,'05.07 GULU-NIMULE-24h'!N31,'06.07 GULU-NIMULE'!N31)</f>
        <v>0</v>
      </c>
      <c r="O31" s="15">
        <f t="shared" si="0"/>
        <v>3.5714285714285712</v>
      </c>
      <c r="P31" s="15">
        <f t="shared" si="1"/>
        <v>8.428571428571427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AVERAGE('31.07 GULU-NIMULE'!C32,'01.07 GULU-NIMULE'!C32,'02.07 GULU-NIMULE'!C32,'03.07 GULU-NIMULE'!C32,'04.07 GULU-NIMULE-24h'!C32,'05.07 GULU-NIMULE-24h'!C32,'06.07 GULU-NIMULE'!C32)</f>
        <v>0.5714285714285714</v>
      </c>
      <c r="D32" s="49">
        <f>AVERAGE('31.07 GULU-NIMULE'!D32,'01.07 GULU-NIMULE'!D32,'02.07 GULU-NIMULE'!D32,'03.07 GULU-NIMULE'!D32,'04.07 GULU-NIMULE-24h'!D32,'05.07 GULU-NIMULE-24h'!D32,'06.07 GULU-NIMULE'!D32)</f>
        <v>0.5714285714285714</v>
      </c>
      <c r="E32" s="49">
        <f>AVERAGE('31.07 GULU-NIMULE'!E32,'01.07 GULU-NIMULE'!E32,'02.07 GULU-NIMULE'!E32,'03.07 GULU-NIMULE'!E32,'04.07 GULU-NIMULE-24h'!E32,'05.07 GULU-NIMULE-24h'!E32,'06.07 GULU-NIMULE'!E32)</f>
        <v>0.5714285714285714</v>
      </c>
      <c r="F32" s="49">
        <f>AVERAGE('31.07 GULU-NIMULE'!F32,'01.07 GULU-NIMULE'!F32,'02.07 GULU-NIMULE'!F32,'03.07 GULU-NIMULE'!F32,'04.07 GULU-NIMULE-24h'!F32,'05.07 GULU-NIMULE-24h'!F32,'06.07 GULU-NIMULE'!F32)</f>
        <v>0.42857142857142855</v>
      </c>
      <c r="G32" s="49">
        <f>AVERAGE('31.07 GULU-NIMULE'!G32,'01.07 GULU-NIMULE'!G32,'02.07 GULU-NIMULE'!G32,'03.07 GULU-NIMULE'!G32,'04.07 GULU-NIMULE-24h'!G32,'05.07 GULU-NIMULE-24h'!G32,'06.07 GULU-NIMULE'!G32)</f>
        <v>0</v>
      </c>
      <c r="H32" s="49">
        <f>AVERAGE('31.07 GULU-NIMULE'!H32,'01.07 GULU-NIMULE'!H32,'02.07 GULU-NIMULE'!H32,'03.07 GULU-NIMULE'!H32,'04.07 GULU-NIMULE-24h'!H32,'05.07 GULU-NIMULE-24h'!H32,'06.07 GULU-NIMULE'!H32)</f>
        <v>0.2857142857142857</v>
      </c>
      <c r="I32" s="49">
        <f>AVERAGE('31.07 GULU-NIMULE'!I32,'01.07 GULU-NIMULE'!I32,'02.07 GULU-NIMULE'!I32,'03.07 GULU-NIMULE'!I32,'04.07 GULU-NIMULE-24h'!I32,'05.07 GULU-NIMULE-24h'!I32,'06.07 GULU-NIMULE'!I32)</f>
        <v>0.5714285714285714</v>
      </c>
      <c r="J32" s="49">
        <f>AVERAGE('31.07 GULU-NIMULE'!J32,'01.07 GULU-NIMULE'!J32,'02.07 GULU-NIMULE'!J32,'03.07 GULU-NIMULE'!J32,'04.07 GULU-NIMULE-24h'!J32,'05.07 GULU-NIMULE-24h'!J32,'06.07 GULU-NIMULE'!J32)</f>
        <v>0</v>
      </c>
      <c r="K32" s="49">
        <f>AVERAGE('31.07 GULU-NIMULE'!K32,'01.07 GULU-NIMULE'!K32,'02.07 GULU-NIMULE'!K32,'03.07 GULU-NIMULE'!K32,'04.07 GULU-NIMULE-24h'!K32,'05.07 GULU-NIMULE-24h'!K32,'06.07 GULU-NIMULE'!K32)</f>
        <v>0.14285714285714285</v>
      </c>
      <c r="L32" s="49">
        <f>AVERAGE('31.07 GULU-NIMULE'!L32,'01.07 GULU-NIMULE'!L32,'02.07 GULU-NIMULE'!L32,'03.07 GULU-NIMULE'!L32,'04.07 GULU-NIMULE-24h'!L32,'05.07 GULU-NIMULE-24h'!L32,'06.07 GULU-NIMULE'!L32)</f>
        <v>2</v>
      </c>
      <c r="M32" s="49">
        <f>AVERAGE('31.07 GULU-NIMULE'!M32,'01.07 GULU-NIMULE'!M32,'02.07 GULU-NIMULE'!M32,'03.07 GULU-NIMULE'!M32,'04.07 GULU-NIMULE-24h'!M32,'05.07 GULU-NIMULE-24h'!M32,'06.07 GULU-NIMULE'!M32)</f>
        <v>7.8571428571428568</v>
      </c>
      <c r="N32" s="49">
        <f>AVERAGE('31.07 GULU-NIMULE'!N32,'01.07 GULU-NIMULE'!N32,'02.07 GULU-NIMULE'!N32,'03.07 GULU-NIMULE'!N32,'04.07 GULU-NIMULE-24h'!N32,'05.07 GULU-NIMULE-24h'!N32,'06.07 GULU-NIMULE'!N32)</f>
        <v>0</v>
      </c>
      <c r="O32" s="15">
        <f t="shared" si="0"/>
        <v>5.1428571428571423</v>
      </c>
      <c r="P32" s="15">
        <f t="shared" si="1"/>
        <v>13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23" t="s">
        <v>60</v>
      </c>
      <c r="C33" s="49">
        <f>AVERAGE('31.07 GULU-NIMULE'!C33,'01.07 GULU-NIMULE'!C33,'02.07 GULU-NIMULE'!C33,'03.07 GULU-NIMULE'!C33,'04.07 GULU-NIMULE-24h'!C33,'05.07 GULU-NIMULE-24h'!C33,'06.07 GULU-NIMULE'!C33)</f>
        <v>0.8571428571428571</v>
      </c>
      <c r="D33" s="49">
        <f>AVERAGE('31.07 GULU-NIMULE'!D33,'01.07 GULU-NIMULE'!D33,'02.07 GULU-NIMULE'!D33,'03.07 GULU-NIMULE'!D33,'04.07 GULU-NIMULE-24h'!D33,'05.07 GULU-NIMULE-24h'!D33,'06.07 GULU-NIMULE'!D33)</f>
        <v>0.2857142857142857</v>
      </c>
      <c r="E33" s="49">
        <f>AVERAGE('31.07 GULU-NIMULE'!E33,'01.07 GULU-NIMULE'!E33,'02.07 GULU-NIMULE'!E33,'03.07 GULU-NIMULE'!E33,'04.07 GULU-NIMULE-24h'!E33,'05.07 GULU-NIMULE-24h'!E33,'06.07 GULU-NIMULE'!E33)</f>
        <v>0.5714285714285714</v>
      </c>
      <c r="F33" s="49">
        <f>AVERAGE('31.07 GULU-NIMULE'!F33,'01.07 GULU-NIMULE'!F33,'02.07 GULU-NIMULE'!F33,'03.07 GULU-NIMULE'!F33,'04.07 GULU-NIMULE-24h'!F33,'05.07 GULU-NIMULE-24h'!F33,'06.07 GULU-NIMULE'!F33)</f>
        <v>0</v>
      </c>
      <c r="G33" s="49">
        <f>AVERAGE('31.07 GULU-NIMULE'!G33,'01.07 GULU-NIMULE'!G33,'02.07 GULU-NIMULE'!G33,'03.07 GULU-NIMULE'!G33,'04.07 GULU-NIMULE-24h'!G33,'05.07 GULU-NIMULE-24h'!G33,'06.07 GULU-NIMULE'!G33)</f>
        <v>0</v>
      </c>
      <c r="H33" s="49">
        <f>AVERAGE('31.07 GULU-NIMULE'!H33,'01.07 GULU-NIMULE'!H33,'02.07 GULU-NIMULE'!H33,'03.07 GULU-NIMULE'!H33,'04.07 GULU-NIMULE-24h'!H33,'05.07 GULU-NIMULE-24h'!H33,'06.07 GULU-NIMULE'!H33)</f>
        <v>0.2857142857142857</v>
      </c>
      <c r="I33" s="49">
        <f>AVERAGE('31.07 GULU-NIMULE'!I33,'01.07 GULU-NIMULE'!I33,'02.07 GULU-NIMULE'!I33,'03.07 GULU-NIMULE'!I33,'04.07 GULU-NIMULE-24h'!I33,'05.07 GULU-NIMULE-24h'!I33,'06.07 GULU-NIMULE'!I33)</f>
        <v>0.42857142857142855</v>
      </c>
      <c r="J33" s="49">
        <f>AVERAGE('31.07 GULU-NIMULE'!J33,'01.07 GULU-NIMULE'!J33,'02.07 GULU-NIMULE'!J33,'03.07 GULU-NIMULE'!J33,'04.07 GULU-NIMULE-24h'!J33,'05.07 GULU-NIMULE-24h'!J33,'06.07 GULU-NIMULE'!J33)</f>
        <v>0.14285714285714285</v>
      </c>
      <c r="K33" s="49">
        <f>AVERAGE('31.07 GULU-NIMULE'!K33,'01.07 GULU-NIMULE'!K33,'02.07 GULU-NIMULE'!K33,'03.07 GULU-NIMULE'!K33,'04.07 GULU-NIMULE-24h'!K33,'05.07 GULU-NIMULE-24h'!K33,'06.07 GULU-NIMULE'!K33)</f>
        <v>0.14285714285714285</v>
      </c>
      <c r="L33" s="49">
        <f>AVERAGE('31.07 GULU-NIMULE'!L33,'01.07 GULU-NIMULE'!L33,'02.07 GULU-NIMULE'!L33,'03.07 GULU-NIMULE'!L33,'04.07 GULU-NIMULE-24h'!L33,'05.07 GULU-NIMULE-24h'!L33,'06.07 GULU-NIMULE'!L33)</f>
        <v>1.4285714285714286</v>
      </c>
      <c r="M33" s="49">
        <f>AVERAGE('31.07 GULU-NIMULE'!M33,'01.07 GULU-NIMULE'!M33,'02.07 GULU-NIMULE'!M33,'03.07 GULU-NIMULE'!M33,'04.07 GULU-NIMULE-24h'!M33,'05.07 GULU-NIMULE-24h'!M33,'06.07 GULU-NIMULE'!M33)</f>
        <v>9.7142857142857135</v>
      </c>
      <c r="N33" s="49">
        <f>AVERAGE('31.07 GULU-NIMULE'!N33,'01.07 GULU-NIMULE'!N33,'02.07 GULU-NIMULE'!N33,'03.07 GULU-NIMULE'!N33,'04.07 GULU-NIMULE-24h'!N33,'05.07 GULU-NIMULE-24h'!N33,'06.07 GULU-NIMULE'!N33)</f>
        <v>0</v>
      </c>
      <c r="O33" s="15">
        <f t="shared" si="0"/>
        <v>4.1428571428571423</v>
      </c>
      <c r="P33" s="15">
        <f t="shared" si="1"/>
        <v>13.857142857142856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24" t="s">
        <v>61</v>
      </c>
      <c r="C34" s="49">
        <f>AVERAGE('31.07 GULU-NIMULE'!C34,'01.07 GULU-NIMULE'!C34,'02.07 GULU-NIMULE'!C34,'03.07 GULU-NIMULE'!C34,'04.07 GULU-NIMULE-24h'!C34,'05.07 GULU-NIMULE-24h'!C34,'06.07 GULU-NIMULE'!C34)</f>
        <v>1.1428571428571428</v>
      </c>
      <c r="D34" s="49">
        <f>AVERAGE('31.07 GULU-NIMULE'!D34,'01.07 GULU-NIMULE'!D34,'02.07 GULU-NIMULE'!D34,'03.07 GULU-NIMULE'!D34,'04.07 GULU-NIMULE-24h'!D34,'05.07 GULU-NIMULE-24h'!D34,'06.07 GULU-NIMULE'!D34)</f>
        <v>0.2857142857142857</v>
      </c>
      <c r="E34" s="49">
        <f>AVERAGE('31.07 GULU-NIMULE'!E34,'01.07 GULU-NIMULE'!E34,'02.07 GULU-NIMULE'!E34,'03.07 GULU-NIMULE'!E34,'04.07 GULU-NIMULE-24h'!E34,'05.07 GULU-NIMULE-24h'!E34,'06.07 GULU-NIMULE'!E34)</f>
        <v>1.1428571428571428</v>
      </c>
      <c r="F34" s="49">
        <f>AVERAGE('31.07 GULU-NIMULE'!F34,'01.07 GULU-NIMULE'!F34,'02.07 GULU-NIMULE'!F34,'03.07 GULU-NIMULE'!F34,'04.07 GULU-NIMULE-24h'!F34,'05.07 GULU-NIMULE-24h'!F34,'06.07 GULU-NIMULE'!F34)</f>
        <v>0</v>
      </c>
      <c r="G34" s="49">
        <f>AVERAGE('31.07 GULU-NIMULE'!G34,'01.07 GULU-NIMULE'!G34,'02.07 GULU-NIMULE'!G34,'03.07 GULU-NIMULE'!G34,'04.07 GULU-NIMULE-24h'!G34,'05.07 GULU-NIMULE-24h'!G34,'06.07 GULU-NIMULE'!G34)</f>
        <v>0</v>
      </c>
      <c r="H34" s="49">
        <f>AVERAGE('31.07 GULU-NIMULE'!H34,'01.07 GULU-NIMULE'!H34,'02.07 GULU-NIMULE'!H34,'03.07 GULU-NIMULE'!H34,'04.07 GULU-NIMULE-24h'!H34,'05.07 GULU-NIMULE-24h'!H34,'06.07 GULU-NIMULE'!H34)</f>
        <v>0.14285714285714285</v>
      </c>
      <c r="I34" s="49">
        <f>AVERAGE('31.07 GULU-NIMULE'!I34,'01.07 GULU-NIMULE'!I34,'02.07 GULU-NIMULE'!I34,'03.07 GULU-NIMULE'!I34,'04.07 GULU-NIMULE-24h'!I34,'05.07 GULU-NIMULE-24h'!I34,'06.07 GULU-NIMULE'!I34)</f>
        <v>0.42857142857142855</v>
      </c>
      <c r="J34" s="49">
        <f>AVERAGE('31.07 GULU-NIMULE'!J34,'01.07 GULU-NIMULE'!J34,'02.07 GULU-NIMULE'!J34,'03.07 GULU-NIMULE'!J34,'04.07 GULU-NIMULE-24h'!J34,'05.07 GULU-NIMULE-24h'!J34,'06.07 GULU-NIMULE'!J34)</f>
        <v>0.2857142857142857</v>
      </c>
      <c r="K34" s="49">
        <f>AVERAGE('31.07 GULU-NIMULE'!K34,'01.07 GULU-NIMULE'!K34,'02.07 GULU-NIMULE'!K34,'03.07 GULU-NIMULE'!K34,'04.07 GULU-NIMULE-24h'!K34,'05.07 GULU-NIMULE-24h'!K34,'06.07 GULU-NIMULE'!K34)</f>
        <v>0</v>
      </c>
      <c r="L34" s="49">
        <f>AVERAGE('31.07 GULU-NIMULE'!L34,'01.07 GULU-NIMULE'!L34,'02.07 GULU-NIMULE'!L34,'03.07 GULU-NIMULE'!L34,'04.07 GULU-NIMULE-24h'!L34,'05.07 GULU-NIMULE-24h'!L34,'06.07 GULU-NIMULE'!L34)</f>
        <v>1.5714285714285714</v>
      </c>
      <c r="M34" s="49">
        <f>AVERAGE('31.07 GULU-NIMULE'!M34,'01.07 GULU-NIMULE'!M34,'02.07 GULU-NIMULE'!M34,'03.07 GULU-NIMULE'!M34,'04.07 GULU-NIMULE-24h'!M34,'05.07 GULU-NIMULE-24h'!M34,'06.07 GULU-NIMULE'!M34)</f>
        <v>6.5714285714285712</v>
      </c>
      <c r="N34" s="49">
        <f>AVERAGE('31.07 GULU-NIMULE'!N34,'01.07 GULU-NIMULE'!N34,'02.07 GULU-NIMULE'!N34,'03.07 GULU-NIMULE'!N34,'04.07 GULU-NIMULE-24h'!N34,'05.07 GULU-NIMULE-24h'!N34,'06.07 GULU-NIMULE'!N34)</f>
        <v>0.14285714285714285</v>
      </c>
      <c r="O34" s="15">
        <f t="shared" si="0"/>
        <v>5.1428571428571423</v>
      </c>
      <c r="P34" s="15">
        <f t="shared" si="1"/>
        <v>11.714285714285712</v>
      </c>
      <c r="R34" s="51" t="s">
        <v>90</v>
      </c>
      <c r="S34" s="52">
        <f t="shared" ref="S34:AF34" si="26">MAX(S10:S12)</f>
        <v>3</v>
      </c>
      <c r="T34" s="52">
        <f t="shared" si="26"/>
        <v>1.8571428571428572</v>
      </c>
      <c r="U34" s="52">
        <f t="shared" si="26"/>
        <v>2.1428571428571428</v>
      </c>
      <c r="V34" s="52">
        <f t="shared" si="26"/>
        <v>0.2857142857142857</v>
      </c>
      <c r="W34" s="52">
        <f t="shared" si="26"/>
        <v>0.14285714285714285</v>
      </c>
      <c r="X34" s="52">
        <f t="shared" si="26"/>
        <v>1</v>
      </c>
      <c r="Y34" s="52">
        <f t="shared" si="26"/>
        <v>3</v>
      </c>
      <c r="Z34" s="52">
        <f t="shared" si="26"/>
        <v>1.2857142857142856</v>
      </c>
      <c r="AA34" s="52">
        <f t="shared" si="26"/>
        <v>1.9999999999999998</v>
      </c>
      <c r="AB34" s="52">
        <f t="shared" si="26"/>
        <v>10.571428571428573</v>
      </c>
      <c r="AC34" s="52">
        <f t="shared" si="26"/>
        <v>41.857142857142854</v>
      </c>
      <c r="AD34" s="52">
        <f t="shared" si="26"/>
        <v>0</v>
      </c>
      <c r="AE34" s="40">
        <f t="shared" si="26"/>
        <v>21.285714285714285</v>
      </c>
      <c r="AF34" s="40">
        <f t="shared" si="26"/>
        <v>57.571428571428569</v>
      </c>
    </row>
    <row r="35" spans="2:32" ht="23.1" customHeight="1" x14ac:dyDescent="0.25">
      <c r="B35" s="24" t="s">
        <v>62</v>
      </c>
      <c r="C35" s="49">
        <f>AVERAGE('31.07 GULU-NIMULE'!C35,'01.07 GULU-NIMULE'!C35,'02.07 GULU-NIMULE'!C35,'03.07 GULU-NIMULE'!C35,'04.07 GULU-NIMULE-24h'!C35,'05.07 GULU-NIMULE-24h'!C35,'06.07 GULU-NIMULE'!C35)</f>
        <v>1</v>
      </c>
      <c r="D35" s="49">
        <f>AVERAGE('31.07 GULU-NIMULE'!D35,'01.07 GULU-NIMULE'!D35,'02.07 GULU-NIMULE'!D35,'03.07 GULU-NIMULE'!D35,'04.07 GULU-NIMULE-24h'!D35,'05.07 GULU-NIMULE-24h'!D35,'06.07 GULU-NIMULE'!D35)</f>
        <v>0.2857142857142857</v>
      </c>
      <c r="E35" s="49">
        <f>AVERAGE('31.07 GULU-NIMULE'!E35,'01.07 GULU-NIMULE'!E35,'02.07 GULU-NIMULE'!E35,'03.07 GULU-NIMULE'!E35,'04.07 GULU-NIMULE-24h'!E35,'05.07 GULU-NIMULE-24h'!E35,'06.07 GULU-NIMULE'!E35)</f>
        <v>1.1428571428571428</v>
      </c>
      <c r="F35" s="49">
        <f>AVERAGE('31.07 GULU-NIMULE'!F35,'01.07 GULU-NIMULE'!F35,'02.07 GULU-NIMULE'!F35,'03.07 GULU-NIMULE'!F35,'04.07 GULU-NIMULE-24h'!F35,'05.07 GULU-NIMULE-24h'!F35,'06.07 GULU-NIMULE'!F35)</f>
        <v>0</v>
      </c>
      <c r="G35" s="49">
        <f>AVERAGE('31.07 GULU-NIMULE'!G35,'01.07 GULU-NIMULE'!G35,'02.07 GULU-NIMULE'!G35,'03.07 GULU-NIMULE'!G35,'04.07 GULU-NIMULE-24h'!G35,'05.07 GULU-NIMULE-24h'!G35,'06.07 GULU-NIMULE'!G35)</f>
        <v>0.14285714285714285</v>
      </c>
      <c r="H35" s="49">
        <f>AVERAGE('31.07 GULU-NIMULE'!H35,'01.07 GULU-NIMULE'!H35,'02.07 GULU-NIMULE'!H35,'03.07 GULU-NIMULE'!H35,'04.07 GULU-NIMULE-24h'!H35,'05.07 GULU-NIMULE-24h'!H35,'06.07 GULU-NIMULE'!H35)</f>
        <v>0</v>
      </c>
      <c r="I35" s="49">
        <f>AVERAGE('31.07 GULU-NIMULE'!I35,'01.07 GULU-NIMULE'!I35,'02.07 GULU-NIMULE'!I35,'03.07 GULU-NIMULE'!I35,'04.07 GULU-NIMULE-24h'!I35,'05.07 GULU-NIMULE-24h'!I35,'06.07 GULU-NIMULE'!I35)</f>
        <v>0.2857142857142857</v>
      </c>
      <c r="J35" s="49">
        <f>AVERAGE('31.07 GULU-NIMULE'!J35,'01.07 GULU-NIMULE'!J35,'02.07 GULU-NIMULE'!J35,'03.07 GULU-NIMULE'!J35,'04.07 GULU-NIMULE-24h'!J35,'05.07 GULU-NIMULE-24h'!J35,'06.07 GULU-NIMULE'!J35)</f>
        <v>0</v>
      </c>
      <c r="K35" s="49">
        <f>AVERAGE('31.07 GULU-NIMULE'!K35,'01.07 GULU-NIMULE'!K35,'02.07 GULU-NIMULE'!K35,'03.07 GULU-NIMULE'!K35,'04.07 GULU-NIMULE-24h'!K35,'05.07 GULU-NIMULE-24h'!K35,'06.07 GULU-NIMULE'!K35)</f>
        <v>0.14285714285714285</v>
      </c>
      <c r="L35" s="49">
        <f>AVERAGE('31.07 GULU-NIMULE'!L35,'01.07 GULU-NIMULE'!L35,'02.07 GULU-NIMULE'!L35,'03.07 GULU-NIMULE'!L35,'04.07 GULU-NIMULE-24h'!L35,'05.07 GULU-NIMULE-24h'!L35,'06.07 GULU-NIMULE'!L35)</f>
        <v>1.4285714285714286</v>
      </c>
      <c r="M35" s="49">
        <f>AVERAGE('31.07 GULU-NIMULE'!M35,'01.07 GULU-NIMULE'!M35,'02.07 GULU-NIMULE'!M35,'03.07 GULU-NIMULE'!M35,'04.07 GULU-NIMULE-24h'!M35,'05.07 GULU-NIMULE-24h'!M35,'06.07 GULU-NIMULE'!M35)</f>
        <v>6</v>
      </c>
      <c r="N35" s="49">
        <f>AVERAGE('31.07 GULU-NIMULE'!N35,'01.07 GULU-NIMULE'!N35,'02.07 GULU-NIMULE'!N35,'03.07 GULU-NIMULE'!N35,'04.07 GULU-NIMULE-24h'!N35,'05.07 GULU-NIMULE-24h'!N35,'06.07 GULU-NIMULE'!N35)</f>
        <v>0</v>
      </c>
      <c r="O35" s="15">
        <f t="shared" si="0"/>
        <v>4.4285714285714279</v>
      </c>
      <c r="P35" s="15">
        <f t="shared" si="1"/>
        <v>10.428571428571427</v>
      </c>
      <c r="R35" s="51" t="s">
        <v>91</v>
      </c>
      <c r="S35" s="52">
        <f t="shared" ref="S35:AF35" si="27">MAX(S13:S18)</f>
        <v>4.4285714285714288</v>
      </c>
      <c r="T35" s="52">
        <f t="shared" si="27"/>
        <v>2.2857142857142856</v>
      </c>
      <c r="U35" s="52">
        <f t="shared" si="27"/>
        <v>4.5714285714285712</v>
      </c>
      <c r="V35" s="52">
        <f t="shared" si="27"/>
        <v>0.5714285714285714</v>
      </c>
      <c r="W35" s="52">
        <f t="shared" si="27"/>
        <v>0.14285714285714285</v>
      </c>
      <c r="X35" s="52">
        <f t="shared" si="27"/>
        <v>1.7142857142857142</v>
      </c>
      <c r="Y35" s="52">
        <f t="shared" si="27"/>
        <v>2.2857142857142856</v>
      </c>
      <c r="Z35" s="52">
        <f t="shared" si="27"/>
        <v>0.7142857142857143</v>
      </c>
      <c r="AA35" s="52">
        <f t="shared" si="27"/>
        <v>0.5714285714285714</v>
      </c>
      <c r="AB35" s="52">
        <f t="shared" si="27"/>
        <v>11.142857142857144</v>
      </c>
      <c r="AC35" s="52">
        <f t="shared" si="27"/>
        <v>36.142857142857139</v>
      </c>
      <c r="AD35" s="52">
        <f t="shared" si="27"/>
        <v>0.14285714285714285</v>
      </c>
      <c r="AE35" s="40">
        <f t="shared" si="27"/>
        <v>23.142857142857142</v>
      </c>
      <c r="AF35" s="40">
        <f t="shared" si="27"/>
        <v>59.285714285714285</v>
      </c>
    </row>
    <row r="36" spans="2:32" ht="23.1" customHeight="1" x14ac:dyDescent="0.25">
      <c r="B36" s="24" t="s">
        <v>63</v>
      </c>
      <c r="C36" s="49">
        <f>AVERAGE('31.07 GULU-NIMULE'!C36,'01.07 GULU-NIMULE'!C36,'02.07 GULU-NIMULE'!C36,'03.07 GULU-NIMULE'!C36,'04.07 GULU-NIMULE-24h'!C36,'05.07 GULU-NIMULE-24h'!C36,'06.07 GULU-NIMULE'!C36)</f>
        <v>0.5714285714285714</v>
      </c>
      <c r="D36" s="49">
        <f>AVERAGE('31.07 GULU-NIMULE'!D36,'01.07 GULU-NIMULE'!D36,'02.07 GULU-NIMULE'!D36,'03.07 GULU-NIMULE'!D36,'04.07 GULU-NIMULE-24h'!D36,'05.07 GULU-NIMULE-24h'!D36,'06.07 GULU-NIMULE'!D36)</f>
        <v>0.2857142857142857</v>
      </c>
      <c r="E36" s="49">
        <f>AVERAGE('31.07 GULU-NIMULE'!E36,'01.07 GULU-NIMULE'!E36,'02.07 GULU-NIMULE'!E36,'03.07 GULU-NIMULE'!E36,'04.07 GULU-NIMULE-24h'!E36,'05.07 GULU-NIMULE-24h'!E36,'06.07 GULU-NIMULE'!E36)</f>
        <v>1.2857142857142858</v>
      </c>
      <c r="F36" s="49">
        <f>AVERAGE('31.07 GULU-NIMULE'!F36,'01.07 GULU-NIMULE'!F36,'02.07 GULU-NIMULE'!F36,'03.07 GULU-NIMULE'!F36,'04.07 GULU-NIMULE-24h'!F36,'05.07 GULU-NIMULE-24h'!F36,'06.07 GULU-NIMULE'!F36)</f>
        <v>0.14285714285714285</v>
      </c>
      <c r="G36" s="49">
        <f>AVERAGE('31.07 GULU-NIMULE'!G36,'01.07 GULU-NIMULE'!G36,'02.07 GULU-NIMULE'!G36,'03.07 GULU-NIMULE'!G36,'04.07 GULU-NIMULE-24h'!G36,'05.07 GULU-NIMULE-24h'!G36,'06.07 GULU-NIMULE'!G36)</f>
        <v>0</v>
      </c>
      <c r="H36" s="49">
        <f>AVERAGE('31.07 GULU-NIMULE'!H36,'01.07 GULU-NIMULE'!H36,'02.07 GULU-NIMULE'!H36,'03.07 GULU-NIMULE'!H36,'04.07 GULU-NIMULE-24h'!H36,'05.07 GULU-NIMULE-24h'!H36,'06.07 GULU-NIMULE'!H36)</f>
        <v>0.14285714285714285</v>
      </c>
      <c r="I36" s="49">
        <f>AVERAGE('31.07 GULU-NIMULE'!I36,'01.07 GULU-NIMULE'!I36,'02.07 GULU-NIMULE'!I36,'03.07 GULU-NIMULE'!I36,'04.07 GULU-NIMULE-24h'!I36,'05.07 GULU-NIMULE-24h'!I36,'06.07 GULU-NIMULE'!I36)</f>
        <v>0.2857142857142857</v>
      </c>
      <c r="J36" s="49">
        <f>AVERAGE('31.07 GULU-NIMULE'!J36,'01.07 GULU-NIMULE'!J36,'02.07 GULU-NIMULE'!J36,'03.07 GULU-NIMULE'!J36,'04.07 GULU-NIMULE-24h'!J36,'05.07 GULU-NIMULE-24h'!J36,'06.07 GULU-NIMULE'!J36)</f>
        <v>0.14285714285714285</v>
      </c>
      <c r="K36" s="49">
        <f>AVERAGE('31.07 GULU-NIMULE'!K36,'01.07 GULU-NIMULE'!K36,'02.07 GULU-NIMULE'!K36,'03.07 GULU-NIMULE'!K36,'04.07 GULU-NIMULE-24h'!K36,'05.07 GULU-NIMULE-24h'!K36,'06.07 GULU-NIMULE'!K36)</f>
        <v>0.2857142857142857</v>
      </c>
      <c r="L36" s="49">
        <f>AVERAGE('31.07 GULU-NIMULE'!L36,'01.07 GULU-NIMULE'!L36,'02.07 GULU-NIMULE'!L36,'03.07 GULU-NIMULE'!L36,'04.07 GULU-NIMULE-24h'!L36,'05.07 GULU-NIMULE-24h'!L36,'06.07 GULU-NIMULE'!L36)</f>
        <v>2.4285714285714284</v>
      </c>
      <c r="M36" s="49">
        <f>AVERAGE('31.07 GULU-NIMULE'!M36,'01.07 GULU-NIMULE'!M36,'02.07 GULU-NIMULE'!M36,'03.07 GULU-NIMULE'!M36,'04.07 GULU-NIMULE-24h'!M36,'05.07 GULU-NIMULE-24h'!M36,'06.07 GULU-NIMULE'!M36)</f>
        <v>3</v>
      </c>
      <c r="N36" s="49">
        <f>AVERAGE('31.07 GULU-NIMULE'!N36,'01.07 GULU-NIMULE'!N36,'02.07 GULU-NIMULE'!N36,'03.07 GULU-NIMULE'!N36,'04.07 GULU-NIMULE-24h'!N36,'05.07 GULU-NIMULE-24h'!N36,'06.07 GULU-NIMULE'!N36)</f>
        <v>0</v>
      </c>
      <c r="O36" s="15">
        <f t="shared" si="0"/>
        <v>5.5714285714285712</v>
      </c>
      <c r="P36" s="15">
        <f t="shared" si="1"/>
        <v>8.5714285714285712</v>
      </c>
      <c r="R36" s="51" t="s">
        <v>92</v>
      </c>
      <c r="S36" s="52">
        <f t="shared" ref="S36:AF36" si="28">MAX(S19:S21)</f>
        <v>5.1428571428571423</v>
      </c>
      <c r="T36" s="52">
        <f t="shared" si="28"/>
        <v>2.4285714285714288</v>
      </c>
      <c r="U36" s="52">
        <f t="shared" si="28"/>
        <v>4</v>
      </c>
      <c r="V36" s="52">
        <f t="shared" si="28"/>
        <v>1.1428571428571428</v>
      </c>
      <c r="W36" s="52">
        <f t="shared" si="28"/>
        <v>0.14285714285714285</v>
      </c>
      <c r="X36" s="52">
        <f t="shared" si="28"/>
        <v>2.2857142857142856</v>
      </c>
      <c r="Y36" s="52">
        <f t="shared" si="28"/>
        <v>3.1428571428571428</v>
      </c>
      <c r="Z36" s="52">
        <f t="shared" si="28"/>
        <v>0.73809523809523814</v>
      </c>
      <c r="AA36" s="52">
        <f t="shared" si="28"/>
        <v>0.14285714285714285</v>
      </c>
      <c r="AB36" s="52">
        <f t="shared" si="28"/>
        <v>6.8571428571428568</v>
      </c>
      <c r="AC36" s="52">
        <f t="shared" si="28"/>
        <v>43</v>
      </c>
      <c r="AD36" s="52">
        <f t="shared" si="28"/>
        <v>0</v>
      </c>
      <c r="AE36" s="40">
        <f t="shared" si="28"/>
        <v>20.571428571428569</v>
      </c>
      <c r="AF36" s="40">
        <f t="shared" si="28"/>
        <v>62.714285714285708</v>
      </c>
    </row>
    <row r="37" spans="2:32" ht="23.1" customHeight="1" x14ac:dyDescent="0.25">
      <c r="B37" s="23" t="s">
        <v>64</v>
      </c>
      <c r="C37" s="49">
        <f>AVERAGE('31.07 GULU-NIMULE'!C37,'01.07 GULU-NIMULE'!C37,'02.07 GULU-NIMULE'!C37,'03.07 GULU-NIMULE'!C37,'04.07 GULU-NIMULE-24h'!C37,'05.07 GULU-NIMULE-24h'!C37,'06.07 GULU-NIMULE'!C37)</f>
        <v>0.5714285714285714</v>
      </c>
      <c r="D37" s="49">
        <f>AVERAGE('31.07 GULU-NIMULE'!D37,'01.07 GULU-NIMULE'!D37,'02.07 GULU-NIMULE'!D37,'03.07 GULU-NIMULE'!D37,'04.07 GULU-NIMULE-24h'!D37,'05.07 GULU-NIMULE-24h'!D37,'06.07 GULU-NIMULE'!D37)</f>
        <v>0.2857142857142857</v>
      </c>
      <c r="E37" s="49">
        <f>AVERAGE('31.07 GULU-NIMULE'!E37,'01.07 GULU-NIMULE'!E37,'02.07 GULU-NIMULE'!E37,'03.07 GULU-NIMULE'!E37,'04.07 GULU-NIMULE-24h'!E37,'05.07 GULU-NIMULE-24h'!E37,'06.07 GULU-NIMULE'!E37)</f>
        <v>1</v>
      </c>
      <c r="F37" s="49">
        <f>AVERAGE('31.07 GULU-NIMULE'!F37,'01.07 GULU-NIMULE'!F37,'02.07 GULU-NIMULE'!F37,'03.07 GULU-NIMULE'!F37,'04.07 GULU-NIMULE-24h'!F37,'05.07 GULU-NIMULE-24h'!F37,'06.07 GULU-NIMULE'!F37)</f>
        <v>0.42857142857142855</v>
      </c>
      <c r="G37" s="49">
        <f>AVERAGE('31.07 GULU-NIMULE'!G37,'01.07 GULU-NIMULE'!G37,'02.07 GULU-NIMULE'!G37,'03.07 GULU-NIMULE'!G37,'04.07 GULU-NIMULE-24h'!G37,'05.07 GULU-NIMULE-24h'!G37,'06.07 GULU-NIMULE'!G37)</f>
        <v>0</v>
      </c>
      <c r="H37" s="49">
        <f>AVERAGE('31.07 GULU-NIMULE'!H37,'01.07 GULU-NIMULE'!H37,'02.07 GULU-NIMULE'!H37,'03.07 GULU-NIMULE'!H37,'04.07 GULU-NIMULE-24h'!H37,'05.07 GULU-NIMULE-24h'!H37,'06.07 GULU-NIMULE'!H37)</f>
        <v>0</v>
      </c>
      <c r="I37" s="49">
        <f>AVERAGE('31.07 GULU-NIMULE'!I37,'01.07 GULU-NIMULE'!I37,'02.07 GULU-NIMULE'!I37,'03.07 GULU-NIMULE'!I37,'04.07 GULU-NIMULE-24h'!I37,'05.07 GULU-NIMULE-24h'!I37,'06.07 GULU-NIMULE'!I37)</f>
        <v>0.42857142857142855</v>
      </c>
      <c r="J37" s="49">
        <f>AVERAGE('31.07 GULU-NIMULE'!J37,'01.07 GULU-NIMULE'!J37,'02.07 GULU-NIMULE'!J37,'03.07 GULU-NIMULE'!J37,'04.07 GULU-NIMULE-24h'!J37,'05.07 GULU-NIMULE-24h'!J37,'06.07 GULU-NIMULE'!J37)</f>
        <v>0</v>
      </c>
      <c r="K37" s="49">
        <f>AVERAGE('31.07 GULU-NIMULE'!K37,'01.07 GULU-NIMULE'!K37,'02.07 GULU-NIMULE'!K37,'03.07 GULU-NIMULE'!K37,'04.07 GULU-NIMULE-24h'!K37,'05.07 GULU-NIMULE-24h'!K37,'06.07 GULU-NIMULE'!K37)</f>
        <v>0.14285714285714285</v>
      </c>
      <c r="L37" s="49">
        <f>AVERAGE('31.07 GULU-NIMULE'!L37,'01.07 GULU-NIMULE'!L37,'02.07 GULU-NIMULE'!L37,'03.07 GULU-NIMULE'!L37,'04.07 GULU-NIMULE-24h'!L37,'05.07 GULU-NIMULE-24h'!L37,'06.07 GULU-NIMULE'!L37)</f>
        <v>1.1428571428571428</v>
      </c>
      <c r="M37" s="49">
        <f>AVERAGE('31.07 GULU-NIMULE'!M37,'01.07 GULU-NIMULE'!M37,'02.07 GULU-NIMULE'!M37,'03.07 GULU-NIMULE'!M37,'04.07 GULU-NIMULE-24h'!M37,'05.07 GULU-NIMULE-24h'!M37,'06.07 GULU-NIMULE'!M37)</f>
        <v>6.2857142857142856</v>
      </c>
      <c r="N37" s="49">
        <f>AVERAGE('31.07 GULU-NIMULE'!N37,'01.07 GULU-NIMULE'!N37,'02.07 GULU-NIMULE'!N37,'03.07 GULU-NIMULE'!N37,'04.07 GULU-NIMULE-24h'!N37,'05.07 GULU-NIMULE-24h'!N37,'06.07 GULU-NIMULE'!N37)</f>
        <v>0</v>
      </c>
      <c r="O37" s="15">
        <f t="shared" si="0"/>
        <v>3.9999999999999996</v>
      </c>
      <c r="P37" s="15">
        <f t="shared" si="1"/>
        <v>10.285714285714285</v>
      </c>
      <c r="R37" s="37" t="s">
        <v>85</v>
      </c>
      <c r="S37" s="53">
        <f t="shared" ref="S37:AF37" si="29">SUM(S10:S12)</f>
        <v>7.4285714285714288</v>
      </c>
      <c r="T37" s="54">
        <f t="shared" si="29"/>
        <v>4.7142857142857144</v>
      </c>
      <c r="U37" s="54">
        <f t="shared" si="29"/>
        <v>5</v>
      </c>
      <c r="V37" s="54">
        <f t="shared" si="29"/>
        <v>0.8571428571428571</v>
      </c>
      <c r="W37" s="54">
        <f t="shared" si="29"/>
        <v>0.14285714285714285</v>
      </c>
      <c r="X37" s="54">
        <f t="shared" si="29"/>
        <v>1.5714285714285714</v>
      </c>
      <c r="Y37" s="54">
        <f t="shared" si="29"/>
        <v>6.4285714285714288</v>
      </c>
      <c r="Z37" s="54">
        <f t="shared" si="29"/>
        <v>1.857142857142857</v>
      </c>
      <c r="AA37" s="54">
        <f t="shared" si="29"/>
        <v>3.5714285714285712</v>
      </c>
      <c r="AB37" s="54">
        <f t="shared" si="29"/>
        <v>19.142857142857146</v>
      </c>
      <c r="AC37" s="54">
        <f t="shared" si="29"/>
        <v>112.28571428571429</v>
      </c>
      <c r="AD37" s="54">
        <f t="shared" si="29"/>
        <v>0</v>
      </c>
      <c r="AE37" s="55">
        <f t="shared" si="29"/>
        <v>50.714285714285715</v>
      </c>
      <c r="AF37" s="55">
        <f t="shared" si="29"/>
        <v>163</v>
      </c>
    </row>
    <row r="38" spans="2:32" ht="23.1" customHeight="1" x14ac:dyDescent="0.25">
      <c r="B38" s="24" t="s">
        <v>65</v>
      </c>
      <c r="C38" s="49">
        <f>AVERAGE('31.07 GULU-NIMULE'!C38,'01.07 GULU-NIMULE'!C38,'02.07 GULU-NIMULE'!C38,'03.07 GULU-NIMULE'!C38,'04.07 GULU-NIMULE-24h'!C38,'05.07 GULU-NIMULE-24h'!C38,'06.07 GULU-NIMULE'!C38)</f>
        <v>0.7142857142857143</v>
      </c>
      <c r="D38" s="49">
        <f>AVERAGE('31.07 GULU-NIMULE'!D38,'01.07 GULU-NIMULE'!D38,'02.07 GULU-NIMULE'!D38,'03.07 GULU-NIMULE'!D38,'04.07 GULU-NIMULE-24h'!D38,'05.07 GULU-NIMULE-24h'!D38,'06.07 GULU-NIMULE'!D38)</f>
        <v>0.14285714285714285</v>
      </c>
      <c r="E38" s="49">
        <f>AVERAGE('31.07 GULU-NIMULE'!E38,'01.07 GULU-NIMULE'!E38,'02.07 GULU-NIMULE'!E38,'03.07 GULU-NIMULE'!E38,'04.07 GULU-NIMULE-24h'!E38,'05.07 GULU-NIMULE-24h'!E38,'06.07 GULU-NIMULE'!E38)</f>
        <v>0.8571428571428571</v>
      </c>
      <c r="F38" s="49">
        <f>AVERAGE('31.07 GULU-NIMULE'!F38,'01.07 GULU-NIMULE'!F38,'02.07 GULU-NIMULE'!F38,'03.07 GULU-NIMULE'!F38,'04.07 GULU-NIMULE-24h'!F38,'05.07 GULU-NIMULE-24h'!F38,'06.07 GULU-NIMULE'!F38)</f>
        <v>0.2857142857142857</v>
      </c>
      <c r="G38" s="49">
        <f>AVERAGE('31.07 GULU-NIMULE'!G38,'01.07 GULU-NIMULE'!G38,'02.07 GULU-NIMULE'!G38,'03.07 GULU-NIMULE'!G38,'04.07 GULU-NIMULE-24h'!G38,'05.07 GULU-NIMULE-24h'!G38,'06.07 GULU-NIMULE'!G38)</f>
        <v>0</v>
      </c>
      <c r="H38" s="49">
        <f>AVERAGE('31.07 GULU-NIMULE'!H38,'01.07 GULU-NIMULE'!H38,'02.07 GULU-NIMULE'!H38,'03.07 GULU-NIMULE'!H38,'04.07 GULU-NIMULE-24h'!H38,'05.07 GULU-NIMULE-24h'!H38,'06.07 GULU-NIMULE'!H38)</f>
        <v>0.14285714285714285</v>
      </c>
      <c r="I38" s="49">
        <f>AVERAGE('31.07 GULU-NIMULE'!I38,'01.07 GULU-NIMULE'!I38,'02.07 GULU-NIMULE'!I38,'03.07 GULU-NIMULE'!I38,'04.07 GULU-NIMULE-24h'!I38,'05.07 GULU-NIMULE-24h'!I38,'06.07 GULU-NIMULE'!I38)</f>
        <v>0</v>
      </c>
      <c r="J38" s="49">
        <f>AVERAGE('31.07 GULU-NIMULE'!J38,'01.07 GULU-NIMULE'!J38,'02.07 GULU-NIMULE'!J38,'03.07 GULU-NIMULE'!J38,'04.07 GULU-NIMULE-24h'!J38,'05.07 GULU-NIMULE-24h'!J38,'06.07 GULU-NIMULE'!J38)</f>
        <v>0.14285714285714285</v>
      </c>
      <c r="K38" s="49">
        <f>AVERAGE('31.07 GULU-NIMULE'!K38,'01.07 GULU-NIMULE'!K38,'02.07 GULU-NIMULE'!K38,'03.07 GULU-NIMULE'!K38,'04.07 GULU-NIMULE-24h'!K38,'05.07 GULU-NIMULE-24h'!K38,'06.07 GULU-NIMULE'!K38)</f>
        <v>0</v>
      </c>
      <c r="L38" s="49">
        <f>AVERAGE('31.07 GULU-NIMULE'!L38,'01.07 GULU-NIMULE'!L38,'02.07 GULU-NIMULE'!L38,'03.07 GULU-NIMULE'!L38,'04.07 GULU-NIMULE-24h'!L38,'05.07 GULU-NIMULE-24h'!L38,'06.07 GULU-NIMULE'!L38)</f>
        <v>1.1428571428571428</v>
      </c>
      <c r="M38" s="49">
        <f>AVERAGE('31.07 GULU-NIMULE'!M38,'01.07 GULU-NIMULE'!M38,'02.07 GULU-NIMULE'!M38,'03.07 GULU-NIMULE'!M38,'04.07 GULU-NIMULE-24h'!M38,'05.07 GULU-NIMULE-24h'!M38,'06.07 GULU-NIMULE'!M38)</f>
        <v>7.4285714285714288</v>
      </c>
      <c r="N38" s="49">
        <f>AVERAGE('31.07 GULU-NIMULE'!N38,'01.07 GULU-NIMULE'!N38,'02.07 GULU-NIMULE'!N38,'03.07 GULU-NIMULE'!N38,'04.07 GULU-NIMULE-24h'!N38,'05.07 GULU-NIMULE-24h'!N38,'06.07 GULU-NIMULE'!N38)</f>
        <v>0</v>
      </c>
      <c r="O38" s="15">
        <f t="shared" si="0"/>
        <v>3.4285714285714284</v>
      </c>
      <c r="P38" s="15">
        <f t="shared" si="1"/>
        <v>10.857142857142858</v>
      </c>
      <c r="R38" s="28" t="s">
        <v>86</v>
      </c>
      <c r="S38" s="54">
        <f t="shared" ref="S38:AF38" si="30">SUM(S13:S18)</f>
        <v>20</v>
      </c>
      <c r="T38" s="54">
        <f t="shared" si="30"/>
        <v>9.7142857142857135</v>
      </c>
      <c r="U38" s="54">
        <f t="shared" si="30"/>
        <v>20.857142857142854</v>
      </c>
      <c r="V38" s="54">
        <f t="shared" si="30"/>
        <v>2.1428571428571428</v>
      </c>
      <c r="W38" s="54">
        <f t="shared" si="30"/>
        <v>0.42857142857142855</v>
      </c>
      <c r="X38" s="54">
        <f t="shared" si="30"/>
        <v>4.1428571428571423</v>
      </c>
      <c r="Y38" s="54">
        <f t="shared" si="30"/>
        <v>8.2857142857142865</v>
      </c>
      <c r="Z38" s="54">
        <f t="shared" si="30"/>
        <v>2.7142857142857144</v>
      </c>
      <c r="AA38" s="54">
        <f t="shared" si="30"/>
        <v>2.2857142857142856</v>
      </c>
      <c r="AB38" s="54">
        <f t="shared" si="30"/>
        <v>43.714285714285708</v>
      </c>
      <c r="AC38" s="54">
        <f t="shared" si="30"/>
        <v>181.57142857142856</v>
      </c>
      <c r="AD38" s="54">
        <f t="shared" si="30"/>
        <v>0.14285714285714285</v>
      </c>
      <c r="AE38" s="55">
        <f t="shared" si="30"/>
        <v>114.42857142857142</v>
      </c>
      <c r="AF38" s="55">
        <f t="shared" si="30"/>
        <v>296</v>
      </c>
    </row>
    <row r="39" spans="2:32" ht="23.1" customHeight="1" x14ac:dyDescent="0.25">
      <c r="B39" s="24" t="s">
        <v>66</v>
      </c>
      <c r="C39" s="49">
        <f>AVERAGE('31.07 GULU-NIMULE'!C39,'01.07 GULU-NIMULE'!C39,'02.07 GULU-NIMULE'!C39,'03.07 GULU-NIMULE'!C39,'04.07 GULU-NIMULE-24h'!C39,'05.07 GULU-NIMULE-24h'!C39,'06.07 GULU-NIMULE'!C39)</f>
        <v>0.8571428571428571</v>
      </c>
      <c r="D39" s="49">
        <f>AVERAGE('31.07 GULU-NIMULE'!D39,'01.07 GULU-NIMULE'!D39,'02.07 GULU-NIMULE'!D39,'03.07 GULU-NIMULE'!D39,'04.07 GULU-NIMULE-24h'!D39,'05.07 GULU-NIMULE-24h'!D39,'06.07 GULU-NIMULE'!D39)</f>
        <v>0.14285714285714285</v>
      </c>
      <c r="E39" s="49">
        <f>AVERAGE('31.07 GULU-NIMULE'!E39,'01.07 GULU-NIMULE'!E39,'02.07 GULU-NIMULE'!E39,'03.07 GULU-NIMULE'!E39,'04.07 GULU-NIMULE-24h'!E39,'05.07 GULU-NIMULE-24h'!E39,'06.07 GULU-NIMULE'!E39)</f>
        <v>0.7142857142857143</v>
      </c>
      <c r="F39" s="49">
        <f>AVERAGE('31.07 GULU-NIMULE'!F39,'01.07 GULU-NIMULE'!F39,'02.07 GULU-NIMULE'!F39,'03.07 GULU-NIMULE'!F39,'04.07 GULU-NIMULE-24h'!F39,'05.07 GULU-NIMULE-24h'!F39,'06.07 GULU-NIMULE'!F39)</f>
        <v>0</v>
      </c>
      <c r="G39" s="49">
        <f>AVERAGE('31.07 GULU-NIMULE'!G39,'01.07 GULU-NIMULE'!G39,'02.07 GULU-NIMULE'!G39,'03.07 GULU-NIMULE'!G39,'04.07 GULU-NIMULE-24h'!G39,'05.07 GULU-NIMULE-24h'!G39,'06.07 GULU-NIMULE'!G39)</f>
        <v>0</v>
      </c>
      <c r="H39" s="49">
        <f>AVERAGE('31.07 GULU-NIMULE'!H39,'01.07 GULU-NIMULE'!H39,'02.07 GULU-NIMULE'!H39,'03.07 GULU-NIMULE'!H39,'04.07 GULU-NIMULE-24h'!H39,'05.07 GULU-NIMULE-24h'!H39,'06.07 GULU-NIMULE'!H39)</f>
        <v>0.14285714285714285</v>
      </c>
      <c r="I39" s="49">
        <f>AVERAGE('31.07 GULU-NIMULE'!I39,'01.07 GULU-NIMULE'!I39,'02.07 GULU-NIMULE'!I39,'03.07 GULU-NIMULE'!I39,'04.07 GULU-NIMULE-24h'!I39,'05.07 GULU-NIMULE-24h'!I39,'06.07 GULU-NIMULE'!I39)</f>
        <v>0.2857142857142857</v>
      </c>
      <c r="J39" s="49">
        <f>AVERAGE('31.07 GULU-NIMULE'!J39,'01.07 GULU-NIMULE'!J39,'02.07 GULU-NIMULE'!J39,'03.07 GULU-NIMULE'!J39,'04.07 GULU-NIMULE-24h'!J39,'05.07 GULU-NIMULE-24h'!J39,'06.07 GULU-NIMULE'!J39)</f>
        <v>0</v>
      </c>
      <c r="K39" s="49">
        <f>AVERAGE('31.07 GULU-NIMULE'!K39,'01.07 GULU-NIMULE'!K39,'02.07 GULU-NIMULE'!K39,'03.07 GULU-NIMULE'!K39,'04.07 GULU-NIMULE-24h'!K39,'05.07 GULU-NIMULE-24h'!K39,'06.07 GULU-NIMULE'!K39)</f>
        <v>0</v>
      </c>
      <c r="L39" s="49">
        <f>AVERAGE('31.07 GULU-NIMULE'!L39,'01.07 GULU-NIMULE'!L39,'02.07 GULU-NIMULE'!L39,'03.07 GULU-NIMULE'!L39,'04.07 GULU-NIMULE-24h'!L39,'05.07 GULU-NIMULE-24h'!L39,'06.07 GULU-NIMULE'!L39)</f>
        <v>1.1428571428571428</v>
      </c>
      <c r="M39" s="49">
        <f>AVERAGE('31.07 GULU-NIMULE'!M39,'01.07 GULU-NIMULE'!M39,'02.07 GULU-NIMULE'!M39,'03.07 GULU-NIMULE'!M39,'04.07 GULU-NIMULE-24h'!M39,'05.07 GULU-NIMULE-24h'!M39,'06.07 GULU-NIMULE'!M39)</f>
        <v>6.7142857142857144</v>
      </c>
      <c r="N39" s="49">
        <f>AVERAGE('31.07 GULU-NIMULE'!N39,'01.07 GULU-NIMULE'!N39,'02.07 GULU-NIMULE'!N39,'03.07 GULU-NIMULE'!N39,'04.07 GULU-NIMULE-24h'!N39,'05.07 GULU-NIMULE-24h'!N39,'06.07 GULU-NIMULE'!N39)</f>
        <v>0</v>
      </c>
      <c r="O39" s="15">
        <f t="shared" si="0"/>
        <v>3.2857142857142856</v>
      </c>
      <c r="P39" s="15">
        <f t="shared" si="1"/>
        <v>10</v>
      </c>
      <c r="R39" s="29" t="s">
        <v>87</v>
      </c>
      <c r="S39" s="54">
        <f t="shared" ref="S39:AF39" si="31">SUM(S19:S21)</f>
        <v>12</v>
      </c>
      <c r="T39" s="54">
        <f t="shared" si="31"/>
        <v>5.4285714285714288</v>
      </c>
      <c r="U39" s="54">
        <f t="shared" si="31"/>
        <v>9.5714285714285712</v>
      </c>
      <c r="V39" s="54">
        <f t="shared" si="31"/>
        <v>1.1428571428571428</v>
      </c>
      <c r="W39" s="54">
        <f t="shared" si="31"/>
        <v>0.14285714285714285</v>
      </c>
      <c r="X39" s="54">
        <f t="shared" si="31"/>
        <v>3.8571428571428568</v>
      </c>
      <c r="Y39" s="54">
        <f t="shared" si="31"/>
        <v>5.8571428571428568</v>
      </c>
      <c r="Z39" s="54">
        <f t="shared" si="31"/>
        <v>1.7380952380952381</v>
      </c>
      <c r="AA39" s="54">
        <f t="shared" si="31"/>
        <v>0.14285714285714285</v>
      </c>
      <c r="AB39" s="54">
        <f t="shared" si="31"/>
        <v>19.571428571428569</v>
      </c>
      <c r="AC39" s="54">
        <f t="shared" si="31"/>
        <v>115</v>
      </c>
      <c r="AD39" s="54">
        <f t="shared" si="31"/>
        <v>0</v>
      </c>
      <c r="AE39" s="55">
        <f t="shared" si="31"/>
        <v>59.452380952380949</v>
      </c>
      <c r="AF39" s="55">
        <f t="shared" si="31"/>
        <v>174.45238095238096</v>
      </c>
    </row>
    <row r="40" spans="2:32" ht="23.1" customHeight="1" x14ac:dyDescent="0.25">
      <c r="B40" s="24" t="s">
        <v>67</v>
      </c>
      <c r="C40" s="49">
        <f>AVERAGE('31.07 GULU-NIMULE'!C40,'01.07 GULU-NIMULE'!C40,'02.07 GULU-NIMULE'!C40,'03.07 GULU-NIMULE'!C40,'04.07 GULU-NIMULE-24h'!C40,'05.07 GULU-NIMULE-24h'!C40,'06.07 GULU-NIMULE'!C40)</f>
        <v>1.5714285714285714</v>
      </c>
      <c r="D40" s="49">
        <f>AVERAGE('31.07 GULU-NIMULE'!D40,'01.07 GULU-NIMULE'!D40,'02.07 GULU-NIMULE'!D40,'03.07 GULU-NIMULE'!D40,'04.07 GULU-NIMULE-24h'!D40,'05.07 GULU-NIMULE-24h'!D40,'06.07 GULU-NIMULE'!D40)</f>
        <v>0.2857142857142857</v>
      </c>
      <c r="E40" s="49">
        <f>AVERAGE('31.07 GULU-NIMULE'!E40,'01.07 GULU-NIMULE'!E40,'02.07 GULU-NIMULE'!E40,'03.07 GULU-NIMULE'!E40,'04.07 GULU-NIMULE-24h'!E40,'05.07 GULU-NIMULE-24h'!E40,'06.07 GULU-NIMULE'!E40)</f>
        <v>0.8571428571428571</v>
      </c>
      <c r="F40" s="49">
        <f>AVERAGE('31.07 GULU-NIMULE'!F40,'01.07 GULU-NIMULE'!F40,'02.07 GULU-NIMULE'!F40,'03.07 GULU-NIMULE'!F40,'04.07 GULU-NIMULE-24h'!F40,'05.07 GULU-NIMULE-24h'!F40,'06.07 GULU-NIMULE'!F40)</f>
        <v>0</v>
      </c>
      <c r="G40" s="49">
        <f>AVERAGE('31.07 GULU-NIMULE'!G40,'01.07 GULU-NIMULE'!G40,'02.07 GULU-NIMULE'!G40,'03.07 GULU-NIMULE'!G40,'04.07 GULU-NIMULE-24h'!G40,'05.07 GULU-NIMULE-24h'!G40,'06.07 GULU-NIMULE'!G40)</f>
        <v>0</v>
      </c>
      <c r="H40" s="49">
        <f>AVERAGE('31.07 GULU-NIMULE'!H40,'01.07 GULU-NIMULE'!H40,'02.07 GULU-NIMULE'!H40,'03.07 GULU-NIMULE'!H40,'04.07 GULU-NIMULE-24h'!H40,'05.07 GULU-NIMULE-24h'!H40,'06.07 GULU-NIMULE'!H40)</f>
        <v>0.14285714285714285</v>
      </c>
      <c r="I40" s="49">
        <f>AVERAGE('31.07 GULU-NIMULE'!I40,'01.07 GULU-NIMULE'!I40,'02.07 GULU-NIMULE'!I40,'03.07 GULU-NIMULE'!I40,'04.07 GULU-NIMULE-24h'!I40,'05.07 GULU-NIMULE-24h'!I40,'06.07 GULU-NIMULE'!I40)</f>
        <v>0.42857142857142855</v>
      </c>
      <c r="J40" s="49">
        <f>AVERAGE('31.07 GULU-NIMULE'!J40,'01.07 GULU-NIMULE'!J40,'02.07 GULU-NIMULE'!J40,'03.07 GULU-NIMULE'!J40,'04.07 GULU-NIMULE-24h'!J40,'05.07 GULU-NIMULE-24h'!J40,'06.07 GULU-NIMULE'!J40)</f>
        <v>0</v>
      </c>
      <c r="K40" s="49">
        <f>AVERAGE('31.07 GULU-NIMULE'!K40,'01.07 GULU-NIMULE'!K40,'02.07 GULU-NIMULE'!K40,'03.07 GULU-NIMULE'!K40,'04.07 GULU-NIMULE-24h'!K40,'05.07 GULU-NIMULE-24h'!K40,'06.07 GULU-NIMULE'!K40)</f>
        <v>0</v>
      </c>
      <c r="L40" s="49">
        <f>AVERAGE('31.07 GULU-NIMULE'!L40,'01.07 GULU-NIMULE'!L40,'02.07 GULU-NIMULE'!L40,'03.07 GULU-NIMULE'!L40,'04.07 GULU-NIMULE-24h'!L40,'05.07 GULU-NIMULE-24h'!L40,'06.07 GULU-NIMULE'!L40)</f>
        <v>2.5714285714285716</v>
      </c>
      <c r="M40" s="49">
        <f>AVERAGE('31.07 GULU-NIMULE'!M40,'01.07 GULU-NIMULE'!M40,'02.07 GULU-NIMULE'!M40,'03.07 GULU-NIMULE'!M40,'04.07 GULU-NIMULE-24h'!M40,'05.07 GULU-NIMULE-24h'!M40,'06.07 GULU-NIMULE'!M40)</f>
        <v>5.8571428571428568</v>
      </c>
      <c r="N40" s="49">
        <f>AVERAGE('31.07 GULU-NIMULE'!N40,'01.07 GULU-NIMULE'!N40,'02.07 GULU-NIMULE'!N40,'03.07 GULU-NIMULE'!N40,'04.07 GULU-NIMULE-24h'!N40,'05.07 GULU-NIMULE-24h'!N40,'06.07 GULU-NIMULE'!N40)</f>
        <v>0</v>
      </c>
      <c r="O40" s="15">
        <f t="shared" si="0"/>
        <v>5.8571428571428577</v>
      </c>
      <c r="P40" s="15">
        <f t="shared" si="1"/>
        <v>11.714285714285715</v>
      </c>
      <c r="R40" s="5" t="s">
        <v>17</v>
      </c>
      <c r="S40" s="54">
        <f t="shared" ref="S40:AF40" si="32">SUM(S10:S21)</f>
        <v>39.428571428571431</v>
      </c>
      <c r="T40" s="54">
        <f t="shared" si="32"/>
        <v>19.857142857142858</v>
      </c>
      <c r="U40" s="54">
        <f t="shared" si="32"/>
        <v>35.428571428571431</v>
      </c>
      <c r="V40" s="54">
        <f t="shared" si="32"/>
        <v>4.1428571428571423</v>
      </c>
      <c r="W40" s="54">
        <f t="shared" si="32"/>
        <v>0.71428571428571419</v>
      </c>
      <c r="X40" s="54">
        <f t="shared" si="32"/>
        <v>9.5714285714285712</v>
      </c>
      <c r="Y40" s="54">
        <f t="shared" si="32"/>
        <v>20.571428571428569</v>
      </c>
      <c r="Z40" s="54">
        <f t="shared" si="32"/>
        <v>6.3095238095238093</v>
      </c>
      <c r="AA40" s="54">
        <f t="shared" si="32"/>
        <v>6</v>
      </c>
      <c r="AB40" s="54">
        <f t="shared" si="32"/>
        <v>82.428571428571431</v>
      </c>
      <c r="AC40" s="54">
        <f t="shared" si="32"/>
        <v>408.85714285714283</v>
      </c>
      <c r="AD40" s="54">
        <f t="shared" si="32"/>
        <v>0.14285714285714285</v>
      </c>
      <c r="AE40" s="55">
        <f t="shared" si="32"/>
        <v>224.5952380952381</v>
      </c>
      <c r="AF40" s="55">
        <f t="shared" si="32"/>
        <v>633.45238095238085</v>
      </c>
    </row>
    <row r="41" spans="2:32" ht="23.1" customHeight="1" x14ac:dyDescent="0.25">
      <c r="B41" s="23" t="s">
        <v>68</v>
      </c>
      <c r="C41" s="49">
        <f>AVERAGE('31.07 GULU-NIMULE'!C41,'01.07 GULU-NIMULE'!C41,'02.07 GULU-NIMULE'!C41,'03.07 GULU-NIMULE'!C41,'04.07 GULU-NIMULE-24h'!C41,'05.07 GULU-NIMULE-24h'!C41,'06.07 GULU-NIMULE'!C41)</f>
        <v>1</v>
      </c>
      <c r="D41" s="49">
        <f>AVERAGE('31.07 GULU-NIMULE'!D41,'01.07 GULU-NIMULE'!D41,'02.07 GULU-NIMULE'!D41,'03.07 GULU-NIMULE'!D41,'04.07 GULU-NIMULE-24h'!D41,'05.07 GULU-NIMULE-24h'!D41,'06.07 GULU-NIMULE'!D41)</f>
        <v>0.2857142857142857</v>
      </c>
      <c r="E41" s="49">
        <f>AVERAGE('31.07 GULU-NIMULE'!E41,'01.07 GULU-NIMULE'!E41,'02.07 GULU-NIMULE'!E41,'03.07 GULU-NIMULE'!E41,'04.07 GULU-NIMULE-24h'!E41,'05.07 GULU-NIMULE-24h'!E41,'06.07 GULU-NIMULE'!E41)</f>
        <v>0.7142857142857143</v>
      </c>
      <c r="F41" s="49">
        <f>AVERAGE('31.07 GULU-NIMULE'!F41,'01.07 GULU-NIMULE'!F41,'02.07 GULU-NIMULE'!F41,'03.07 GULU-NIMULE'!F41,'04.07 GULU-NIMULE-24h'!F41,'05.07 GULU-NIMULE-24h'!F41,'06.07 GULU-NIMULE'!F41)</f>
        <v>0</v>
      </c>
      <c r="G41" s="49">
        <f>AVERAGE('31.07 GULU-NIMULE'!G41,'01.07 GULU-NIMULE'!G41,'02.07 GULU-NIMULE'!G41,'03.07 GULU-NIMULE'!G41,'04.07 GULU-NIMULE-24h'!G41,'05.07 GULU-NIMULE-24h'!G41,'06.07 GULU-NIMULE'!G41)</f>
        <v>0</v>
      </c>
      <c r="H41" s="49">
        <f>AVERAGE('31.07 GULU-NIMULE'!H41,'01.07 GULU-NIMULE'!H41,'02.07 GULU-NIMULE'!H41,'03.07 GULU-NIMULE'!H41,'04.07 GULU-NIMULE-24h'!H41,'05.07 GULU-NIMULE-24h'!H41,'06.07 GULU-NIMULE'!H41)</f>
        <v>0.2857142857142857</v>
      </c>
      <c r="I41" s="49">
        <f>AVERAGE('31.07 GULU-NIMULE'!I41,'01.07 GULU-NIMULE'!I41,'02.07 GULU-NIMULE'!I41,'03.07 GULU-NIMULE'!I41,'04.07 GULU-NIMULE-24h'!I41,'05.07 GULU-NIMULE-24h'!I41,'06.07 GULU-NIMULE'!I41)</f>
        <v>0.14285714285714285</v>
      </c>
      <c r="J41" s="49">
        <f>AVERAGE('31.07 GULU-NIMULE'!J41,'01.07 GULU-NIMULE'!J41,'02.07 GULU-NIMULE'!J41,'03.07 GULU-NIMULE'!J41,'04.07 GULU-NIMULE-24h'!J41,'05.07 GULU-NIMULE-24h'!J41,'06.07 GULU-NIMULE'!J41)</f>
        <v>0.14285714285714285</v>
      </c>
      <c r="K41" s="49">
        <f>AVERAGE('31.07 GULU-NIMULE'!K41,'01.07 GULU-NIMULE'!K41,'02.07 GULU-NIMULE'!K41,'03.07 GULU-NIMULE'!K41,'04.07 GULU-NIMULE-24h'!K41,'05.07 GULU-NIMULE-24h'!K41,'06.07 GULU-NIMULE'!K41)</f>
        <v>0.14285714285714285</v>
      </c>
      <c r="L41" s="49">
        <f>AVERAGE('31.07 GULU-NIMULE'!L41,'01.07 GULU-NIMULE'!L41,'02.07 GULU-NIMULE'!L41,'03.07 GULU-NIMULE'!L41,'04.07 GULU-NIMULE-24h'!L41,'05.07 GULU-NIMULE-24h'!L41,'06.07 GULU-NIMULE'!L41)</f>
        <v>0.7142857142857143</v>
      </c>
      <c r="M41" s="49">
        <f>AVERAGE('31.07 GULU-NIMULE'!M41,'01.07 GULU-NIMULE'!M41,'02.07 GULU-NIMULE'!M41,'03.07 GULU-NIMULE'!M41,'04.07 GULU-NIMULE-24h'!M41,'05.07 GULU-NIMULE-24h'!M41,'06.07 GULU-NIMULE'!M41)</f>
        <v>11.142857142857142</v>
      </c>
      <c r="N41" s="49">
        <f>AVERAGE('31.07 GULU-NIMULE'!N41,'01.07 GULU-NIMULE'!N41,'02.07 GULU-NIMULE'!N41,'03.07 GULU-NIMULE'!N41,'04.07 GULU-NIMULE-24h'!N41,'05.07 GULU-NIMULE-24h'!N41,'06.07 GULU-NIMULE'!N41)</f>
        <v>0</v>
      </c>
      <c r="O41" s="15">
        <f t="shared" si="0"/>
        <v>3.4285714285714284</v>
      </c>
      <c r="P41" s="15">
        <f t="shared" si="1"/>
        <v>14.571428571428571</v>
      </c>
      <c r="R41" s="5" t="s">
        <v>176</v>
      </c>
      <c r="S41" s="54">
        <f>SUM(S10:S33)</f>
        <v>41.928571428571431</v>
      </c>
      <c r="T41" s="54">
        <f t="shared" ref="T41:AD41" si="33">SUM(T10:T33)</f>
        <v>22.857142857142858</v>
      </c>
      <c r="U41" s="54">
        <f t="shared" si="33"/>
        <v>41.428571428571431</v>
      </c>
      <c r="V41" s="54">
        <f t="shared" si="33"/>
        <v>5.6428571428571423</v>
      </c>
      <c r="W41" s="54">
        <f t="shared" si="33"/>
        <v>0.71428571428571419</v>
      </c>
      <c r="X41" s="54">
        <f t="shared" si="33"/>
        <v>9.5714285714285712</v>
      </c>
      <c r="Y41" s="54">
        <f t="shared" si="33"/>
        <v>22.071428571428569</v>
      </c>
      <c r="Z41" s="54">
        <f t="shared" si="33"/>
        <v>7.8095238095238093</v>
      </c>
      <c r="AA41" s="54">
        <f t="shared" si="33"/>
        <v>6</v>
      </c>
      <c r="AB41" s="54">
        <f t="shared" si="33"/>
        <v>94.928571428571431</v>
      </c>
      <c r="AC41" s="54">
        <f t="shared" si="33"/>
        <v>410.85714285714283</v>
      </c>
      <c r="AD41" s="54">
        <f t="shared" si="33"/>
        <v>0.14285714285714285</v>
      </c>
      <c r="AE41" s="55">
        <f>SUM(AE10:AE33)</f>
        <v>253.0952380952381</v>
      </c>
      <c r="AF41" s="55">
        <f>SUM(AF10:AF33)</f>
        <v>663.95238095238085</v>
      </c>
    </row>
    <row r="42" spans="2:32" ht="23.1" customHeight="1" x14ac:dyDescent="0.25">
      <c r="B42" s="24" t="s">
        <v>69</v>
      </c>
      <c r="C42" s="49">
        <f>AVERAGE('31.07 GULU-NIMULE'!C42,'01.07 GULU-NIMULE'!C42,'02.07 GULU-NIMULE'!C42,'03.07 GULU-NIMULE'!C42,'04.07 GULU-NIMULE-24h'!C42,'05.07 GULU-NIMULE-24h'!C42,'06.07 GULU-NIMULE'!C42)</f>
        <v>0.8571428571428571</v>
      </c>
      <c r="D42" s="49">
        <f>AVERAGE('31.07 GULU-NIMULE'!D42,'01.07 GULU-NIMULE'!D42,'02.07 GULU-NIMULE'!D42,'03.07 GULU-NIMULE'!D42,'04.07 GULU-NIMULE-24h'!D42,'05.07 GULU-NIMULE-24h'!D42,'06.07 GULU-NIMULE'!D42)</f>
        <v>0.14285714285714285</v>
      </c>
      <c r="E42" s="49">
        <f>AVERAGE('31.07 GULU-NIMULE'!E42,'01.07 GULU-NIMULE'!E42,'02.07 GULU-NIMULE'!E42,'03.07 GULU-NIMULE'!E42,'04.07 GULU-NIMULE-24h'!E42,'05.07 GULU-NIMULE-24h'!E42,'06.07 GULU-NIMULE'!E42)</f>
        <v>0.8571428571428571</v>
      </c>
      <c r="F42" s="49">
        <f>AVERAGE('31.07 GULU-NIMULE'!F42,'01.07 GULU-NIMULE'!F42,'02.07 GULU-NIMULE'!F42,'03.07 GULU-NIMULE'!F42,'04.07 GULU-NIMULE-24h'!F42,'05.07 GULU-NIMULE-24h'!F42,'06.07 GULU-NIMULE'!F42)</f>
        <v>0</v>
      </c>
      <c r="G42" s="49">
        <f>AVERAGE('31.07 GULU-NIMULE'!G42,'01.07 GULU-NIMULE'!G42,'02.07 GULU-NIMULE'!G42,'03.07 GULU-NIMULE'!G42,'04.07 GULU-NIMULE-24h'!G42,'05.07 GULU-NIMULE-24h'!G42,'06.07 GULU-NIMULE'!G42)</f>
        <v>0</v>
      </c>
      <c r="H42" s="49">
        <f>AVERAGE('31.07 GULU-NIMULE'!H42,'01.07 GULU-NIMULE'!H42,'02.07 GULU-NIMULE'!H42,'03.07 GULU-NIMULE'!H42,'04.07 GULU-NIMULE-24h'!H42,'05.07 GULU-NIMULE-24h'!H42,'06.07 GULU-NIMULE'!H42)</f>
        <v>0.2857142857142857</v>
      </c>
      <c r="I42" s="49">
        <f>AVERAGE('31.07 GULU-NIMULE'!I42,'01.07 GULU-NIMULE'!I42,'02.07 GULU-NIMULE'!I42,'03.07 GULU-NIMULE'!I42,'04.07 GULU-NIMULE-24h'!I42,'05.07 GULU-NIMULE-24h'!I42,'06.07 GULU-NIMULE'!I42)</f>
        <v>0.2857142857142857</v>
      </c>
      <c r="J42" s="49">
        <f>AVERAGE('31.07 GULU-NIMULE'!J42,'01.07 GULU-NIMULE'!J42,'02.07 GULU-NIMULE'!J42,'03.07 GULU-NIMULE'!J42,'04.07 GULU-NIMULE-24h'!J42,'05.07 GULU-NIMULE-24h'!J42,'06.07 GULU-NIMULE'!J42)</f>
        <v>0</v>
      </c>
      <c r="K42" s="49">
        <f>AVERAGE('31.07 GULU-NIMULE'!K42,'01.07 GULU-NIMULE'!K42,'02.07 GULU-NIMULE'!K42,'03.07 GULU-NIMULE'!K42,'04.07 GULU-NIMULE-24h'!K42,'05.07 GULU-NIMULE-24h'!K42,'06.07 GULU-NIMULE'!K42)</f>
        <v>0.14285714285714285</v>
      </c>
      <c r="L42" s="49">
        <f>AVERAGE('31.07 GULU-NIMULE'!L42,'01.07 GULU-NIMULE'!L42,'02.07 GULU-NIMULE'!L42,'03.07 GULU-NIMULE'!L42,'04.07 GULU-NIMULE-24h'!L42,'05.07 GULU-NIMULE-24h'!L42,'06.07 GULU-NIMULE'!L42)</f>
        <v>1</v>
      </c>
      <c r="M42" s="49">
        <f>AVERAGE('31.07 GULU-NIMULE'!M42,'01.07 GULU-NIMULE'!M42,'02.07 GULU-NIMULE'!M42,'03.07 GULU-NIMULE'!M42,'04.07 GULU-NIMULE-24h'!M42,'05.07 GULU-NIMULE-24h'!M42,'06.07 GULU-NIMULE'!M42)</f>
        <v>7.4285714285714288</v>
      </c>
      <c r="N42" s="49">
        <f>AVERAGE('31.07 GULU-NIMULE'!N42,'01.07 GULU-NIMULE'!N42,'02.07 GULU-NIMULE'!N42,'03.07 GULU-NIMULE'!N42,'04.07 GULU-NIMULE-24h'!N42,'05.07 GULU-NIMULE-24h'!N42,'06.07 GULU-NIMULE'!N42)</f>
        <v>0</v>
      </c>
      <c r="O42" s="15">
        <f t="shared" si="0"/>
        <v>3.5714285714285712</v>
      </c>
      <c r="P42" s="15">
        <f t="shared" si="1"/>
        <v>11</v>
      </c>
      <c r="R42" s="5" t="s">
        <v>160</v>
      </c>
      <c r="S42" s="48">
        <f>S41/S40</f>
        <v>1.0634057971014492</v>
      </c>
      <c r="T42" s="48">
        <f t="shared" ref="T42:AF42" si="34">T41/T40</f>
        <v>1.1510791366906474</v>
      </c>
      <c r="U42" s="48">
        <f t="shared" si="34"/>
        <v>1.1693548387096775</v>
      </c>
      <c r="V42" s="48">
        <f t="shared" si="34"/>
        <v>1.3620689655172413</v>
      </c>
      <c r="W42" s="48">
        <f t="shared" si="34"/>
        <v>1</v>
      </c>
      <c r="X42" s="48">
        <f t="shared" si="34"/>
        <v>1</v>
      </c>
      <c r="Y42" s="48">
        <f t="shared" si="34"/>
        <v>1.0729166666666667</v>
      </c>
      <c r="Z42" s="48">
        <f t="shared" si="34"/>
        <v>1.2377358490566037</v>
      </c>
      <c r="AA42" s="48">
        <f t="shared" si="34"/>
        <v>1</v>
      </c>
      <c r="AB42" s="48">
        <f t="shared" si="34"/>
        <v>1.1516464471403813</v>
      </c>
      <c r="AC42" s="48">
        <f t="shared" si="34"/>
        <v>1.0048916841369671</v>
      </c>
      <c r="AD42" s="48">
        <f t="shared" si="34"/>
        <v>1</v>
      </c>
      <c r="AE42" s="56">
        <f t="shared" si="34"/>
        <v>1.126894943284215</v>
      </c>
      <c r="AF42" s="56">
        <f t="shared" si="34"/>
        <v>1.0481488442022175</v>
      </c>
    </row>
    <row r="43" spans="2:32" ht="23.1" customHeight="1" x14ac:dyDescent="0.25">
      <c r="B43" s="23" t="s">
        <v>70</v>
      </c>
      <c r="C43" s="49">
        <f>AVERAGE('31.07 GULU-NIMULE'!C43,'01.07 GULU-NIMULE'!C43,'02.07 GULU-NIMULE'!C43,'03.07 GULU-NIMULE'!C43,'04.07 GULU-NIMULE-24h'!C43,'05.07 GULU-NIMULE-24h'!C43,'06.07 GULU-NIMULE'!C43)</f>
        <v>1.7142857142857142</v>
      </c>
      <c r="D43" s="49">
        <f>AVERAGE('31.07 GULU-NIMULE'!D43,'01.07 GULU-NIMULE'!D43,'02.07 GULU-NIMULE'!D43,'03.07 GULU-NIMULE'!D43,'04.07 GULU-NIMULE-24h'!D43,'05.07 GULU-NIMULE-24h'!D43,'06.07 GULU-NIMULE'!D43)</f>
        <v>0.42857142857142855</v>
      </c>
      <c r="E43" s="49">
        <f>AVERAGE('31.07 GULU-NIMULE'!E43,'01.07 GULU-NIMULE'!E43,'02.07 GULU-NIMULE'!E43,'03.07 GULU-NIMULE'!E43,'04.07 GULU-NIMULE-24h'!E43,'05.07 GULU-NIMULE-24h'!E43,'06.07 GULU-NIMULE'!E43)</f>
        <v>1</v>
      </c>
      <c r="F43" s="49">
        <f>AVERAGE('31.07 GULU-NIMULE'!F43,'01.07 GULU-NIMULE'!F43,'02.07 GULU-NIMULE'!F43,'03.07 GULU-NIMULE'!F43,'04.07 GULU-NIMULE-24h'!F43,'05.07 GULU-NIMULE-24h'!F43,'06.07 GULU-NIMULE'!F43)</f>
        <v>0</v>
      </c>
      <c r="G43" s="49">
        <f>AVERAGE('31.07 GULU-NIMULE'!G43,'01.07 GULU-NIMULE'!G43,'02.07 GULU-NIMULE'!G43,'03.07 GULU-NIMULE'!G43,'04.07 GULU-NIMULE-24h'!G43,'05.07 GULU-NIMULE-24h'!G43,'06.07 GULU-NIMULE'!G43)</f>
        <v>0.14285714285714285</v>
      </c>
      <c r="H43" s="49">
        <f>AVERAGE('31.07 GULU-NIMULE'!H43,'01.07 GULU-NIMULE'!H43,'02.07 GULU-NIMULE'!H43,'03.07 GULU-NIMULE'!H43,'04.07 GULU-NIMULE-24h'!H43,'05.07 GULU-NIMULE-24h'!H43,'06.07 GULU-NIMULE'!H43)</f>
        <v>1</v>
      </c>
      <c r="I43" s="49">
        <f>AVERAGE('31.07 GULU-NIMULE'!I43,'01.07 GULU-NIMULE'!I43,'02.07 GULU-NIMULE'!I43,'03.07 GULU-NIMULE'!I43,'04.07 GULU-NIMULE-24h'!I43,'05.07 GULU-NIMULE-24h'!I43,'06.07 GULU-NIMULE'!I43)</f>
        <v>0.2857142857142857</v>
      </c>
      <c r="J43" s="49">
        <f>AVERAGE('31.07 GULU-NIMULE'!J43,'01.07 GULU-NIMULE'!J43,'02.07 GULU-NIMULE'!J43,'03.07 GULU-NIMULE'!J43,'04.07 GULU-NIMULE-24h'!J43,'05.07 GULU-NIMULE-24h'!J43,'06.07 GULU-NIMULE'!J43)</f>
        <v>0</v>
      </c>
      <c r="K43" s="49">
        <f>AVERAGE('31.07 GULU-NIMULE'!K43,'01.07 GULU-NIMULE'!K43,'02.07 GULU-NIMULE'!K43,'03.07 GULU-NIMULE'!K43,'04.07 GULU-NIMULE-24h'!K43,'05.07 GULU-NIMULE-24h'!K43,'06.07 GULU-NIMULE'!K43)</f>
        <v>0.14285714285714285</v>
      </c>
      <c r="L43" s="49">
        <f>AVERAGE('31.07 GULU-NIMULE'!L43,'01.07 GULU-NIMULE'!L43,'02.07 GULU-NIMULE'!L43,'03.07 GULU-NIMULE'!L43,'04.07 GULU-NIMULE-24h'!L43,'05.07 GULU-NIMULE-24h'!L43,'06.07 GULU-NIMULE'!L43)</f>
        <v>1.1428571428571428</v>
      </c>
      <c r="M43" s="49">
        <f>AVERAGE('31.07 GULU-NIMULE'!M43,'01.07 GULU-NIMULE'!M43,'02.07 GULU-NIMULE'!M43,'03.07 GULU-NIMULE'!M43,'04.07 GULU-NIMULE-24h'!M43,'05.07 GULU-NIMULE-24h'!M43,'06.07 GULU-NIMULE'!M43)</f>
        <v>7.1428571428571432</v>
      </c>
      <c r="N43" s="49">
        <f>AVERAGE('31.07 GULU-NIMULE'!N43,'01.07 GULU-NIMULE'!N43,'02.07 GULU-NIMULE'!N43,'03.07 GULU-NIMULE'!N43,'04.07 GULU-NIMULE-24h'!N43,'05.07 GULU-NIMULE-24h'!N43,'06.07 GULU-NIMULE'!N43)</f>
        <v>0</v>
      </c>
      <c r="O43" s="15">
        <f t="shared" si="0"/>
        <v>5.8571428571428577</v>
      </c>
      <c r="P43" s="15">
        <f t="shared" si="1"/>
        <v>13</v>
      </c>
    </row>
    <row r="44" spans="2:32" ht="23.1" customHeight="1" x14ac:dyDescent="0.25">
      <c r="B44" s="25" t="s">
        <v>71</v>
      </c>
      <c r="C44" s="49">
        <f>AVERAGE('31.07 GULU-NIMULE'!C44,'01.07 GULU-NIMULE'!C44,'02.07 GULU-NIMULE'!C44,'03.07 GULU-NIMULE'!C44,'04.07 GULU-NIMULE-24h'!C44,'05.07 GULU-NIMULE-24h'!C44,'06.07 GULU-NIMULE'!C44)</f>
        <v>0.7142857142857143</v>
      </c>
      <c r="D44" s="49">
        <f>AVERAGE('31.07 GULU-NIMULE'!D44,'01.07 GULU-NIMULE'!D44,'02.07 GULU-NIMULE'!D44,'03.07 GULU-NIMULE'!D44,'04.07 GULU-NIMULE-24h'!D44,'05.07 GULU-NIMULE-24h'!D44,'06.07 GULU-NIMULE'!D44)</f>
        <v>1</v>
      </c>
      <c r="E44" s="49">
        <f>AVERAGE('31.07 GULU-NIMULE'!E44,'01.07 GULU-NIMULE'!E44,'02.07 GULU-NIMULE'!E44,'03.07 GULU-NIMULE'!E44,'04.07 GULU-NIMULE-24h'!E44,'05.07 GULU-NIMULE-24h'!E44,'06.07 GULU-NIMULE'!E44)</f>
        <v>1.1428571428571428</v>
      </c>
      <c r="F44" s="49">
        <f>AVERAGE('31.07 GULU-NIMULE'!F44,'01.07 GULU-NIMULE'!F44,'02.07 GULU-NIMULE'!F44,'03.07 GULU-NIMULE'!F44,'04.07 GULU-NIMULE-24h'!F44,'05.07 GULU-NIMULE-24h'!F44,'06.07 GULU-NIMULE'!F44)</f>
        <v>0</v>
      </c>
      <c r="G44" s="49">
        <f>AVERAGE('31.07 GULU-NIMULE'!G44,'01.07 GULU-NIMULE'!G44,'02.07 GULU-NIMULE'!G44,'03.07 GULU-NIMULE'!G44,'04.07 GULU-NIMULE-24h'!G44,'05.07 GULU-NIMULE-24h'!G44,'06.07 GULU-NIMULE'!G44)</f>
        <v>0</v>
      </c>
      <c r="H44" s="49">
        <f>AVERAGE('31.07 GULU-NIMULE'!H44,'01.07 GULU-NIMULE'!H44,'02.07 GULU-NIMULE'!H44,'03.07 GULU-NIMULE'!H44,'04.07 GULU-NIMULE-24h'!H44,'05.07 GULU-NIMULE-24h'!H44,'06.07 GULU-NIMULE'!H44)</f>
        <v>0</v>
      </c>
      <c r="I44" s="49">
        <f>AVERAGE('31.07 GULU-NIMULE'!I44,'01.07 GULU-NIMULE'!I44,'02.07 GULU-NIMULE'!I44,'03.07 GULU-NIMULE'!I44,'04.07 GULU-NIMULE-24h'!I44,'05.07 GULU-NIMULE-24h'!I44,'06.07 GULU-NIMULE'!I44)</f>
        <v>0.2857142857142857</v>
      </c>
      <c r="J44" s="49">
        <f>AVERAGE('31.07 GULU-NIMULE'!J44,'01.07 GULU-NIMULE'!J44,'02.07 GULU-NIMULE'!J44,'03.07 GULU-NIMULE'!J44,'04.07 GULU-NIMULE-24h'!J44,'05.07 GULU-NIMULE-24h'!J44,'06.07 GULU-NIMULE'!J44)</f>
        <v>0.7142857142857143</v>
      </c>
      <c r="K44" s="49">
        <f>AVERAGE('31.07 GULU-NIMULE'!K44,'01.07 GULU-NIMULE'!K44,'02.07 GULU-NIMULE'!K44,'03.07 GULU-NIMULE'!K44,'04.07 GULU-NIMULE-24h'!K44,'05.07 GULU-NIMULE-24h'!K44,'06.07 GULU-NIMULE'!K44)</f>
        <v>0</v>
      </c>
      <c r="L44" s="49">
        <f>AVERAGE('31.07 GULU-NIMULE'!L44,'01.07 GULU-NIMULE'!L44,'02.07 GULU-NIMULE'!L44,'03.07 GULU-NIMULE'!L44,'04.07 GULU-NIMULE-24h'!L44,'05.07 GULU-NIMULE-24h'!L44,'06.07 GULU-NIMULE'!L44)</f>
        <v>1.4285714285714286</v>
      </c>
      <c r="M44" s="49">
        <f>AVERAGE('31.07 GULU-NIMULE'!M44,'01.07 GULU-NIMULE'!M44,'02.07 GULU-NIMULE'!M44,'03.07 GULU-NIMULE'!M44,'04.07 GULU-NIMULE-24h'!M44,'05.07 GULU-NIMULE-24h'!M44,'06.07 GULU-NIMULE'!M44)</f>
        <v>11.142857142857142</v>
      </c>
      <c r="N44" s="49">
        <f>AVERAGE('31.07 GULU-NIMULE'!N44,'01.07 GULU-NIMULE'!N44,'02.07 GULU-NIMULE'!N44,'03.07 GULU-NIMULE'!N44,'04.07 GULU-NIMULE-24h'!N44,'05.07 GULU-NIMULE-24h'!N44,'06.07 GULU-NIMULE'!N44)</f>
        <v>0</v>
      </c>
      <c r="O44" s="15">
        <f t="shared" si="0"/>
        <v>5.2857142857142856</v>
      </c>
      <c r="P44" s="15">
        <f t="shared" si="1"/>
        <v>16.428571428571427</v>
      </c>
    </row>
    <row r="45" spans="2:32" ht="23.1" customHeight="1" x14ac:dyDescent="0.25">
      <c r="B45" s="23" t="s">
        <v>72</v>
      </c>
      <c r="C45" s="49">
        <f>AVERAGE('31.07 GULU-NIMULE'!C45,'01.07 GULU-NIMULE'!C45,'02.07 GULU-NIMULE'!C45,'03.07 GULU-NIMULE'!C45,'04.07 GULU-NIMULE-24h'!C45,'05.07 GULU-NIMULE-24h'!C45,'06.07 GULU-NIMULE'!C45)</f>
        <v>1.1428571428571428</v>
      </c>
      <c r="D45" s="49">
        <f>AVERAGE('31.07 GULU-NIMULE'!D45,'01.07 GULU-NIMULE'!D45,'02.07 GULU-NIMULE'!D45,'03.07 GULU-NIMULE'!D45,'04.07 GULU-NIMULE-24h'!D45,'05.07 GULU-NIMULE-24h'!D45,'06.07 GULU-NIMULE'!D45)</f>
        <v>0.5714285714285714</v>
      </c>
      <c r="E45" s="49">
        <f>AVERAGE('31.07 GULU-NIMULE'!E45,'01.07 GULU-NIMULE'!E45,'02.07 GULU-NIMULE'!E45,'03.07 GULU-NIMULE'!E45,'04.07 GULU-NIMULE-24h'!E45,'05.07 GULU-NIMULE-24h'!E45,'06.07 GULU-NIMULE'!E45)</f>
        <v>1.4285714285714286</v>
      </c>
      <c r="F45" s="49">
        <f>AVERAGE('31.07 GULU-NIMULE'!F45,'01.07 GULU-NIMULE'!F45,'02.07 GULU-NIMULE'!F45,'03.07 GULU-NIMULE'!F45,'04.07 GULU-NIMULE-24h'!F45,'05.07 GULU-NIMULE-24h'!F45,'06.07 GULU-NIMULE'!F45)</f>
        <v>0</v>
      </c>
      <c r="G45" s="49">
        <f>AVERAGE('31.07 GULU-NIMULE'!G45,'01.07 GULU-NIMULE'!G45,'02.07 GULU-NIMULE'!G45,'03.07 GULU-NIMULE'!G45,'04.07 GULU-NIMULE-24h'!G45,'05.07 GULU-NIMULE-24h'!G45,'06.07 GULU-NIMULE'!G45)</f>
        <v>0</v>
      </c>
      <c r="H45" s="49">
        <f>AVERAGE('31.07 GULU-NIMULE'!H45,'01.07 GULU-NIMULE'!H45,'02.07 GULU-NIMULE'!H45,'03.07 GULU-NIMULE'!H45,'04.07 GULU-NIMULE-24h'!H45,'05.07 GULU-NIMULE-24h'!H45,'06.07 GULU-NIMULE'!H45)</f>
        <v>0.42857142857142855</v>
      </c>
      <c r="I45" s="49">
        <f>AVERAGE('31.07 GULU-NIMULE'!I45,'01.07 GULU-NIMULE'!I45,'02.07 GULU-NIMULE'!I45,'03.07 GULU-NIMULE'!I45,'04.07 GULU-NIMULE-24h'!I45,'05.07 GULU-NIMULE-24h'!I45,'06.07 GULU-NIMULE'!I45)</f>
        <v>0.7142857142857143</v>
      </c>
      <c r="J45" s="49">
        <f>AVERAGE('31.07 GULU-NIMULE'!J45,'01.07 GULU-NIMULE'!J45,'02.07 GULU-NIMULE'!J45,'03.07 GULU-NIMULE'!J45,'04.07 GULU-NIMULE-24h'!J45,'05.07 GULU-NIMULE-24h'!J45,'06.07 GULU-NIMULE'!J45)</f>
        <v>0</v>
      </c>
      <c r="K45" s="49">
        <f>AVERAGE('31.07 GULU-NIMULE'!K45,'01.07 GULU-NIMULE'!K45,'02.07 GULU-NIMULE'!K45,'03.07 GULU-NIMULE'!K45,'04.07 GULU-NIMULE-24h'!K45,'05.07 GULU-NIMULE-24h'!K45,'06.07 GULU-NIMULE'!K45)</f>
        <v>0</v>
      </c>
      <c r="L45" s="49">
        <f>AVERAGE('31.07 GULU-NIMULE'!L45,'01.07 GULU-NIMULE'!L45,'02.07 GULU-NIMULE'!L45,'03.07 GULU-NIMULE'!L45,'04.07 GULU-NIMULE-24h'!L45,'05.07 GULU-NIMULE-24h'!L45,'06.07 GULU-NIMULE'!L45)</f>
        <v>1.7142857142857142</v>
      </c>
      <c r="M45" s="49">
        <f>AVERAGE('31.07 GULU-NIMULE'!M45,'01.07 GULU-NIMULE'!M45,'02.07 GULU-NIMULE'!M45,'03.07 GULU-NIMULE'!M45,'04.07 GULU-NIMULE-24h'!M45,'05.07 GULU-NIMULE-24h'!M45,'06.07 GULU-NIMULE'!M45)</f>
        <v>9.8571428571428577</v>
      </c>
      <c r="N45" s="49">
        <f>AVERAGE('31.07 GULU-NIMULE'!N45,'01.07 GULU-NIMULE'!N45,'02.07 GULU-NIMULE'!N45,'03.07 GULU-NIMULE'!N45,'04.07 GULU-NIMULE-24h'!N45,'05.07 GULU-NIMULE-24h'!N45,'06.07 GULU-NIMULE'!N45)</f>
        <v>0</v>
      </c>
      <c r="O45" s="15">
        <f t="shared" si="0"/>
        <v>6</v>
      </c>
      <c r="P45" s="15">
        <f t="shared" si="1"/>
        <v>15.857142857142858</v>
      </c>
    </row>
    <row r="46" spans="2:32" ht="23.1" customHeight="1" x14ac:dyDescent="0.25">
      <c r="B46" s="24" t="s">
        <v>73</v>
      </c>
      <c r="C46" s="49">
        <f>AVERAGE('31.07 GULU-NIMULE'!C46,'01.07 GULU-NIMULE'!C46,'02.07 GULU-NIMULE'!C46,'03.07 GULU-NIMULE'!C46,'04.07 GULU-NIMULE-24h'!C46,'05.07 GULU-NIMULE-24h'!C46,'06.07 GULU-NIMULE'!C46)</f>
        <v>1</v>
      </c>
      <c r="D46" s="49">
        <f>AVERAGE('31.07 GULU-NIMULE'!D46,'01.07 GULU-NIMULE'!D46,'02.07 GULU-NIMULE'!D46,'03.07 GULU-NIMULE'!D46,'04.07 GULU-NIMULE-24h'!D46,'05.07 GULU-NIMULE-24h'!D46,'06.07 GULU-NIMULE'!D46)</f>
        <v>0.14285714285714285</v>
      </c>
      <c r="E46" s="49">
        <f>AVERAGE('31.07 GULU-NIMULE'!E46,'01.07 GULU-NIMULE'!E46,'02.07 GULU-NIMULE'!E46,'03.07 GULU-NIMULE'!E46,'04.07 GULU-NIMULE-24h'!E46,'05.07 GULU-NIMULE-24h'!E46,'06.07 GULU-NIMULE'!E46)</f>
        <v>0.8571428571428571</v>
      </c>
      <c r="F46" s="49">
        <f>AVERAGE('31.07 GULU-NIMULE'!F46,'01.07 GULU-NIMULE'!F46,'02.07 GULU-NIMULE'!F46,'03.07 GULU-NIMULE'!F46,'04.07 GULU-NIMULE-24h'!F46,'05.07 GULU-NIMULE-24h'!F46,'06.07 GULU-NIMULE'!F46)</f>
        <v>0</v>
      </c>
      <c r="G46" s="49">
        <f>AVERAGE('31.07 GULU-NIMULE'!G46,'01.07 GULU-NIMULE'!G46,'02.07 GULU-NIMULE'!G46,'03.07 GULU-NIMULE'!G46,'04.07 GULU-NIMULE-24h'!G46,'05.07 GULU-NIMULE-24h'!G46,'06.07 GULU-NIMULE'!G46)</f>
        <v>0</v>
      </c>
      <c r="H46" s="49">
        <f>AVERAGE('31.07 GULU-NIMULE'!H46,'01.07 GULU-NIMULE'!H46,'02.07 GULU-NIMULE'!H46,'03.07 GULU-NIMULE'!H46,'04.07 GULU-NIMULE-24h'!H46,'05.07 GULU-NIMULE-24h'!H46,'06.07 GULU-NIMULE'!H46)</f>
        <v>1</v>
      </c>
      <c r="I46" s="49">
        <f>AVERAGE('31.07 GULU-NIMULE'!I46,'01.07 GULU-NIMULE'!I46,'02.07 GULU-NIMULE'!I46,'03.07 GULU-NIMULE'!I46,'04.07 GULU-NIMULE-24h'!I46,'05.07 GULU-NIMULE-24h'!I46,'06.07 GULU-NIMULE'!I46)</f>
        <v>0.5714285714285714</v>
      </c>
      <c r="J46" s="49">
        <f>AVERAGE('31.07 GULU-NIMULE'!J46,'01.07 GULU-NIMULE'!J46,'02.07 GULU-NIMULE'!J46,'03.07 GULU-NIMULE'!J46,'04.07 GULU-NIMULE-24h'!J46,'05.07 GULU-NIMULE-24h'!J46,'06.07 GULU-NIMULE'!J46)</f>
        <v>0.42857142857142855</v>
      </c>
      <c r="K46" s="49">
        <f>AVERAGE('31.07 GULU-NIMULE'!K46,'01.07 GULU-NIMULE'!K46,'02.07 GULU-NIMULE'!K46,'03.07 GULU-NIMULE'!K46,'04.07 GULU-NIMULE-24h'!K46,'05.07 GULU-NIMULE-24h'!K46,'06.07 GULU-NIMULE'!K46)</f>
        <v>0</v>
      </c>
      <c r="L46" s="49">
        <f>AVERAGE('31.07 GULU-NIMULE'!L46,'01.07 GULU-NIMULE'!L46,'02.07 GULU-NIMULE'!L46,'03.07 GULU-NIMULE'!L46,'04.07 GULU-NIMULE-24h'!L46,'05.07 GULU-NIMULE-24h'!L46,'06.07 GULU-NIMULE'!L46)</f>
        <v>1.1428571428571428</v>
      </c>
      <c r="M46" s="49">
        <f>AVERAGE('31.07 GULU-NIMULE'!M46,'01.07 GULU-NIMULE'!M46,'02.07 GULU-NIMULE'!M46,'03.07 GULU-NIMULE'!M46,'04.07 GULU-NIMULE-24h'!M46,'05.07 GULU-NIMULE-24h'!M46,'06.07 GULU-NIMULE'!M46)</f>
        <v>9.5714285714285712</v>
      </c>
      <c r="N46" s="49">
        <f>AVERAGE('31.07 GULU-NIMULE'!N46,'01.07 GULU-NIMULE'!N46,'02.07 GULU-NIMULE'!N46,'03.07 GULU-NIMULE'!N46,'04.07 GULU-NIMULE-24h'!N46,'05.07 GULU-NIMULE-24h'!N46,'06.07 GULU-NIMULE'!N46)</f>
        <v>0</v>
      </c>
      <c r="O46" s="15">
        <f t="shared" si="0"/>
        <v>5.1428571428571423</v>
      </c>
      <c r="P46" s="15">
        <f t="shared" si="1"/>
        <v>14.714285714285714</v>
      </c>
      <c r="R46" s="8"/>
      <c r="T46"/>
    </row>
    <row r="47" spans="2:32" ht="23.1" customHeight="1" x14ac:dyDescent="0.25">
      <c r="B47" s="24" t="s">
        <v>74</v>
      </c>
      <c r="C47" s="49">
        <f>AVERAGE('31.07 GULU-NIMULE'!C47,'01.07 GULU-NIMULE'!C47,'02.07 GULU-NIMULE'!C47,'03.07 GULU-NIMULE'!C47,'04.07 GULU-NIMULE-24h'!C47,'05.07 GULU-NIMULE-24h'!C47,'06.07 GULU-NIMULE'!C47)</f>
        <v>0.5714285714285714</v>
      </c>
      <c r="D47" s="49">
        <f>AVERAGE('31.07 GULU-NIMULE'!D47,'01.07 GULU-NIMULE'!D47,'02.07 GULU-NIMULE'!D47,'03.07 GULU-NIMULE'!D47,'04.07 GULU-NIMULE-24h'!D47,'05.07 GULU-NIMULE-24h'!D47,'06.07 GULU-NIMULE'!D47)</f>
        <v>0.8571428571428571</v>
      </c>
      <c r="E47" s="49">
        <f>AVERAGE('31.07 GULU-NIMULE'!E47,'01.07 GULU-NIMULE'!E47,'02.07 GULU-NIMULE'!E47,'03.07 GULU-NIMULE'!E47,'04.07 GULU-NIMULE-24h'!E47,'05.07 GULU-NIMULE-24h'!E47,'06.07 GULU-NIMULE'!E47)</f>
        <v>1</v>
      </c>
      <c r="F47" s="49">
        <f>AVERAGE('31.07 GULU-NIMULE'!F47,'01.07 GULU-NIMULE'!F47,'02.07 GULU-NIMULE'!F47,'03.07 GULU-NIMULE'!F47,'04.07 GULU-NIMULE-24h'!F47,'05.07 GULU-NIMULE-24h'!F47,'06.07 GULU-NIMULE'!F47)</f>
        <v>0</v>
      </c>
      <c r="G47" s="49">
        <f>AVERAGE('31.07 GULU-NIMULE'!G47,'01.07 GULU-NIMULE'!G47,'02.07 GULU-NIMULE'!G47,'03.07 GULU-NIMULE'!G47,'04.07 GULU-NIMULE-24h'!G47,'05.07 GULU-NIMULE-24h'!G47,'06.07 GULU-NIMULE'!G47)</f>
        <v>0</v>
      </c>
      <c r="H47" s="49">
        <f>AVERAGE('31.07 GULU-NIMULE'!H47,'01.07 GULU-NIMULE'!H47,'02.07 GULU-NIMULE'!H47,'03.07 GULU-NIMULE'!H47,'04.07 GULU-NIMULE-24h'!H47,'05.07 GULU-NIMULE-24h'!H47,'06.07 GULU-NIMULE'!H47)</f>
        <v>0.42857142857142855</v>
      </c>
      <c r="I47" s="49">
        <f>AVERAGE('31.07 GULU-NIMULE'!I47,'01.07 GULU-NIMULE'!I47,'02.07 GULU-NIMULE'!I47,'03.07 GULU-NIMULE'!I47,'04.07 GULU-NIMULE-24h'!I47,'05.07 GULU-NIMULE-24h'!I47,'06.07 GULU-NIMULE'!I47)</f>
        <v>0.2857142857142857</v>
      </c>
      <c r="J47" s="49">
        <f>AVERAGE('31.07 GULU-NIMULE'!J47,'01.07 GULU-NIMULE'!J47,'02.07 GULU-NIMULE'!J47,'03.07 GULU-NIMULE'!J47,'04.07 GULU-NIMULE-24h'!J47,'05.07 GULU-NIMULE-24h'!J47,'06.07 GULU-NIMULE'!J47)</f>
        <v>0.14285714285714285</v>
      </c>
      <c r="K47" s="49">
        <f>AVERAGE('31.07 GULU-NIMULE'!K47,'01.07 GULU-NIMULE'!K47,'02.07 GULU-NIMULE'!K47,'03.07 GULU-NIMULE'!K47,'04.07 GULU-NIMULE-24h'!K47,'05.07 GULU-NIMULE-24h'!K47,'06.07 GULU-NIMULE'!K47)</f>
        <v>0.14285714285714285</v>
      </c>
      <c r="L47" s="49">
        <f>AVERAGE('31.07 GULU-NIMULE'!L47,'01.07 GULU-NIMULE'!L47,'02.07 GULU-NIMULE'!L47,'03.07 GULU-NIMULE'!L47,'04.07 GULU-NIMULE-24h'!L47,'05.07 GULU-NIMULE-24h'!L47,'06.07 GULU-NIMULE'!L47)</f>
        <v>2.1428571428571428</v>
      </c>
      <c r="M47" s="49">
        <f>AVERAGE('31.07 GULU-NIMULE'!M47,'01.07 GULU-NIMULE'!M47,'02.07 GULU-NIMULE'!M47,'03.07 GULU-NIMULE'!M47,'04.07 GULU-NIMULE-24h'!M47,'05.07 GULU-NIMULE-24h'!M47,'06.07 GULU-NIMULE'!M47)</f>
        <v>11.714285714285714</v>
      </c>
      <c r="N47" s="49">
        <f>AVERAGE('31.07 GULU-NIMULE'!N47,'01.07 GULU-NIMULE'!N47,'02.07 GULU-NIMULE'!N47,'03.07 GULU-NIMULE'!N47,'04.07 GULU-NIMULE-24h'!N47,'05.07 GULU-NIMULE-24h'!N47,'06.07 GULU-NIMULE'!N47)</f>
        <v>0</v>
      </c>
      <c r="O47" s="15">
        <f t="shared" si="0"/>
        <v>5.5714285714285712</v>
      </c>
      <c r="P47" s="15">
        <f t="shared" si="1"/>
        <v>17.285714285714285</v>
      </c>
      <c r="R47" s="8"/>
      <c r="T47"/>
    </row>
    <row r="48" spans="2:32" ht="23.1" customHeight="1" x14ac:dyDescent="0.25">
      <c r="B48" s="24" t="s">
        <v>75</v>
      </c>
      <c r="C48" s="49">
        <f>AVERAGE('31.07 GULU-NIMULE'!C48,'01.07 GULU-NIMULE'!C48,'02.07 GULU-NIMULE'!C48,'03.07 GULU-NIMULE'!C48,'04.07 GULU-NIMULE-24h'!C48,'05.07 GULU-NIMULE-24h'!C48,'06.07 GULU-NIMULE'!C48)</f>
        <v>0.2857142857142857</v>
      </c>
      <c r="D48" s="49">
        <f>AVERAGE('31.07 GULU-NIMULE'!D48,'01.07 GULU-NIMULE'!D48,'02.07 GULU-NIMULE'!D48,'03.07 GULU-NIMULE'!D48,'04.07 GULU-NIMULE-24h'!D48,'05.07 GULU-NIMULE-24h'!D48,'06.07 GULU-NIMULE'!D48)</f>
        <v>0.7142857142857143</v>
      </c>
      <c r="E48" s="49">
        <f>AVERAGE('31.07 GULU-NIMULE'!E48,'01.07 GULU-NIMULE'!E48,'02.07 GULU-NIMULE'!E48,'03.07 GULU-NIMULE'!E48,'04.07 GULU-NIMULE-24h'!E48,'05.07 GULU-NIMULE-24h'!E48,'06.07 GULU-NIMULE'!E48)</f>
        <v>0.42857142857142855</v>
      </c>
      <c r="F48" s="49">
        <f>AVERAGE('31.07 GULU-NIMULE'!F48,'01.07 GULU-NIMULE'!F48,'02.07 GULU-NIMULE'!F48,'03.07 GULU-NIMULE'!F48,'04.07 GULU-NIMULE-24h'!F48,'05.07 GULU-NIMULE-24h'!F48,'06.07 GULU-NIMULE'!F48)</f>
        <v>0</v>
      </c>
      <c r="G48" s="49">
        <f>AVERAGE('31.07 GULU-NIMULE'!G48,'01.07 GULU-NIMULE'!G48,'02.07 GULU-NIMULE'!G48,'03.07 GULU-NIMULE'!G48,'04.07 GULU-NIMULE-24h'!G48,'05.07 GULU-NIMULE-24h'!G48,'06.07 GULU-NIMULE'!G48)</f>
        <v>0</v>
      </c>
      <c r="H48" s="49">
        <f>AVERAGE('31.07 GULU-NIMULE'!H48,'01.07 GULU-NIMULE'!H48,'02.07 GULU-NIMULE'!H48,'03.07 GULU-NIMULE'!H48,'04.07 GULU-NIMULE-24h'!H48,'05.07 GULU-NIMULE-24h'!H48,'06.07 GULU-NIMULE'!H48)</f>
        <v>0.42857142857142855</v>
      </c>
      <c r="I48" s="49">
        <f>AVERAGE('31.07 GULU-NIMULE'!I48,'01.07 GULU-NIMULE'!I48,'02.07 GULU-NIMULE'!I48,'03.07 GULU-NIMULE'!I48,'04.07 GULU-NIMULE-24h'!I48,'05.07 GULU-NIMULE-24h'!I48,'06.07 GULU-NIMULE'!I48)</f>
        <v>0.5714285714285714</v>
      </c>
      <c r="J48" s="49">
        <f>AVERAGE('31.07 GULU-NIMULE'!J48,'01.07 GULU-NIMULE'!J48,'02.07 GULU-NIMULE'!J48,'03.07 GULU-NIMULE'!J48,'04.07 GULU-NIMULE-24h'!J48,'05.07 GULU-NIMULE-24h'!J48,'06.07 GULU-NIMULE'!J48)</f>
        <v>0.14285714285714285</v>
      </c>
      <c r="K48" s="49">
        <f>AVERAGE('31.07 GULU-NIMULE'!K48,'01.07 GULU-NIMULE'!K48,'02.07 GULU-NIMULE'!K48,'03.07 GULU-NIMULE'!K48,'04.07 GULU-NIMULE-24h'!K48,'05.07 GULU-NIMULE-24h'!K48,'06.07 GULU-NIMULE'!K48)</f>
        <v>0</v>
      </c>
      <c r="L48" s="49">
        <f>AVERAGE('31.07 GULU-NIMULE'!L48,'01.07 GULU-NIMULE'!L48,'02.07 GULU-NIMULE'!L48,'03.07 GULU-NIMULE'!L48,'04.07 GULU-NIMULE-24h'!L48,'05.07 GULU-NIMULE-24h'!L48,'06.07 GULU-NIMULE'!L48)</f>
        <v>1.5714285714285714</v>
      </c>
      <c r="M48" s="49">
        <f>AVERAGE('31.07 GULU-NIMULE'!M48,'01.07 GULU-NIMULE'!M48,'02.07 GULU-NIMULE'!M48,'03.07 GULU-NIMULE'!M48,'04.07 GULU-NIMULE-24h'!M48,'05.07 GULU-NIMULE-24h'!M48,'06.07 GULU-NIMULE'!M48)</f>
        <v>9.8571428571428577</v>
      </c>
      <c r="N48" s="49">
        <f>AVERAGE('31.07 GULU-NIMULE'!N48,'01.07 GULU-NIMULE'!N48,'02.07 GULU-NIMULE'!N48,'03.07 GULU-NIMULE'!N48,'04.07 GULU-NIMULE-24h'!N48,'05.07 GULU-NIMULE-24h'!N48,'06.07 GULU-NIMULE'!N48)</f>
        <v>0</v>
      </c>
      <c r="O48" s="15">
        <f t="shared" si="0"/>
        <v>4.1428571428571432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49">
        <f>AVERAGE('31.07 GULU-NIMULE'!C49,'01.07 GULU-NIMULE'!C49,'02.07 GULU-NIMULE'!C49,'03.07 GULU-NIMULE'!C49,'04.07 GULU-NIMULE-24h'!C49,'05.07 GULU-NIMULE-24h'!C49,'06.07 GULU-NIMULE'!C49)</f>
        <v>1.5714285714285714</v>
      </c>
      <c r="D49" s="49">
        <f>AVERAGE('31.07 GULU-NIMULE'!D49,'01.07 GULU-NIMULE'!D49,'02.07 GULU-NIMULE'!D49,'03.07 GULU-NIMULE'!D49,'04.07 GULU-NIMULE-24h'!D49,'05.07 GULU-NIMULE-24h'!D49,'06.07 GULU-NIMULE'!D49)</f>
        <v>0.7142857142857143</v>
      </c>
      <c r="E49" s="49">
        <f>AVERAGE('31.07 GULU-NIMULE'!E49,'01.07 GULU-NIMULE'!E49,'02.07 GULU-NIMULE'!E49,'03.07 GULU-NIMULE'!E49,'04.07 GULU-NIMULE-24h'!E49,'05.07 GULU-NIMULE-24h'!E49,'06.07 GULU-NIMULE'!E49)</f>
        <v>0.8571428571428571</v>
      </c>
      <c r="F49" s="49">
        <f>AVERAGE('31.07 GULU-NIMULE'!F49,'01.07 GULU-NIMULE'!F49,'02.07 GULU-NIMULE'!F49,'03.07 GULU-NIMULE'!F49,'04.07 GULU-NIMULE-24h'!F49,'05.07 GULU-NIMULE-24h'!F49,'06.07 GULU-NIMULE'!F49)</f>
        <v>0</v>
      </c>
      <c r="G49" s="49">
        <f>AVERAGE('31.07 GULU-NIMULE'!G49,'01.07 GULU-NIMULE'!G49,'02.07 GULU-NIMULE'!G49,'03.07 GULU-NIMULE'!G49,'04.07 GULU-NIMULE-24h'!G49,'05.07 GULU-NIMULE-24h'!G49,'06.07 GULU-NIMULE'!G49)</f>
        <v>0</v>
      </c>
      <c r="H49" s="49">
        <f>AVERAGE('31.07 GULU-NIMULE'!H49,'01.07 GULU-NIMULE'!H49,'02.07 GULU-NIMULE'!H49,'03.07 GULU-NIMULE'!H49,'04.07 GULU-NIMULE-24h'!H49,'05.07 GULU-NIMULE-24h'!H49,'06.07 GULU-NIMULE'!H49)</f>
        <v>0.42857142857142855</v>
      </c>
      <c r="I49" s="49">
        <f>AVERAGE('31.07 GULU-NIMULE'!I49,'01.07 GULU-NIMULE'!I49,'02.07 GULU-NIMULE'!I49,'03.07 GULU-NIMULE'!I49,'04.07 GULU-NIMULE-24h'!I49,'05.07 GULU-NIMULE-24h'!I49,'06.07 GULU-NIMULE'!I49)</f>
        <v>0.14285714285714285</v>
      </c>
      <c r="J49" s="49">
        <f>AVERAGE('31.07 GULU-NIMULE'!J49,'01.07 GULU-NIMULE'!J49,'02.07 GULU-NIMULE'!J49,'03.07 GULU-NIMULE'!J49,'04.07 GULU-NIMULE-24h'!J49,'05.07 GULU-NIMULE-24h'!J49,'06.07 GULU-NIMULE'!J49)</f>
        <v>0</v>
      </c>
      <c r="K49" s="49">
        <f>AVERAGE('31.07 GULU-NIMULE'!K49,'01.07 GULU-NIMULE'!K49,'02.07 GULU-NIMULE'!K49,'03.07 GULU-NIMULE'!K49,'04.07 GULU-NIMULE-24h'!K49,'05.07 GULU-NIMULE-24h'!K49,'06.07 GULU-NIMULE'!K49)</f>
        <v>0</v>
      </c>
      <c r="L49" s="49">
        <f>AVERAGE('31.07 GULU-NIMULE'!L49,'01.07 GULU-NIMULE'!L49,'02.07 GULU-NIMULE'!L49,'03.07 GULU-NIMULE'!L49,'04.07 GULU-NIMULE-24h'!L49,'05.07 GULU-NIMULE-24h'!L49,'06.07 GULU-NIMULE'!L49)</f>
        <v>2</v>
      </c>
      <c r="M49" s="49">
        <f>AVERAGE('31.07 GULU-NIMULE'!M49,'01.07 GULU-NIMULE'!M49,'02.07 GULU-NIMULE'!M49,'03.07 GULU-NIMULE'!M49,'04.07 GULU-NIMULE-24h'!M49,'05.07 GULU-NIMULE-24h'!M49,'06.07 GULU-NIMULE'!M49)</f>
        <v>7.8571428571428568</v>
      </c>
      <c r="N49" s="49">
        <f>AVERAGE('31.07 GULU-NIMULE'!N49,'01.07 GULU-NIMULE'!N49,'02.07 GULU-NIMULE'!N49,'03.07 GULU-NIMULE'!N49,'04.07 GULU-NIMULE-24h'!N49,'05.07 GULU-NIMULE-24h'!N49,'06.07 GULU-NIMULE'!N49)</f>
        <v>0</v>
      </c>
      <c r="O49" s="15">
        <f t="shared" si="0"/>
        <v>5.7142857142857135</v>
      </c>
      <c r="P49" s="15">
        <f t="shared" si="1"/>
        <v>13.571428571428569</v>
      </c>
      <c r="R49" s="8"/>
      <c r="T49"/>
    </row>
    <row r="50" spans="2:20" ht="23.1" customHeight="1" x14ac:dyDescent="0.25">
      <c r="B50" s="24" t="s">
        <v>77</v>
      </c>
      <c r="C50" s="49">
        <f>AVERAGE('31.07 GULU-NIMULE'!C50,'01.07 GULU-NIMULE'!C50,'02.07 GULU-NIMULE'!C50,'03.07 GULU-NIMULE'!C50,'04.07 GULU-NIMULE-24h'!C50,'05.07 GULU-NIMULE-24h'!C50,'06.07 GULU-NIMULE'!C50)</f>
        <v>1.4285714285714286</v>
      </c>
      <c r="D50" s="49">
        <f>AVERAGE('31.07 GULU-NIMULE'!D50,'01.07 GULU-NIMULE'!D50,'02.07 GULU-NIMULE'!D50,'03.07 GULU-NIMULE'!D50,'04.07 GULU-NIMULE-24h'!D50,'05.07 GULU-NIMULE-24h'!D50,'06.07 GULU-NIMULE'!D50)</f>
        <v>0.2857142857142857</v>
      </c>
      <c r="E50" s="49">
        <f>AVERAGE('31.07 GULU-NIMULE'!E50,'01.07 GULU-NIMULE'!E50,'02.07 GULU-NIMULE'!E50,'03.07 GULU-NIMULE'!E50,'04.07 GULU-NIMULE-24h'!E50,'05.07 GULU-NIMULE-24h'!E50,'06.07 GULU-NIMULE'!E50)</f>
        <v>1.1428571428571428</v>
      </c>
      <c r="F50" s="49">
        <f>AVERAGE('31.07 GULU-NIMULE'!F50,'01.07 GULU-NIMULE'!F50,'02.07 GULU-NIMULE'!F50,'03.07 GULU-NIMULE'!F50,'04.07 GULU-NIMULE-24h'!F50,'05.07 GULU-NIMULE-24h'!F50,'06.07 GULU-NIMULE'!F50)</f>
        <v>0</v>
      </c>
      <c r="G50" s="49">
        <f>AVERAGE('31.07 GULU-NIMULE'!G50,'01.07 GULU-NIMULE'!G50,'02.07 GULU-NIMULE'!G50,'03.07 GULU-NIMULE'!G50,'04.07 GULU-NIMULE-24h'!G50,'05.07 GULU-NIMULE-24h'!G50,'06.07 GULU-NIMULE'!G50)</f>
        <v>0.14285714285714285</v>
      </c>
      <c r="H50" s="49">
        <f>AVERAGE('31.07 GULU-NIMULE'!H50,'01.07 GULU-NIMULE'!H50,'02.07 GULU-NIMULE'!H50,'03.07 GULU-NIMULE'!H50,'04.07 GULU-NIMULE-24h'!H50,'05.07 GULU-NIMULE-24h'!H50,'06.07 GULU-NIMULE'!H50)</f>
        <v>0.2857142857142857</v>
      </c>
      <c r="I50" s="49">
        <f>AVERAGE('31.07 GULU-NIMULE'!I50,'01.07 GULU-NIMULE'!I50,'02.07 GULU-NIMULE'!I50,'03.07 GULU-NIMULE'!I50,'04.07 GULU-NIMULE-24h'!I50,'05.07 GULU-NIMULE-24h'!I50,'06.07 GULU-NIMULE'!I50)</f>
        <v>0.2857142857142857</v>
      </c>
      <c r="J50" s="49">
        <f>AVERAGE('31.07 GULU-NIMULE'!J50,'01.07 GULU-NIMULE'!J50,'02.07 GULU-NIMULE'!J50,'03.07 GULU-NIMULE'!J50,'04.07 GULU-NIMULE-24h'!J50,'05.07 GULU-NIMULE-24h'!J50,'06.07 GULU-NIMULE'!J50)</f>
        <v>0.14285714285714285</v>
      </c>
      <c r="K50" s="49">
        <f>AVERAGE('31.07 GULU-NIMULE'!K50,'01.07 GULU-NIMULE'!K50,'02.07 GULU-NIMULE'!K50,'03.07 GULU-NIMULE'!K50,'04.07 GULU-NIMULE-24h'!K50,'05.07 GULU-NIMULE-24h'!K50,'06.07 GULU-NIMULE'!K50)</f>
        <v>0</v>
      </c>
      <c r="L50" s="49">
        <f>AVERAGE('31.07 GULU-NIMULE'!L50,'01.07 GULU-NIMULE'!L50,'02.07 GULU-NIMULE'!L50,'03.07 GULU-NIMULE'!L50,'04.07 GULU-NIMULE-24h'!L50,'05.07 GULU-NIMULE-24h'!L50,'06.07 GULU-NIMULE'!L50)</f>
        <v>1.8571428571428572</v>
      </c>
      <c r="M50" s="49">
        <f>AVERAGE('31.07 GULU-NIMULE'!M50,'01.07 GULU-NIMULE'!M50,'02.07 GULU-NIMULE'!M50,'03.07 GULU-NIMULE'!M50,'04.07 GULU-NIMULE-24h'!M50,'05.07 GULU-NIMULE-24h'!M50,'06.07 GULU-NIMULE'!M50)</f>
        <v>11.142857142857142</v>
      </c>
      <c r="N50" s="49">
        <f>AVERAGE('31.07 GULU-NIMULE'!N50,'01.07 GULU-NIMULE'!N50,'02.07 GULU-NIMULE'!N50,'03.07 GULU-NIMULE'!N50,'04.07 GULU-NIMULE-24h'!N50,'05.07 GULU-NIMULE-24h'!N50,'06.07 GULU-NIMULE'!N50)</f>
        <v>0</v>
      </c>
      <c r="O50" s="15">
        <f t="shared" si="0"/>
        <v>5.5714285714285712</v>
      </c>
      <c r="P50" s="15">
        <f t="shared" si="1"/>
        <v>16.714285714285715</v>
      </c>
      <c r="R50" s="8"/>
      <c r="T50"/>
    </row>
    <row r="51" spans="2:20" ht="23.1" customHeight="1" x14ac:dyDescent="0.25">
      <c r="B51" s="24" t="s">
        <v>78</v>
      </c>
      <c r="C51" s="49">
        <f>AVERAGE('31.07 GULU-NIMULE'!C51,'01.07 GULU-NIMULE'!C51,'02.07 GULU-NIMULE'!C51,'03.07 GULU-NIMULE'!C51,'04.07 GULU-NIMULE-24h'!C51,'05.07 GULU-NIMULE-24h'!C51,'06.07 GULU-NIMULE'!C51)</f>
        <v>0.8571428571428571</v>
      </c>
      <c r="D51" s="49">
        <f>AVERAGE('31.07 GULU-NIMULE'!D51,'01.07 GULU-NIMULE'!D51,'02.07 GULU-NIMULE'!D51,'03.07 GULU-NIMULE'!D51,'04.07 GULU-NIMULE-24h'!D51,'05.07 GULU-NIMULE-24h'!D51,'06.07 GULU-NIMULE'!D51)</f>
        <v>0.8571428571428571</v>
      </c>
      <c r="E51" s="49">
        <f>AVERAGE('31.07 GULU-NIMULE'!E51,'01.07 GULU-NIMULE'!E51,'02.07 GULU-NIMULE'!E51,'03.07 GULU-NIMULE'!E51,'04.07 GULU-NIMULE-24h'!E51,'05.07 GULU-NIMULE-24h'!E51,'06.07 GULU-NIMULE'!E51)</f>
        <v>1.2857142857142858</v>
      </c>
      <c r="F51" s="49">
        <f>AVERAGE('31.07 GULU-NIMULE'!F51,'01.07 GULU-NIMULE'!F51,'02.07 GULU-NIMULE'!F51,'03.07 GULU-NIMULE'!F51,'04.07 GULU-NIMULE-24h'!F51,'05.07 GULU-NIMULE-24h'!F51,'06.07 GULU-NIMULE'!F51)</f>
        <v>0</v>
      </c>
      <c r="G51" s="49">
        <f>AVERAGE('31.07 GULU-NIMULE'!G51,'01.07 GULU-NIMULE'!G51,'02.07 GULU-NIMULE'!G51,'03.07 GULU-NIMULE'!G51,'04.07 GULU-NIMULE-24h'!G51,'05.07 GULU-NIMULE-24h'!G51,'06.07 GULU-NIMULE'!G51)</f>
        <v>0</v>
      </c>
      <c r="H51" s="49">
        <f>AVERAGE('31.07 GULU-NIMULE'!H51,'01.07 GULU-NIMULE'!H51,'02.07 GULU-NIMULE'!H51,'03.07 GULU-NIMULE'!H51,'04.07 GULU-NIMULE-24h'!H51,'05.07 GULU-NIMULE-24h'!H51,'06.07 GULU-NIMULE'!H51)</f>
        <v>0.5714285714285714</v>
      </c>
      <c r="I51" s="49">
        <f>AVERAGE('31.07 GULU-NIMULE'!I51,'01.07 GULU-NIMULE'!I51,'02.07 GULU-NIMULE'!I51,'03.07 GULU-NIMULE'!I51,'04.07 GULU-NIMULE-24h'!I51,'05.07 GULU-NIMULE-24h'!I51,'06.07 GULU-NIMULE'!I51)</f>
        <v>0.2857142857142857</v>
      </c>
      <c r="J51" s="49">
        <f>AVERAGE('31.07 GULU-NIMULE'!J51,'01.07 GULU-NIMULE'!J51,'02.07 GULU-NIMULE'!J51,'03.07 GULU-NIMULE'!J51,'04.07 GULU-NIMULE-24h'!J51,'05.07 GULU-NIMULE-24h'!J51,'06.07 GULU-NIMULE'!J51)</f>
        <v>0.14285714285714285</v>
      </c>
      <c r="K51" s="49">
        <f>AVERAGE('31.07 GULU-NIMULE'!K51,'01.07 GULU-NIMULE'!K51,'02.07 GULU-NIMULE'!K51,'03.07 GULU-NIMULE'!K51,'04.07 GULU-NIMULE-24h'!K51,'05.07 GULU-NIMULE-24h'!K51,'06.07 GULU-NIMULE'!K51)</f>
        <v>0</v>
      </c>
      <c r="L51" s="49">
        <f>AVERAGE('31.07 GULU-NIMULE'!L51,'01.07 GULU-NIMULE'!L51,'02.07 GULU-NIMULE'!L51,'03.07 GULU-NIMULE'!L51,'04.07 GULU-NIMULE-24h'!L51,'05.07 GULU-NIMULE-24h'!L51,'06.07 GULU-NIMULE'!L51)</f>
        <v>1.4285714285714286</v>
      </c>
      <c r="M51" s="49">
        <f>AVERAGE('31.07 GULU-NIMULE'!M51,'01.07 GULU-NIMULE'!M51,'02.07 GULU-NIMULE'!M51,'03.07 GULU-NIMULE'!M51,'04.07 GULU-NIMULE-24h'!M51,'05.07 GULU-NIMULE-24h'!M51,'06.07 GULU-NIMULE'!M51)</f>
        <v>14.142857142857142</v>
      </c>
      <c r="N51" s="49">
        <f>AVERAGE('31.07 GULU-NIMULE'!N51,'01.07 GULU-NIMULE'!N51,'02.07 GULU-NIMULE'!N51,'03.07 GULU-NIMULE'!N51,'04.07 GULU-NIMULE-24h'!N51,'05.07 GULU-NIMULE-24h'!N51,'06.07 GULU-NIMULE'!N51)</f>
        <v>0</v>
      </c>
      <c r="O51" s="15">
        <f t="shared" si="0"/>
        <v>5.4285714285714279</v>
      </c>
      <c r="P51" s="15">
        <f t="shared" si="1"/>
        <v>19.571428571428569</v>
      </c>
      <c r="R51" s="8"/>
      <c r="T51"/>
    </row>
    <row r="52" spans="2:20" ht="23.1" customHeight="1" x14ac:dyDescent="0.25">
      <c r="B52" s="24" t="s">
        <v>79</v>
      </c>
      <c r="C52" s="49">
        <f>AVERAGE('31.07 GULU-NIMULE'!C52,'01.07 GULU-NIMULE'!C52,'02.07 GULU-NIMULE'!C52,'03.07 GULU-NIMULE'!C52,'04.07 GULU-NIMULE-24h'!C52,'05.07 GULU-NIMULE-24h'!C52,'06.07 GULU-NIMULE'!C52)</f>
        <v>1.1428571428571428</v>
      </c>
      <c r="D52" s="49">
        <f>AVERAGE('31.07 GULU-NIMULE'!D52,'01.07 GULU-NIMULE'!D52,'02.07 GULU-NIMULE'!D52,'03.07 GULU-NIMULE'!D52,'04.07 GULU-NIMULE-24h'!D52,'05.07 GULU-NIMULE-24h'!D52,'06.07 GULU-NIMULE'!D52)</f>
        <v>0.42857142857142855</v>
      </c>
      <c r="E52" s="49">
        <f>AVERAGE('31.07 GULU-NIMULE'!E52,'01.07 GULU-NIMULE'!E52,'02.07 GULU-NIMULE'!E52,'03.07 GULU-NIMULE'!E52,'04.07 GULU-NIMULE-24h'!E52,'05.07 GULU-NIMULE-24h'!E52,'06.07 GULU-NIMULE'!E52)</f>
        <v>1</v>
      </c>
      <c r="F52" s="49">
        <f>AVERAGE('31.07 GULU-NIMULE'!F52,'01.07 GULU-NIMULE'!F52,'02.07 GULU-NIMULE'!F52,'03.07 GULU-NIMULE'!F52,'04.07 GULU-NIMULE-24h'!F52,'05.07 GULU-NIMULE-24h'!F52,'06.07 GULU-NIMULE'!F52)</f>
        <v>0</v>
      </c>
      <c r="G52" s="49">
        <f>AVERAGE('31.07 GULU-NIMULE'!G52,'01.07 GULU-NIMULE'!G52,'02.07 GULU-NIMULE'!G52,'03.07 GULU-NIMULE'!G52,'04.07 GULU-NIMULE-24h'!G52,'05.07 GULU-NIMULE-24h'!G52,'06.07 GULU-NIMULE'!G52)</f>
        <v>0</v>
      </c>
      <c r="H52" s="49">
        <f>AVERAGE('31.07 GULU-NIMULE'!H52,'01.07 GULU-NIMULE'!H52,'02.07 GULU-NIMULE'!H52,'03.07 GULU-NIMULE'!H52,'04.07 GULU-NIMULE-24h'!H52,'05.07 GULU-NIMULE-24h'!H52,'06.07 GULU-NIMULE'!H52)</f>
        <v>0.14285714285714285</v>
      </c>
      <c r="I52" s="49">
        <f>AVERAGE('31.07 GULU-NIMULE'!I52,'01.07 GULU-NIMULE'!I52,'02.07 GULU-NIMULE'!I52,'03.07 GULU-NIMULE'!I52,'04.07 GULU-NIMULE-24h'!I52,'05.07 GULU-NIMULE-24h'!I52,'06.07 GULU-NIMULE'!I52)</f>
        <v>0.14285714285714285</v>
      </c>
      <c r="J52" s="49">
        <f>AVERAGE('31.07 GULU-NIMULE'!J52,'01.07 GULU-NIMULE'!J52,'02.07 GULU-NIMULE'!J52,'03.07 GULU-NIMULE'!J52,'04.07 GULU-NIMULE-24h'!J52,'05.07 GULU-NIMULE-24h'!J52,'06.07 GULU-NIMULE'!J52)</f>
        <v>0</v>
      </c>
      <c r="K52" s="49">
        <f>AVERAGE('31.07 GULU-NIMULE'!K52,'01.07 GULU-NIMULE'!K52,'02.07 GULU-NIMULE'!K52,'03.07 GULU-NIMULE'!K52,'04.07 GULU-NIMULE-24h'!K52,'05.07 GULU-NIMULE-24h'!K52,'06.07 GULU-NIMULE'!K52)</f>
        <v>0</v>
      </c>
      <c r="L52" s="49">
        <f>AVERAGE('31.07 GULU-NIMULE'!L52,'01.07 GULU-NIMULE'!L52,'02.07 GULU-NIMULE'!L52,'03.07 GULU-NIMULE'!L52,'04.07 GULU-NIMULE-24h'!L52,'05.07 GULU-NIMULE-24h'!L52,'06.07 GULU-NIMULE'!L52)</f>
        <v>1.2857142857142858</v>
      </c>
      <c r="M52" s="49">
        <f>AVERAGE('31.07 GULU-NIMULE'!M52,'01.07 GULU-NIMULE'!M52,'02.07 GULU-NIMULE'!M52,'03.07 GULU-NIMULE'!M52,'04.07 GULU-NIMULE-24h'!M52,'05.07 GULU-NIMULE-24h'!M52,'06.07 GULU-NIMULE'!M52)</f>
        <v>8.7142857142857135</v>
      </c>
      <c r="N52" s="49">
        <f>AVERAGE('31.07 GULU-NIMULE'!N52,'01.07 GULU-NIMULE'!N52,'02.07 GULU-NIMULE'!N52,'03.07 GULU-NIMULE'!N52,'04.07 GULU-NIMULE-24h'!N52,'05.07 GULU-NIMULE-24h'!N52,'06.07 GULU-NIMULE'!N52)</f>
        <v>0</v>
      </c>
      <c r="O52" s="15">
        <f t="shared" si="0"/>
        <v>4.1428571428571423</v>
      </c>
      <c r="P52" s="15">
        <f t="shared" si="1"/>
        <v>12.857142857142856</v>
      </c>
      <c r="R52" s="8"/>
      <c r="T52"/>
    </row>
    <row r="53" spans="2:20" ht="23.1" customHeight="1" x14ac:dyDescent="0.25">
      <c r="B53" s="23" t="s">
        <v>80</v>
      </c>
      <c r="C53" s="49">
        <f>AVERAGE('31.07 GULU-NIMULE'!C53,'01.07 GULU-NIMULE'!C53,'02.07 GULU-NIMULE'!C53,'03.07 GULU-NIMULE'!C53,'04.07 GULU-NIMULE-24h'!C53,'05.07 GULU-NIMULE-24h'!C53,'06.07 GULU-NIMULE'!C53)</f>
        <v>1.7142857142857142</v>
      </c>
      <c r="D53" s="49">
        <f>AVERAGE('31.07 GULU-NIMULE'!D53,'01.07 GULU-NIMULE'!D53,'02.07 GULU-NIMULE'!D53,'03.07 GULU-NIMULE'!D53,'04.07 GULU-NIMULE-24h'!D53,'05.07 GULU-NIMULE-24h'!D53,'06.07 GULU-NIMULE'!D53)</f>
        <v>0.2857142857142857</v>
      </c>
      <c r="E53" s="49">
        <f>AVERAGE('31.07 GULU-NIMULE'!E53,'01.07 GULU-NIMULE'!E53,'02.07 GULU-NIMULE'!E53,'03.07 GULU-NIMULE'!E53,'04.07 GULU-NIMULE-24h'!E53,'05.07 GULU-NIMULE-24h'!E53,'06.07 GULU-NIMULE'!E53)</f>
        <v>0.5714285714285714</v>
      </c>
      <c r="F53" s="49">
        <f>AVERAGE('31.07 GULU-NIMULE'!F53,'01.07 GULU-NIMULE'!F53,'02.07 GULU-NIMULE'!F53,'03.07 GULU-NIMULE'!F53,'04.07 GULU-NIMULE-24h'!F53,'05.07 GULU-NIMULE-24h'!F53,'06.07 GULU-NIMULE'!F53)</f>
        <v>0</v>
      </c>
      <c r="G53" s="49">
        <f>AVERAGE('31.07 GULU-NIMULE'!G53,'01.07 GULU-NIMULE'!G53,'02.07 GULU-NIMULE'!G53,'03.07 GULU-NIMULE'!G53,'04.07 GULU-NIMULE-24h'!G53,'05.07 GULU-NIMULE-24h'!G53,'06.07 GULU-NIMULE'!G53)</f>
        <v>0</v>
      </c>
      <c r="H53" s="49">
        <f>AVERAGE('31.07 GULU-NIMULE'!H53,'01.07 GULU-NIMULE'!H53,'02.07 GULU-NIMULE'!H53,'03.07 GULU-NIMULE'!H53,'04.07 GULU-NIMULE-24h'!H53,'05.07 GULU-NIMULE-24h'!H53,'06.07 GULU-NIMULE'!H53)</f>
        <v>0</v>
      </c>
      <c r="I53" s="49">
        <f>AVERAGE('31.07 GULU-NIMULE'!I53,'01.07 GULU-NIMULE'!I53,'02.07 GULU-NIMULE'!I53,'03.07 GULU-NIMULE'!I53,'04.07 GULU-NIMULE-24h'!I53,'05.07 GULU-NIMULE-24h'!I53,'06.07 GULU-NIMULE'!I53)</f>
        <v>0.42857142857142855</v>
      </c>
      <c r="J53" s="49">
        <f>AVERAGE('31.07 GULU-NIMULE'!J53,'01.07 GULU-NIMULE'!J53,'02.07 GULU-NIMULE'!J53,'03.07 GULU-NIMULE'!J53,'04.07 GULU-NIMULE-24h'!J53,'05.07 GULU-NIMULE-24h'!J53,'06.07 GULU-NIMULE'!J53)</f>
        <v>0</v>
      </c>
      <c r="K53" s="49">
        <f>AVERAGE('31.07 GULU-NIMULE'!K53,'01.07 GULU-NIMULE'!K53,'02.07 GULU-NIMULE'!K53,'03.07 GULU-NIMULE'!K53,'04.07 GULU-NIMULE-24h'!K53,'05.07 GULU-NIMULE-24h'!K53,'06.07 GULU-NIMULE'!K53)</f>
        <v>0</v>
      </c>
      <c r="L53" s="49">
        <f>AVERAGE('31.07 GULU-NIMULE'!L53,'01.07 GULU-NIMULE'!L53,'02.07 GULU-NIMULE'!L53,'03.07 GULU-NIMULE'!L53,'04.07 GULU-NIMULE-24h'!L53,'05.07 GULU-NIMULE-24h'!L53,'06.07 GULU-NIMULE'!L53)</f>
        <v>1.5714285714285714</v>
      </c>
      <c r="M53" s="49">
        <f>AVERAGE('31.07 GULU-NIMULE'!M53,'01.07 GULU-NIMULE'!M53,'02.07 GULU-NIMULE'!M53,'03.07 GULU-NIMULE'!M53,'04.07 GULU-NIMULE-24h'!M53,'05.07 GULU-NIMULE-24h'!M53,'06.07 GULU-NIMULE'!M53)</f>
        <v>9</v>
      </c>
      <c r="N53" s="49">
        <f>AVERAGE('31.07 GULU-NIMULE'!N53,'01.07 GULU-NIMULE'!N53,'02.07 GULU-NIMULE'!N53,'03.07 GULU-NIMULE'!N53,'04.07 GULU-NIMULE-24h'!N53,'05.07 GULU-NIMULE-24h'!N53,'06.07 GULU-NIMULE'!N53)</f>
        <v>0</v>
      </c>
      <c r="O53" s="15">
        <f t="shared" si="0"/>
        <v>4.5714285714285712</v>
      </c>
      <c r="P53" s="15">
        <f t="shared" si="1"/>
        <v>13.571428571428571</v>
      </c>
      <c r="R53" s="8"/>
      <c r="T53"/>
    </row>
    <row r="54" spans="2:20" ht="23.1" customHeight="1" x14ac:dyDescent="0.25">
      <c r="B54" s="23" t="s">
        <v>81</v>
      </c>
      <c r="C54" s="49">
        <f>AVERAGE('31.07 GULU-NIMULE'!C54,'01.07 GULU-NIMULE'!C54,'02.07 GULU-NIMULE'!C54,'03.07 GULU-NIMULE'!C54,'04.07 GULU-NIMULE-24h'!C54,'05.07 GULU-NIMULE-24h'!C54,'06.07 GULU-NIMULE'!C54)</f>
        <v>1.2857142857142858</v>
      </c>
      <c r="D54" s="49">
        <f>AVERAGE('31.07 GULU-NIMULE'!D54,'01.07 GULU-NIMULE'!D54,'02.07 GULU-NIMULE'!D54,'03.07 GULU-NIMULE'!D54,'04.07 GULU-NIMULE-24h'!D54,'05.07 GULU-NIMULE-24h'!D54,'06.07 GULU-NIMULE'!D54)</f>
        <v>0.14285714285714285</v>
      </c>
      <c r="E54" s="49">
        <f>AVERAGE('31.07 GULU-NIMULE'!E54,'01.07 GULU-NIMULE'!E54,'02.07 GULU-NIMULE'!E54,'03.07 GULU-NIMULE'!E54,'04.07 GULU-NIMULE-24h'!E54,'05.07 GULU-NIMULE-24h'!E54,'06.07 GULU-NIMULE'!E54)</f>
        <v>1</v>
      </c>
      <c r="F54" s="49">
        <f>AVERAGE('31.07 GULU-NIMULE'!F54,'01.07 GULU-NIMULE'!F54,'02.07 GULU-NIMULE'!F54,'03.07 GULU-NIMULE'!F54,'04.07 GULU-NIMULE-24h'!F54,'05.07 GULU-NIMULE-24h'!F54,'06.07 GULU-NIMULE'!F54)</f>
        <v>0.42857142857142855</v>
      </c>
      <c r="G54" s="49">
        <f>AVERAGE('31.07 GULU-NIMULE'!G54,'01.07 GULU-NIMULE'!G54,'02.07 GULU-NIMULE'!G54,'03.07 GULU-NIMULE'!G54,'04.07 GULU-NIMULE-24h'!G54,'05.07 GULU-NIMULE-24h'!G54,'06.07 GULU-NIMULE'!G54)</f>
        <v>0</v>
      </c>
      <c r="H54" s="49">
        <f>AVERAGE('31.07 GULU-NIMULE'!H54,'01.07 GULU-NIMULE'!H54,'02.07 GULU-NIMULE'!H54,'03.07 GULU-NIMULE'!H54,'04.07 GULU-NIMULE-24h'!H54,'05.07 GULU-NIMULE-24h'!H54,'06.07 GULU-NIMULE'!H54)</f>
        <v>0.14285714285714285</v>
      </c>
      <c r="I54" s="49">
        <f>AVERAGE('31.07 GULU-NIMULE'!I54,'01.07 GULU-NIMULE'!I54,'02.07 GULU-NIMULE'!I54,'03.07 GULU-NIMULE'!I54,'04.07 GULU-NIMULE-24h'!I54,'05.07 GULU-NIMULE-24h'!I54,'06.07 GULU-NIMULE'!I54)</f>
        <v>0.8571428571428571</v>
      </c>
      <c r="J54" s="49">
        <f>AVERAGE('31.07 GULU-NIMULE'!J54,'01.07 GULU-NIMULE'!J54,'02.07 GULU-NIMULE'!J54,'03.07 GULU-NIMULE'!J54,'04.07 GULU-NIMULE-24h'!J54,'05.07 GULU-NIMULE-24h'!J54,'06.07 GULU-NIMULE'!J54)</f>
        <v>0</v>
      </c>
      <c r="K54" s="49">
        <f>AVERAGE('31.07 GULU-NIMULE'!K54,'01.07 GULU-NIMULE'!K54,'02.07 GULU-NIMULE'!K54,'03.07 GULU-NIMULE'!K54,'04.07 GULU-NIMULE-24h'!K54,'05.07 GULU-NIMULE-24h'!K54,'06.07 GULU-NIMULE'!K54)</f>
        <v>0</v>
      </c>
      <c r="L54" s="49">
        <f>AVERAGE('31.07 GULU-NIMULE'!L54,'01.07 GULU-NIMULE'!L54,'02.07 GULU-NIMULE'!L54,'03.07 GULU-NIMULE'!L54,'04.07 GULU-NIMULE-24h'!L54,'05.07 GULU-NIMULE-24h'!L54,'06.07 GULU-NIMULE'!L54)</f>
        <v>1.5714285714285714</v>
      </c>
      <c r="M54" s="49">
        <f>AVERAGE('31.07 GULU-NIMULE'!M54,'01.07 GULU-NIMULE'!M54,'02.07 GULU-NIMULE'!M54,'03.07 GULU-NIMULE'!M54,'04.07 GULU-NIMULE-24h'!M54,'05.07 GULU-NIMULE-24h'!M54,'06.07 GULU-NIMULE'!M54)</f>
        <v>9.4285714285714288</v>
      </c>
      <c r="N54" s="49">
        <f>AVERAGE('31.07 GULU-NIMULE'!N54,'01.07 GULU-NIMULE'!N54,'02.07 GULU-NIMULE'!N54,'03.07 GULU-NIMULE'!N54,'04.07 GULU-NIMULE-24h'!N54,'05.07 GULU-NIMULE-24h'!N54,'06.07 GULU-NIMULE'!N54)</f>
        <v>0</v>
      </c>
      <c r="O54" s="15">
        <f t="shared" si="0"/>
        <v>5.4285714285714288</v>
      </c>
      <c r="P54" s="15">
        <f t="shared" si="1"/>
        <v>14.857142857142858</v>
      </c>
      <c r="R54" s="8"/>
      <c r="T54"/>
    </row>
    <row r="55" spans="2:20" ht="23.1" customHeight="1" x14ac:dyDescent="0.25">
      <c r="B55" s="23" t="s">
        <v>82</v>
      </c>
      <c r="C55" s="49">
        <f>AVERAGE('31.07 GULU-NIMULE'!C55,'01.07 GULU-NIMULE'!C55,'02.07 GULU-NIMULE'!C55,'03.07 GULU-NIMULE'!C55,'04.07 GULU-NIMULE-24h'!C55,'05.07 GULU-NIMULE-24h'!C55,'06.07 GULU-NIMULE'!C55)</f>
        <v>0.2857142857142857</v>
      </c>
      <c r="D55" s="49">
        <f>AVERAGE('31.07 GULU-NIMULE'!D55,'01.07 GULU-NIMULE'!D55,'02.07 GULU-NIMULE'!D55,'03.07 GULU-NIMULE'!D55,'04.07 GULU-NIMULE-24h'!D55,'05.07 GULU-NIMULE-24h'!D55,'06.07 GULU-NIMULE'!D55)</f>
        <v>0.7142857142857143</v>
      </c>
      <c r="E55" s="49">
        <f>AVERAGE('31.07 GULU-NIMULE'!E55,'01.07 GULU-NIMULE'!E55,'02.07 GULU-NIMULE'!E55,'03.07 GULU-NIMULE'!E55,'04.07 GULU-NIMULE-24h'!E55,'05.07 GULU-NIMULE-24h'!E55,'06.07 GULU-NIMULE'!E55)</f>
        <v>0.2857142857142857</v>
      </c>
      <c r="F55" s="49">
        <f>AVERAGE('31.07 GULU-NIMULE'!F55,'01.07 GULU-NIMULE'!F55,'02.07 GULU-NIMULE'!F55,'03.07 GULU-NIMULE'!F55,'04.07 GULU-NIMULE-24h'!F55,'05.07 GULU-NIMULE-24h'!F55,'06.07 GULU-NIMULE'!F55)</f>
        <v>0</v>
      </c>
      <c r="G55" s="49">
        <f>AVERAGE('31.07 GULU-NIMULE'!G55,'01.07 GULU-NIMULE'!G55,'02.07 GULU-NIMULE'!G55,'03.07 GULU-NIMULE'!G55,'04.07 GULU-NIMULE-24h'!G55,'05.07 GULU-NIMULE-24h'!G55,'06.07 GULU-NIMULE'!G55)</f>
        <v>0</v>
      </c>
      <c r="H55" s="49">
        <f>AVERAGE('31.07 GULU-NIMULE'!H55,'01.07 GULU-NIMULE'!H55,'02.07 GULU-NIMULE'!H55,'03.07 GULU-NIMULE'!H55,'04.07 GULU-NIMULE-24h'!H55,'05.07 GULU-NIMULE-24h'!H55,'06.07 GULU-NIMULE'!H55)</f>
        <v>0.14285714285714285</v>
      </c>
      <c r="I55" s="49">
        <f>AVERAGE('31.07 GULU-NIMULE'!I55,'01.07 GULU-NIMULE'!I55,'02.07 GULU-NIMULE'!I55,'03.07 GULU-NIMULE'!I55,'04.07 GULU-NIMULE-24h'!I55,'05.07 GULU-NIMULE-24h'!I55,'06.07 GULU-NIMULE'!I55)</f>
        <v>0.7142857142857143</v>
      </c>
      <c r="J55" s="49">
        <f>AVERAGE('31.07 GULU-NIMULE'!J55,'01.07 GULU-NIMULE'!J55,'02.07 GULU-NIMULE'!J55,'03.07 GULU-NIMULE'!J55,'04.07 GULU-NIMULE-24h'!J55,'05.07 GULU-NIMULE-24h'!J55,'06.07 GULU-NIMULE'!J55)</f>
        <v>0.14285714285714285</v>
      </c>
      <c r="K55" s="49">
        <f>AVERAGE('31.07 GULU-NIMULE'!K55,'01.07 GULU-NIMULE'!K55,'02.07 GULU-NIMULE'!K55,'03.07 GULU-NIMULE'!K55,'04.07 GULU-NIMULE-24h'!K55,'05.07 GULU-NIMULE-24h'!K55,'06.07 GULU-NIMULE'!K55)</f>
        <v>0</v>
      </c>
      <c r="L55" s="49">
        <f>AVERAGE('31.07 GULU-NIMULE'!L55,'01.07 GULU-NIMULE'!L55,'02.07 GULU-NIMULE'!L55,'03.07 GULU-NIMULE'!L55,'04.07 GULU-NIMULE-24h'!L55,'05.07 GULU-NIMULE-24h'!L55,'06.07 GULU-NIMULE'!L55)</f>
        <v>2</v>
      </c>
      <c r="M55" s="49">
        <f>AVERAGE('31.07 GULU-NIMULE'!M55,'01.07 GULU-NIMULE'!M55,'02.07 GULU-NIMULE'!M55,'03.07 GULU-NIMULE'!M55,'04.07 GULU-NIMULE-24h'!M55,'05.07 GULU-NIMULE-24h'!M55,'06.07 GULU-NIMULE'!M55)</f>
        <v>10.571428571428571</v>
      </c>
      <c r="N55" s="49">
        <f>AVERAGE('31.07 GULU-NIMULE'!N55,'01.07 GULU-NIMULE'!N55,'02.07 GULU-NIMULE'!N55,'03.07 GULU-NIMULE'!N55,'04.07 GULU-NIMULE-24h'!N55,'05.07 GULU-NIMULE-24h'!N55,'06.07 GULU-NIMULE'!N55)</f>
        <v>0</v>
      </c>
      <c r="O55" s="15">
        <f t="shared" si="0"/>
        <v>4.2857142857142856</v>
      </c>
      <c r="P55" s="15">
        <f t="shared" si="1"/>
        <v>14.857142857142858</v>
      </c>
      <c r="R55" s="8"/>
      <c r="T55"/>
    </row>
    <row r="56" spans="2:20" ht="23.1" customHeight="1" x14ac:dyDescent="0.25">
      <c r="B56" s="23" t="s">
        <v>83</v>
      </c>
      <c r="C56" s="49">
        <f>AVERAGE('31.07 GULU-NIMULE'!C56,'01.07 GULU-NIMULE'!C56,'02.07 GULU-NIMULE'!C56,'03.07 GULU-NIMULE'!C56,'04.07 GULU-NIMULE-24h'!C56,'05.07 GULU-NIMULE-24h'!C56,'06.07 GULU-NIMULE'!C56)</f>
        <v>0.8571428571428571</v>
      </c>
      <c r="D56" s="49">
        <f>AVERAGE('31.07 GULU-NIMULE'!D56,'01.07 GULU-NIMULE'!D56,'02.07 GULU-NIMULE'!D56,'03.07 GULU-NIMULE'!D56,'04.07 GULU-NIMULE-24h'!D56,'05.07 GULU-NIMULE-24h'!D56,'06.07 GULU-NIMULE'!D56)</f>
        <v>0.14285714285714285</v>
      </c>
      <c r="E56" s="49">
        <f>AVERAGE('31.07 GULU-NIMULE'!E56,'01.07 GULU-NIMULE'!E56,'02.07 GULU-NIMULE'!E56,'03.07 GULU-NIMULE'!E56,'04.07 GULU-NIMULE-24h'!E56,'05.07 GULU-NIMULE-24h'!E56,'06.07 GULU-NIMULE'!E56)</f>
        <v>0.42857142857142855</v>
      </c>
      <c r="F56" s="49">
        <f>AVERAGE('31.07 GULU-NIMULE'!F56,'01.07 GULU-NIMULE'!F56,'02.07 GULU-NIMULE'!F56,'03.07 GULU-NIMULE'!F56,'04.07 GULU-NIMULE-24h'!F56,'05.07 GULU-NIMULE-24h'!F56,'06.07 GULU-NIMULE'!F56)</f>
        <v>0.5714285714285714</v>
      </c>
      <c r="G56" s="49">
        <f>AVERAGE('31.07 GULU-NIMULE'!G56,'01.07 GULU-NIMULE'!G56,'02.07 GULU-NIMULE'!G56,'03.07 GULU-NIMULE'!G56,'04.07 GULU-NIMULE-24h'!G56,'05.07 GULU-NIMULE-24h'!G56,'06.07 GULU-NIMULE'!G56)</f>
        <v>0</v>
      </c>
      <c r="H56" s="49">
        <f>AVERAGE('31.07 GULU-NIMULE'!H56,'01.07 GULU-NIMULE'!H56,'02.07 GULU-NIMULE'!H56,'03.07 GULU-NIMULE'!H56,'04.07 GULU-NIMULE-24h'!H56,'05.07 GULU-NIMULE-24h'!H56,'06.07 GULU-NIMULE'!H56)</f>
        <v>0.14285714285714285</v>
      </c>
      <c r="I56" s="49">
        <f>AVERAGE('31.07 GULU-NIMULE'!I56,'01.07 GULU-NIMULE'!I56,'02.07 GULU-NIMULE'!I56,'03.07 GULU-NIMULE'!I56,'04.07 GULU-NIMULE-24h'!I56,'05.07 GULU-NIMULE-24h'!I56,'06.07 GULU-NIMULE'!I56)</f>
        <v>0.8571428571428571</v>
      </c>
      <c r="J56" s="49">
        <f>AVERAGE('31.07 GULU-NIMULE'!J56,'01.07 GULU-NIMULE'!J56,'02.07 GULU-NIMULE'!J56,'03.07 GULU-NIMULE'!J56,'04.07 GULU-NIMULE-24h'!J56,'05.07 GULU-NIMULE-24h'!J56,'06.07 GULU-NIMULE'!J56)</f>
        <v>0.16666666666666666</v>
      </c>
      <c r="K56" s="49">
        <f>AVERAGE('31.07 GULU-NIMULE'!K56,'01.07 GULU-NIMULE'!K56,'02.07 GULU-NIMULE'!K56,'03.07 GULU-NIMULE'!K56,'04.07 GULU-NIMULE-24h'!K56,'05.07 GULU-NIMULE-24h'!K56,'06.07 GULU-NIMULE'!K56)</f>
        <v>0</v>
      </c>
      <c r="L56" s="49">
        <f>AVERAGE('31.07 GULU-NIMULE'!L56,'01.07 GULU-NIMULE'!L56,'02.07 GULU-NIMULE'!L56,'03.07 GULU-NIMULE'!L56,'04.07 GULU-NIMULE-24h'!L56,'05.07 GULU-NIMULE-24h'!L56,'06.07 GULU-NIMULE'!L56)</f>
        <v>1.1428571428571428</v>
      </c>
      <c r="M56" s="49">
        <f>AVERAGE('31.07 GULU-NIMULE'!M56,'01.07 GULU-NIMULE'!M56,'02.07 GULU-NIMULE'!M56,'03.07 GULU-NIMULE'!M56,'04.07 GULU-NIMULE-24h'!M56,'05.07 GULU-NIMULE-24h'!M56,'06.07 GULU-NIMULE'!M56)</f>
        <v>8.2857142857142865</v>
      </c>
      <c r="N56" s="49">
        <f>AVERAGE('31.07 GULU-NIMULE'!N56,'01.07 GULU-NIMULE'!N56,'02.07 GULU-NIMULE'!N56,'03.07 GULU-NIMULE'!N56,'04.07 GULU-NIMULE-24h'!N56,'05.07 GULU-NIMULE-24h'!N56,'06.07 GULU-NIMULE'!N56)</f>
        <v>0</v>
      </c>
      <c r="O56" s="15">
        <f t="shared" si="0"/>
        <v>4.3095238095238093</v>
      </c>
      <c r="P56" s="15">
        <f t="shared" si="1"/>
        <v>12.595238095238095</v>
      </c>
      <c r="R56" s="8"/>
      <c r="T56"/>
    </row>
    <row r="57" spans="2:20" ht="23.1" customHeight="1" x14ac:dyDescent="0.25">
      <c r="B57" s="23" t="s">
        <v>84</v>
      </c>
      <c r="C57" s="49">
        <f>AVERAGE('31.07 GULU-NIMULE'!C57,'01.07 GULU-NIMULE'!C57,'02.07 GULU-NIMULE'!C57,'03.07 GULU-NIMULE'!C57,'04.07 GULU-NIMULE-24h'!C57,'05.07 GULU-NIMULE-24h'!C57,'06.07 GULU-NIMULE'!C57)</f>
        <v>1</v>
      </c>
      <c r="D57" s="49">
        <f>AVERAGE('31.07 GULU-NIMULE'!D57,'01.07 GULU-NIMULE'!D57,'02.07 GULU-NIMULE'!D57,'03.07 GULU-NIMULE'!D57,'04.07 GULU-NIMULE-24h'!D57,'05.07 GULU-NIMULE-24h'!D57,'06.07 GULU-NIMULE'!D57)</f>
        <v>0.14285714285714285</v>
      </c>
      <c r="E57" s="49">
        <f>AVERAGE('31.07 GULU-NIMULE'!E57,'01.07 GULU-NIMULE'!E57,'02.07 GULU-NIMULE'!E57,'03.07 GULU-NIMULE'!E57,'04.07 GULU-NIMULE-24h'!E57,'05.07 GULU-NIMULE-24h'!E57,'06.07 GULU-NIMULE'!E57)</f>
        <v>0.7142857142857143</v>
      </c>
      <c r="F57" s="49">
        <f>AVERAGE('31.07 GULU-NIMULE'!F57,'01.07 GULU-NIMULE'!F57,'02.07 GULU-NIMULE'!F57,'03.07 GULU-NIMULE'!F57,'04.07 GULU-NIMULE-24h'!F57,'05.07 GULU-NIMULE-24h'!F57,'06.07 GULU-NIMULE'!F57)</f>
        <v>0.14285714285714285</v>
      </c>
      <c r="G57" s="49">
        <f>AVERAGE('31.07 GULU-NIMULE'!G57,'01.07 GULU-NIMULE'!G57,'02.07 GULU-NIMULE'!G57,'03.07 GULU-NIMULE'!G57,'04.07 GULU-NIMULE-24h'!G57,'05.07 GULU-NIMULE-24h'!G57,'06.07 GULU-NIMULE'!G57)</f>
        <v>0</v>
      </c>
      <c r="H57" s="49">
        <f>AVERAGE('31.07 GULU-NIMULE'!H57,'01.07 GULU-NIMULE'!H57,'02.07 GULU-NIMULE'!H57,'03.07 GULU-NIMULE'!H57,'04.07 GULU-NIMULE-24h'!H57,'05.07 GULU-NIMULE-24h'!H57,'06.07 GULU-NIMULE'!H57)</f>
        <v>0.14285714285714285</v>
      </c>
      <c r="I57" s="49">
        <f>AVERAGE('31.07 GULU-NIMULE'!I57,'01.07 GULU-NIMULE'!I57,'02.07 GULU-NIMULE'!I57,'03.07 GULU-NIMULE'!I57,'04.07 GULU-NIMULE-24h'!I57,'05.07 GULU-NIMULE-24h'!I57,'06.07 GULU-NIMULE'!I57)</f>
        <v>0.7142857142857143</v>
      </c>
      <c r="J57" s="49">
        <f>AVERAGE('31.07 GULU-NIMULE'!J57,'01.07 GULU-NIMULE'!J57,'02.07 GULU-NIMULE'!J57,'03.07 GULU-NIMULE'!J57,'04.07 GULU-NIMULE-24h'!J57,'05.07 GULU-NIMULE-24h'!J57,'06.07 GULU-NIMULE'!J57)</f>
        <v>0.42857142857142855</v>
      </c>
      <c r="K57" s="49">
        <f>AVERAGE('31.07 GULU-NIMULE'!K57,'01.07 GULU-NIMULE'!K57,'02.07 GULU-NIMULE'!K57,'03.07 GULU-NIMULE'!K57,'04.07 GULU-NIMULE-24h'!K57,'05.07 GULU-NIMULE-24h'!K57,'06.07 GULU-NIMULE'!K57)</f>
        <v>0</v>
      </c>
      <c r="L57" s="49">
        <f>AVERAGE('31.07 GULU-NIMULE'!L57,'01.07 GULU-NIMULE'!L57,'02.07 GULU-NIMULE'!L57,'03.07 GULU-NIMULE'!L57,'04.07 GULU-NIMULE-24h'!L57,'05.07 GULU-NIMULE-24h'!L57,'06.07 GULU-NIMULE'!L57)</f>
        <v>1.8571428571428572</v>
      </c>
      <c r="M57" s="49">
        <f>AVERAGE('31.07 GULU-NIMULE'!M57,'01.07 GULU-NIMULE'!M57,'02.07 GULU-NIMULE'!M57,'03.07 GULU-NIMULE'!M57,'04.07 GULU-NIMULE-24h'!M57,'05.07 GULU-NIMULE-24h'!M57,'06.07 GULU-NIMULE'!M57)</f>
        <v>4.7142857142857144</v>
      </c>
      <c r="N57" s="49">
        <f>AVERAGE('31.07 GULU-NIMULE'!N57,'01.07 GULU-NIMULE'!N57,'02.07 GULU-NIMULE'!N57,'03.07 GULU-NIMULE'!N57,'04.07 GULU-NIMULE-24h'!N57,'05.07 GULU-NIMULE-24h'!N57,'06.07 GULU-NIMULE'!N57)</f>
        <v>0</v>
      </c>
      <c r="O57" s="15">
        <f t="shared" si="0"/>
        <v>5.1428571428571423</v>
      </c>
      <c r="P57" s="15">
        <f t="shared" si="1"/>
        <v>9.8571428571428577</v>
      </c>
      <c r="R57" s="8"/>
      <c r="T57"/>
    </row>
    <row r="58" spans="2:20" ht="23.1" customHeight="1" x14ac:dyDescent="0.25">
      <c r="B58" s="23" t="s">
        <v>99</v>
      </c>
      <c r="C58" s="49">
        <f>AVERAGE('04.07 GULU-NIMULE-24h'!C58,'05.07 GULU-NIMULE-24h'!C58)</f>
        <v>1.5</v>
      </c>
      <c r="D58" s="49">
        <f>AVERAGE('04.07 GULU-NIMULE-24h'!D58,'05.07 GULU-NIMULE-24h'!D58)</f>
        <v>0.5</v>
      </c>
      <c r="E58" s="49">
        <f>AVERAGE('04.07 GULU-NIMULE-24h'!E58,'05.07 GULU-NIMULE-24h'!E58)</f>
        <v>1</v>
      </c>
      <c r="F58" s="49">
        <f>AVERAGE('04.07 GULU-NIMULE-24h'!F58,'05.07 GULU-NIMULE-24h'!F58)</f>
        <v>0</v>
      </c>
      <c r="G58" s="49">
        <f>AVERAGE('04.07 GULU-NIMULE-24h'!G58,'05.07 GULU-NIMULE-24h'!G58)</f>
        <v>0</v>
      </c>
      <c r="H58" s="49">
        <f>AVERAGE('04.07 GULU-NIMULE-24h'!H58,'05.07 GULU-NIMULE-24h'!H58)</f>
        <v>0</v>
      </c>
      <c r="I58" s="49">
        <f>AVERAGE('04.07 GULU-NIMULE-24h'!I58,'05.07 GULU-NIMULE-24h'!I58)</f>
        <v>0.5</v>
      </c>
      <c r="J58" s="49">
        <f>AVERAGE('04.07 GULU-NIMULE-24h'!J58,'05.07 GULU-NIMULE-24h'!J58)</f>
        <v>0.5</v>
      </c>
      <c r="K58" s="49">
        <f>AVERAGE('04.07 GULU-NIMULE-24h'!K58,'05.07 GULU-NIMULE-24h'!K58)</f>
        <v>0</v>
      </c>
      <c r="L58" s="49">
        <f>AVERAGE('04.07 GULU-NIMULE-24h'!L58,'05.07 GULU-NIMULE-24h'!L58)</f>
        <v>5</v>
      </c>
      <c r="M58" s="49">
        <f>AVERAGE('04.07 GULU-NIMULE-24h'!M58,'05.07 GULU-NIMULE-24h'!M58)</f>
        <v>0</v>
      </c>
      <c r="N58" s="49">
        <f>AVERAGE('04.07 GULU-NIMULE-24h'!N58,'05.07 GULU-NIMULE-24h'!N58)</f>
        <v>0</v>
      </c>
      <c r="O58" s="15">
        <f t="shared" si="0"/>
        <v>9</v>
      </c>
      <c r="P58" s="15">
        <f t="shared" si="1"/>
        <v>9</v>
      </c>
      <c r="R58" s="8"/>
      <c r="T58"/>
    </row>
    <row r="59" spans="2:20" ht="23.1" customHeight="1" x14ac:dyDescent="0.25">
      <c r="B59" s="23" t="s">
        <v>100</v>
      </c>
      <c r="C59" s="49">
        <f>AVERAGE('04.07 GULU-NIMULE-24h'!C59,'05.07 GULU-NIMULE-24h'!C59)</f>
        <v>0.5</v>
      </c>
      <c r="D59" s="49">
        <f>AVERAGE('04.07 GULU-NIMULE-24h'!D59,'05.07 GULU-NIMULE-24h'!D59)</f>
        <v>0.5</v>
      </c>
      <c r="E59" s="49">
        <f>AVERAGE('04.07 GULU-NIMULE-24h'!E59,'05.07 GULU-NIMULE-24h'!E59)</f>
        <v>1.5</v>
      </c>
      <c r="F59" s="49">
        <f>AVERAGE('04.07 GULU-NIMULE-24h'!F59,'05.07 GULU-NIMULE-24h'!F59)</f>
        <v>0</v>
      </c>
      <c r="G59" s="49">
        <f>AVERAGE('04.07 GULU-NIMULE-24h'!G59,'05.07 GULU-NIMULE-24h'!G59)</f>
        <v>0</v>
      </c>
      <c r="H59" s="49">
        <f>AVERAGE('04.07 GULU-NIMULE-24h'!H59,'05.07 GULU-NIMULE-24h'!H59)</f>
        <v>0</v>
      </c>
      <c r="I59" s="49">
        <f>AVERAGE('04.07 GULU-NIMULE-24h'!I59,'05.07 GULU-NIMULE-24h'!I59)</f>
        <v>0.5</v>
      </c>
      <c r="J59" s="49">
        <f>AVERAGE('04.07 GULU-NIMULE-24h'!J59,'05.07 GULU-NIMULE-24h'!J59)</f>
        <v>0</v>
      </c>
      <c r="K59" s="49">
        <f>AVERAGE('04.07 GULU-NIMULE-24h'!K59,'05.07 GULU-NIMULE-24h'!K59)</f>
        <v>0</v>
      </c>
      <c r="L59" s="49">
        <f>AVERAGE('04.07 GULU-NIMULE-24h'!L59,'05.07 GULU-NIMULE-24h'!L59)</f>
        <v>4</v>
      </c>
      <c r="M59" s="49">
        <f>AVERAGE('04.07 GULU-NIMULE-24h'!M59,'05.07 GULU-NIMULE-24h'!M59)</f>
        <v>0</v>
      </c>
      <c r="N59" s="49">
        <f>AVERAGE('04.07 GULU-NIMULE-24h'!N59,'05.07 GULU-NIMULE-24h'!N59)</f>
        <v>0</v>
      </c>
      <c r="O59" s="15">
        <f t="shared" si="0"/>
        <v>7</v>
      </c>
      <c r="P59" s="15">
        <f t="shared" si="1"/>
        <v>7</v>
      </c>
      <c r="R59" s="8"/>
      <c r="T59"/>
    </row>
    <row r="60" spans="2:20" ht="23.1" customHeight="1" x14ac:dyDescent="0.25">
      <c r="B60" s="23" t="s">
        <v>101</v>
      </c>
      <c r="C60" s="49">
        <f>AVERAGE('04.07 GULU-NIMULE-24h'!C60,'05.07 GULU-NIMULE-24h'!C60)</f>
        <v>0</v>
      </c>
      <c r="D60" s="49">
        <f>AVERAGE('04.07 GULU-NIMULE-24h'!D60,'05.07 GULU-NIMULE-24h'!D60)</f>
        <v>1.5</v>
      </c>
      <c r="E60" s="49">
        <f>AVERAGE('04.07 GULU-NIMULE-24h'!E60,'05.07 GULU-NIMULE-24h'!E60)</f>
        <v>2.5</v>
      </c>
      <c r="F60" s="49">
        <f>AVERAGE('04.07 GULU-NIMULE-24h'!F60,'05.07 GULU-NIMULE-24h'!F60)</f>
        <v>1</v>
      </c>
      <c r="G60" s="49">
        <f>AVERAGE('04.07 GULU-NIMULE-24h'!G60,'05.07 GULU-NIMULE-24h'!G60)</f>
        <v>0</v>
      </c>
      <c r="H60" s="49">
        <f>AVERAGE('04.07 GULU-NIMULE-24h'!H60,'05.07 GULU-NIMULE-24h'!H60)</f>
        <v>0</v>
      </c>
      <c r="I60" s="49">
        <f>AVERAGE('04.07 GULU-NIMULE-24h'!I60,'05.07 GULU-NIMULE-24h'!I60)</f>
        <v>0.5</v>
      </c>
      <c r="J60" s="49">
        <f>AVERAGE('04.07 GULU-NIMULE-24h'!J60,'05.07 GULU-NIMULE-24h'!J60)</f>
        <v>0.5</v>
      </c>
      <c r="K60" s="49">
        <f>AVERAGE('04.07 GULU-NIMULE-24h'!K60,'05.07 GULU-NIMULE-24h'!K60)</f>
        <v>0</v>
      </c>
      <c r="L60" s="49">
        <f>AVERAGE('04.07 GULU-NIMULE-24h'!L60,'05.07 GULU-NIMULE-24h'!L60)</f>
        <v>1</v>
      </c>
      <c r="M60" s="49">
        <f>AVERAGE('04.07 GULU-NIMULE-24h'!M60,'05.07 GULU-NIMULE-24h'!M60)</f>
        <v>1.5</v>
      </c>
      <c r="N60" s="49">
        <f>AVERAGE('04.07 GULU-NIMULE-24h'!N60,'05.07 GULU-NIMULE-24h'!N60)</f>
        <v>0</v>
      </c>
      <c r="O60" s="15">
        <f t="shared" si="0"/>
        <v>7</v>
      </c>
      <c r="P60" s="15">
        <f t="shared" si="1"/>
        <v>8.5</v>
      </c>
      <c r="R60" s="8"/>
      <c r="T60"/>
    </row>
    <row r="61" spans="2:20" ht="23.1" customHeight="1" x14ac:dyDescent="0.25">
      <c r="B61" s="23" t="s">
        <v>102</v>
      </c>
      <c r="C61" s="49">
        <f>AVERAGE('04.07 GULU-NIMULE-24h'!C61,'05.07 GULU-NIMULE-24h'!C61)</f>
        <v>0.5</v>
      </c>
      <c r="D61" s="49">
        <f>AVERAGE('04.07 GULU-NIMULE-24h'!D61,'05.07 GULU-NIMULE-24h'!D61)</f>
        <v>0.5</v>
      </c>
      <c r="E61" s="49">
        <f>AVERAGE('04.07 GULU-NIMULE-24h'!E61,'05.07 GULU-NIMULE-24h'!E61)</f>
        <v>1</v>
      </c>
      <c r="F61" s="49">
        <f>AVERAGE('04.07 GULU-NIMULE-24h'!F61,'05.07 GULU-NIMULE-24h'!F61)</f>
        <v>0.5</v>
      </c>
      <c r="G61" s="49">
        <f>AVERAGE('04.07 GULU-NIMULE-24h'!G61,'05.07 GULU-NIMULE-24h'!G61)</f>
        <v>0</v>
      </c>
      <c r="H61" s="49">
        <f>AVERAGE('04.07 GULU-NIMULE-24h'!H61,'05.07 GULU-NIMULE-24h'!H61)</f>
        <v>0</v>
      </c>
      <c r="I61" s="49">
        <f>AVERAGE('04.07 GULU-NIMULE-24h'!I61,'05.07 GULU-NIMULE-24h'!I61)</f>
        <v>0</v>
      </c>
      <c r="J61" s="49">
        <f>AVERAGE('04.07 GULU-NIMULE-24h'!J61,'05.07 GULU-NIMULE-24h'!J61)</f>
        <v>0.5</v>
      </c>
      <c r="K61" s="49">
        <f>AVERAGE('04.07 GULU-NIMULE-24h'!K61,'05.07 GULU-NIMULE-24h'!K61)</f>
        <v>0</v>
      </c>
      <c r="L61" s="49">
        <f>AVERAGE('04.07 GULU-NIMULE-24h'!L61,'05.07 GULU-NIMULE-24h'!L61)</f>
        <v>2.5</v>
      </c>
      <c r="M61" s="49">
        <f>AVERAGE('04.07 GULU-NIMULE-24h'!M61,'05.07 GULU-NIMULE-24h'!M61)</f>
        <v>0.5</v>
      </c>
      <c r="N61" s="49">
        <f>AVERAGE('04.07 GULU-NIMULE-24h'!N61,'05.07 GULU-NIMULE-24h'!N61)</f>
        <v>0</v>
      </c>
      <c r="O61" s="15">
        <f t="shared" si="0"/>
        <v>5.5</v>
      </c>
      <c r="P61" s="15">
        <f t="shared" si="1"/>
        <v>6</v>
      </c>
      <c r="R61" s="8"/>
      <c r="T61"/>
    </row>
    <row r="62" spans="2:20" ht="23.1" customHeight="1" x14ac:dyDescent="0.25">
      <c r="B62" s="23" t="s">
        <v>107</v>
      </c>
      <c r="C62" s="49">
        <f>AVERAGE('04.07 GULU-NIMULE-24h'!C62,'05.07 GULU-NIMULE-24h'!C62)</f>
        <v>0</v>
      </c>
      <c r="D62" s="49">
        <f>AVERAGE('04.07 GULU-NIMULE-24h'!D62,'05.07 GULU-NIMULE-24h'!D62)</f>
        <v>0</v>
      </c>
      <c r="E62" s="49">
        <f>AVERAGE('04.07 GULU-NIMULE-24h'!E62,'05.07 GULU-NIMULE-24h'!E62)</f>
        <v>0</v>
      </c>
      <c r="F62" s="49">
        <f>AVERAGE('04.07 GULU-NIMULE-24h'!F62,'05.07 GULU-NIMULE-24h'!F62)</f>
        <v>0</v>
      </c>
      <c r="G62" s="49">
        <f>AVERAGE('04.07 GULU-NIMULE-24h'!G62,'05.07 GULU-NIMULE-24h'!G62)</f>
        <v>0</v>
      </c>
      <c r="H62" s="49">
        <f>AVERAGE('04.07 GULU-NIMULE-24h'!H62,'05.07 GULU-NIMULE-24h'!H62)</f>
        <v>0</v>
      </c>
      <c r="I62" s="49">
        <f>AVERAGE('04.07 GULU-NIMULE-24h'!I62,'05.07 GULU-NIMULE-24h'!I62)</f>
        <v>0</v>
      </c>
      <c r="J62" s="49">
        <f>AVERAGE('04.07 GULU-NIMULE-24h'!J62,'05.07 GULU-NIMULE-24h'!J62)</f>
        <v>0</v>
      </c>
      <c r="K62" s="49">
        <f>AVERAGE('04.07 GULU-NIMULE-24h'!K62,'05.07 GULU-NIMULE-24h'!K62)</f>
        <v>0</v>
      </c>
      <c r="L62" s="49">
        <f>AVERAGE('04.07 GULU-NIMULE-24h'!L62,'05.07 GULU-NIMULE-24h'!L62)</f>
        <v>0</v>
      </c>
      <c r="M62" s="49">
        <f>AVERAGE('04.07 GULU-NIMULE-24h'!M62,'05.07 GULU-NIMULE-24h'!M62)</f>
        <v>0</v>
      </c>
      <c r="N62" s="49">
        <f>AVERAGE('04.07 GULU-NIMULE-24h'!N62,'05.07 GULU-NIMULE-24h'!N62)</f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23" t="s">
        <v>108</v>
      </c>
      <c r="C63" s="49">
        <f>AVERAGE('04.07 GULU-NIMULE-24h'!C63,'05.07 GULU-NIMULE-24h'!C63)</f>
        <v>0</v>
      </c>
      <c r="D63" s="49">
        <f>AVERAGE('04.07 GULU-NIMULE-24h'!D63,'05.07 GULU-NIMULE-24h'!D63)</f>
        <v>0</v>
      </c>
      <c r="E63" s="49">
        <f>AVERAGE('04.07 GULU-NIMULE-24h'!E63,'05.07 GULU-NIMULE-24h'!E63)</f>
        <v>0</v>
      </c>
      <c r="F63" s="49">
        <f>AVERAGE('04.07 GULU-NIMULE-24h'!F63,'05.07 GULU-NIMULE-24h'!F63)</f>
        <v>0</v>
      </c>
      <c r="G63" s="49">
        <f>AVERAGE('04.07 GULU-NIMULE-24h'!G63,'05.07 GULU-NIMULE-24h'!G63)</f>
        <v>0</v>
      </c>
      <c r="H63" s="49">
        <f>AVERAGE('04.07 GULU-NIMULE-24h'!H63,'05.07 GULU-NIMULE-24h'!H63)</f>
        <v>0</v>
      </c>
      <c r="I63" s="49">
        <f>AVERAGE('04.07 GULU-NIMULE-24h'!I63,'05.07 GULU-NIMULE-24h'!I63)</f>
        <v>0</v>
      </c>
      <c r="J63" s="49">
        <f>AVERAGE('04.07 GULU-NIMULE-24h'!J63,'05.07 GULU-NIMULE-24h'!J63)</f>
        <v>0</v>
      </c>
      <c r="K63" s="49">
        <f>AVERAGE('04.07 GULU-NIMULE-24h'!K63,'05.07 GULU-NIMULE-24h'!K63)</f>
        <v>0</v>
      </c>
      <c r="L63" s="49">
        <f>AVERAGE('04.07 GULU-NIMULE-24h'!L63,'05.07 GULU-NIMULE-24h'!L63)</f>
        <v>0</v>
      </c>
      <c r="M63" s="49">
        <f>AVERAGE('04.07 GULU-NIMULE-24h'!M63,'05.07 GULU-NIMULE-24h'!M63)</f>
        <v>0</v>
      </c>
      <c r="N63" s="49">
        <f>AVERAGE('04.07 GULU-NIMULE-24h'!N63,'05.07 GULU-NIMULE-24h'!N63)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3" t="s">
        <v>109</v>
      </c>
      <c r="C64" s="49">
        <f>AVERAGE('04.07 GULU-NIMULE-24h'!C64,'05.07 GULU-NIMULE-24h'!C64)</f>
        <v>0</v>
      </c>
      <c r="D64" s="49">
        <f>AVERAGE('04.07 GULU-NIMULE-24h'!D64,'05.07 GULU-NIMULE-24h'!D64)</f>
        <v>0</v>
      </c>
      <c r="E64" s="49">
        <f>AVERAGE('04.07 GULU-NIMULE-24h'!E64,'05.07 GULU-NIMULE-24h'!E64)</f>
        <v>0</v>
      </c>
      <c r="F64" s="49">
        <f>AVERAGE('04.07 GULU-NIMULE-24h'!F64,'05.07 GULU-NIMULE-24h'!F64)</f>
        <v>0</v>
      </c>
      <c r="G64" s="49">
        <f>AVERAGE('04.07 GULU-NIMULE-24h'!G64,'05.07 GULU-NIMULE-24h'!G64)</f>
        <v>0</v>
      </c>
      <c r="H64" s="49">
        <f>AVERAGE('04.07 GULU-NIMULE-24h'!H64,'05.07 GULU-NIMULE-24h'!H64)</f>
        <v>0</v>
      </c>
      <c r="I64" s="49">
        <f>AVERAGE('04.07 GULU-NIMULE-24h'!I64,'05.07 GULU-NIMULE-24h'!I64)</f>
        <v>0</v>
      </c>
      <c r="J64" s="49">
        <f>AVERAGE('04.07 GULU-NIMULE-24h'!J64,'05.07 GULU-NIMULE-24h'!J64)</f>
        <v>0</v>
      </c>
      <c r="K64" s="49">
        <f>AVERAGE('04.07 GULU-NIMULE-24h'!K64,'05.07 GULU-NIMULE-24h'!K64)</f>
        <v>0</v>
      </c>
      <c r="L64" s="49">
        <f>AVERAGE('04.07 GULU-NIMULE-24h'!L64,'05.07 GULU-NIMULE-24h'!L64)</f>
        <v>0</v>
      </c>
      <c r="M64" s="49">
        <f>AVERAGE('04.07 GULU-NIMULE-24h'!M64,'05.07 GULU-NIMULE-24h'!M64)</f>
        <v>0</v>
      </c>
      <c r="N64" s="49">
        <f>AVERAGE('04.07 GULU-NIMULE-24h'!N64,'05.07 GULU-NIMULE-24h'!N64)</f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23" t="s">
        <v>158</v>
      </c>
      <c r="C65" s="49">
        <f>AVERAGE('04.07 GULU-NIMULE-24h'!C65,'05.07 GULU-NIMULE-24h'!C65)</f>
        <v>0</v>
      </c>
      <c r="D65" s="49">
        <f>AVERAGE('04.07 GULU-NIMULE-24h'!D65,'05.07 GULU-NIMULE-24h'!D65)</f>
        <v>0</v>
      </c>
      <c r="E65" s="49">
        <f>AVERAGE('04.07 GULU-NIMULE-24h'!E65,'05.07 GULU-NIMULE-24h'!E65)</f>
        <v>0</v>
      </c>
      <c r="F65" s="49">
        <f>AVERAGE('04.07 GULU-NIMULE-24h'!F65,'05.07 GULU-NIMULE-24h'!F65)</f>
        <v>0</v>
      </c>
      <c r="G65" s="49">
        <f>AVERAGE('04.07 GULU-NIMULE-24h'!G65,'05.07 GULU-NIMULE-24h'!G65)</f>
        <v>0</v>
      </c>
      <c r="H65" s="49">
        <f>AVERAGE('04.07 GULU-NIMULE-24h'!H65,'05.07 GULU-NIMULE-24h'!H65)</f>
        <v>0</v>
      </c>
      <c r="I65" s="49">
        <f>AVERAGE('04.07 GULU-NIMULE-24h'!I65,'05.07 GULU-NIMULE-24h'!I65)</f>
        <v>0</v>
      </c>
      <c r="J65" s="49">
        <f>AVERAGE('04.07 GULU-NIMULE-24h'!J65,'05.07 GULU-NIMULE-24h'!J65)</f>
        <v>0</v>
      </c>
      <c r="K65" s="49">
        <f>AVERAGE('04.07 GULU-NIMULE-24h'!K65,'05.07 GULU-NIMULE-24h'!K65)</f>
        <v>0</v>
      </c>
      <c r="L65" s="49">
        <f>AVERAGE('04.07 GULU-NIMULE-24h'!L65,'05.07 GULU-NIMULE-24h'!L65)</f>
        <v>0</v>
      </c>
      <c r="M65" s="49">
        <f>AVERAGE('04.07 GULU-NIMULE-24h'!M65,'05.07 GULU-NIMULE-24h'!M65)</f>
        <v>0</v>
      </c>
      <c r="N65" s="49">
        <f>AVERAGE('04.07 GULU-NIMULE-24h'!N65,'05.07 GULU-NIMULE-24h'!N65)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3" t="s">
        <v>103</v>
      </c>
      <c r="C66" s="49">
        <f>AVERAGE('04.07 GULU-NIMULE-24h'!C66,'05.07 GULU-NIMULE-24h'!C66)</f>
        <v>0</v>
      </c>
      <c r="D66" s="49">
        <f>AVERAGE('04.07 GULU-NIMULE-24h'!D66,'05.07 GULU-NIMULE-24h'!D66)</f>
        <v>0</v>
      </c>
      <c r="E66" s="49">
        <f>AVERAGE('04.07 GULU-NIMULE-24h'!E66,'05.07 GULU-NIMULE-24h'!E66)</f>
        <v>0</v>
      </c>
      <c r="F66" s="49">
        <f>AVERAGE('04.07 GULU-NIMULE-24h'!F66,'05.07 GULU-NIMULE-24h'!F66)</f>
        <v>0</v>
      </c>
      <c r="G66" s="49">
        <f>AVERAGE('04.07 GULU-NIMULE-24h'!G66,'05.07 GULU-NIMULE-24h'!G66)</f>
        <v>0</v>
      </c>
      <c r="H66" s="49">
        <f>AVERAGE('04.07 GULU-NIMULE-24h'!H66,'05.07 GULU-NIMULE-24h'!H66)</f>
        <v>0</v>
      </c>
      <c r="I66" s="49">
        <f>AVERAGE('04.07 GULU-NIMULE-24h'!I66,'05.07 GULU-NIMULE-24h'!I66)</f>
        <v>0</v>
      </c>
      <c r="J66" s="49">
        <f>AVERAGE('04.07 GULU-NIMULE-24h'!J66,'05.07 GULU-NIMULE-24h'!J66)</f>
        <v>0</v>
      </c>
      <c r="K66" s="49">
        <f>AVERAGE('04.07 GULU-NIMULE-24h'!K66,'05.07 GULU-NIMULE-24h'!K66)</f>
        <v>0</v>
      </c>
      <c r="L66" s="49">
        <f>AVERAGE('04.07 GULU-NIMULE-24h'!L66,'05.07 GULU-NIMULE-24h'!L66)</f>
        <v>0</v>
      </c>
      <c r="M66" s="49">
        <f>AVERAGE('04.07 GULU-NIMULE-24h'!M66,'05.07 GULU-NIMULE-24h'!M66)</f>
        <v>0</v>
      </c>
      <c r="N66" s="49">
        <f>AVERAGE('04.07 GULU-NIMULE-24h'!N66,'05.07 GULU-NIMULE-24h'!N66)</f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23" t="s">
        <v>104</v>
      </c>
      <c r="C67" s="49">
        <f>AVERAGE('04.07 GULU-NIMULE-24h'!C67,'05.07 GULU-NIMULE-24h'!C67)</f>
        <v>0</v>
      </c>
      <c r="D67" s="49">
        <f>AVERAGE('04.07 GULU-NIMULE-24h'!D67,'05.07 GULU-NIMULE-24h'!D67)</f>
        <v>0</v>
      </c>
      <c r="E67" s="49">
        <f>AVERAGE('04.07 GULU-NIMULE-24h'!E67,'05.07 GULU-NIMULE-24h'!E67)</f>
        <v>0</v>
      </c>
      <c r="F67" s="49">
        <f>AVERAGE('04.07 GULU-NIMULE-24h'!F67,'05.07 GULU-NIMULE-24h'!F67)</f>
        <v>0</v>
      </c>
      <c r="G67" s="49">
        <f>AVERAGE('04.07 GULU-NIMULE-24h'!G67,'05.07 GULU-NIMULE-24h'!G67)</f>
        <v>0</v>
      </c>
      <c r="H67" s="49">
        <f>AVERAGE('04.07 GULU-NIMULE-24h'!H67,'05.07 GULU-NIMULE-24h'!H67)</f>
        <v>0</v>
      </c>
      <c r="I67" s="49">
        <f>AVERAGE('04.07 GULU-NIMULE-24h'!I67,'05.07 GULU-NIMULE-24h'!I67)</f>
        <v>0</v>
      </c>
      <c r="J67" s="49">
        <f>AVERAGE('04.07 GULU-NIMULE-24h'!J67,'05.07 GULU-NIMULE-24h'!J67)</f>
        <v>0</v>
      </c>
      <c r="K67" s="49">
        <f>AVERAGE('04.07 GULU-NIMULE-24h'!K67,'05.07 GULU-NIMULE-24h'!K67)</f>
        <v>0</v>
      </c>
      <c r="L67" s="49">
        <f>AVERAGE('04.07 GULU-NIMULE-24h'!L67,'05.07 GULU-NIMULE-24h'!L67)</f>
        <v>0</v>
      </c>
      <c r="M67" s="49">
        <f>AVERAGE('04.07 GULU-NIMULE-24h'!M67,'05.07 GULU-NIMULE-24h'!M67)</f>
        <v>0</v>
      </c>
      <c r="N67" s="49">
        <f>AVERAGE('04.07 GULU-NIMULE-24h'!N67,'05.07 GULU-NIMULE-24h'!N67)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3" t="s">
        <v>105</v>
      </c>
      <c r="C68" s="49">
        <f>AVERAGE('04.07 GULU-NIMULE-24h'!C68,'05.07 GULU-NIMULE-24h'!C68)</f>
        <v>0</v>
      </c>
      <c r="D68" s="49">
        <f>AVERAGE('04.07 GULU-NIMULE-24h'!D68,'05.07 GULU-NIMULE-24h'!D68)</f>
        <v>0</v>
      </c>
      <c r="E68" s="49">
        <f>AVERAGE('04.07 GULU-NIMULE-24h'!E68,'05.07 GULU-NIMULE-24h'!E68)</f>
        <v>0</v>
      </c>
      <c r="F68" s="49">
        <f>AVERAGE('04.07 GULU-NIMULE-24h'!F68,'05.07 GULU-NIMULE-24h'!F68)</f>
        <v>0</v>
      </c>
      <c r="G68" s="49">
        <f>AVERAGE('04.07 GULU-NIMULE-24h'!G68,'05.07 GULU-NIMULE-24h'!G68)</f>
        <v>0</v>
      </c>
      <c r="H68" s="49">
        <f>AVERAGE('04.07 GULU-NIMULE-24h'!H68,'05.07 GULU-NIMULE-24h'!H68)</f>
        <v>0</v>
      </c>
      <c r="I68" s="49">
        <f>AVERAGE('04.07 GULU-NIMULE-24h'!I68,'05.07 GULU-NIMULE-24h'!I68)</f>
        <v>0</v>
      </c>
      <c r="J68" s="49">
        <f>AVERAGE('04.07 GULU-NIMULE-24h'!J68,'05.07 GULU-NIMULE-24h'!J68)</f>
        <v>0</v>
      </c>
      <c r="K68" s="49">
        <f>AVERAGE('04.07 GULU-NIMULE-24h'!K68,'05.07 GULU-NIMULE-24h'!K68)</f>
        <v>0</v>
      </c>
      <c r="L68" s="49">
        <f>AVERAGE('04.07 GULU-NIMULE-24h'!L68,'05.07 GULU-NIMULE-24h'!L68)</f>
        <v>0</v>
      </c>
      <c r="M68" s="49">
        <f>AVERAGE('04.07 GULU-NIMULE-24h'!M68,'05.07 GULU-NIMULE-24h'!M68)</f>
        <v>0</v>
      </c>
      <c r="N68" s="49">
        <f>AVERAGE('04.07 GULU-NIMULE-24h'!N68,'05.07 GULU-NIMULE-24h'!N68)</f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23" t="s">
        <v>106</v>
      </c>
      <c r="C69" s="49">
        <f>AVERAGE('04.07 GULU-NIMULE-24h'!C69,'05.07 GULU-NIMULE-24h'!C69)</f>
        <v>0</v>
      </c>
      <c r="D69" s="49">
        <f>AVERAGE('04.07 GULU-NIMULE-24h'!D69,'05.07 GULU-NIMULE-24h'!D69)</f>
        <v>0</v>
      </c>
      <c r="E69" s="49">
        <f>AVERAGE('04.07 GULU-NIMULE-24h'!E69,'05.07 GULU-NIMULE-24h'!E69)</f>
        <v>0</v>
      </c>
      <c r="F69" s="49">
        <f>AVERAGE('04.07 GULU-NIMULE-24h'!F69,'05.07 GULU-NIMULE-24h'!F69)</f>
        <v>0</v>
      </c>
      <c r="G69" s="49">
        <f>AVERAGE('04.07 GULU-NIMULE-24h'!G69,'05.07 GULU-NIMULE-24h'!G69)</f>
        <v>0</v>
      </c>
      <c r="H69" s="49">
        <f>AVERAGE('04.07 GULU-NIMULE-24h'!H69,'05.07 GULU-NIMULE-24h'!H69)</f>
        <v>0</v>
      </c>
      <c r="I69" s="49">
        <f>AVERAGE('04.07 GULU-NIMULE-24h'!I69,'05.07 GULU-NIMULE-24h'!I69)</f>
        <v>0</v>
      </c>
      <c r="J69" s="49">
        <f>AVERAGE('04.07 GULU-NIMULE-24h'!J69,'05.07 GULU-NIMULE-24h'!J69)</f>
        <v>0</v>
      </c>
      <c r="K69" s="49">
        <f>AVERAGE('04.07 GULU-NIMULE-24h'!K69,'05.07 GULU-NIMULE-24h'!K69)</f>
        <v>0</v>
      </c>
      <c r="L69" s="49">
        <f>AVERAGE('04.07 GULU-NIMULE-24h'!L69,'05.07 GULU-NIMULE-24h'!L69)</f>
        <v>0</v>
      </c>
      <c r="M69" s="49">
        <f>AVERAGE('04.07 GULU-NIMULE-24h'!M69,'05.07 GULU-NIMULE-24h'!M69)</f>
        <v>0</v>
      </c>
      <c r="N69" s="49">
        <f>AVERAGE('04.07 GULU-NIMULE-24h'!N69,'05.07 GULU-NIMULE-24h'!N69)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3" t="s">
        <v>110</v>
      </c>
      <c r="C70" s="49">
        <f>AVERAGE('04.07 GULU-NIMULE-24h'!C70,'05.07 GULU-NIMULE-24h'!C70)</f>
        <v>0</v>
      </c>
      <c r="D70" s="49">
        <f>AVERAGE('04.07 GULU-NIMULE-24h'!D70,'05.07 GULU-NIMULE-24h'!D70)</f>
        <v>0</v>
      </c>
      <c r="E70" s="49">
        <f>AVERAGE('04.07 GULU-NIMULE-24h'!E70,'05.07 GULU-NIMULE-24h'!E70)</f>
        <v>0</v>
      </c>
      <c r="F70" s="49">
        <f>AVERAGE('04.07 GULU-NIMULE-24h'!F70,'05.07 GULU-NIMULE-24h'!F70)</f>
        <v>0</v>
      </c>
      <c r="G70" s="49">
        <f>AVERAGE('04.07 GULU-NIMULE-24h'!G70,'05.07 GULU-NIMULE-24h'!G70)</f>
        <v>0</v>
      </c>
      <c r="H70" s="49">
        <f>AVERAGE('04.07 GULU-NIMULE-24h'!H70,'05.07 GULU-NIMULE-24h'!H70)</f>
        <v>0</v>
      </c>
      <c r="I70" s="49">
        <f>AVERAGE('04.07 GULU-NIMULE-24h'!I70,'05.07 GULU-NIMULE-24h'!I70)</f>
        <v>0</v>
      </c>
      <c r="J70" s="49">
        <f>AVERAGE('04.07 GULU-NIMULE-24h'!J70,'05.07 GULU-NIMULE-24h'!J70)</f>
        <v>0</v>
      </c>
      <c r="K70" s="49">
        <f>AVERAGE('04.07 GULU-NIMULE-24h'!K70,'05.07 GULU-NIMULE-24h'!K70)</f>
        <v>0</v>
      </c>
      <c r="L70" s="49">
        <f>AVERAGE('04.07 GULU-NIMULE-24h'!L70,'05.07 GULU-NIMULE-24h'!L70)</f>
        <v>0</v>
      </c>
      <c r="M70" s="49">
        <f>AVERAGE('04.07 GULU-NIMULE-24h'!M70,'05.07 GULU-NIMULE-24h'!M70)</f>
        <v>0</v>
      </c>
      <c r="N70" s="49">
        <f>AVERAGE('04.07 GULU-NIMULE-24h'!N70,'05.07 GULU-NIMULE-24h'!N70)</f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23" t="s">
        <v>111</v>
      </c>
      <c r="C71" s="49">
        <f>AVERAGE('04.07 GULU-NIMULE-24h'!C71,'05.07 GULU-NIMULE-24h'!C71)</f>
        <v>0</v>
      </c>
      <c r="D71" s="49">
        <f>AVERAGE('04.07 GULU-NIMULE-24h'!D71,'05.07 GULU-NIMULE-24h'!D71)</f>
        <v>0</v>
      </c>
      <c r="E71" s="49">
        <f>AVERAGE('04.07 GULU-NIMULE-24h'!E71,'05.07 GULU-NIMULE-24h'!E71)</f>
        <v>0</v>
      </c>
      <c r="F71" s="49">
        <f>AVERAGE('04.07 GULU-NIMULE-24h'!F71,'05.07 GULU-NIMULE-24h'!F71)</f>
        <v>0</v>
      </c>
      <c r="G71" s="49">
        <f>AVERAGE('04.07 GULU-NIMULE-24h'!G71,'05.07 GULU-NIMULE-24h'!G71)</f>
        <v>0</v>
      </c>
      <c r="H71" s="49">
        <f>AVERAGE('04.07 GULU-NIMULE-24h'!H71,'05.07 GULU-NIMULE-24h'!H71)</f>
        <v>0</v>
      </c>
      <c r="I71" s="49">
        <f>AVERAGE('04.07 GULU-NIMULE-24h'!I71,'05.07 GULU-NIMULE-24h'!I71)</f>
        <v>0</v>
      </c>
      <c r="J71" s="49">
        <f>AVERAGE('04.07 GULU-NIMULE-24h'!J71,'05.07 GULU-NIMULE-24h'!J71)</f>
        <v>0</v>
      </c>
      <c r="K71" s="49">
        <f>AVERAGE('04.07 GULU-NIMULE-24h'!K71,'05.07 GULU-NIMULE-24h'!K71)</f>
        <v>0</v>
      </c>
      <c r="L71" s="49">
        <f>AVERAGE('04.07 GULU-NIMULE-24h'!L71,'05.07 GULU-NIMULE-24h'!L71)</f>
        <v>0</v>
      </c>
      <c r="M71" s="49">
        <f>AVERAGE('04.07 GULU-NIMULE-24h'!M71,'05.07 GULU-NIMULE-24h'!M71)</f>
        <v>0</v>
      </c>
      <c r="N71" s="49">
        <f>AVERAGE('04.07 GULU-NIMULE-24h'!N71,'05.07 GULU-NIMULE-24h'!N71)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3" t="s">
        <v>112</v>
      </c>
      <c r="C72" s="49">
        <f>AVERAGE('04.07 GULU-NIMULE-24h'!C72,'05.07 GULU-NIMULE-24h'!C72)</f>
        <v>0</v>
      </c>
      <c r="D72" s="49">
        <f>AVERAGE('04.07 GULU-NIMULE-24h'!D72,'05.07 GULU-NIMULE-24h'!D72)</f>
        <v>0</v>
      </c>
      <c r="E72" s="49">
        <f>AVERAGE('04.07 GULU-NIMULE-24h'!E72,'05.07 GULU-NIMULE-24h'!E72)</f>
        <v>0</v>
      </c>
      <c r="F72" s="49">
        <f>AVERAGE('04.07 GULU-NIMULE-24h'!F72,'05.07 GULU-NIMULE-24h'!F72)</f>
        <v>0</v>
      </c>
      <c r="G72" s="49">
        <f>AVERAGE('04.07 GULU-NIMULE-24h'!G72,'05.07 GULU-NIMULE-24h'!G72)</f>
        <v>0</v>
      </c>
      <c r="H72" s="49">
        <f>AVERAGE('04.07 GULU-NIMULE-24h'!H72,'05.07 GULU-NIMULE-24h'!H72)</f>
        <v>0</v>
      </c>
      <c r="I72" s="49">
        <f>AVERAGE('04.07 GULU-NIMULE-24h'!I72,'05.07 GULU-NIMULE-24h'!I72)</f>
        <v>0</v>
      </c>
      <c r="J72" s="49">
        <f>AVERAGE('04.07 GULU-NIMULE-24h'!J72,'05.07 GULU-NIMULE-24h'!J72)</f>
        <v>0</v>
      </c>
      <c r="K72" s="49">
        <f>AVERAGE('04.07 GULU-NIMULE-24h'!K72,'05.07 GULU-NIMULE-24h'!K72)</f>
        <v>0</v>
      </c>
      <c r="L72" s="49">
        <f>AVERAGE('04.07 GULU-NIMULE-24h'!L72,'05.07 GULU-NIMULE-24h'!L72)</f>
        <v>0</v>
      </c>
      <c r="M72" s="49">
        <f>AVERAGE('04.07 GULU-NIMULE-24h'!M72,'05.07 GULU-NIMULE-24h'!M72)</f>
        <v>0</v>
      </c>
      <c r="N72" s="49">
        <f>AVERAGE('04.07 GULU-NIMULE-24h'!N72,'05.07 GULU-NIMULE-24h'!N72)</f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23" t="s">
        <v>113</v>
      </c>
      <c r="C73" s="49">
        <f>AVERAGE('04.07 GULU-NIMULE-24h'!C73,'05.07 GULU-NIMULE-24h'!C73)</f>
        <v>0</v>
      </c>
      <c r="D73" s="49">
        <f>AVERAGE('04.07 GULU-NIMULE-24h'!D73,'05.07 GULU-NIMULE-24h'!D73)</f>
        <v>0</v>
      </c>
      <c r="E73" s="49">
        <f>AVERAGE('04.07 GULU-NIMULE-24h'!E73,'05.07 GULU-NIMULE-24h'!E73)</f>
        <v>0</v>
      </c>
      <c r="F73" s="49">
        <f>AVERAGE('04.07 GULU-NIMULE-24h'!F73,'05.07 GULU-NIMULE-24h'!F73)</f>
        <v>0</v>
      </c>
      <c r="G73" s="49">
        <f>AVERAGE('04.07 GULU-NIMULE-24h'!G73,'05.07 GULU-NIMULE-24h'!G73)</f>
        <v>0</v>
      </c>
      <c r="H73" s="49">
        <f>AVERAGE('04.07 GULU-NIMULE-24h'!H73,'05.07 GULU-NIMULE-24h'!H73)</f>
        <v>0</v>
      </c>
      <c r="I73" s="49">
        <f>AVERAGE('04.07 GULU-NIMULE-24h'!I73,'05.07 GULU-NIMULE-24h'!I73)</f>
        <v>0</v>
      </c>
      <c r="J73" s="49">
        <f>AVERAGE('04.07 GULU-NIMULE-24h'!J73,'05.07 GULU-NIMULE-24h'!J73)</f>
        <v>0</v>
      </c>
      <c r="K73" s="49">
        <f>AVERAGE('04.07 GULU-NIMULE-24h'!K73,'05.07 GULU-NIMULE-24h'!K73)</f>
        <v>0</v>
      </c>
      <c r="L73" s="49">
        <f>AVERAGE('04.07 GULU-NIMULE-24h'!L73,'05.07 GULU-NIMULE-24h'!L73)</f>
        <v>0</v>
      </c>
      <c r="M73" s="49">
        <f>AVERAGE('04.07 GULU-NIMULE-24h'!M73,'05.07 GULU-NIMULE-24h'!M73)</f>
        <v>0</v>
      </c>
      <c r="N73" s="49">
        <f>AVERAGE('04.07 GULU-NIMULE-24h'!N73,'05.07 GULU-NIMULE-24h'!N73)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AVERAGE('04.07 GULU-NIMULE-24h'!C74,'05.07 GULU-NIMULE-24h'!C74)</f>
        <v>0</v>
      </c>
      <c r="D74" s="49">
        <f>AVERAGE('04.07 GULU-NIMULE-24h'!D74,'05.07 GULU-NIMULE-24h'!D74)</f>
        <v>0</v>
      </c>
      <c r="E74" s="49">
        <f>AVERAGE('04.07 GULU-NIMULE-24h'!E74,'05.07 GULU-NIMULE-24h'!E74)</f>
        <v>0</v>
      </c>
      <c r="F74" s="49">
        <f>AVERAGE('04.07 GULU-NIMULE-24h'!F74,'05.07 GULU-NIMULE-24h'!F74)</f>
        <v>0</v>
      </c>
      <c r="G74" s="49">
        <f>AVERAGE('04.07 GULU-NIMULE-24h'!G74,'05.07 GULU-NIMULE-24h'!G74)</f>
        <v>0</v>
      </c>
      <c r="H74" s="49">
        <f>AVERAGE('04.07 GULU-NIMULE-24h'!H74,'05.07 GULU-NIMULE-24h'!H74)</f>
        <v>0</v>
      </c>
      <c r="I74" s="49">
        <f>AVERAGE('04.07 GULU-NIMULE-24h'!I74,'05.07 GULU-NIMULE-24h'!I74)</f>
        <v>0</v>
      </c>
      <c r="J74" s="49">
        <f>AVERAGE('04.07 GULU-NIMULE-24h'!J74,'05.07 GULU-NIMULE-24h'!J74)</f>
        <v>0</v>
      </c>
      <c r="K74" s="49">
        <f>AVERAGE('04.07 GULU-NIMULE-24h'!K74,'05.07 GULU-NIMULE-24h'!K74)</f>
        <v>0</v>
      </c>
      <c r="L74" s="49">
        <f>AVERAGE('04.07 GULU-NIMULE-24h'!L74,'05.07 GULU-NIMULE-24h'!L74)</f>
        <v>0</v>
      </c>
      <c r="M74" s="49">
        <f>AVERAGE('04.07 GULU-NIMULE-24h'!M74,'05.07 GULU-NIMULE-24h'!M74)</f>
        <v>0</v>
      </c>
      <c r="N74" s="49">
        <f>AVERAGE('04.07 GULU-NIMULE-24h'!N74,'05.07 GULU-NIMULE-24h'!N74)</f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23" t="s">
        <v>115</v>
      </c>
      <c r="C75" s="49">
        <f>AVERAGE('04.07 GULU-NIMULE-24h'!C75,'05.07 GULU-NIMULE-24h'!C75)</f>
        <v>0</v>
      </c>
      <c r="D75" s="49">
        <f>AVERAGE('04.07 GULU-NIMULE-24h'!D75,'05.07 GULU-NIMULE-24h'!D75)</f>
        <v>0</v>
      </c>
      <c r="E75" s="49">
        <f>AVERAGE('04.07 GULU-NIMULE-24h'!E75,'05.07 GULU-NIMULE-24h'!E75)</f>
        <v>0</v>
      </c>
      <c r="F75" s="49">
        <f>AVERAGE('04.07 GULU-NIMULE-24h'!F75,'05.07 GULU-NIMULE-24h'!F75)</f>
        <v>0</v>
      </c>
      <c r="G75" s="49">
        <f>AVERAGE('04.07 GULU-NIMULE-24h'!G75,'05.07 GULU-NIMULE-24h'!G75)</f>
        <v>0</v>
      </c>
      <c r="H75" s="49">
        <f>AVERAGE('04.07 GULU-NIMULE-24h'!H75,'05.07 GULU-NIMULE-24h'!H75)</f>
        <v>0</v>
      </c>
      <c r="I75" s="49">
        <f>AVERAGE('04.07 GULU-NIMULE-24h'!I75,'05.07 GULU-NIMULE-24h'!I75)</f>
        <v>0</v>
      </c>
      <c r="J75" s="49">
        <f>AVERAGE('04.07 GULU-NIMULE-24h'!J75,'05.07 GULU-NIMULE-24h'!J75)</f>
        <v>0</v>
      </c>
      <c r="K75" s="49">
        <f>AVERAGE('04.07 GULU-NIMULE-24h'!K75,'05.07 GULU-NIMULE-24h'!K75)</f>
        <v>0</v>
      </c>
      <c r="L75" s="49">
        <f>AVERAGE('04.07 GULU-NIMULE-24h'!L75,'05.07 GULU-NIMULE-24h'!L75)</f>
        <v>0</v>
      </c>
      <c r="M75" s="49">
        <f>AVERAGE('04.07 GULU-NIMULE-24h'!M75,'05.07 GULU-NIMULE-24h'!M75)</f>
        <v>0</v>
      </c>
      <c r="N75" s="49">
        <f>AVERAGE('04.07 GULU-NIMULE-24h'!N75,'05.07 GULU-NIMULE-24h'!N75)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3" t="s">
        <v>116</v>
      </c>
      <c r="C76" s="49">
        <f>AVERAGE('04.07 GULU-NIMULE-24h'!C76,'05.07 GULU-NIMULE-24h'!C76)</f>
        <v>0</v>
      </c>
      <c r="D76" s="49">
        <f>AVERAGE('04.07 GULU-NIMULE-24h'!D76,'05.07 GULU-NIMULE-24h'!D76)</f>
        <v>0</v>
      </c>
      <c r="E76" s="49">
        <f>AVERAGE('04.07 GULU-NIMULE-24h'!E76,'05.07 GULU-NIMULE-24h'!E76)</f>
        <v>0</v>
      </c>
      <c r="F76" s="49">
        <f>AVERAGE('04.07 GULU-NIMULE-24h'!F76,'05.07 GULU-NIMULE-24h'!F76)</f>
        <v>0</v>
      </c>
      <c r="G76" s="49">
        <f>AVERAGE('04.07 GULU-NIMULE-24h'!G76,'05.07 GULU-NIMULE-24h'!G76)</f>
        <v>0</v>
      </c>
      <c r="H76" s="49">
        <f>AVERAGE('04.07 GULU-NIMULE-24h'!H76,'05.07 GULU-NIMULE-24h'!H76)</f>
        <v>0</v>
      </c>
      <c r="I76" s="49">
        <f>AVERAGE('04.07 GULU-NIMULE-24h'!I76,'05.07 GULU-NIMULE-24h'!I76)</f>
        <v>0</v>
      </c>
      <c r="J76" s="49">
        <f>AVERAGE('04.07 GULU-NIMULE-24h'!J76,'05.07 GULU-NIMULE-24h'!J76)</f>
        <v>0</v>
      </c>
      <c r="K76" s="49">
        <f>AVERAGE('04.07 GULU-NIMULE-24h'!K76,'05.07 GULU-NIMULE-24h'!K76)</f>
        <v>0</v>
      </c>
      <c r="L76" s="49">
        <f>AVERAGE('04.07 GULU-NIMULE-24h'!L76,'05.07 GULU-NIMULE-24h'!L76)</f>
        <v>0</v>
      </c>
      <c r="M76" s="49">
        <f>AVERAGE('04.07 GULU-NIMULE-24h'!M76,'05.07 GULU-NIMULE-24h'!M76)</f>
        <v>0</v>
      </c>
      <c r="N76" s="49">
        <f>AVERAGE('04.07 GULU-NIMULE-24h'!N76,'05.07 GULU-NIMULE-24h'!N76)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AVERAGE('04.07 GULU-NIMULE-24h'!C77,'05.07 GULU-NIMULE-24h'!C77)</f>
        <v>0</v>
      </c>
      <c r="D77" s="49">
        <f>AVERAGE('04.07 GULU-NIMULE-24h'!D77,'05.07 GULU-NIMULE-24h'!D77)</f>
        <v>0</v>
      </c>
      <c r="E77" s="49">
        <f>AVERAGE('04.07 GULU-NIMULE-24h'!E77,'05.07 GULU-NIMULE-24h'!E77)</f>
        <v>0</v>
      </c>
      <c r="F77" s="49">
        <f>AVERAGE('04.07 GULU-NIMULE-24h'!F77,'05.07 GULU-NIMULE-24h'!F77)</f>
        <v>0</v>
      </c>
      <c r="G77" s="49">
        <f>AVERAGE('04.07 GULU-NIMULE-24h'!G77,'05.07 GULU-NIMULE-24h'!G77)</f>
        <v>0</v>
      </c>
      <c r="H77" s="49">
        <f>AVERAGE('04.07 GULU-NIMULE-24h'!H77,'05.07 GULU-NIMULE-24h'!H77)</f>
        <v>0</v>
      </c>
      <c r="I77" s="49">
        <f>AVERAGE('04.07 GULU-NIMULE-24h'!I77,'05.07 GULU-NIMULE-24h'!I77)</f>
        <v>0</v>
      </c>
      <c r="J77" s="49">
        <f>AVERAGE('04.07 GULU-NIMULE-24h'!J77,'05.07 GULU-NIMULE-24h'!J77)</f>
        <v>0</v>
      </c>
      <c r="K77" s="49">
        <f>AVERAGE('04.07 GULU-NIMULE-24h'!K77,'05.07 GULU-NIMULE-24h'!K77)</f>
        <v>0</v>
      </c>
      <c r="L77" s="49">
        <f>AVERAGE('04.07 GULU-NIMULE-24h'!L77,'05.07 GULU-NIMULE-24h'!L77)</f>
        <v>0</v>
      </c>
      <c r="M77" s="49">
        <f>AVERAGE('04.07 GULU-NIMULE-24h'!M77,'05.07 GULU-NIMULE-24h'!M77)</f>
        <v>0</v>
      </c>
      <c r="N77" s="49">
        <f>AVERAGE('04.07 GULU-NIMULE-24h'!N77,'05.07 GULU-NIMULE-24h'!N77)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AVERAGE('04.07 GULU-NIMULE-24h'!C78,'05.07 GULU-NIMULE-24h'!C78)</f>
        <v>0</v>
      </c>
      <c r="D78" s="49">
        <f>AVERAGE('04.07 GULU-NIMULE-24h'!D78,'05.07 GULU-NIMULE-24h'!D78)</f>
        <v>0</v>
      </c>
      <c r="E78" s="49">
        <f>AVERAGE('04.07 GULU-NIMULE-24h'!E78,'05.07 GULU-NIMULE-24h'!E78)</f>
        <v>0</v>
      </c>
      <c r="F78" s="49">
        <f>AVERAGE('04.07 GULU-NIMULE-24h'!F78,'05.07 GULU-NIMULE-24h'!F78)</f>
        <v>0</v>
      </c>
      <c r="G78" s="49">
        <f>AVERAGE('04.07 GULU-NIMULE-24h'!G78,'05.07 GULU-NIMULE-24h'!G78)</f>
        <v>0</v>
      </c>
      <c r="H78" s="49">
        <f>AVERAGE('04.07 GULU-NIMULE-24h'!H78,'05.07 GULU-NIMULE-24h'!H78)</f>
        <v>0</v>
      </c>
      <c r="I78" s="49">
        <f>AVERAGE('04.07 GULU-NIMULE-24h'!I78,'05.07 GULU-NIMULE-24h'!I78)</f>
        <v>0</v>
      </c>
      <c r="J78" s="49">
        <f>AVERAGE('04.07 GULU-NIMULE-24h'!J78,'05.07 GULU-NIMULE-24h'!J78)</f>
        <v>0</v>
      </c>
      <c r="K78" s="49">
        <f>AVERAGE('04.07 GULU-NIMULE-24h'!K78,'05.07 GULU-NIMULE-24h'!K78)</f>
        <v>0</v>
      </c>
      <c r="L78" s="49">
        <f>AVERAGE('04.07 GULU-NIMULE-24h'!L78,'05.07 GULU-NIMULE-24h'!L78)</f>
        <v>0</v>
      </c>
      <c r="M78" s="49">
        <f>AVERAGE('04.07 GULU-NIMULE-24h'!M78,'05.07 GULU-NIMULE-24h'!M78)</f>
        <v>0</v>
      </c>
      <c r="N78" s="49">
        <f>AVERAGE('04.07 GULU-NIMULE-24h'!N78,'05.07 GULU-NIMULE-24h'!N78)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AVERAGE('04.07 GULU-NIMULE-24h'!C79,'05.07 GULU-NIMULE-24h'!C79)</f>
        <v>0</v>
      </c>
      <c r="D79" s="49">
        <f>AVERAGE('04.07 GULU-NIMULE-24h'!D79,'05.07 GULU-NIMULE-24h'!D79)</f>
        <v>0</v>
      </c>
      <c r="E79" s="49">
        <f>AVERAGE('04.07 GULU-NIMULE-24h'!E79,'05.07 GULU-NIMULE-24h'!E79)</f>
        <v>0</v>
      </c>
      <c r="F79" s="49">
        <f>AVERAGE('04.07 GULU-NIMULE-24h'!F79,'05.07 GULU-NIMULE-24h'!F79)</f>
        <v>0</v>
      </c>
      <c r="G79" s="49">
        <f>AVERAGE('04.07 GULU-NIMULE-24h'!G79,'05.07 GULU-NIMULE-24h'!G79)</f>
        <v>0</v>
      </c>
      <c r="H79" s="49">
        <f>AVERAGE('04.07 GULU-NIMULE-24h'!H79,'05.07 GULU-NIMULE-24h'!H79)</f>
        <v>0</v>
      </c>
      <c r="I79" s="49">
        <f>AVERAGE('04.07 GULU-NIMULE-24h'!I79,'05.07 GULU-NIMULE-24h'!I79)</f>
        <v>0</v>
      </c>
      <c r="J79" s="49">
        <f>AVERAGE('04.07 GULU-NIMULE-24h'!J79,'05.07 GULU-NIMULE-24h'!J79)</f>
        <v>0</v>
      </c>
      <c r="K79" s="49">
        <f>AVERAGE('04.07 GULU-NIMULE-24h'!K79,'05.07 GULU-NIMULE-24h'!K79)</f>
        <v>0</v>
      </c>
      <c r="L79" s="49">
        <f>AVERAGE('04.07 GULU-NIMULE-24h'!L79,'05.07 GULU-NIMULE-24h'!L79)</f>
        <v>0</v>
      </c>
      <c r="M79" s="49">
        <f>AVERAGE('04.07 GULU-NIMULE-24h'!M79,'05.07 GULU-NIMULE-24h'!M79)</f>
        <v>0</v>
      </c>
      <c r="N79" s="49">
        <f>AVERAGE('04.07 GULU-NIMULE-24h'!N79,'05.07 GULU-NIMULE-24h'!N79)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AVERAGE('04.07 GULU-NIMULE-24h'!C80,'05.07 GULU-NIMULE-24h'!C80)</f>
        <v>0</v>
      </c>
      <c r="D80" s="49">
        <f>AVERAGE('04.07 GULU-NIMULE-24h'!D80,'05.07 GULU-NIMULE-24h'!D80)</f>
        <v>0</v>
      </c>
      <c r="E80" s="49">
        <f>AVERAGE('04.07 GULU-NIMULE-24h'!E80,'05.07 GULU-NIMULE-24h'!E80)</f>
        <v>0</v>
      </c>
      <c r="F80" s="49">
        <f>AVERAGE('04.07 GULU-NIMULE-24h'!F80,'05.07 GULU-NIMULE-24h'!F80)</f>
        <v>0</v>
      </c>
      <c r="G80" s="49">
        <f>AVERAGE('04.07 GULU-NIMULE-24h'!G80,'05.07 GULU-NIMULE-24h'!G80)</f>
        <v>0</v>
      </c>
      <c r="H80" s="49">
        <f>AVERAGE('04.07 GULU-NIMULE-24h'!H80,'05.07 GULU-NIMULE-24h'!H80)</f>
        <v>0</v>
      </c>
      <c r="I80" s="49">
        <f>AVERAGE('04.07 GULU-NIMULE-24h'!I80,'05.07 GULU-NIMULE-24h'!I80)</f>
        <v>0</v>
      </c>
      <c r="J80" s="49">
        <f>AVERAGE('04.07 GULU-NIMULE-24h'!J80,'05.07 GULU-NIMULE-24h'!J80)</f>
        <v>0</v>
      </c>
      <c r="K80" s="49">
        <f>AVERAGE('04.07 GULU-NIMULE-24h'!K80,'05.07 GULU-NIMULE-24h'!K80)</f>
        <v>0</v>
      </c>
      <c r="L80" s="49">
        <f>AVERAGE('04.07 GULU-NIMULE-24h'!L80,'05.07 GULU-NIMULE-24h'!L80)</f>
        <v>0</v>
      </c>
      <c r="M80" s="49">
        <f>AVERAGE('04.07 GULU-NIMULE-24h'!M80,'05.07 GULU-NIMULE-24h'!M80)</f>
        <v>0</v>
      </c>
      <c r="N80" s="49">
        <f>AVERAGE('04.07 GULU-NIMULE-24h'!N80,'05.07 GULU-NIMULE-24h'!N80)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AVERAGE('04.07 GULU-NIMULE-24h'!C81,'05.07 GULU-NIMULE-24h'!C81)</f>
        <v>0</v>
      </c>
      <c r="D81" s="49">
        <f>AVERAGE('04.07 GULU-NIMULE-24h'!D81,'05.07 GULU-NIMULE-24h'!D81)</f>
        <v>0</v>
      </c>
      <c r="E81" s="49">
        <f>AVERAGE('04.07 GULU-NIMULE-24h'!E81,'05.07 GULU-NIMULE-24h'!E81)</f>
        <v>0</v>
      </c>
      <c r="F81" s="49">
        <f>AVERAGE('04.07 GULU-NIMULE-24h'!F81,'05.07 GULU-NIMULE-24h'!F81)</f>
        <v>0</v>
      </c>
      <c r="G81" s="49">
        <f>AVERAGE('04.07 GULU-NIMULE-24h'!G81,'05.07 GULU-NIMULE-24h'!G81)</f>
        <v>0</v>
      </c>
      <c r="H81" s="49">
        <f>AVERAGE('04.07 GULU-NIMULE-24h'!H81,'05.07 GULU-NIMULE-24h'!H81)</f>
        <v>0</v>
      </c>
      <c r="I81" s="49">
        <f>AVERAGE('04.07 GULU-NIMULE-24h'!I81,'05.07 GULU-NIMULE-24h'!I81)</f>
        <v>0</v>
      </c>
      <c r="J81" s="49">
        <f>AVERAGE('04.07 GULU-NIMULE-24h'!J81,'05.07 GULU-NIMULE-24h'!J81)</f>
        <v>0</v>
      </c>
      <c r="K81" s="49">
        <f>AVERAGE('04.07 GULU-NIMULE-24h'!K81,'05.07 GULU-NIMULE-24h'!K81)</f>
        <v>0</v>
      </c>
      <c r="L81" s="49">
        <f>AVERAGE('04.07 GULU-NIMULE-24h'!L81,'05.07 GULU-NIMULE-24h'!L81)</f>
        <v>0</v>
      </c>
      <c r="M81" s="49">
        <f>AVERAGE('04.07 GULU-NIMULE-24h'!M81,'05.07 GULU-NIMULE-24h'!M81)</f>
        <v>0</v>
      </c>
      <c r="N81" s="49">
        <f>AVERAGE('04.07 GULU-NIMULE-24h'!N81,'05.07 GULU-NIMULE-24h'!N81)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AVERAGE('04.07 GULU-NIMULE-24h'!C82,'05.07 GULU-NIMULE-24h'!C82)</f>
        <v>0</v>
      </c>
      <c r="D82" s="49">
        <f>AVERAGE('04.07 GULU-NIMULE-24h'!D82,'05.07 GULU-NIMULE-24h'!D82)</f>
        <v>0</v>
      </c>
      <c r="E82" s="49">
        <f>AVERAGE('04.07 GULU-NIMULE-24h'!E82,'05.07 GULU-NIMULE-24h'!E82)</f>
        <v>0</v>
      </c>
      <c r="F82" s="49">
        <f>AVERAGE('04.07 GULU-NIMULE-24h'!F82,'05.07 GULU-NIMULE-24h'!F82)</f>
        <v>0</v>
      </c>
      <c r="G82" s="49">
        <f>AVERAGE('04.07 GULU-NIMULE-24h'!G82,'05.07 GULU-NIMULE-24h'!G82)</f>
        <v>0</v>
      </c>
      <c r="H82" s="49">
        <f>AVERAGE('04.07 GULU-NIMULE-24h'!H82,'05.07 GULU-NIMULE-24h'!H82)</f>
        <v>0</v>
      </c>
      <c r="I82" s="49">
        <f>AVERAGE('04.07 GULU-NIMULE-24h'!I82,'05.07 GULU-NIMULE-24h'!I82)</f>
        <v>0</v>
      </c>
      <c r="J82" s="49">
        <f>AVERAGE('04.07 GULU-NIMULE-24h'!J82,'05.07 GULU-NIMULE-24h'!J82)</f>
        <v>0</v>
      </c>
      <c r="K82" s="49">
        <f>AVERAGE('04.07 GULU-NIMULE-24h'!K82,'05.07 GULU-NIMULE-24h'!K82)</f>
        <v>0</v>
      </c>
      <c r="L82" s="49">
        <f>AVERAGE('04.07 GULU-NIMULE-24h'!L82,'05.07 GULU-NIMULE-24h'!L82)</f>
        <v>0</v>
      </c>
      <c r="M82" s="49">
        <f>AVERAGE('04.07 GULU-NIMULE-24h'!M82,'05.07 GULU-NIMULE-24h'!M82)</f>
        <v>0</v>
      </c>
      <c r="N82" s="49">
        <f>AVERAGE('04.07 GULU-NIMULE-24h'!N82,'05.07 GULU-NIMULE-24h'!N82)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AVERAGE('04.07 GULU-NIMULE-24h'!C83,'05.07 GULU-NIMULE-24h'!C83)</f>
        <v>0</v>
      </c>
      <c r="D83" s="49">
        <f>AVERAGE('04.07 GULU-NIMULE-24h'!D83,'05.07 GULU-NIMULE-24h'!D83)</f>
        <v>0</v>
      </c>
      <c r="E83" s="49">
        <f>AVERAGE('04.07 GULU-NIMULE-24h'!E83,'05.07 GULU-NIMULE-24h'!E83)</f>
        <v>0</v>
      </c>
      <c r="F83" s="49">
        <f>AVERAGE('04.07 GULU-NIMULE-24h'!F83,'05.07 GULU-NIMULE-24h'!F83)</f>
        <v>0</v>
      </c>
      <c r="G83" s="49">
        <f>AVERAGE('04.07 GULU-NIMULE-24h'!G83,'05.07 GULU-NIMULE-24h'!G83)</f>
        <v>0</v>
      </c>
      <c r="H83" s="49">
        <f>AVERAGE('04.07 GULU-NIMULE-24h'!H83,'05.07 GULU-NIMULE-24h'!H83)</f>
        <v>0</v>
      </c>
      <c r="I83" s="49">
        <f>AVERAGE('04.07 GULU-NIMULE-24h'!I83,'05.07 GULU-NIMULE-24h'!I83)</f>
        <v>0</v>
      </c>
      <c r="J83" s="49">
        <f>AVERAGE('04.07 GULU-NIMULE-24h'!J83,'05.07 GULU-NIMULE-24h'!J83)</f>
        <v>0</v>
      </c>
      <c r="K83" s="49">
        <f>AVERAGE('04.07 GULU-NIMULE-24h'!K83,'05.07 GULU-NIMULE-24h'!K83)</f>
        <v>0</v>
      </c>
      <c r="L83" s="49">
        <f>AVERAGE('04.07 GULU-NIMULE-24h'!L83,'05.07 GULU-NIMULE-24h'!L83)</f>
        <v>0</v>
      </c>
      <c r="M83" s="49">
        <f>AVERAGE('04.07 GULU-NIMULE-24h'!M83,'05.07 GULU-NIMULE-24h'!M83)</f>
        <v>0</v>
      </c>
      <c r="N83" s="49">
        <f>AVERAGE('04.07 GULU-NIMULE-24h'!N83,'05.07 GULU-NIMULE-24h'!N83)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AVERAGE('04.07 GULU-NIMULE-24h'!C84,'05.07 GULU-NIMULE-24h'!C84)</f>
        <v>0</v>
      </c>
      <c r="D84" s="49">
        <f>AVERAGE('04.07 GULU-NIMULE-24h'!D84,'05.07 GULU-NIMULE-24h'!D84)</f>
        <v>0</v>
      </c>
      <c r="E84" s="49">
        <f>AVERAGE('04.07 GULU-NIMULE-24h'!E84,'05.07 GULU-NIMULE-24h'!E84)</f>
        <v>0</v>
      </c>
      <c r="F84" s="49">
        <f>AVERAGE('04.07 GULU-NIMULE-24h'!F84,'05.07 GULU-NIMULE-24h'!F84)</f>
        <v>0</v>
      </c>
      <c r="G84" s="49">
        <f>AVERAGE('04.07 GULU-NIMULE-24h'!G84,'05.07 GULU-NIMULE-24h'!G84)</f>
        <v>0</v>
      </c>
      <c r="H84" s="49">
        <f>AVERAGE('04.07 GULU-NIMULE-24h'!H84,'05.07 GULU-NIMULE-24h'!H84)</f>
        <v>0</v>
      </c>
      <c r="I84" s="49">
        <f>AVERAGE('04.07 GULU-NIMULE-24h'!I84,'05.07 GULU-NIMULE-24h'!I84)</f>
        <v>0</v>
      </c>
      <c r="J84" s="49">
        <f>AVERAGE('04.07 GULU-NIMULE-24h'!J84,'05.07 GULU-NIMULE-24h'!J84)</f>
        <v>0</v>
      </c>
      <c r="K84" s="49">
        <f>AVERAGE('04.07 GULU-NIMULE-24h'!K84,'05.07 GULU-NIMULE-24h'!K84)</f>
        <v>0</v>
      </c>
      <c r="L84" s="49">
        <f>AVERAGE('04.07 GULU-NIMULE-24h'!L84,'05.07 GULU-NIMULE-24h'!L84)</f>
        <v>0</v>
      </c>
      <c r="M84" s="49">
        <f>AVERAGE('04.07 GULU-NIMULE-24h'!M84,'05.07 GULU-NIMULE-24h'!M84)</f>
        <v>0</v>
      </c>
      <c r="N84" s="49">
        <f>AVERAGE('04.07 GULU-NIMULE-24h'!N84,'05.07 GULU-NIMULE-24h'!N84)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AVERAGE('04.07 GULU-NIMULE-24h'!C85,'05.07 GULU-NIMULE-24h'!C85)</f>
        <v>0</v>
      </c>
      <c r="D85" s="49">
        <f>AVERAGE('04.07 GULU-NIMULE-24h'!D85,'05.07 GULU-NIMULE-24h'!D85)</f>
        <v>0</v>
      </c>
      <c r="E85" s="49">
        <f>AVERAGE('04.07 GULU-NIMULE-24h'!E85,'05.07 GULU-NIMULE-24h'!E85)</f>
        <v>0</v>
      </c>
      <c r="F85" s="49">
        <f>AVERAGE('04.07 GULU-NIMULE-24h'!F85,'05.07 GULU-NIMULE-24h'!F85)</f>
        <v>0</v>
      </c>
      <c r="G85" s="49">
        <f>AVERAGE('04.07 GULU-NIMULE-24h'!G85,'05.07 GULU-NIMULE-24h'!G85)</f>
        <v>0</v>
      </c>
      <c r="H85" s="49">
        <f>AVERAGE('04.07 GULU-NIMULE-24h'!H85,'05.07 GULU-NIMULE-24h'!H85)</f>
        <v>0</v>
      </c>
      <c r="I85" s="49">
        <f>AVERAGE('04.07 GULU-NIMULE-24h'!I85,'05.07 GULU-NIMULE-24h'!I85)</f>
        <v>0</v>
      </c>
      <c r="J85" s="49">
        <f>AVERAGE('04.07 GULU-NIMULE-24h'!J85,'05.07 GULU-NIMULE-24h'!J85)</f>
        <v>0</v>
      </c>
      <c r="K85" s="49">
        <f>AVERAGE('04.07 GULU-NIMULE-24h'!K85,'05.07 GULU-NIMULE-24h'!K85)</f>
        <v>0</v>
      </c>
      <c r="L85" s="49">
        <f>AVERAGE('04.07 GULU-NIMULE-24h'!L85,'05.07 GULU-NIMULE-24h'!L85)</f>
        <v>0</v>
      </c>
      <c r="M85" s="49">
        <f>AVERAGE('04.07 GULU-NIMULE-24h'!M85,'05.07 GULU-NIMULE-24h'!M85)</f>
        <v>0</v>
      </c>
      <c r="N85" s="49">
        <f>AVERAGE('04.07 GULU-NIMULE-24h'!N85,'05.07 GULU-NIMULE-24h'!N85)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AVERAGE('04.07 GULU-NIMULE-24h'!C86,'05.07 GULU-NIMULE-24h'!C86)</f>
        <v>0</v>
      </c>
      <c r="D86" s="49">
        <f>AVERAGE('04.07 GULU-NIMULE-24h'!D86,'05.07 GULU-NIMULE-24h'!D86)</f>
        <v>0</v>
      </c>
      <c r="E86" s="49">
        <f>AVERAGE('04.07 GULU-NIMULE-24h'!E86,'05.07 GULU-NIMULE-24h'!E86)</f>
        <v>0</v>
      </c>
      <c r="F86" s="49">
        <f>AVERAGE('04.07 GULU-NIMULE-24h'!F86,'05.07 GULU-NIMULE-24h'!F86)</f>
        <v>0</v>
      </c>
      <c r="G86" s="49">
        <f>AVERAGE('04.07 GULU-NIMULE-24h'!G86,'05.07 GULU-NIMULE-24h'!G86)</f>
        <v>0</v>
      </c>
      <c r="H86" s="49">
        <f>AVERAGE('04.07 GULU-NIMULE-24h'!H86,'05.07 GULU-NIMULE-24h'!H86)</f>
        <v>0</v>
      </c>
      <c r="I86" s="49">
        <f>AVERAGE('04.07 GULU-NIMULE-24h'!I86,'05.07 GULU-NIMULE-24h'!I86)</f>
        <v>0</v>
      </c>
      <c r="J86" s="49">
        <f>AVERAGE('04.07 GULU-NIMULE-24h'!J86,'05.07 GULU-NIMULE-24h'!J86)</f>
        <v>0</v>
      </c>
      <c r="K86" s="49">
        <f>AVERAGE('04.07 GULU-NIMULE-24h'!K86,'05.07 GULU-NIMULE-24h'!K86)</f>
        <v>0</v>
      </c>
      <c r="L86" s="49">
        <f>AVERAGE('04.07 GULU-NIMULE-24h'!L86,'05.07 GULU-NIMULE-24h'!L86)</f>
        <v>0</v>
      </c>
      <c r="M86" s="49">
        <f>AVERAGE('04.07 GULU-NIMULE-24h'!M86,'05.07 GULU-NIMULE-24h'!M86)</f>
        <v>0</v>
      </c>
      <c r="N86" s="49">
        <f>AVERAGE('04.07 GULU-NIMULE-24h'!N86,'05.07 GULU-NIMULE-24h'!N86)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AVERAGE('04.07 GULU-NIMULE-24h'!C87,'05.07 GULU-NIMULE-24h'!C87)</f>
        <v>0</v>
      </c>
      <c r="D87" s="49">
        <f>AVERAGE('04.07 GULU-NIMULE-24h'!D87,'05.07 GULU-NIMULE-24h'!D87)</f>
        <v>0</v>
      </c>
      <c r="E87" s="49">
        <f>AVERAGE('04.07 GULU-NIMULE-24h'!E87,'05.07 GULU-NIMULE-24h'!E87)</f>
        <v>0</v>
      </c>
      <c r="F87" s="49">
        <f>AVERAGE('04.07 GULU-NIMULE-24h'!F87,'05.07 GULU-NIMULE-24h'!F87)</f>
        <v>0</v>
      </c>
      <c r="G87" s="49">
        <f>AVERAGE('04.07 GULU-NIMULE-24h'!G87,'05.07 GULU-NIMULE-24h'!G87)</f>
        <v>0</v>
      </c>
      <c r="H87" s="49">
        <f>AVERAGE('04.07 GULU-NIMULE-24h'!H87,'05.07 GULU-NIMULE-24h'!H87)</f>
        <v>0</v>
      </c>
      <c r="I87" s="49">
        <f>AVERAGE('04.07 GULU-NIMULE-24h'!I87,'05.07 GULU-NIMULE-24h'!I87)</f>
        <v>0</v>
      </c>
      <c r="J87" s="49">
        <f>AVERAGE('04.07 GULU-NIMULE-24h'!J87,'05.07 GULU-NIMULE-24h'!J87)</f>
        <v>0</v>
      </c>
      <c r="K87" s="49">
        <f>AVERAGE('04.07 GULU-NIMULE-24h'!K87,'05.07 GULU-NIMULE-24h'!K87)</f>
        <v>0</v>
      </c>
      <c r="L87" s="49">
        <f>AVERAGE('04.07 GULU-NIMULE-24h'!L87,'05.07 GULU-NIMULE-24h'!L87)</f>
        <v>0</v>
      </c>
      <c r="M87" s="49">
        <f>AVERAGE('04.07 GULU-NIMULE-24h'!M87,'05.07 GULU-NIMULE-24h'!M87)</f>
        <v>0</v>
      </c>
      <c r="N87" s="49">
        <f>AVERAGE('04.07 GULU-NIMULE-24h'!N87,'05.07 GULU-NIMULE-24h'!N87)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AVERAGE('04.07 GULU-NIMULE-24h'!C88,'05.07 GULU-NIMULE-24h'!C88)</f>
        <v>0</v>
      </c>
      <c r="D88" s="49">
        <f>AVERAGE('04.07 GULU-NIMULE-24h'!D88,'05.07 GULU-NIMULE-24h'!D88)</f>
        <v>0</v>
      </c>
      <c r="E88" s="49">
        <f>AVERAGE('04.07 GULU-NIMULE-24h'!E88,'05.07 GULU-NIMULE-24h'!E88)</f>
        <v>0</v>
      </c>
      <c r="F88" s="49">
        <f>AVERAGE('04.07 GULU-NIMULE-24h'!F88,'05.07 GULU-NIMULE-24h'!F88)</f>
        <v>0</v>
      </c>
      <c r="G88" s="49">
        <f>AVERAGE('04.07 GULU-NIMULE-24h'!G88,'05.07 GULU-NIMULE-24h'!G88)</f>
        <v>0</v>
      </c>
      <c r="H88" s="49">
        <f>AVERAGE('04.07 GULU-NIMULE-24h'!H88,'05.07 GULU-NIMULE-24h'!H88)</f>
        <v>0</v>
      </c>
      <c r="I88" s="49">
        <f>AVERAGE('04.07 GULU-NIMULE-24h'!I88,'05.07 GULU-NIMULE-24h'!I88)</f>
        <v>0</v>
      </c>
      <c r="J88" s="49">
        <f>AVERAGE('04.07 GULU-NIMULE-24h'!J88,'05.07 GULU-NIMULE-24h'!J88)</f>
        <v>0</v>
      </c>
      <c r="K88" s="49">
        <f>AVERAGE('04.07 GULU-NIMULE-24h'!K88,'05.07 GULU-NIMULE-24h'!K88)</f>
        <v>0</v>
      </c>
      <c r="L88" s="49">
        <f>AVERAGE('04.07 GULU-NIMULE-24h'!L88,'05.07 GULU-NIMULE-24h'!L88)</f>
        <v>0</v>
      </c>
      <c r="M88" s="49">
        <f>AVERAGE('04.07 GULU-NIMULE-24h'!M88,'05.07 GULU-NIMULE-24h'!M88)</f>
        <v>0</v>
      </c>
      <c r="N88" s="49">
        <f>AVERAGE('04.07 GULU-NIMULE-24h'!N88,'05.07 GULU-NIMULE-24h'!N88)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AVERAGE('04.07 GULU-NIMULE-24h'!C89,'05.07 GULU-NIMULE-24h'!C89)</f>
        <v>0</v>
      </c>
      <c r="D89" s="49">
        <f>AVERAGE('04.07 GULU-NIMULE-24h'!D89,'05.07 GULU-NIMULE-24h'!D89)</f>
        <v>0</v>
      </c>
      <c r="E89" s="49">
        <f>AVERAGE('04.07 GULU-NIMULE-24h'!E89,'05.07 GULU-NIMULE-24h'!E89)</f>
        <v>0</v>
      </c>
      <c r="F89" s="49">
        <f>AVERAGE('04.07 GULU-NIMULE-24h'!F89,'05.07 GULU-NIMULE-24h'!F89)</f>
        <v>0</v>
      </c>
      <c r="G89" s="49">
        <f>AVERAGE('04.07 GULU-NIMULE-24h'!G89,'05.07 GULU-NIMULE-24h'!G89)</f>
        <v>0</v>
      </c>
      <c r="H89" s="49">
        <f>AVERAGE('04.07 GULU-NIMULE-24h'!H89,'05.07 GULU-NIMULE-24h'!H89)</f>
        <v>0</v>
      </c>
      <c r="I89" s="49">
        <f>AVERAGE('04.07 GULU-NIMULE-24h'!I89,'05.07 GULU-NIMULE-24h'!I89)</f>
        <v>0</v>
      </c>
      <c r="J89" s="49">
        <f>AVERAGE('04.07 GULU-NIMULE-24h'!J89,'05.07 GULU-NIMULE-24h'!J89)</f>
        <v>0</v>
      </c>
      <c r="K89" s="49">
        <f>AVERAGE('04.07 GULU-NIMULE-24h'!K89,'05.07 GULU-NIMULE-24h'!K89)</f>
        <v>0</v>
      </c>
      <c r="L89" s="49">
        <f>AVERAGE('04.07 GULU-NIMULE-24h'!L89,'05.07 GULU-NIMULE-24h'!L89)</f>
        <v>0</v>
      </c>
      <c r="M89" s="49">
        <f>AVERAGE('04.07 GULU-NIMULE-24h'!M89,'05.07 GULU-NIMULE-24h'!M89)</f>
        <v>0</v>
      </c>
      <c r="N89" s="49">
        <f>AVERAGE('04.07 GULU-NIMULE-24h'!N89,'05.07 GULU-NIMULE-24h'!N89)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AVERAGE('04.07 GULU-NIMULE-24h'!C90,'05.07 GULU-NIMULE-24h'!C90)</f>
        <v>0</v>
      </c>
      <c r="D90" s="49">
        <f>AVERAGE('04.07 GULU-NIMULE-24h'!D90,'05.07 GULU-NIMULE-24h'!D90)</f>
        <v>0</v>
      </c>
      <c r="E90" s="49">
        <f>AVERAGE('04.07 GULU-NIMULE-24h'!E90,'05.07 GULU-NIMULE-24h'!E90)</f>
        <v>0</v>
      </c>
      <c r="F90" s="49">
        <f>AVERAGE('04.07 GULU-NIMULE-24h'!F90,'05.07 GULU-NIMULE-24h'!F90)</f>
        <v>0</v>
      </c>
      <c r="G90" s="49">
        <f>AVERAGE('04.07 GULU-NIMULE-24h'!G90,'05.07 GULU-NIMULE-24h'!G90)</f>
        <v>0</v>
      </c>
      <c r="H90" s="49">
        <f>AVERAGE('04.07 GULU-NIMULE-24h'!H90,'05.07 GULU-NIMULE-24h'!H90)</f>
        <v>0</v>
      </c>
      <c r="I90" s="49">
        <f>AVERAGE('04.07 GULU-NIMULE-24h'!I90,'05.07 GULU-NIMULE-24h'!I90)</f>
        <v>0</v>
      </c>
      <c r="J90" s="49">
        <f>AVERAGE('04.07 GULU-NIMULE-24h'!J90,'05.07 GULU-NIMULE-24h'!J90)</f>
        <v>0</v>
      </c>
      <c r="K90" s="49">
        <f>AVERAGE('04.07 GULU-NIMULE-24h'!K90,'05.07 GULU-NIMULE-24h'!K90)</f>
        <v>0</v>
      </c>
      <c r="L90" s="49">
        <f>AVERAGE('04.07 GULU-NIMULE-24h'!L90,'05.07 GULU-NIMULE-24h'!L90)</f>
        <v>0</v>
      </c>
      <c r="M90" s="49">
        <f>AVERAGE('04.07 GULU-NIMULE-24h'!M90,'05.07 GULU-NIMULE-24h'!M90)</f>
        <v>0</v>
      </c>
      <c r="N90" s="49">
        <f>AVERAGE('04.07 GULU-NIMULE-24h'!N90,'05.07 GULU-NIMULE-24h'!N90)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AVERAGE('04.07 GULU-NIMULE-24h'!C91,'05.07 GULU-NIMULE-24h'!C91)</f>
        <v>0</v>
      </c>
      <c r="D91" s="49">
        <f>AVERAGE('04.07 GULU-NIMULE-24h'!D91,'05.07 GULU-NIMULE-24h'!D91)</f>
        <v>0</v>
      </c>
      <c r="E91" s="49">
        <f>AVERAGE('04.07 GULU-NIMULE-24h'!E91,'05.07 GULU-NIMULE-24h'!E91)</f>
        <v>0</v>
      </c>
      <c r="F91" s="49">
        <f>AVERAGE('04.07 GULU-NIMULE-24h'!F91,'05.07 GULU-NIMULE-24h'!F91)</f>
        <v>0</v>
      </c>
      <c r="G91" s="49">
        <f>AVERAGE('04.07 GULU-NIMULE-24h'!G91,'05.07 GULU-NIMULE-24h'!G91)</f>
        <v>0</v>
      </c>
      <c r="H91" s="49">
        <f>AVERAGE('04.07 GULU-NIMULE-24h'!H91,'05.07 GULU-NIMULE-24h'!H91)</f>
        <v>0</v>
      </c>
      <c r="I91" s="49">
        <f>AVERAGE('04.07 GULU-NIMULE-24h'!I91,'05.07 GULU-NIMULE-24h'!I91)</f>
        <v>0</v>
      </c>
      <c r="J91" s="49">
        <f>AVERAGE('04.07 GULU-NIMULE-24h'!J91,'05.07 GULU-NIMULE-24h'!J91)</f>
        <v>0</v>
      </c>
      <c r="K91" s="49">
        <f>AVERAGE('04.07 GULU-NIMULE-24h'!K91,'05.07 GULU-NIMULE-24h'!K91)</f>
        <v>0</v>
      </c>
      <c r="L91" s="49">
        <f>AVERAGE('04.07 GULU-NIMULE-24h'!L91,'05.07 GULU-NIMULE-24h'!L91)</f>
        <v>0</v>
      </c>
      <c r="M91" s="49">
        <f>AVERAGE('04.07 GULU-NIMULE-24h'!M91,'05.07 GULU-NIMULE-24h'!M91)</f>
        <v>0</v>
      </c>
      <c r="N91" s="49">
        <f>AVERAGE('04.07 GULU-NIMULE-24h'!N91,'05.07 GULU-NIMULE-24h'!N91)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AVERAGE('04.07 GULU-NIMULE-24h'!C92,'05.07 GULU-NIMULE-24h'!C92)</f>
        <v>0</v>
      </c>
      <c r="D92" s="49">
        <f>AVERAGE('04.07 GULU-NIMULE-24h'!D92,'05.07 GULU-NIMULE-24h'!D92)</f>
        <v>0</v>
      </c>
      <c r="E92" s="49">
        <f>AVERAGE('04.07 GULU-NIMULE-24h'!E92,'05.07 GULU-NIMULE-24h'!E92)</f>
        <v>0</v>
      </c>
      <c r="F92" s="49">
        <f>AVERAGE('04.07 GULU-NIMULE-24h'!F92,'05.07 GULU-NIMULE-24h'!F92)</f>
        <v>0</v>
      </c>
      <c r="G92" s="49">
        <f>AVERAGE('04.07 GULU-NIMULE-24h'!G92,'05.07 GULU-NIMULE-24h'!G92)</f>
        <v>0</v>
      </c>
      <c r="H92" s="49">
        <f>AVERAGE('04.07 GULU-NIMULE-24h'!H92,'05.07 GULU-NIMULE-24h'!H92)</f>
        <v>0</v>
      </c>
      <c r="I92" s="49">
        <f>AVERAGE('04.07 GULU-NIMULE-24h'!I92,'05.07 GULU-NIMULE-24h'!I92)</f>
        <v>0</v>
      </c>
      <c r="J92" s="49">
        <f>AVERAGE('04.07 GULU-NIMULE-24h'!J92,'05.07 GULU-NIMULE-24h'!J92)</f>
        <v>0</v>
      </c>
      <c r="K92" s="49">
        <f>AVERAGE('04.07 GULU-NIMULE-24h'!K92,'05.07 GULU-NIMULE-24h'!K92)</f>
        <v>0</v>
      </c>
      <c r="L92" s="49">
        <f>AVERAGE('04.07 GULU-NIMULE-24h'!L92,'05.07 GULU-NIMULE-24h'!L92)</f>
        <v>0</v>
      </c>
      <c r="M92" s="49">
        <f>AVERAGE('04.07 GULU-NIMULE-24h'!M92,'05.07 GULU-NIMULE-24h'!M92)</f>
        <v>0</v>
      </c>
      <c r="N92" s="49">
        <f>AVERAGE('04.07 GULU-NIMULE-24h'!N92,'05.07 GULU-NIMULE-24h'!N92)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AVERAGE('04.07 GULU-NIMULE-24h'!C93,'05.07 GULU-NIMULE-24h'!C93)</f>
        <v>0</v>
      </c>
      <c r="D93" s="49">
        <f>AVERAGE('04.07 GULU-NIMULE-24h'!D93,'05.07 GULU-NIMULE-24h'!D93)</f>
        <v>0</v>
      </c>
      <c r="E93" s="49">
        <f>AVERAGE('04.07 GULU-NIMULE-24h'!E93,'05.07 GULU-NIMULE-24h'!E93)</f>
        <v>0</v>
      </c>
      <c r="F93" s="49">
        <f>AVERAGE('04.07 GULU-NIMULE-24h'!F93,'05.07 GULU-NIMULE-24h'!F93)</f>
        <v>0</v>
      </c>
      <c r="G93" s="49">
        <f>AVERAGE('04.07 GULU-NIMULE-24h'!G93,'05.07 GULU-NIMULE-24h'!G93)</f>
        <v>0</v>
      </c>
      <c r="H93" s="49">
        <f>AVERAGE('04.07 GULU-NIMULE-24h'!H93,'05.07 GULU-NIMULE-24h'!H93)</f>
        <v>0</v>
      </c>
      <c r="I93" s="49">
        <f>AVERAGE('04.07 GULU-NIMULE-24h'!I93,'05.07 GULU-NIMULE-24h'!I93)</f>
        <v>0</v>
      </c>
      <c r="J93" s="49">
        <f>AVERAGE('04.07 GULU-NIMULE-24h'!J93,'05.07 GULU-NIMULE-24h'!J93)</f>
        <v>0</v>
      </c>
      <c r="K93" s="49">
        <f>AVERAGE('04.07 GULU-NIMULE-24h'!K93,'05.07 GULU-NIMULE-24h'!K93)</f>
        <v>0</v>
      </c>
      <c r="L93" s="49">
        <f>AVERAGE('04.07 GULU-NIMULE-24h'!L93,'05.07 GULU-NIMULE-24h'!L93)</f>
        <v>0</v>
      </c>
      <c r="M93" s="49">
        <f>AVERAGE('04.07 GULU-NIMULE-24h'!M93,'05.07 GULU-NIMULE-24h'!M93)</f>
        <v>0</v>
      </c>
      <c r="N93" s="49">
        <f>AVERAGE('04.07 GULU-NIMULE-24h'!N93,'05.07 GULU-NIMULE-24h'!N93)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AVERAGE('04.07 GULU-NIMULE-24h'!C94,'05.07 GULU-NIMULE-24h'!C94)</f>
        <v>0</v>
      </c>
      <c r="D94" s="49">
        <f>AVERAGE('04.07 GULU-NIMULE-24h'!D94,'05.07 GULU-NIMULE-24h'!D94)</f>
        <v>0</v>
      </c>
      <c r="E94" s="49">
        <f>AVERAGE('04.07 GULU-NIMULE-24h'!E94,'05.07 GULU-NIMULE-24h'!E94)</f>
        <v>0</v>
      </c>
      <c r="F94" s="49">
        <f>AVERAGE('04.07 GULU-NIMULE-24h'!F94,'05.07 GULU-NIMULE-24h'!F94)</f>
        <v>0</v>
      </c>
      <c r="G94" s="49">
        <f>AVERAGE('04.07 GULU-NIMULE-24h'!G94,'05.07 GULU-NIMULE-24h'!G94)</f>
        <v>0</v>
      </c>
      <c r="H94" s="49">
        <f>AVERAGE('04.07 GULU-NIMULE-24h'!H94,'05.07 GULU-NIMULE-24h'!H94)</f>
        <v>0</v>
      </c>
      <c r="I94" s="49">
        <f>AVERAGE('04.07 GULU-NIMULE-24h'!I94,'05.07 GULU-NIMULE-24h'!I94)</f>
        <v>0</v>
      </c>
      <c r="J94" s="49">
        <f>AVERAGE('04.07 GULU-NIMULE-24h'!J94,'05.07 GULU-NIMULE-24h'!J94)</f>
        <v>0</v>
      </c>
      <c r="K94" s="49">
        <f>AVERAGE('04.07 GULU-NIMULE-24h'!K94,'05.07 GULU-NIMULE-24h'!K94)</f>
        <v>0</v>
      </c>
      <c r="L94" s="49">
        <f>AVERAGE('04.07 GULU-NIMULE-24h'!L94,'05.07 GULU-NIMULE-24h'!L94)</f>
        <v>0</v>
      </c>
      <c r="M94" s="49">
        <f>AVERAGE('04.07 GULU-NIMULE-24h'!M94,'05.07 GULU-NIMULE-24h'!M94)</f>
        <v>0</v>
      </c>
      <c r="N94" s="49">
        <f>AVERAGE('04.07 GULU-NIMULE-24h'!N94,'05.07 GULU-NIMULE-24h'!N94)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AVERAGE('04.07 GULU-NIMULE-24h'!C95,'05.07 GULU-NIMULE-24h'!C95)</f>
        <v>0</v>
      </c>
      <c r="D95" s="49">
        <f>AVERAGE('04.07 GULU-NIMULE-24h'!D95,'05.07 GULU-NIMULE-24h'!D95)</f>
        <v>0</v>
      </c>
      <c r="E95" s="49">
        <f>AVERAGE('04.07 GULU-NIMULE-24h'!E95,'05.07 GULU-NIMULE-24h'!E95)</f>
        <v>0</v>
      </c>
      <c r="F95" s="49">
        <f>AVERAGE('04.07 GULU-NIMULE-24h'!F95,'05.07 GULU-NIMULE-24h'!F95)</f>
        <v>0</v>
      </c>
      <c r="G95" s="49">
        <f>AVERAGE('04.07 GULU-NIMULE-24h'!G95,'05.07 GULU-NIMULE-24h'!G95)</f>
        <v>0</v>
      </c>
      <c r="H95" s="49">
        <f>AVERAGE('04.07 GULU-NIMULE-24h'!H95,'05.07 GULU-NIMULE-24h'!H95)</f>
        <v>0</v>
      </c>
      <c r="I95" s="49">
        <f>AVERAGE('04.07 GULU-NIMULE-24h'!I95,'05.07 GULU-NIMULE-24h'!I95)</f>
        <v>0</v>
      </c>
      <c r="J95" s="49">
        <f>AVERAGE('04.07 GULU-NIMULE-24h'!J95,'05.07 GULU-NIMULE-24h'!J95)</f>
        <v>0</v>
      </c>
      <c r="K95" s="49">
        <f>AVERAGE('04.07 GULU-NIMULE-24h'!K95,'05.07 GULU-NIMULE-24h'!K95)</f>
        <v>0</v>
      </c>
      <c r="L95" s="49">
        <f>AVERAGE('04.07 GULU-NIMULE-24h'!L95,'05.07 GULU-NIMULE-24h'!L95)</f>
        <v>0</v>
      </c>
      <c r="M95" s="49">
        <f>AVERAGE('04.07 GULU-NIMULE-24h'!M95,'05.07 GULU-NIMULE-24h'!M95)</f>
        <v>0</v>
      </c>
      <c r="N95" s="49">
        <f>AVERAGE('04.07 GULU-NIMULE-24h'!N95,'05.07 GULU-NIMULE-24h'!N95)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AVERAGE('04.07 GULU-NIMULE-24h'!C96,'05.07 GULU-NIMULE-24h'!C96)</f>
        <v>0</v>
      </c>
      <c r="D96" s="49">
        <f>AVERAGE('04.07 GULU-NIMULE-24h'!D96,'05.07 GULU-NIMULE-24h'!D96)</f>
        <v>0</v>
      </c>
      <c r="E96" s="49">
        <f>AVERAGE('04.07 GULU-NIMULE-24h'!E96,'05.07 GULU-NIMULE-24h'!E96)</f>
        <v>0</v>
      </c>
      <c r="F96" s="49">
        <f>AVERAGE('04.07 GULU-NIMULE-24h'!F96,'05.07 GULU-NIMULE-24h'!F96)</f>
        <v>0</v>
      </c>
      <c r="G96" s="49">
        <f>AVERAGE('04.07 GULU-NIMULE-24h'!G96,'05.07 GULU-NIMULE-24h'!G96)</f>
        <v>0</v>
      </c>
      <c r="H96" s="49">
        <f>AVERAGE('04.07 GULU-NIMULE-24h'!H96,'05.07 GULU-NIMULE-24h'!H96)</f>
        <v>0</v>
      </c>
      <c r="I96" s="49">
        <f>AVERAGE('04.07 GULU-NIMULE-24h'!I96,'05.07 GULU-NIMULE-24h'!I96)</f>
        <v>0</v>
      </c>
      <c r="J96" s="49">
        <f>AVERAGE('04.07 GULU-NIMULE-24h'!J96,'05.07 GULU-NIMULE-24h'!J96)</f>
        <v>0</v>
      </c>
      <c r="K96" s="49">
        <f>AVERAGE('04.07 GULU-NIMULE-24h'!K96,'05.07 GULU-NIMULE-24h'!K96)</f>
        <v>0</v>
      </c>
      <c r="L96" s="49">
        <f>AVERAGE('04.07 GULU-NIMULE-24h'!L96,'05.07 GULU-NIMULE-24h'!L96)</f>
        <v>0</v>
      </c>
      <c r="M96" s="49">
        <f>AVERAGE('04.07 GULU-NIMULE-24h'!M96,'05.07 GULU-NIMULE-24h'!M96)</f>
        <v>0</v>
      </c>
      <c r="N96" s="49">
        <f>AVERAGE('04.07 GULU-NIMULE-24h'!N96,'05.07 GULU-NIMULE-24h'!N96)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AVERAGE('04.07 GULU-NIMULE-24h'!C97,'05.07 GULU-NIMULE-24h'!C97)</f>
        <v>0</v>
      </c>
      <c r="D97" s="49">
        <f>AVERAGE('04.07 GULU-NIMULE-24h'!D97,'05.07 GULU-NIMULE-24h'!D97)</f>
        <v>0</v>
      </c>
      <c r="E97" s="49">
        <f>AVERAGE('04.07 GULU-NIMULE-24h'!E97,'05.07 GULU-NIMULE-24h'!E97)</f>
        <v>0</v>
      </c>
      <c r="F97" s="49">
        <f>AVERAGE('04.07 GULU-NIMULE-24h'!F97,'05.07 GULU-NIMULE-24h'!F97)</f>
        <v>0</v>
      </c>
      <c r="G97" s="49">
        <f>AVERAGE('04.07 GULU-NIMULE-24h'!G97,'05.07 GULU-NIMULE-24h'!G97)</f>
        <v>0</v>
      </c>
      <c r="H97" s="49">
        <f>AVERAGE('04.07 GULU-NIMULE-24h'!H97,'05.07 GULU-NIMULE-24h'!H97)</f>
        <v>0</v>
      </c>
      <c r="I97" s="49">
        <f>AVERAGE('04.07 GULU-NIMULE-24h'!I97,'05.07 GULU-NIMULE-24h'!I97)</f>
        <v>0</v>
      </c>
      <c r="J97" s="49">
        <f>AVERAGE('04.07 GULU-NIMULE-24h'!J97,'05.07 GULU-NIMULE-24h'!J97)</f>
        <v>0</v>
      </c>
      <c r="K97" s="49">
        <f>AVERAGE('04.07 GULU-NIMULE-24h'!K97,'05.07 GULU-NIMULE-24h'!K97)</f>
        <v>0</v>
      </c>
      <c r="L97" s="49">
        <f>AVERAGE('04.07 GULU-NIMULE-24h'!L97,'05.07 GULU-NIMULE-24h'!L97)</f>
        <v>0</v>
      </c>
      <c r="M97" s="49">
        <f>AVERAGE('04.07 GULU-NIMULE-24h'!M97,'05.07 GULU-NIMULE-24h'!M97)</f>
        <v>0</v>
      </c>
      <c r="N97" s="49">
        <f>AVERAGE('04.07 GULU-NIMULE-24h'!N97,'05.07 GULU-NIMULE-24h'!N97)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AVERAGE('04.07 GULU-NIMULE-24h'!C98,'05.07 GULU-NIMULE-24h'!C98)</f>
        <v>0</v>
      </c>
      <c r="D98" s="49">
        <f>AVERAGE('04.07 GULU-NIMULE-24h'!D98,'05.07 GULU-NIMULE-24h'!D98)</f>
        <v>0</v>
      </c>
      <c r="E98" s="49">
        <f>AVERAGE('04.07 GULU-NIMULE-24h'!E98,'05.07 GULU-NIMULE-24h'!E98)</f>
        <v>0</v>
      </c>
      <c r="F98" s="49">
        <f>AVERAGE('04.07 GULU-NIMULE-24h'!F98,'05.07 GULU-NIMULE-24h'!F98)</f>
        <v>0</v>
      </c>
      <c r="G98" s="49">
        <f>AVERAGE('04.07 GULU-NIMULE-24h'!G98,'05.07 GULU-NIMULE-24h'!G98)</f>
        <v>0</v>
      </c>
      <c r="H98" s="49">
        <f>AVERAGE('04.07 GULU-NIMULE-24h'!H98,'05.07 GULU-NIMULE-24h'!H98)</f>
        <v>0</v>
      </c>
      <c r="I98" s="49">
        <f>AVERAGE('04.07 GULU-NIMULE-24h'!I98,'05.07 GULU-NIMULE-24h'!I98)</f>
        <v>0</v>
      </c>
      <c r="J98" s="49">
        <f>AVERAGE('04.07 GULU-NIMULE-24h'!J98,'05.07 GULU-NIMULE-24h'!J98)</f>
        <v>0</v>
      </c>
      <c r="K98" s="49">
        <f>AVERAGE('04.07 GULU-NIMULE-24h'!K98,'05.07 GULU-NIMULE-24h'!K98)</f>
        <v>0</v>
      </c>
      <c r="L98" s="49">
        <f>AVERAGE('04.07 GULU-NIMULE-24h'!L98,'05.07 GULU-NIMULE-24h'!L98)</f>
        <v>0</v>
      </c>
      <c r="M98" s="49">
        <f>AVERAGE('04.07 GULU-NIMULE-24h'!M98,'05.07 GULU-NIMULE-24h'!M98)</f>
        <v>0</v>
      </c>
      <c r="N98" s="49">
        <f>AVERAGE('04.07 GULU-NIMULE-24h'!N98,'05.07 GULU-NIMULE-24h'!N98)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AVERAGE('04.07 GULU-NIMULE-24h'!C99,'05.07 GULU-NIMULE-24h'!C99)</f>
        <v>0</v>
      </c>
      <c r="D99" s="49">
        <f>AVERAGE('04.07 GULU-NIMULE-24h'!D99,'05.07 GULU-NIMULE-24h'!D99)</f>
        <v>0</v>
      </c>
      <c r="E99" s="49">
        <f>AVERAGE('04.07 GULU-NIMULE-24h'!E99,'05.07 GULU-NIMULE-24h'!E99)</f>
        <v>0</v>
      </c>
      <c r="F99" s="49">
        <f>AVERAGE('04.07 GULU-NIMULE-24h'!F99,'05.07 GULU-NIMULE-24h'!F99)</f>
        <v>0</v>
      </c>
      <c r="G99" s="49">
        <f>AVERAGE('04.07 GULU-NIMULE-24h'!G99,'05.07 GULU-NIMULE-24h'!G99)</f>
        <v>0</v>
      </c>
      <c r="H99" s="49">
        <f>AVERAGE('04.07 GULU-NIMULE-24h'!H99,'05.07 GULU-NIMULE-24h'!H99)</f>
        <v>0</v>
      </c>
      <c r="I99" s="49">
        <f>AVERAGE('04.07 GULU-NIMULE-24h'!I99,'05.07 GULU-NIMULE-24h'!I99)</f>
        <v>0</v>
      </c>
      <c r="J99" s="49">
        <f>AVERAGE('04.07 GULU-NIMULE-24h'!J99,'05.07 GULU-NIMULE-24h'!J99)</f>
        <v>0</v>
      </c>
      <c r="K99" s="49">
        <f>AVERAGE('04.07 GULU-NIMULE-24h'!K99,'05.07 GULU-NIMULE-24h'!K99)</f>
        <v>0</v>
      </c>
      <c r="L99" s="49">
        <f>AVERAGE('04.07 GULU-NIMULE-24h'!L99,'05.07 GULU-NIMULE-24h'!L99)</f>
        <v>0</v>
      </c>
      <c r="M99" s="49">
        <f>AVERAGE('04.07 GULU-NIMULE-24h'!M99,'05.07 GULU-NIMULE-24h'!M99)</f>
        <v>0</v>
      </c>
      <c r="N99" s="49">
        <f>AVERAGE('04.07 GULU-NIMULE-24h'!N99,'05.07 GULU-NIMULE-24h'!N99)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AVERAGE('04.07 GULU-NIMULE-24h'!C100,'05.07 GULU-NIMULE-24h'!C100)</f>
        <v>0</v>
      </c>
      <c r="D100" s="49">
        <f>AVERAGE('04.07 GULU-NIMULE-24h'!D100,'05.07 GULU-NIMULE-24h'!D100)</f>
        <v>0</v>
      </c>
      <c r="E100" s="49">
        <f>AVERAGE('04.07 GULU-NIMULE-24h'!E100,'05.07 GULU-NIMULE-24h'!E100)</f>
        <v>0</v>
      </c>
      <c r="F100" s="49">
        <f>AVERAGE('04.07 GULU-NIMULE-24h'!F100,'05.07 GULU-NIMULE-24h'!F100)</f>
        <v>0</v>
      </c>
      <c r="G100" s="49">
        <f>AVERAGE('04.07 GULU-NIMULE-24h'!G100,'05.07 GULU-NIMULE-24h'!G100)</f>
        <v>0</v>
      </c>
      <c r="H100" s="49">
        <f>AVERAGE('04.07 GULU-NIMULE-24h'!H100,'05.07 GULU-NIMULE-24h'!H100)</f>
        <v>0</v>
      </c>
      <c r="I100" s="49">
        <f>AVERAGE('04.07 GULU-NIMULE-24h'!I100,'05.07 GULU-NIMULE-24h'!I100)</f>
        <v>0</v>
      </c>
      <c r="J100" s="49">
        <f>AVERAGE('04.07 GULU-NIMULE-24h'!J100,'05.07 GULU-NIMULE-24h'!J100)</f>
        <v>0</v>
      </c>
      <c r="K100" s="49">
        <f>AVERAGE('04.07 GULU-NIMULE-24h'!K100,'05.07 GULU-NIMULE-24h'!K100)</f>
        <v>0</v>
      </c>
      <c r="L100" s="49">
        <f>AVERAGE('04.07 GULU-NIMULE-24h'!L100,'05.07 GULU-NIMULE-24h'!L100)</f>
        <v>0</v>
      </c>
      <c r="M100" s="49">
        <f>AVERAGE('04.07 GULU-NIMULE-24h'!M100,'05.07 GULU-NIMULE-24h'!M100)</f>
        <v>0</v>
      </c>
      <c r="N100" s="49">
        <f>AVERAGE('04.07 GULU-NIMULE-24h'!N100,'05.07 GULU-NIMULE-24h'!N100)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3" t="s">
        <v>141</v>
      </c>
      <c r="C101" s="49">
        <f>AVERAGE('04.07 GULU-NIMULE-24h'!C101,'05.07 GULU-NIMULE-24h'!C101)</f>
        <v>0</v>
      </c>
      <c r="D101" s="49">
        <f>AVERAGE('04.07 GULU-NIMULE-24h'!D101,'05.07 GULU-NIMULE-24h'!D101)</f>
        <v>0</v>
      </c>
      <c r="E101" s="49">
        <f>AVERAGE('04.07 GULU-NIMULE-24h'!E101,'05.07 GULU-NIMULE-24h'!E101)</f>
        <v>0</v>
      </c>
      <c r="F101" s="49">
        <f>AVERAGE('04.07 GULU-NIMULE-24h'!F101,'05.07 GULU-NIMULE-24h'!F101)</f>
        <v>0</v>
      </c>
      <c r="G101" s="49">
        <f>AVERAGE('04.07 GULU-NIMULE-24h'!G101,'05.07 GULU-NIMULE-24h'!G101)</f>
        <v>0</v>
      </c>
      <c r="H101" s="49">
        <f>AVERAGE('04.07 GULU-NIMULE-24h'!H101,'05.07 GULU-NIMULE-24h'!H101)</f>
        <v>0</v>
      </c>
      <c r="I101" s="49">
        <f>AVERAGE('04.07 GULU-NIMULE-24h'!I101,'05.07 GULU-NIMULE-24h'!I101)</f>
        <v>0</v>
      </c>
      <c r="J101" s="49">
        <f>AVERAGE('04.07 GULU-NIMULE-24h'!J101,'05.07 GULU-NIMULE-24h'!J101)</f>
        <v>0</v>
      </c>
      <c r="K101" s="49">
        <f>AVERAGE('04.07 GULU-NIMULE-24h'!K101,'05.07 GULU-NIMULE-24h'!K101)</f>
        <v>0</v>
      </c>
      <c r="L101" s="49">
        <f>AVERAGE('04.07 GULU-NIMULE-24h'!L101,'05.07 GULU-NIMULE-24h'!L101)</f>
        <v>0</v>
      </c>
      <c r="M101" s="49">
        <f>AVERAGE('04.07 GULU-NIMULE-24h'!M101,'05.07 GULU-NIMULE-24h'!M101)</f>
        <v>0</v>
      </c>
      <c r="N101" s="49">
        <f>AVERAGE('04.07 GULU-NIMULE-24h'!N101,'05.07 GULU-NIMULE-24h'!N101)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AVERAGE('04.07 GULU-NIMULE-24h'!C102,'05.07 GULU-NIMULE-24h'!C102)</f>
        <v>0</v>
      </c>
      <c r="D102" s="49">
        <f>AVERAGE('04.07 GULU-NIMULE-24h'!D102,'05.07 GULU-NIMULE-24h'!D102)</f>
        <v>0</v>
      </c>
      <c r="E102" s="49">
        <f>AVERAGE('04.07 GULU-NIMULE-24h'!E102,'05.07 GULU-NIMULE-24h'!E102)</f>
        <v>0</v>
      </c>
      <c r="F102" s="49">
        <f>AVERAGE('04.07 GULU-NIMULE-24h'!F102,'05.07 GULU-NIMULE-24h'!F102)</f>
        <v>0</v>
      </c>
      <c r="G102" s="49">
        <f>AVERAGE('04.07 GULU-NIMULE-24h'!G102,'05.07 GULU-NIMULE-24h'!G102)</f>
        <v>0</v>
      </c>
      <c r="H102" s="49">
        <f>AVERAGE('04.07 GULU-NIMULE-24h'!H102,'05.07 GULU-NIMULE-24h'!H102)</f>
        <v>0</v>
      </c>
      <c r="I102" s="49">
        <f>AVERAGE('04.07 GULU-NIMULE-24h'!I102,'05.07 GULU-NIMULE-24h'!I102)</f>
        <v>0</v>
      </c>
      <c r="J102" s="49">
        <f>AVERAGE('04.07 GULU-NIMULE-24h'!J102,'05.07 GULU-NIMULE-24h'!J102)</f>
        <v>0</v>
      </c>
      <c r="K102" s="49">
        <f>AVERAGE('04.07 GULU-NIMULE-24h'!K102,'05.07 GULU-NIMULE-24h'!K102)</f>
        <v>0</v>
      </c>
      <c r="L102" s="49">
        <f>AVERAGE('04.07 GULU-NIMULE-24h'!L102,'05.07 GULU-NIMULE-24h'!L102)</f>
        <v>0</v>
      </c>
      <c r="M102" s="49">
        <f>AVERAGE('04.07 GULU-NIMULE-24h'!M102,'05.07 GULU-NIMULE-24h'!M102)</f>
        <v>0</v>
      </c>
      <c r="N102" s="49">
        <f>AVERAGE('04.07 GULU-NIMULE-24h'!N102,'05.07 GULU-NIMULE-24h'!N102)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AVERAGE('04.07 GULU-NIMULE-24h'!C103,'05.07 GULU-NIMULE-24h'!C103)</f>
        <v>0</v>
      </c>
      <c r="D103" s="49">
        <f>AVERAGE('04.07 GULU-NIMULE-24h'!D103,'05.07 GULU-NIMULE-24h'!D103)</f>
        <v>0</v>
      </c>
      <c r="E103" s="49">
        <f>AVERAGE('04.07 GULU-NIMULE-24h'!E103,'05.07 GULU-NIMULE-24h'!E103)</f>
        <v>0</v>
      </c>
      <c r="F103" s="49">
        <f>AVERAGE('04.07 GULU-NIMULE-24h'!F103,'05.07 GULU-NIMULE-24h'!F103)</f>
        <v>0</v>
      </c>
      <c r="G103" s="49">
        <f>AVERAGE('04.07 GULU-NIMULE-24h'!G103,'05.07 GULU-NIMULE-24h'!G103)</f>
        <v>0</v>
      </c>
      <c r="H103" s="49">
        <f>AVERAGE('04.07 GULU-NIMULE-24h'!H103,'05.07 GULU-NIMULE-24h'!H103)</f>
        <v>0</v>
      </c>
      <c r="I103" s="49">
        <f>AVERAGE('04.07 GULU-NIMULE-24h'!I103,'05.07 GULU-NIMULE-24h'!I103)</f>
        <v>0</v>
      </c>
      <c r="J103" s="49">
        <f>AVERAGE('04.07 GULU-NIMULE-24h'!J103,'05.07 GULU-NIMULE-24h'!J103)</f>
        <v>0</v>
      </c>
      <c r="K103" s="49">
        <f>AVERAGE('04.07 GULU-NIMULE-24h'!K103,'05.07 GULU-NIMULE-24h'!K103)</f>
        <v>0</v>
      </c>
      <c r="L103" s="49">
        <f>AVERAGE('04.07 GULU-NIMULE-24h'!L103,'05.07 GULU-NIMULE-24h'!L103)</f>
        <v>0</v>
      </c>
      <c r="M103" s="49">
        <f>AVERAGE('04.07 GULU-NIMULE-24h'!M103,'05.07 GULU-NIMULE-24h'!M103)</f>
        <v>0</v>
      </c>
      <c r="N103" s="49">
        <f>AVERAGE('04.07 GULU-NIMULE-24h'!N103,'05.07 GULU-NIMULE-24h'!N103)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5" t="s">
        <v>144</v>
      </c>
      <c r="C104" s="49">
        <f>AVERAGE('04.07 GULU-NIMULE-24h'!C104,'05.07 GULU-NIMULE-24h'!C104)</f>
        <v>0</v>
      </c>
      <c r="D104" s="49">
        <f>AVERAGE('04.07 GULU-NIMULE-24h'!D104,'05.07 GULU-NIMULE-24h'!D104)</f>
        <v>0</v>
      </c>
      <c r="E104" s="49">
        <f>AVERAGE('04.07 GULU-NIMULE-24h'!E104,'05.07 GULU-NIMULE-24h'!E104)</f>
        <v>0</v>
      </c>
      <c r="F104" s="49">
        <f>AVERAGE('04.07 GULU-NIMULE-24h'!F104,'05.07 GULU-NIMULE-24h'!F104)</f>
        <v>0</v>
      </c>
      <c r="G104" s="49">
        <f>AVERAGE('04.07 GULU-NIMULE-24h'!G104,'05.07 GULU-NIMULE-24h'!G104)</f>
        <v>0</v>
      </c>
      <c r="H104" s="49">
        <f>AVERAGE('04.07 GULU-NIMULE-24h'!H104,'05.07 GULU-NIMULE-24h'!H104)</f>
        <v>0</v>
      </c>
      <c r="I104" s="49">
        <f>AVERAGE('04.07 GULU-NIMULE-24h'!I104,'05.07 GULU-NIMULE-24h'!I104)</f>
        <v>0</v>
      </c>
      <c r="J104" s="49">
        <f>AVERAGE('04.07 GULU-NIMULE-24h'!J104,'05.07 GULU-NIMULE-24h'!J104)</f>
        <v>0</v>
      </c>
      <c r="K104" s="49">
        <f>AVERAGE('04.07 GULU-NIMULE-24h'!K104,'05.07 GULU-NIMULE-24h'!K104)</f>
        <v>0</v>
      </c>
      <c r="L104" s="49">
        <f>AVERAGE('04.07 GULU-NIMULE-24h'!L104,'05.07 GULU-NIMULE-24h'!L104)</f>
        <v>0</v>
      </c>
      <c r="M104" s="49">
        <f>AVERAGE('04.07 GULU-NIMULE-24h'!M104,'05.07 GULU-NIMULE-24h'!M104)</f>
        <v>0</v>
      </c>
      <c r="N104" s="49">
        <f>AVERAGE('04.07 GULU-NIMULE-24h'!N104,'05.07 GULU-NIMULE-24h'!N104)</f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23" t="s">
        <v>145</v>
      </c>
      <c r="C105" s="49">
        <f>AVERAGE('04.07 GULU-NIMULE-24h'!C105,'05.07 GULU-NIMULE-24h'!C105)</f>
        <v>0</v>
      </c>
      <c r="D105" s="49">
        <f>AVERAGE('04.07 GULU-NIMULE-24h'!D105,'05.07 GULU-NIMULE-24h'!D105)</f>
        <v>0</v>
      </c>
      <c r="E105" s="49">
        <f>AVERAGE('04.07 GULU-NIMULE-24h'!E105,'05.07 GULU-NIMULE-24h'!E105)</f>
        <v>0</v>
      </c>
      <c r="F105" s="49">
        <f>AVERAGE('04.07 GULU-NIMULE-24h'!F105,'05.07 GULU-NIMULE-24h'!F105)</f>
        <v>0</v>
      </c>
      <c r="G105" s="49">
        <f>AVERAGE('04.07 GULU-NIMULE-24h'!G105,'05.07 GULU-NIMULE-24h'!G105)</f>
        <v>0</v>
      </c>
      <c r="H105" s="49">
        <f>AVERAGE('04.07 GULU-NIMULE-24h'!H105,'05.07 GULU-NIMULE-24h'!H105)</f>
        <v>0</v>
      </c>
      <c r="I105" s="49">
        <f>AVERAGE('04.07 GULU-NIMULE-24h'!I105,'05.07 GULU-NIMULE-24h'!I105)</f>
        <v>0</v>
      </c>
      <c r="J105" s="49">
        <f>AVERAGE('04.07 GULU-NIMULE-24h'!J105,'05.07 GULU-NIMULE-24h'!J105)</f>
        <v>0</v>
      </c>
      <c r="K105" s="49">
        <f>AVERAGE('04.07 GULU-NIMULE-24h'!K105,'05.07 GULU-NIMULE-24h'!K105)</f>
        <v>0</v>
      </c>
      <c r="L105" s="49">
        <f>AVERAGE('04.07 GULU-NIMULE-24h'!L105,'05.07 GULU-NIMULE-24h'!L105)</f>
        <v>0</v>
      </c>
      <c r="M105" s="49">
        <f>AVERAGE('04.07 GULU-NIMULE-24h'!M105,'05.07 GULU-NIMULE-24h'!M105)</f>
        <v>0</v>
      </c>
      <c r="N105" s="49">
        <f>AVERAGE('04.07 GULU-NIMULE-24h'!N105,'05.07 GULU-NIMULE-24h'!N105)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41.928571428571438</v>
      </c>
      <c r="D106" s="16">
        <f t="shared" ref="D106:P106" si="37">SUM(D10:D105)</f>
        <v>22.857142857142858</v>
      </c>
      <c r="E106" s="16">
        <f t="shared" si="37"/>
        <v>41.428571428571423</v>
      </c>
      <c r="F106" s="16">
        <f t="shared" si="37"/>
        <v>5.6428571428571423</v>
      </c>
      <c r="G106" s="16">
        <f t="shared" si="37"/>
        <v>0.71428571428571419</v>
      </c>
      <c r="H106" s="16">
        <f t="shared" si="37"/>
        <v>9.5714285714285694</v>
      </c>
      <c r="I106" s="16">
        <f t="shared" si="37"/>
        <v>22.071428571428573</v>
      </c>
      <c r="J106" s="16">
        <f t="shared" si="37"/>
        <v>7.8095238095238111</v>
      </c>
      <c r="K106" s="16">
        <f t="shared" si="37"/>
        <v>6.0000000000000027</v>
      </c>
      <c r="L106" s="16">
        <f t="shared" si="37"/>
        <v>94.928571428571445</v>
      </c>
      <c r="M106" s="16">
        <f t="shared" si="37"/>
        <v>410.85714285714289</v>
      </c>
      <c r="N106" s="16">
        <f t="shared" si="37"/>
        <v>0.14285714285714285</v>
      </c>
      <c r="O106" s="16">
        <f t="shared" si="37"/>
        <v>253.09523809523802</v>
      </c>
      <c r="P106" s="16">
        <f t="shared" si="37"/>
        <v>663.95238095238096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6.3149967725740525E-2</v>
      </c>
      <c r="D107" s="43">
        <f t="shared" si="38"/>
        <v>3.4425876784049347E-2</v>
      </c>
      <c r="E107" s="43">
        <f t="shared" si="38"/>
        <v>6.2396901671089425E-2</v>
      </c>
      <c r="F107" s="43">
        <f t="shared" si="38"/>
        <v>8.4988883310621807E-3</v>
      </c>
      <c r="G107" s="43">
        <f t="shared" si="38"/>
        <v>1.0758086495015419E-3</v>
      </c>
      <c r="H107" s="43">
        <f t="shared" si="38"/>
        <v>1.441583590332066E-2</v>
      </c>
      <c r="I107" s="43">
        <f t="shared" si="38"/>
        <v>3.3242487269597651E-2</v>
      </c>
      <c r="J107" s="43">
        <f t="shared" si="38"/>
        <v>1.1762174567883529E-2</v>
      </c>
      <c r="K107" s="43">
        <f t="shared" si="38"/>
        <v>9.0367926558129561E-3</v>
      </c>
      <c r="L107" s="43">
        <f t="shared" si="38"/>
        <v>0.14297496951875496</v>
      </c>
      <c r="M107" s="43">
        <f t="shared" si="38"/>
        <v>0.61880513519328695</v>
      </c>
      <c r="N107" s="43">
        <f t="shared" si="38"/>
        <v>2.1516172990030839E-4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0.16566321730950151</v>
      </c>
      <c r="D108" s="44">
        <f t="shared" ref="D108:N108" si="39">D106/$O$106</f>
        <v>9.0310442144873035E-2</v>
      </c>
      <c r="E108" s="44">
        <f t="shared" si="39"/>
        <v>0.16368767638758233</v>
      </c>
      <c r="F108" s="44">
        <f t="shared" si="39"/>
        <v>2.2295390404515527E-2</v>
      </c>
      <c r="G108" s="44">
        <f t="shared" si="39"/>
        <v>2.8222013170272819E-3</v>
      </c>
      <c r="H108" s="44">
        <f t="shared" si="39"/>
        <v>3.7817497648165575E-2</v>
      </c>
      <c r="I108" s="44">
        <f t="shared" si="39"/>
        <v>8.7206020696143027E-2</v>
      </c>
      <c r="J108" s="44">
        <f t="shared" si="39"/>
        <v>3.0856067732831623E-2</v>
      </c>
      <c r="K108" s="44">
        <f t="shared" si="39"/>
        <v>2.3706491063029182E-2</v>
      </c>
      <c r="L108" s="44">
        <f t="shared" si="39"/>
        <v>0.37507055503292586</v>
      </c>
      <c r="M108" s="44"/>
      <c r="N108" s="44">
        <f t="shared" si="39"/>
        <v>5.6444026340545645E-4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I43" zoomScale="60" workbookViewId="0">
      <selection activeCell="AF55" sqref="AF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'06.07 GULU-NIMULE'!C3:G3</f>
        <v>MCC - C5- STN140 - NIMULE-GULU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'Avg Week Gulu-Nimule'!G5:H5</f>
        <v>ELEGU</v>
      </c>
      <c r="H5" s="67"/>
      <c r="I5" s="14"/>
      <c r="J5" s="2" t="s">
        <v>5</v>
      </c>
      <c r="K5" s="66" t="str">
        <f>'Avg Week Gulu-Nimule'!K5:L5</f>
        <v>NANDATU SANDRAH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Gulu-Nimule'!K6:L6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Nimule-Gulu'!C10+'Avg Week Gulu-Nimule'!C10</f>
        <v>1.7142857142857144</v>
      </c>
      <c r="D10" s="49">
        <f>'Avg Week Nimule-Gulu'!D10+'Avg Week Gulu-Nimule'!D10</f>
        <v>0.42857142857142855</v>
      </c>
      <c r="E10" s="49">
        <f>'Avg Week Nimule-Gulu'!E10+'Avg Week Gulu-Nimule'!E10</f>
        <v>0.71428571428571419</v>
      </c>
      <c r="F10" s="49">
        <f>'Avg Week Nimule-Gulu'!F10+'Avg Week Gulu-Nimule'!F10</f>
        <v>0</v>
      </c>
      <c r="G10" s="49">
        <f>'Avg Week Nimule-Gulu'!G10+'Avg Week Gulu-Nimule'!G10</f>
        <v>0</v>
      </c>
      <c r="H10" s="49">
        <f>'Avg Week Nimule-Gulu'!H10+'Avg Week Gulu-Nimule'!H10</f>
        <v>0</v>
      </c>
      <c r="I10" s="49">
        <f>'Avg Week Nimule-Gulu'!I10+'Avg Week Gulu-Nimule'!I10</f>
        <v>1</v>
      </c>
      <c r="J10" s="49">
        <f>'Avg Week Nimule-Gulu'!J10+'Avg Week Gulu-Nimule'!J10</f>
        <v>0.2857142857142857</v>
      </c>
      <c r="K10" s="49">
        <f>'Avg Week Nimule-Gulu'!K10+'Avg Week Gulu-Nimule'!K10</f>
        <v>0.71428571428571419</v>
      </c>
      <c r="L10" s="49">
        <f>'Avg Week Nimule-Gulu'!L10+'Avg Week Gulu-Nimule'!L10</f>
        <v>1.5714285714285716</v>
      </c>
      <c r="M10" s="49">
        <f>'Avg Week Nimule-Gulu'!M10+'Avg Week Gulu-Nimule'!M10</f>
        <v>21</v>
      </c>
      <c r="N10" s="49">
        <f>'Avg Week Nimule-Gulu'!N10+'Avg Week Gulu-Nimule'!N10</f>
        <v>0</v>
      </c>
      <c r="O10" s="15">
        <f t="shared" ref="O10:O73" si="0">SUM(C10:L10,N10)</f>
        <v>6.4285714285714288</v>
      </c>
      <c r="P10" s="15">
        <f t="shared" ref="P10:P73" si="1">SUM(C10:N10)</f>
        <v>27.428571428571431</v>
      </c>
      <c r="R10" s="1" t="s">
        <v>6</v>
      </c>
      <c r="S10" s="17">
        <f t="shared" ref="S10:AF10" si="2">SUM(C10:C13)</f>
        <v>5.1428571428571423</v>
      </c>
      <c r="T10" s="17">
        <f t="shared" si="2"/>
        <v>2.714285714285714</v>
      </c>
      <c r="U10" s="17">
        <f t="shared" si="2"/>
        <v>2.5714285714285712</v>
      </c>
      <c r="V10" s="17">
        <f t="shared" si="2"/>
        <v>0.2857142857142857</v>
      </c>
      <c r="W10" s="17">
        <f t="shared" si="2"/>
        <v>0</v>
      </c>
      <c r="X10" s="17">
        <f t="shared" si="2"/>
        <v>0.42857142857142855</v>
      </c>
      <c r="Y10" s="17">
        <f t="shared" si="2"/>
        <v>5</v>
      </c>
      <c r="Z10" s="17">
        <f t="shared" si="2"/>
        <v>1.714285714285714</v>
      </c>
      <c r="AA10" s="17">
        <f t="shared" si="2"/>
        <v>2.2857142857142856</v>
      </c>
      <c r="AB10" s="17">
        <f t="shared" si="2"/>
        <v>8.571428571428573</v>
      </c>
      <c r="AC10" s="17">
        <f t="shared" si="2"/>
        <v>67.571428571428584</v>
      </c>
      <c r="AD10" s="17">
        <f t="shared" si="2"/>
        <v>0</v>
      </c>
      <c r="AE10" s="31">
        <f t="shared" si="2"/>
        <v>28.714285714285712</v>
      </c>
      <c r="AF10" s="31">
        <f t="shared" si="2"/>
        <v>96.285714285714278</v>
      </c>
    </row>
    <row r="11" spans="2:32" s="6" customFormat="1" ht="23.1" customHeight="1" x14ac:dyDescent="0.25">
      <c r="B11" s="23" t="s">
        <v>38</v>
      </c>
      <c r="C11" s="49">
        <f>'Avg Week Nimule-Gulu'!C11+'Avg Week Gulu-Nimule'!C11</f>
        <v>1.2857142857142856</v>
      </c>
      <c r="D11" s="49">
        <f>'Avg Week Nimule-Gulu'!D11+'Avg Week Gulu-Nimule'!D11</f>
        <v>1.2857142857142856</v>
      </c>
      <c r="E11" s="49">
        <f>'Avg Week Nimule-Gulu'!E11+'Avg Week Gulu-Nimule'!E11</f>
        <v>0.42857142857142855</v>
      </c>
      <c r="F11" s="49">
        <f>'Avg Week Nimule-Gulu'!F11+'Avg Week Gulu-Nimule'!F11</f>
        <v>0.2857142857142857</v>
      </c>
      <c r="G11" s="49">
        <f>'Avg Week Nimule-Gulu'!G11+'Avg Week Gulu-Nimule'!G11</f>
        <v>0</v>
      </c>
      <c r="H11" s="49">
        <f>'Avg Week Nimule-Gulu'!H11+'Avg Week Gulu-Nimule'!H11</f>
        <v>0.14285714285714285</v>
      </c>
      <c r="I11" s="49">
        <f>'Avg Week Nimule-Gulu'!I11+'Avg Week Gulu-Nimule'!I11</f>
        <v>1.1428571428571428</v>
      </c>
      <c r="J11" s="49">
        <f>'Avg Week Nimule-Gulu'!J11+'Avg Week Gulu-Nimule'!J11</f>
        <v>0.71428571428571419</v>
      </c>
      <c r="K11" s="49">
        <f>'Avg Week Nimule-Gulu'!K11+'Avg Week Gulu-Nimule'!K11</f>
        <v>0.85714285714285721</v>
      </c>
      <c r="L11" s="49">
        <f>'Avg Week Nimule-Gulu'!L11+'Avg Week Gulu-Nimule'!L11</f>
        <v>2.2857142857142856</v>
      </c>
      <c r="M11" s="49">
        <f>'Avg Week Nimule-Gulu'!M11+'Avg Week Gulu-Nimule'!M11</f>
        <v>12</v>
      </c>
      <c r="N11" s="49">
        <f>'Avg Week Nimule-Gulu'!N11+'Avg Week Gulu-Nimule'!N11</f>
        <v>0</v>
      </c>
      <c r="O11" s="15">
        <f t="shared" si="0"/>
        <v>8.428571428571427</v>
      </c>
      <c r="P11" s="15">
        <f t="shared" si="1"/>
        <v>20.428571428571427</v>
      </c>
      <c r="R11" s="1" t="s">
        <v>7</v>
      </c>
      <c r="S11" s="17">
        <f t="shared" ref="S11:AF11" si="3">SUM(C14:C17)</f>
        <v>5.5714285714285712</v>
      </c>
      <c r="T11" s="17">
        <f t="shared" si="3"/>
        <v>2</v>
      </c>
      <c r="U11" s="17">
        <f t="shared" si="3"/>
        <v>3.8571428571428568</v>
      </c>
      <c r="V11" s="17">
        <f t="shared" si="3"/>
        <v>0.42857142857142855</v>
      </c>
      <c r="W11" s="17">
        <f t="shared" si="3"/>
        <v>0</v>
      </c>
      <c r="X11" s="17">
        <f t="shared" si="3"/>
        <v>0.2857142857142857</v>
      </c>
      <c r="Y11" s="17">
        <f t="shared" si="3"/>
        <v>5.1428571428571432</v>
      </c>
      <c r="Z11" s="17">
        <f t="shared" si="3"/>
        <v>0.42857142857142855</v>
      </c>
      <c r="AA11" s="17">
        <f t="shared" si="3"/>
        <v>0.5714285714285714</v>
      </c>
      <c r="AB11" s="17">
        <f t="shared" si="3"/>
        <v>13.285714285714285</v>
      </c>
      <c r="AC11" s="17">
        <f t="shared" si="3"/>
        <v>79.285714285714292</v>
      </c>
      <c r="AD11" s="17">
        <f t="shared" si="3"/>
        <v>0</v>
      </c>
      <c r="AE11" s="31">
        <f t="shared" si="3"/>
        <v>31.571428571428569</v>
      </c>
      <c r="AF11" s="31">
        <f t="shared" si="3"/>
        <v>110.85714285714286</v>
      </c>
    </row>
    <row r="12" spans="2:32" ht="23.1" customHeight="1" x14ac:dyDescent="0.25">
      <c r="B12" s="23" t="s">
        <v>39</v>
      </c>
      <c r="C12" s="49">
        <f>'Avg Week Nimule-Gulu'!C12+'Avg Week Gulu-Nimule'!C12</f>
        <v>0.5714285714285714</v>
      </c>
      <c r="D12" s="49">
        <f>'Avg Week Nimule-Gulu'!D12+'Avg Week Gulu-Nimule'!D12</f>
        <v>0.14285714285714285</v>
      </c>
      <c r="E12" s="49">
        <f>'Avg Week Nimule-Gulu'!E12+'Avg Week Gulu-Nimule'!E12</f>
        <v>0.42857142857142855</v>
      </c>
      <c r="F12" s="49">
        <f>'Avg Week Nimule-Gulu'!F12+'Avg Week Gulu-Nimule'!F12</f>
        <v>0</v>
      </c>
      <c r="G12" s="49">
        <f>'Avg Week Nimule-Gulu'!G12+'Avg Week Gulu-Nimule'!G12</f>
        <v>0</v>
      </c>
      <c r="H12" s="49">
        <f>'Avg Week Nimule-Gulu'!H12+'Avg Week Gulu-Nimule'!H12</f>
        <v>0.2857142857142857</v>
      </c>
      <c r="I12" s="49">
        <f>'Avg Week Nimule-Gulu'!I12+'Avg Week Gulu-Nimule'!I12</f>
        <v>1.5714285714285716</v>
      </c>
      <c r="J12" s="49">
        <f>'Avg Week Nimule-Gulu'!J12+'Avg Week Gulu-Nimule'!J12</f>
        <v>0.42857142857142855</v>
      </c>
      <c r="K12" s="49">
        <f>'Avg Week Nimule-Gulu'!K12+'Avg Week Gulu-Nimule'!K12</f>
        <v>0.5714285714285714</v>
      </c>
      <c r="L12" s="49">
        <f>'Avg Week Nimule-Gulu'!L12+'Avg Week Gulu-Nimule'!L12</f>
        <v>2.4285714285714288</v>
      </c>
      <c r="M12" s="49">
        <f>'Avg Week Nimule-Gulu'!M12+'Avg Week Gulu-Nimule'!M12</f>
        <v>12.857142857142858</v>
      </c>
      <c r="N12" s="49">
        <f>'Avg Week Nimule-Gulu'!N12+'Avg Week Gulu-Nimule'!N12</f>
        <v>0</v>
      </c>
      <c r="O12" s="15">
        <f t="shared" si="0"/>
        <v>6.4285714285714288</v>
      </c>
      <c r="P12" s="15">
        <f t="shared" si="1"/>
        <v>19.285714285714285</v>
      </c>
      <c r="R12" s="1" t="s">
        <v>8</v>
      </c>
      <c r="S12" s="17">
        <f t="shared" ref="S12:AF12" si="4">SUM(C18:C21)</f>
        <v>6.5714285714285712</v>
      </c>
      <c r="T12" s="17">
        <f t="shared" si="4"/>
        <v>1.5714285714285714</v>
      </c>
      <c r="U12" s="17">
        <f t="shared" si="4"/>
        <v>3.4285714285714284</v>
      </c>
      <c r="V12" s="17">
        <f t="shared" si="4"/>
        <v>0.2857142857142857</v>
      </c>
      <c r="W12" s="17">
        <f t="shared" si="4"/>
        <v>0.14285714285714285</v>
      </c>
      <c r="X12" s="17">
        <f t="shared" si="4"/>
        <v>1.7142857142857142</v>
      </c>
      <c r="Y12" s="17">
        <f t="shared" si="4"/>
        <v>3.2857142857142856</v>
      </c>
      <c r="Z12" s="17">
        <f t="shared" si="4"/>
        <v>1.2857142857142856</v>
      </c>
      <c r="AA12" s="17">
        <f t="shared" si="4"/>
        <v>1.4285714285714284</v>
      </c>
      <c r="AB12" s="17">
        <f t="shared" si="4"/>
        <v>17.857142857142854</v>
      </c>
      <c r="AC12" s="17">
        <f t="shared" si="4"/>
        <v>73.714285714285708</v>
      </c>
      <c r="AD12" s="17">
        <f t="shared" si="4"/>
        <v>0</v>
      </c>
      <c r="AE12" s="31">
        <f t="shared" si="4"/>
        <v>37.571428571428569</v>
      </c>
      <c r="AF12" s="31">
        <f t="shared" si="4"/>
        <v>111.28571428571428</v>
      </c>
    </row>
    <row r="13" spans="2:32" ht="23.1" customHeight="1" x14ac:dyDescent="0.25">
      <c r="B13" s="23" t="s">
        <v>40</v>
      </c>
      <c r="C13" s="49">
        <f>'Avg Week Nimule-Gulu'!C13+'Avg Week Gulu-Nimule'!C13</f>
        <v>1.5714285714285714</v>
      </c>
      <c r="D13" s="49">
        <f>'Avg Week Nimule-Gulu'!D13+'Avg Week Gulu-Nimule'!D13</f>
        <v>0.8571428571428571</v>
      </c>
      <c r="E13" s="49">
        <f>'Avg Week Nimule-Gulu'!E13+'Avg Week Gulu-Nimule'!E13</f>
        <v>1</v>
      </c>
      <c r="F13" s="49">
        <f>'Avg Week Nimule-Gulu'!F13+'Avg Week Gulu-Nimule'!F13</f>
        <v>0</v>
      </c>
      <c r="G13" s="49">
        <f>'Avg Week Nimule-Gulu'!G13+'Avg Week Gulu-Nimule'!G13</f>
        <v>0</v>
      </c>
      <c r="H13" s="49">
        <f>'Avg Week Nimule-Gulu'!H13+'Avg Week Gulu-Nimule'!H13</f>
        <v>0</v>
      </c>
      <c r="I13" s="49">
        <f>'Avg Week Nimule-Gulu'!I13+'Avg Week Gulu-Nimule'!I13</f>
        <v>1.2857142857142856</v>
      </c>
      <c r="J13" s="49">
        <f>'Avg Week Nimule-Gulu'!J13+'Avg Week Gulu-Nimule'!J13</f>
        <v>0.2857142857142857</v>
      </c>
      <c r="K13" s="49">
        <f>'Avg Week Nimule-Gulu'!K13+'Avg Week Gulu-Nimule'!K13</f>
        <v>0.14285714285714285</v>
      </c>
      <c r="L13" s="49">
        <f>'Avg Week Nimule-Gulu'!L13+'Avg Week Gulu-Nimule'!L13</f>
        <v>2.2857142857142856</v>
      </c>
      <c r="M13" s="49">
        <f>'Avg Week Nimule-Gulu'!M13+'Avg Week Gulu-Nimule'!M13</f>
        <v>21.714285714285715</v>
      </c>
      <c r="N13" s="49">
        <f>'Avg Week Nimule-Gulu'!N13+'Avg Week Gulu-Nimule'!N13</f>
        <v>0</v>
      </c>
      <c r="O13" s="15">
        <f t="shared" si="0"/>
        <v>7.4285714285714279</v>
      </c>
      <c r="P13" s="15">
        <f t="shared" si="1"/>
        <v>29.142857142857142</v>
      </c>
      <c r="R13" s="1" t="s">
        <v>9</v>
      </c>
      <c r="S13" s="17">
        <f t="shared" ref="S13:AF13" si="5">SUM(C22:C25)</f>
        <v>7.5714285714285712</v>
      </c>
      <c r="T13" s="17">
        <f t="shared" si="5"/>
        <v>2.5714285714285712</v>
      </c>
      <c r="U13" s="17">
        <f t="shared" si="5"/>
        <v>6</v>
      </c>
      <c r="V13" s="17">
        <f t="shared" si="5"/>
        <v>0.5714285714285714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1.714285714285714</v>
      </c>
      <c r="Z13" s="17">
        <f t="shared" si="5"/>
        <v>0.71428571428571419</v>
      </c>
      <c r="AA13" s="17">
        <f t="shared" si="5"/>
        <v>0.2857142857142857</v>
      </c>
      <c r="AB13" s="17">
        <f t="shared" si="5"/>
        <v>18.142857142857142</v>
      </c>
      <c r="AC13" s="17">
        <f t="shared" si="5"/>
        <v>72.285714285714278</v>
      </c>
      <c r="AD13" s="17">
        <f t="shared" si="5"/>
        <v>0</v>
      </c>
      <c r="AE13" s="31">
        <f t="shared" si="5"/>
        <v>38.142857142857139</v>
      </c>
      <c r="AF13" s="31">
        <f t="shared" si="5"/>
        <v>110.42857142857143</v>
      </c>
    </row>
    <row r="14" spans="2:32" ht="23.1" customHeight="1" x14ac:dyDescent="0.25">
      <c r="B14" s="23" t="s">
        <v>41</v>
      </c>
      <c r="C14" s="49">
        <f>'Avg Week Nimule-Gulu'!C14+'Avg Week Gulu-Nimule'!C14</f>
        <v>1.5714285714285714</v>
      </c>
      <c r="D14" s="49">
        <f>'Avg Week Nimule-Gulu'!D14+'Avg Week Gulu-Nimule'!D14</f>
        <v>0.42857142857142855</v>
      </c>
      <c r="E14" s="49">
        <f>'Avg Week Nimule-Gulu'!E14+'Avg Week Gulu-Nimule'!E14</f>
        <v>0.71428571428571419</v>
      </c>
      <c r="F14" s="49">
        <f>'Avg Week Nimule-Gulu'!F14+'Avg Week Gulu-Nimule'!F14</f>
        <v>0.2857142857142857</v>
      </c>
      <c r="G14" s="49">
        <f>'Avg Week Nimule-Gulu'!G14+'Avg Week Gulu-Nimule'!G14</f>
        <v>0</v>
      </c>
      <c r="H14" s="49">
        <f>'Avg Week Nimule-Gulu'!H14+'Avg Week Gulu-Nimule'!H14</f>
        <v>0</v>
      </c>
      <c r="I14" s="49">
        <f>'Avg Week Nimule-Gulu'!I14+'Avg Week Gulu-Nimule'!I14</f>
        <v>0.71428571428571419</v>
      </c>
      <c r="J14" s="49">
        <f>'Avg Week Nimule-Gulu'!J14+'Avg Week Gulu-Nimule'!J14</f>
        <v>0</v>
      </c>
      <c r="K14" s="49">
        <f>'Avg Week Nimule-Gulu'!K14+'Avg Week Gulu-Nimule'!K14</f>
        <v>0.2857142857142857</v>
      </c>
      <c r="L14" s="49">
        <f>'Avg Week Nimule-Gulu'!L14+'Avg Week Gulu-Nimule'!L14</f>
        <v>3.7142857142857144</v>
      </c>
      <c r="M14" s="49">
        <f>'Avg Week Nimule-Gulu'!M14+'Avg Week Gulu-Nimule'!M14</f>
        <v>22.428571428571431</v>
      </c>
      <c r="N14" s="49">
        <f>'Avg Week Nimule-Gulu'!N14+'Avg Week Gulu-Nimule'!N14</f>
        <v>0</v>
      </c>
      <c r="O14" s="15">
        <f t="shared" si="0"/>
        <v>7.7142857142857144</v>
      </c>
      <c r="P14" s="15">
        <f t="shared" si="1"/>
        <v>30.142857142857146</v>
      </c>
      <c r="R14" s="1" t="s">
        <v>10</v>
      </c>
      <c r="S14" s="17">
        <f t="shared" ref="S14:AF14" si="6">SUM(C26:C29)</f>
        <v>5.2857142857142865</v>
      </c>
      <c r="T14" s="17">
        <f t="shared" si="6"/>
        <v>3</v>
      </c>
      <c r="U14" s="17">
        <f t="shared" si="6"/>
        <v>5</v>
      </c>
      <c r="V14" s="17">
        <f t="shared" si="6"/>
        <v>0.42857142857142855</v>
      </c>
      <c r="W14" s="17">
        <f t="shared" si="6"/>
        <v>0</v>
      </c>
      <c r="X14" s="17">
        <f t="shared" si="6"/>
        <v>0.2857142857142857</v>
      </c>
      <c r="Y14" s="17">
        <f t="shared" si="6"/>
        <v>2.5714285714285712</v>
      </c>
      <c r="Z14" s="17">
        <f t="shared" si="6"/>
        <v>0.71428571428571419</v>
      </c>
      <c r="AA14" s="17">
        <f t="shared" si="6"/>
        <v>0.5714285714285714</v>
      </c>
      <c r="AB14" s="17">
        <f t="shared" si="6"/>
        <v>14</v>
      </c>
      <c r="AC14" s="17">
        <f t="shared" si="6"/>
        <v>59.714285714285722</v>
      </c>
      <c r="AD14" s="17">
        <f t="shared" si="6"/>
        <v>0</v>
      </c>
      <c r="AE14" s="31">
        <f t="shared" si="6"/>
        <v>31.857142857142861</v>
      </c>
      <c r="AF14" s="31">
        <f t="shared" si="6"/>
        <v>91.571428571428584</v>
      </c>
    </row>
    <row r="15" spans="2:32" ht="23.1" customHeight="1" x14ac:dyDescent="0.25">
      <c r="B15" s="23" t="s">
        <v>42</v>
      </c>
      <c r="C15" s="49">
        <f>'Avg Week Nimule-Gulu'!C15+'Avg Week Gulu-Nimule'!C15</f>
        <v>1.2857142857142856</v>
      </c>
      <c r="D15" s="49">
        <f>'Avg Week Nimule-Gulu'!D15+'Avg Week Gulu-Nimule'!D15</f>
        <v>0.42857142857142855</v>
      </c>
      <c r="E15" s="49">
        <f>'Avg Week Nimule-Gulu'!E15+'Avg Week Gulu-Nimule'!E15</f>
        <v>0.5714285714285714</v>
      </c>
      <c r="F15" s="49">
        <f>'Avg Week Nimule-Gulu'!F15+'Avg Week Gulu-Nimule'!F15</f>
        <v>0.14285714285714285</v>
      </c>
      <c r="G15" s="49">
        <f>'Avg Week Nimule-Gulu'!G15+'Avg Week Gulu-Nimule'!G15</f>
        <v>0</v>
      </c>
      <c r="H15" s="49">
        <f>'Avg Week Nimule-Gulu'!H15+'Avg Week Gulu-Nimule'!H15</f>
        <v>0</v>
      </c>
      <c r="I15" s="49">
        <f>'Avg Week Nimule-Gulu'!I15+'Avg Week Gulu-Nimule'!I15</f>
        <v>1.1428571428571428</v>
      </c>
      <c r="J15" s="49">
        <f>'Avg Week Nimule-Gulu'!J15+'Avg Week Gulu-Nimule'!J15</f>
        <v>0.14285714285714285</v>
      </c>
      <c r="K15" s="49">
        <f>'Avg Week Nimule-Gulu'!K15+'Avg Week Gulu-Nimule'!K15</f>
        <v>0.2857142857142857</v>
      </c>
      <c r="L15" s="49">
        <f>'Avg Week Nimule-Gulu'!L15+'Avg Week Gulu-Nimule'!L15</f>
        <v>2.4285714285714284</v>
      </c>
      <c r="M15" s="49">
        <f>'Avg Week Nimule-Gulu'!M15+'Avg Week Gulu-Nimule'!M15</f>
        <v>21</v>
      </c>
      <c r="N15" s="49">
        <f>'Avg Week Nimule-Gulu'!N15+'Avg Week Gulu-Nimule'!N15</f>
        <v>0</v>
      </c>
      <c r="O15" s="15">
        <f t="shared" si="0"/>
        <v>6.4285714285714279</v>
      </c>
      <c r="P15" s="15">
        <f t="shared" si="1"/>
        <v>27.428571428571427</v>
      </c>
      <c r="R15" s="1" t="s">
        <v>11</v>
      </c>
      <c r="S15" s="17">
        <f t="shared" ref="S15:AF15" si="7">SUM(C30:C33)</f>
        <v>5.5714285714285712</v>
      </c>
      <c r="T15" s="17">
        <f t="shared" si="7"/>
        <v>2.8571428571428568</v>
      </c>
      <c r="U15" s="17">
        <f t="shared" si="7"/>
        <v>4.5714285714285712</v>
      </c>
      <c r="V15" s="17">
        <f t="shared" si="7"/>
        <v>0.85714285714285698</v>
      </c>
      <c r="W15" s="17">
        <f t="shared" si="7"/>
        <v>0.2857142857142857</v>
      </c>
      <c r="X15" s="17">
        <f t="shared" si="7"/>
        <v>0.71428571428571419</v>
      </c>
      <c r="Y15" s="17">
        <f t="shared" si="7"/>
        <v>4.7142857142857135</v>
      </c>
      <c r="Z15" s="17">
        <f t="shared" si="7"/>
        <v>0.42857142857142855</v>
      </c>
      <c r="AA15" s="17">
        <f t="shared" si="7"/>
        <v>0.5714285714285714</v>
      </c>
      <c r="AB15" s="17">
        <f t="shared" si="7"/>
        <v>14.285714285714285</v>
      </c>
      <c r="AC15" s="17">
        <f t="shared" si="7"/>
        <v>52.714285714285708</v>
      </c>
      <c r="AD15" s="17">
        <f t="shared" si="7"/>
        <v>0</v>
      </c>
      <c r="AE15" s="31">
        <f t="shared" si="7"/>
        <v>34.857142857142861</v>
      </c>
      <c r="AF15" s="31">
        <f t="shared" si="7"/>
        <v>87.571428571428584</v>
      </c>
    </row>
    <row r="16" spans="2:32" ht="23.1" customHeight="1" x14ac:dyDescent="0.25">
      <c r="B16" s="23" t="s">
        <v>43</v>
      </c>
      <c r="C16" s="49">
        <f>'Avg Week Nimule-Gulu'!C16+'Avg Week Gulu-Nimule'!C16</f>
        <v>1</v>
      </c>
      <c r="D16" s="49">
        <f>'Avg Week Nimule-Gulu'!D16+'Avg Week Gulu-Nimule'!D16</f>
        <v>0.14285714285714285</v>
      </c>
      <c r="E16" s="49">
        <f>'Avg Week Nimule-Gulu'!E16+'Avg Week Gulu-Nimule'!E16</f>
        <v>1.4285714285714284</v>
      </c>
      <c r="F16" s="49">
        <f>'Avg Week Nimule-Gulu'!F16+'Avg Week Gulu-Nimule'!F16</f>
        <v>0</v>
      </c>
      <c r="G16" s="49">
        <f>'Avg Week Nimule-Gulu'!G16+'Avg Week Gulu-Nimule'!G16</f>
        <v>0</v>
      </c>
      <c r="H16" s="49">
        <f>'Avg Week Nimule-Gulu'!H16+'Avg Week Gulu-Nimule'!H16</f>
        <v>0.14285714285714285</v>
      </c>
      <c r="I16" s="49">
        <f>'Avg Week Nimule-Gulu'!I16+'Avg Week Gulu-Nimule'!I16</f>
        <v>1.8571428571428572</v>
      </c>
      <c r="J16" s="49">
        <f>'Avg Week Nimule-Gulu'!J16+'Avg Week Gulu-Nimule'!J16</f>
        <v>0.2857142857142857</v>
      </c>
      <c r="K16" s="49">
        <f>'Avg Week Nimule-Gulu'!K16+'Avg Week Gulu-Nimule'!K16</f>
        <v>0</v>
      </c>
      <c r="L16" s="49">
        <f>'Avg Week Nimule-Gulu'!L16+'Avg Week Gulu-Nimule'!L16</f>
        <v>4.5714285714285712</v>
      </c>
      <c r="M16" s="49">
        <f>'Avg Week Nimule-Gulu'!M16+'Avg Week Gulu-Nimule'!M16</f>
        <v>17.714285714285715</v>
      </c>
      <c r="N16" s="49">
        <f>'Avg Week Nimule-Gulu'!N16+'Avg Week Gulu-Nimule'!N16</f>
        <v>0</v>
      </c>
      <c r="O16" s="15">
        <f t="shared" si="0"/>
        <v>9.428571428571427</v>
      </c>
      <c r="P16" s="15">
        <f t="shared" si="1"/>
        <v>27.142857142857142</v>
      </c>
      <c r="R16" s="1" t="s">
        <v>12</v>
      </c>
      <c r="S16" s="17">
        <f t="shared" ref="S16:AF16" si="8">SUM(C34:C37)</f>
        <v>5.7142857142857144</v>
      </c>
      <c r="T16" s="17">
        <f t="shared" si="8"/>
        <v>2.5714285714285707</v>
      </c>
      <c r="U16" s="17">
        <f t="shared" si="8"/>
        <v>8</v>
      </c>
      <c r="V16" s="17">
        <f t="shared" si="8"/>
        <v>0.5714285714285714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3.714285714285714</v>
      </c>
      <c r="Z16" s="17">
        <f t="shared" si="8"/>
        <v>0.5714285714285714</v>
      </c>
      <c r="AA16" s="17">
        <f t="shared" si="8"/>
        <v>0.8571428571428571</v>
      </c>
      <c r="AB16" s="17">
        <f t="shared" si="8"/>
        <v>9</v>
      </c>
      <c r="AC16" s="17">
        <f t="shared" si="8"/>
        <v>43</v>
      </c>
      <c r="AD16" s="17">
        <f t="shared" si="8"/>
        <v>0.14285714285714285</v>
      </c>
      <c r="AE16" s="31">
        <f t="shared" si="8"/>
        <v>31.571428571428569</v>
      </c>
      <c r="AF16" s="31">
        <f t="shared" si="8"/>
        <v>74.571428571428569</v>
      </c>
    </row>
    <row r="17" spans="2:32" ht="23.1" customHeight="1" x14ac:dyDescent="0.25">
      <c r="B17" s="23" t="s">
        <v>44</v>
      </c>
      <c r="C17" s="49">
        <f>'Avg Week Nimule-Gulu'!C17+'Avg Week Gulu-Nimule'!C17</f>
        <v>1.7142857142857144</v>
      </c>
      <c r="D17" s="49">
        <f>'Avg Week Nimule-Gulu'!D17+'Avg Week Gulu-Nimule'!D17</f>
        <v>1</v>
      </c>
      <c r="E17" s="49">
        <f>'Avg Week Nimule-Gulu'!E17+'Avg Week Gulu-Nimule'!E17</f>
        <v>1.1428571428571428</v>
      </c>
      <c r="F17" s="49">
        <f>'Avg Week Nimule-Gulu'!F17+'Avg Week Gulu-Nimule'!F17</f>
        <v>0</v>
      </c>
      <c r="G17" s="49">
        <f>'Avg Week Nimule-Gulu'!G17+'Avg Week Gulu-Nimule'!G17</f>
        <v>0</v>
      </c>
      <c r="H17" s="49">
        <f>'Avg Week Nimule-Gulu'!H17+'Avg Week Gulu-Nimule'!H17</f>
        <v>0.14285714285714285</v>
      </c>
      <c r="I17" s="49">
        <f>'Avg Week Nimule-Gulu'!I17+'Avg Week Gulu-Nimule'!I17</f>
        <v>1.4285714285714286</v>
      </c>
      <c r="J17" s="49">
        <f>'Avg Week Nimule-Gulu'!J17+'Avg Week Gulu-Nimule'!J17</f>
        <v>0</v>
      </c>
      <c r="K17" s="49">
        <f>'Avg Week Nimule-Gulu'!K17+'Avg Week Gulu-Nimule'!K17</f>
        <v>0</v>
      </c>
      <c r="L17" s="49">
        <f>'Avg Week Nimule-Gulu'!L17+'Avg Week Gulu-Nimule'!L17</f>
        <v>2.5714285714285716</v>
      </c>
      <c r="M17" s="49">
        <f>'Avg Week Nimule-Gulu'!M17+'Avg Week Gulu-Nimule'!M17</f>
        <v>18.142857142857146</v>
      </c>
      <c r="N17" s="49">
        <f>'Avg Week Nimule-Gulu'!N17+'Avg Week Gulu-Nimule'!N17</f>
        <v>0</v>
      </c>
      <c r="O17" s="15">
        <f t="shared" si="0"/>
        <v>8</v>
      </c>
      <c r="P17" s="15">
        <f t="shared" si="1"/>
        <v>26.142857142857146</v>
      </c>
      <c r="R17" s="1" t="s">
        <v>13</v>
      </c>
      <c r="S17" s="17">
        <f t="shared" ref="S17:AF17" si="9">SUM(C38:C41)</f>
        <v>7.4285714285714288</v>
      </c>
      <c r="T17" s="17">
        <f t="shared" si="9"/>
        <v>1.857142857142857</v>
      </c>
      <c r="U17" s="17">
        <f t="shared" si="9"/>
        <v>6.5714285714285712</v>
      </c>
      <c r="V17" s="17">
        <f t="shared" si="9"/>
        <v>0.2857142857142857</v>
      </c>
      <c r="W17" s="17">
        <f t="shared" si="9"/>
        <v>0.14285714285714285</v>
      </c>
      <c r="X17" s="17">
        <f t="shared" si="9"/>
        <v>0.99999999999999989</v>
      </c>
      <c r="Y17" s="17">
        <f t="shared" si="9"/>
        <v>1.8571428571428572</v>
      </c>
      <c r="Z17" s="17">
        <f t="shared" si="9"/>
        <v>0.71428571428571419</v>
      </c>
      <c r="AA17" s="17">
        <f t="shared" si="9"/>
        <v>0.42857142857142855</v>
      </c>
      <c r="AB17" s="17">
        <f t="shared" si="9"/>
        <v>12.428571428571429</v>
      </c>
      <c r="AC17" s="17">
        <f t="shared" si="9"/>
        <v>60.142857142857146</v>
      </c>
      <c r="AD17" s="17">
        <f t="shared" si="9"/>
        <v>0</v>
      </c>
      <c r="AE17" s="31">
        <f t="shared" si="9"/>
        <v>32.714285714285715</v>
      </c>
      <c r="AF17" s="31">
        <f t="shared" si="9"/>
        <v>92.857142857142861</v>
      </c>
    </row>
    <row r="18" spans="2:32" ht="23.1" customHeight="1" x14ac:dyDescent="0.25">
      <c r="B18" s="23" t="s">
        <v>45</v>
      </c>
      <c r="C18" s="49">
        <f>'Avg Week Nimule-Gulu'!C18+'Avg Week Gulu-Nimule'!C18</f>
        <v>2</v>
      </c>
      <c r="D18" s="49">
        <f>'Avg Week Nimule-Gulu'!D18+'Avg Week Gulu-Nimule'!D18</f>
        <v>0.42857142857142855</v>
      </c>
      <c r="E18" s="49">
        <f>'Avg Week Nimule-Gulu'!E18+'Avg Week Gulu-Nimule'!E18</f>
        <v>1</v>
      </c>
      <c r="F18" s="49">
        <f>'Avg Week Nimule-Gulu'!F18+'Avg Week Gulu-Nimule'!F18</f>
        <v>0</v>
      </c>
      <c r="G18" s="49">
        <f>'Avg Week Nimule-Gulu'!G18+'Avg Week Gulu-Nimule'!G18</f>
        <v>0</v>
      </c>
      <c r="H18" s="49">
        <f>'Avg Week Nimule-Gulu'!H18+'Avg Week Gulu-Nimule'!H18</f>
        <v>0.2857142857142857</v>
      </c>
      <c r="I18" s="49">
        <f>'Avg Week Nimule-Gulu'!I18+'Avg Week Gulu-Nimule'!I18</f>
        <v>1.2857142857142856</v>
      </c>
      <c r="J18" s="49">
        <f>'Avg Week Nimule-Gulu'!J18+'Avg Week Gulu-Nimule'!J18</f>
        <v>0.14285714285714285</v>
      </c>
      <c r="K18" s="49">
        <f>'Avg Week Nimule-Gulu'!K18+'Avg Week Gulu-Nimule'!K18</f>
        <v>0.14285714285714285</v>
      </c>
      <c r="L18" s="49">
        <f>'Avg Week Nimule-Gulu'!L18+'Avg Week Gulu-Nimule'!L18</f>
        <v>3.1428571428571428</v>
      </c>
      <c r="M18" s="49">
        <f>'Avg Week Nimule-Gulu'!M18+'Avg Week Gulu-Nimule'!M18</f>
        <v>16.428571428571427</v>
      </c>
      <c r="N18" s="49">
        <f>'Avg Week Nimule-Gulu'!N18+'Avg Week Gulu-Nimule'!N18</f>
        <v>0</v>
      </c>
      <c r="O18" s="15">
        <f t="shared" si="0"/>
        <v>8.4285714285714288</v>
      </c>
      <c r="P18" s="15">
        <f t="shared" si="1"/>
        <v>24.857142857142854</v>
      </c>
      <c r="R18" s="1" t="s">
        <v>14</v>
      </c>
      <c r="S18" s="17">
        <f t="shared" ref="S18:AF18" si="10">SUM(C42:C45)</f>
        <v>9.7142857142857153</v>
      </c>
      <c r="T18" s="17">
        <f t="shared" si="10"/>
        <v>4.2857142857142856</v>
      </c>
      <c r="U18" s="17">
        <f t="shared" si="10"/>
        <v>7.1428571428571432</v>
      </c>
      <c r="V18" s="17">
        <f t="shared" si="10"/>
        <v>0</v>
      </c>
      <c r="W18" s="17">
        <f t="shared" si="10"/>
        <v>0.2857142857142857</v>
      </c>
      <c r="X18" s="17">
        <f t="shared" si="10"/>
        <v>1.857142857142857</v>
      </c>
      <c r="Y18" s="17">
        <f t="shared" si="10"/>
        <v>2.2857142857142856</v>
      </c>
      <c r="Z18" s="17">
        <f t="shared" si="10"/>
        <v>0.7142857142857143</v>
      </c>
      <c r="AA18" s="17">
        <f t="shared" si="10"/>
        <v>1.1428571428571428</v>
      </c>
      <c r="AB18" s="17">
        <f t="shared" si="10"/>
        <v>9.1428571428571423</v>
      </c>
      <c r="AC18" s="17">
        <f t="shared" si="10"/>
        <v>68.857142857142861</v>
      </c>
      <c r="AD18" s="17">
        <f t="shared" si="10"/>
        <v>0</v>
      </c>
      <c r="AE18" s="31">
        <f t="shared" si="10"/>
        <v>36.571428571428569</v>
      </c>
      <c r="AF18" s="31">
        <f t="shared" si="10"/>
        <v>105.42857142857143</v>
      </c>
    </row>
    <row r="19" spans="2:32" ht="23.1" customHeight="1" x14ac:dyDescent="0.25">
      <c r="B19" s="23" t="s">
        <v>46</v>
      </c>
      <c r="C19" s="49">
        <f>'Avg Week Nimule-Gulu'!C19+'Avg Week Gulu-Nimule'!C19</f>
        <v>0.85714285714285721</v>
      </c>
      <c r="D19" s="49">
        <f>'Avg Week Nimule-Gulu'!D19+'Avg Week Gulu-Nimule'!D19</f>
        <v>0.14285714285714285</v>
      </c>
      <c r="E19" s="49">
        <f>'Avg Week Nimule-Gulu'!E19+'Avg Week Gulu-Nimule'!E19</f>
        <v>0.42857142857142855</v>
      </c>
      <c r="F19" s="49">
        <f>'Avg Week Nimule-Gulu'!F19+'Avg Week Gulu-Nimule'!F19</f>
        <v>0.14285714285714285</v>
      </c>
      <c r="G19" s="49">
        <f>'Avg Week Nimule-Gulu'!G19+'Avg Week Gulu-Nimule'!G19</f>
        <v>0.14285714285714285</v>
      </c>
      <c r="H19" s="49">
        <f>'Avg Week Nimule-Gulu'!H19+'Avg Week Gulu-Nimule'!H19</f>
        <v>0.42857142857142855</v>
      </c>
      <c r="I19" s="49">
        <f>'Avg Week Nimule-Gulu'!I19+'Avg Week Gulu-Nimule'!I19</f>
        <v>0.8571428571428571</v>
      </c>
      <c r="J19" s="49">
        <f>'Avg Week Nimule-Gulu'!J19+'Avg Week Gulu-Nimule'!J19</f>
        <v>0.42857142857142855</v>
      </c>
      <c r="K19" s="49">
        <f>'Avg Week Nimule-Gulu'!K19+'Avg Week Gulu-Nimule'!K19</f>
        <v>0.5714285714285714</v>
      </c>
      <c r="L19" s="49">
        <f>'Avg Week Nimule-Gulu'!L19+'Avg Week Gulu-Nimule'!L19</f>
        <v>6</v>
      </c>
      <c r="M19" s="49">
        <f>'Avg Week Nimule-Gulu'!M19+'Avg Week Gulu-Nimule'!M19</f>
        <v>19.142857142857142</v>
      </c>
      <c r="N19" s="49">
        <f>'Avg Week Nimule-Gulu'!N19+'Avg Week Gulu-Nimule'!N19</f>
        <v>0</v>
      </c>
      <c r="O19" s="15">
        <f t="shared" si="0"/>
        <v>10</v>
      </c>
      <c r="P19" s="15">
        <f t="shared" si="1"/>
        <v>29.142857142857142</v>
      </c>
      <c r="R19" s="1" t="s">
        <v>15</v>
      </c>
      <c r="S19" s="17">
        <f t="shared" ref="S19:AF19" si="11">SUM(C46:C49)</f>
        <v>6.4285714285714279</v>
      </c>
      <c r="T19" s="17">
        <f t="shared" si="11"/>
        <v>3.8571428571428572</v>
      </c>
      <c r="U19" s="17">
        <f t="shared" si="11"/>
        <v>6</v>
      </c>
      <c r="V19" s="17">
        <f t="shared" si="11"/>
        <v>0</v>
      </c>
      <c r="W19" s="17">
        <f t="shared" si="11"/>
        <v>0</v>
      </c>
      <c r="X19" s="17">
        <f t="shared" si="11"/>
        <v>2.2857142857142856</v>
      </c>
      <c r="Y19" s="17">
        <f t="shared" si="11"/>
        <v>3.1428571428571423</v>
      </c>
      <c r="Z19" s="17">
        <f t="shared" si="11"/>
        <v>0.99999999999999978</v>
      </c>
      <c r="AA19" s="17">
        <f t="shared" si="11"/>
        <v>0.2857142857142857</v>
      </c>
      <c r="AB19" s="17">
        <f t="shared" si="11"/>
        <v>10.285714285714285</v>
      </c>
      <c r="AC19" s="17">
        <f t="shared" si="11"/>
        <v>60.428571428571431</v>
      </c>
      <c r="AD19" s="17">
        <f t="shared" si="11"/>
        <v>0</v>
      </c>
      <c r="AE19" s="31">
        <f t="shared" si="11"/>
        <v>33.285714285714292</v>
      </c>
      <c r="AF19" s="31">
        <f t="shared" si="11"/>
        <v>93.714285714285708</v>
      </c>
    </row>
    <row r="20" spans="2:32" ht="23.1" customHeight="1" x14ac:dyDescent="0.25">
      <c r="B20" s="23" t="s">
        <v>47</v>
      </c>
      <c r="C20" s="49">
        <f>'Avg Week Nimule-Gulu'!C20+'Avg Week Gulu-Nimule'!C20</f>
        <v>1.1428571428571428</v>
      </c>
      <c r="D20" s="49">
        <f>'Avg Week Nimule-Gulu'!D20+'Avg Week Gulu-Nimule'!D20</f>
        <v>0.42857142857142855</v>
      </c>
      <c r="E20" s="49">
        <f>'Avg Week Nimule-Gulu'!E20+'Avg Week Gulu-Nimule'!E20</f>
        <v>0.8571428571428571</v>
      </c>
      <c r="F20" s="49">
        <f>'Avg Week Nimule-Gulu'!F20+'Avg Week Gulu-Nimule'!F20</f>
        <v>0</v>
      </c>
      <c r="G20" s="49">
        <f>'Avg Week Nimule-Gulu'!G20+'Avg Week Gulu-Nimule'!G20</f>
        <v>0</v>
      </c>
      <c r="H20" s="49">
        <f>'Avg Week Nimule-Gulu'!H20+'Avg Week Gulu-Nimule'!H20</f>
        <v>0.42857142857142855</v>
      </c>
      <c r="I20" s="49">
        <f>'Avg Week Nimule-Gulu'!I20+'Avg Week Gulu-Nimule'!I20</f>
        <v>0.42857142857142855</v>
      </c>
      <c r="J20" s="49">
        <f>'Avg Week Nimule-Gulu'!J20+'Avg Week Gulu-Nimule'!J20</f>
        <v>0.42857142857142855</v>
      </c>
      <c r="K20" s="49">
        <f>'Avg Week Nimule-Gulu'!K20+'Avg Week Gulu-Nimule'!K20</f>
        <v>0.42857142857142855</v>
      </c>
      <c r="L20" s="49">
        <f>'Avg Week Nimule-Gulu'!L20+'Avg Week Gulu-Nimule'!L20</f>
        <v>4.2857142857142856</v>
      </c>
      <c r="M20" s="49">
        <f>'Avg Week Nimule-Gulu'!M20+'Avg Week Gulu-Nimule'!M20</f>
        <v>19.571428571428573</v>
      </c>
      <c r="N20" s="49">
        <f>'Avg Week Nimule-Gulu'!N20+'Avg Week Gulu-Nimule'!N20</f>
        <v>0</v>
      </c>
      <c r="O20" s="15">
        <f t="shared" si="0"/>
        <v>8.428571428571427</v>
      </c>
      <c r="P20" s="15">
        <f t="shared" si="1"/>
        <v>28</v>
      </c>
      <c r="R20" s="1" t="s">
        <v>16</v>
      </c>
      <c r="S20" s="17">
        <f t="shared" ref="S20:AF20" si="12">SUM(C50:C53)</f>
        <v>9.2857142857142865</v>
      </c>
      <c r="T20" s="17">
        <f t="shared" si="12"/>
        <v>3.1428571428571428</v>
      </c>
      <c r="U20" s="17">
        <f t="shared" si="12"/>
        <v>7</v>
      </c>
      <c r="V20" s="17">
        <f t="shared" si="12"/>
        <v>0</v>
      </c>
      <c r="W20" s="17">
        <f t="shared" si="12"/>
        <v>0.2857142857142857</v>
      </c>
      <c r="X20" s="17">
        <f t="shared" si="12"/>
        <v>1</v>
      </c>
      <c r="Y20" s="17">
        <f t="shared" si="12"/>
        <v>3</v>
      </c>
      <c r="Z20" s="17">
        <f t="shared" si="12"/>
        <v>0.42857142857142855</v>
      </c>
      <c r="AA20" s="17">
        <f t="shared" si="12"/>
        <v>0</v>
      </c>
      <c r="AB20" s="17">
        <f t="shared" si="12"/>
        <v>8.8571428571428577</v>
      </c>
      <c r="AC20" s="17">
        <f t="shared" si="12"/>
        <v>70</v>
      </c>
      <c r="AD20" s="17">
        <f t="shared" si="12"/>
        <v>0</v>
      </c>
      <c r="AE20" s="31">
        <f t="shared" si="12"/>
        <v>33</v>
      </c>
      <c r="AF20" s="31">
        <f t="shared" si="12"/>
        <v>103</v>
      </c>
    </row>
    <row r="21" spans="2:32" ht="23.1" customHeight="1" x14ac:dyDescent="0.25">
      <c r="B21" s="23" t="s">
        <v>48</v>
      </c>
      <c r="C21" s="49">
        <f>'Avg Week Nimule-Gulu'!C21+'Avg Week Gulu-Nimule'!C21</f>
        <v>2.5714285714285712</v>
      </c>
      <c r="D21" s="49">
        <f>'Avg Week Nimule-Gulu'!D21+'Avg Week Gulu-Nimule'!D21</f>
        <v>0.5714285714285714</v>
      </c>
      <c r="E21" s="49">
        <f>'Avg Week Nimule-Gulu'!E21+'Avg Week Gulu-Nimule'!E21</f>
        <v>1.1428571428571428</v>
      </c>
      <c r="F21" s="49">
        <f>'Avg Week Nimule-Gulu'!F21+'Avg Week Gulu-Nimule'!F21</f>
        <v>0.14285714285714285</v>
      </c>
      <c r="G21" s="49">
        <f>'Avg Week Nimule-Gulu'!G21+'Avg Week Gulu-Nimule'!G21</f>
        <v>0</v>
      </c>
      <c r="H21" s="49">
        <f>'Avg Week Nimule-Gulu'!H21+'Avg Week Gulu-Nimule'!H21</f>
        <v>0.5714285714285714</v>
      </c>
      <c r="I21" s="49">
        <f>'Avg Week Nimule-Gulu'!I21+'Avg Week Gulu-Nimule'!I21</f>
        <v>0.71428571428571419</v>
      </c>
      <c r="J21" s="49">
        <f>'Avg Week Nimule-Gulu'!J21+'Avg Week Gulu-Nimule'!J21</f>
        <v>0.2857142857142857</v>
      </c>
      <c r="K21" s="49">
        <f>'Avg Week Nimule-Gulu'!K21+'Avg Week Gulu-Nimule'!K21</f>
        <v>0.2857142857142857</v>
      </c>
      <c r="L21" s="49">
        <f>'Avg Week Nimule-Gulu'!L21+'Avg Week Gulu-Nimule'!L21</f>
        <v>4.4285714285714288</v>
      </c>
      <c r="M21" s="49">
        <f>'Avg Week Nimule-Gulu'!M21+'Avg Week Gulu-Nimule'!M21</f>
        <v>18.571428571428569</v>
      </c>
      <c r="N21" s="49">
        <f>'Avg Week Nimule-Gulu'!N21+'Avg Week Gulu-Nimule'!N21</f>
        <v>0</v>
      </c>
      <c r="O21" s="15">
        <f t="shared" si="0"/>
        <v>10.714285714285714</v>
      </c>
      <c r="P21" s="15">
        <f t="shared" si="1"/>
        <v>29.285714285714285</v>
      </c>
      <c r="R21" s="36" t="s">
        <v>20</v>
      </c>
      <c r="S21" s="34">
        <f t="shared" ref="S21:AF21" si="13">SUM(C54:C57)</f>
        <v>6.5714285714285712</v>
      </c>
      <c r="T21" s="17">
        <f t="shared" si="13"/>
        <v>2</v>
      </c>
      <c r="U21" s="17">
        <f t="shared" si="13"/>
        <v>6.1428571428571423</v>
      </c>
      <c r="V21" s="17">
        <f t="shared" si="13"/>
        <v>1.2857142857142856</v>
      </c>
      <c r="W21" s="17">
        <f t="shared" si="13"/>
        <v>0.14285714285714285</v>
      </c>
      <c r="X21" s="17">
        <f t="shared" si="13"/>
        <v>1.5714285714285712</v>
      </c>
      <c r="Y21" s="17">
        <f t="shared" si="13"/>
        <v>4.8571428571428577</v>
      </c>
      <c r="Z21" s="17">
        <f t="shared" si="13"/>
        <v>1.3095238095238093</v>
      </c>
      <c r="AA21" s="17">
        <f t="shared" si="13"/>
        <v>0.71428571428571419</v>
      </c>
      <c r="AB21" s="17">
        <f t="shared" si="13"/>
        <v>12.142857142857144</v>
      </c>
      <c r="AC21" s="17">
        <f t="shared" si="13"/>
        <v>54.428571428571431</v>
      </c>
      <c r="AD21" s="17">
        <f t="shared" si="13"/>
        <v>0</v>
      </c>
      <c r="AE21" s="31">
        <f t="shared" si="13"/>
        <v>36.738095238095241</v>
      </c>
      <c r="AF21" s="31">
        <f t="shared" si="13"/>
        <v>91.166666666666657</v>
      </c>
    </row>
    <row r="22" spans="2:32" ht="23.1" customHeight="1" x14ac:dyDescent="0.25">
      <c r="B22" s="23" t="s">
        <v>49</v>
      </c>
      <c r="C22" s="49">
        <f>'Avg Week Nimule-Gulu'!C22+'Avg Week Gulu-Nimule'!C22</f>
        <v>1.8571428571428572</v>
      </c>
      <c r="D22" s="49">
        <f>'Avg Week Nimule-Gulu'!D22+'Avg Week Gulu-Nimule'!D22</f>
        <v>1</v>
      </c>
      <c r="E22" s="49">
        <f>'Avg Week Nimule-Gulu'!E22+'Avg Week Gulu-Nimule'!E22</f>
        <v>2.2857142857142856</v>
      </c>
      <c r="F22" s="49">
        <f>'Avg Week Nimule-Gulu'!F22+'Avg Week Gulu-Nimule'!F22</f>
        <v>0</v>
      </c>
      <c r="G22" s="49">
        <f>'Avg Week Nimule-Gulu'!G22+'Avg Week Gulu-Nimule'!G22</f>
        <v>0</v>
      </c>
      <c r="H22" s="49">
        <f>'Avg Week Nimule-Gulu'!H22+'Avg Week Gulu-Nimule'!H22</f>
        <v>0</v>
      </c>
      <c r="I22" s="49">
        <f>'Avg Week Nimule-Gulu'!I22+'Avg Week Gulu-Nimule'!I22</f>
        <v>0.71428571428571419</v>
      </c>
      <c r="J22" s="49">
        <f>'Avg Week Nimule-Gulu'!J22+'Avg Week Gulu-Nimule'!J22</f>
        <v>0.2857142857142857</v>
      </c>
      <c r="K22" s="49">
        <f>'Avg Week Nimule-Gulu'!K22+'Avg Week Gulu-Nimule'!K22</f>
        <v>0.14285714285714285</v>
      </c>
      <c r="L22" s="49">
        <f>'Avg Week Nimule-Gulu'!L22+'Avg Week Gulu-Nimule'!L22</f>
        <v>5.1428571428571423</v>
      </c>
      <c r="M22" s="49">
        <f>'Avg Week Nimule-Gulu'!M22+'Avg Week Gulu-Nimule'!M22</f>
        <v>19.714285714285715</v>
      </c>
      <c r="N22" s="49">
        <f>'Avg Week Nimule-Gulu'!N22+'Avg Week Gulu-Nimule'!N22</f>
        <v>0</v>
      </c>
      <c r="O22" s="15">
        <f t="shared" si="0"/>
        <v>11.428571428571427</v>
      </c>
      <c r="P22" s="15">
        <f t="shared" si="1"/>
        <v>31.142857142857142</v>
      </c>
      <c r="R22" s="1" t="s">
        <v>146</v>
      </c>
      <c r="S22" s="34">
        <f>SUM(C58:C61)</f>
        <v>4</v>
      </c>
      <c r="T22" s="34">
        <f t="shared" ref="T22:AF22" si="14">SUM(D58:D61)</f>
        <v>4</v>
      </c>
      <c r="U22" s="34">
        <f t="shared" si="14"/>
        <v>9.5</v>
      </c>
      <c r="V22" s="34">
        <f t="shared" si="14"/>
        <v>1.5</v>
      </c>
      <c r="W22" s="34">
        <f t="shared" si="14"/>
        <v>0</v>
      </c>
      <c r="X22" s="34">
        <f t="shared" si="14"/>
        <v>0.5</v>
      </c>
      <c r="Y22" s="34">
        <f t="shared" si="14"/>
        <v>2.5</v>
      </c>
      <c r="Z22" s="34">
        <f t="shared" si="14"/>
        <v>1.5</v>
      </c>
      <c r="AA22" s="34">
        <f t="shared" si="14"/>
        <v>0</v>
      </c>
      <c r="AB22" s="34">
        <f t="shared" si="14"/>
        <v>13</v>
      </c>
      <c r="AC22" s="34">
        <f t="shared" si="14"/>
        <v>7</v>
      </c>
      <c r="AD22" s="34">
        <f t="shared" si="14"/>
        <v>0</v>
      </c>
      <c r="AE22" s="31">
        <f t="shared" si="14"/>
        <v>36.5</v>
      </c>
      <c r="AF22" s="31">
        <f t="shared" si="14"/>
        <v>43.5</v>
      </c>
    </row>
    <row r="23" spans="2:32" ht="23.1" customHeight="1" x14ac:dyDescent="0.25">
      <c r="B23" s="23" t="s">
        <v>50</v>
      </c>
      <c r="C23" s="49">
        <f>'Avg Week Nimule-Gulu'!C23+'Avg Week Gulu-Nimule'!C23</f>
        <v>1.7142857142857142</v>
      </c>
      <c r="D23" s="49">
        <f>'Avg Week Nimule-Gulu'!D23+'Avg Week Gulu-Nimule'!D23</f>
        <v>0.14285714285714285</v>
      </c>
      <c r="E23" s="49">
        <f>'Avg Week Nimule-Gulu'!E23+'Avg Week Gulu-Nimule'!E23</f>
        <v>1.5714285714285714</v>
      </c>
      <c r="F23" s="49">
        <f>'Avg Week Nimule-Gulu'!F23+'Avg Week Gulu-Nimule'!F23</f>
        <v>0.14285714285714285</v>
      </c>
      <c r="G23" s="49">
        <f>'Avg Week Nimule-Gulu'!G23+'Avg Week Gulu-Nimule'!G23</f>
        <v>0</v>
      </c>
      <c r="H23" s="49">
        <f>'Avg Week Nimule-Gulu'!H23+'Avg Week Gulu-Nimule'!H23</f>
        <v>0.42857142857142855</v>
      </c>
      <c r="I23" s="49">
        <f>'Avg Week Nimule-Gulu'!I23+'Avg Week Gulu-Nimule'!I23</f>
        <v>0.5714285714285714</v>
      </c>
      <c r="J23" s="49">
        <f>'Avg Week Nimule-Gulu'!J23+'Avg Week Gulu-Nimule'!J23</f>
        <v>0.2857142857142857</v>
      </c>
      <c r="K23" s="49">
        <f>'Avg Week Nimule-Gulu'!K23+'Avg Week Gulu-Nimule'!K23</f>
        <v>0.14285714285714285</v>
      </c>
      <c r="L23" s="49">
        <f>'Avg Week Nimule-Gulu'!L23+'Avg Week Gulu-Nimule'!L23</f>
        <v>4.5714285714285712</v>
      </c>
      <c r="M23" s="49">
        <f>'Avg Week Nimule-Gulu'!M23+'Avg Week Gulu-Nimule'!M23</f>
        <v>15.142857142857142</v>
      </c>
      <c r="N23" s="49">
        <f>'Avg Week Nimule-Gulu'!N23+'Avg Week Gulu-Nimule'!N23</f>
        <v>0</v>
      </c>
      <c r="O23" s="15">
        <f t="shared" si="0"/>
        <v>9.5714285714285712</v>
      </c>
      <c r="P23" s="15">
        <f t="shared" si="1"/>
        <v>24.714285714285715</v>
      </c>
      <c r="R23" s="1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23" t="s">
        <v>51</v>
      </c>
      <c r="C24" s="49">
        <f>'Avg Week Nimule-Gulu'!C24+'Avg Week Gulu-Nimule'!C24</f>
        <v>1.8571428571428572</v>
      </c>
      <c r="D24" s="49">
        <f>'Avg Week Nimule-Gulu'!D24+'Avg Week Gulu-Nimule'!D24</f>
        <v>1</v>
      </c>
      <c r="E24" s="49">
        <f>'Avg Week Nimule-Gulu'!E24+'Avg Week Gulu-Nimule'!E24</f>
        <v>1.1428571428571428</v>
      </c>
      <c r="F24" s="49">
        <f>'Avg Week Nimule-Gulu'!F24+'Avg Week Gulu-Nimule'!F24</f>
        <v>0.2857142857142857</v>
      </c>
      <c r="G24" s="49">
        <f>'Avg Week Nimule-Gulu'!G24+'Avg Week Gulu-Nimule'!G24</f>
        <v>0</v>
      </c>
      <c r="H24" s="49">
        <f>'Avg Week Nimule-Gulu'!H24+'Avg Week Gulu-Nimule'!H24</f>
        <v>0</v>
      </c>
      <c r="I24" s="49">
        <f>'Avg Week Nimule-Gulu'!I24+'Avg Week Gulu-Nimule'!I24</f>
        <v>0.2857142857142857</v>
      </c>
      <c r="J24" s="49">
        <f>'Avg Week Nimule-Gulu'!J24+'Avg Week Gulu-Nimule'!J24</f>
        <v>0.14285714285714285</v>
      </c>
      <c r="K24" s="49">
        <f>'Avg Week Nimule-Gulu'!K24+'Avg Week Gulu-Nimule'!K24</f>
        <v>0</v>
      </c>
      <c r="L24" s="49">
        <f>'Avg Week Nimule-Gulu'!L24+'Avg Week Gulu-Nimule'!L24</f>
        <v>5.1428571428571423</v>
      </c>
      <c r="M24" s="49">
        <f>'Avg Week Nimule-Gulu'!M24+'Avg Week Gulu-Nimule'!M24</f>
        <v>21.142857142857142</v>
      </c>
      <c r="N24" s="49">
        <f>'Avg Week Nimule-Gulu'!N24+'Avg Week Gulu-Nimule'!N24</f>
        <v>0</v>
      </c>
      <c r="O24" s="15">
        <f t="shared" si="0"/>
        <v>9.8571428571428577</v>
      </c>
      <c r="P24" s="15">
        <f t="shared" si="1"/>
        <v>31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23" t="s">
        <v>52</v>
      </c>
      <c r="C25" s="49">
        <f>'Avg Week Nimule-Gulu'!C25+'Avg Week Gulu-Nimule'!C25</f>
        <v>2.1428571428571428</v>
      </c>
      <c r="D25" s="49">
        <f>'Avg Week Nimule-Gulu'!D25+'Avg Week Gulu-Nimule'!D25</f>
        <v>0.42857142857142855</v>
      </c>
      <c r="E25" s="49">
        <f>'Avg Week Nimule-Gulu'!E25+'Avg Week Gulu-Nimule'!E25</f>
        <v>1</v>
      </c>
      <c r="F25" s="49">
        <f>'Avg Week Nimule-Gulu'!F25+'Avg Week Gulu-Nimule'!F25</f>
        <v>0.14285714285714285</v>
      </c>
      <c r="G25" s="49">
        <f>'Avg Week Nimule-Gulu'!G25+'Avg Week Gulu-Nimule'!G25</f>
        <v>0.14285714285714285</v>
      </c>
      <c r="H25" s="49">
        <f>'Avg Week Nimule-Gulu'!H25+'Avg Week Gulu-Nimule'!H25</f>
        <v>0</v>
      </c>
      <c r="I25" s="49">
        <f>'Avg Week Nimule-Gulu'!I25+'Avg Week Gulu-Nimule'!I25</f>
        <v>0.14285714285714285</v>
      </c>
      <c r="J25" s="49">
        <f>'Avg Week Nimule-Gulu'!J25+'Avg Week Gulu-Nimule'!J25</f>
        <v>0</v>
      </c>
      <c r="K25" s="49">
        <f>'Avg Week Nimule-Gulu'!K25+'Avg Week Gulu-Nimule'!K25</f>
        <v>0</v>
      </c>
      <c r="L25" s="49">
        <f>'Avg Week Nimule-Gulu'!L25+'Avg Week Gulu-Nimule'!L25</f>
        <v>3.2857142857142856</v>
      </c>
      <c r="M25" s="49">
        <f>'Avg Week Nimule-Gulu'!M25+'Avg Week Gulu-Nimule'!M25</f>
        <v>16.285714285714285</v>
      </c>
      <c r="N25" s="49">
        <f>'Avg Week Nimule-Gulu'!N25+'Avg Week Gulu-Nimule'!N25</f>
        <v>0</v>
      </c>
      <c r="O25" s="15">
        <f t="shared" si="0"/>
        <v>7.2857142857142847</v>
      </c>
      <c r="P25" s="15">
        <f t="shared" si="1"/>
        <v>23.571428571428569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23" t="s">
        <v>53</v>
      </c>
      <c r="C26" s="49">
        <f>'Avg Week Nimule-Gulu'!C26+'Avg Week Gulu-Nimule'!C26</f>
        <v>1.4285714285714286</v>
      </c>
      <c r="D26" s="49">
        <f>'Avg Week Nimule-Gulu'!D26+'Avg Week Gulu-Nimule'!D26</f>
        <v>0.42857142857142855</v>
      </c>
      <c r="E26" s="49">
        <f>'Avg Week Nimule-Gulu'!E26+'Avg Week Gulu-Nimule'!E26</f>
        <v>0.5714285714285714</v>
      </c>
      <c r="F26" s="49">
        <f>'Avg Week Nimule-Gulu'!F26+'Avg Week Gulu-Nimule'!F26</f>
        <v>0.14285714285714285</v>
      </c>
      <c r="G26" s="49">
        <f>'Avg Week Nimule-Gulu'!G26+'Avg Week Gulu-Nimule'!G26</f>
        <v>0</v>
      </c>
      <c r="H26" s="49">
        <f>'Avg Week Nimule-Gulu'!H26+'Avg Week Gulu-Nimule'!H26</f>
        <v>0.14285714285714285</v>
      </c>
      <c r="I26" s="49">
        <f>'Avg Week Nimule-Gulu'!I26+'Avg Week Gulu-Nimule'!I26</f>
        <v>0.71428571428571419</v>
      </c>
      <c r="J26" s="49">
        <f>'Avg Week Nimule-Gulu'!J26+'Avg Week Gulu-Nimule'!J26</f>
        <v>0.14285714285714285</v>
      </c>
      <c r="K26" s="49">
        <f>'Avg Week Nimule-Gulu'!K26+'Avg Week Gulu-Nimule'!K26</f>
        <v>0.14285714285714285</v>
      </c>
      <c r="L26" s="49">
        <f>'Avg Week Nimule-Gulu'!L26+'Avg Week Gulu-Nimule'!L26</f>
        <v>3.7142857142857144</v>
      </c>
      <c r="M26" s="49">
        <f>'Avg Week Nimule-Gulu'!M26+'Avg Week Gulu-Nimule'!M26</f>
        <v>16.857142857142858</v>
      </c>
      <c r="N26" s="49">
        <f>'Avg Week Nimule-Gulu'!N26+'Avg Week Gulu-Nimule'!N26</f>
        <v>0</v>
      </c>
      <c r="O26" s="15">
        <f t="shared" si="0"/>
        <v>7.4285714285714288</v>
      </c>
      <c r="P26" s="15">
        <f t="shared" si="1"/>
        <v>24.285714285714285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23" t="s">
        <v>54</v>
      </c>
      <c r="C27" s="49">
        <f>'Avg Week Nimule-Gulu'!C27+'Avg Week Gulu-Nimule'!C27</f>
        <v>1</v>
      </c>
      <c r="D27" s="49">
        <f>'Avg Week Nimule-Gulu'!D27+'Avg Week Gulu-Nimule'!D27</f>
        <v>0.71428571428571419</v>
      </c>
      <c r="E27" s="49">
        <f>'Avg Week Nimule-Gulu'!E27+'Avg Week Gulu-Nimule'!E27</f>
        <v>0.8571428571428571</v>
      </c>
      <c r="F27" s="49">
        <f>'Avg Week Nimule-Gulu'!F27+'Avg Week Gulu-Nimule'!F27</f>
        <v>0.14285714285714285</v>
      </c>
      <c r="G27" s="49">
        <f>'Avg Week Nimule-Gulu'!G27+'Avg Week Gulu-Nimule'!G27</f>
        <v>0</v>
      </c>
      <c r="H27" s="49">
        <f>'Avg Week Nimule-Gulu'!H27+'Avg Week Gulu-Nimule'!H27</f>
        <v>0</v>
      </c>
      <c r="I27" s="49">
        <f>'Avg Week Nimule-Gulu'!I27+'Avg Week Gulu-Nimule'!I27</f>
        <v>0.5714285714285714</v>
      </c>
      <c r="J27" s="49">
        <f>'Avg Week Nimule-Gulu'!J27+'Avg Week Gulu-Nimule'!J27</f>
        <v>0.42857142857142855</v>
      </c>
      <c r="K27" s="49">
        <f>'Avg Week Nimule-Gulu'!K27+'Avg Week Gulu-Nimule'!K27</f>
        <v>0.2857142857142857</v>
      </c>
      <c r="L27" s="49">
        <f>'Avg Week Nimule-Gulu'!L27+'Avg Week Gulu-Nimule'!L27</f>
        <v>4</v>
      </c>
      <c r="M27" s="49">
        <f>'Avg Week Nimule-Gulu'!M27+'Avg Week Gulu-Nimule'!M27</f>
        <v>11.714285714285715</v>
      </c>
      <c r="N27" s="49">
        <f>'Avg Week Nimule-Gulu'!N27+'Avg Week Gulu-Nimule'!N27</f>
        <v>0</v>
      </c>
      <c r="O27" s="15">
        <f t="shared" si="0"/>
        <v>8</v>
      </c>
      <c r="P27" s="15">
        <f t="shared" si="1"/>
        <v>19.714285714285715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'Avg Week Nimule-Gulu'!C28+'Avg Week Gulu-Nimule'!C28</f>
        <v>1.7142857142857144</v>
      </c>
      <c r="D28" s="49">
        <f>'Avg Week Nimule-Gulu'!D28+'Avg Week Gulu-Nimule'!D28</f>
        <v>1</v>
      </c>
      <c r="E28" s="49">
        <f>'Avg Week Nimule-Gulu'!E28+'Avg Week Gulu-Nimule'!E28</f>
        <v>1.7142857142857142</v>
      </c>
      <c r="F28" s="49">
        <f>'Avg Week Nimule-Gulu'!F28+'Avg Week Gulu-Nimule'!F28</f>
        <v>0</v>
      </c>
      <c r="G28" s="49">
        <f>'Avg Week Nimule-Gulu'!G28+'Avg Week Gulu-Nimule'!G28</f>
        <v>0</v>
      </c>
      <c r="H28" s="49">
        <f>'Avg Week Nimule-Gulu'!H28+'Avg Week Gulu-Nimule'!H28</f>
        <v>0.14285714285714285</v>
      </c>
      <c r="I28" s="49">
        <f>'Avg Week Nimule-Gulu'!I28+'Avg Week Gulu-Nimule'!I28</f>
        <v>0.71428571428571419</v>
      </c>
      <c r="J28" s="49">
        <f>'Avg Week Nimule-Gulu'!J28+'Avg Week Gulu-Nimule'!J28</f>
        <v>0.14285714285714285</v>
      </c>
      <c r="K28" s="49">
        <f>'Avg Week Nimule-Gulu'!K28+'Avg Week Gulu-Nimule'!K28</f>
        <v>0.14285714285714285</v>
      </c>
      <c r="L28" s="49">
        <f>'Avg Week Nimule-Gulu'!L28+'Avg Week Gulu-Nimule'!L28</f>
        <v>2.8571428571428568</v>
      </c>
      <c r="M28" s="49">
        <f>'Avg Week Nimule-Gulu'!M28+'Avg Week Gulu-Nimule'!M28</f>
        <v>19.142857142857146</v>
      </c>
      <c r="N28" s="49">
        <f>'Avg Week Nimule-Gulu'!N28+'Avg Week Gulu-Nimule'!N28</f>
        <v>0</v>
      </c>
      <c r="O28" s="15">
        <f t="shared" si="0"/>
        <v>8.4285714285714306</v>
      </c>
      <c r="P28" s="15">
        <f t="shared" si="1"/>
        <v>27.571428571428577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'Avg Week Nimule-Gulu'!C29+'Avg Week Gulu-Nimule'!C29</f>
        <v>1.1428571428571428</v>
      </c>
      <c r="D29" s="49">
        <f>'Avg Week Nimule-Gulu'!D29+'Avg Week Gulu-Nimule'!D29</f>
        <v>0.85714285714285721</v>
      </c>
      <c r="E29" s="49">
        <f>'Avg Week Nimule-Gulu'!E29+'Avg Week Gulu-Nimule'!E29</f>
        <v>1.8571428571428572</v>
      </c>
      <c r="F29" s="49">
        <f>'Avg Week Nimule-Gulu'!F29+'Avg Week Gulu-Nimule'!F29</f>
        <v>0.14285714285714285</v>
      </c>
      <c r="G29" s="49">
        <f>'Avg Week Nimule-Gulu'!G29+'Avg Week Gulu-Nimule'!G29</f>
        <v>0</v>
      </c>
      <c r="H29" s="49">
        <f>'Avg Week Nimule-Gulu'!H29+'Avg Week Gulu-Nimule'!H29</f>
        <v>0</v>
      </c>
      <c r="I29" s="49">
        <f>'Avg Week Nimule-Gulu'!I29+'Avg Week Gulu-Nimule'!I29</f>
        <v>0.5714285714285714</v>
      </c>
      <c r="J29" s="49">
        <f>'Avg Week Nimule-Gulu'!J29+'Avg Week Gulu-Nimule'!J29</f>
        <v>0</v>
      </c>
      <c r="K29" s="49">
        <f>'Avg Week Nimule-Gulu'!K29+'Avg Week Gulu-Nimule'!K29</f>
        <v>0</v>
      </c>
      <c r="L29" s="49">
        <f>'Avg Week Nimule-Gulu'!L29+'Avg Week Gulu-Nimule'!L29</f>
        <v>3.4285714285714288</v>
      </c>
      <c r="M29" s="49">
        <f>'Avg Week Nimule-Gulu'!M29+'Avg Week Gulu-Nimule'!M29</f>
        <v>12</v>
      </c>
      <c r="N29" s="49">
        <f>'Avg Week Nimule-Gulu'!N29+'Avg Week Gulu-Nimule'!N29</f>
        <v>0</v>
      </c>
      <c r="O29" s="15">
        <f t="shared" si="0"/>
        <v>8</v>
      </c>
      <c r="P29" s="15">
        <f t="shared" si="1"/>
        <v>20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'Avg Week Nimule-Gulu'!C30+'Avg Week Gulu-Nimule'!C30</f>
        <v>1.1428571428571428</v>
      </c>
      <c r="D30" s="49">
        <f>'Avg Week Nimule-Gulu'!D30+'Avg Week Gulu-Nimule'!D30</f>
        <v>1</v>
      </c>
      <c r="E30" s="49">
        <f>'Avg Week Nimule-Gulu'!E30+'Avg Week Gulu-Nimule'!E30</f>
        <v>1.5714285714285714</v>
      </c>
      <c r="F30" s="49">
        <f>'Avg Week Nimule-Gulu'!F30+'Avg Week Gulu-Nimule'!F30</f>
        <v>0</v>
      </c>
      <c r="G30" s="49">
        <f>'Avg Week Nimule-Gulu'!G30+'Avg Week Gulu-Nimule'!G30</f>
        <v>0</v>
      </c>
      <c r="H30" s="49">
        <f>'Avg Week Nimule-Gulu'!H30+'Avg Week Gulu-Nimule'!H30</f>
        <v>0.14285714285714285</v>
      </c>
      <c r="I30" s="49">
        <f>'Avg Week Nimule-Gulu'!I30+'Avg Week Gulu-Nimule'!I30</f>
        <v>1</v>
      </c>
      <c r="J30" s="49">
        <f>'Avg Week Nimule-Gulu'!J30+'Avg Week Gulu-Nimule'!J30</f>
        <v>0</v>
      </c>
      <c r="K30" s="49">
        <f>'Avg Week Nimule-Gulu'!K30+'Avg Week Gulu-Nimule'!K30</f>
        <v>0.2857142857142857</v>
      </c>
      <c r="L30" s="49">
        <f>'Avg Week Nimule-Gulu'!L30+'Avg Week Gulu-Nimule'!L30</f>
        <v>4.2857142857142856</v>
      </c>
      <c r="M30" s="49">
        <f>'Avg Week Nimule-Gulu'!M30+'Avg Week Gulu-Nimule'!M30</f>
        <v>13.571428571428573</v>
      </c>
      <c r="N30" s="49">
        <f>'Avg Week Nimule-Gulu'!N30+'Avg Week Gulu-Nimule'!N30</f>
        <v>0</v>
      </c>
      <c r="O30" s="15">
        <f t="shared" si="0"/>
        <v>9.4285714285714288</v>
      </c>
      <c r="P30" s="15">
        <f t="shared" si="1"/>
        <v>23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'Avg Week Nimule-Gulu'!C31+'Avg Week Gulu-Nimule'!C31</f>
        <v>1</v>
      </c>
      <c r="D31" s="49">
        <f>'Avg Week Nimule-Gulu'!D31+'Avg Week Gulu-Nimule'!D31</f>
        <v>0.5714285714285714</v>
      </c>
      <c r="E31" s="49">
        <f>'Avg Week Nimule-Gulu'!E31+'Avg Week Gulu-Nimule'!E31</f>
        <v>0.8571428571428571</v>
      </c>
      <c r="F31" s="49">
        <f>'Avg Week Nimule-Gulu'!F31+'Avg Week Gulu-Nimule'!F31</f>
        <v>0.14285714285714285</v>
      </c>
      <c r="G31" s="49">
        <f>'Avg Week Nimule-Gulu'!G31+'Avg Week Gulu-Nimule'!G31</f>
        <v>0</v>
      </c>
      <c r="H31" s="49">
        <f>'Avg Week Nimule-Gulu'!H31+'Avg Week Gulu-Nimule'!H31</f>
        <v>0</v>
      </c>
      <c r="I31" s="49">
        <f>'Avg Week Nimule-Gulu'!I31+'Avg Week Gulu-Nimule'!I31</f>
        <v>1.5714285714285714</v>
      </c>
      <c r="J31" s="49">
        <f>'Avg Week Nimule-Gulu'!J31+'Avg Week Gulu-Nimule'!J31</f>
        <v>0.14285714285714285</v>
      </c>
      <c r="K31" s="49">
        <f>'Avg Week Nimule-Gulu'!K31+'Avg Week Gulu-Nimule'!K31</f>
        <v>0</v>
      </c>
      <c r="L31" s="49">
        <f>'Avg Week Nimule-Gulu'!L31+'Avg Week Gulu-Nimule'!L31</f>
        <v>4</v>
      </c>
      <c r="M31" s="49">
        <f>'Avg Week Nimule-Gulu'!M31+'Avg Week Gulu-Nimule'!M31</f>
        <v>10.142857142857142</v>
      </c>
      <c r="N31" s="49">
        <f>'Avg Week Nimule-Gulu'!N31+'Avg Week Gulu-Nimule'!N31</f>
        <v>0</v>
      </c>
      <c r="O31" s="15">
        <f t="shared" si="0"/>
        <v>8.2857142857142847</v>
      </c>
      <c r="P31" s="15">
        <f t="shared" si="1"/>
        <v>18.428571428571427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'Avg Week Nimule-Gulu'!C32+'Avg Week Gulu-Nimule'!C32</f>
        <v>1.5714285714285714</v>
      </c>
      <c r="D32" s="49">
        <f>'Avg Week Nimule-Gulu'!D32+'Avg Week Gulu-Nimule'!D32</f>
        <v>0.5714285714285714</v>
      </c>
      <c r="E32" s="49">
        <f>'Avg Week Nimule-Gulu'!E32+'Avg Week Gulu-Nimule'!E32</f>
        <v>1.1428571428571428</v>
      </c>
      <c r="F32" s="49">
        <f>'Avg Week Nimule-Gulu'!F32+'Avg Week Gulu-Nimule'!F32</f>
        <v>0.71428571428571419</v>
      </c>
      <c r="G32" s="49">
        <f>'Avg Week Nimule-Gulu'!G32+'Avg Week Gulu-Nimule'!G32</f>
        <v>0.2857142857142857</v>
      </c>
      <c r="H32" s="49">
        <f>'Avg Week Nimule-Gulu'!H32+'Avg Week Gulu-Nimule'!H32</f>
        <v>0.2857142857142857</v>
      </c>
      <c r="I32" s="49">
        <f>'Avg Week Nimule-Gulu'!I32+'Avg Week Gulu-Nimule'!I32</f>
        <v>1</v>
      </c>
      <c r="J32" s="49">
        <f>'Avg Week Nimule-Gulu'!J32+'Avg Week Gulu-Nimule'!J32</f>
        <v>0.14285714285714285</v>
      </c>
      <c r="K32" s="49">
        <f>'Avg Week Nimule-Gulu'!K32+'Avg Week Gulu-Nimule'!K32</f>
        <v>0.14285714285714285</v>
      </c>
      <c r="L32" s="49">
        <f>'Avg Week Nimule-Gulu'!L32+'Avg Week Gulu-Nimule'!L32</f>
        <v>3.5714285714285712</v>
      </c>
      <c r="M32" s="49">
        <f>'Avg Week Nimule-Gulu'!M32+'Avg Week Gulu-Nimule'!M32</f>
        <v>13.857142857142858</v>
      </c>
      <c r="N32" s="49">
        <f>'Avg Week Nimule-Gulu'!N32+'Avg Week Gulu-Nimule'!N32</f>
        <v>0</v>
      </c>
      <c r="O32" s="15">
        <f t="shared" si="0"/>
        <v>9.4285714285714288</v>
      </c>
      <c r="P32" s="15">
        <f t="shared" si="1"/>
        <v>23.285714285714285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23" t="s">
        <v>60</v>
      </c>
      <c r="C33" s="49">
        <f>'Avg Week Nimule-Gulu'!C33+'Avg Week Gulu-Nimule'!C33</f>
        <v>1.8571428571428572</v>
      </c>
      <c r="D33" s="49">
        <f>'Avg Week Nimule-Gulu'!D33+'Avg Week Gulu-Nimule'!D33</f>
        <v>0.71428571428571419</v>
      </c>
      <c r="E33" s="49">
        <f>'Avg Week Nimule-Gulu'!E33+'Avg Week Gulu-Nimule'!E33</f>
        <v>1</v>
      </c>
      <c r="F33" s="49">
        <f>'Avg Week Nimule-Gulu'!F33+'Avg Week Gulu-Nimule'!F33</f>
        <v>0</v>
      </c>
      <c r="G33" s="49">
        <f>'Avg Week Nimule-Gulu'!G33+'Avg Week Gulu-Nimule'!G33</f>
        <v>0</v>
      </c>
      <c r="H33" s="49">
        <f>'Avg Week Nimule-Gulu'!H33+'Avg Week Gulu-Nimule'!H33</f>
        <v>0.2857142857142857</v>
      </c>
      <c r="I33" s="49">
        <f>'Avg Week Nimule-Gulu'!I33+'Avg Week Gulu-Nimule'!I33</f>
        <v>1.1428571428571428</v>
      </c>
      <c r="J33" s="49">
        <f>'Avg Week Nimule-Gulu'!J33+'Avg Week Gulu-Nimule'!J33</f>
        <v>0.14285714285714285</v>
      </c>
      <c r="K33" s="49">
        <f>'Avg Week Nimule-Gulu'!K33+'Avg Week Gulu-Nimule'!K33</f>
        <v>0.14285714285714285</v>
      </c>
      <c r="L33" s="49">
        <f>'Avg Week Nimule-Gulu'!L33+'Avg Week Gulu-Nimule'!L33</f>
        <v>2.4285714285714288</v>
      </c>
      <c r="M33" s="49">
        <f>'Avg Week Nimule-Gulu'!M33+'Avg Week Gulu-Nimule'!M33</f>
        <v>15.142857142857142</v>
      </c>
      <c r="N33" s="49">
        <f>'Avg Week Nimule-Gulu'!N33+'Avg Week Gulu-Nimule'!N33</f>
        <v>0</v>
      </c>
      <c r="O33" s="15">
        <f t="shared" si="0"/>
        <v>7.7142857142857153</v>
      </c>
      <c r="P33" s="15">
        <f t="shared" si="1"/>
        <v>22.857142857142858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24" t="s">
        <v>61</v>
      </c>
      <c r="C34" s="49">
        <f>'Avg Week Nimule-Gulu'!C34+'Avg Week Gulu-Nimule'!C34</f>
        <v>1.7142857142857142</v>
      </c>
      <c r="D34" s="49">
        <f>'Avg Week Nimule-Gulu'!D34+'Avg Week Gulu-Nimule'!D34</f>
        <v>0.8571428571428571</v>
      </c>
      <c r="E34" s="49">
        <f>'Avg Week Nimule-Gulu'!E34+'Avg Week Gulu-Nimule'!E34</f>
        <v>2.1428571428571428</v>
      </c>
      <c r="F34" s="49">
        <f>'Avg Week Nimule-Gulu'!F34+'Avg Week Gulu-Nimule'!F34</f>
        <v>0</v>
      </c>
      <c r="G34" s="49">
        <f>'Avg Week Nimule-Gulu'!G34+'Avg Week Gulu-Nimule'!G34</f>
        <v>0</v>
      </c>
      <c r="H34" s="49">
        <f>'Avg Week Nimule-Gulu'!H34+'Avg Week Gulu-Nimule'!H34</f>
        <v>0.14285714285714285</v>
      </c>
      <c r="I34" s="49">
        <f>'Avg Week Nimule-Gulu'!I34+'Avg Week Gulu-Nimule'!I34</f>
        <v>0.71428571428571419</v>
      </c>
      <c r="J34" s="49">
        <f>'Avg Week Nimule-Gulu'!J34+'Avg Week Gulu-Nimule'!J34</f>
        <v>0.2857142857142857</v>
      </c>
      <c r="K34" s="49">
        <f>'Avg Week Nimule-Gulu'!K34+'Avg Week Gulu-Nimule'!K34</f>
        <v>0</v>
      </c>
      <c r="L34" s="49">
        <f>'Avg Week Nimule-Gulu'!L34+'Avg Week Gulu-Nimule'!L34</f>
        <v>2</v>
      </c>
      <c r="M34" s="49">
        <f>'Avg Week Nimule-Gulu'!M34+'Avg Week Gulu-Nimule'!M34</f>
        <v>11.142857142857142</v>
      </c>
      <c r="N34" s="49">
        <f>'Avg Week Nimule-Gulu'!N34+'Avg Week Gulu-Nimule'!N34</f>
        <v>0.14285714285714285</v>
      </c>
      <c r="O34" s="15">
        <f t="shared" si="0"/>
        <v>8</v>
      </c>
      <c r="P34" s="15">
        <f t="shared" si="1"/>
        <v>19.142857142857142</v>
      </c>
      <c r="R34" s="51" t="s">
        <v>90</v>
      </c>
      <c r="S34" s="52">
        <f t="shared" ref="S34:AF34" si="26">MAX(S10:S12)</f>
        <v>6.5714285714285712</v>
      </c>
      <c r="T34" s="52">
        <f t="shared" si="26"/>
        <v>2.714285714285714</v>
      </c>
      <c r="U34" s="52">
        <f t="shared" si="26"/>
        <v>3.8571428571428568</v>
      </c>
      <c r="V34" s="52">
        <f t="shared" si="26"/>
        <v>0.42857142857142855</v>
      </c>
      <c r="W34" s="52">
        <f t="shared" si="26"/>
        <v>0.14285714285714285</v>
      </c>
      <c r="X34" s="52">
        <f t="shared" si="26"/>
        <v>1.7142857142857142</v>
      </c>
      <c r="Y34" s="52">
        <f t="shared" si="26"/>
        <v>5.1428571428571432</v>
      </c>
      <c r="Z34" s="52">
        <f t="shared" si="26"/>
        <v>1.714285714285714</v>
      </c>
      <c r="AA34" s="52">
        <f t="shared" si="26"/>
        <v>2.2857142857142856</v>
      </c>
      <c r="AB34" s="52">
        <f t="shared" si="26"/>
        <v>17.857142857142854</v>
      </c>
      <c r="AC34" s="52">
        <f t="shared" si="26"/>
        <v>79.285714285714292</v>
      </c>
      <c r="AD34" s="52">
        <f t="shared" si="26"/>
        <v>0</v>
      </c>
      <c r="AE34" s="40">
        <f t="shared" si="26"/>
        <v>37.571428571428569</v>
      </c>
      <c r="AF34" s="40">
        <f t="shared" si="26"/>
        <v>111.28571428571428</v>
      </c>
    </row>
    <row r="35" spans="2:32" ht="23.1" customHeight="1" x14ac:dyDescent="0.25">
      <c r="B35" s="24" t="s">
        <v>62</v>
      </c>
      <c r="C35" s="49">
        <f>'Avg Week Nimule-Gulu'!C35+'Avg Week Gulu-Nimule'!C35</f>
        <v>1.8571428571428572</v>
      </c>
      <c r="D35" s="49">
        <f>'Avg Week Nimule-Gulu'!D35+'Avg Week Gulu-Nimule'!D35</f>
        <v>0.5714285714285714</v>
      </c>
      <c r="E35" s="49">
        <f>'Avg Week Nimule-Gulu'!E35+'Avg Week Gulu-Nimule'!E35</f>
        <v>1.7142857142857142</v>
      </c>
      <c r="F35" s="49">
        <f>'Avg Week Nimule-Gulu'!F35+'Avg Week Gulu-Nimule'!F35</f>
        <v>0</v>
      </c>
      <c r="G35" s="49">
        <f>'Avg Week Nimule-Gulu'!G35+'Avg Week Gulu-Nimule'!G35</f>
        <v>0.14285714285714285</v>
      </c>
      <c r="H35" s="49">
        <f>'Avg Week Nimule-Gulu'!H35+'Avg Week Gulu-Nimule'!H35</f>
        <v>0</v>
      </c>
      <c r="I35" s="49">
        <f>'Avg Week Nimule-Gulu'!I35+'Avg Week Gulu-Nimule'!I35</f>
        <v>0.8571428571428571</v>
      </c>
      <c r="J35" s="49">
        <f>'Avg Week Nimule-Gulu'!J35+'Avg Week Gulu-Nimule'!J35</f>
        <v>0</v>
      </c>
      <c r="K35" s="49">
        <f>'Avg Week Nimule-Gulu'!K35+'Avg Week Gulu-Nimule'!K35</f>
        <v>0.2857142857142857</v>
      </c>
      <c r="L35" s="49">
        <f>'Avg Week Nimule-Gulu'!L35+'Avg Week Gulu-Nimule'!L35</f>
        <v>1.7142857142857144</v>
      </c>
      <c r="M35" s="49">
        <f>'Avg Week Nimule-Gulu'!M35+'Avg Week Gulu-Nimule'!M35</f>
        <v>10.857142857142858</v>
      </c>
      <c r="N35" s="49">
        <f>'Avg Week Nimule-Gulu'!N35+'Avg Week Gulu-Nimule'!N35</f>
        <v>0</v>
      </c>
      <c r="O35" s="15">
        <f t="shared" si="0"/>
        <v>7.1428571428571432</v>
      </c>
      <c r="P35" s="15">
        <f t="shared" si="1"/>
        <v>18</v>
      </c>
      <c r="R35" s="51" t="s">
        <v>91</v>
      </c>
      <c r="S35" s="52">
        <f t="shared" ref="S35:AF35" si="27">MAX(S13:S18)</f>
        <v>9.7142857142857153</v>
      </c>
      <c r="T35" s="52">
        <f t="shared" si="27"/>
        <v>4.2857142857142856</v>
      </c>
      <c r="U35" s="52">
        <f t="shared" si="27"/>
        <v>8</v>
      </c>
      <c r="V35" s="52">
        <f t="shared" si="27"/>
        <v>0.85714285714285698</v>
      </c>
      <c r="W35" s="52">
        <f t="shared" si="27"/>
        <v>0.2857142857142857</v>
      </c>
      <c r="X35" s="52">
        <f t="shared" si="27"/>
        <v>1.857142857142857</v>
      </c>
      <c r="Y35" s="52">
        <f t="shared" si="27"/>
        <v>4.7142857142857135</v>
      </c>
      <c r="Z35" s="52">
        <f t="shared" si="27"/>
        <v>0.7142857142857143</v>
      </c>
      <c r="AA35" s="52">
        <f t="shared" si="27"/>
        <v>1.1428571428571428</v>
      </c>
      <c r="AB35" s="52">
        <f t="shared" si="27"/>
        <v>18.142857142857142</v>
      </c>
      <c r="AC35" s="52">
        <f t="shared" si="27"/>
        <v>72.285714285714278</v>
      </c>
      <c r="AD35" s="52">
        <f t="shared" si="27"/>
        <v>0.14285714285714285</v>
      </c>
      <c r="AE35" s="40">
        <f t="shared" si="27"/>
        <v>38.142857142857139</v>
      </c>
      <c r="AF35" s="40">
        <f t="shared" si="27"/>
        <v>110.42857142857143</v>
      </c>
    </row>
    <row r="36" spans="2:32" ht="23.1" customHeight="1" x14ac:dyDescent="0.25">
      <c r="B36" s="24" t="s">
        <v>63</v>
      </c>
      <c r="C36" s="49">
        <f>'Avg Week Nimule-Gulu'!C36+'Avg Week Gulu-Nimule'!C36</f>
        <v>1.4285714285714284</v>
      </c>
      <c r="D36" s="49">
        <f>'Avg Week Nimule-Gulu'!D36+'Avg Week Gulu-Nimule'!D36</f>
        <v>0.71428571428571419</v>
      </c>
      <c r="E36" s="49">
        <f>'Avg Week Nimule-Gulu'!E36+'Avg Week Gulu-Nimule'!E36</f>
        <v>2</v>
      </c>
      <c r="F36" s="49">
        <f>'Avg Week Nimule-Gulu'!F36+'Avg Week Gulu-Nimule'!F36</f>
        <v>0.14285714285714285</v>
      </c>
      <c r="G36" s="49">
        <f>'Avg Week Nimule-Gulu'!G36+'Avg Week Gulu-Nimule'!G36</f>
        <v>0</v>
      </c>
      <c r="H36" s="49">
        <f>'Avg Week Nimule-Gulu'!H36+'Avg Week Gulu-Nimule'!H36</f>
        <v>0.14285714285714285</v>
      </c>
      <c r="I36" s="49">
        <f>'Avg Week Nimule-Gulu'!I36+'Avg Week Gulu-Nimule'!I36</f>
        <v>1.1428571428571428</v>
      </c>
      <c r="J36" s="49">
        <f>'Avg Week Nimule-Gulu'!J36+'Avg Week Gulu-Nimule'!J36</f>
        <v>0.2857142857142857</v>
      </c>
      <c r="K36" s="49">
        <f>'Avg Week Nimule-Gulu'!K36+'Avg Week Gulu-Nimule'!K36</f>
        <v>0.2857142857142857</v>
      </c>
      <c r="L36" s="49">
        <f>'Avg Week Nimule-Gulu'!L36+'Avg Week Gulu-Nimule'!L36</f>
        <v>3.4285714285714284</v>
      </c>
      <c r="M36" s="49">
        <f>'Avg Week Nimule-Gulu'!M36+'Avg Week Gulu-Nimule'!M36</f>
        <v>9.4285714285714288</v>
      </c>
      <c r="N36" s="49">
        <f>'Avg Week Nimule-Gulu'!N36+'Avg Week Gulu-Nimule'!N36</f>
        <v>0</v>
      </c>
      <c r="O36" s="15">
        <f t="shared" si="0"/>
        <v>9.5714285714285712</v>
      </c>
      <c r="P36" s="15">
        <f t="shared" si="1"/>
        <v>19</v>
      </c>
      <c r="R36" s="51" t="s">
        <v>92</v>
      </c>
      <c r="S36" s="52">
        <f t="shared" ref="S36:AF36" si="28">MAX(S19:S21)</f>
        <v>9.2857142857142865</v>
      </c>
      <c r="T36" s="52">
        <f t="shared" si="28"/>
        <v>3.8571428571428572</v>
      </c>
      <c r="U36" s="52">
        <f t="shared" si="28"/>
        <v>7</v>
      </c>
      <c r="V36" s="52">
        <f t="shared" si="28"/>
        <v>1.2857142857142856</v>
      </c>
      <c r="W36" s="52">
        <f t="shared" si="28"/>
        <v>0.2857142857142857</v>
      </c>
      <c r="X36" s="52">
        <f t="shared" si="28"/>
        <v>2.2857142857142856</v>
      </c>
      <c r="Y36" s="52">
        <f t="shared" si="28"/>
        <v>4.8571428571428577</v>
      </c>
      <c r="Z36" s="52">
        <f t="shared" si="28"/>
        <v>1.3095238095238093</v>
      </c>
      <c r="AA36" s="52">
        <f t="shared" si="28"/>
        <v>0.71428571428571419</v>
      </c>
      <c r="AB36" s="52">
        <f t="shared" si="28"/>
        <v>12.142857142857144</v>
      </c>
      <c r="AC36" s="52">
        <f t="shared" si="28"/>
        <v>70</v>
      </c>
      <c r="AD36" s="52">
        <f t="shared" si="28"/>
        <v>0</v>
      </c>
      <c r="AE36" s="40">
        <f t="shared" si="28"/>
        <v>36.738095238095241</v>
      </c>
      <c r="AF36" s="40">
        <f t="shared" si="28"/>
        <v>103</v>
      </c>
    </row>
    <row r="37" spans="2:32" ht="23.1" customHeight="1" x14ac:dyDescent="0.25">
      <c r="B37" s="23" t="s">
        <v>64</v>
      </c>
      <c r="C37" s="49">
        <f>'Avg Week Nimule-Gulu'!C37+'Avg Week Gulu-Nimule'!C37</f>
        <v>0.71428571428571419</v>
      </c>
      <c r="D37" s="49">
        <f>'Avg Week Nimule-Gulu'!D37+'Avg Week Gulu-Nimule'!D37</f>
        <v>0.42857142857142855</v>
      </c>
      <c r="E37" s="49">
        <f>'Avg Week Nimule-Gulu'!E37+'Avg Week Gulu-Nimule'!E37</f>
        <v>2.1428571428571428</v>
      </c>
      <c r="F37" s="49">
        <f>'Avg Week Nimule-Gulu'!F37+'Avg Week Gulu-Nimule'!F37</f>
        <v>0.42857142857142855</v>
      </c>
      <c r="G37" s="49">
        <f>'Avg Week Nimule-Gulu'!G37+'Avg Week Gulu-Nimule'!G37</f>
        <v>0</v>
      </c>
      <c r="H37" s="49">
        <f>'Avg Week Nimule-Gulu'!H37+'Avg Week Gulu-Nimule'!H37</f>
        <v>0</v>
      </c>
      <c r="I37" s="49">
        <f>'Avg Week Nimule-Gulu'!I37+'Avg Week Gulu-Nimule'!I37</f>
        <v>1</v>
      </c>
      <c r="J37" s="49">
        <f>'Avg Week Nimule-Gulu'!J37+'Avg Week Gulu-Nimule'!J37</f>
        <v>0</v>
      </c>
      <c r="K37" s="49">
        <f>'Avg Week Nimule-Gulu'!K37+'Avg Week Gulu-Nimule'!K37</f>
        <v>0.2857142857142857</v>
      </c>
      <c r="L37" s="49">
        <f>'Avg Week Nimule-Gulu'!L37+'Avg Week Gulu-Nimule'!L37</f>
        <v>1.8571428571428572</v>
      </c>
      <c r="M37" s="49">
        <f>'Avg Week Nimule-Gulu'!M37+'Avg Week Gulu-Nimule'!M37</f>
        <v>11.571428571428571</v>
      </c>
      <c r="N37" s="49">
        <f>'Avg Week Nimule-Gulu'!N37+'Avg Week Gulu-Nimule'!N37</f>
        <v>0</v>
      </c>
      <c r="O37" s="15">
        <f t="shared" si="0"/>
        <v>6.8571428571428559</v>
      </c>
      <c r="P37" s="15">
        <f t="shared" si="1"/>
        <v>18.428571428571427</v>
      </c>
      <c r="R37" s="37" t="s">
        <v>85</v>
      </c>
      <c r="S37" s="53">
        <f t="shared" ref="S37:AF37" si="29">SUM(S10:S12)</f>
        <v>17.285714285714285</v>
      </c>
      <c r="T37" s="54">
        <f t="shared" si="29"/>
        <v>6.2857142857142847</v>
      </c>
      <c r="U37" s="54">
        <f t="shared" si="29"/>
        <v>9.8571428571428559</v>
      </c>
      <c r="V37" s="54">
        <f t="shared" si="29"/>
        <v>0.99999999999999989</v>
      </c>
      <c r="W37" s="54">
        <f t="shared" si="29"/>
        <v>0.14285714285714285</v>
      </c>
      <c r="X37" s="54">
        <f t="shared" si="29"/>
        <v>2.4285714285714284</v>
      </c>
      <c r="Y37" s="54">
        <f t="shared" si="29"/>
        <v>13.428571428571427</v>
      </c>
      <c r="Z37" s="54">
        <f t="shared" si="29"/>
        <v>3.4285714285714279</v>
      </c>
      <c r="AA37" s="54">
        <f t="shared" si="29"/>
        <v>4.2857142857142847</v>
      </c>
      <c r="AB37" s="54">
        <f t="shared" si="29"/>
        <v>39.714285714285708</v>
      </c>
      <c r="AC37" s="54">
        <f t="shared" si="29"/>
        <v>220.57142857142861</v>
      </c>
      <c r="AD37" s="54">
        <f t="shared" si="29"/>
        <v>0</v>
      </c>
      <c r="AE37" s="55">
        <f t="shared" si="29"/>
        <v>97.857142857142847</v>
      </c>
      <c r="AF37" s="55">
        <f t="shared" si="29"/>
        <v>318.42857142857144</v>
      </c>
    </row>
    <row r="38" spans="2:32" ht="23.1" customHeight="1" x14ac:dyDescent="0.25">
      <c r="B38" s="24" t="s">
        <v>65</v>
      </c>
      <c r="C38" s="49">
        <f>'Avg Week Nimule-Gulu'!C38+'Avg Week Gulu-Nimule'!C38</f>
        <v>1.5714285714285714</v>
      </c>
      <c r="D38" s="49">
        <f>'Avg Week Nimule-Gulu'!D38+'Avg Week Gulu-Nimule'!D38</f>
        <v>0.2857142857142857</v>
      </c>
      <c r="E38" s="49">
        <f>'Avg Week Nimule-Gulu'!E38+'Avg Week Gulu-Nimule'!E38</f>
        <v>1.7142857142857142</v>
      </c>
      <c r="F38" s="49">
        <f>'Avg Week Nimule-Gulu'!F38+'Avg Week Gulu-Nimule'!F38</f>
        <v>0.2857142857142857</v>
      </c>
      <c r="G38" s="49">
        <f>'Avg Week Nimule-Gulu'!G38+'Avg Week Gulu-Nimule'!G38</f>
        <v>0</v>
      </c>
      <c r="H38" s="49">
        <f>'Avg Week Nimule-Gulu'!H38+'Avg Week Gulu-Nimule'!H38</f>
        <v>0.14285714285714285</v>
      </c>
      <c r="I38" s="49">
        <f>'Avg Week Nimule-Gulu'!I38+'Avg Week Gulu-Nimule'!I38</f>
        <v>0.5714285714285714</v>
      </c>
      <c r="J38" s="49">
        <f>'Avg Week Nimule-Gulu'!J38+'Avg Week Gulu-Nimule'!J38</f>
        <v>0.14285714285714285</v>
      </c>
      <c r="K38" s="49">
        <f>'Avg Week Nimule-Gulu'!K38+'Avg Week Gulu-Nimule'!K38</f>
        <v>0.2857142857142857</v>
      </c>
      <c r="L38" s="49">
        <f>'Avg Week Nimule-Gulu'!L38+'Avg Week Gulu-Nimule'!L38</f>
        <v>2.7142857142857144</v>
      </c>
      <c r="M38" s="49">
        <f>'Avg Week Nimule-Gulu'!M38+'Avg Week Gulu-Nimule'!M38</f>
        <v>15.285714285714285</v>
      </c>
      <c r="N38" s="49">
        <f>'Avg Week Nimule-Gulu'!N38+'Avg Week Gulu-Nimule'!N38</f>
        <v>0</v>
      </c>
      <c r="O38" s="15">
        <f t="shared" si="0"/>
        <v>7.7142857142857144</v>
      </c>
      <c r="P38" s="15">
        <f t="shared" si="1"/>
        <v>23</v>
      </c>
      <c r="R38" s="28" t="s">
        <v>86</v>
      </c>
      <c r="S38" s="54">
        <f t="shared" ref="S38:AF38" si="30">SUM(S13:S18)</f>
        <v>41.285714285714292</v>
      </c>
      <c r="T38" s="54">
        <f t="shared" si="30"/>
        <v>17.142857142857142</v>
      </c>
      <c r="U38" s="54">
        <f t="shared" si="30"/>
        <v>37.285714285714285</v>
      </c>
      <c r="V38" s="54">
        <f t="shared" si="30"/>
        <v>2.714285714285714</v>
      </c>
      <c r="W38" s="54">
        <f t="shared" si="30"/>
        <v>0.99999999999999989</v>
      </c>
      <c r="X38" s="54">
        <f t="shared" si="30"/>
        <v>4.5714285714285712</v>
      </c>
      <c r="Y38" s="54">
        <f t="shared" si="30"/>
        <v>16.857142857142854</v>
      </c>
      <c r="Z38" s="54">
        <f t="shared" si="30"/>
        <v>3.8571428571428568</v>
      </c>
      <c r="AA38" s="54">
        <f t="shared" si="30"/>
        <v>3.8571428571428568</v>
      </c>
      <c r="AB38" s="54">
        <f t="shared" si="30"/>
        <v>76.999999999999986</v>
      </c>
      <c r="AC38" s="54">
        <f t="shared" si="30"/>
        <v>356.71428571428578</v>
      </c>
      <c r="AD38" s="54">
        <f t="shared" si="30"/>
        <v>0.14285714285714285</v>
      </c>
      <c r="AE38" s="55">
        <f t="shared" si="30"/>
        <v>205.71428571428572</v>
      </c>
      <c r="AF38" s="55">
        <f t="shared" si="30"/>
        <v>562.42857142857144</v>
      </c>
    </row>
    <row r="39" spans="2:32" ht="23.1" customHeight="1" x14ac:dyDescent="0.25">
      <c r="B39" s="24" t="s">
        <v>66</v>
      </c>
      <c r="C39" s="49">
        <f>'Avg Week Nimule-Gulu'!C39+'Avg Week Gulu-Nimule'!C39</f>
        <v>1.8571428571428572</v>
      </c>
      <c r="D39" s="49">
        <f>'Avg Week Nimule-Gulu'!D39+'Avg Week Gulu-Nimule'!D39</f>
        <v>0.42857142857142855</v>
      </c>
      <c r="E39" s="49">
        <f>'Avg Week Nimule-Gulu'!E39+'Avg Week Gulu-Nimule'!E39</f>
        <v>1.5714285714285714</v>
      </c>
      <c r="F39" s="49">
        <f>'Avg Week Nimule-Gulu'!F39+'Avg Week Gulu-Nimule'!F39</f>
        <v>0</v>
      </c>
      <c r="G39" s="49">
        <f>'Avg Week Nimule-Gulu'!G39+'Avg Week Gulu-Nimule'!G39</f>
        <v>0</v>
      </c>
      <c r="H39" s="49">
        <f>'Avg Week Nimule-Gulu'!H39+'Avg Week Gulu-Nimule'!H39</f>
        <v>0.2857142857142857</v>
      </c>
      <c r="I39" s="49">
        <f>'Avg Week Nimule-Gulu'!I39+'Avg Week Gulu-Nimule'!I39</f>
        <v>0.42857142857142855</v>
      </c>
      <c r="J39" s="49">
        <f>'Avg Week Nimule-Gulu'!J39+'Avg Week Gulu-Nimule'!J39</f>
        <v>0.2857142857142857</v>
      </c>
      <c r="K39" s="49">
        <f>'Avg Week Nimule-Gulu'!K39+'Avg Week Gulu-Nimule'!K39</f>
        <v>0</v>
      </c>
      <c r="L39" s="49">
        <f>'Avg Week Nimule-Gulu'!L39+'Avg Week Gulu-Nimule'!L39</f>
        <v>4.1428571428571423</v>
      </c>
      <c r="M39" s="49">
        <f>'Avg Week Nimule-Gulu'!M39+'Avg Week Gulu-Nimule'!M39</f>
        <v>14.857142857142858</v>
      </c>
      <c r="N39" s="49">
        <f>'Avg Week Nimule-Gulu'!N39+'Avg Week Gulu-Nimule'!N39</f>
        <v>0</v>
      </c>
      <c r="O39" s="15">
        <f t="shared" si="0"/>
        <v>9</v>
      </c>
      <c r="P39" s="15">
        <f t="shared" si="1"/>
        <v>23.857142857142858</v>
      </c>
      <c r="R39" s="29" t="s">
        <v>87</v>
      </c>
      <c r="S39" s="54">
        <f t="shared" ref="S39:AF39" si="31">SUM(S19:S21)</f>
        <v>22.285714285714285</v>
      </c>
      <c r="T39" s="54">
        <f t="shared" si="31"/>
        <v>9</v>
      </c>
      <c r="U39" s="54">
        <f t="shared" si="31"/>
        <v>19.142857142857142</v>
      </c>
      <c r="V39" s="54">
        <f t="shared" si="31"/>
        <v>1.2857142857142856</v>
      </c>
      <c r="W39" s="54">
        <f t="shared" si="31"/>
        <v>0.42857142857142855</v>
      </c>
      <c r="X39" s="54">
        <f t="shared" si="31"/>
        <v>4.8571428571428568</v>
      </c>
      <c r="Y39" s="54">
        <f t="shared" si="31"/>
        <v>11</v>
      </c>
      <c r="Z39" s="54">
        <f t="shared" si="31"/>
        <v>2.7380952380952377</v>
      </c>
      <c r="AA39" s="54">
        <f t="shared" si="31"/>
        <v>0.99999999999999989</v>
      </c>
      <c r="AB39" s="54">
        <f t="shared" si="31"/>
        <v>31.285714285714285</v>
      </c>
      <c r="AC39" s="54">
        <f t="shared" si="31"/>
        <v>184.85714285714289</v>
      </c>
      <c r="AD39" s="54">
        <f t="shared" si="31"/>
        <v>0</v>
      </c>
      <c r="AE39" s="55">
        <f t="shared" si="31"/>
        <v>103.02380952380953</v>
      </c>
      <c r="AF39" s="55">
        <f t="shared" si="31"/>
        <v>287.88095238095241</v>
      </c>
    </row>
    <row r="40" spans="2:32" ht="23.1" customHeight="1" x14ac:dyDescent="0.25">
      <c r="B40" s="24" t="s">
        <v>67</v>
      </c>
      <c r="C40" s="49">
        <f>'Avg Week Nimule-Gulu'!C40+'Avg Week Gulu-Nimule'!C40</f>
        <v>2.2857142857142856</v>
      </c>
      <c r="D40" s="49">
        <f>'Avg Week Nimule-Gulu'!D40+'Avg Week Gulu-Nimule'!D40</f>
        <v>0.42857142857142855</v>
      </c>
      <c r="E40" s="49">
        <f>'Avg Week Nimule-Gulu'!E40+'Avg Week Gulu-Nimule'!E40</f>
        <v>1.8571428571428572</v>
      </c>
      <c r="F40" s="49">
        <f>'Avg Week Nimule-Gulu'!F40+'Avg Week Gulu-Nimule'!F40</f>
        <v>0</v>
      </c>
      <c r="G40" s="49">
        <f>'Avg Week Nimule-Gulu'!G40+'Avg Week Gulu-Nimule'!G40</f>
        <v>0.14285714285714285</v>
      </c>
      <c r="H40" s="49">
        <f>'Avg Week Nimule-Gulu'!H40+'Avg Week Gulu-Nimule'!H40</f>
        <v>0.2857142857142857</v>
      </c>
      <c r="I40" s="49">
        <f>'Avg Week Nimule-Gulu'!I40+'Avg Week Gulu-Nimule'!I40</f>
        <v>0.42857142857142855</v>
      </c>
      <c r="J40" s="49">
        <f>'Avg Week Nimule-Gulu'!J40+'Avg Week Gulu-Nimule'!J40</f>
        <v>0.14285714285714285</v>
      </c>
      <c r="K40" s="49">
        <f>'Avg Week Nimule-Gulu'!K40+'Avg Week Gulu-Nimule'!K40</f>
        <v>0</v>
      </c>
      <c r="L40" s="49">
        <f>'Avg Week Nimule-Gulu'!L40+'Avg Week Gulu-Nimule'!L40</f>
        <v>3.7142857142857144</v>
      </c>
      <c r="M40" s="49">
        <f>'Avg Week Nimule-Gulu'!M40+'Avg Week Gulu-Nimule'!M40</f>
        <v>12.285714285714285</v>
      </c>
      <c r="N40" s="49">
        <f>'Avg Week Nimule-Gulu'!N40+'Avg Week Gulu-Nimule'!N40</f>
        <v>0</v>
      </c>
      <c r="O40" s="15">
        <f t="shared" si="0"/>
        <v>9.2857142857142865</v>
      </c>
      <c r="P40" s="15">
        <f t="shared" si="1"/>
        <v>21.571428571428569</v>
      </c>
      <c r="R40" s="5" t="s">
        <v>17</v>
      </c>
      <c r="S40" s="54">
        <f t="shared" ref="S40:AF40" si="32">SUM(S10:S21)</f>
        <v>80.857142857142861</v>
      </c>
      <c r="T40" s="54">
        <f t="shared" si="32"/>
        <v>32.428571428571423</v>
      </c>
      <c r="U40" s="54">
        <f t="shared" si="32"/>
        <v>66.285714285714278</v>
      </c>
      <c r="V40" s="54">
        <f t="shared" si="32"/>
        <v>4.9999999999999991</v>
      </c>
      <c r="W40" s="54">
        <f t="shared" si="32"/>
        <v>1.5714285714285712</v>
      </c>
      <c r="X40" s="54">
        <f t="shared" si="32"/>
        <v>11.857142857142856</v>
      </c>
      <c r="Y40" s="54">
        <f t="shared" si="32"/>
        <v>41.285714285714278</v>
      </c>
      <c r="Z40" s="54">
        <f t="shared" si="32"/>
        <v>10.023809523809522</v>
      </c>
      <c r="AA40" s="54">
        <f t="shared" si="32"/>
        <v>9.1428571428571406</v>
      </c>
      <c r="AB40" s="54">
        <f t="shared" si="32"/>
        <v>148</v>
      </c>
      <c r="AC40" s="54">
        <f t="shared" si="32"/>
        <v>762.14285714285722</v>
      </c>
      <c r="AD40" s="54">
        <f t="shared" si="32"/>
        <v>0.14285714285714285</v>
      </c>
      <c r="AE40" s="55">
        <f t="shared" si="32"/>
        <v>406.59523809523807</v>
      </c>
      <c r="AF40" s="55">
        <f t="shared" si="32"/>
        <v>1168.7380952380952</v>
      </c>
    </row>
    <row r="41" spans="2:32" ht="23.1" customHeight="1" x14ac:dyDescent="0.25">
      <c r="B41" s="23" t="s">
        <v>68</v>
      </c>
      <c r="C41" s="49">
        <f>'Avg Week Nimule-Gulu'!C41+'Avg Week Gulu-Nimule'!C41</f>
        <v>1.7142857142857144</v>
      </c>
      <c r="D41" s="49">
        <f>'Avg Week Nimule-Gulu'!D41+'Avg Week Gulu-Nimule'!D41</f>
        <v>0.71428571428571419</v>
      </c>
      <c r="E41" s="49">
        <f>'Avg Week Nimule-Gulu'!E41+'Avg Week Gulu-Nimule'!E41</f>
        <v>1.4285714285714286</v>
      </c>
      <c r="F41" s="49">
        <f>'Avg Week Nimule-Gulu'!F41+'Avg Week Gulu-Nimule'!F41</f>
        <v>0</v>
      </c>
      <c r="G41" s="49">
        <f>'Avg Week Nimule-Gulu'!G41+'Avg Week Gulu-Nimule'!G41</f>
        <v>0</v>
      </c>
      <c r="H41" s="49">
        <f>'Avg Week Nimule-Gulu'!H41+'Avg Week Gulu-Nimule'!H41</f>
        <v>0.2857142857142857</v>
      </c>
      <c r="I41" s="49">
        <f>'Avg Week Nimule-Gulu'!I41+'Avg Week Gulu-Nimule'!I41</f>
        <v>0.42857142857142855</v>
      </c>
      <c r="J41" s="49">
        <f>'Avg Week Nimule-Gulu'!J41+'Avg Week Gulu-Nimule'!J41</f>
        <v>0.14285714285714285</v>
      </c>
      <c r="K41" s="49">
        <f>'Avg Week Nimule-Gulu'!K41+'Avg Week Gulu-Nimule'!K41</f>
        <v>0.14285714285714285</v>
      </c>
      <c r="L41" s="49">
        <f>'Avg Week Nimule-Gulu'!L41+'Avg Week Gulu-Nimule'!L41</f>
        <v>1.8571428571428572</v>
      </c>
      <c r="M41" s="49">
        <f>'Avg Week Nimule-Gulu'!M41+'Avg Week Gulu-Nimule'!M41</f>
        <v>17.714285714285715</v>
      </c>
      <c r="N41" s="49">
        <f>'Avg Week Nimule-Gulu'!N41+'Avg Week Gulu-Nimule'!N41</f>
        <v>0</v>
      </c>
      <c r="O41" s="15">
        <f t="shared" si="0"/>
        <v>6.7142857142857153</v>
      </c>
      <c r="P41" s="15">
        <f t="shared" si="1"/>
        <v>24.428571428571431</v>
      </c>
      <c r="R41" s="5" t="s">
        <v>176</v>
      </c>
      <c r="S41" s="54">
        <f>SUM(S10:S33)</f>
        <v>84.857142857142861</v>
      </c>
      <c r="T41" s="54">
        <f t="shared" ref="T41:AD41" si="33">SUM(T10:T33)</f>
        <v>36.428571428571423</v>
      </c>
      <c r="U41" s="54">
        <f t="shared" si="33"/>
        <v>75.785714285714278</v>
      </c>
      <c r="V41" s="54">
        <f t="shared" si="33"/>
        <v>6.4999999999999991</v>
      </c>
      <c r="W41" s="54">
        <f t="shared" si="33"/>
        <v>1.5714285714285712</v>
      </c>
      <c r="X41" s="54">
        <f t="shared" si="33"/>
        <v>12.357142857142856</v>
      </c>
      <c r="Y41" s="54">
        <f t="shared" si="33"/>
        <v>43.785714285714278</v>
      </c>
      <c r="Z41" s="54">
        <f t="shared" si="33"/>
        <v>11.523809523809522</v>
      </c>
      <c r="AA41" s="54">
        <f t="shared" si="33"/>
        <v>9.1428571428571406</v>
      </c>
      <c r="AB41" s="54">
        <f t="shared" si="33"/>
        <v>161</v>
      </c>
      <c r="AC41" s="54">
        <f t="shared" si="33"/>
        <v>769.14285714285722</v>
      </c>
      <c r="AD41" s="54">
        <f t="shared" si="33"/>
        <v>0.14285714285714285</v>
      </c>
      <c r="AE41" s="55">
        <f>SUM(AE10:AE33)</f>
        <v>443.09523809523807</v>
      </c>
      <c r="AF41" s="55">
        <f>SUM(AF10:AF33)</f>
        <v>1212.2380952380952</v>
      </c>
    </row>
    <row r="42" spans="2:32" ht="23.1" customHeight="1" x14ac:dyDescent="0.25">
      <c r="B42" s="24" t="s">
        <v>69</v>
      </c>
      <c r="C42" s="49">
        <f>'Avg Week Nimule-Gulu'!C42+'Avg Week Gulu-Nimule'!C42</f>
        <v>1.5714285714285714</v>
      </c>
      <c r="D42" s="49">
        <f>'Avg Week Nimule-Gulu'!D42+'Avg Week Gulu-Nimule'!D42</f>
        <v>1.1428571428571428</v>
      </c>
      <c r="E42" s="49">
        <f>'Avg Week Nimule-Gulu'!E42+'Avg Week Gulu-Nimule'!E42</f>
        <v>2</v>
      </c>
      <c r="F42" s="49">
        <f>'Avg Week Nimule-Gulu'!F42+'Avg Week Gulu-Nimule'!F42</f>
        <v>0</v>
      </c>
      <c r="G42" s="49">
        <f>'Avg Week Nimule-Gulu'!G42+'Avg Week Gulu-Nimule'!G42</f>
        <v>0</v>
      </c>
      <c r="H42" s="49">
        <f>'Avg Week Nimule-Gulu'!H42+'Avg Week Gulu-Nimule'!H42</f>
        <v>0.2857142857142857</v>
      </c>
      <c r="I42" s="49">
        <f>'Avg Week Nimule-Gulu'!I42+'Avg Week Gulu-Nimule'!I42</f>
        <v>0.2857142857142857</v>
      </c>
      <c r="J42" s="49">
        <f>'Avg Week Nimule-Gulu'!J42+'Avg Week Gulu-Nimule'!J42</f>
        <v>0</v>
      </c>
      <c r="K42" s="49">
        <f>'Avg Week Nimule-Gulu'!K42+'Avg Week Gulu-Nimule'!K42</f>
        <v>0.42857142857142855</v>
      </c>
      <c r="L42" s="49">
        <f>'Avg Week Nimule-Gulu'!L42+'Avg Week Gulu-Nimule'!L42</f>
        <v>2.2857142857142856</v>
      </c>
      <c r="M42" s="49">
        <f>'Avg Week Nimule-Gulu'!M42+'Avg Week Gulu-Nimule'!M42</f>
        <v>17</v>
      </c>
      <c r="N42" s="49">
        <f>'Avg Week Nimule-Gulu'!N42+'Avg Week Gulu-Nimule'!N42</f>
        <v>0</v>
      </c>
      <c r="O42" s="15">
        <f t="shared" si="0"/>
        <v>8</v>
      </c>
      <c r="P42" s="15">
        <f t="shared" si="1"/>
        <v>25</v>
      </c>
      <c r="R42" s="5" t="s">
        <v>160</v>
      </c>
      <c r="S42" s="48">
        <f>S41/S40</f>
        <v>1.0494699646643109</v>
      </c>
      <c r="T42" s="48">
        <f t="shared" ref="T42:AF42" si="34">T41/T40</f>
        <v>1.1233480176211454</v>
      </c>
      <c r="U42" s="48">
        <f t="shared" si="34"/>
        <v>1.1433189655172413</v>
      </c>
      <c r="V42" s="48">
        <f t="shared" si="34"/>
        <v>1.3</v>
      </c>
      <c r="W42" s="48">
        <f t="shared" si="34"/>
        <v>1</v>
      </c>
      <c r="X42" s="48">
        <f t="shared" si="34"/>
        <v>1.0421686746987953</v>
      </c>
      <c r="Y42" s="48">
        <f t="shared" si="34"/>
        <v>1.060553633217993</v>
      </c>
      <c r="Z42" s="48">
        <f t="shared" si="34"/>
        <v>1.149643705463183</v>
      </c>
      <c r="AA42" s="48">
        <f t="shared" si="34"/>
        <v>1</v>
      </c>
      <c r="AB42" s="48">
        <f t="shared" si="34"/>
        <v>1.0878378378378379</v>
      </c>
      <c r="AC42" s="48">
        <f t="shared" si="34"/>
        <v>1.0091846298031866</v>
      </c>
      <c r="AD42" s="48">
        <f t="shared" si="34"/>
        <v>1</v>
      </c>
      <c r="AE42" s="56">
        <f t="shared" si="34"/>
        <v>1.0897698659015049</v>
      </c>
      <c r="AF42" s="56">
        <f t="shared" si="34"/>
        <v>1.0372196304520545</v>
      </c>
    </row>
    <row r="43" spans="2:32" ht="23.1" customHeight="1" x14ac:dyDescent="0.25">
      <c r="B43" s="23" t="s">
        <v>70</v>
      </c>
      <c r="C43" s="49">
        <f>'Avg Week Nimule-Gulu'!C43+'Avg Week Gulu-Nimule'!C43</f>
        <v>3.1428571428571428</v>
      </c>
      <c r="D43" s="49">
        <f>'Avg Week Nimule-Gulu'!D43+'Avg Week Gulu-Nimule'!D43</f>
        <v>1</v>
      </c>
      <c r="E43" s="49">
        <f>'Avg Week Nimule-Gulu'!E43+'Avg Week Gulu-Nimule'!E43</f>
        <v>1.7142857142857144</v>
      </c>
      <c r="F43" s="49">
        <f>'Avg Week Nimule-Gulu'!F43+'Avg Week Gulu-Nimule'!F43</f>
        <v>0</v>
      </c>
      <c r="G43" s="49">
        <f>'Avg Week Nimule-Gulu'!G43+'Avg Week Gulu-Nimule'!G43</f>
        <v>0.14285714285714285</v>
      </c>
      <c r="H43" s="49">
        <f>'Avg Week Nimule-Gulu'!H43+'Avg Week Gulu-Nimule'!H43</f>
        <v>1</v>
      </c>
      <c r="I43" s="49">
        <f>'Avg Week Nimule-Gulu'!I43+'Avg Week Gulu-Nimule'!I43</f>
        <v>0.2857142857142857</v>
      </c>
      <c r="J43" s="49">
        <f>'Avg Week Nimule-Gulu'!J43+'Avg Week Gulu-Nimule'!J43</f>
        <v>0</v>
      </c>
      <c r="K43" s="49">
        <f>'Avg Week Nimule-Gulu'!K43+'Avg Week Gulu-Nimule'!K43</f>
        <v>0.2857142857142857</v>
      </c>
      <c r="L43" s="49">
        <f>'Avg Week Nimule-Gulu'!L43+'Avg Week Gulu-Nimule'!L43</f>
        <v>1.7142857142857142</v>
      </c>
      <c r="M43" s="49">
        <f>'Avg Week Nimule-Gulu'!M43+'Avg Week Gulu-Nimule'!M43</f>
        <v>16</v>
      </c>
      <c r="N43" s="49">
        <f>'Avg Week Nimule-Gulu'!N43+'Avg Week Gulu-Nimule'!N43</f>
        <v>0</v>
      </c>
      <c r="O43" s="15">
        <f t="shared" si="0"/>
        <v>9.2857142857142847</v>
      </c>
      <c r="P43" s="15">
        <f t="shared" si="1"/>
        <v>25.285714285714285</v>
      </c>
    </row>
    <row r="44" spans="2:32" ht="23.1" customHeight="1" x14ac:dyDescent="0.25">
      <c r="B44" s="25" t="s">
        <v>71</v>
      </c>
      <c r="C44" s="49">
        <f>'Avg Week Nimule-Gulu'!C44+'Avg Week Gulu-Nimule'!C44</f>
        <v>2</v>
      </c>
      <c r="D44" s="49">
        <f>'Avg Week Nimule-Gulu'!D44+'Avg Week Gulu-Nimule'!D44</f>
        <v>1.4285714285714286</v>
      </c>
      <c r="E44" s="49">
        <f>'Avg Week Nimule-Gulu'!E44+'Avg Week Gulu-Nimule'!E44</f>
        <v>1.7142857142857142</v>
      </c>
      <c r="F44" s="49">
        <f>'Avg Week Nimule-Gulu'!F44+'Avg Week Gulu-Nimule'!F44</f>
        <v>0</v>
      </c>
      <c r="G44" s="49">
        <f>'Avg Week Nimule-Gulu'!G44+'Avg Week Gulu-Nimule'!G44</f>
        <v>0</v>
      </c>
      <c r="H44" s="49">
        <f>'Avg Week Nimule-Gulu'!H44+'Avg Week Gulu-Nimule'!H44</f>
        <v>0</v>
      </c>
      <c r="I44" s="49">
        <f>'Avg Week Nimule-Gulu'!I44+'Avg Week Gulu-Nimule'!I44</f>
        <v>0.71428571428571419</v>
      </c>
      <c r="J44" s="49">
        <f>'Avg Week Nimule-Gulu'!J44+'Avg Week Gulu-Nimule'!J44</f>
        <v>0.7142857142857143</v>
      </c>
      <c r="K44" s="49">
        <f>'Avg Week Nimule-Gulu'!K44+'Avg Week Gulu-Nimule'!K44</f>
        <v>0.14285714285714285</v>
      </c>
      <c r="L44" s="49">
        <f>'Avg Week Nimule-Gulu'!L44+'Avg Week Gulu-Nimule'!L44</f>
        <v>2.7142857142857144</v>
      </c>
      <c r="M44" s="49">
        <f>'Avg Week Nimule-Gulu'!M44+'Avg Week Gulu-Nimule'!M44</f>
        <v>21.285714285714285</v>
      </c>
      <c r="N44" s="49">
        <f>'Avg Week Nimule-Gulu'!N44+'Avg Week Gulu-Nimule'!N44</f>
        <v>0</v>
      </c>
      <c r="O44" s="15">
        <f t="shared" si="0"/>
        <v>9.4285714285714306</v>
      </c>
      <c r="P44" s="15">
        <f t="shared" si="1"/>
        <v>30.714285714285715</v>
      </c>
    </row>
    <row r="45" spans="2:32" ht="23.1" customHeight="1" x14ac:dyDescent="0.25">
      <c r="B45" s="23" t="s">
        <v>72</v>
      </c>
      <c r="C45" s="49">
        <f>'Avg Week Nimule-Gulu'!C45+'Avg Week Gulu-Nimule'!C45</f>
        <v>3</v>
      </c>
      <c r="D45" s="49">
        <f>'Avg Week Nimule-Gulu'!D45+'Avg Week Gulu-Nimule'!D45</f>
        <v>0.71428571428571419</v>
      </c>
      <c r="E45" s="49">
        <f>'Avg Week Nimule-Gulu'!E45+'Avg Week Gulu-Nimule'!E45</f>
        <v>1.7142857142857144</v>
      </c>
      <c r="F45" s="49">
        <f>'Avg Week Nimule-Gulu'!F45+'Avg Week Gulu-Nimule'!F45</f>
        <v>0</v>
      </c>
      <c r="G45" s="49">
        <f>'Avg Week Nimule-Gulu'!G45+'Avg Week Gulu-Nimule'!G45</f>
        <v>0.14285714285714285</v>
      </c>
      <c r="H45" s="49">
        <f>'Avg Week Nimule-Gulu'!H45+'Avg Week Gulu-Nimule'!H45</f>
        <v>0.5714285714285714</v>
      </c>
      <c r="I45" s="49">
        <f>'Avg Week Nimule-Gulu'!I45+'Avg Week Gulu-Nimule'!I45</f>
        <v>1</v>
      </c>
      <c r="J45" s="49">
        <f>'Avg Week Nimule-Gulu'!J45+'Avg Week Gulu-Nimule'!J45</f>
        <v>0</v>
      </c>
      <c r="K45" s="49">
        <f>'Avg Week Nimule-Gulu'!K45+'Avg Week Gulu-Nimule'!K45</f>
        <v>0.2857142857142857</v>
      </c>
      <c r="L45" s="49">
        <f>'Avg Week Nimule-Gulu'!L45+'Avg Week Gulu-Nimule'!L45</f>
        <v>2.4285714285714284</v>
      </c>
      <c r="M45" s="49">
        <f>'Avg Week Nimule-Gulu'!M45+'Avg Week Gulu-Nimule'!M45</f>
        <v>14.571428571428573</v>
      </c>
      <c r="N45" s="49">
        <f>'Avg Week Nimule-Gulu'!N45+'Avg Week Gulu-Nimule'!N45</f>
        <v>0</v>
      </c>
      <c r="O45" s="15">
        <f t="shared" si="0"/>
        <v>9.8571428571428577</v>
      </c>
      <c r="P45" s="15">
        <f t="shared" si="1"/>
        <v>24.428571428571431</v>
      </c>
    </row>
    <row r="46" spans="2:32" ht="23.1" customHeight="1" x14ac:dyDescent="0.25">
      <c r="B46" s="24" t="s">
        <v>73</v>
      </c>
      <c r="C46" s="49">
        <f>'Avg Week Nimule-Gulu'!C46+'Avg Week Gulu-Nimule'!C46</f>
        <v>1.2857142857142856</v>
      </c>
      <c r="D46" s="49">
        <f>'Avg Week Nimule-Gulu'!D46+'Avg Week Gulu-Nimule'!D46</f>
        <v>0.42857142857142855</v>
      </c>
      <c r="E46" s="49">
        <f>'Avg Week Nimule-Gulu'!E46+'Avg Week Gulu-Nimule'!E46</f>
        <v>1.4285714285714284</v>
      </c>
      <c r="F46" s="49">
        <f>'Avg Week Nimule-Gulu'!F46+'Avg Week Gulu-Nimule'!F46</f>
        <v>0</v>
      </c>
      <c r="G46" s="49">
        <f>'Avg Week Nimule-Gulu'!G46+'Avg Week Gulu-Nimule'!G46</f>
        <v>0</v>
      </c>
      <c r="H46" s="49">
        <f>'Avg Week Nimule-Gulu'!H46+'Avg Week Gulu-Nimule'!H46</f>
        <v>1</v>
      </c>
      <c r="I46" s="49">
        <f>'Avg Week Nimule-Gulu'!I46+'Avg Week Gulu-Nimule'!I46</f>
        <v>0.8571428571428571</v>
      </c>
      <c r="J46" s="49">
        <f>'Avg Week Nimule-Gulu'!J46+'Avg Week Gulu-Nimule'!J46</f>
        <v>0.5714285714285714</v>
      </c>
      <c r="K46" s="49">
        <f>'Avg Week Nimule-Gulu'!K46+'Avg Week Gulu-Nimule'!K46</f>
        <v>0.14285714285714285</v>
      </c>
      <c r="L46" s="49">
        <f>'Avg Week Nimule-Gulu'!L46+'Avg Week Gulu-Nimule'!L46</f>
        <v>2.1428571428571428</v>
      </c>
      <c r="M46" s="49">
        <f>'Avg Week Nimule-Gulu'!M46+'Avg Week Gulu-Nimule'!M46</f>
        <v>14</v>
      </c>
      <c r="N46" s="49">
        <f>'Avg Week Nimule-Gulu'!N46+'Avg Week Gulu-Nimule'!N46</f>
        <v>0</v>
      </c>
      <c r="O46" s="15">
        <f t="shared" si="0"/>
        <v>7.8571428571428559</v>
      </c>
      <c r="P46" s="15">
        <f t="shared" si="1"/>
        <v>21.857142857142854</v>
      </c>
      <c r="R46" s="8"/>
      <c r="T46"/>
    </row>
    <row r="47" spans="2:32" ht="23.1" customHeight="1" x14ac:dyDescent="0.25">
      <c r="B47" s="24" t="s">
        <v>74</v>
      </c>
      <c r="C47" s="49">
        <f>'Avg Week Nimule-Gulu'!C47+'Avg Week Gulu-Nimule'!C47</f>
        <v>1.2857142857142856</v>
      </c>
      <c r="D47" s="49">
        <f>'Avg Week Nimule-Gulu'!D47+'Avg Week Gulu-Nimule'!D47</f>
        <v>1.2857142857142856</v>
      </c>
      <c r="E47" s="49">
        <f>'Avg Week Nimule-Gulu'!E47+'Avg Week Gulu-Nimule'!E47</f>
        <v>1.7142857142857144</v>
      </c>
      <c r="F47" s="49">
        <f>'Avg Week Nimule-Gulu'!F47+'Avg Week Gulu-Nimule'!F47</f>
        <v>0</v>
      </c>
      <c r="G47" s="49">
        <f>'Avg Week Nimule-Gulu'!G47+'Avg Week Gulu-Nimule'!G47</f>
        <v>0</v>
      </c>
      <c r="H47" s="49">
        <f>'Avg Week Nimule-Gulu'!H47+'Avg Week Gulu-Nimule'!H47</f>
        <v>0.42857142857142855</v>
      </c>
      <c r="I47" s="49">
        <f>'Avg Week Nimule-Gulu'!I47+'Avg Week Gulu-Nimule'!I47</f>
        <v>0.71428571428571419</v>
      </c>
      <c r="J47" s="49">
        <f>'Avg Week Nimule-Gulu'!J47+'Avg Week Gulu-Nimule'!J47</f>
        <v>0.14285714285714285</v>
      </c>
      <c r="K47" s="49">
        <f>'Avg Week Nimule-Gulu'!K47+'Avg Week Gulu-Nimule'!K47</f>
        <v>0.14285714285714285</v>
      </c>
      <c r="L47" s="49">
        <f>'Avg Week Nimule-Gulu'!L47+'Avg Week Gulu-Nimule'!L47</f>
        <v>2.8571428571428572</v>
      </c>
      <c r="M47" s="49">
        <f>'Avg Week Nimule-Gulu'!M47+'Avg Week Gulu-Nimule'!M47</f>
        <v>17.714285714285715</v>
      </c>
      <c r="N47" s="49">
        <f>'Avg Week Nimule-Gulu'!N47+'Avg Week Gulu-Nimule'!N47</f>
        <v>0</v>
      </c>
      <c r="O47" s="15">
        <f t="shared" si="0"/>
        <v>8.571428571428573</v>
      </c>
      <c r="P47" s="15">
        <f t="shared" si="1"/>
        <v>26.285714285714288</v>
      </c>
      <c r="R47" s="8"/>
      <c r="T47"/>
    </row>
    <row r="48" spans="2:32" ht="23.1" customHeight="1" x14ac:dyDescent="0.25">
      <c r="B48" s="24" t="s">
        <v>75</v>
      </c>
      <c r="C48" s="49">
        <f>'Avg Week Nimule-Gulu'!C48+'Avg Week Gulu-Nimule'!C48</f>
        <v>1.5714285714285716</v>
      </c>
      <c r="D48" s="49">
        <f>'Avg Week Nimule-Gulu'!D48+'Avg Week Gulu-Nimule'!D48</f>
        <v>1</v>
      </c>
      <c r="E48" s="49">
        <f>'Avg Week Nimule-Gulu'!E48+'Avg Week Gulu-Nimule'!E48</f>
        <v>1.4285714285714286</v>
      </c>
      <c r="F48" s="49">
        <f>'Avg Week Nimule-Gulu'!F48+'Avg Week Gulu-Nimule'!F48</f>
        <v>0</v>
      </c>
      <c r="G48" s="49">
        <f>'Avg Week Nimule-Gulu'!G48+'Avg Week Gulu-Nimule'!G48</f>
        <v>0</v>
      </c>
      <c r="H48" s="49">
        <f>'Avg Week Nimule-Gulu'!H48+'Avg Week Gulu-Nimule'!H48</f>
        <v>0.42857142857142855</v>
      </c>
      <c r="I48" s="49">
        <f>'Avg Week Nimule-Gulu'!I48+'Avg Week Gulu-Nimule'!I48</f>
        <v>1</v>
      </c>
      <c r="J48" s="49">
        <f>'Avg Week Nimule-Gulu'!J48+'Avg Week Gulu-Nimule'!J48</f>
        <v>0.14285714285714285</v>
      </c>
      <c r="K48" s="49">
        <f>'Avg Week Nimule-Gulu'!K48+'Avg Week Gulu-Nimule'!K48</f>
        <v>0</v>
      </c>
      <c r="L48" s="49">
        <f>'Avg Week Nimule-Gulu'!L48+'Avg Week Gulu-Nimule'!L48</f>
        <v>3</v>
      </c>
      <c r="M48" s="49">
        <f>'Avg Week Nimule-Gulu'!M48+'Avg Week Gulu-Nimule'!M48</f>
        <v>14.428571428571429</v>
      </c>
      <c r="N48" s="49">
        <f>'Avg Week Nimule-Gulu'!N48+'Avg Week Gulu-Nimule'!N48</f>
        <v>0</v>
      </c>
      <c r="O48" s="15">
        <f t="shared" si="0"/>
        <v>8.571428571428573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49">
        <f>'Avg Week Nimule-Gulu'!C49+'Avg Week Gulu-Nimule'!C49</f>
        <v>2.2857142857142856</v>
      </c>
      <c r="D49" s="49">
        <f>'Avg Week Nimule-Gulu'!D49+'Avg Week Gulu-Nimule'!D49</f>
        <v>1.1428571428571428</v>
      </c>
      <c r="E49" s="49">
        <f>'Avg Week Nimule-Gulu'!E49+'Avg Week Gulu-Nimule'!E49</f>
        <v>1.4285714285714284</v>
      </c>
      <c r="F49" s="49">
        <f>'Avg Week Nimule-Gulu'!F49+'Avg Week Gulu-Nimule'!F49</f>
        <v>0</v>
      </c>
      <c r="G49" s="49">
        <f>'Avg Week Nimule-Gulu'!G49+'Avg Week Gulu-Nimule'!G49</f>
        <v>0</v>
      </c>
      <c r="H49" s="49">
        <f>'Avg Week Nimule-Gulu'!H49+'Avg Week Gulu-Nimule'!H49</f>
        <v>0.42857142857142855</v>
      </c>
      <c r="I49" s="49">
        <f>'Avg Week Nimule-Gulu'!I49+'Avg Week Gulu-Nimule'!I49</f>
        <v>0.5714285714285714</v>
      </c>
      <c r="J49" s="49">
        <f>'Avg Week Nimule-Gulu'!J49+'Avg Week Gulu-Nimule'!J49</f>
        <v>0.14285714285714285</v>
      </c>
      <c r="K49" s="49">
        <f>'Avg Week Nimule-Gulu'!K49+'Avg Week Gulu-Nimule'!K49</f>
        <v>0</v>
      </c>
      <c r="L49" s="49">
        <f>'Avg Week Nimule-Gulu'!L49+'Avg Week Gulu-Nimule'!L49</f>
        <v>2.2857142857142856</v>
      </c>
      <c r="M49" s="49">
        <f>'Avg Week Nimule-Gulu'!M49+'Avg Week Gulu-Nimule'!M49</f>
        <v>14.285714285714285</v>
      </c>
      <c r="N49" s="49">
        <f>'Avg Week Nimule-Gulu'!N49+'Avg Week Gulu-Nimule'!N49</f>
        <v>0</v>
      </c>
      <c r="O49" s="15">
        <f t="shared" si="0"/>
        <v>8.2857142857142847</v>
      </c>
      <c r="P49" s="15">
        <f t="shared" si="1"/>
        <v>22.571428571428569</v>
      </c>
      <c r="R49" s="8"/>
      <c r="T49"/>
    </row>
    <row r="50" spans="2:20" ht="23.1" customHeight="1" x14ac:dyDescent="0.25">
      <c r="B50" s="24" t="s">
        <v>77</v>
      </c>
      <c r="C50" s="49">
        <f>'Avg Week Nimule-Gulu'!C50+'Avg Week Gulu-Nimule'!C50</f>
        <v>2.4285714285714288</v>
      </c>
      <c r="D50" s="49">
        <f>'Avg Week Nimule-Gulu'!D50+'Avg Week Gulu-Nimule'!D50</f>
        <v>0.5714285714285714</v>
      </c>
      <c r="E50" s="49">
        <f>'Avg Week Nimule-Gulu'!E50+'Avg Week Gulu-Nimule'!E50</f>
        <v>2</v>
      </c>
      <c r="F50" s="49">
        <f>'Avg Week Nimule-Gulu'!F50+'Avg Week Gulu-Nimule'!F50</f>
        <v>0</v>
      </c>
      <c r="G50" s="49">
        <f>'Avg Week Nimule-Gulu'!G50+'Avg Week Gulu-Nimule'!G50</f>
        <v>0.2857142857142857</v>
      </c>
      <c r="H50" s="49">
        <f>'Avg Week Nimule-Gulu'!H50+'Avg Week Gulu-Nimule'!H50</f>
        <v>0.2857142857142857</v>
      </c>
      <c r="I50" s="49">
        <f>'Avg Week Nimule-Gulu'!I50+'Avg Week Gulu-Nimule'!I50</f>
        <v>1</v>
      </c>
      <c r="J50" s="49">
        <f>'Avg Week Nimule-Gulu'!J50+'Avg Week Gulu-Nimule'!J50</f>
        <v>0.14285714285714285</v>
      </c>
      <c r="K50" s="49">
        <f>'Avg Week Nimule-Gulu'!K50+'Avg Week Gulu-Nimule'!K50</f>
        <v>0</v>
      </c>
      <c r="L50" s="49">
        <f>'Avg Week Nimule-Gulu'!L50+'Avg Week Gulu-Nimule'!L50</f>
        <v>2.7142857142857144</v>
      </c>
      <c r="M50" s="49">
        <f>'Avg Week Nimule-Gulu'!M50+'Avg Week Gulu-Nimule'!M50</f>
        <v>19.142857142857142</v>
      </c>
      <c r="N50" s="49">
        <f>'Avg Week Nimule-Gulu'!N50+'Avg Week Gulu-Nimule'!N50</f>
        <v>0</v>
      </c>
      <c r="O50" s="15">
        <f t="shared" si="0"/>
        <v>9.4285714285714288</v>
      </c>
      <c r="P50" s="15">
        <f t="shared" si="1"/>
        <v>28.571428571428569</v>
      </c>
      <c r="R50" s="8"/>
      <c r="T50"/>
    </row>
    <row r="51" spans="2:20" ht="23.1" customHeight="1" x14ac:dyDescent="0.25">
      <c r="B51" s="24" t="s">
        <v>78</v>
      </c>
      <c r="C51" s="49">
        <f>'Avg Week Nimule-Gulu'!C51+'Avg Week Gulu-Nimule'!C51</f>
        <v>2.2857142857142856</v>
      </c>
      <c r="D51" s="49">
        <f>'Avg Week Nimule-Gulu'!D51+'Avg Week Gulu-Nimule'!D51</f>
        <v>1.2857142857142856</v>
      </c>
      <c r="E51" s="49">
        <f>'Avg Week Nimule-Gulu'!E51+'Avg Week Gulu-Nimule'!E51</f>
        <v>2.2857142857142856</v>
      </c>
      <c r="F51" s="49">
        <f>'Avg Week Nimule-Gulu'!F51+'Avg Week Gulu-Nimule'!F51</f>
        <v>0</v>
      </c>
      <c r="G51" s="49">
        <f>'Avg Week Nimule-Gulu'!G51+'Avg Week Gulu-Nimule'!G51</f>
        <v>0</v>
      </c>
      <c r="H51" s="49">
        <f>'Avg Week Nimule-Gulu'!H51+'Avg Week Gulu-Nimule'!H51</f>
        <v>0.5714285714285714</v>
      </c>
      <c r="I51" s="49">
        <f>'Avg Week Nimule-Gulu'!I51+'Avg Week Gulu-Nimule'!I51</f>
        <v>0.5714285714285714</v>
      </c>
      <c r="J51" s="49">
        <f>'Avg Week Nimule-Gulu'!J51+'Avg Week Gulu-Nimule'!J51</f>
        <v>0.2857142857142857</v>
      </c>
      <c r="K51" s="49">
        <f>'Avg Week Nimule-Gulu'!K51+'Avg Week Gulu-Nimule'!K51</f>
        <v>0</v>
      </c>
      <c r="L51" s="49">
        <f>'Avg Week Nimule-Gulu'!L51+'Avg Week Gulu-Nimule'!L51</f>
        <v>2.1428571428571428</v>
      </c>
      <c r="M51" s="49">
        <f>'Avg Week Nimule-Gulu'!M51+'Avg Week Gulu-Nimule'!M51</f>
        <v>22.285714285714285</v>
      </c>
      <c r="N51" s="49">
        <f>'Avg Week Nimule-Gulu'!N51+'Avg Week Gulu-Nimule'!N51</f>
        <v>0</v>
      </c>
      <c r="O51" s="15">
        <f t="shared" si="0"/>
        <v>9.428571428571427</v>
      </c>
      <c r="P51" s="15">
        <f t="shared" si="1"/>
        <v>31.714285714285712</v>
      </c>
      <c r="R51" s="8"/>
      <c r="T51"/>
    </row>
    <row r="52" spans="2:20" ht="23.1" customHeight="1" x14ac:dyDescent="0.25">
      <c r="B52" s="24" t="s">
        <v>79</v>
      </c>
      <c r="C52" s="49">
        <f>'Avg Week Nimule-Gulu'!C52+'Avg Week Gulu-Nimule'!C52</f>
        <v>2.1428571428571428</v>
      </c>
      <c r="D52" s="49">
        <f>'Avg Week Nimule-Gulu'!D52+'Avg Week Gulu-Nimule'!D52</f>
        <v>0.42857142857142855</v>
      </c>
      <c r="E52" s="49">
        <f>'Avg Week Nimule-Gulu'!E52+'Avg Week Gulu-Nimule'!E52</f>
        <v>1.4285714285714286</v>
      </c>
      <c r="F52" s="49">
        <f>'Avg Week Nimule-Gulu'!F52+'Avg Week Gulu-Nimule'!F52</f>
        <v>0</v>
      </c>
      <c r="G52" s="49">
        <f>'Avg Week Nimule-Gulu'!G52+'Avg Week Gulu-Nimule'!G52</f>
        <v>0</v>
      </c>
      <c r="H52" s="49">
        <f>'Avg Week Nimule-Gulu'!H52+'Avg Week Gulu-Nimule'!H52</f>
        <v>0.14285714285714285</v>
      </c>
      <c r="I52" s="49">
        <f>'Avg Week Nimule-Gulu'!I52+'Avg Week Gulu-Nimule'!I52</f>
        <v>0.5714285714285714</v>
      </c>
      <c r="J52" s="49">
        <f>'Avg Week Nimule-Gulu'!J52+'Avg Week Gulu-Nimule'!J52</f>
        <v>0</v>
      </c>
      <c r="K52" s="49">
        <f>'Avg Week Nimule-Gulu'!K52+'Avg Week Gulu-Nimule'!K52</f>
        <v>0</v>
      </c>
      <c r="L52" s="49">
        <f>'Avg Week Nimule-Gulu'!L52+'Avg Week Gulu-Nimule'!L52</f>
        <v>2</v>
      </c>
      <c r="M52" s="49">
        <f>'Avg Week Nimule-Gulu'!M52+'Avg Week Gulu-Nimule'!M52</f>
        <v>15.142857142857142</v>
      </c>
      <c r="N52" s="49">
        <f>'Avg Week Nimule-Gulu'!N52+'Avg Week Gulu-Nimule'!N52</f>
        <v>0</v>
      </c>
      <c r="O52" s="15">
        <f t="shared" si="0"/>
        <v>6.7142857142857144</v>
      </c>
      <c r="P52" s="15">
        <f t="shared" si="1"/>
        <v>21.857142857142858</v>
      </c>
      <c r="R52" s="8"/>
      <c r="T52"/>
    </row>
    <row r="53" spans="2:20" ht="23.1" customHeight="1" x14ac:dyDescent="0.25">
      <c r="B53" s="23" t="s">
        <v>80</v>
      </c>
      <c r="C53" s="49">
        <f>'Avg Week Nimule-Gulu'!C53+'Avg Week Gulu-Nimule'!C53</f>
        <v>2.4285714285714284</v>
      </c>
      <c r="D53" s="49">
        <f>'Avg Week Nimule-Gulu'!D53+'Avg Week Gulu-Nimule'!D53</f>
        <v>0.8571428571428571</v>
      </c>
      <c r="E53" s="49">
        <f>'Avg Week Nimule-Gulu'!E53+'Avg Week Gulu-Nimule'!E53</f>
        <v>1.2857142857142856</v>
      </c>
      <c r="F53" s="49">
        <f>'Avg Week Nimule-Gulu'!F53+'Avg Week Gulu-Nimule'!F53</f>
        <v>0</v>
      </c>
      <c r="G53" s="49">
        <f>'Avg Week Nimule-Gulu'!G53+'Avg Week Gulu-Nimule'!G53</f>
        <v>0</v>
      </c>
      <c r="H53" s="49">
        <f>'Avg Week Nimule-Gulu'!H53+'Avg Week Gulu-Nimule'!H53</f>
        <v>0</v>
      </c>
      <c r="I53" s="49">
        <f>'Avg Week Nimule-Gulu'!I53+'Avg Week Gulu-Nimule'!I53</f>
        <v>0.8571428571428571</v>
      </c>
      <c r="J53" s="49">
        <f>'Avg Week Nimule-Gulu'!J53+'Avg Week Gulu-Nimule'!J53</f>
        <v>0</v>
      </c>
      <c r="K53" s="49">
        <f>'Avg Week Nimule-Gulu'!K53+'Avg Week Gulu-Nimule'!K53</f>
        <v>0</v>
      </c>
      <c r="L53" s="49">
        <f>'Avg Week Nimule-Gulu'!L53+'Avg Week Gulu-Nimule'!L53</f>
        <v>2</v>
      </c>
      <c r="M53" s="49">
        <f>'Avg Week Nimule-Gulu'!M53+'Avg Week Gulu-Nimule'!M53</f>
        <v>13.428571428571429</v>
      </c>
      <c r="N53" s="49">
        <f>'Avg Week Nimule-Gulu'!N53+'Avg Week Gulu-Nimule'!N53</f>
        <v>0</v>
      </c>
      <c r="O53" s="15">
        <f t="shared" si="0"/>
        <v>7.4285714285714279</v>
      </c>
      <c r="P53" s="15">
        <f t="shared" si="1"/>
        <v>20.857142857142858</v>
      </c>
      <c r="R53" s="8"/>
      <c r="T53"/>
    </row>
    <row r="54" spans="2:20" ht="23.1" customHeight="1" x14ac:dyDescent="0.25">
      <c r="B54" s="23" t="s">
        <v>81</v>
      </c>
      <c r="C54" s="49">
        <f>'Avg Week Nimule-Gulu'!C54+'Avg Week Gulu-Nimule'!C54</f>
        <v>2.2857142857142856</v>
      </c>
      <c r="D54" s="49">
        <f>'Avg Week Nimule-Gulu'!D54+'Avg Week Gulu-Nimule'!D54</f>
        <v>0.42857142857142855</v>
      </c>
      <c r="E54" s="49">
        <f>'Avg Week Nimule-Gulu'!E54+'Avg Week Gulu-Nimule'!E54</f>
        <v>2.2857142857142856</v>
      </c>
      <c r="F54" s="49">
        <f>'Avg Week Nimule-Gulu'!F54+'Avg Week Gulu-Nimule'!F54</f>
        <v>0.5714285714285714</v>
      </c>
      <c r="G54" s="49">
        <f>'Avg Week Nimule-Gulu'!G54+'Avg Week Gulu-Nimule'!G54</f>
        <v>0</v>
      </c>
      <c r="H54" s="49">
        <f>'Avg Week Nimule-Gulu'!H54+'Avg Week Gulu-Nimule'!H54</f>
        <v>0.5714285714285714</v>
      </c>
      <c r="I54" s="49">
        <f>'Avg Week Nimule-Gulu'!I54+'Avg Week Gulu-Nimule'!I54</f>
        <v>1.7142857142857142</v>
      </c>
      <c r="J54" s="49">
        <f>'Avg Week Nimule-Gulu'!J54+'Avg Week Gulu-Nimule'!J54</f>
        <v>0</v>
      </c>
      <c r="K54" s="49">
        <f>'Avg Week Nimule-Gulu'!K54+'Avg Week Gulu-Nimule'!K54</f>
        <v>0.14285714285714285</v>
      </c>
      <c r="L54" s="49">
        <f>'Avg Week Nimule-Gulu'!L54+'Avg Week Gulu-Nimule'!L54</f>
        <v>2.7142857142857144</v>
      </c>
      <c r="M54" s="49">
        <f>'Avg Week Nimule-Gulu'!M54+'Avg Week Gulu-Nimule'!M54</f>
        <v>13.571428571428573</v>
      </c>
      <c r="N54" s="49">
        <f>'Avg Week Nimule-Gulu'!N54+'Avg Week Gulu-Nimule'!N54</f>
        <v>0</v>
      </c>
      <c r="O54" s="15">
        <f t="shared" si="0"/>
        <v>10.714285714285715</v>
      </c>
      <c r="P54" s="15">
        <f t="shared" si="1"/>
        <v>24.285714285714288</v>
      </c>
      <c r="R54" s="8"/>
      <c r="T54"/>
    </row>
    <row r="55" spans="2:20" ht="23.1" customHeight="1" x14ac:dyDescent="0.25">
      <c r="B55" s="23" t="s">
        <v>82</v>
      </c>
      <c r="C55" s="49">
        <f>'Avg Week Nimule-Gulu'!C55+'Avg Week Gulu-Nimule'!C55</f>
        <v>0.71428571428571419</v>
      </c>
      <c r="D55" s="49">
        <f>'Avg Week Nimule-Gulu'!D55+'Avg Week Gulu-Nimule'!D55</f>
        <v>1.1428571428571428</v>
      </c>
      <c r="E55" s="49">
        <f>'Avg Week Nimule-Gulu'!E55+'Avg Week Gulu-Nimule'!E55</f>
        <v>1.5714285714285716</v>
      </c>
      <c r="F55" s="49">
        <f>'Avg Week Nimule-Gulu'!F55+'Avg Week Gulu-Nimule'!F55</f>
        <v>0</v>
      </c>
      <c r="G55" s="49">
        <f>'Avg Week Nimule-Gulu'!G55+'Avg Week Gulu-Nimule'!G55</f>
        <v>0.14285714285714285</v>
      </c>
      <c r="H55" s="49">
        <f>'Avg Week Nimule-Gulu'!H55+'Avg Week Gulu-Nimule'!H55</f>
        <v>0.42857142857142855</v>
      </c>
      <c r="I55" s="49">
        <f>'Avg Week Nimule-Gulu'!I55+'Avg Week Gulu-Nimule'!I55</f>
        <v>1</v>
      </c>
      <c r="J55" s="49">
        <f>'Avg Week Nimule-Gulu'!J55+'Avg Week Gulu-Nimule'!J55</f>
        <v>0.42857142857142855</v>
      </c>
      <c r="K55" s="49">
        <f>'Avg Week Nimule-Gulu'!K55+'Avg Week Gulu-Nimule'!K55</f>
        <v>0.14285714285714285</v>
      </c>
      <c r="L55" s="49">
        <f>'Avg Week Nimule-Gulu'!L55+'Avg Week Gulu-Nimule'!L55</f>
        <v>3</v>
      </c>
      <c r="M55" s="49">
        <f>'Avg Week Nimule-Gulu'!M55+'Avg Week Gulu-Nimule'!M55</f>
        <v>17.142857142857142</v>
      </c>
      <c r="N55" s="49">
        <f>'Avg Week Nimule-Gulu'!N55+'Avg Week Gulu-Nimule'!N55</f>
        <v>0</v>
      </c>
      <c r="O55" s="15">
        <f t="shared" si="0"/>
        <v>8.571428571428573</v>
      </c>
      <c r="P55" s="15">
        <f t="shared" si="1"/>
        <v>25.714285714285715</v>
      </c>
      <c r="R55" s="8"/>
      <c r="T55"/>
    </row>
    <row r="56" spans="2:20" ht="23.1" customHeight="1" x14ac:dyDescent="0.25">
      <c r="B56" s="23" t="s">
        <v>83</v>
      </c>
      <c r="C56" s="49">
        <f>'Avg Week Nimule-Gulu'!C56+'Avg Week Gulu-Nimule'!C56</f>
        <v>1.5714285714285714</v>
      </c>
      <c r="D56" s="49">
        <f>'Avg Week Nimule-Gulu'!D56+'Avg Week Gulu-Nimule'!D56</f>
        <v>0.2857142857142857</v>
      </c>
      <c r="E56" s="49">
        <f>'Avg Week Nimule-Gulu'!E56+'Avg Week Gulu-Nimule'!E56</f>
        <v>1.4285714285714286</v>
      </c>
      <c r="F56" s="49">
        <f>'Avg Week Nimule-Gulu'!F56+'Avg Week Gulu-Nimule'!F56</f>
        <v>0.5714285714285714</v>
      </c>
      <c r="G56" s="49">
        <f>'Avg Week Nimule-Gulu'!G56+'Avg Week Gulu-Nimule'!G56</f>
        <v>0</v>
      </c>
      <c r="H56" s="49">
        <f>'Avg Week Nimule-Gulu'!H56+'Avg Week Gulu-Nimule'!H56</f>
        <v>0.2857142857142857</v>
      </c>
      <c r="I56" s="49">
        <f>'Avg Week Nimule-Gulu'!I56+'Avg Week Gulu-Nimule'!I56</f>
        <v>1.2857142857142856</v>
      </c>
      <c r="J56" s="49">
        <f>'Avg Week Nimule-Gulu'!J56+'Avg Week Gulu-Nimule'!J56</f>
        <v>0.16666666666666666</v>
      </c>
      <c r="K56" s="49">
        <f>'Avg Week Nimule-Gulu'!K56+'Avg Week Gulu-Nimule'!K56</f>
        <v>0.42857142857142855</v>
      </c>
      <c r="L56" s="49">
        <f>'Avg Week Nimule-Gulu'!L56+'Avg Week Gulu-Nimule'!L56</f>
        <v>3</v>
      </c>
      <c r="M56" s="49">
        <f>'Avg Week Nimule-Gulu'!M56+'Avg Week Gulu-Nimule'!M56</f>
        <v>14</v>
      </c>
      <c r="N56" s="49">
        <f>'Avg Week Nimule-Gulu'!N56+'Avg Week Gulu-Nimule'!N56</f>
        <v>0</v>
      </c>
      <c r="O56" s="15">
        <f t="shared" si="0"/>
        <v>9.0238095238095237</v>
      </c>
      <c r="P56" s="15">
        <f t="shared" si="1"/>
        <v>23.023809523809526</v>
      </c>
      <c r="R56" s="8"/>
      <c r="T56"/>
    </row>
    <row r="57" spans="2:20" ht="23.1" customHeight="1" x14ac:dyDescent="0.25">
      <c r="B57" s="23" t="s">
        <v>84</v>
      </c>
      <c r="C57" s="49">
        <f>'Avg Week Nimule-Gulu'!C57+'Avg Week Gulu-Nimule'!C57</f>
        <v>2</v>
      </c>
      <c r="D57" s="49">
        <f>'Avg Week Nimule-Gulu'!D57+'Avg Week Gulu-Nimule'!D57</f>
        <v>0.14285714285714285</v>
      </c>
      <c r="E57" s="49">
        <f>'Avg Week Nimule-Gulu'!E57+'Avg Week Gulu-Nimule'!E57</f>
        <v>0.85714285714285721</v>
      </c>
      <c r="F57" s="49">
        <f>'Avg Week Nimule-Gulu'!F57+'Avg Week Gulu-Nimule'!F57</f>
        <v>0.14285714285714285</v>
      </c>
      <c r="G57" s="49">
        <f>'Avg Week Nimule-Gulu'!G57+'Avg Week Gulu-Nimule'!G57</f>
        <v>0</v>
      </c>
      <c r="H57" s="49">
        <f>'Avg Week Nimule-Gulu'!H57+'Avg Week Gulu-Nimule'!H57</f>
        <v>0.2857142857142857</v>
      </c>
      <c r="I57" s="49">
        <f>'Avg Week Nimule-Gulu'!I57+'Avg Week Gulu-Nimule'!I57</f>
        <v>0.85714285714285721</v>
      </c>
      <c r="J57" s="49">
        <f>'Avg Week Nimule-Gulu'!J57+'Avg Week Gulu-Nimule'!J57</f>
        <v>0.71428571428571419</v>
      </c>
      <c r="K57" s="49">
        <f>'Avg Week Nimule-Gulu'!K57+'Avg Week Gulu-Nimule'!K57</f>
        <v>0</v>
      </c>
      <c r="L57" s="49">
        <f>'Avg Week Nimule-Gulu'!L57+'Avg Week Gulu-Nimule'!L57</f>
        <v>3.4285714285714288</v>
      </c>
      <c r="M57" s="49">
        <f>'Avg Week Nimule-Gulu'!M57+'Avg Week Gulu-Nimule'!M57</f>
        <v>9.7142857142857153</v>
      </c>
      <c r="N57" s="49">
        <f>'Avg Week Nimule-Gulu'!N57+'Avg Week Gulu-Nimule'!N57</f>
        <v>0</v>
      </c>
      <c r="O57" s="15">
        <f t="shared" si="0"/>
        <v>8.4285714285714288</v>
      </c>
      <c r="P57" s="15">
        <f t="shared" si="1"/>
        <v>18.142857142857146</v>
      </c>
      <c r="R57" s="8"/>
      <c r="T57"/>
    </row>
    <row r="58" spans="2:20" ht="23.1" customHeight="1" x14ac:dyDescent="0.25">
      <c r="B58" s="23" t="s">
        <v>99</v>
      </c>
      <c r="C58" s="49">
        <f>'Avg Week Nimule-Gulu'!C58+'Avg Week Gulu-Nimule'!C58</f>
        <v>2</v>
      </c>
      <c r="D58" s="49">
        <f>'Avg Week Nimule-Gulu'!D58+'Avg Week Gulu-Nimule'!D58</f>
        <v>1</v>
      </c>
      <c r="E58" s="49">
        <f>'Avg Week Nimule-Gulu'!E58+'Avg Week Gulu-Nimule'!E58</f>
        <v>1.5</v>
      </c>
      <c r="F58" s="49">
        <f>'Avg Week Nimule-Gulu'!F58+'Avg Week Gulu-Nimule'!F58</f>
        <v>0</v>
      </c>
      <c r="G58" s="49">
        <f>'Avg Week Nimule-Gulu'!G58+'Avg Week Gulu-Nimule'!G58</f>
        <v>0</v>
      </c>
      <c r="H58" s="49">
        <f>'Avg Week Nimule-Gulu'!H58+'Avg Week Gulu-Nimule'!H58</f>
        <v>0.5</v>
      </c>
      <c r="I58" s="49">
        <f>'Avg Week Nimule-Gulu'!I58+'Avg Week Gulu-Nimule'!I58</f>
        <v>0.5</v>
      </c>
      <c r="J58" s="49">
        <f>'Avg Week Nimule-Gulu'!J58+'Avg Week Gulu-Nimule'!J58</f>
        <v>0.5</v>
      </c>
      <c r="K58" s="49">
        <f>'Avg Week Nimule-Gulu'!K58+'Avg Week Gulu-Nimule'!K58</f>
        <v>0</v>
      </c>
      <c r="L58" s="49">
        <f>'Avg Week Nimule-Gulu'!L58+'Avg Week Gulu-Nimule'!L58</f>
        <v>5</v>
      </c>
      <c r="M58" s="49">
        <f>'Avg Week Nimule-Gulu'!M58+'Avg Week Gulu-Nimule'!M58</f>
        <v>2</v>
      </c>
      <c r="N58" s="49">
        <f>'Avg Week Nimule-Gulu'!N58+'Avg Week Gulu-Nimule'!N58</f>
        <v>0</v>
      </c>
      <c r="O58" s="15">
        <f t="shared" si="0"/>
        <v>11</v>
      </c>
      <c r="P58" s="15">
        <f t="shared" si="1"/>
        <v>13</v>
      </c>
      <c r="R58" s="8"/>
      <c r="T58"/>
    </row>
    <row r="59" spans="2:20" ht="23.1" customHeight="1" x14ac:dyDescent="0.25">
      <c r="B59" s="23" t="s">
        <v>100</v>
      </c>
      <c r="C59" s="49">
        <f>'Avg Week Nimule-Gulu'!C59+'Avg Week Gulu-Nimule'!C59</f>
        <v>0.5</v>
      </c>
      <c r="D59" s="49">
        <f>'Avg Week Nimule-Gulu'!D59+'Avg Week Gulu-Nimule'!D59</f>
        <v>0.5</v>
      </c>
      <c r="E59" s="49">
        <f>'Avg Week Nimule-Gulu'!E59+'Avg Week Gulu-Nimule'!E59</f>
        <v>3</v>
      </c>
      <c r="F59" s="49">
        <f>'Avg Week Nimule-Gulu'!F59+'Avg Week Gulu-Nimule'!F59</f>
        <v>0</v>
      </c>
      <c r="G59" s="49">
        <f>'Avg Week Nimule-Gulu'!G59+'Avg Week Gulu-Nimule'!G59</f>
        <v>0</v>
      </c>
      <c r="H59" s="49">
        <f>'Avg Week Nimule-Gulu'!H59+'Avg Week Gulu-Nimule'!H59</f>
        <v>0</v>
      </c>
      <c r="I59" s="49">
        <f>'Avg Week Nimule-Gulu'!I59+'Avg Week Gulu-Nimule'!I59</f>
        <v>0.5</v>
      </c>
      <c r="J59" s="49">
        <f>'Avg Week Nimule-Gulu'!J59+'Avg Week Gulu-Nimule'!J59</f>
        <v>0</v>
      </c>
      <c r="K59" s="49">
        <f>'Avg Week Nimule-Gulu'!K59+'Avg Week Gulu-Nimule'!K59</f>
        <v>0</v>
      </c>
      <c r="L59" s="49">
        <f>'Avg Week Nimule-Gulu'!L59+'Avg Week Gulu-Nimule'!L59</f>
        <v>4</v>
      </c>
      <c r="M59" s="49">
        <f>'Avg Week Nimule-Gulu'!M59+'Avg Week Gulu-Nimule'!M59</f>
        <v>1</v>
      </c>
      <c r="N59" s="49">
        <f>'Avg Week Nimule-Gulu'!N59+'Avg Week Gulu-Nimule'!N59</f>
        <v>0</v>
      </c>
      <c r="O59" s="15">
        <f t="shared" si="0"/>
        <v>8.5</v>
      </c>
      <c r="P59" s="15">
        <f t="shared" si="1"/>
        <v>9.5</v>
      </c>
      <c r="R59" s="8"/>
      <c r="T59"/>
    </row>
    <row r="60" spans="2:20" ht="23.1" customHeight="1" x14ac:dyDescent="0.25">
      <c r="B60" s="23" t="s">
        <v>101</v>
      </c>
      <c r="C60" s="49">
        <f>'Avg Week Nimule-Gulu'!C60+'Avg Week Gulu-Nimule'!C60</f>
        <v>0.5</v>
      </c>
      <c r="D60" s="49">
        <f>'Avg Week Nimule-Gulu'!D60+'Avg Week Gulu-Nimule'!D60</f>
        <v>2</v>
      </c>
      <c r="E60" s="49">
        <f>'Avg Week Nimule-Gulu'!E60+'Avg Week Gulu-Nimule'!E60</f>
        <v>3.5</v>
      </c>
      <c r="F60" s="49">
        <f>'Avg Week Nimule-Gulu'!F60+'Avg Week Gulu-Nimule'!F60</f>
        <v>1</v>
      </c>
      <c r="G60" s="49">
        <f>'Avg Week Nimule-Gulu'!G60+'Avg Week Gulu-Nimule'!G60</f>
        <v>0</v>
      </c>
      <c r="H60" s="49">
        <f>'Avg Week Nimule-Gulu'!H60+'Avg Week Gulu-Nimule'!H60</f>
        <v>0</v>
      </c>
      <c r="I60" s="49">
        <f>'Avg Week Nimule-Gulu'!I60+'Avg Week Gulu-Nimule'!I60</f>
        <v>1</v>
      </c>
      <c r="J60" s="49">
        <f>'Avg Week Nimule-Gulu'!J60+'Avg Week Gulu-Nimule'!J60</f>
        <v>0.5</v>
      </c>
      <c r="K60" s="49">
        <f>'Avg Week Nimule-Gulu'!K60+'Avg Week Gulu-Nimule'!K60</f>
        <v>0</v>
      </c>
      <c r="L60" s="49">
        <f>'Avg Week Nimule-Gulu'!L60+'Avg Week Gulu-Nimule'!L60</f>
        <v>1.5</v>
      </c>
      <c r="M60" s="49">
        <f>'Avg Week Nimule-Gulu'!M60+'Avg Week Gulu-Nimule'!M60</f>
        <v>3</v>
      </c>
      <c r="N60" s="49">
        <f>'Avg Week Nimule-Gulu'!N60+'Avg Week Gulu-Nimule'!N60</f>
        <v>0</v>
      </c>
      <c r="O60" s="15">
        <f t="shared" si="0"/>
        <v>10</v>
      </c>
      <c r="P60" s="15">
        <f t="shared" si="1"/>
        <v>13</v>
      </c>
      <c r="R60" s="8"/>
      <c r="T60"/>
    </row>
    <row r="61" spans="2:20" ht="23.1" customHeight="1" x14ac:dyDescent="0.25">
      <c r="B61" s="23" t="s">
        <v>102</v>
      </c>
      <c r="C61" s="49">
        <f>'Avg Week Nimule-Gulu'!C61+'Avg Week Gulu-Nimule'!C61</f>
        <v>1</v>
      </c>
      <c r="D61" s="49">
        <f>'Avg Week Nimule-Gulu'!D61+'Avg Week Gulu-Nimule'!D61</f>
        <v>0.5</v>
      </c>
      <c r="E61" s="49">
        <f>'Avg Week Nimule-Gulu'!E61+'Avg Week Gulu-Nimule'!E61</f>
        <v>1.5</v>
      </c>
      <c r="F61" s="49">
        <f>'Avg Week Nimule-Gulu'!F61+'Avg Week Gulu-Nimule'!F61</f>
        <v>0.5</v>
      </c>
      <c r="G61" s="49">
        <f>'Avg Week Nimule-Gulu'!G61+'Avg Week Gulu-Nimule'!G61</f>
        <v>0</v>
      </c>
      <c r="H61" s="49">
        <f>'Avg Week Nimule-Gulu'!H61+'Avg Week Gulu-Nimule'!H61</f>
        <v>0</v>
      </c>
      <c r="I61" s="49">
        <f>'Avg Week Nimule-Gulu'!I61+'Avg Week Gulu-Nimule'!I61</f>
        <v>0.5</v>
      </c>
      <c r="J61" s="49">
        <f>'Avg Week Nimule-Gulu'!J61+'Avg Week Gulu-Nimule'!J61</f>
        <v>0.5</v>
      </c>
      <c r="K61" s="49">
        <f>'Avg Week Nimule-Gulu'!K61+'Avg Week Gulu-Nimule'!K61</f>
        <v>0</v>
      </c>
      <c r="L61" s="49">
        <f>'Avg Week Nimule-Gulu'!L61+'Avg Week Gulu-Nimule'!L61</f>
        <v>2.5</v>
      </c>
      <c r="M61" s="49">
        <f>'Avg Week Nimule-Gulu'!M61+'Avg Week Gulu-Nimule'!M61</f>
        <v>1</v>
      </c>
      <c r="N61" s="49">
        <f>'Avg Week Nimule-Gulu'!N61+'Avg Week Gulu-Nimule'!N61</f>
        <v>0</v>
      </c>
      <c r="O61" s="15">
        <f t="shared" si="0"/>
        <v>7</v>
      </c>
      <c r="P61" s="15">
        <f t="shared" si="1"/>
        <v>8</v>
      </c>
      <c r="R61" s="8"/>
      <c r="T61"/>
    </row>
    <row r="62" spans="2:20" ht="23.1" customHeight="1" x14ac:dyDescent="0.25">
      <c r="B62" s="23" t="s">
        <v>107</v>
      </c>
      <c r="C62" s="49">
        <f>'Avg Week Nimule-Gulu'!C62+'Avg Week Gulu-Nimule'!C62</f>
        <v>0</v>
      </c>
      <c r="D62" s="49">
        <f>'Avg Week Nimule-Gulu'!D62+'Avg Week Gulu-Nimule'!D62</f>
        <v>0</v>
      </c>
      <c r="E62" s="49">
        <f>'Avg Week Nimule-Gulu'!E62+'Avg Week Gulu-Nimule'!E62</f>
        <v>0</v>
      </c>
      <c r="F62" s="49">
        <f>'Avg Week Nimule-Gulu'!F62+'Avg Week Gulu-Nimule'!F62</f>
        <v>0</v>
      </c>
      <c r="G62" s="49">
        <f>'Avg Week Nimule-Gulu'!G62+'Avg Week Gulu-Nimule'!G62</f>
        <v>0</v>
      </c>
      <c r="H62" s="49">
        <f>'Avg Week Nimule-Gulu'!H62+'Avg Week Gulu-Nimule'!H62</f>
        <v>0</v>
      </c>
      <c r="I62" s="49">
        <f>'Avg Week Nimule-Gulu'!I62+'Avg Week Gulu-Nimule'!I62</f>
        <v>0</v>
      </c>
      <c r="J62" s="49">
        <f>'Avg Week Nimule-Gulu'!J62+'Avg Week Gulu-Nimule'!J62</f>
        <v>0</v>
      </c>
      <c r="K62" s="49">
        <f>'Avg Week Nimule-Gulu'!K62+'Avg Week Gulu-Nimule'!K62</f>
        <v>0</v>
      </c>
      <c r="L62" s="49">
        <f>'Avg Week Nimule-Gulu'!L62+'Avg Week Gulu-Nimule'!L62</f>
        <v>0</v>
      </c>
      <c r="M62" s="49">
        <f>'Avg Week Nimule-Gulu'!M62+'Avg Week Gulu-Nimule'!M62</f>
        <v>0</v>
      </c>
      <c r="N62" s="49">
        <f>'Avg Week Nimule-Gulu'!N62+'Avg Week Gulu-Nimule'!N62</f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23" t="s">
        <v>108</v>
      </c>
      <c r="C63" s="49">
        <f>'Avg Week Nimule-Gulu'!C63+'Avg Week Gulu-Nimule'!C63</f>
        <v>0</v>
      </c>
      <c r="D63" s="49">
        <f>'Avg Week Nimule-Gulu'!D63+'Avg Week Gulu-Nimule'!D63</f>
        <v>0</v>
      </c>
      <c r="E63" s="49">
        <f>'Avg Week Nimule-Gulu'!E63+'Avg Week Gulu-Nimule'!E63</f>
        <v>0</v>
      </c>
      <c r="F63" s="49">
        <f>'Avg Week Nimule-Gulu'!F63+'Avg Week Gulu-Nimule'!F63</f>
        <v>0</v>
      </c>
      <c r="G63" s="49">
        <f>'Avg Week Nimule-Gulu'!G63+'Avg Week Gulu-Nimule'!G63</f>
        <v>0</v>
      </c>
      <c r="H63" s="49">
        <f>'Avg Week Nimule-Gulu'!H63+'Avg Week Gulu-Nimule'!H63</f>
        <v>0</v>
      </c>
      <c r="I63" s="49">
        <f>'Avg Week Nimule-Gulu'!I63+'Avg Week Gulu-Nimule'!I63</f>
        <v>0</v>
      </c>
      <c r="J63" s="49">
        <f>'Avg Week Nimule-Gulu'!J63+'Avg Week Gulu-Nimule'!J63</f>
        <v>0</v>
      </c>
      <c r="K63" s="49">
        <f>'Avg Week Nimule-Gulu'!K63+'Avg Week Gulu-Nimule'!K63</f>
        <v>0</v>
      </c>
      <c r="L63" s="49">
        <f>'Avg Week Nimule-Gulu'!L63+'Avg Week Gulu-Nimule'!L63</f>
        <v>0</v>
      </c>
      <c r="M63" s="49">
        <f>'Avg Week Nimule-Gulu'!M63+'Avg Week Gulu-Nimule'!M63</f>
        <v>0</v>
      </c>
      <c r="N63" s="49">
        <f>'Avg Week Nimule-Gulu'!N63+'Avg Week Gulu-Nimule'!N63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3" t="s">
        <v>109</v>
      </c>
      <c r="C64" s="49">
        <f>'Avg Week Nimule-Gulu'!C64+'Avg Week Gulu-Nimule'!C64</f>
        <v>0</v>
      </c>
      <c r="D64" s="49">
        <f>'Avg Week Nimule-Gulu'!D64+'Avg Week Gulu-Nimule'!D64</f>
        <v>0</v>
      </c>
      <c r="E64" s="49">
        <f>'Avg Week Nimule-Gulu'!E64+'Avg Week Gulu-Nimule'!E64</f>
        <v>0</v>
      </c>
      <c r="F64" s="49">
        <f>'Avg Week Nimule-Gulu'!F64+'Avg Week Gulu-Nimule'!F64</f>
        <v>0</v>
      </c>
      <c r="G64" s="49">
        <f>'Avg Week Nimule-Gulu'!G64+'Avg Week Gulu-Nimule'!G64</f>
        <v>0</v>
      </c>
      <c r="H64" s="49">
        <f>'Avg Week Nimule-Gulu'!H64+'Avg Week Gulu-Nimule'!H64</f>
        <v>0</v>
      </c>
      <c r="I64" s="49">
        <f>'Avg Week Nimule-Gulu'!I64+'Avg Week Gulu-Nimule'!I64</f>
        <v>0</v>
      </c>
      <c r="J64" s="49">
        <f>'Avg Week Nimule-Gulu'!J64+'Avg Week Gulu-Nimule'!J64</f>
        <v>0</v>
      </c>
      <c r="K64" s="49">
        <f>'Avg Week Nimule-Gulu'!K64+'Avg Week Gulu-Nimule'!K64</f>
        <v>0</v>
      </c>
      <c r="L64" s="49">
        <f>'Avg Week Nimule-Gulu'!L64+'Avg Week Gulu-Nimule'!L64</f>
        <v>0</v>
      </c>
      <c r="M64" s="49">
        <f>'Avg Week Nimule-Gulu'!M64+'Avg Week Gulu-Nimule'!M64</f>
        <v>0</v>
      </c>
      <c r="N64" s="49">
        <f>'Avg Week Nimule-Gulu'!N64+'Avg Week Gulu-Nimule'!N64</f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23" t="s">
        <v>158</v>
      </c>
      <c r="C65" s="49">
        <f>'Avg Week Nimule-Gulu'!C65+'Avg Week Gulu-Nimule'!C65</f>
        <v>0</v>
      </c>
      <c r="D65" s="49">
        <f>'Avg Week Nimule-Gulu'!D65+'Avg Week Gulu-Nimule'!D65</f>
        <v>0</v>
      </c>
      <c r="E65" s="49">
        <f>'Avg Week Nimule-Gulu'!E65+'Avg Week Gulu-Nimule'!E65</f>
        <v>0</v>
      </c>
      <c r="F65" s="49">
        <f>'Avg Week Nimule-Gulu'!F65+'Avg Week Gulu-Nimule'!F65</f>
        <v>0</v>
      </c>
      <c r="G65" s="49">
        <f>'Avg Week Nimule-Gulu'!G65+'Avg Week Gulu-Nimule'!G65</f>
        <v>0</v>
      </c>
      <c r="H65" s="49">
        <f>'Avg Week Nimule-Gulu'!H65+'Avg Week Gulu-Nimule'!H65</f>
        <v>0</v>
      </c>
      <c r="I65" s="49">
        <f>'Avg Week Nimule-Gulu'!I65+'Avg Week Gulu-Nimule'!I65</f>
        <v>0</v>
      </c>
      <c r="J65" s="49">
        <f>'Avg Week Nimule-Gulu'!J65+'Avg Week Gulu-Nimule'!J65</f>
        <v>0</v>
      </c>
      <c r="K65" s="49">
        <f>'Avg Week Nimule-Gulu'!K65+'Avg Week Gulu-Nimule'!K65</f>
        <v>0</v>
      </c>
      <c r="L65" s="49">
        <f>'Avg Week Nimule-Gulu'!L65+'Avg Week Gulu-Nimule'!L65</f>
        <v>0</v>
      </c>
      <c r="M65" s="49">
        <f>'Avg Week Nimule-Gulu'!M65+'Avg Week Gulu-Nimule'!M65</f>
        <v>0</v>
      </c>
      <c r="N65" s="49">
        <f>'Avg Week Nimule-Gulu'!N65+'Avg Week Gulu-Nimule'!N65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3" t="s">
        <v>103</v>
      </c>
      <c r="C66" s="49">
        <f>'Avg Week Nimule-Gulu'!C66+'Avg Week Gulu-Nimule'!C66</f>
        <v>0</v>
      </c>
      <c r="D66" s="49">
        <f>'Avg Week Nimule-Gulu'!D66+'Avg Week Gulu-Nimule'!D66</f>
        <v>0</v>
      </c>
      <c r="E66" s="49">
        <f>'Avg Week Nimule-Gulu'!E66+'Avg Week Gulu-Nimule'!E66</f>
        <v>0</v>
      </c>
      <c r="F66" s="49">
        <f>'Avg Week Nimule-Gulu'!F66+'Avg Week Gulu-Nimule'!F66</f>
        <v>0</v>
      </c>
      <c r="G66" s="49">
        <f>'Avg Week Nimule-Gulu'!G66+'Avg Week Gulu-Nimule'!G66</f>
        <v>0</v>
      </c>
      <c r="H66" s="49">
        <f>'Avg Week Nimule-Gulu'!H66+'Avg Week Gulu-Nimule'!H66</f>
        <v>0</v>
      </c>
      <c r="I66" s="49">
        <f>'Avg Week Nimule-Gulu'!I66+'Avg Week Gulu-Nimule'!I66</f>
        <v>0</v>
      </c>
      <c r="J66" s="49">
        <f>'Avg Week Nimule-Gulu'!J66+'Avg Week Gulu-Nimule'!J66</f>
        <v>0</v>
      </c>
      <c r="K66" s="49">
        <f>'Avg Week Nimule-Gulu'!K66+'Avg Week Gulu-Nimule'!K66</f>
        <v>0</v>
      </c>
      <c r="L66" s="49">
        <f>'Avg Week Nimule-Gulu'!L66+'Avg Week Gulu-Nimule'!L66</f>
        <v>0</v>
      </c>
      <c r="M66" s="49">
        <f>'Avg Week Nimule-Gulu'!M66+'Avg Week Gulu-Nimule'!M66</f>
        <v>0</v>
      </c>
      <c r="N66" s="49">
        <f>'Avg Week Nimule-Gulu'!N66+'Avg Week Gulu-Nimule'!N66</f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23" t="s">
        <v>104</v>
      </c>
      <c r="C67" s="49">
        <f>'Avg Week Nimule-Gulu'!C67+'Avg Week Gulu-Nimule'!C67</f>
        <v>0</v>
      </c>
      <c r="D67" s="49">
        <f>'Avg Week Nimule-Gulu'!D67+'Avg Week Gulu-Nimule'!D67</f>
        <v>0</v>
      </c>
      <c r="E67" s="49">
        <f>'Avg Week Nimule-Gulu'!E67+'Avg Week Gulu-Nimule'!E67</f>
        <v>0</v>
      </c>
      <c r="F67" s="49">
        <f>'Avg Week Nimule-Gulu'!F67+'Avg Week Gulu-Nimule'!F67</f>
        <v>0</v>
      </c>
      <c r="G67" s="49">
        <f>'Avg Week Nimule-Gulu'!G67+'Avg Week Gulu-Nimule'!G67</f>
        <v>0</v>
      </c>
      <c r="H67" s="49">
        <f>'Avg Week Nimule-Gulu'!H67+'Avg Week Gulu-Nimule'!H67</f>
        <v>0</v>
      </c>
      <c r="I67" s="49">
        <f>'Avg Week Nimule-Gulu'!I67+'Avg Week Gulu-Nimule'!I67</f>
        <v>0</v>
      </c>
      <c r="J67" s="49">
        <f>'Avg Week Nimule-Gulu'!J67+'Avg Week Gulu-Nimule'!J67</f>
        <v>0</v>
      </c>
      <c r="K67" s="49">
        <f>'Avg Week Nimule-Gulu'!K67+'Avg Week Gulu-Nimule'!K67</f>
        <v>0</v>
      </c>
      <c r="L67" s="49">
        <f>'Avg Week Nimule-Gulu'!L67+'Avg Week Gulu-Nimule'!L67</f>
        <v>0</v>
      </c>
      <c r="M67" s="49">
        <f>'Avg Week Nimule-Gulu'!M67+'Avg Week Gulu-Nimule'!M67</f>
        <v>0</v>
      </c>
      <c r="N67" s="49">
        <f>'Avg Week Nimule-Gulu'!N67+'Avg Week Gulu-Nimule'!N67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3" t="s">
        <v>105</v>
      </c>
      <c r="C68" s="49">
        <f>'Avg Week Nimule-Gulu'!C68+'Avg Week Gulu-Nimule'!C68</f>
        <v>0</v>
      </c>
      <c r="D68" s="49">
        <f>'Avg Week Nimule-Gulu'!D68+'Avg Week Gulu-Nimule'!D68</f>
        <v>0</v>
      </c>
      <c r="E68" s="49">
        <f>'Avg Week Nimule-Gulu'!E68+'Avg Week Gulu-Nimule'!E68</f>
        <v>0</v>
      </c>
      <c r="F68" s="49">
        <f>'Avg Week Nimule-Gulu'!F68+'Avg Week Gulu-Nimule'!F68</f>
        <v>0</v>
      </c>
      <c r="G68" s="49">
        <f>'Avg Week Nimule-Gulu'!G68+'Avg Week Gulu-Nimule'!G68</f>
        <v>0</v>
      </c>
      <c r="H68" s="49">
        <f>'Avg Week Nimule-Gulu'!H68+'Avg Week Gulu-Nimule'!H68</f>
        <v>0</v>
      </c>
      <c r="I68" s="49">
        <f>'Avg Week Nimule-Gulu'!I68+'Avg Week Gulu-Nimule'!I68</f>
        <v>0</v>
      </c>
      <c r="J68" s="49">
        <f>'Avg Week Nimule-Gulu'!J68+'Avg Week Gulu-Nimule'!J68</f>
        <v>0</v>
      </c>
      <c r="K68" s="49">
        <f>'Avg Week Nimule-Gulu'!K68+'Avg Week Gulu-Nimule'!K68</f>
        <v>0</v>
      </c>
      <c r="L68" s="49">
        <f>'Avg Week Nimule-Gulu'!L68+'Avg Week Gulu-Nimule'!L68</f>
        <v>0</v>
      </c>
      <c r="M68" s="49">
        <f>'Avg Week Nimule-Gulu'!M68+'Avg Week Gulu-Nimule'!M68</f>
        <v>0</v>
      </c>
      <c r="N68" s="49">
        <f>'Avg Week Nimule-Gulu'!N68+'Avg Week Gulu-Nimule'!N68</f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23" t="s">
        <v>106</v>
      </c>
      <c r="C69" s="49">
        <f>'Avg Week Nimule-Gulu'!C69+'Avg Week Gulu-Nimule'!C69</f>
        <v>0</v>
      </c>
      <c r="D69" s="49">
        <f>'Avg Week Nimule-Gulu'!D69+'Avg Week Gulu-Nimule'!D69</f>
        <v>0</v>
      </c>
      <c r="E69" s="49">
        <f>'Avg Week Nimule-Gulu'!E69+'Avg Week Gulu-Nimule'!E69</f>
        <v>0</v>
      </c>
      <c r="F69" s="49">
        <f>'Avg Week Nimule-Gulu'!F69+'Avg Week Gulu-Nimule'!F69</f>
        <v>0</v>
      </c>
      <c r="G69" s="49">
        <f>'Avg Week Nimule-Gulu'!G69+'Avg Week Gulu-Nimule'!G69</f>
        <v>0</v>
      </c>
      <c r="H69" s="49">
        <f>'Avg Week Nimule-Gulu'!H69+'Avg Week Gulu-Nimule'!H69</f>
        <v>0</v>
      </c>
      <c r="I69" s="49">
        <f>'Avg Week Nimule-Gulu'!I69+'Avg Week Gulu-Nimule'!I69</f>
        <v>0</v>
      </c>
      <c r="J69" s="49">
        <f>'Avg Week Nimule-Gulu'!J69+'Avg Week Gulu-Nimule'!J69</f>
        <v>0</v>
      </c>
      <c r="K69" s="49">
        <f>'Avg Week Nimule-Gulu'!K69+'Avg Week Gulu-Nimule'!K69</f>
        <v>0</v>
      </c>
      <c r="L69" s="49">
        <f>'Avg Week Nimule-Gulu'!L69+'Avg Week Gulu-Nimule'!L69</f>
        <v>0</v>
      </c>
      <c r="M69" s="49">
        <f>'Avg Week Nimule-Gulu'!M69+'Avg Week Gulu-Nimule'!M69</f>
        <v>0</v>
      </c>
      <c r="N69" s="49">
        <f>'Avg Week Nimule-Gulu'!N69+'Avg Week Gulu-Nimule'!N69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3" t="s">
        <v>110</v>
      </c>
      <c r="C70" s="49">
        <f>'Avg Week Nimule-Gulu'!C70+'Avg Week Gulu-Nimule'!C70</f>
        <v>0</v>
      </c>
      <c r="D70" s="49">
        <f>'Avg Week Nimule-Gulu'!D70+'Avg Week Gulu-Nimule'!D70</f>
        <v>0</v>
      </c>
      <c r="E70" s="49">
        <f>'Avg Week Nimule-Gulu'!E70+'Avg Week Gulu-Nimule'!E70</f>
        <v>0</v>
      </c>
      <c r="F70" s="49">
        <f>'Avg Week Nimule-Gulu'!F70+'Avg Week Gulu-Nimule'!F70</f>
        <v>0</v>
      </c>
      <c r="G70" s="49">
        <f>'Avg Week Nimule-Gulu'!G70+'Avg Week Gulu-Nimule'!G70</f>
        <v>0</v>
      </c>
      <c r="H70" s="49">
        <f>'Avg Week Nimule-Gulu'!H70+'Avg Week Gulu-Nimule'!H70</f>
        <v>0</v>
      </c>
      <c r="I70" s="49">
        <f>'Avg Week Nimule-Gulu'!I70+'Avg Week Gulu-Nimule'!I70</f>
        <v>0</v>
      </c>
      <c r="J70" s="49">
        <f>'Avg Week Nimule-Gulu'!J70+'Avg Week Gulu-Nimule'!J70</f>
        <v>0</v>
      </c>
      <c r="K70" s="49">
        <f>'Avg Week Nimule-Gulu'!K70+'Avg Week Gulu-Nimule'!K70</f>
        <v>0</v>
      </c>
      <c r="L70" s="49">
        <f>'Avg Week Nimule-Gulu'!L70+'Avg Week Gulu-Nimule'!L70</f>
        <v>0</v>
      </c>
      <c r="M70" s="49">
        <f>'Avg Week Nimule-Gulu'!M70+'Avg Week Gulu-Nimule'!M70</f>
        <v>0</v>
      </c>
      <c r="N70" s="49">
        <f>'Avg Week Nimule-Gulu'!N70+'Avg Week Gulu-Nimule'!N70</f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23" t="s">
        <v>111</v>
      </c>
      <c r="C71" s="49">
        <f>'Avg Week Nimule-Gulu'!C71+'Avg Week Gulu-Nimule'!C71</f>
        <v>0</v>
      </c>
      <c r="D71" s="49">
        <f>'Avg Week Nimule-Gulu'!D71+'Avg Week Gulu-Nimule'!D71</f>
        <v>0</v>
      </c>
      <c r="E71" s="49">
        <f>'Avg Week Nimule-Gulu'!E71+'Avg Week Gulu-Nimule'!E71</f>
        <v>0</v>
      </c>
      <c r="F71" s="49">
        <f>'Avg Week Nimule-Gulu'!F71+'Avg Week Gulu-Nimule'!F71</f>
        <v>0</v>
      </c>
      <c r="G71" s="49">
        <f>'Avg Week Nimule-Gulu'!G71+'Avg Week Gulu-Nimule'!G71</f>
        <v>0</v>
      </c>
      <c r="H71" s="49">
        <f>'Avg Week Nimule-Gulu'!H71+'Avg Week Gulu-Nimule'!H71</f>
        <v>0</v>
      </c>
      <c r="I71" s="49">
        <f>'Avg Week Nimule-Gulu'!I71+'Avg Week Gulu-Nimule'!I71</f>
        <v>0</v>
      </c>
      <c r="J71" s="49">
        <f>'Avg Week Nimule-Gulu'!J71+'Avg Week Gulu-Nimule'!J71</f>
        <v>0</v>
      </c>
      <c r="K71" s="49">
        <f>'Avg Week Nimule-Gulu'!K71+'Avg Week Gulu-Nimule'!K71</f>
        <v>0</v>
      </c>
      <c r="L71" s="49">
        <f>'Avg Week Nimule-Gulu'!L71+'Avg Week Gulu-Nimule'!L71</f>
        <v>0</v>
      </c>
      <c r="M71" s="49">
        <f>'Avg Week Nimule-Gulu'!M71+'Avg Week Gulu-Nimule'!M71</f>
        <v>0</v>
      </c>
      <c r="N71" s="49">
        <f>'Avg Week Nimule-Gulu'!N71+'Avg Week Gulu-Nimule'!N71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3" t="s">
        <v>112</v>
      </c>
      <c r="C72" s="49">
        <f>'Avg Week Nimule-Gulu'!C72+'Avg Week Gulu-Nimule'!C72</f>
        <v>0</v>
      </c>
      <c r="D72" s="49">
        <f>'Avg Week Nimule-Gulu'!D72+'Avg Week Gulu-Nimule'!D72</f>
        <v>0</v>
      </c>
      <c r="E72" s="49">
        <f>'Avg Week Nimule-Gulu'!E72+'Avg Week Gulu-Nimule'!E72</f>
        <v>0</v>
      </c>
      <c r="F72" s="49">
        <f>'Avg Week Nimule-Gulu'!F72+'Avg Week Gulu-Nimule'!F72</f>
        <v>0</v>
      </c>
      <c r="G72" s="49">
        <f>'Avg Week Nimule-Gulu'!G72+'Avg Week Gulu-Nimule'!G72</f>
        <v>0</v>
      </c>
      <c r="H72" s="49">
        <f>'Avg Week Nimule-Gulu'!H72+'Avg Week Gulu-Nimule'!H72</f>
        <v>0</v>
      </c>
      <c r="I72" s="49">
        <f>'Avg Week Nimule-Gulu'!I72+'Avg Week Gulu-Nimule'!I72</f>
        <v>0</v>
      </c>
      <c r="J72" s="49">
        <f>'Avg Week Nimule-Gulu'!J72+'Avg Week Gulu-Nimule'!J72</f>
        <v>0</v>
      </c>
      <c r="K72" s="49">
        <f>'Avg Week Nimule-Gulu'!K72+'Avg Week Gulu-Nimule'!K72</f>
        <v>0</v>
      </c>
      <c r="L72" s="49">
        <f>'Avg Week Nimule-Gulu'!L72+'Avg Week Gulu-Nimule'!L72</f>
        <v>0</v>
      </c>
      <c r="M72" s="49">
        <f>'Avg Week Nimule-Gulu'!M72+'Avg Week Gulu-Nimule'!M72</f>
        <v>0</v>
      </c>
      <c r="N72" s="49">
        <f>'Avg Week Nimule-Gulu'!N72+'Avg Week Gulu-Nimule'!N72</f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23" t="s">
        <v>113</v>
      </c>
      <c r="C73" s="49">
        <f>'Avg Week Nimule-Gulu'!C73+'Avg Week Gulu-Nimule'!C73</f>
        <v>0</v>
      </c>
      <c r="D73" s="49">
        <f>'Avg Week Nimule-Gulu'!D73+'Avg Week Gulu-Nimule'!D73</f>
        <v>0</v>
      </c>
      <c r="E73" s="49">
        <f>'Avg Week Nimule-Gulu'!E73+'Avg Week Gulu-Nimule'!E73</f>
        <v>0</v>
      </c>
      <c r="F73" s="49">
        <f>'Avg Week Nimule-Gulu'!F73+'Avg Week Gulu-Nimule'!F73</f>
        <v>0</v>
      </c>
      <c r="G73" s="49">
        <f>'Avg Week Nimule-Gulu'!G73+'Avg Week Gulu-Nimule'!G73</f>
        <v>0</v>
      </c>
      <c r="H73" s="49">
        <f>'Avg Week Nimule-Gulu'!H73+'Avg Week Gulu-Nimule'!H73</f>
        <v>0</v>
      </c>
      <c r="I73" s="49">
        <f>'Avg Week Nimule-Gulu'!I73+'Avg Week Gulu-Nimule'!I73</f>
        <v>0</v>
      </c>
      <c r="J73" s="49">
        <f>'Avg Week Nimule-Gulu'!J73+'Avg Week Gulu-Nimule'!J73</f>
        <v>0</v>
      </c>
      <c r="K73" s="49">
        <f>'Avg Week Nimule-Gulu'!K73+'Avg Week Gulu-Nimule'!K73</f>
        <v>0</v>
      </c>
      <c r="L73" s="49">
        <f>'Avg Week Nimule-Gulu'!L73+'Avg Week Gulu-Nimule'!L73</f>
        <v>0</v>
      </c>
      <c r="M73" s="49">
        <f>'Avg Week Nimule-Gulu'!M73+'Avg Week Gulu-Nimule'!M73</f>
        <v>0</v>
      </c>
      <c r="N73" s="49">
        <f>'Avg Week Nimule-Gulu'!N73+'Avg Week Gulu-Nimule'!N73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'Avg Week Nimule-Gulu'!C74+'Avg Week Gulu-Nimule'!C74</f>
        <v>0</v>
      </c>
      <c r="D74" s="49">
        <f>'Avg Week Nimule-Gulu'!D74+'Avg Week Gulu-Nimule'!D74</f>
        <v>0</v>
      </c>
      <c r="E74" s="49">
        <f>'Avg Week Nimule-Gulu'!E74+'Avg Week Gulu-Nimule'!E74</f>
        <v>0</v>
      </c>
      <c r="F74" s="49">
        <f>'Avg Week Nimule-Gulu'!F74+'Avg Week Gulu-Nimule'!F74</f>
        <v>0</v>
      </c>
      <c r="G74" s="49">
        <f>'Avg Week Nimule-Gulu'!G74+'Avg Week Gulu-Nimule'!G74</f>
        <v>0</v>
      </c>
      <c r="H74" s="49">
        <f>'Avg Week Nimule-Gulu'!H74+'Avg Week Gulu-Nimule'!H74</f>
        <v>0</v>
      </c>
      <c r="I74" s="49">
        <f>'Avg Week Nimule-Gulu'!I74+'Avg Week Gulu-Nimule'!I74</f>
        <v>0</v>
      </c>
      <c r="J74" s="49">
        <f>'Avg Week Nimule-Gulu'!J74+'Avg Week Gulu-Nimule'!J74</f>
        <v>0</v>
      </c>
      <c r="K74" s="49">
        <f>'Avg Week Nimule-Gulu'!K74+'Avg Week Gulu-Nimule'!K74</f>
        <v>0</v>
      </c>
      <c r="L74" s="49">
        <f>'Avg Week Nimule-Gulu'!L74+'Avg Week Gulu-Nimule'!L74</f>
        <v>0</v>
      </c>
      <c r="M74" s="49">
        <f>'Avg Week Nimule-Gulu'!M74+'Avg Week Gulu-Nimule'!M74</f>
        <v>0</v>
      </c>
      <c r="N74" s="49">
        <f>'Avg Week Nimule-Gulu'!N74+'Avg Week Gulu-Nimule'!N74</f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23" t="s">
        <v>115</v>
      </c>
      <c r="C75" s="49">
        <f>'Avg Week Nimule-Gulu'!C75+'Avg Week Gulu-Nimule'!C75</f>
        <v>0</v>
      </c>
      <c r="D75" s="49">
        <f>'Avg Week Nimule-Gulu'!D75+'Avg Week Gulu-Nimule'!D75</f>
        <v>0</v>
      </c>
      <c r="E75" s="49">
        <f>'Avg Week Nimule-Gulu'!E75+'Avg Week Gulu-Nimule'!E75</f>
        <v>0</v>
      </c>
      <c r="F75" s="49">
        <f>'Avg Week Nimule-Gulu'!F75+'Avg Week Gulu-Nimule'!F75</f>
        <v>0</v>
      </c>
      <c r="G75" s="49">
        <f>'Avg Week Nimule-Gulu'!G75+'Avg Week Gulu-Nimule'!G75</f>
        <v>0</v>
      </c>
      <c r="H75" s="49">
        <f>'Avg Week Nimule-Gulu'!H75+'Avg Week Gulu-Nimule'!H75</f>
        <v>0</v>
      </c>
      <c r="I75" s="49">
        <f>'Avg Week Nimule-Gulu'!I75+'Avg Week Gulu-Nimule'!I75</f>
        <v>0</v>
      </c>
      <c r="J75" s="49">
        <f>'Avg Week Nimule-Gulu'!J75+'Avg Week Gulu-Nimule'!J75</f>
        <v>0</v>
      </c>
      <c r="K75" s="49">
        <f>'Avg Week Nimule-Gulu'!K75+'Avg Week Gulu-Nimule'!K75</f>
        <v>0</v>
      </c>
      <c r="L75" s="49">
        <f>'Avg Week Nimule-Gulu'!L75+'Avg Week Gulu-Nimule'!L75</f>
        <v>0</v>
      </c>
      <c r="M75" s="49">
        <f>'Avg Week Nimule-Gulu'!M75+'Avg Week Gulu-Nimule'!M75</f>
        <v>0</v>
      </c>
      <c r="N75" s="49">
        <f>'Avg Week Nimule-Gulu'!N75+'Avg Week Gulu-Nimule'!N75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3" t="s">
        <v>116</v>
      </c>
      <c r="C76" s="49">
        <f>'Avg Week Nimule-Gulu'!C76+'Avg Week Gulu-Nimule'!C76</f>
        <v>0</v>
      </c>
      <c r="D76" s="49">
        <f>'Avg Week Nimule-Gulu'!D76+'Avg Week Gulu-Nimule'!D76</f>
        <v>0</v>
      </c>
      <c r="E76" s="49">
        <f>'Avg Week Nimule-Gulu'!E76+'Avg Week Gulu-Nimule'!E76</f>
        <v>0</v>
      </c>
      <c r="F76" s="49">
        <f>'Avg Week Nimule-Gulu'!F76+'Avg Week Gulu-Nimule'!F76</f>
        <v>0</v>
      </c>
      <c r="G76" s="49">
        <f>'Avg Week Nimule-Gulu'!G76+'Avg Week Gulu-Nimule'!G76</f>
        <v>0</v>
      </c>
      <c r="H76" s="49">
        <f>'Avg Week Nimule-Gulu'!H76+'Avg Week Gulu-Nimule'!H76</f>
        <v>0</v>
      </c>
      <c r="I76" s="49">
        <f>'Avg Week Nimule-Gulu'!I76+'Avg Week Gulu-Nimule'!I76</f>
        <v>0</v>
      </c>
      <c r="J76" s="49">
        <f>'Avg Week Nimule-Gulu'!J76+'Avg Week Gulu-Nimule'!J76</f>
        <v>0</v>
      </c>
      <c r="K76" s="49">
        <f>'Avg Week Nimule-Gulu'!K76+'Avg Week Gulu-Nimule'!K76</f>
        <v>0</v>
      </c>
      <c r="L76" s="49">
        <f>'Avg Week Nimule-Gulu'!L76+'Avg Week Gulu-Nimule'!L76</f>
        <v>0</v>
      </c>
      <c r="M76" s="49">
        <f>'Avg Week Nimule-Gulu'!M76+'Avg Week Gulu-Nimule'!M76</f>
        <v>0</v>
      </c>
      <c r="N76" s="49">
        <f>'Avg Week Nimule-Gulu'!N76+'Avg Week Gulu-Nimule'!N76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'Avg Week Nimule-Gulu'!C77+'Avg Week Gulu-Nimule'!C77</f>
        <v>0</v>
      </c>
      <c r="D77" s="49">
        <f>'Avg Week Nimule-Gulu'!D77+'Avg Week Gulu-Nimule'!D77</f>
        <v>0</v>
      </c>
      <c r="E77" s="49">
        <f>'Avg Week Nimule-Gulu'!E77+'Avg Week Gulu-Nimule'!E77</f>
        <v>0</v>
      </c>
      <c r="F77" s="49">
        <f>'Avg Week Nimule-Gulu'!F77+'Avg Week Gulu-Nimule'!F77</f>
        <v>0</v>
      </c>
      <c r="G77" s="49">
        <f>'Avg Week Nimule-Gulu'!G77+'Avg Week Gulu-Nimule'!G77</f>
        <v>0</v>
      </c>
      <c r="H77" s="49">
        <f>'Avg Week Nimule-Gulu'!H77+'Avg Week Gulu-Nimule'!H77</f>
        <v>0</v>
      </c>
      <c r="I77" s="49">
        <f>'Avg Week Nimule-Gulu'!I77+'Avg Week Gulu-Nimule'!I77</f>
        <v>0</v>
      </c>
      <c r="J77" s="49">
        <f>'Avg Week Nimule-Gulu'!J77+'Avg Week Gulu-Nimule'!J77</f>
        <v>0</v>
      </c>
      <c r="K77" s="49">
        <f>'Avg Week Nimule-Gulu'!K77+'Avg Week Gulu-Nimule'!K77</f>
        <v>0</v>
      </c>
      <c r="L77" s="49">
        <f>'Avg Week Nimule-Gulu'!L77+'Avg Week Gulu-Nimule'!L77</f>
        <v>0</v>
      </c>
      <c r="M77" s="49">
        <f>'Avg Week Nimule-Gulu'!M77+'Avg Week Gulu-Nimule'!M77</f>
        <v>0</v>
      </c>
      <c r="N77" s="49">
        <f>'Avg Week Nimule-Gulu'!N77+'Avg Week Gulu-Nimule'!N77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'Avg Week Nimule-Gulu'!C78+'Avg Week Gulu-Nimule'!C78</f>
        <v>0</v>
      </c>
      <c r="D78" s="49">
        <f>'Avg Week Nimule-Gulu'!D78+'Avg Week Gulu-Nimule'!D78</f>
        <v>0</v>
      </c>
      <c r="E78" s="49">
        <f>'Avg Week Nimule-Gulu'!E78+'Avg Week Gulu-Nimule'!E78</f>
        <v>0</v>
      </c>
      <c r="F78" s="49">
        <f>'Avg Week Nimule-Gulu'!F78+'Avg Week Gulu-Nimule'!F78</f>
        <v>0</v>
      </c>
      <c r="G78" s="49">
        <f>'Avg Week Nimule-Gulu'!G78+'Avg Week Gulu-Nimule'!G78</f>
        <v>0</v>
      </c>
      <c r="H78" s="49">
        <f>'Avg Week Nimule-Gulu'!H78+'Avg Week Gulu-Nimule'!H78</f>
        <v>0</v>
      </c>
      <c r="I78" s="49">
        <f>'Avg Week Nimule-Gulu'!I78+'Avg Week Gulu-Nimule'!I78</f>
        <v>0</v>
      </c>
      <c r="J78" s="49">
        <f>'Avg Week Nimule-Gulu'!J78+'Avg Week Gulu-Nimule'!J78</f>
        <v>0</v>
      </c>
      <c r="K78" s="49">
        <f>'Avg Week Nimule-Gulu'!K78+'Avg Week Gulu-Nimule'!K78</f>
        <v>0</v>
      </c>
      <c r="L78" s="49">
        <f>'Avg Week Nimule-Gulu'!L78+'Avg Week Gulu-Nimule'!L78</f>
        <v>0</v>
      </c>
      <c r="M78" s="49">
        <f>'Avg Week Nimule-Gulu'!M78+'Avg Week Gulu-Nimule'!M78</f>
        <v>0</v>
      </c>
      <c r="N78" s="49">
        <f>'Avg Week Nimule-Gulu'!N78+'Avg Week Gulu-Nimule'!N78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'Avg Week Nimule-Gulu'!C79+'Avg Week Gulu-Nimule'!C79</f>
        <v>0</v>
      </c>
      <c r="D79" s="49">
        <f>'Avg Week Nimule-Gulu'!D79+'Avg Week Gulu-Nimule'!D79</f>
        <v>0</v>
      </c>
      <c r="E79" s="49">
        <f>'Avg Week Nimule-Gulu'!E79+'Avg Week Gulu-Nimule'!E79</f>
        <v>0</v>
      </c>
      <c r="F79" s="49">
        <f>'Avg Week Nimule-Gulu'!F79+'Avg Week Gulu-Nimule'!F79</f>
        <v>0</v>
      </c>
      <c r="G79" s="49">
        <f>'Avg Week Nimule-Gulu'!G79+'Avg Week Gulu-Nimule'!G79</f>
        <v>0</v>
      </c>
      <c r="H79" s="49">
        <f>'Avg Week Nimule-Gulu'!H79+'Avg Week Gulu-Nimule'!H79</f>
        <v>0</v>
      </c>
      <c r="I79" s="49">
        <f>'Avg Week Nimule-Gulu'!I79+'Avg Week Gulu-Nimule'!I79</f>
        <v>0</v>
      </c>
      <c r="J79" s="49">
        <f>'Avg Week Nimule-Gulu'!J79+'Avg Week Gulu-Nimule'!J79</f>
        <v>0</v>
      </c>
      <c r="K79" s="49">
        <f>'Avg Week Nimule-Gulu'!K79+'Avg Week Gulu-Nimule'!K79</f>
        <v>0</v>
      </c>
      <c r="L79" s="49">
        <f>'Avg Week Nimule-Gulu'!L79+'Avg Week Gulu-Nimule'!L79</f>
        <v>0</v>
      </c>
      <c r="M79" s="49">
        <f>'Avg Week Nimule-Gulu'!M79+'Avg Week Gulu-Nimule'!M79</f>
        <v>0</v>
      </c>
      <c r="N79" s="49">
        <f>'Avg Week Nimule-Gulu'!N79+'Avg Week Gulu-Nimule'!N79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'Avg Week Nimule-Gulu'!C80+'Avg Week Gulu-Nimule'!C80</f>
        <v>0</v>
      </c>
      <c r="D80" s="49">
        <f>'Avg Week Nimule-Gulu'!D80+'Avg Week Gulu-Nimule'!D80</f>
        <v>0</v>
      </c>
      <c r="E80" s="49">
        <f>'Avg Week Nimule-Gulu'!E80+'Avg Week Gulu-Nimule'!E80</f>
        <v>0</v>
      </c>
      <c r="F80" s="49">
        <f>'Avg Week Nimule-Gulu'!F80+'Avg Week Gulu-Nimule'!F80</f>
        <v>0</v>
      </c>
      <c r="G80" s="49">
        <f>'Avg Week Nimule-Gulu'!G80+'Avg Week Gulu-Nimule'!G80</f>
        <v>0</v>
      </c>
      <c r="H80" s="49">
        <f>'Avg Week Nimule-Gulu'!H80+'Avg Week Gulu-Nimule'!H80</f>
        <v>0</v>
      </c>
      <c r="I80" s="49">
        <f>'Avg Week Nimule-Gulu'!I80+'Avg Week Gulu-Nimule'!I80</f>
        <v>0</v>
      </c>
      <c r="J80" s="49">
        <f>'Avg Week Nimule-Gulu'!J80+'Avg Week Gulu-Nimule'!J80</f>
        <v>0</v>
      </c>
      <c r="K80" s="49">
        <f>'Avg Week Nimule-Gulu'!K80+'Avg Week Gulu-Nimule'!K80</f>
        <v>0</v>
      </c>
      <c r="L80" s="49">
        <f>'Avg Week Nimule-Gulu'!L80+'Avg Week Gulu-Nimule'!L80</f>
        <v>0</v>
      </c>
      <c r="M80" s="49">
        <f>'Avg Week Nimule-Gulu'!M80+'Avg Week Gulu-Nimule'!M80</f>
        <v>0</v>
      </c>
      <c r="N80" s="49">
        <f>'Avg Week Nimule-Gulu'!N80+'Avg Week Gulu-Nimule'!N80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'Avg Week Nimule-Gulu'!C81+'Avg Week Gulu-Nimule'!C81</f>
        <v>0</v>
      </c>
      <c r="D81" s="49">
        <f>'Avg Week Nimule-Gulu'!D81+'Avg Week Gulu-Nimule'!D81</f>
        <v>0</v>
      </c>
      <c r="E81" s="49">
        <f>'Avg Week Nimule-Gulu'!E81+'Avg Week Gulu-Nimule'!E81</f>
        <v>0</v>
      </c>
      <c r="F81" s="49">
        <f>'Avg Week Nimule-Gulu'!F81+'Avg Week Gulu-Nimule'!F81</f>
        <v>0</v>
      </c>
      <c r="G81" s="49">
        <f>'Avg Week Nimule-Gulu'!G81+'Avg Week Gulu-Nimule'!G81</f>
        <v>0</v>
      </c>
      <c r="H81" s="49">
        <f>'Avg Week Nimule-Gulu'!H81+'Avg Week Gulu-Nimule'!H81</f>
        <v>0</v>
      </c>
      <c r="I81" s="49">
        <f>'Avg Week Nimule-Gulu'!I81+'Avg Week Gulu-Nimule'!I81</f>
        <v>0</v>
      </c>
      <c r="J81" s="49">
        <f>'Avg Week Nimule-Gulu'!J81+'Avg Week Gulu-Nimule'!J81</f>
        <v>0</v>
      </c>
      <c r="K81" s="49">
        <f>'Avg Week Nimule-Gulu'!K81+'Avg Week Gulu-Nimule'!K81</f>
        <v>0</v>
      </c>
      <c r="L81" s="49">
        <f>'Avg Week Nimule-Gulu'!L81+'Avg Week Gulu-Nimule'!L81</f>
        <v>0</v>
      </c>
      <c r="M81" s="49">
        <f>'Avg Week Nimule-Gulu'!M81+'Avg Week Gulu-Nimule'!M81</f>
        <v>0</v>
      </c>
      <c r="N81" s="49">
        <f>'Avg Week Nimule-Gulu'!N81+'Avg Week Gulu-Nimule'!N81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'Avg Week Nimule-Gulu'!C82+'Avg Week Gulu-Nimule'!C82</f>
        <v>0</v>
      </c>
      <c r="D82" s="49">
        <f>'Avg Week Nimule-Gulu'!D82+'Avg Week Gulu-Nimule'!D82</f>
        <v>0</v>
      </c>
      <c r="E82" s="49">
        <f>'Avg Week Nimule-Gulu'!E82+'Avg Week Gulu-Nimule'!E82</f>
        <v>0</v>
      </c>
      <c r="F82" s="49">
        <f>'Avg Week Nimule-Gulu'!F82+'Avg Week Gulu-Nimule'!F82</f>
        <v>0</v>
      </c>
      <c r="G82" s="49">
        <f>'Avg Week Nimule-Gulu'!G82+'Avg Week Gulu-Nimule'!G82</f>
        <v>0</v>
      </c>
      <c r="H82" s="49">
        <f>'Avg Week Nimule-Gulu'!H82+'Avg Week Gulu-Nimule'!H82</f>
        <v>0</v>
      </c>
      <c r="I82" s="49">
        <f>'Avg Week Nimule-Gulu'!I82+'Avg Week Gulu-Nimule'!I82</f>
        <v>0</v>
      </c>
      <c r="J82" s="49">
        <f>'Avg Week Nimule-Gulu'!J82+'Avg Week Gulu-Nimule'!J82</f>
        <v>0</v>
      </c>
      <c r="K82" s="49">
        <f>'Avg Week Nimule-Gulu'!K82+'Avg Week Gulu-Nimule'!K82</f>
        <v>0</v>
      </c>
      <c r="L82" s="49">
        <f>'Avg Week Nimule-Gulu'!L82+'Avg Week Gulu-Nimule'!L82</f>
        <v>0</v>
      </c>
      <c r="M82" s="49">
        <f>'Avg Week Nimule-Gulu'!M82+'Avg Week Gulu-Nimule'!M82</f>
        <v>0</v>
      </c>
      <c r="N82" s="49">
        <f>'Avg Week Nimule-Gulu'!N82+'Avg Week Gulu-Nimule'!N82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'Avg Week Nimule-Gulu'!C83+'Avg Week Gulu-Nimule'!C83</f>
        <v>0</v>
      </c>
      <c r="D83" s="49">
        <f>'Avg Week Nimule-Gulu'!D83+'Avg Week Gulu-Nimule'!D83</f>
        <v>0</v>
      </c>
      <c r="E83" s="49">
        <f>'Avg Week Nimule-Gulu'!E83+'Avg Week Gulu-Nimule'!E83</f>
        <v>0</v>
      </c>
      <c r="F83" s="49">
        <f>'Avg Week Nimule-Gulu'!F83+'Avg Week Gulu-Nimule'!F83</f>
        <v>0</v>
      </c>
      <c r="G83" s="49">
        <f>'Avg Week Nimule-Gulu'!G83+'Avg Week Gulu-Nimule'!G83</f>
        <v>0</v>
      </c>
      <c r="H83" s="49">
        <f>'Avg Week Nimule-Gulu'!H83+'Avg Week Gulu-Nimule'!H83</f>
        <v>0</v>
      </c>
      <c r="I83" s="49">
        <f>'Avg Week Nimule-Gulu'!I83+'Avg Week Gulu-Nimule'!I83</f>
        <v>0</v>
      </c>
      <c r="J83" s="49">
        <f>'Avg Week Nimule-Gulu'!J83+'Avg Week Gulu-Nimule'!J83</f>
        <v>0</v>
      </c>
      <c r="K83" s="49">
        <f>'Avg Week Nimule-Gulu'!K83+'Avg Week Gulu-Nimule'!K83</f>
        <v>0</v>
      </c>
      <c r="L83" s="49">
        <f>'Avg Week Nimule-Gulu'!L83+'Avg Week Gulu-Nimule'!L83</f>
        <v>0</v>
      </c>
      <c r="M83" s="49">
        <f>'Avg Week Nimule-Gulu'!M83+'Avg Week Gulu-Nimule'!M83</f>
        <v>0</v>
      </c>
      <c r="N83" s="49">
        <f>'Avg Week Nimule-Gulu'!N83+'Avg Week Gulu-Nimule'!N83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'Avg Week Nimule-Gulu'!C84+'Avg Week Gulu-Nimule'!C84</f>
        <v>0</v>
      </c>
      <c r="D84" s="49">
        <f>'Avg Week Nimule-Gulu'!D84+'Avg Week Gulu-Nimule'!D84</f>
        <v>0</v>
      </c>
      <c r="E84" s="49">
        <f>'Avg Week Nimule-Gulu'!E84+'Avg Week Gulu-Nimule'!E84</f>
        <v>0</v>
      </c>
      <c r="F84" s="49">
        <f>'Avg Week Nimule-Gulu'!F84+'Avg Week Gulu-Nimule'!F84</f>
        <v>0</v>
      </c>
      <c r="G84" s="49">
        <f>'Avg Week Nimule-Gulu'!G84+'Avg Week Gulu-Nimule'!G84</f>
        <v>0</v>
      </c>
      <c r="H84" s="49">
        <f>'Avg Week Nimule-Gulu'!H84+'Avg Week Gulu-Nimule'!H84</f>
        <v>0</v>
      </c>
      <c r="I84" s="49">
        <f>'Avg Week Nimule-Gulu'!I84+'Avg Week Gulu-Nimule'!I84</f>
        <v>0</v>
      </c>
      <c r="J84" s="49">
        <f>'Avg Week Nimule-Gulu'!J84+'Avg Week Gulu-Nimule'!J84</f>
        <v>0</v>
      </c>
      <c r="K84" s="49">
        <f>'Avg Week Nimule-Gulu'!K84+'Avg Week Gulu-Nimule'!K84</f>
        <v>0</v>
      </c>
      <c r="L84" s="49">
        <f>'Avg Week Nimule-Gulu'!L84+'Avg Week Gulu-Nimule'!L84</f>
        <v>0</v>
      </c>
      <c r="M84" s="49">
        <f>'Avg Week Nimule-Gulu'!M84+'Avg Week Gulu-Nimule'!M84</f>
        <v>0</v>
      </c>
      <c r="N84" s="49">
        <f>'Avg Week Nimule-Gulu'!N84+'Avg Week Gulu-Nimule'!N84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'Avg Week Nimule-Gulu'!C85+'Avg Week Gulu-Nimule'!C85</f>
        <v>0</v>
      </c>
      <c r="D85" s="49">
        <f>'Avg Week Nimule-Gulu'!D85+'Avg Week Gulu-Nimule'!D85</f>
        <v>0</v>
      </c>
      <c r="E85" s="49">
        <f>'Avg Week Nimule-Gulu'!E85+'Avg Week Gulu-Nimule'!E85</f>
        <v>0</v>
      </c>
      <c r="F85" s="49">
        <f>'Avg Week Nimule-Gulu'!F85+'Avg Week Gulu-Nimule'!F85</f>
        <v>0</v>
      </c>
      <c r="G85" s="49">
        <f>'Avg Week Nimule-Gulu'!G85+'Avg Week Gulu-Nimule'!G85</f>
        <v>0</v>
      </c>
      <c r="H85" s="49">
        <f>'Avg Week Nimule-Gulu'!H85+'Avg Week Gulu-Nimule'!H85</f>
        <v>0</v>
      </c>
      <c r="I85" s="49">
        <f>'Avg Week Nimule-Gulu'!I85+'Avg Week Gulu-Nimule'!I85</f>
        <v>0</v>
      </c>
      <c r="J85" s="49">
        <f>'Avg Week Nimule-Gulu'!J85+'Avg Week Gulu-Nimule'!J85</f>
        <v>0</v>
      </c>
      <c r="K85" s="49">
        <f>'Avg Week Nimule-Gulu'!K85+'Avg Week Gulu-Nimule'!K85</f>
        <v>0</v>
      </c>
      <c r="L85" s="49">
        <f>'Avg Week Nimule-Gulu'!L85+'Avg Week Gulu-Nimule'!L85</f>
        <v>0</v>
      </c>
      <c r="M85" s="49">
        <f>'Avg Week Nimule-Gulu'!M85+'Avg Week Gulu-Nimule'!M85</f>
        <v>0</v>
      </c>
      <c r="N85" s="49">
        <f>'Avg Week Nimule-Gulu'!N85+'Avg Week Gulu-Nimule'!N85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'Avg Week Nimule-Gulu'!C86+'Avg Week Gulu-Nimule'!C86</f>
        <v>0</v>
      </c>
      <c r="D86" s="49">
        <f>'Avg Week Nimule-Gulu'!D86+'Avg Week Gulu-Nimule'!D86</f>
        <v>0</v>
      </c>
      <c r="E86" s="49">
        <f>'Avg Week Nimule-Gulu'!E86+'Avg Week Gulu-Nimule'!E86</f>
        <v>0</v>
      </c>
      <c r="F86" s="49">
        <f>'Avg Week Nimule-Gulu'!F86+'Avg Week Gulu-Nimule'!F86</f>
        <v>0</v>
      </c>
      <c r="G86" s="49">
        <f>'Avg Week Nimule-Gulu'!G86+'Avg Week Gulu-Nimule'!G86</f>
        <v>0</v>
      </c>
      <c r="H86" s="49">
        <f>'Avg Week Nimule-Gulu'!H86+'Avg Week Gulu-Nimule'!H86</f>
        <v>0</v>
      </c>
      <c r="I86" s="49">
        <f>'Avg Week Nimule-Gulu'!I86+'Avg Week Gulu-Nimule'!I86</f>
        <v>0</v>
      </c>
      <c r="J86" s="49">
        <f>'Avg Week Nimule-Gulu'!J86+'Avg Week Gulu-Nimule'!J86</f>
        <v>0</v>
      </c>
      <c r="K86" s="49">
        <f>'Avg Week Nimule-Gulu'!K86+'Avg Week Gulu-Nimule'!K86</f>
        <v>0</v>
      </c>
      <c r="L86" s="49">
        <f>'Avg Week Nimule-Gulu'!L86+'Avg Week Gulu-Nimule'!L86</f>
        <v>0</v>
      </c>
      <c r="M86" s="49">
        <f>'Avg Week Nimule-Gulu'!M86+'Avg Week Gulu-Nimule'!M86</f>
        <v>0</v>
      </c>
      <c r="N86" s="49">
        <f>'Avg Week Nimule-Gulu'!N86+'Avg Week Gulu-Nimule'!N86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Week Nimule-Gulu'!C87+'Avg Week Gulu-Nimule'!C87</f>
        <v>0</v>
      </c>
      <c r="D87" s="49">
        <f>'Avg Week Nimule-Gulu'!D87+'Avg Week Gulu-Nimule'!D87</f>
        <v>0</v>
      </c>
      <c r="E87" s="49">
        <f>'Avg Week Nimule-Gulu'!E87+'Avg Week Gulu-Nimule'!E87</f>
        <v>0</v>
      </c>
      <c r="F87" s="49">
        <f>'Avg Week Nimule-Gulu'!F87+'Avg Week Gulu-Nimule'!F87</f>
        <v>0</v>
      </c>
      <c r="G87" s="49">
        <f>'Avg Week Nimule-Gulu'!G87+'Avg Week Gulu-Nimule'!G87</f>
        <v>0</v>
      </c>
      <c r="H87" s="49">
        <f>'Avg Week Nimule-Gulu'!H87+'Avg Week Gulu-Nimule'!H87</f>
        <v>0</v>
      </c>
      <c r="I87" s="49">
        <f>'Avg Week Nimule-Gulu'!I87+'Avg Week Gulu-Nimule'!I87</f>
        <v>0</v>
      </c>
      <c r="J87" s="49">
        <f>'Avg Week Nimule-Gulu'!J87+'Avg Week Gulu-Nimule'!J87</f>
        <v>0</v>
      </c>
      <c r="K87" s="49">
        <f>'Avg Week Nimule-Gulu'!K87+'Avg Week Gulu-Nimule'!K87</f>
        <v>0</v>
      </c>
      <c r="L87" s="49">
        <f>'Avg Week Nimule-Gulu'!L87+'Avg Week Gulu-Nimule'!L87</f>
        <v>0</v>
      </c>
      <c r="M87" s="49">
        <f>'Avg Week Nimule-Gulu'!M87+'Avg Week Gulu-Nimule'!M87</f>
        <v>0</v>
      </c>
      <c r="N87" s="49">
        <f>'Avg Week Nimule-Gulu'!N87+'Avg Week Gulu-Nimule'!N87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Nimule-Gulu'!C88+'Avg Week Gulu-Nimule'!C88</f>
        <v>0</v>
      </c>
      <c r="D88" s="49">
        <f>'Avg Week Nimule-Gulu'!D88+'Avg Week Gulu-Nimule'!D88</f>
        <v>0</v>
      </c>
      <c r="E88" s="49">
        <f>'Avg Week Nimule-Gulu'!E88+'Avg Week Gulu-Nimule'!E88</f>
        <v>0</v>
      </c>
      <c r="F88" s="49">
        <f>'Avg Week Nimule-Gulu'!F88+'Avg Week Gulu-Nimule'!F88</f>
        <v>0</v>
      </c>
      <c r="G88" s="49">
        <f>'Avg Week Nimule-Gulu'!G88+'Avg Week Gulu-Nimule'!G88</f>
        <v>0</v>
      </c>
      <c r="H88" s="49">
        <f>'Avg Week Nimule-Gulu'!H88+'Avg Week Gulu-Nimule'!H88</f>
        <v>0</v>
      </c>
      <c r="I88" s="49">
        <f>'Avg Week Nimule-Gulu'!I88+'Avg Week Gulu-Nimule'!I88</f>
        <v>0</v>
      </c>
      <c r="J88" s="49">
        <f>'Avg Week Nimule-Gulu'!J88+'Avg Week Gulu-Nimule'!J88</f>
        <v>0</v>
      </c>
      <c r="K88" s="49">
        <f>'Avg Week Nimule-Gulu'!K88+'Avg Week Gulu-Nimule'!K88</f>
        <v>0</v>
      </c>
      <c r="L88" s="49">
        <f>'Avg Week Nimule-Gulu'!L88+'Avg Week Gulu-Nimule'!L88</f>
        <v>0</v>
      </c>
      <c r="M88" s="49">
        <f>'Avg Week Nimule-Gulu'!M88+'Avg Week Gulu-Nimule'!M88</f>
        <v>0</v>
      </c>
      <c r="N88" s="49">
        <f>'Avg Week Nimule-Gulu'!N88+'Avg Week Gulu-Nimule'!N88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Nimule-Gulu'!C89+'Avg Week Gulu-Nimule'!C89</f>
        <v>0</v>
      </c>
      <c r="D89" s="49">
        <f>'Avg Week Nimule-Gulu'!D89+'Avg Week Gulu-Nimule'!D89</f>
        <v>0</v>
      </c>
      <c r="E89" s="49">
        <f>'Avg Week Nimule-Gulu'!E89+'Avg Week Gulu-Nimule'!E89</f>
        <v>0</v>
      </c>
      <c r="F89" s="49">
        <f>'Avg Week Nimule-Gulu'!F89+'Avg Week Gulu-Nimule'!F89</f>
        <v>0</v>
      </c>
      <c r="G89" s="49">
        <f>'Avg Week Nimule-Gulu'!G89+'Avg Week Gulu-Nimule'!G89</f>
        <v>0</v>
      </c>
      <c r="H89" s="49">
        <f>'Avg Week Nimule-Gulu'!H89+'Avg Week Gulu-Nimule'!H89</f>
        <v>0</v>
      </c>
      <c r="I89" s="49">
        <f>'Avg Week Nimule-Gulu'!I89+'Avg Week Gulu-Nimule'!I89</f>
        <v>0</v>
      </c>
      <c r="J89" s="49">
        <f>'Avg Week Nimule-Gulu'!J89+'Avg Week Gulu-Nimule'!J89</f>
        <v>0</v>
      </c>
      <c r="K89" s="49">
        <f>'Avg Week Nimule-Gulu'!K89+'Avg Week Gulu-Nimule'!K89</f>
        <v>0</v>
      </c>
      <c r="L89" s="49">
        <f>'Avg Week Nimule-Gulu'!L89+'Avg Week Gulu-Nimule'!L89</f>
        <v>0</v>
      </c>
      <c r="M89" s="49">
        <f>'Avg Week Nimule-Gulu'!M89+'Avg Week Gulu-Nimule'!M89</f>
        <v>0</v>
      </c>
      <c r="N89" s="49">
        <f>'Avg Week Nimule-Gulu'!N89+'Avg Week Gulu-Nimule'!N89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Week Nimule-Gulu'!C90+'Avg Week Gulu-Nimule'!C90</f>
        <v>0</v>
      </c>
      <c r="D90" s="49">
        <f>'Avg Week Nimule-Gulu'!D90+'Avg Week Gulu-Nimule'!D90</f>
        <v>0</v>
      </c>
      <c r="E90" s="49">
        <f>'Avg Week Nimule-Gulu'!E90+'Avg Week Gulu-Nimule'!E90</f>
        <v>0</v>
      </c>
      <c r="F90" s="49">
        <f>'Avg Week Nimule-Gulu'!F90+'Avg Week Gulu-Nimule'!F90</f>
        <v>0</v>
      </c>
      <c r="G90" s="49">
        <f>'Avg Week Nimule-Gulu'!G90+'Avg Week Gulu-Nimule'!G90</f>
        <v>0</v>
      </c>
      <c r="H90" s="49">
        <f>'Avg Week Nimule-Gulu'!H90+'Avg Week Gulu-Nimule'!H90</f>
        <v>0</v>
      </c>
      <c r="I90" s="49">
        <f>'Avg Week Nimule-Gulu'!I90+'Avg Week Gulu-Nimule'!I90</f>
        <v>0</v>
      </c>
      <c r="J90" s="49">
        <f>'Avg Week Nimule-Gulu'!J90+'Avg Week Gulu-Nimule'!J90</f>
        <v>0</v>
      </c>
      <c r="K90" s="49">
        <f>'Avg Week Nimule-Gulu'!K90+'Avg Week Gulu-Nimule'!K90</f>
        <v>0</v>
      </c>
      <c r="L90" s="49">
        <f>'Avg Week Nimule-Gulu'!L90+'Avg Week Gulu-Nimule'!L90</f>
        <v>0</v>
      </c>
      <c r="M90" s="49">
        <f>'Avg Week Nimule-Gulu'!M90+'Avg Week Gulu-Nimule'!M90</f>
        <v>0</v>
      </c>
      <c r="N90" s="49">
        <f>'Avg Week Nimule-Gulu'!N90+'Avg Week Gulu-Nimule'!N90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'Avg Week Nimule-Gulu'!C91+'Avg Week Gulu-Nimule'!C91</f>
        <v>0</v>
      </c>
      <c r="D91" s="49">
        <f>'Avg Week Nimule-Gulu'!D91+'Avg Week Gulu-Nimule'!D91</f>
        <v>0</v>
      </c>
      <c r="E91" s="49">
        <f>'Avg Week Nimule-Gulu'!E91+'Avg Week Gulu-Nimule'!E91</f>
        <v>0</v>
      </c>
      <c r="F91" s="49">
        <f>'Avg Week Nimule-Gulu'!F91+'Avg Week Gulu-Nimule'!F91</f>
        <v>0</v>
      </c>
      <c r="G91" s="49">
        <f>'Avg Week Nimule-Gulu'!G91+'Avg Week Gulu-Nimule'!G91</f>
        <v>0</v>
      </c>
      <c r="H91" s="49">
        <f>'Avg Week Nimule-Gulu'!H91+'Avg Week Gulu-Nimule'!H91</f>
        <v>0</v>
      </c>
      <c r="I91" s="49">
        <f>'Avg Week Nimule-Gulu'!I91+'Avg Week Gulu-Nimule'!I91</f>
        <v>0</v>
      </c>
      <c r="J91" s="49">
        <f>'Avg Week Nimule-Gulu'!J91+'Avg Week Gulu-Nimule'!J91</f>
        <v>0</v>
      </c>
      <c r="K91" s="49">
        <f>'Avg Week Nimule-Gulu'!K91+'Avg Week Gulu-Nimule'!K91</f>
        <v>0</v>
      </c>
      <c r="L91" s="49">
        <f>'Avg Week Nimule-Gulu'!L91+'Avg Week Gulu-Nimule'!L91</f>
        <v>0</v>
      </c>
      <c r="M91" s="49">
        <f>'Avg Week Nimule-Gulu'!M91+'Avg Week Gulu-Nimule'!M91</f>
        <v>0</v>
      </c>
      <c r="N91" s="49">
        <f>'Avg Week Nimule-Gulu'!N91+'Avg Week Gulu-Nimule'!N91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Nimule-Gulu'!C92+'Avg Week Gulu-Nimule'!C92</f>
        <v>0</v>
      </c>
      <c r="D92" s="49">
        <f>'Avg Week Nimule-Gulu'!D92+'Avg Week Gulu-Nimule'!D92</f>
        <v>0</v>
      </c>
      <c r="E92" s="49">
        <f>'Avg Week Nimule-Gulu'!E92+'Avg Week Gulu-Nimule'!E92</f>
        <v>0</v>
      </c>
      <c r="F92" s="49">
        <f>'Avg Week Nimule-Gulu'!F92+'Avg Week Gulu-Nimule'!F92</f>
        <v>0</v>
      </c>
      <c r="G92" s="49">
        <f>'Avg Week Nimule-Gulu'!G92+'Avg Week Gulu-Nimule'!G92</f>
        <v>0</v>
      </c>
      <c r="H92" s="49">
        <f>'Avg Week Nimule-Gulu'!H92+'Avg Week Gulu-Nimule'!H92</f>
        <v>0</v>
      </c>
      <c r="I92" s="49">
        <f>'Avg Week Nimule-Gulu'!I92+'Avg Week Gulu-Nimule'!I92</f>
        <v>0</v>
      </c>
      <c r="J92" s="49">
        <f>'Avg Week Nimule-Gulu'!J92+'Avg Week Gulu-Nimule'!J92</f>
        <v>0</v>
      </c>
      <c r="K92" s="49">
        <f>'Avg Week Nimule-Gulu'!K92+'Avg Week Gulu-Nimule'!K92</f>
        <v>0</v>
      </c>
      <c r="L92" s="49">
        <f>'Avg Week Nimule-Gulu'!L92+'Avg Week Gulu-Nimule'!L92</f>
        <v>0</v>
      </c>
      <c r="M92" s="49">
        <f>'Avg Week Nimule-Gulu'!M92+'Avg Week Gulu-Nimule'!M92</f>
        <v>0</v>
      </c>
      <c r="N92" s="49">
        <f>'Avg Week Nimule-Gulu'!N92+'Avg Week Gulu-Nimule'!N92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Nimule-Gulu'!C93+'Avg Week Gulu-Nimule'!C93</f>
        <v>0</v>
      </c>
      <c r="D93" s="49">
        <f>'Avg Week Nimule-Gulu'!D93+'Avg Week Gulu-Nimule'!D93</f>
        <v>0</v>
      </c>
      <c r="E93" s="49">
        <f>'Avg Week Nimule-Gulu'!E93+'Avg Week Gulu-Nimule'!E93</f>
        <v>0</v>
      </c>
      <c r="F93" s="49">
        <f>'Avg Week Nimule-Gulu'!F93+'Avg Week Gulu-Nimule'!F93</f>
        <v>0</v>
      </c>
      <c r="G93" s="49">
        <f>'Avg Week Nimule-Gulu'!G93+'Avg Week Gulu-Nimule'!G93</f>
        <v>0</v>
      </c>
      <c r="H93" s="49">
        <f>'Avg Week Nimule-Gulu'!H93+'Avg Week Gulu-Nimule'!H93</f>
        <v>0</v>
      </c>
      <c r="I93" s="49">
        <f>'Avg Week Nimule-Gulu'!I93+'Avg Week Gulu-Nimule'!I93</f>
        <v>0</v>
      </c>
      <c r="J93" s="49">
        <f>'Avg Week Nimule-Gulu'!J93+'Avg Week Gulu-Nimule'!J93</f>
        <v>0</v>
      </c>
      <c r="K93" s="49">
        <f>'Avg Week Nimule-Gulu'!K93+'Avg Week Gulu-Nimule'!K93</f>
        <v>0</v>
      </c>
      <c r="L93" s="49">
        <f>'Avg Week Nimule-Gulu'!L93+'Avg Week Gulu-Nimule'!L93</f>
        <v>0</v>
      </c>
      <c r="M93" s="49">
        <f>'Avg Week Nimule-Gulu'!M93+'Avg Week Gulu-Nimule'!M93</f>
        <v>0</v>
      </c>
      <c r="N93" s="49">
        <f>'Avg Week Nimule-Gulu'!N93+'Avg Week Gulu-Nimule'!N93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'Avg Week Nimule-Gulu'!C94+'Avg Week Gulu-Nimule'!C94</f>
        <v>0</v>
      </c>
      <c r="D94" s="49">
        <f>'Avg Week Nimule-Gulu'!D94+'Avg Week Gulu-Nimule'!D94</f>
        <v>0</v>
      </c>
      <c r="E94" s="49">
        <f>'Avg Week Nimule-Gulu'!E94+'Avg Week Gulu-Nimule'!E94</f>
        <v>0</v>
      </c>
      <c r="F94" s="49">
        <f>'Avg Week Nimule-Gulu'!F94+'Avg Week Gulu-Nimule'!F94</f>
        <v>0</v>
      </c>
      <c r="G94" s="49">
        <f>'Avg Week Nimule-Gulu'!G94+'Avg Week Gulu-Nimule'!G94</f>
        <v>0</v>
      </c>
      <c r="H94" s="49">
        <f>'Avg Week Nimule-Gulu'!H94+'Avg Week Gulu-Nimule'!H94</f>
        <v>0</v>
      </c>
      <c r="I94" s="49">
        <f>'Avg Week Nimule-Gulu'!I94+'Avg Week Gulu-Nimule'!I94</f>
        <v>0</v>
      </c>
      <c r="J94" s="49">
        <f>'Avg Week Nimule-Gulu'!J94+'Avg Week Gulu-Nimule'!J94</f>
        <v>0</v>
      </c>
      <c r="K94" s="49">
        <f>'Avg Week Nimule-Gulu'!K94+'Avg Week Gulu-Nimule'!K94</f>
        <v>0</v>
      </c>
      <c r="L94" s="49">
        <f>'Avg Week Nimule-Gulu'!L94+'Avg Week Gulu-Nimule'!L94</f>
        <v>0</v>
      </c>
      <c r="M94" s="49">
        <f>'Avg Week Nimule-Gulu'!M94+'Avg Week Gulu-Nimule'!M94</f>
        <v>0</v>
      </c>
      <c r="N94" s="49">
        <f>'Avg Week Nimule-Gulu'!N94+'Avg Week Gulu-Nimule'!N94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'Avg Week Nimule-Gulu'!C95+'Avg Week Gulu-Nimule'!C95</f>
        <v>0</v>
      </c>
      <c r="D95" s="49">
        <f>'Avg Week Nimule-Gulu'!D95+'Avg Week Gulu-Nimule'!D95</f>
        <v>0</v>
      </c>
      <c r="E95" s="49">
        <f>'Avg Week Nimule-Gulu'!E95+'Avg Week Gulu-Nimule'!E95</f>
        <v>0</v>
      </c>
      <c r="F95" s="49">
        <f>'Avg Week Nimule-Gulu'!F95+'Avg Week Gulu-Nimule'!F95</f>
        <v>0</v>
      </c>
      <c r="G95" s="49">
        <f>'Avg Week Nimule-Gulu'!G95+'Avg Week Gulu-Nimule'!G95</f>
        <v>0</v>
      </c>
      <c r="H95" s="49">
        <f>'Avg Week Nimule-Gulu'!H95+'Avg Week Gulu-Nimule'!H95</f>
        <v>0</v>
      </c>
      <c r="I95" s="49">
        <f>'Avg Week Nimule-Gulu'!I95+'Avg Week Gulu-Nimule'!I95</f>
        <v>0</v>
      </c>
      <c r="J95" s="49">
        <f>'Avg Week Nimule-Gulu'!J95+'Avg Week Gulu-Nimule'!J95</f>
        <v>0</v>
      </c>
      <c r="K95" s="49">
        <f>'Avg Week Nimule-Gulu'!K95+'Avg Week Gulu-Nimule'!K95</f>
        <v>0</v>
      </c>
      <c r="L95" s="49">
        <f>'Avg Week Nimule-Gulu'!L95+'Avg Week Gulu-Nimule'!L95</f>
        <v>0</v>
      </c>
      <c r="M95" s="49">
        <f>'Avg Week Nimule-Gulu'!M95+'Avg Week Gulu-Nimule'!M95</f>
        <v>0</v>
      </c>
      <c r="N95" s="49">
        <f>'Avg Week Nimule-Gulu'!N95+'Avg Week Gulu-Nimule'!N95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Week Nimule-Gulu'!C96+'Avg Week Gulu-Nimule'!C96</f>
        <v>0</v>
      </c>
      <c r="D96" s="49">
        <f>'Avg Week Nimule-Gulu'!D96+'Avg Week Gulu-Nimule'!D96</f>
        <v>0</v>
      </c>
      <c r="E96" s="49">
        <f>'Avg Week Nimule-Gulu'!E96+'Avg Week Gulu-Nimule'!E96</f>
        <v>0</v>
      </c>
      <c r="F96" s="49">
        <f>'Avg Week Nimule-Gulu'!F96+'Avg Week Gulu-Nimule'!F96</f>
        <v>0</v>
      </c>
      <c r="G96" s="49">
        <f>'Avg Week Nimule-Gulu'!G96+'Avg Week Gulu-Nimule'!G96</f>
        <v>0</v>
      </c>
      <c r="H96" s="49">
        <f>'Avg Week Nimule-Gulu'!H96+'Avg Week Gulu-Nimule'!H96</f>
        <v>0</v>
      </c>
      <c r="I96" s="49">
        <f>'Avg Week Nimule-Gulu'!I96+'Avg Week Gulu-Nimule'!I96</f>
        <v>0</v>
      </c>
      <c r="J96" s="49">
        <f>'Avg Week Nimule-Gulu'!J96+'Avg Week Gulu-Nimule'!J96</f>
        <v>0</v>
      </c>
      <c r="K96" s="49">
        <f>'Avg Week Nimule-Gulu'!K96+'Avg Week Gulu-Nimule'!K96</f>
        <v>0</v>
      </c>
      <c r="L96" s="49">
        <f>'Avg Week Nimule-Gulu'!L96+'Avg Week Gulu-Nimule'!L96</f>
        <v>0</v>
      </c>
      <c r="M96" s="49">
        <f>'Avg Week Nimule-Gulu'!M96+'Avg Week Gulu-Nimule'!M96</f>
        <v>0</v>
      </c>
      <c r="N96" s="49">
        <f>'Avg Week Nimule-Gulu'!N96+'Avg Week Gulu-Nimule'!N96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'Avg Week Nimule-Gulu'!C97+'Avg Week Gulu-Nimule'!C97</f>
        <v>0</v>
      </c>
      <c r="D97" s="49">
        <f>'Avg Week Nimule-Gulu'!D97+'Avg Week Gulu-Nimule'!D97</f>
        <v>0</v>
      </c>
      <c r="E97" s="49">
        <f>'Avg Week Nimule-Gulu'!E97+'Avg Week Gulu-Nimule'!E97</f>
        <v>0</v>
      </c>
      <c r="F97" s="49">
        <f>'Avg Week Nimule-Gulu'!F97+'Avg Week Gulu-Nimule'!F97</f>
        <v>0</v>
      </c>
      <c r="G97" s="49">
        <f>'Avg Week Nimule-Gulu'!G97+'Avg Week Gulu-Nimule'!G97</f>
        <v>0</v>
      </c>
      <c r="H97" s="49">
        <f>'Avg Week Nimule-Gulu'!H97+'Avg Week Gulu-Nimule'!H97</f>
        <v>0</v>
      </c>
      <c r="I97" s="49">
        <f>'Avg Week Nimule-Gulu'!I97+'Avg Week Gulu-Nimule'!I97</f>
        <v>0</v>
      </c>
      <c r="J97" s="49">
        <f>'Avg Week Nimule-Gulu'!J97+'Avg Week Gulu-Nimule'!J97</f>
        <v>0</v>
      </c>
      <c r="K97" s="49">
        <f>'Avg Week Nimule-Gulu'!K97+'Avg Week Gulu-Nimule'!K97</f>
        <v>0</v>
      </c>
      <c r="L97" s="49">
        <f>'Avg Week Nimule-Gulu'!L97+'Avg Week Gulu-Nimule'!L97</f>
        <v>0</v>
      </c>
      <c r="M97" s="49">
        <f>'Avg Week Nimule-Gulu'!M97+'Avg Week Gulu-Nimule'!M97</f>
        <v>0</v>
      </c>
      <c r="N97" s="49">
        <f>'Avg Week Nimule-Gulu'!N97+'Avg Week Gulu-Nimule'!N97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'Avg Week Nimule-Gulu'!C98+'Avg Week Gulu-Nimule'!C98</f>
        <v>0</v>
      </c>
      <c r="D98" s="49">
        <f>'Avg Week Nimule-Gulu'!D98+'Avg Week Gulu-Nimule'!D98</f>
        <v>0</v>
      </c>
      <c r="E98" s="49">
        <f>'Avg Week Nimule-Gulu'!E98+'Avg Week Gulu-Nimule'!E98</f>
        <v>0</v>
      </c>
      <c r="F98" s="49">
        <f>'Avg Week Nimule-Gulu'!F98+'Avg Week Gulu-Nimule'!F98</f>
        <v>0</v>
      </c>
      <c r="G98" s="49">
        <f>'Avg Week Nimule-Gulu'!G98+'Avg Week Gulu-Nimule'!G98</f>
        <v>0</v>
      </c>
      <c r="H98" s="49">
        <f>'Avg Week Nimule-Gulu'!H98+'Avg Week Gulu-Nimule'!H98</f>
        <v>0</v>
      </c>
      <c r="I98" s="49">
        <f>'Avg Week Nimule-Gulu'!I98+'Avg Week Gulu-Nimule'!I98</f>
        <v>0</v>
      </c>
      <c r="J98" s="49">
        <f>'Avg Week Nimule-Gulu'!J98+'Avg Week Gulu-Nimule'!J98</f>
        <v>0</v>
      </c>
      <c r="K98" s="49">
        <f>'Avg Week Nimule-Gulu'!K98+'Avg Week Gulu-Nimule'!K98</f>
        <v>0</v>
      </c>
      <c r="L98" s="49">
        <f>'Avg Week Nimule-Gulu'!L98+'Avg Week Gulu-Nimule'!L98</f>
        <v>0</v>
      </c>
      <c r="M98" s="49">
        <f>'Avg Week Nimule-Gulu'!M98+'Avg Week Gulu-Nimule'!M98</f>
        <v>0</v>
      </c>
      <c r="N98" s="49">
        <f>'Avg Week Nimule-Gulu'!N98+'Avg Week Gulu-Nimule'!N98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'Avg Week Nimule-Gulu'!C99+'Avg Week Gulu-Nimule'!C99</f>
        <v>0</v>
      </c>
      <c r="D99" s="49">
        <f>'Avg Week Nimule-Gulu'!D99+'Avg Week Gulu-Nimule'!D99</f>
        <v>0</v>
      </c>
      <c r="E99" s="49">
        <f>'Avg Week Nimule-Gulu'!E99+'Avg Week Gulu-Nimule'!E99</f>
        <v>0</v>
      </c>
      <c r="F99" s="49">
        <f>'Avg Week Nimule-Gulu'!F99+'Avg Week Gulu-Nimule'!F99</f>
        <v>0</v>
      </c>
      <c r="G99" s="49">
        <f>'Avg Week Nimule-Gulu'!G99+'Avg Week Gulu-Nimule'!G99</f>
        <v>0</v>
      </c>
      <c r="H99" s="49">
        <f>'Avg Week Nimule-Gulu'!H99+'Avg Week Gulu-Nimule'!H99</f>
        <v>0</v>
      </c>
      <c r="I99" s="49">
        <f>'Avg Week Nimule-Gulu'!I99+'Avg Week Gulu-Nimule'!I99</f>
        <v>0</v>
      </c>
      <c r="J99" s="49">
        <f>'Avg Week Nimule-Gulu'!J99+'Avg Week Gulu-Nimule'!J99</f>
        <v>0</v>
      </c>
      <c r="K99" s="49">
        <f>'Avg Week Nimule-Gulu'!K99+'Avg Week Gulu-Nimule'!K99</f>
        <v>0</v>
      </c>
      <c r="L99" s="49">
        <f>'Avg Week Nimule-Gulu'!L99+'Avg Week Gulu-Nimule'!L99</f>
        <v>0</v>
      </c>
      <c r="M99" s="49">
        <f>'Avg Week Nimule-Gulu'!M99+'Avg Week Gulu-Nimule'!M99</f>
        <v>0</v>
      </c>
      <c r="N99" s="49">
        <f>'Avg Week Nimule-Gulu'!N99+'Avg Week Gulu-Nimule'!N99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'Avg Week Nimule-Gulu'!C100+'Avg Week Gulu-Nimule'!C100</f>
        <v>0</v>
      </c>
      <c r="D100" s="49">
        <f>'Avg Week Nimule-Gulu'!D100+'Avg Week Gulu-Nimule'!D100</f>
        <v>0</v>
      </c>
      <c r="E100" s="49">
        <f>'Avg Week Nimule-Gulu'!E100+'Avg Week Gulu-Nimule'!E100</f>
        <v>0</v>
      </c>
      <c r="F100" s="49">
        <f>'Avg Week Nimule-Gulu'!F100+'Avg Week Gulu-Nimule'!F100</f>
        <v>0</v>
      </c>
      <c r="G100" s="49">
        <f>'Avg Week Nimule-Gulu'!G100+'Avg Week Gulu-Nimule'!G100</f>
        <v>0</v>
      </c>
      <c r="H100" s="49">
        <f>'Avg Week Nimule-Gulu'!H100+'Avg Week Gulu-Nimule'!H100</f>
        <v>0</v>
      </c>
      <c r="I100" s="49">
        <f>'Avg Week Nimule-Gulu'!I100+'Avg Week Gulu-Nimule'!I100</f>
        <v>0</v>
      </c>
      <c r="J100" s="49">
        <f>'Avg Week Nimule-Gulu'!J100+'Avg Week Gulu-Nimule'!J100</f>
        <v>0</v>
      </c>
      <c r="K100" s="49">
        <f>'Avg Week Nimule-Gulu'!K100+'Avg Week Gulu-Nimule'!K100</f>
        <v>0</v>
      </c>
      <c r="L100" s="49">
        <f>'Avg Week Nimule-Gulu'!L100+'Avg Week Gulu-Nimule'!L100</f>
        <v>0</v>
      </c>
      <c r="M100" s="49">
        <f>'Avg Week Nimule-Gulu'!M100+'Avg Week Gulu-Nimule'!M100</f>
        <v>0</v>
      </c>
      <c r="N100" s="49">
        <f>'Avg Week Nimule-Gulu'!N100+'Avg Week Gulu-Nimule'!N100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3" t="s">
        <v>141</v>
      </c>
      <c r="C101" s="49">
        <f>'Avg Week Nimule-Gulu'!C101+'Avg Week Gulu-Nimule'!C101</f>
        <v>0</v>
      </c>
      <c r="D101" s="49">
        <f>'Avg Week Nimule-Gulu'!D101+'Avg Week Gulu-Nimule'!D101</f>
        <v>0</v>
      </c>
      <c r="E101" s="49">
        <f>'Avg Week Nimule-Gulu'!E101+'Avg Week Gulu-Nimule'!E101</f>
        <v>0</v>
      </c>
      <c r="F101" s="49">
        <f>'Avg Week Nimule-Gulu'!F101+'Avg Week Gulu-Nimule'!F101</f>
        <v>0</v>
      </c>
      <c r="G101" s="49">
        <f>'Avg Week Nimule-Gulu'!G101+'Avg Week Gulu-Nimule'!G101</f>
        <v>0</v>
      </c>
      <c r="H101" s="49">
        <f>'Avg Week Nimule-Gulu'!H101+'Avg Week Gulu-Nimule'!H101</f>
        <v>0</v>
      </c>
      <c r="I101" s="49">
        <f>'Avg Week Nimule-Gulu'!I101+'Avg Week Gulu-Nimule'!I101</f>
        <v>0</v>
      </c>
      <c r="J101" s="49">
        <f>'Avg Week Nimule-Gulu'!J101+'Avg Week Gulu-Nimule'!J101</f>
        <v>0</v>
      </c>
      <c r="K101" s="49">
        <f>'Avg Week Nimule-Gulu'!K101+'Avg Week Gulu-Nimule'!K101</f>
        <v>0</v>
      </c>
      <c r="L101" s="49">
        <f>'Avg Week Nimule-Gulu'!L101+'Avg Week Gulu-Nimule'!L101</f>
        <v>0</v>
      </c>
      <c r="M101" s="49">
        <f>'Avg Week Nimule-Gulu'!M101+'Avg Week Gulu-Nimule'!M101</f>
        <v>0</v>
      </c>
      <c r="N101" s="49">
        <f>'Avg Week Nimule-Gulu'!N101+'Avg Week Gulu-Nimule'!N101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'Avg Week Nimule-Gulu'!C102+'Avg Week Gulu-Nimule'!C102</f>
        <v>0</v>
      </c>
      <c r="D102" s="49">
        <f>'Avg Week Nimule-Gulu'!D102+'Avg Week Gulu-Nimule'!D102</f>
        <v>0</v>
      </c>
      <c r="E102" s="49">
        <f>'Avg Week Nimule-Gulu'!E102+'Avg Week Gulu-Nimule'!E102</f>
        <v>0</v>
      </c>
      <c r="F102" s="49">
        <f>'Avg Week Nimule-Gulu'!F102+'Avg Week Gulu-Nimule'!F102</f>
        <v>0</v>
      </c>
      <c r="G102" s="49">
        <f>'Avg Week Nimule-Gulu'!G102+'Avg Week Gulu-Nimule'!G102</f>
        <v>0</v>
      </c>
      <c r="H102" s="49">
        <f>'Avg Week Nimule-Gulu'!H102+'Avg Week Gulu-Nimule'!H102</f>
        <v>0</v>
      </c>
      <c r="I102" s="49">
        <f>'Avg Week Nimule-Gulu'!I102+'Avg Week Gulu-Nimule'!I102</f>
        <v>0</v>
      </c>
      <c r="J102" s="49">
        <f>'Avg Week Nimule-Gulu'!J102+'Avg Week Gulu-Nimule'!J102</f>
        <v>0</v>
      </c>
      <c r="K102" s="49">
        <f>'Avg Week Nimule-Gulu'!K102+'Avg Week Gulu-Nimule'!K102</f>
        <v>0</v>
      </c>
      <c r="L102" s="49">
        <f>'Avg Week Nimule-Gulu'!L102+'Avg Week Gulu-Nimule'!L102</f>
        <v>0</v>
      </c>
      <c r="M102" s="49">
        <f>'Avg Week Nimule-Gulu'!M102+'Avg Week Gulu-Nimule'!M102</f>
        <v>0</v>
      </c>
      <c r="N102" s="49">
        <f>'Avg Week Nimule-Gulu'!N102+'Avg Week Gulu-Nimule'!N102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'Avg Week Nimule-Gulu'!C103+'Avg Week Gulu-Nimule'!C103</f>
        <v>0</v>
      </c>
      <c r="D103" s="49">
        <f>'Avg Week Nimule-Gulu'!D103+'Avg Week Gulu-Nimule'!D103</f>
        <v>0</v>
      </c>
      <c r="E103" s="49">
        <f>'Avg Week Nimule-Gulu'!E103+'Avg Week Gulu-Nimule'!E103</f>
        <v>0</v>
      </c>
      <c r="F103" s="49">
        <f>'Avg Week Nimule-Gulu'!F103+'Avg Week Gulu-Nimule'!F103</f>
        <v>0</v>
      </c>
      <c r="G103" s="49">
        <f>'Avg Week Nimule-Gulu'!G103+'Avg Week Gulu-Nimule'!G103</f>
        <v>0</v>
      </c>
      <c r="H103" s="49">
        <f>'Avg Week Nimule-Gulu'!H103+'Avg Week Gulu-Nimule'!H103</f>
        <v>0</v>
      </c>
      <c r="I103" s="49">
        <f>'Avg Week Nimule-Gulu'!I103+'Avg Week Gulu-Nimule'!I103</f>
        <v>0</v>
      </c>
      <c r="J103" s="49">
        <f>'Avg Week Nimule-Gulu'!J103+'Avg Week Gulu-Nimule'!J103</f>
        <v>0</v>
      </c>
      <c r="K103" s="49">
        <f>'Avg Week Nimule-Gulu'!K103+'Avg Week Gulu-Nimule'!K103</f>
        <v>0</v>
      </c>
      <c r="L103" s="49">
        <f>'Avg Week Nimule-Gulu'!L103+'Avg Week Gulu-Nimule'!L103</f>
        <v>0</v>
      </c>
      <c r="M103" s="49">
        <f>'Avg Week Nimule-Gulu'!M103+'Avg Week Gulu-Nimule'!M103</f>
        <v>0</v>
      </c>
      <c r="N103" s="49">
        <f>'Avg Week Nimule-Gulu'!N103+'Avg Week Gulu-Nimule'!N103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5" t="s">
        <v>144</v>
      </c>
      <c r="C104" s="49">
        <f>'Avg Week Nimule-Gulu'!C104+'Avg Week Gulu-Nimule'!C104</f>
        <v>0</v>
      </c>
      <c r="D104" s="49">
        <f>'Avg Week Nimule-Gulu'!D104+'Avg Week Gulu-Nimule'!D104</f>
        <v>0</v>
      </c>
      <c r="E104" s="49">
        <f>'Avg Week Nimule-Gulu'!E104+'Avg Week Gulu-Nimule'!E104</f>
        <v>0</v>
      </c>
      <c r="F104" s="49">
        <f>'Avg Week Nimule-Gulu'!F104+'Avg Week Gulu-Nimule'!F104</f>
        <v>0</v>
      </c>
      <c r="G104" s="49">
        <f>'Avg Week Nimule-Gulu'!G104+'Avg Week Gulu-Nimule'!G104</f>
        <v>0</v>
      </c>
      <c r="H104" s="49">
        <f>'Avg Week Nimule-Gulu'!H104+'Avg Week Gulu-Nimule'!H104</f>
        <v>0</v>
      </c>
      <c r="I104" s="49">
        <f>'Avg Week Nimule-Gulu'!I104+'Avg Week Gulu-Nimule'!I104</f>
        <v>0</v>
      </c>
      <c r="J104" s="49">
        <f>'Avg Week Nimule-Gulu'!J104+'Avg Week Gulu-Nimule'!J104</f>
        <v>0</v>
      </c>
      <c r="K104" s="49">
        <f>'Avg Week Nimule-Gulu'!K104+'Avg Week Gulu-Nimule'!K104</f>
        <v>0</v>
      </c>
      <c r="L104" s="49">
        <f>'Avg Week Nimule-Gulu'!L104+'Avg Week Gulu-Nimule'!L104</f>
        <v>0</v>
      </c>
      <c r="M104" s="49">
        <f>'Avg Week Nimule-Gulu'!M104+'Avg Week Gulu-Nimule'!M104</f>
        <v>0</v>
      </c>
      <c r="N104" s="49">
        <f>'Avg Week Nimule-Gulu'!N104+'Avg Week Gulu-Nimule'!N104</f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23" t="s">
        <v>145</v>
      </c>
      <c r="C105" s="49">
        <f>'Avg Week Nimule-Gulu'!C105+'Avg Week Gulu-Nimule'!C105</f>
        <v>0</v>
      </c>
      <c r="D105" s="49">
        <f>'Avg Week Nimule-Gulu'!D105+'Avg Week Gulu-Nimule'!D105</f>
        <v>0</v>
      </c>
      <c r="E105" s="49">
        <f>'Avg Week Nimule-Gulu'!E105+'Avg Week Gulu-Nimule'!E105</f>
        <v>0</v>
      </c>
      <c r="F105" s="49">
        <f>'Avg Week Nimule-Gulu'!F105+'Avg Week Gulu-Nimule'!F105</f>
        <v>0</v>
      </c>
      <c r="G105" s="49">
        <f>'Avg Week Nimule-Gulu'!G105+'Avg Week Gulu-Nimule'!G105</f>
        <v>0</v>
      </c>
      <c r="H105" s="49">
        <f>'Avg Week Nimule-Gulu'!H105+'Avg Week Gulu-Nimule'!H105</f>
        <v>0</v>
      </c>
      <c r="I105" s="49">
        <f>'Avg Week Nimule-Gulu'!I105+'Avg Week Gulu-Nimule'!I105</f>
        <v>0</v>
      </c>
      <c r="J105" s="49">
        <f>'Avg Week Nimule-Gulu'!J105+'Avg Week Gulu-Nimule'!J105</f>
        <v>0</v>
      </c>
      <c r="K105" s="49">
        <f>'Avg Week Nimule-Gulu'!K105+'Avg Week Gulu-Nimule'!K105</f>
        <v>0</v>
      </c>
      <c r="L105" s="49">
        <f>'Avg Week Nimule-Gulu'!L105+'Avg Week Gulu-Nimule'!L105</f>
        <v>0</v>
      </c>
      <c r="M105" s="49">
        <f>'Avg Week Nimule-Gulu'!M105+'Avg Week Gulu-Nimule'!M105</f>
        <v>0</v>
      </c>
      <c r="N105" s="49">
        <f>'Avg Week Nimule-Gulu'!N105+'Avg Week Gulu-Nimule'!N105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84.857142857142847</v>
      </c>
      <c r="D106" s="16">
        <f t="shared" ref="D106:P106" si="37">SUM(D10:D105)</f>
        <v>36.428571428571423</v>
      </c>
      <c r="E106" s="16">
        <f t="shared" si="37"/>
        <v>75.785714285714306</v>
      </c>
      <c r="F106" s="16">
        <f t="shared" si="37"/>
        <v>6.4999999999999991</v>
      </c>
      <c r="G106" s="16">
        <f t="shared" si="37"/>
        <v>1.5714285714285712</v>
      </c>
      <c r="H106" s="16">
        <f t="shared" si="37"/>
        <v>12.357142857142858</v>
      </c>
      <c r="I106" s="16">
        <f t="shared" si="37"/>
        <v>43.785714285714278</v>
      </c>
      <c r="J106" s="16">
        <f t="shared" si="37"/>
        <v>11.523809523809524</v>
      </c>
      <c r="K106" s="16">
        <f t="shared" si="37"/>
        <v>9.1428571428571441</v>
      </c>
      <c r="L106" s="16">
        <f t="shared" si="37"/>
        <v>161</v>
      </c>
      <c r="M106" s="16">
        <f t="shared" si="37"/>
        <v>769.142857142857</v>
      </c>
      <c r="N106" s="16">
        <f t="shared" si="37"/>
        <v>0.14285714285714285</v>
      </c>
      <c r="O106" s="16">
        <f t="shared" si="37"/>
        <v>443.09523809523807</v>
      </c>
      <c r="P106" s="16">
        <f t="shared" si="37"/>
        <v>1212.2380952380954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7.0000392819263832E-2</v>
      </c>
      <c r="D107" s="43">
        <f t="shared" si="38"/>
        <v>3.0050673685037506E-2</v>
      </c>
      <c r="E107" s="43">
        <f t="shared" si="38"/>
        <v>6.251718584279374E-2</v>
      </c>
      <c r="F107" s="43">
        <f t="shared" si="38"/>
        <v>5.3619829516439472E-3</v>
      </c>
      <c r="G107" s="43">
        <f t="shared" si="38"/>
        <v>1.2963035707271081E-3</v>
      </c>
      <c r="H107" s="43">
        <f t="shared" si="38"/>
        <v>1.0193659897081353E-2</v>
      </c>
      <c r="I107" s="43">
        <f t="shared" si="38"/>
        <v>3.6119731311623507E-2</v>
      </c>
      <c r="J107" s="43">
        <f t="shared" si="38"/>
        <v>9.5062261853321277E-3</v>
      </c>
      <c r="K107" s="43">
        <f t="shared" si="38"/>
        <v>7.5421298660486311E-3</v>
      </c>
      <c r="L107" s="43">
        <f t="shared" si="38"/>
        <v>0.1328121931099501</v>
      </c>
      <c r="M107" s="43">
        <f t="shared" si="38"/>
        <v>0.63448167498134089</v>
      </c>
      <c r="N107" s="43">
        <f t="shared" si="38"/>
        <v>1.1784577915700983E-4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0.19150994089199355</v>
      </c>
      <c r="D108" s="44">
        <f t="shared" ref="D108:N108" si="39">D106/$O$106</f>
        <v>8.2213863514239649E-2</v>
      </c>
      <c r="E108" s="44">
        <f t="shared" si="39"/>
        <v>0.17103707684040845</v>
      </c>
      <c r="F108" s="44">
        <f t="shared" si="39"/>
        <v>1.4669532509403544E-2</v>
      </c>
      <c r="G108" s="44">
        <f t="shared" si="39"/>
        <v>3.5464803868887691E-3</v>
      </c>
      <c r="H108" s="44">
        <f t="shared" si="39"/>
        <v>2.7888232133261689E-2</v>
      </c>
      <c r="I108" s="44">
        <f t="shared" si="39"/>
        <v>9.8817839871037066E-2</v>
      </c>
      <c r="J108" s="44">
        <f t="shared" si="39"/>
        <v>2.600752283718431E-2</v>
      </c>
      <c r="K108" s="44">
        <f t="shared" si="39"/>
        <v>2.0634067705534661E-2</v>
      </c>
      <c r="L108" s="44">
        <f t="shared" si="39"/>
        <v>0.36335303600214941</v>
      </c>
      <c r="M108" s="44"/>
      <c r="N108" s="44">
        <f t="shared" si="39"/>
        <v>3.2240730789897902E-4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31.07 NIMULE-GULU</vt:lpstr>
      <vt:lpstr>31.07 GULU-NIMULE</vt:lpstr>
      <vt:lpstr>01.07 NIMULE-GULU</vt:lpstr>
      <vt:lpstr>01.07 GULU-NIMULE</vt:lpstr>
      <vt:lpstr>02.07 NIMULE-GULU</vt:lpstr>
      <vt:lpstr>02.07 GULU-NIMULE</vt:lpstr>
      <vt:lpstr>03.07 NIMULE-GULU</vt:lpstr>
      <vt:lpstr>03.07 GULU-NIMULE</vt:lpstr>
      <vt:lpstr>04.07 NIMULE-GULU-24h</vt:lpstr>
      <vt:lpstr>04.07 GULU-NIMULE-24h</vt:lpstr>
      <vt:lpstr>05.07 NIMULE-GULU-24h</vt:lpstr>
      <vt:lpstr>05.07 GULU-NIMULE-24h</vt:lpstr>
      <vt:lpstr>06.07 NIMULE-GULU</vt:lpstr>
      <vt:lpstr>06.07 GULU-NIMULE</vt:lpstr>
      <vt:lpstr>Avg Week Nimule-Gulu</vt:lpstr>
      <vt:lpstr>Avg Week Gulu-Nimule</vt:lpstr>
      <vt:lpstr>Avg Week Nimule-Gulu-2Dir</vt:lpstr>
      <vt:lpstr>'01.07 GULU-NIMULE'!Print_Area</vt:lpstr>
      <vt:lpstr>'01.07 NIMULE-GULU'!Print_Area</vt:lpstr>
      <vt:lpstr>'02.07 GULU-NIMULE'!Print_Area</vt:lpstr>
      <vt:lpstr>'02.07 NIMULE-GULU'!Print_Area</vt:lpstr>
      <vt:lpstr>'03.07 GULU-NIMULE'!Print_Area</vt:lpstr>
      <vt:lpstr>'03.07 NIMULE-GULU'!Print_Area</vt:lpstr>
      <vt:lpstr>'04.07 GULU-NIMULE-24h'!Print_Area</vt:lpstr>
      <vt:lpstr>'04.07 NIMULE-GULU-24h'!Print_Area</vt:lpstr>
      <vt:lpstr>'05.07 GULU-NIMULE-24h'!Print_Area</vt:lpstr>
      <vt:lpstr>'05.07 NIMULE-GULU-24h'!Print_Area</vt:lpstr>
      <vt:lpstr>'06.07 GULU-NIMULE'!Print_Area</vt:lpstr>
      <vt:lpstr>'06.07 NIMULE-GULU'!Print_Area</vt:lpstr>
      <vt:lpstr>'31.07 GULU-NIMULE'!Print_Area</vt:lpstr>
      <vt:lpstr>'31.07 NIMULE-GULU'!Print_Area</vt:lpstr>
      <vt:lpstr>'Avg Week Gulu-Nimule'!Print_Area</vt:lpstr>
      <vt:lpstr>'Avg Week Nimule-Gulu'!Print_Area</vt:lpstr>
      <vt:lpstr>'Avg Week Nimule-Gulu-2Dir'!Print_Area</vt:lpstr>
      <vt:lpstr>'01.07 GULU-NIMULE'!Print_Titles</vt:lpstr>
      <vt:lpstr>'01.07 NIMULE-GULU'!Print_Titles</vt:lpstr>
      <vt:lpstr>'02.07 GULU-NIMULE'!Print_Titles</vt:lpstr>
      <vt:lpstr>'02.07 NIMULE-GULU'!Print_Titles</vt:lpstr>
      <vt:lpstr>'03.07 GULU-NIMULE'!Print_Titles</vt:lpstr>
      <vt:lpstr>'03.07 NIMULE-GULU'!Print_Titles</vt:lpstr>
      <vt:lpstr>'04.07 GULU-NIMULE-24h'!Print_Titles</vt:lpstr>
      <vt:lpstr>'04.07 NIMULE-GULU-24h'!Print_Titles</vt:lpstr>
      <vt:lpstr>'05.07 GULU-NIMULE-24h'!Print_Titles</vt:lpstr>
      <vt:lpstr>'05.07 NIMULE-GULU-24h'!Print_Titles</vt:lpstr>
      <vt:lpstr>'06.07 GULU-NIMULE'!Print_Titles</vt:lpstr>
      <vt:lpstr>'06.07 NIMULE-GULU'!Print_Titles</vt:lpstr>
      <vt:lpstr>'31.07 GULU-NIMULE'!Print_Titles</vt:lpstr>
      <vt:lpstr>'31.07 NIMULE-GULU'!Print_Titles</vt:lpstr>
      <vt:lpstr>'Avg Week Gulu-Nimule'!Print_Titles</vt:lpstr>
      <vt:lpstr>'Avg Week Nimule-Gulu'!Print_Titles</vt:lpstr>
      <vt:lpstr>'Avg Week Nimule-Gulu-2Dir'!Print_Titles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2020-01-15T12:54:29Z</dcterms:modified>
</cp:coreProperties>
</file>