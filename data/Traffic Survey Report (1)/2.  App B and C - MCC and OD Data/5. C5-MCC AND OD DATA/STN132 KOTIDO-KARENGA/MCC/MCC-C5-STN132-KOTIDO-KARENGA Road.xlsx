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DMP Data Analysis\C-5 Analysis Complete-Ivan\STN132 KOTIDO-KARENGA\MCC\"/>
    </mc:Choice>
  </mc:AlternateContent>
  <xr:revisionPtr revIDLastSave="0" documentId="13_ncr:1_{ADA17A83-5E47-4CC5-87FE-C4CCDDADDDA4}" xr6:coauthVersionLast="45" xr6:coauthVersionMax="45" xr10:uidLastSave="{00000000-0000-0000-0000-000000000000}"/>
  <bookViews>
    <workbookView xWindow="-120" yWindow="-120" windowWidth="20730" windowHeight="11160" tabRatio="922" firstSheet="12" activeTab="16" xr2:uid="{00000000-000D-0000-FFFF-FFFF00000000}"/>
  </bookViews>
  <sheets>
    <sheet name="05.08 Kotido-Karenga" sheetId="93" r:id="rId1"/>
    <sheet name="05.08 Karenga-Kotido" sheetId="94" r:id="rId2"/>
    <sheet name="06.08 Kotido-Karenga" sheetId="95" r:id="rId3"/>
    <sheet name="06.08 Karenga-Kotido" sheetId="96" r:id="rId4"/>
    <sheet name="07.08 Kotido-Karenga" sheetId="97" r:id="rId5"/>
    <sheet name="07.08 Karenga-Kotido" sheetId="98" r:id="rId6"/>
    <sheet name="08.08 Kotido-Karenga" sheetId="99" r:id="rId7"/>
    <sheet name="08.08 Karenga-Kotido" sheetId="100" r:id="rId8"/>
    <sheet name="09.08 Kotido-Karenga-24h" sheetId="101" r:id="rId9"/>
    <sheet name="09.08 Karenga-Kotido-24h" sheetId="109" r:id="rId10"/>
    <sheet name="10.08 Kotido-Karenga-24h" sheetId="105" r:id="rId11"/>
    <sheet name="10.08 Karenga-Kotido-24h" sheetId="110" r:id="rId12"/>
    <sheet name="11.08 Kotido-Karenga" sheetId="103" r:id="rId13"/>
    <sheet name="11.08 Karenga-Kotido" sheetId="104" r:id="rId14"/>
    <sheet name="Avg Week Kotido-Karenga" sheetId="107" r:id="rId15"/>
    <sheet name="Avg Week Karenga-Kotido" sheetId="108" r:id="rId16"/>
    <sheet name="Avg Week Kotido-Karenga-2Dir" sheetId="111" r:id="rId17"/>
  </sheets>
  <definedNames>
    <definedName name="_xlnm.Print_Area" localSheetId="1">'05.08 Karenga-Kotido'!$A$1:$AF$60</definedName>
    <definedName name="_xlnm.Print_Area" localSheetId="0">'05.08 Kotido-Karenga'!$A$1:$AF$60</definedName>
    <definedName name="_xlnm.Print_Area" localSheetId="3">'06.08 Karenga-Kotido'!$A$1:$AF$60</definedName>
    <definedName name="_xlnm.Print_Area" localSheetId="2">'06.08 Kotido-Karenga'!$A$1:$AF$60</definedName>
    <definedName name="_xlnm.Print_Area" localSheetId="5">'07.08 Karenga-Kotido'!$A$1:$AF$60</definedName>
    <definedName name="_xlnm.Print_Area" localSheetId="4">'07.08 Kotido-Karenga'!$A$1:$AF$60</definedName>
    <definedName name="_xlnm.Print_Area" localSheetId="7">'08.08 Karenga-Kotido'!$A$1:$AF$60</definedName>
    <definedName name="_xlnm.Print_Area" localSheetId="6">'08.08 Kotido-Karenga'!$A$1:$AF$60</definedName>
    <definedName name="_xlnm.Print_Area" localSheetId="9">'09.08 Karenga-Kotido-24h'!$A$1:$AF$108</definedName>
    <definedName name="_xlnm.Print_Area" localSheetId="8">'09.08 Kotido-Karenga-24h'!$A$1:$AF$108</definedName>
    <definedName name="_xlnm.Print_Area" localSheetId="11">'10.08 Karenga-Kotido-24h'!$A$1:$AF$108</definedName>
    <definedName name="_xlnm.Print_Area" localSheetId="10">'10.08 Kotido-Karenga-24h'!$A$1:$AF$108</definedName>
    <definedName name="_xlnm.Print_Area" localSheetId="13">'11.08 Karenga-Kotido'!$A$1:$AF$60</definedName>
    <definedName name="_xlnm.Print_Area" localSheetId="12">'11.08 Kotido-Karenga'!$A$1:$AF$60</definedName>
    <definedName name="_xlnm.Print_Area" localSheetId="15">'Avg Week Karenga-Kotido'!$A$1:$AF$108</definedName>
    <definedName name="_xlnm.Print_Area" localSheetId="14">'Avg Week Kotido-Karenga'!$A$1:$AF$108</definedName>
    <definedName name="_xlnm.Print_Area" localSheetId="16">'Avg Week Kotido-Karenga-2Dir'!$A$1:$AF$108</definedName>
    <definedName name="_xlnm.Print_Titles" localSheetId="1">'05.08 Karenga-Kotido'!$1:$8</definedName>
    <definedName name="_xlnm.Print_Titles" localSheetId="0">'05.08 Kotido-Karenga'!$1:$8</definedName>
    <definedName name="_xlnm.Print_Titles" localSheetId="3">'06.08 Karenga-Kotido'!$1:$8</definedName>
    <definedName name="_xlnm.Print_Titles" localSheetId="2">'06.08 Kotido-Karenga'!$1:$8</definedName>
    <definedName name="_xlnm.Print_Titles" localSheetId="5">'07.08 Karenga-Kotido'!$1:$8</definedName>
    <definedName name="_xlnm.Print_Titles" localSheetId="4">'07.08 Kotido-Karenga'!$1:$8</definedName>
    <definedName name="_xlnm.Print_Titles" localSheetId="7">'08.08 Karenga-Kotido'!$1:$8</definedName>
    <definedName name="_xlnm.Print_Titles" localSheetId="6">'08.08 Kotido-Karenga'!$1:$8</definedName>
    <definedName name="_xlnm.Print_Titles" localSheetId="9">'09.08 Karenga-Kotido-24h'!$1:$8</definedName>
    <definedName name="_xlnm.Print_Titles" localSheetId="8">'09.08 Kotido-Karenga-24h'!$1:$8</definedName>
    <definedName name="_xlnm.Print_Titles" localSheetId="11">'10.08 Karenga-Kotido-24h'!$1:$8</definedName>
    <definedName name="_xlnm.Print_Titles" localSheetId="10">'10.08 Kotido-Karenga-24h'!$1:$8</definedName>
    <definedName name="_xlnm.Print_Titles" localSheetId="13">'11.08 Karenga-Kotido'!$1:$8</definedName>
    <definedName name="_xlnm.Print_Titles" localSheetId="12">'11.08 Kotido-Karenga'!$1:$8</definedName>
    <definedName name="_xlnm.Print_Titles" localSheetId="15">'Avg Week Karenga-Kotido'!$1:$8</definedName>
    <definedName name="_xlnm.Print_Titles" localSheetId="14">'Avg Week Kotido-Karenga'!$1:$8</definedName>
    <definedName name="_xlnm.Print_Titles" localSheetId="16">'Avg Week Kotido-Karenga-2Dir'!$1:$8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77" i="111" l="1"/>
  <c r="M82" i="111"/>
  <c r="E86" i="111"/>
  <c r="M88" i="111"/>
  <c r="D92" i="111"/>
  <c r="H97" i="111"/>
  <c r="L102" i="111"/>
  <c r="AB33" i="111" s="1"/>
  <c r="P71" i="108"/>
  <c r="P99" i="108"/>
  <c r="O67" i="108"/>
  <c r="O83" i="108"/>
  <c r="O99" i="108"/>
  <c r="C59" i="108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O63" i="108" s="1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X24" i="108" s="1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O71" i="108" s="1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D75" i="108"/>
  <c r="O75" i="108" s="1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T27" i="108" s="1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O79" i="108" s="1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P81" i="108" s="1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O87" i="108" s="1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P89" i="108" s="1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T30" i="108" s="1"/>
  <c r="E90" i="108"/>
  <c r="F90" i="108"/>
  <c r="G90" i="108"/>
  <c r="H90" i="108"/>
  <c r="I90" i="108"/>
  <c r="J90" i="108"/>
  <c r="K90" i="108"/>
  <c r="L90" i="108"/>
  <c r="AB30" i="108" s="1"/>
  <c r="M90" i="108"/>
  <c r="N90" i="108"/>
  <c r="C91" i="108"/>
  <c r="D91" i="108"/>
  <c r="O91" i="108" s="1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P95" i="108" s="1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K102" i="108"/>
  <c r="L102" i="108"/>
  <c r="AB33" i="108" s="1"/>
  <c r="M102" i="108"/>
  <c r="N102" i="108"/>
  <c r="C103" i="108"/>
  <c r="D103" i="108"/>
  <c r="P103" i="108" s="1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P67" i="107"/>
  <c r="P83" i="107"/>
  <c r="P99" i="107"/>
  <c r="O67" i="107"/>
  <c r="O83" i="107"/>
  <c r="O99" i="107"/>
  <c r="C59" i="107"/>
  <c r="C59" i="111" s="1"/>
  <c r="D59" i="107"/>
  <c r="D59" i="111" s="1"/>
  <c r="E59" i="107"/>
  <c r="F59" i="107"/>
  <c r="G59" i="107"/>
  <c r="G59" i="111" s="1"/>
  <c r="H59" i="107"/>
  <c r="I59" i="107"/>
  <c r="J59" i="107"/>
  <c r="K59" i="107"/>
  <c r="K59" i="111" s="1"/>
  <c r="L59" i="107"/>
  <c r="L59" i="111" s="1"/>
  <c r="M59" i="107"/>
  <c r="N59" i="107"/>
  <c r="C60" i="107"/>
  <c r="C60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C61" i="107"/>
  <c r="C61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C62" i="107"/>
  <c r="C62" i="111" s="1"/>
  <c r="D62" i="107"/>
  <c r="E62" i="107"/>
  <c r="E62" i="111" s="1"/>
  <c r="F62" i="107"/>
  <c r="G62" i="107"/>
  <c r="G62" i="111" s="1"/>
  <c r="H62" i="107"/>
  <c r="H62" i="111" s="1"/>
  <c r="X23" i="111" s="1"/>
  <c r="I62" i="107"/>
  <c r="I62" i="111" s="1"/>
  <c r="J62" i="107"/>
  <c r="K62" i="107"/>
  <c r="K62" i="111" s="1"/>
  <c r="L62" i="107"/>
  <c r="M62" i="107"/>
  <c r="M62" i="111" s="1"/>
  <c r="N62" i="107"/>
  <c r="C63" i="107"/>
  <c r="C63" i="111" s="1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C64" i="107"/>
  <c r="C64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C65" i="107"/>
  <c r="C65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C66" i="107"/>
  <c r="C66" i="111" s="1"/>
  <c r="D66" i="107"/>
  <c r="E66" i="107"/>
  <c r="F66" i="107"/>
  <c r="G66" i="107"/>
  <c r="G66" i="111" s="1"/>
  <c r="H66" i="107"/>
  <c r="H66" i="111" s="1"/>
  <c r="X24" i="111" s="1"/>
  <c r="I66" i="107"/>
  <c r="J66" i="107"/>
  <c r="K66" i="107"/>
  <c r="K66" i="111" s="1"/>
  <c r="L66" i="107"/>
  <c r="M66" i="107"/>
  <c r="N66" i="107"/>
  <c r="C67" i="107"/>
  <c r="C67" i="111" s="1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C68" i="107"/>
  <c r="C68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C69" i="107"/>
  <c r="C69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C70" i="107"/>
  <c r="C70" i="111" s="1"/>
  <c r="D70" i="107"/>
  <c r="D70" i="111" s="1"/>
  <c r="T25" i="111" s="1"/>
  <c r="E70" i="107"/>
  <c r="E70" i="111" s="1"/>
  <c r="F70" i="107"/>
  <c r="G70" i="107"/>
  <c r="G70" i="111" s="1"/>
  <c r="H70" i="107"/>
  <c r="I70" i="107"/>
  <c r="I70" i="111" s="1"/>
  <c r="J70" i="107"/>
  <c r="K70" i="107"/>
  <c r="K70" i="111" s="1"/>
  <c r="L70" i="107"/>
  <c r="M70" i="107"/>
  <c r="M70" i="111" s="1"/>
  <c r="N70" i="107"/>
  <c r="C71" i="107"/>
  <c r="C71" i="111" s="1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C72" i="107"/>
  <c r="C72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C73" i="107"/>
  <c r="C73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C74" i="107"/>
  <c r="C74" i="111" s="1"/>
  <c r="D74" i="107"/>
  <c r="E74" i="107"/>
  <c r="F74" i="107"/>
  <c r="G74" i="107"/>
  <c r="G74" i="111" s="1"/>
  <c r="H74" i="107"/>
  <c r="H74" i="111" s="1"/>
  <c r="X26" i="111" s="1"/>
  <c r="I74" i="107"/>
  <c r="J74" i="107"/>
  <c r="K74" i="107"/>
  <c r="K74" i="111" s="1"/>
  <c r="L74" i="107"/>
  <c r="M74" i="107"/>
  <c r="N74" i="107"/>
  <c r="C75" i="107"/>
  <c r="C75" i="111" s="1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C76" i="107"/>
  <c r="C76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C77" i="107"/>
  <c r="C77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J77" i="107"/>
  <c r="J77" i="111" s="1"/>
  <c r="K77" i="107"/>
  <c r="K77" i="111" s="1"/>
  <c r="L77" i="107"/>
  <c r="L77" i="111" s="1"/>
  <c r="M77" i="107"/>
  <c r="M77" i="111" s="1"/>
  <c r="N77" i="107"/>
  <c r="N77" i="111" s="1"/>
  <c r="C78" i="107"/>
  <c r="C78" i="111" s="1"/>
  <c r="D78" i="107"/>
  <c r="D78" i="111" s="1"/>
  <c r="T27" i="111" s="1"/>
  <c r="E78" i="107"/>
  <c r="E78" i="111" s="1"/>
  <c r="F78" i="107"/>
  <c r="G78" i="107"/>
  <c r="G78" i="111" s="1"/>
  <c r="H78" i="107"/>
  <c r="I78" i="107"/>
  <c r="I78" i="111" s="1"/>
  <c r="J78" i="107"/>
  <c r="K78" i="107"/>
  <c r="K78" i="111" s="1"/>
  <c r="L78" i="107"/>
  <c r="M78" i="107"/>
  <c r="M78" i="111" s="1"/>
  <c r="AC27" i="111" s="1"/>
  <c r="N78" i="107"/>
  <c r="C79" i="107"/>
  <c r="C79" i="111" s="1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C80" i="107"/>
  <c r="C80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C81" i="107"/>
  <c r="C81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Y27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C82" i="107"/>
  <c r="C82" i="111" s="1"/>
  <c r="D82" i="107"/>
  <c r="E82" i="107"/>
  <c r="F82" i="107"/>
  <c r="G82" i="107"/>
  <c r="G82" i="111" s="1"/>
  <c r="H82" i="107"/>
  <c r="H82" i="111" s="1"/>
  <c r="X28" i="111" s="1"/>
  <c r="I82" i="107"/>
  <c r="J82" i="107"/>
  <c r="K82" i="107"/>
  <c r="K82" i="111" s="1"/>
  <c r="L82" i="107"/>
  <c r="M82" i="107"/>
  <c r="N82" i="107"/>
  <c r="C83" i="107"/>
  <c r="C83" i="111" s="1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C84" i="107"/>
  <c r="C84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C85" i="107"/>
  <c r="C85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C86" i="107"/>
  <c r="C86" i="111" s="1"/>
  <c r="D86" i="107"/>
  <c r="E86" i="107"/>
  <c r="F86" i="107"/>
  <c r="G86" i="107"/>
  <c r="G86" i="111" s="1"/>
  <c r="H86" i="107"/>
  <c r="H86" i="111" s="1"/>
  <c r="I86" i="107"/>
  <c r="I86" i="111" s="1"/>
  <c r="J86" i="107"/>
  <c r="K86" i="107"/>
  <c r="K86" i="111" s="1"/>
  <c r="L86" i="107"/>
  <c r="M86" i="107"/>
  <c r="M86" i="111" s="1"/>
  <c r="AC29" i="111" s="1"/>
  <c r="N86" i="107"/>
  <c r="C87" i="107"/>
  <c r="C87" i="111" s="1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Y29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C88" i="107"/>
  <c r="C88" i="111" s="1"/>
  <c r="D88" i="107"/>
  <c r="D88" i="111" s="1"/>
  <c r="E88" i="107"/>
  <c r="E88" i="111" s="1"/>
  <c r="U29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N88" i="107"/>
  <c r="N88" i="111" s="1"/>
  <c r="C89" i="107"/>
  <c r="C89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C90" i="107"/>
  <c r="C90" i="111" s="1"/>
  <c r="D90" i="107"/>
  <c r="E90" i="107"/>
  <c r="F90" i="107"/>
  <c r="G90" i="107"/>
  <c r="G90" i="111" s="1"/>
  <c r="H90" i="107"/>
  <c r="I90" i="107"/>
  <c r="J90" i="107"/>
  <c r="K90" i="107"/>
  <c r="K90" i="111" s="1"/>
  <c r="L90" i="107"/>
  <c r="L90" i="111" s="1"/>
  <c r="AB30" i="111" s="1"/>
  <c r="M90" i="107"/>
  <c r="N90" i="107"/>
  <c r="C91" i="107"/>
  <c r="C91" i="111" s="1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C92" i="107"/>
  <c r="C92" i="111" s="1"/>
  <c r="D92" i="107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C93" i="107"/>
  <c r="C93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C94" i="107"/>
  <c r="C94" i="111" s="1"/>
  <c r="D94" i="107"/>
  <c r="E94" i="107"/>
  <c r="E94" i="111" s="1"/>
  <c r="F94" i="107"/>
  <c r="G94" i="107"/>
  <c r="G94" i="111" s="1"/>
  <c r="H94" i="107"/>
  <c r="H94" i="111" s="1"/>
  <c r="I94" i="107"/>
  <c r="I94" i="111" s="1"/>
  <c r="J94" i="107"/>
  <c r="K94" i="107"/>
  <c r="K94" i="111" s="1"/>
  <c r="L94" i="107"/>
  <c r="M94" i="107"/>
  <c r="M94" i="111" s="1"/>
  <c r="N94" i="107"/>
  <c r="C95" i="107"/>
  <c r="C95" i="111" s="1"/>
  <c r="D95" i="107"/>
  <c r="D95" i="111" s="1"/>
  <c r="O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C96" i="107"/>
  <c r="C96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C97" i="107"/>
  <c r="C97" i="111" s="1"/>
  <c r="D97" i="107"/>
  <c r="D97" i="111" s="1"/>
  <c r="E97" i="107"/>
  <c r="E97" i="111" s="1"/>
  <c r="F97" i="107"/>
  <c r="F97" i="111" s="1"/>
  <c r="G97" i="107"/>
  <c r="G97" i="111" s="1"/>
  <c r="H97" i="107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C98" i="107"/>
  <c r="C98" i="111" s="1"/>
  <c r="D98" i="107"/>
  <c r="E98" i="107"/>
  <c r="F98" i="107"/>
  <c r="G98" i="107"/>
  <c r="G98" i="111" s="1"/>
  <c r="H98" i="107"/>
  <c r="H98" i="111" s="1"/>
  <c r="I98" i="107"/>
  <c r="J98" i="107"/>
  <c r="K98" i="107"/>
  <c r="K98" i="111" s="1"/>
  <c r="L98" i="107"/>
  <c r="M98" i="107"/>
  <c r="N98" i="107"/>
  <c r="C99" i="107"/>
  <c r="C99" i="111" s="1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C100" i="107"/>
  <c r="C100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C101" i="107"/>
  <c r="C101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X32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C102" i="107"/>
  <c r="C102" i="111" s="1"/>
  <c r="D102" i="107"/>
  <c r="D102" i="111" s="1"/>
  <c r="E102" i="107"/>
  <c r="E102" i="111" s="1"/>
  <c r="F102" i="107"/>
  <c r="G102" i="107"/>
  <c r="G102" i="111" s="1"/>
  <c r="H102" i="107"/>
  <c r="I102" i="107"/>
  <c r="I102" i="111" s="1"/>
  <c r="J102" i="107"/>
  <c r="K102" i="107"/>
  <c r="K102" i="111" s="1"/>
  <c r="L102" i="107"/>
  <c r="M102" i="107"/>
  <c r="M102" i="111" s="1"/>
  <c r="N102" i="107"/>
  <c r="C103" i="107"/>
  <c r="C103" i="111" s="1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L103" i="107"/>
  <c r="L103" i="111" s="1"/>
  <c r="M103" i="107"/>
  <c r="M103" i="111" s="1"/>
  <c r="N103" i="107"/>
  <c r="N103" i="111" s="1"/>
  <c r="C104" i="107"/>
  <c r="C104" i="111" s="1"/>
  <c r="D104" i="107"/>
  <c r="D104" i="111" s="1"/>
  <c r="E104" i="107"/>
  <c r="E104" i="111" s="1"/>
  <c r="F104" i="107"/>
  <c r="F104" i="111" s="1"/>
  <c r="G104" i="107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C105" i="107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D58" i="107"/>
  <c r="D58" i="111" s="1"/>
  <c r="E58" i="107"/>
  <c r="E58" i="111" s="1"/>
  <c r="F58" i="107"/>
  <c r="F58" i="111" s="1"/>
  <c r="G58" i="107"/>
  <c r="G58" i="111" s="1"/>
  <c r="H58" i="107"/>
  <c r="H58" i="111" s="1"/>
  <c r="I58" i="107"/>
  <c r="I58" i="111" s="1"/>
  <c r="J58" i="107"/>
  <c r="J58" i="111" s="1"/>
  <c r="K58" i="107"/>
  <c r="K58" i="111" s="1"/>
  <c r="L58" i="107"/>
  <c r="L58" i="111" s="1"/>
  <c r="M58" i="107"/>
  <c r="M58" i="111" s="1"/>
  <c r="N58" i="107"/>
  <c r="N58" i="111" s="1"/>
  <c r="C58" i="107"/>
  <c r="C58" i="111" s="1"/>
  <c r="AC33" i="107"/>
  <c r="AB33" i="107"/>
  <c r="Y33" i="107"/>
  <c r="U33" i="107"/>
  <c r="AA32" i="107"/>
  <c r="X32" i="107"/>
  <c r="W32" i="107"/>
  <c r="S32" i="107"/>
  <c r="AC31" i="107"/>
  <c r="AA31" i="107"/>
  <c r="Y31" i="107"/>
  <c r="W31" i="107"/>
  <c r="U31" i="107"/>
  <c r="S31" i="107"/>
  <c r="AA30" i="107"/>
  <c r="W30" i="107"/>
  <c r="S30" i="107"/>
  <c r="AC29" i="107"/>
  <c r="AA29" i="107"/>
  <c r="Y29" i="107"/>
  <c r="X29" i="107"/>
  <c r="W29" i="107"/>
  <c r="U29" i="107"/>
  <c r="S29" i="107"/>
  <c r="AA28" i="107"/>
  <c r="W28" i="107"/>
  <c r="S28" i="107"/>
  <c r="AC27" i="107"/>
  <c r="AA27" i="107"/>
  <c r="Y27" i="107"/>
  <c r="W27" i="107"/>
  <c r="U27" i="107"/>
  <c r="S27" i="107"/>
  <c r="AA26" i="107"/>
  <c r="W26" i="107"/>
  <c r="S26" i="107"/>
  <c r="AC25" i="107"/>
  <c r="AA25" i="107"/>
  <c r="Y25" i="107"/>
  <c r="W25" i="107"/>
  <c r="U25" i="107"/>
  <c r="S25" i="107"/>
  <c r="AA24" i="107"/>
  <c r="W24" i="107"/>
  <c r="S24" i="107"/>
  <c r="AC23" i="107"/>
  <c r="AA23" i="107"/>
  <c r="Y23" i="107"/>
  <c r="X23" i="107"/>
  <c r="W23" i="107"/>
  <c r="U23" i="107"/>
  <c r="S23" i="107"/>
  <c r="AA22" i="107"/>
  <c r="W22" i="107"/>
  <c r="S22" i="107"/>
  <c r="AC33" i="108"/>
  <c r="Y33" i="108"/>
  <c r="U33" i="108"/>
  <c r="T33" i="108"/>
  <c r="AD32" i="108"/>
  <c r="AA32" i="108"/>
  <c r="Z32" i="108"/>
  <c r="W32" i="108"/>
  <c r="V32" i="108"/>
  <c r="S32" i="108"/>
  <c r="AC31" i="108"/>
  <c r="AB31" i="108"/>
  <c r="Y31" i="108"/>
  <c r="U31" i="108"/>
  <c r="T31" i="108"/>
  <c r="AD30" i="108"/>
  <c r="AA30" i="108"/>
  <c r="Z30" i="108"/>
  <c r="W30" i="108"/>
  <c r="V30" i="108"/>
  <c r="S30" i="108"/>
  <c r="AC29" i="108"/>
  <c r="AB29" i="108"/>
  <c r="Y29" i="108"/>
  <c r="U29" i="108"/>
  <c r="T29" i="108"/>
  <c r="AD28" i="108"/>
  <c r="AA28" i="108"/>
  <c r="Z28" i="108"/>
  <c r="W28" i="108"/>
  <c r="V28" i="108"/>
  <c r="S28" i="108"/>
  <c r="AC27" i="108"/>
  <c r="AB27" i="108"/>
  <c r="Y27" i="108"/>
  <c r="U27" i="108"/>
  <c r="AD26" i="108"/>
  <c r="AA26" i="108"/>
  <c r="Z26" i="108"/>
  <c r="W26" i="108"/>
  <c r="V26" i="108"/>
  <c r="T26" i="108"/>
  <c r="S26" i="108"/>
  <c r="AC25" i="108"/>
  <c r="AB25" i="108"/>
  <c r="AA25" i="108"/>
  <c r="Y25" i="108"/>
  <c r="W25" i="108"/>
  <c r="U25" i="108"/>
  <c r="S25" i="108"/>
  <c r="AD24" i="108"/>
  <c r="AB24" i="108"/>
  <c r="AA24" i="108"/>
  <c r="Z24" i="108"/>
  <c r="W24" i="108"/>
  <c r="V24" i="108"/>
  <c r="S24" i="108"/>
  <c r="AC23" i="108"/>
  <c r="AA23" i="108"/>
  <c r="Y23" i="108"/>
  <c r="W23" i="108"/>
  <c r="U23" i="108"/>
  <c r="T23" i="108"/>
  <c r="S23" i="108"/>
  <c r="AD22" i="108"/>
  <c r="AB22" i="108"/>
  <c r="AA22" i="108"/>
  <c r="Z22" i="108"/>
  <c r="W22" i="108"/>
  <c r="V22" i="108"/>
  <c r="S22" i="108"/>
  <c r="AC33" i="111"/>
  <c r="Y33" i="111"/>
  <c r="U33" i="111"/>
  <c r="T33" i="111"/>
  <c r="AA32" i="111"/>
  <c r="W32" i="111"/>
  <c r="S32" i="111"/>
  <c r="AC31" i="111"/>
  <c r="AA31" i="111"/>
  <c r="Y31" i="111"/>
  <c r="X31" i="111"/>
  <c r="W31" i="111"/>
  <c r="U31" i="111"/>
  <c r="S31" i="111"/>
  <c r="AA30" i="111"/>
  <c r="W30" i="111"/>
  <c r="S30" i="111"/>
  <c r="AA29" i="111"/>
  <c r="X29" i="111"/>
  <c r="W29" i="111"/>
  <c r="S29" i="111"/>
  <c r="AA28" i="111"/>
  <c r="W28" i="111"/>
  <c r="S28" i="111"/>
  <c r="AA27" i="111"/>
  <c r="W27" i="111"/>
  <c r="U27" i="111"/>
  <c r="S27" i="111"/>
  <c r="AA26" i="111"/>
  <c r="W26" i="111"/>
  <c r="S26" i="111"/>
  <c r="AC25" i="111"/>
  <c r="AA25" i="111"/>
  <c r="Y25" i="111"/>
  <c r="W25" i="111"/>
  <c r="U25" i="111"/>
  <c r="S25" i="111"/>
  <c r="AA24" i="111"/>
  <c r="W24" i="111"/>
  <c r="S24" i="111"/>
  <c r="AC23" i="111"/>
  <c r="AA23" i="111"/>
  <c r="Y23" i="111"/>
  <c r="W23" i="111"/>
  <c r="U23" i="111"/>
  <c r="S23" i="111"/>
  <c r="AB22" i="111"/>
  <c r="AA22" i="111"/>
  <c r="W22" i="111"/>
  <c r="T22" i="111"/>
  <c r="S22" i="111"/>
  <c r="AB32" i="107" l="1"/>
  <c r="D98" i="111"/>
  <c r="T32" i="111" s="1"/>
  <c r="T32" i="107"/>
  <c r="AB31" i="107"/>
  <c r="D94" i="111"/>
  <c r="T31" i="111" s="1"/>
  <c r="T31" i="107"/>
  <c r="L74" i="111"/>
  <c r="AB26" i="111" s="1"/>
  <c r="AB26" i="107"/>
  <c r="L62" i="111"/>
  <c r="AB23" i="111" s="1"/>
  <c r="AB23" i="107"/>
  <c r="O95" i="107"/>
  <c r="P79" i="107"/>
  <c r="AB32" i="108"/>
  <c r="X31" i="108"/>
  <c r="X30" i="108"/>
  <c r="X29" i="108"/>
  <c r="AB28" i="108"/>
  <c r="X28" i="108"/>
  <c r="T28" i="108"/>
  <c r="X27" i="108"/>
  <c r="AB26" i="108"/>
  <c r="X26" i="108"/>
  <c r="X25" i="108"/>
  <c r="T25" i="108"/>
  <c r="T24" i="108"/>
  <c r="AB23" i="108"/>
  <c r="X23" i="108"/>
  <c r="X22" i="108"/>
  <c r="T22" i="108"/>
  <c r="O95" i="108"/>
  <c r="AC28" i="111"/>
  <c r="X33" i="107"/>
  <c r="H102" i="111"/>
  <c r="X33" i="111" s="1"/>
  <c r="H90" i="111"/>
  <c r="X30" i="111" s="1"/>
  <c r="X30" i="107"/>
  <c r="L86" i="111"/>
  <c r="AB29" i="111" s="1"/>
  <c r="AB29" i="107"/>
  <c r="L82" i="111"/>
  <c r="AB28" i="111" s="1"/>
  <c r="AB28" i="107"/>
  <c r="H78" i="111"/>
  <c r="X27" i="111" s="1"/>
  <c r="X27" i="107"/>
  <c r="D74" i="111"/>
  <c r="T26" i="111" s="1"/>
  <c r="T26" i="107"/>
  <c r="H70" i="111"/>
  <c r="X25" i="111" s="1"/>
  <c r="X25" i="107"/>
  <c r="O63" i="107"/>
  <c r="P63" i="107"/>
  <c r="X33" i="108"/>
  <c r="X32" i="108"/>
  <c r="T25" i="107"/>
  <c r="T27" i="107"/>
  <c r="X31" i="107"/>
  <c r="T33" i="107"/>
  <c r="O91" i="107"/>
  <c r="O75" i="107"/>
  <c r="O59" i="107"/>
  <c r="P91" i="107"/>
  <c r="P75" i="107"/>
  <c r="P59" i="107"/>
  <c r="P105" i="108"/>
  <c r="P104" i="108"/>
  <c r="P101" i="108"/>
  <c r="P100" i="108"/>
  <c r="P98" i="108"/>
  <c r="P97" i="108"/>
  <c r="P96" i="108"/>
  <c r="P93" i="108"/>
  <c r="P91" i="108"/>
  <c r="O89" i="108"/>
  <c r="P87" i="108"/>
  <c r="P85" i="108"/>
  <c r="P83" i="108"/>
  <c r="O81" i="108"/>
  <c r="P79" i="108"/>
  <c r="P77" i="108"/>
  <c r="P75" i="108"/>
  <c r="P67" i="108"/>
  <c r="P63" i="108"/>
  <c r="P59" i="108"/>
  <c r="O59" i="108"/>
  <c r="L94" i="111"/>
  <c r="AB31" i="111" s="1"/>
  <c r="AB30" i="107"/>
  <c r="T30" i="107"/>
  <c r="D90" i="111"/>
  <c r="T30" i="111" s="1"/>
  <c r="D86" i="111"/>
  <c r="T29" i="111" s="1"/>
  <c r="T29" i="107"/>
  <c r="D82" i="111"/>
  <c r="T28" i="111" s="1"/>
  <c r="T28" i="107"/>
  <c r="L78" i="111"/>
  <c r="AB27" i="111" s="1"/>
  <c r="AB27" i="107"/>
  <c r="L70" i="111"/>
  <c r="AB25" i="111" s="1"/>
  <c r="AB25" i="107"/>
  <c r="L66" i="111"/>
  <c r="AB24" i="111" s="1"/>
  <c r="AB24" i="107"/>
  <c r="T24" i="107"/>
  <c r="D66" i="111"/>
  <c r="T24" i="111" s="1"/>
  <c r="D62" i="111"/>
  <c r="T23" i="111" s="1"/>
  <c r="T23" i="107"/>
  <c r="H59" i="111"/>
  <c r="X22" i="111" s="1"/>
  <c r="X22" i="107"/>
  <c r="O79" i="107"/>
  <c r="P95" i="107"/>
  <c r="T32" i="108"/>
  <c r="X24" i="107"/>
  <c r="X26" i="107"/>
  <c r="X28" i="107"/>
  <c r="O103" i="107"/>
  <c r="O87" i="107"/>
  <c r="O71" i="107"/>
  <c r="P103" i="107"/>
  <c r="P87" i="107"/>
  <c r="P71" i="107"/>
  <c r="O58" i="108"/>
  <c r="O103" i="108"/>
  <c r="L98" i="111"/>
  <c r="AB32" i="111" s="1"/>
  <c r="S33" i="107"/>
  <c r="C105" i="111"/>
  <c r="W33" i="107"/>
  <c r="G104" i="111"/>
  <c r="W33" i="111" s="1"/>
  <c r="P104" i="111"/>
  <c r="O104" i="111"/>
  <c r="AA33" i="107"/>
  <c r="K103" i="111"/>
  <c r="AA33" i="111" s="1"/>
  <c r="O103" i="111"/>
  <c r="P103" i="111"/>
  <c r="P102" i="111"/>
  <c r="P101" i="111"/>
  <c r="O101" i="111"/>
  <c r="P100" i="111"/>
  <c r="O100" i="111"/>
  <c r="P99" i="111"/>
  <c r="O99" i="111"/>
  <c r="P98" i="111"/>
  <c r="P97" i="111"/>
  <c r="O97" i="111"/>
  <c r="P96" i="111"/>
  <c r="O96" i="111"/>
  <c r="P95" i="111"/>
  <c r="O94" i="111"/>
  <c r="P93" i="111"/>
  <c r="O93" i="111"/>
  <c r="P92" i="111"/>
  <c r="O92" i="111"/>
  <c r="P91" i="111"/>
  <c r="O91" i="111"/>
  <c r="O90" i="111"/>
  <c r="AE30" i="111" s="1"/>
  <c r="P89" i="111"/>
  <c r="O89" i="111"/>
  <c r="P88" i="111"/>
  <c r="O88" i="111"/>
  <c r="P87" i="111"/>
  <c r="O87" i="111"/>
  <c r="O86" i="111"/>
  <c r="AE29" i="111" s="1"/>
  <c r="P85" i="111"/>
  <c r="O85" i="111"/>
  <c r="P84" i="111"/>
  <c r="O84" i="111"/>
  <c r="P83" i="111"/>
  <c r="O83" i="111"/>
  <c r="P81" i="111"/>
  <c r="O81" i="111"/>
  <c r="P80" i="111"/>
  <c r="O80" i="111"/>
  <c r="O79" i="111"/>
  <c r="P77" i="111"/>
  <c r="O77" i="111"/>
  <c r="P76" i="111"/>
  <c r="O76" i="111"/>
  <c r="P75" i="111"/>
  <c r="O75" i="111"/>
  <c r="P73" i="111"/>
  <c r="O73" i="111"/>
  <c r="P72" i="111"/>
  <c r="O72" i="111"/>
  <c r="O71" i="111"/>
  <c r="P71" i="111"/>
  <c r="P69" i="111"/>
  <c r="O69" i="111"/>
  <c r="P68" i="111"/>
  <c r="O68" i="111"/>
  <c r="P67" i="111"/>
  <c r="O67" i="111"/>
  <c r="P65" i="111"/>
  <c r="O65" i="111"/>
  <c r="P64" i="111"/>
  <c r="O64" i="111"/>
  <c r="P63" i="111"/>
  <c r="P61" i="111"/>
  <c r="O61" i="111"/>
  <c r="P60" i="111"/>
  <c r="O60" i="111"/>
  <c r="O102" i="107"/>
  <c r="O98" i="107"/>
  <c r="O94" i="107"/>
  <c r="O90" i="107"/>
  <c r="O86" i="107"/>
  <c r="O82" i="107"/>
  <c r="O78" i="107"/>
  <c r="O74" i="107"/>
  <c r="O70" i="107"/>
  <c r="O66" i="107"/>
  <c r="O62" i="107"/>
  <c r="O58" i="107"/>
  <c r="P102" i="107"/>
  <c r="P98" i="107"/>
  <c r="P94" i="107"/>
  <c r="P90" i="107"/>
  <c r="P86" i="107"/>
  <c r="P82" i="107"/>
  <c r="P78" i="107"/>
  <c r="P74" i="107"/>
  <c r="P70" i="107"/>
  <c r="P66" i="107"/>
  <c r="P62" i="107"/>
  <c r="P58" i="107"/>
  <c r="AA33" i="108"/>
  <c r="W33" i="108"/>
  <c r="S33" i="108"/>
  <c r="AA31" i="108"/>
  <c r="W31" i="108"/>
  <c r="S31" i="108"/>
  <c r="P92" i="108"/>
  <c r="P90" i="108"/>
  <c r="P88" i="108"/>
  <c r="AA29" i="108"/>
  <c r="W29" i="108"/>
  <c r="S29" i="108"/>
  <c r="P86" i="108"/>
  <c r="AF29" i="108" s="1"/>
  <c r="P84" i="108"/>
  <c r="P82" i="108"/>
  <c r="P80" i="108"/>
  <c r="AA27" i="108"/>
  <c r="W27" i="108"/>
  <c r="S27" i="108"/>
  <c r="P78" i="108"/>
  <c r="AF27" i="108" s="1"/>
  <c r="P76" i="108"/>
  <c r="P74" i="108"/>
  <c r="P73" i="108"/>
  <c r="P72" i="108"/>
  <c r="P70" i="108"/>
  <c r="P69" i="108"/>
  <c r="P68" i="108"/>
  <c r="P66" i="108"/>
  <c r="P65" i="108"/>
  <c r="P64" i="108"/>
  <c r="P62" i="108"/>
  <c r="P61" i="108"/>
  <c r="AF22" i="108" s="1"/>
  <c r="P60" i="108"/>
  <c r="O102" i="108"/>
  <c r="O98" i="108"/>
  <c r="O94" i="108"/>
  <c r="O90" i="108"/>
  <c r="O86" i="108"/>
  <c r="O82" i="108"/>
  <c r="O78" i="108"/>
  <c r="O74" i="108"/>
  <c r="O70" i="108"/>
  <c r="O66" i="108"/>
  <c r="O62" i="108"/>
  <c r="AE23" i="108" s="1"/>
  <c r="P102" i="108"/>
  <c r="P94" i="108"/>
  <c r="O63" i="111"/>
  <c r="P58" i="111"/>
  <c r="O58" i="111"/>
  <c r="AD33" i="107"/>
  <c r="N102" i="111"/>
  <c r="AD33" i="111" s="1"/>
  <c r="Z33" i="107"/>
  <c r="J102" i="111"/>
  <c r="Z33" i="111" s="1"/>
  <c r="V33" i="107"/>
  <c r="F102" i="111"/>
  <c r="V33" i="111" s="1"/>
  <c r="AD32" i="107"/>
  <c r="N98" i="111"/>
  <c r="AD32" i="111" s="1"/>
  <c r="Z32" i="107"/>
  <c r="J98" i="111"/>
  <c r="Z32" i="111" s="1"/>
  <c r="V32" i="107"/>
  <c r="F98" i="111"/>
  <c r="V32" i="111" s="1"/>
  <c r="AD31" i="107"/>
  <c r="N94" i="111"/>
  <c r="AD31" i="111" s="1"/>
  <c r="Z31" i="107"/>
  <c r="J94" i="111"/>
  <c r="Z31" i="111" s="1"/>
  <c r="V31" i="107"/>
  <c r="F94" i="111"/>
  <c r="V31" i="111" s="1"/>
  <c r="AD30" i="107"/>
  <c r="N90" i="111"/>
  <c r="AD30" i="111" s="1"/>
  <c r="Z30" i="107"/>
  <c r="J90" i="111"/>
  <c r="Z30" i="111" s="1"/>
  <c r="V30" i="107"/>
  <c r="F90" i="111"/>
  <c r="V30" i="111" s="1"/>
  <c r="AD29" i="107"/>
  <c r="N86" i="111"/>
  <c r="AD29" i="111" s="1"/>
  <c r="Z29" i="107"/>
  <c r="J86" i="111"/>
  <c r="Z29" i="111" s="1"/>
  <c r="V29" i="107"/>
  <c r="F86" i="111"/>
  <c r="V29" i="111" s="1"/>
  <c r="AD28" i="107"/>
  <c r="N82" i="111"/>
  <c r="AD28" i="111" s="1"/>
  <c r="Z28" i="107"/>
  <c r="J82" i="111"/>
  <c r="Z28" i="111" s="1"/>
  <c r="V28" i="107"/>
  <c r="F82" i="111"/>
  <c r="V28" i="111" s="1"/>
  <c r="AD27" i="107"/>
  <c r="N78" i="111"/>
  <c r="AD27" i="111" s="1"/>
  <c r="Z27" i="107"/>
  <c r="J78" i="111"/>
  <c r="Z27" i="111" s="1"/>
  <c r="V27" i="107"/>
  <c r="F78" i="111"/>
  <c r="V27" i="111" s="1"/>
  <c r="AD26" i="107"/>
  <c r="N74" i="111"/>
  <c r="AD26" i="111" s="1"/>
  <c r="Z26" i="107"/>
  <c r="J74" i="111"/>
  <c r="Z26" i="111" s="1"/>
  <c r="V26" i="107"/>
  <c r="F74" i="111"/>
  <c r="V26" i="111" s="1"/>
  <c r="AD25" i="107"/>
  <c r="N70" i="111"/>
  <c r="AD25" i="111" s="1"/>
  <c r="Z25" i="107"/>
  <c r="J70" i="111"/>
  <c r="Z25" i="111" s="1"/>
  <c r="V25" i="107"/>
  <c r="F70" i="111"/>
  <c r="V25" i="111" s="1"/>
  <c r="AD24" i="107"/>
  <c r="N66" i="111"/>
  <c r="AD24" i="111" s="1"/>
  <c r="Z24" i="107"/>
  <c r="J66" i="111"/>
  <c r="Z24" i="111" s="1"/>
  <c r="V24" i="107"/>
  <c r="F66" i="111"/>
  <c r="V24" i="111" s="1"/>
  <c r="AD23" i="107"/>
  <c r="N62" i="111"/>
  <c r="AD23" i="111" s="1"/>
  <c r="Z23" i="107"/>
  <c r="J62" i="111"/>
  <c r="Z23" i="111" s="1"/>
  <c r="V23" i="107"/>
  <c r="F62" i="111"/>
  <c r="V23" i="111" s="1"/>
  <c r="AD22" i="107"/>
  <c r="N59" i="111"/>
  <c r="AD22" i="111" s="1"/>
  <c r="Z22" i="107"/>
  <c r="J59" i="111"/>
  <c r="Z22" i="111" s="1"/>
  <c r="V22" i="107"/>
  <c r="F59" i="111"/>
  <c r="V22" i="111" s="1"/>
  <c r="O105" i="107"/>
  <c r="O101" i="107"/>
  <c r="O97" i="107"/>
  <c r="AE31" i="107" s="1"/>
  <c r="O93" i="107"/>
  <c r="O89" i="107"/>
  <c r="O85" i="107"/>
  <c r="O81" i="107"/>
  <c r="O77" i="107"/>
  <c r="O73" i="107"/>
  <c r="O69" i="107"/>
  <c r="O65" i="107"/>
  <c r="AE23" i="107" s="1"/>
  <c r="O61" i="107"/>
  <c r="P105" i="107"/>
  <c r="P101" i="107"/>
  <c r="P97" i="107"/>
  <c r="AF31" i="107" s="1"/>
  <c r="P93" i="107"/>
  <c r="P89" i="107"/>
  <c r="P85" i="107"/>
  <c r="P81" i="107"/>
  <c r="AF27" i="107" s="1"/>
  <c r="P77" i="107"/>
  <c r="P73" i="107"/>
  <c r="P69" i="107"/>
  <c r="P65" i="107"/>
  <c r="AF23" i="107" s="1"/>
  <c r="P61" i="107"/>
  <c r="P58" i="108"/>
  <c r="AD33" i="108"/>
  <c r="Z33" i="108"/>
  <c r="V33" i="108"/>
  <c r="AD31" i="108"/>
  <c r="Z31" i="108"/>
  <c r="V31" i="108"/>
  <c r="AD29" i="108"/>
  <c r="Z29" i="108"/>
  <c r="V29" i="108"/>
  <c r="AD27" i="108"/>
  <c r="Z27" i="108"/>
  <c r="V27" i="108"/>
  <c r="AD25" i="108"/>
  <c r="Z25" i="108"/>
  <c r="V25" i="108"/>
  <c r="AD23" i="108"/>
  <c r="Z23" i="108"/>
  <c r="V23" i="108"/>
  <c r="O105" i="108"/>
  <c r="O101" i="108"/>
  <c r="O97" i="108"/>
  <c r="O93" i="108"/>
  <c r="O85" i="108"/>
  <c r="O77" i="108"/>
  <c r="O73" i="108"/>
  <c r="O69" i="108"/>
  <c r="O65" i="108"/>
  <c r="O61" i="108"/>
  <c r="P79" i="111"/>
  <c r="T22" i="107"/>
  <c r="AB22" i="107"/>
  <c r="AC32" i="107"/>
  <c r="M98" i="111"/>
  <c r="AC32" i="111" s="1"/>
  <c r="Y32" i="107"/>
  <c r="I98" i="111"/>
  <c r="Y32" i="111" s="1"/>
  <c r="U32" i="107"/>
  <c r="E98" i="111"/>
  <c r="U32" i="111" s="1"/>
  <c r="AC30" i="107"/>
  <c r="M90" i="111"/>
  <c r="AC30" i="111" s="1"/>
  <c r="Y30" i="107"/>
  <c r="I90" i="111"/>
  <c r="Y30" i="111" s="1"/>
  <c r="U30" i="107"/>
  <c r="E90" i="111"/>
  <c r="U30" i="111" s="1"/>
  <c r="AC28" i="107"/>
  <c r="Y28" i="107"/>
  <c r="I82" i="111"/>
  <c r="Y28" i="111" s="1"/>
  <c r="U28" i="107"/>
  <c r="E82" i="111"/>
  <c r="U28" i="111" s="1"/>
  <c r="AC26" i="107"/>
  <c r="M74" i="111"/>
  <c r="AC26" i="111" s="1"/>
  <c r="Y26" i="107"/>
  <c r="I74" i="111"/>
  <c r="Y26" i="111" s="1"/>
  <c r="U26" i="107"/>
  <c r="E74" i="111"/>
  <c r="U26" i="111" s="1"/>
  <c r="AC24" i="107"/>
  <c r="M66" i="111"/>
  <c r="AC24" i="111" s="1"/>
  <c r="Y24" i="107"/>
  <c r="I66" i="111"/>
  <c r="Y24" i="111" s="1"/>
  <c r="U24" i="107"/>
  <c r="E66" i="111"/>
  <c r="U24" i="111" s="1"/>
  <c r="AC22" i="107"/>
  <c r="M59" i="111"/>
  <c r="AC22" i="111" s="1"/>
  <c r="Y22" i="107"/>
  <c r="I59" i="111"/>
  <c r="Y22" i="111" s="1"/>
  <c r="U22" i="107"/>
  <c r="E59" i="111"/>
  <c r="U22" i="111" s="1"/>
  <c r="O104" i="107"/>
  <c r="O100" i="107"/>
  <c r="O96" i="107"/>
  <c r="O92" i="107"/>
  <c r="O88" i="107"/>
  <c r="O84" i="107"/>
  <c r="O80" i="107"/>
  <c r="O76" i="107"/>
  <c r="O72" i="107"/>
  <c r="O68" i="107"/>
  <c r="O64" i="107"/>
  <c r="O60" i="107"/>
  <c r="P104" i="107"/>
  <c r="P100" i="107"/>
  <c r="P96" i="107"/>
  <c r="P92" i="107"/>
  <c r="P88" i="107"/>
  <c r="P84" i="107"/>
  <c r="P80" i="107"/>
  <c r="P76" i="107"/>
  <c r="P72" i="107"/>
  <c r="P68" i="107"/>
  <c r="P64" i="107"/>
  <c r="P60" i="107"/>
  <c r="AC32" i="108"/>
  <c r="Y32" i="108"/>
  <c r="U32" i="108"/>
  <c r="AC30" i="108"/>
  <c r="Y30" i="108"/>
  <c r="U30" i="108"/>
  <c r="AC28" i="108"/>
  <c r="Y28" i="108"/>
  <c r="U28" i="108"/>
  <c r="AC26" i="108"/>
  <c r="Y26" i="108"/>
  <c r="U26" i="108"/>
  <c r="AC24" i="108"/>
  <c r="Y24" i="108"/>
  <c r="U24" i="108"/>
  <c r="AC22" i="108"/>
  <c r="Y22" i="108"/>
  <c r="U22" i="108"/>
  <c r="O104" i="108"/>
  <c r="O100" i="108"/>
  <c r="AE32" i="108" s="1"/>
  <c r="O96" i="108"/>
  <c r="O92" i="108"/>
  <c r="O88" i="108"/>
  <c r="O84" i="108"/>
  <c r="O80" i="108"/>
  <c r="O76" i="108"/>
  <c r="O72" i="108"/>
  <c r="AE25" i="108" s="1"/>
  <c r="O68" i="108"/>
  <c r="AE24" i="108" s="1"/>
  <c r="O64" i="108"/>
  <c r="O60" i="108"/>
  <c r="O82" i="111" l="1"/>
  <c r="AE33" i="108"/>
  <c r="AF24" i="107"/>
  <c r="AF28" i="107"/>
  <c r="AE24" i="107"/>
  <c r="AE32" i="107"/>
  <c r="AE28" i="108"/>
  <c r="AF25" i="108"/>
  <c r="AE27" i="107"/>
  <c r="P59" i="111"/>
  <c r="AF22" i="111"/>
  <c r="O66" i="111"/>
  <c r="AE24" i="111" s="1"/>
  <c r="O70" i="111"/>
  <c r="O74" i="111"/>
  <c r="O78" i="111"/>
  <c r="P82" i="111"/>
  <c r="AF28" i="111" s="1"/>
  <c r="P86" i="111"/>
  <c r="AF29" i="111" s="1"/>
  <c r="P90" i="111"/>
  <c r="AF30" i="111" s="1"/>
  <c r="P94" i="111"/>
  <c r="AE31" i="111"/>
  <c r="P105" i="111"/>
  <c r="AF33" i="111" s="1"/>
  <c r="O105" i="111"/>
  <c r="S33" i="111"/>
  <c r="AE27" i="108"/>
  <c r="AF31" i="108"/>
  <c r="O59" i="111"/>
  <c r="AF24" i="111"/>
  <c r="AE30" i="108"/>
  <c r="AE22" i="108"/>
  <c r="AE26" i="108"/>
  <c r="AF33" i="107"/>
  <c r="AE25" i="107"/>
  <c r="AE29" i="107"/>
  <c r="AE33" i="107"/>
  <c r="AE29" i="108"/>
  <c r="AF24" i="108"/>
  <c r="AF32" i="107"/>
  <c r="AE28" i="107"/>
  <c r="O62" i="111"/>
  <c r="P66" i="111"/>
  <c r="P70" i="111"/>
  <c r="P74" i="111"/>
  <c r="AF26" i="111" s="1"/>
  <c r="P78" i="111"/>
  <c r="AE27" i="111"/>
  <c r="AE28" i="111"/>
  <c r="AF31" i="111"/>
  <c r="AF32" i="111"/>
  <c r="AF32" i="108"/>
  <c r="AF33" i="108"/>
  <c r="AF25" i="111"/>
  <c r="AE31" i="108"/>
  <c r="AF22" i="107"/>
  <c r="AF26" i="107"/>
  <c r="AF30" i="107"/>
  <c r="AE22" i="107"/>
  <c r="AE26" i="107"/>
  <c r="AE30" i="107"/>
  <c r="AE22" i="111"/>
  <c r="AF23" i="108"/>
  <c r="AF25" i="107"/>
  <c r="AF29" i="107"/>
  <c r="P62" i="111"/>
  <c r="AF23" i="111" s="1"/>
  <c r="AE23" i="111"/>
  <c r="AE25" i="111"/>
  <c r="AE26" i="111"/>
  <c r="AF27" i="111"/>
  <c r="O98" i="111"/>
  <c r="AE32" i="111" s="1"/>
  <c r="O102" i="111"/>
  <c r="AF26" i="108"/>
  <c r="AF28" i="108"/>
  <c r="AF30" i="108"/>
  <c r="AE33" i="111" l="1"/>
  <c r="K6" i="94"/>
  <c r="C3" i="94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7" l="1"/>
  <c r="K6" i="104"/>
  <c r="K6" i="108" s="1"/>
  <c r="K6" i="111" s="1"/>
  <c r="K5" i="104"/>
  <c r="K5" i="108" s="1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11" s="1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AA27" i="99" l="1"/>
  <c r="AA39" i="101"/>
  <c r="X39" i="105"/>
  <c r="AD38" i="101"/>
  <c r="Y39" i="109"/>
  <c r="X26" i="98"/>
  <c r="Z39" i="101"/>
  <c r="AB39" i="101"/>
  <c r="AD39" i="101"/>
  <c r="W26" i="95"/>
  <c r="AD26" i="95"/>
  <c r="C3" i="108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W38" i="110" s="1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AD13" i="108" s="1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Y14" i="108" s="1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Y19" i="108" s="1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5" i="108" s="1"/>
  <c r="AA16" i="94"/>
  <c r="K34" i="108"/>
  <c r="AA16" i="108" s="1"/>
  <c r="AA18" i="94"/>
  <c r="K42" i="108"/>
  <c r="AA18" i="108" s="1"/>
  <c r="M54" i="108"/>
  <c r="M50" i="108"/>
  <c r="AC20" i="108" s="1"/>
  <c r="M46" i="108"/>
  <c r="AC19" i="108" s="1"/>
  <c r="C42" i="108"/>
  <c r="S18" i="108" s="1"/>
  <c r="C34" i="108"/>
  <c r="S16" i="108" s="1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U20" i="108" s="1"/>
  <c r="C46" i="108"/>
  <c r="S19" i="108" s="1"/>
  <c r="C38" i="108"/>
  <c r="S17" i="108" s="1"/>
  <c r="C30" i="108"/>
  <c r="S15" i="108" s="1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V11" i="108" s="1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Y21" i="108" s="1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S13" i="108" s="1"/>
  <c r="E22" i="108"/>
  <c r="U13" i="108" s="1"/>
  <c r="G22" i="108"/>
  <c r="I22" i="108"/>
  <c r="K22" i="108"/>
  <c r="AA13" i="108" s="1"/>
  <c r="M22" i="108"/>
  <c r="AC13" i="108" s="1"/>
  <c r="C23" i="108"/>
  <c r="E23" i="108"/>
  <c r="G23" i="108"/>
  <c r="I23" i="108"/>
  <c r="K23" i="108"/>
  <c r="M23" i="108"/>
  <c r="D106" i="110"/>
  <c r="L106" i="110"/>
  <c r="P27" i="110"/>
  <c r="S14" i="110"/>
  <c r="G54" i="108"/>
  <c r="W21" i="108" s="1"/>
  <c r="C54" i="108"/>
  <c r="S21" i="108" s="1"/>
  <c r="K50" i="108"/>
  <c r="G50" i="108"/>
  <c r="C50" i="108"/>
  <c r="K46" i="108"/>
  <c r="AA19" i="108" s="1"/>
  <c r="G46" i="108"/>
  <c r="G38" i="108"/>
  <c r="W17" i="108" s="1"/>
  <c r="G30" i="108"/>
  <c r="W15" i="108" s="1"/>
  <c r="G26" i="108"/>
  <c r="W14" i="108" s="1"/>
  <c r="F22" i="108"/>
  <c r="H12" i="108"/>
  <c r="L12" i="108"/>
  <c r="D13" i="108"/>
  <c r="H13" i="108"/>
  <c r="L13" i="108"/>
  <c r="D14" i="108"/>
  <c r="H14" i="108"/>
  <c r="X11" i="108" s="1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X12" i="108" s="1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X13" i="108" s="1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H106" i="107" l="1"/>
  <c r="X10" i="107"/>
  <c r="AA19" i="107"/>
  <c r="AA17" i="107"/>
  <c r="W16" i="107"/>
  <c r="S15" i="107"/>
  <c r="AA13" i="107"/>
  <c r="AA12" i="107"/>
  <c r="S11" i="107"/>
  <c r="C106" i="108"/>
  <c r="S10" i="108"/>
  <c r="X16" i="108"/>
  <c r="X14" i="108"/>
  <c r="AC18" i="108"/>
  <c r="AC16" i="108"/>
  <c r="X20" i="108"/>
  <c r="X19" i="108"/>
  <c r="D106" i="107"/>
  <c r="T10" i="107"/>
  <c r="S21" i="107"/>
  <c r="S20" i="107"/>
  <c r="AA18" i="107"/>
  <c r="W17" i="107"/>
  <c r="S16" i="107"/>
  <c r="S14" i="107"/>
  <c r="S39" i="108"/>
  <c r="Y12" i="108"/>
  <c r="K106" i="107"/>
  <c r="AA10" i="107"/>
  <c r="Z21" i="107"/>
  <c r="AD20" i="107"/>
  <c r="AD19" i="107"/>
  <c r="Z19" i="107"/>
  <c r="Z39" i="107" s="1"/>
  <c r="V19" i="107"/>
  <c r="AD18" i="107"/>
  <c r="Z18" i="107"/>
  <c r="V18" i="107"/>
  <c r="AD17" i="107"/>
  <c r="Z17" i="107"/>
  <c r="V17" i="107"/>
  <c r="AD16" i="107"/>
  <c r="Z16" i="107"/>
  <c r="V16" i="107"/>
  <c r="AD15" i="107"/>
  <c r="Z15" i="107"/>
  <c r="V15" i="107"/>
  <c r="AD14" i="107"/>
  <c r="Z14" i="107"/>
  <c r="V14" i="107"/>
  <c r="V38" i="107" s="1"/>
  <c r="AD13" i="107"/>
  <c r="Z13" i="107"/>
  <c r="V13" i="107"/>
  <c r="AD12" i="107"/>
  <c r="Z12" i="107"/>
  <c r="V12" i="107"/>
  <c r="AD11" i="107"/>
  <c r="Z11" i="107"/>
  <c r="V11" i="107"/>
  <c r="D106" i="108"/>
  <c r="T10" i="108"/>
  <c r="V39" i="108"/>
  <c r="AD18" i="108"/>
  <c r="V18" i="108"/>
  <c r="AD17" i="108"/>
  <c r="V17" i="108"/>
  <c r="AD16" i="108"/>
  <c r="V16" i="108"/>
  <c r="AD15" i="108"/>
  <c r="AD35" i="108" s="1"/>
  <c r="V15" i="108"/>
  <c r="AD14" i="108"/>
  <c r="V14" i="108"/>
  <c r="T13" i="108"/>
  <c r="T12" i="108"/>
  <c r="T11" i="108"/>
  <c r="S20" i="108"/>
  <c r="S36" i="108" s="1"/>
  <c r="S35" i="108"/>
  <c r="V12" i="108"/>
  <c r="S14" i="108"/>
  <c r="S38" i="108" s="1"/>
  <c r="AA14" i="108"/>
  <c r="AA35" i="108" s="1"/>
  <c r="U19" i="108"/>
  <c r="Y18" i="108"/>
  <c r="U17" i="108"/>
  <c r="Y16" i="108"/>
  <c r="U14" i="108"/>
  <c r="W12" i="108"/>
  <c r="W11" i="108"/>
  <c r="K106" i="108"/>
  <c r="AA10" i="108"/>
  <c r="AD21" i="108"/>
  <c r="V21" i="108"/>
  <c r="AD20" i="108"/>
  <c r="V20" i="108"/>
  <c r="V36" i="108" s="1"/>
  <c r="AD19" i="108"/>
  <c r="Z13" i="108"/>
  <c r="W21" i="107"/>
  <c r="W20" i="107"/>
  <c r="W19" i="107"/>
  <c r="S18" i="107"/>
  <c r="AA16" i="107"/>
  <c r="W15" i="107"/>
  <c r="AA14" i="107"/>
  <c r="S13" i="107"/>
  <c r="S12" i="107"/>
  <c r="AA11" i="107"/>
  <c r="X18" i="108"/>
  <c r="F106" i="108"/>
  <c r="V10" i="108"/>
  <c r="U15" i="108"/>
  <c r="E106" i="108"/>
  <c r="U10" i="108"/>
  <c r="Z12" i="108"/>
  <c r="C106" i="107"/>
  <c r="S10" i="107"/>
  <c r="G106" i="107"/>
  <c r="W10" i="107"/>
  <c r="AD21" i="107"/>
  <c r="Z20" i="107"/>
  <c r="N106" i="107"/>
  <c r="AD10" i="107"/>
  <c r="J106" i="107"/>
  <c r="Z10" i="107"/>
  <c r="F106" i="107"/>
  <c r="V10" i="107"/>
  <c r="AC21" i="107"/>
  <c r="Y21" i="107"/>
  <c r="U21" i="107"/>
  <c r="AC20" i="107"/>
  <c r="Y20" i="107"/>
  <c r="Y36" i="107" s="1"/>
  <c r="U20" i="107"/>
  <c r="AC19" i="107"/>
  <c r="Y19" i="107"/>
  <c r="U19" i="107"/>
  <c r="U39" i="107" s="1"/>
  <c r="AC18" i="107"/>
  <c r="Y18" i="107"/>
  <c r="U18" i="107"/>
  <c r="AC17" i="107"/>
  <c r="Y17" i="107"/>
  <c r="U17" i="107"/>
  <c r="AC16" i="107"/>
  <c r="Y16" i="107"/>
  <c r="U16" i="107"/>
  <c r="AC15" i="107"/>
  <c r="Y15" i="107"/>
  <c r="U15" i="107"/>
  <c r="AC14" i="107"/>
  <c r="Y14" i="107"/>
  <c r="U14" i="107"/>
  <c r="AC13" i="107"/>
  <c r="AC35" i="107" s="1"/>
  <c r="Y13" i="107"/>
  <c r="U13" i="107"/>
  <c r="AC12" i="107"/>
  <c r="Y12" i="107"/>
  <c r="U12" i="107"/>
  <c r="AC11" i="107"/>
  <c r="Y11" i="107"/>
  <c r="U11" i="107"/>
  <c r="Y38" i="105"/>
  <c r="U38" i="109"/>
  <c r="H106" i="108"/>
  <c r="X10" i="108"/>
  <c r="T19" i="108"/>
  <c r="AB18" i="108"/>
  <c r="T18" i="108"/>
  <c r="AB17" i="108"/>
  <c r="T17" i="108"/>
  <c r="AB16" i="108"/>
  <c r="T16" i="108"/>
  <c r="AB15" i="108"/>
  <c r="T15" i="108"/>
  <c r="AB14" i="108"/>
  <c r="T14" i="108"/>
  <c r="W20" i="108"/>
  <c r="Y13" i="108"/>
  <c r="Y38" i="108" s="1"/>
  <c r="Y20" i="108"/>
  <c r="Y36" i="108" s="1"/>
  <c r="U21" i="108"/>
  <c r="N106" i="108"/>
  <c r="AD10" i="108"/>
  <c r="AC21" i="108"/>
  <c r="AC36" i="108" s="1"/>
  <c r="W18" i="108"/>
  <c r="AC17" i="108"/>
  <c r="W16" i="108"/>
  <c r="AC15" i="108"/>
  <c r="AC12" i="108"/>
  <c r="U12" i="108"/>
  <c r="AC11" i="108"/>
  <c r="U11" i="108"/>
  <c r="I106" i="108"/>
  <c r="Y10" i="108"/>
  <c r="AB21" i="108"/>
  <c r="T21" i="108"/>
  <c r="AB20" i="108"/>
  <c r="T20" i="108"/>
  <c r="AB19" i="108"/>
  <c r="AD11" i="108"/>
  <c r="L106" i="107"/>
  <c r="AB10" i="107"/>
  <c r="AA21" i="107"/>
  <c r="AA20" i="107"/>
  <c r="S19" i="107"/>
  <c r="W18" i="107"/>
  <c r="S17" i="107"/>
  <c r="AA15" i="107"/>
  <c r="W14" i="107"/>
  <c r="W13" i="107"/>
  <c r="W12" i="107"/>
  <c r="W11" i="107"/>
  <c r="X17" i="108"/>
  <c r="X15" i="108"/>
  <c r="X38" i="108" s="1"/>
  <c r="AC39" i="108"/>
  <c r="Y17" i="108"/>
  <c r="S38" i="110"/>
  <c r="Y11" i="108"/>
  <c r="M106" i="108"/>
  <c r="AC10" i="108"/>
  <c r="X21" i="108"/>
  <c r="V21" i="107"/>
  <c r="V20" i="107"/>
  <c r="V36" i="107" s="1"/>
  <c r="M106" i="107"/>
  <c r="AC10" i="107"/>
  <c r="I106" i="107"/>
  <c r="Y10" i="107"/>
  <c r="E106" i="107"/>
  <c r="U10" i="107"/>
  <c r="AB21" i="107"/>
  <c r="X21" i="107"/>
  <c r="T21" i="107"/>
  <c r="AB20" i="107"/>
  <c r="X20" i="107"/>
  <c r="T20" i="107"/>
  <c r="AB19" i="107"/>
  <c r="X19" i="107"/>
  <c r="T19" i="107"/>
  <c r="AB18" i="107"/>
  <c r="X18" i="107"/>
  <c r="T18" i="107"/>
  <c r="AB17" i="107"/>
  <c r="X17" i="107"/>
  <c r="T17" i="107"/>
  <c r="AB16" i="107"/>
  <c r="X16" i="107"/>
  <c r="T16" i="107"/>
  <c r="AB15" i="107"/>
  <c r="X15" i="107"/>
  <c r="T15" i="107"/>
  <c r="AB14" i="107"/>
  <c r="X14" i="107"/>
  <c r="T14" i="107"/>
  <c r="AB13" i="107"/>
  <c r="X13" i="107"/>
  <c r="T13" i="107"/>
  <c r="AB12" i="107"/>
  <c r="X12" i="107"/>
  <c r="T12" i="107"/>
  <c r="AB11" i="107"/>
  <c r="X11" i="107"/>
  <c r="T11" i="107"/>
  <c r="L106" i="108"/>
  <c r="AB10" i="108"/>
  <c r="Z18" i="108"/>
  <c r="Z17" i="108"/>
  <c r="Z16" i="108"/>
  <c r="Z15" i="108"/>
  <c r="Z14" i="108"/>
  <c r="AB13" i="108"/>
  <c r="AB12" i="108"/>
  <c r="AB11" i="108"/>
  <c r="V13" i="108"/>
  <c r="W19" i="108"/>
  <c r="AA20" i="108"/>
  <c r="AA39" i="108" s="1"/>
  <c r="W13" i="108"/>
  <c r="AA21" i="108"/>
  <c r="AA36" i="108" s="1"/>
  <c r="J106" i="108"/>
  <c r="Z10" i="108"/>
  <c r="U18" i="108"/>
  <c r="AA17" i="108"/>
  <c r="U16" i="108"/>
  <c r="U35" i="108" s="1"/>
  <c r="Y15" i="108"/>
  <c r="AC14" i="108"/>
  <c r="AA12" i="108"/>
  <c r="S12" i="108"/>
  <c r="AA11" i="108"/>
  <c r="S11" i="108"/>
  <c r="S37" i="108" s="1"/>
  <c r="G106" i="108"/>
  <c r="W10" i="108"/>
  <c r="Z21" i="108"/>
  <c r="Z20" i="108"/>
  <c r="Z19" i="108"/>
  <c r="AD12" i="108"/>
  <c r="Z11" i="108"/>
  <c r="AF32" i="101"/>
  <c r="AF33" i="101"/>
  <c r="Z26" i="95"/>
  <c r="AF25" i="101"/>
  <c r="AF28" i="101"/>
  <c r="S38" i="105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S20" i="111" s="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U18" i="111" s="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AB21" i="111" s="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AB20" i="111" s="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AB18" i="111" s="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AB17" i="111" s="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AB15" i="111" s="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AD13" i="111" s="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X11" i="111" s="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W15" i="111" s="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U14" i="111" s="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W13" i="111" s="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W12" i="111" s="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W11" i="111" s="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AD21" i="111" s="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AD20" i="111" s="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AD19" i="111" s="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AD18" i="111" s="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AD17" i="111" s="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AD16" i="111" s="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AD15" i="111" s="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AD14" i="111" s="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AB13" i="111" s="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U21" i="111" s="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AC19" i="111" s="1"/>
  <c r="K46" i="11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W16" i="111" s="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U15" i="111" s="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U13" i="111" s="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U11" i="111" s="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AF20" i="108" s="1"/>
  <c r="P42" i="108"/>
  <c r="P34" i="108"/>
  <c r="AF16" i="108" s="1"/>
  <c r="O54" i="108"/>
  <c r="O42" i="108"/>
  <c r="O34" i="108"/>
  <c r="P18" i="108"/>
  <c r="AF12" i="108" s="1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AE17" i="107" s="1"/>
  <c r="P37" i="107"/>
  <c r="O36" i="107"/>
  <c r="O35" i="107"/>
  <c r="O34" i="107"/>
  <c r="AE16" i="107" s="1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AE12" i="107" s="1"/>
  <c r="O16" i="107"/>
  <c r="O14" i="107"/>
  <c r="O12" i="107"/>
  <c r="P26" i="107"/>
  <c r="P38" i="107"/>
  <c r="AF17" i="107" s="1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F19" i="108" l="1"/>
  <c r="O106" i="108"/>
  <c r="AE10" i="108"/>
  <c r="G106" i="111"/>
  <c r="W10" i="111"/>
  <c r="S36" i="111"/>
  <c r="S39" i="111"/>
  <c r="F106" i="111"/>
  <c r="V10" i="111"/>
  <c r="AB38" i="111"/>
  <c r="AB35" i="111"/>
  <c r="AD39" i="111"/>
  <c r="AD36" i="111"/>
  <c r="W37" i="111"/>
  <c r="U16" i="111"/>
  <c r="U35" i="111" s="1"/>
  <c r="Z12" i="111"/>
  <c r="AD35" i="111"/>
  <c r="AD38" i="111"/>
  <c r="AB36" i="111"/>
  <c r="AB39" i="111"/>
  <c r="M106" i="111"/>
  <c r="AC10" i="111"/>
  <c r="U17" i="111"/>
  <c r="U38" i="111" s="1"/>
  <c r="U19" i="111"/>
  <c r="W21" i="111"/>
  <c r="D106" i="111"/>
  <c r="T10" i="111"/>
  <c r="Z39" i="108"/>
  <c r="Z36" i="108"/>
  <c r="V35" i="108"/>
  <c r="V38" i="108"/>
  <c r="X36" i="107"/>
  <c r="X39" i="107"/>
  <c r="U34" i="107"/>
  <c r="U40" i="107"/>
  <c r="U41" i="107"/>
  <c r="U42" i="107" s="1"/>
  <c r="U37" i="107"/>
  <c r="AC37" i="107"/>
  <c r="AC34" i="107"/>
  <c r="AC41" i="107"/>
  <c r="AC42" i="107" s="1"/>
  <c r="AC40" i="107"/>
  <c r="W38" i="107"/>
  <c r="W35" i="107"/>
  <c r="AB40" i="107"/>
  <c r="AB34" i="107"/>
  <c r="AB41" i="107"/>
  <c r="AB37" i="107"/>
  <c r="Y41" i="108"/>
  <c r="Y40" i="108"/>
  <c r="Y37" i="108"/>
  <c r="Y34" i="108"/>
  <c r="X40" i="108"/>
  <c r="X41" i="108"/>
  <c r="X34" i="108"/>
  <c r="X37" i="108"/>
  <c r="U40" i="108"/>
  <c r="U42" i="108" s="1"/>
  <c r="U41" i="108"/>
  <c r="U37" i="108"/>
  <c r="U34" i="108"/>
  <c r="V41" i="108"/>
  <c r="V40" i="108"/>
  <c r="V37" i="108"/>
  <c r="V34" i="108"/>
  <c r="AA38" i="108"/>
  <c r="T38" i="108"/>
  <c r="T35" i="108"/>
  <c r="AA34" i="107"/>
  <c r="AA41" i="107"/>
  <c r="AA42" i="107" s="1"/>
  <c r="AA37" i="107"/>
  <c r="AA40" i="107"/>
  <c r="AF13" i="107"/>
  <c r="O106" i="107"/>
  <c r="AE10" i="107"/>
  <c r="AE15" i="107"/>
  <c r="AF14" i="107"/>
  <c r="AF18" i="107"/>
  <c r="AF19" i="107"/>
  <c r="AF20" i="107"/>
  <c r="AE21" i="107"/>
  <c r="AF12" i="107"/>
  <c r="AE16" i="108"/>
  <c r="AF18" i="108"/>
  <c r="AF11" i="108"/>
  <c r="AE13" i="108"/>
  <c r="AF17" i="108"/>
  <c r="S42" i="110"/>
  <c r="K106" i="111"/>
  <c r="AA10" i="111"/>
  <c r="Y11" i="111"/>
  <c r="Y12" i="111"/>
  <c r="Y13" i="111"/>
  <c r="Y14" i="111"/>
  <c r="AC15" i="111"/>
  <c r="AC16" i="111"/>
  <c r="W18" i="111"/>
  <c r="W35" i="111" s="1"/>
  <c r="Y20" i="111"/>
  <c r="H106" i="111"/>
  <c r="X10" i="111"/>
  <c r="AA11" i="111"/>
  <c r="AA12" i="111"/>
  <c r="AA13" i="111"/>
  <c r="AA14" i="111"/>
  <c r="Y15" i="111"/>
  <c r="Y16" i="111"/>
  <c r="AD11" i="111"/>
  <c r="C106" i="111"/>
  <c r="S10" i="111"/>
  <c r="AA17" i="111"/>
  <c r="Y18" i="111"/>
  <c r="W19" i="111"/>
  <c r="U20" i="111"/>
  <c r="U36" i="111" s="1"/>
  <c r="Y21" i="111"/>
  <c r="Y39" i="111" s="1"/>
  <c r="J106" i="111"/>
  <c r="Z10" i="111"/>
  <c r="AC38" i="108"/>
  <c r="W38" i="108"/>
  <c r="W35" i="108"/>
  <c r="AB40" i="108"/>
  <c r="AB41" i="108"/>
  <c r="AB42" i="108" s="1"/>
  <c r="AB37" i="108"/>
  <c r="AB34" i="108"/>
  <c r="T38" i="107"/>
  <c r="T35" i="107"/>
  <c r="AB36" i="107"/>
  <c r="AB39" i="107"/>
  <c r="AC40" i="108"/>
  <c r="AC37" i="108"/>
  <c r="AC34" i="108"/>
  <c r="AC41" i="108"/>
  <c r="AC42" i="108" s="1"/>
  <c r="S36" i="107"/>
  <c r="S39" i="107"/>
  <c r="U38" i="107"/>
  <c r="Y39" i="107"/>
  <c r="AC36" i="107"/>
  <c r="V41" i="107"/>
  <c r="V34" i="107"/>
  <c r="V37" i="107"/>
  <c r="V40" i="107"/>
  <c r="AD37" i="107"/>
  <c r="AD40" i="107"/>
  <c r="AD42" i="107" s="1"/>
  <c r="AD41" i="107"/>
  <c r="AD34" i="107"/>
  <c r="W34" i="107"/>
  <c r="W37" i="107"/>
  <c r="W40" i="107"/>
  <c r="W41" i="107"/>
  <c r="S38" i="107"/>
  <c r="S35" i="107"/>
  <c r="Z35" i="108"/>
  <c r="Z38" i="108"/>
  <c r="T40" i="108"/>
  <c r="T34" i="108"/>
  <c r="T37" i="108"/>
  <c r="T41" i="108"/>
  <c r="V35" i="107"/>
  <c r="Z38" i="107"/>
  <c r="AD39" i="107"/>
  <c r="X36" i="108"/>
  <c r="X39" i="108"/>
  <c r="Y39" i="108"/>
  <c r="X35" i="108"/>
  <c r="S40" i="108"/>
  <c r="S34" i="108"/>
  <c r="S41" i="108"/>
  <c r="S42" i="108" s="1"/>
  <c r="AA38" i="107"/>
  <c r="AA35" i="107"/>
  <c r="AA36" i="107"/>
  <c r="AA39" i="107"/>
  <c r="P106" i="107"/>
  <c r="AF10" i="107"/>
  <c r="AF16" i="107"/>
  <c r="AE18" i="107"/>
  <c r="AE19" i="107"/>
  <c r="AE20" i="107"/>
  <c r="AF21" i="107"/>
  <c r="AF11" i="107"/>
  <c r="AE18" i="108"/>
  <c r="AF15" i="108"/>
  <c r="AE20" i="108"/>
  <c r="AE36" i="108" s="1"/>
  <c r="AE14" i="108"/>
  <c r="P106" i="108"/>
  <c r="AF10" i="108"/>
  <c r="AC11" i="111"/>
  <c r="AC12" i="111"/>
  <c r="AC13" i="111"/>
  <c r="Y17" i="111"/>
  <c r="AC18" i="111"/>
  <c r="AA19" i="111"/>
  <c r="AC21" i="111"/>
  <c r="N106" i="111"/>
  <c r="AD10" i="111"/>
  <c r="Z11" i="111"/>
  <c r="V12" i="111"/>
  <c r="V13" i="111"/>
  <c r="V14" i="111"/>
  <c r="V15" i="111"/>
  <c r="V16" i="111"/>
  <c r="V17" i="111"/>
  <c r="V18" i="111"/>
  <c r="V19" i="111"/>
  <c r="V20" i="111"/>
  <c r="V21" i="111"/>
  <c r="AC14" i="111"/>
  <c r="AA15" i="111"/>
  <c r="AA16" i="111"/>
  <c r="T14" i="111"/>
  <c r="T38" i="111" s="1"/>
  <c r="T15" i="111"/>
  <c r="T16" i="111"/>
  <c r="T17" i="111"/>
  <c r="T18" i="111"/>
  <c r="T19" i="111"/>
  <c r="T20" i="111"/>
  <c r="T21" i="111"/>
  <c r="E106" i="111"/>
  <c r="U10" i="111"/>
  <c r="AA18" i="111"/>
  <c r="AA20" i="111"/>
  <c r="AA21" i="111"/>
  <c r="L106" i="111"/>
  <c r="AB10" i="111"/>
  <c r="AA37" i="108"/>
  <c r="Z41" i="108"/>
  <c r="Z34" i="108"/>
  <c r="Z40" i="108"/>
  <c r="Z42" i="108" s="1"/>
  <c r="Z37" i="108"/>
  <c r="X38" i="107"/>
  <c r="X35" i="107"/>
  <c r="Y37" i="107"/>
  <c r="Y34" i="107"/>
  <c r="Y40" i="107"/>
  <c r="Y41" i="107"/>
  <c r="Y42" i="107" s="1"/>
  <c r="U35" i="107"/>
  <c r="Y38" i="107"/>
  <c r="AC39" i="107"/>
  <c r="AD38" i="108"/>
  <c r="W39" i="107"/>
  <c r="W36" i="107"/>
  <c r="AD39" i="108"/>
  <c r="AD36" i="108"/>
  <c r="Z35" i="107"/>
  <c r="AD38" i="107"/>
  <c r="AD36" i="107"/>
  <c r="AC35" i="108"/>
  <c r="X40" i="107"/>
  <c r="X41" i="107"/>
  <c r="X42" i="107" s="1"/>
  <c r="X37" i="107"/>
  <c r="X34" i="107"/>
  <c r="AE12" i="108"/>
  <c r="AF15" i="107"/>
  <c r="AE11" i="107"/>
  <c r="AE13" i="107"/>
  <c r="AE21" i="108"/>
  <c r="AF21" i="108"/>
  <c r="AF14" i="108"/>
  <c r="AE11" i="108"/>
  <c r="AE15" i="108"/>
  <c r="AE17" i="108"/>
  <c r="AF13" i="108"/>
  <c r="AC17" i="111"/>
  <c r="AB12" i="111"/>
  <c r="Z13" i="111"/>
  <c r="Z14" i="111"/>
  <c r="Z15" i="111"/>
  <c r="Z16" i="111"/>
  <c r="Z17" i="111"/>
  <c r="Z18" i="111"/>
  <c r="Z19" i="111"/>
  <c r="Z20" i="111"/>
  <c r="Z21" i="111"/>
  <c r="S11" i="111"/>
  <c r="S37" i="111" s="1"/>
  <c r="S12" i="111"/>
  <c r="S13" i="111"/>
  <c r="S14" i="111"/>
  <c r="V11" i="111"/>
  <c r="X12" i="111"/>
  <c r="X13" i="111"/>
  <c r="X14" i="111"/>
  <c r="X15" i="111"/>
  <c r="X16" i="111"/>
  <c r="X17" i="111"/>
  <c r="X18" i="111"/>
  <c r="X19" i="111"/>
  <c r="X20" i="111"/>
  <c r="X21" i="111"/>
  <c r="I106" i="111"/>
  <c r="Y10" i="111"/>
  <c r="S17" i="111"/>
  <c r="S18" i="111"/>
  <c r="AC20" i="111"/>
  <c r="AC36" i="111" s="1"/>
  <c r="W40" i="108"/>
  <c r="W41" i="108"/>
  <c r="W34" i="108"/>
  <c r="W37" i="108"/>
  <c r="W36" i="108"/>
  <c r="W39" i="108"/>
  <c r="AB38" i="108"/>
  <c r="AB35" i="108"/>
  <c r="AB38" i="107"/>
  <c r="AB35" i="107"/>
  <c r="T36" i="107"/>
  <c r="T39" i="107"/>
  <c r="AB36" i="108"/>
  <c r="AB39" i="108"/>
  <c r="AD41" i="108"/>
  <c r="AD34" i="108"/>
  <c r="AD40" i="108"/>
  <c r="AD42" i="108" s="1"/>
  <c r="AD37" i="108"/>
  <c r="Y35" i="108"/>
  <c r="T36" i="108"/>
  <c r="T39" i="108"/>
  <c r="Y35" i="107"/>
  <c r="AC38" i="107"/>
  <c r="U36" i="107"/>
  <c r="Z40" i="107"/>
  <c r="Z42" i="107" s="1"/>
  <c r="Z37" i="107"/>
  <c r="Z41" i="107"/>
  <c r="Z34" i="107"/>
  <c r="Z36" i="107"/>
  <c r="S41" i="107"/>
  <c r="S40" i="107"/>
  <c r="S37" i="107"/>
  <c r="S34" i="107"/>
  <c r="AA40" i="108"/>
  <c r="AA41" i="108"/>
  <c r="AA42" i="108" s="1"/>
  <c r="AA34" i="108"/>
  <c r="U38" i="108"/>
  <c r="U39" i="108"/>
  <c r="U36" i="108"/>
  <c r="AD35" i="107"/>
  <c r="V39" i="107"/>
  <c r="T40" i="107"/>
  <c r="T41" i="107"/>
  <c r="T42" i="107" s="1"/>
  <c r="T37" i="107"/>
  <c r="T34" i="107"/>
  <c r="X42" i="109"/>
  <c r="V22" i="93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AF13" i="111" s="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20" i="111" l="1"/>
  <c r="AF15" i="111"/>
  <c r="AE11" i="111"/>
  <c r="AE16" i="111"/>
  <c r="AF19" i="111"/>
  <c r="Y40" i="111"/>
  <c r="Y37" i="111"/>
  <c r="Y41" i="111"/>
  <c r="Y34" i="111"/>
  <c r="X36" i="111"/>
  <c r="X39" i="111"/>
  <c r="AE38" i="107"/>
  <c r="AE35" i="107"/>
  <c r="U40" i="111"/>
  <c r="U42" i="111" s="1"/>
  <c r="U41" i="111"/>
  <c r="U34" i="111"/>
  <c r="U37" i="111"/>
  <c r="T36" i="111"/>
  <c r="T39" i="111"/>
  <c r="AC38" i="111"/>
  <c r="AD37" i="111"/>
  <c r="AD41" i="111"/>
  <c r="AD42" i="111" s="1"/>
  <c r="AD34" i="111"/>
  <c r="AD40" i="111"/>
  <c r="S40" i="111"/>
  <c r="S41" i="111"/>
  <c r="S42" i="111" s="1"/>
  <c r="S34" i="111"/>
  <c r="AE39" i="108"/>
  <c r="U39" i="111"/>
  <c r="W38" i="111"/>
  <c r="AF12" i="111"/>
  <c r="AE20" i="111"/>
  <c r="AF18" i="111"/>
  <c r="AE15" i="111"/>
  <c r="AF17" i="111"/>
  <c r="AF14" i="111"/>
  <c r="AF38" i="111" s="1"/>
  <c r="Z35" i="111"/>
  <c r="Z38" i="111"/>
  <c r="AF38" i="108"/>
  <c r="AF35" i="108"/>
  <c r="V35" i="111"/>
  <c r="V38" i="111"/>
  <c r="AF40" i="108"/>
  <c r="AF37" i="108"/>
  <c r="AF34" i="108"/>
  <c r="AF41" i="108"/>
  <c r="AF42" i="108" s="1"/>
  <c r="AF40" i="107"/>
  <c r="AF34" i="107"/>
  <c r="AF41" i="107"/>
  <c r="AF42" i="107" s="1"/>
  <c r="AF37" i="107"/>
  <c r="T42" i="108"/>
  <c r="W42" i="107"/>
  <c r="V42" i="107"/>
  <c r="Z41" i="111"/>
  <c r="Z42" i="111" s="1"/>
  <c r="Z34" i="111"/>
  <c r="Z37" i="111"/>
  <c r="Z40" i="111"/>
  <c r="W39" i="111"/>
  <c r="W36" i="111"/>
  <c r="T35" i="111"/>
  <c r="Y36" i="111"/>
  <c r="AF36" i="107"/>
  <c r="AF39" i="107"/>
  <c r="AE40" i="107"/>
  <c r="AE42" i="107" s="1"/>
  <c r="AE34" i="107"/>
  <c r="AE37" i="107"/>
  <c r="AE41" i="107"/>
  <c r="AF38" i="107"/>
  <c r="AF35" i="107"/>
  <c r="T40" i="111"/>
  <c r="T41" i="111"/>
  <c r="T37" i="111"/>
  <c r="T34" i="111"/>
  <c r="AE40" i="108"/>
  <c r="AE37" i="108"/>
  <c r="AE41" i="108"/>
  <c r="AE34" i="108"/>
  <c r="O106" i="111"/>
  <c r="AE10" i="111"/>
  <c r="AF21" i="111"/>
  <c r="AE14" i="111"/>
  <c r="AE13" i="111"/>
  <c r="X38" i="111"/>
  <c r="X35" i="111"/>
  <c r="S38" i="111"/>
  <c r="S35" i="111"/>
  <c r="AC35" i="111"/>
  <c r="AE39" i="107"/>
  <c r="AE36" i="107"/>
  <c r="AA35" i="111"/>
  <c r="AA38" i="111"/>
  <c r="Y38" i="111"/>
  <c r="AA40" i="111"/>
  <c r="AA34" i="111"/>
  <c r="AA41" i="111"/>
  <c r="AA37" i="111"/>
  <c r="AE35" i="108"/>
  <c r="AE38" i="108"/>
  <c r="AB42" i="107"/>
  <c r="AC40" i="111"/>
  <c r="AC41" i="111"/>
  <c r="AC37" i="111"/>
  <c r="AC34" i="111"/>
  <c r="V40" i="111"/>
  <c r="V42" i="111" s="1"/>
  <c r="V41" i="111"/>
  <c r="V34" i="111"/>
  <c r="V37" i="111"/>
  <c r="AF11" i="111"/>
  <c r="AE19" i="111"/>
  <c r="AE17" i="111"/>
  <c r="AF16" i="111"/>
  <c r="AE21" i="111"/>
  <c r="AE18" i="111"/>
  <c r="P106" i="111"/>
  <c r="N107" i="111" s="1"/>
  <c r="AF10" i="111"/>
  <c r="S42" i="107"/>
  <c r="W42" i="108"/>
  <c r="Z39" i="111"/>
  <c r="Z36" i="111"/>
  <c r="AC39" i="111"/>
  <c r="AB40" i="111"/>
  <c r="AB34" i="111"/>
  <c r="AB37" i="111"/>
  <c r="AB41" i="111"/>
  <c r="AB42" i="111" s="1"/>
  <c r="V39" i="111"/>
  <c r="V36" i="111"/>
  <c r="AA36" i="111"/>
  <c r="AA39" i="111"/>
  <c r="X40" i="111"/>
  <c r="X41" i="111"/>
  <c r="X42" i="111" s="1"/>
  <c r="X37" i="111"/>
  <c r="X34" i="111"/>
  <c r="Y35" i="111"/>
  <c r="V42" i="108"/>
  <c r="X42" i="108"/>
  <c r="Y42" i="108"/>
  <c r="W40" i="111"/>
  <c r="W34" i="111"/>
  <c r="W41" i="111"/>
  <c r="AF36" i="108"/>
  <c r="AF39" i="108"/>
  <c r="K108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38" i="111" l="1"/>
  <c r="AE35" i="111"/>
  <c r="AE36" i="111"/>
  <c r="AE39" i="111"/>
  <c r="AC42" i="111"/>
  <c r="AF36" i="111"/>
  <c r="AF39" i="111"/>
  <c r="AE42" i="108"/>
  <c r="Y42" i="111"/>
  <c r="AF35" i="111"/>
  <c r="W42" i="111"/>
  <c r="AF40" i="111"/>
  <c r="AF37" i="111"/>
  <c r="AF34" i="111"/>
  <c r="AF41" i="111"/>
  <c r="AA42" i="111"/>
  <c r="AE40" i="111"/>
  <c r="AE41" i="111"/>
  <c r="AE42" i="111" s="1"/>
  <c r="AE34" i="111"/>
  <c r="T42" i="111"/>
  <c r="AE37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</calcChain>
</file>

<file path=xl/sharedStrings.xml><?xml version="1.0" encoding="utf-8"?>
<sst xmlns="http://schemas.openxmlformats.org/spreadsheetml/2006/main" count="2323" uniqueCount="176">
  <si>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</si>
  <si>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</si>
  <si>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</si>
  <si>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</si>
  <si>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</si>
  <si>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</si>
  <si>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</si>
  <si>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</si>
  <si>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</si>
  <si>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</si>
  <si>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</si>
  <si>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</si>
  <si>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</si>
  <si>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</si>
  <si>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</si>
  <si>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</si>
  <si>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</si>
  <si>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</si>
  <si>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</si>
  <si>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</si>
  <si>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</si>
  <si>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</si>
  <si>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</si>
  <si>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</si>
  <si>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</si>
  <si>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</si>
  <si>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</si>
  <si>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</si>
  <si>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</si>
  <si>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</si>
  <si>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</si>
  <si>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</si>
  <si>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</si>
  <si>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</si>
  <si>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</si>
  <si>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</si>
  <si>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</si>
  <si>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</si>
  <si>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</si>
  <si>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</si>
  <si>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</si>
  <si>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</si>
  <si>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</si>
  <si>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</si>
  <si>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</si>
  <si>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</si>
  <si>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</si>
  <si>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</si>
  <si>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</si>
  <si>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</si>
  <si>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</si>
  <si>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</si>
  <si>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</si>
  <si>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</si>
  <si>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</si>
  <si>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</si>
  <si>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</si>
  <si>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</si>
  <si>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</si>
  <si>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</si>
  <si>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</si>
  <si>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</si>
  <si>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</si>
  <si>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</si>
  <si>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</si>
  <si>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</si>
  <si>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</si>
  <si>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</si>
  <si>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</si>
  <si>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</si>
  <si>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</si>
  <si>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</si>
  <si>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</si>
  <si>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</si>
  <si>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</si>
  <si>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</si>
  <si>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</si>
  <si>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</si>
  <si>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</si>
  <si>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</si>
  <si>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</si>
  <si>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</si>
  <si>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</si>
  <si>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</si>
  <si>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</si>
  <si>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</si>
  <si>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</si>
  <si>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</si>
  <si>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</si>
  <si>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</si>
  <si>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</si>
  <si>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</si>
  <si>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</si>
  <si>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</si>
  <si>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</si>
  <si>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</si>
  <si>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</si>
  <si>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</si>
  <si>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</si>
  <si>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</si>
  <si>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</si>
  <si>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</si>
  <si>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</si>
  <si>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</si>
  <si>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</si>
  <si>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</si>
  <si>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</si>
  <si>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</si>
  <si>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</si>
  <si>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</si>
  <si>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</si>
  <si>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</si>
  <si>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</si>
  <si>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</si>
  <si>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</si>
  <si>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</si>
  <si>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</si>
  <si>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</si>
  <si>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</si>
  <si>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</si>
  <si>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</si>
  <si>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</si>
  <si>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</si>
  <si>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</si>
  <si>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</si>
  <si>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</si>
  <si>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</si>
  <si>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</si>
  <si>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</si>
  <si>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</si>
  <si>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</si>
  <si>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</si>
  <si>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</si>
  <si>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</si>
  <si>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</si>
  <si>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</si>
  <si>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</si>
  <si>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</si>
  <si>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</si>
  <si>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</si>
  <si>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</si>
  <si>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</si>
  <si>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</si>
  <si>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</si>
  <si>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</si>
  <si>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</si>
  <si>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</si>
  <si>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</si>
  <si>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</si>
  <si>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</si>
  <si>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</si>
  <si>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</si>
  <si>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</si>
  <si>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</si>
  <si>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</si>
  <si>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</si>
  <si>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</si>
  <si>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</si>
  <si>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</si>
  <si>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</si>
  <si>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</si>
  <si>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</si>
  <si>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</si>
  <si>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05.08.19</t>
  </si>
  <si>
    <t>Kotido</t>
  </si>
  <si>
    <t>Karenga</t>
  </si>
  <si>
    <t>Kabong</t>
  </si>
  <si>
    <t>Lomongin Deborah</t>
  </si>
  <si>
    <t>06.08.19</t>
  </si>
  <si>
    <t>07.08.19</t>
  </si>
  <si>
    <t>08.08.19</t>
  </si>
  <si>
    <t>09.08.19</t>
  </si>
  <si>
    <t>10.08.19</t>
  </si>
  <si>
    <t>11.08.19</t>
  </si>
  <si>
    <t>MCC - C5- STN-132 - KOTIDO-KARENGA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</si>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</sst>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Kotido-Karenga'!$AE$9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Kotido-Karenga'!$AE$10:$AE$21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6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'05.08 Kotido-Karenga'!$AF$9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Kotido-Karenga'!$AF$10:$AF$21</c:f>
              <c:numCache>
                <c:formatCode>0</c:formatCode>
                <c:ptCount val="12"/>
                <c:pt idx="0">
                  <c:v>15</c:v>
                </c:pt>
                <c:pt idx="1">
                  <c:v>36</c:v>
                </c:pt>
                <c:pt idx="2">
                  <c:v>53</c:v>
                </c:pt>
                <c:pt idx="3">
                  <c:v>29</c:v>
                </c:pt>
                <c:pt idx="4">
                  <c:v>20</c:v>
                </c:pt>
                <c:pt idx="5">
                  <c:v>14</c:v>
                </c:pt>
                <c:pt idx="6">
                  <c:v>20</c:v>
                </c:pt>
                <c:pt idx="7">
                  <c:v>8</c:v>
                </c:pt>
                <c:pt idx="8">
                  <c:v>5</c:v>
                </c:pt>
                <c:pt idx="9">
                  <c:v>7</c:v>
                </c:pt>
                <c:pt idx="10">
                  <c:v>10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72280"/>
        <c:axId val="171946912"/>
      </c:lineChart>
      <c:catAx>
        <c:axId val="207772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1946912"/>
        <c:crosses val="autoZero"/>
        <c:auto val="1"/>
        <c:lblAlgn val="ctr"/>
        <c:lblOffset val="100"/>
        <c:noMultiLvlLbl val="0"/>
      </c:catAx>
      <c:valAx>
        <c:axId val="171946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77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Kotido-Karenga'!$C$59:$N$59</c:f>
              <c:numCache>
                <c:formatCode>0.0%</c:formatCode>
                <c:ptCount val="12"/>
                <c:pt idx="0">
                  <c:v>1.2931034482758621E-2</c:v>
                </c:pt>
                <c:pt idx="1">
                  <c:v>3.4482758620689655E-2</c:v>
                </c:pt>
                <c:pt idx="2">
                  <c:v>9.0517241379310345E-2</c:v>
                </c:pt>
                <c:pt idx="3">
                  <c:v>4.3103448275862068E-3</c:v>
                </c:pt>
                <c:pt idx="4">
                  <c:v>0</c:v>
                </c:pt>
                <c:pt idx="5">
                  <c:v>0</c:v>
                </c:pt>
                <c:pt idx="6">
                  <c:v>5.6034482758620691E-2</c:v>
                </c:pt>
                <c:pt idx="7">
                  <c:v>1.2931034482758621E-2</c:v>
                </c:pt>
                <c:pt idx="8">
                  <c:v>0</c:v>
                </c:pt>
                <c:pt idx="9">
                  <c:v>0</c:v>
                </c:pt>
                <c:pt idx="10">
                  <c:v>0.78879310344827591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Kotido-Karenga'!$C$60:$N$60</c:f>
              <c:numCache>
                <c:formatCode>0.00%</c:formatCode>
                <c:ptCount val="12"/>
                <c:pt idx="0">
                  <c:v>6.1224489795918366E-2</c:v>
                </c:pt>
                <c:pt idx="1">
                  <c:v>0.16326530612244897</c:v>
                </c:pt>
                <c:pt idx="2">
                  <c:v>0.42857142857142855</c:v>
                </c:pt>
                <c:pt idx="3">
                  <c:v>2.0408163265306121E-2</c:v>
                </c:pt>
                <c:pt idx="4">
                  <c:v>0</c:v>
                </c:pt>
                <c:pt idx="5">
                  <c:v>0</c:v>
                </c:pt>
                <c:pt idx="6">
                  <c:v>0.26530612244897961</c:v>
                </c:pt>
                <c:pt idx="7">
                  <c:v>6.1224489795918366E-2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Karenga-Kotido'!$AE$9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Karenga-Kotido'!$AE$10:$AE$21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'05.08 Karenga-Kotido'!$AF$9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Karenga-Kotido'!$AF$10:$AF$21</c:f>
              <c:numCache>
                <c:formatCode>0</c:formatCode>
                <c:ptCount val="12"/>
                <c:pt idx="0">
                  <c:v>18</c:v>
                </c:pt>
                <c:pt idx="1">
                  <c:v>32</c:v>
                </c:pt>
                <c:pt idx="2">
                  <c:v>31</c:v>
                </c:pt>
                <c:pt idx="3">
                  <c:v>23</c:v>
                </c:pt>
                <c:pt idx="4">
                  <c:v>24</c:v>
                </c:pt>
                <c:pt idx="5">
                  <c:v>17</c:v>
                </c:pt>
                <c:pt idx="6">
                  <c:v>16</c:v>
                </c:pt>
                <c:pt idx="7">
                  <c:v>9</c:v>
                </c:pt>
                <c:pt idx="8">
                  <c:v>7</c:v>
                </c:pt>
                <c:pt idx="9">
                  <c:v>9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24536"/>
        <c:axId val="207926104"/>
      </c:lineChart>
      <c:catAx>
        <c:axId val="2079245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926104"/>
        <c:crosses val="autoZero"/>
        <c:auto val="1"/>
        <c:lblAlgn val="ctr"/>
        <c:lblOffset val="100"/>
        <c:noMultiLvlLbl val="0"/>
      </c:catAx>
      <c:valAx>
        <c:axId val="207926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92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Karenga-Kotido'!$C$59:$N$59</c:f>
              <c:numCache>
                <c:formatCode>0.0%</c:formatCode>
                <c:ptCount val="12"/>
                <c:pt idx="0">
                  <c:v>1.4423076923076924E-2</c:v>
                </c:pt>
                <c:pt idx="1">
                  <c:v>3.3653846153846152E-2</c:v>
                </c:pt>
                <c:pt idx="2">
                  <c:v>7.2115384615384609E-2</c:v>
                </c:pt>
                <c:pt idx="3">
                  <c:v>2.403846153846154E-2</c:v>
                </c:pt>
                <c:pt idx="4">
                  <c:v>0</c:v>
                </c:pt>
                <c:pt idx="5">
                  <c:v>0</c:v>
                </c:pt>
                <c:pt idx="6">
                  <c:v>7.6923076923076927E-2</c:v>
                </c:pt>
                <c:pt idx="7">
                  <c:v>1.4423076923076924E-2</c:v>
                </c:pt>
                <c:pt idx="8">
                  <c:v>0</c:v>
                </c:pt>
                <c:pt idx="9">
                  <c:v>0</c:v>
                </c:pt>
                <c:pt idx="10">
                  <c:v>0.76442307692307687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Karenga-Kotido'!$S$9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Karenga-Kotido'!$S$10:$S$21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'05.08 Karenga-Kotido'!$T$9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Karenga-Kotido'!$T$10:$T$21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'05.08 Karenga-Kotido'!$U$9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'05.08 Karenga-Kotido'!$V$9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'05.08 Karenga-Kotido'!$W$9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'05.08 Karenga-Kotido'!$X$9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'05.08 Karenga-Kotido'!$Y$9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Karenga-Kotido'!$Y$10:$Y$21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'05.08 Karenga-Kotido'!$Z$9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'05.08 Karenga-Kotido'!$AA$9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'05.08 Karenga-Kotido'!$AB$9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'05.08 Karenga-Kotido'!$AC$9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Karenga-Kotido'!$AC$10:$AC$21</c:f>
              <c:numCache>
                <c:formatCode>0</c:formatCode>
                <c:ptCount val="12"/>
                <c:pt idx="0">
                  <c:v>13</c:v>
                </c:pt>
                <c:pt idx="1">
                  <c:v>30</c:v>
                </c:pt>
                <c:pt idx="2">
                  <c:v>29</c:v>
                </c:pt>
                <c:pt idx="3">
                  <c:v>20</c:v>
                </c:pt>
                <c:pt idx="4">
                  <c:v>18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'05.08 Karenga-Kotido'!$AD$9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Karenga-Kotido'!$AD$10:$AD$21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5712"/>
        <c:axId val="207920616"/>
      </c:lineChart>
      <c:catAx>
        <c:axId val="20792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920616"/>
        <c:crosses val="autoZero"/>
        <c:auto val="1"/>
        <c:lblAlgn val="ctr"/>
        <c:lblOffset val="100"/>
        <c:noMultiLvlLbl val="0"/>
      </c:catAx>
      <c:valAx>
        <c:axId val="20792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92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Karenga-Kotido'!$C$60:$N$60</c:f>
              <c:numCache>
                <c:formatCode>0.00%</c:formatCode>
                <c:ptCount val="12"/>
                <c:pt idx="0">
                  <c:v>6.1224489795918366E-2</c:v>
                </c:pt>
                <c:pt idx="1">
                  <c:v>0.14285714285714285</c:v>
                </c:pt>
                <c:pt idx="2">
                  <c:v>0.30612244897959184</c:v>
                </c:pt>
                <c:pt idx="3">
                  <c:v>0.10204081632653061</c:v>
                </c:pt>
                <c:pt idx="4">
                  <c:v>0</c:v>
                </c:pt>
                <c:pt idx="5">
                  <c:v>0</c:v>
                </c:pt>
                <c:pt idx="6">
                  <c:v>0.32653061224489793</c:v>
                </c:pt>
                <c:pt idx="7">
                  <c:v>6.1224489795918366E-2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Kotido-Karenga'!$AE$9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Kotido-Karenga'!$AE$10:$AE$21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'06.08 Kotido-Karenga'!$AF$9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Kotido-Karenga'!$AF$10:$AF$21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13</c:v>
                </c:pt>
                <c:pt idx="3">
                  <c:v>13</c:v>
                </c:pt>
                <c:pt idx="4">
                  <c:v>19</c:v>
                </c:pt>
                <c:pt idx="5">
                  <c:v>15</c:v>
                </c:pt>
                <c:pt idx="6">
                  <c:v>13</c:v>
                </c:pt>
                <c:pt idx="7">
                  <c:v>10</c:v>
                </c:pt>
                <c:pt idx="8">
                  <c:v>14</c:v>
                </c:pt>
                <c:pt idx="9">
                  <c:v>17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22576"/>
        <c:axId val="207920224"/>
      </c:lineChart>
      <c:catAx>
        <c:axId val="207922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920224"/>
        <c:crosses val="autoZero"/>
        <c:auto val="1"/>
        <c:lblAlgn val="ctr"/>
        <c:lblOffset val="100"/>
        <c:noMultiLvlLbl val="0"/>
      </c:catAx>
      <c:valAx>
        <c:axId val="207920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92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Kotido-Karenga'!$C$59:$N$59</c:f>
              <c:numCache>
                <c:formatCode>0.0%</c:formatCode>
                <c:ptCount val="12"/>
                <c:pt idx="0">
                  <c:v>0</c:v>
                </c:pt>
                <c:pt idx="1">
                  <c:v>7.4829931972789115E-2</c:v>
                </c:pt>
                <c:pt idx="2">
                  <c:v>8.8435374149659865E-2</c:v>
                </c:pt>
                <c:pt idx="3">
                  <c:v>2.7210884353741496E-2</c:v>
                </c:pt>
                <c:pt idx="4">
                  <c:v>0</c:v>
                </c:pt>
                <c:pt idx="5">
                  <c:v>0</c:v>
                </c:pt>
                <c:pt idx="6">
                  <c:v>6.1224489795918366E-2</c:v>
                </c:pt>
                <c:pt idx="7">
                  <c:v>6.8027210884353739E-3</c:v>
                </c:pt>
                <c:pt idx="8">
                  <c:v>0</c:v>
                </c:pt>
                <c:pt idx="9">
                  <c:v>0</c:v>
                </c:pt>
                <c:pt idx="10">
                  <c:v>0.74149659863945583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Kotido-Karenga'!$S$9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Kotido-Karenga'!$S$10:$S$21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'06.08 Kotido-Karenga'!$T$9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Kotido-Karenga'!$T$10:$T$21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'06.08 Kotido-Karenga'!$U$9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'06.08 Kotido-Karenga'!$V$9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'06.08 Kotido-Karenga'!$W$9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'06.08 Kotido-Karenga'!$X$9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'06.08 Kotido-Karenga'!$Y$9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'06.08 Kotido-Karenga'!$Z$9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'06.08 Kotido-Karenga'!$AA$9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'06.08 Kotido-Karenga'!$AB$9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'06.08 Kotido-Karenga'!$AC$9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Kotido-Karenga'!$AC$10:$AC$21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14</c:v>
                </c:pt>
                <c:pt idx="5">
                  <c:v>11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14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'06.08 Kotido-Karenga'!$AD$9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Kotido-Karenga'!$AD$10:$AD$21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3752"/>
        <c:axId val="207921400"/>
      </c:lineChart>
      <c:catAx>
        <c:axId val="20792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921400"/>
        <c:crosses val="autoZero"/>
        <c:auto val="1"/>
        <c:lblAlgn val="ctr"/>
        <c:lblOffset val="100"/>
        <c:noMultiLvlLbl val="0"/>
      </c:catAx>
      <c:valAx>
        <c:axId val="20792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92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Kotido-Karenga'!$C$60:$N$60</c:f>
              <c:numCache>
                <c:formatCode>0.00%</c:formatCode>
                <c:ptCount val="12"/>
                <c:pt idx="0">
                  <c:v>0</c:v>
                </c:pt>
                <c:pt idx="1">
                  <c:v>0.28947368421052633</c:v>
                </c:pt>
                <c:pt idx="2">
                  <c:v>0.34210526315789475</c:v>
                </c:pt>
                <c:pt idx="3">
                  <c:v>0.10526315789473684</c:v>
                </c:pt>
                <c:pt idx="4">
                  <c:v>0</c:v>
                </c:pt>
                <c:pt idx="5">
                  <c:v>0</c:v>
                </c:pt>
                <c:pt idx="6">
                  <c:v>0.23684210526315788</c:v>
                </c:pt>
                <c:pt idx="7">
                  <c:v>2.6315789473684209E-2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Karenga-Kotido'!$AE$9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Karenga-Kotido'!$AE$10:$AE$21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'06.08 Karenga-Kotido'!$AF$9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Karenga-Kotido'!$AF$10:$AF$21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10</c:v>
                </c:pt>
                <c:pt idx="3">
                  <c:v>7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19656"/>
        <c:axId val="208921616"/>
      </c:lineChart>
      <c:catAx>
        <c:axId val="208919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21616"/>
        <c:crosses val="autoZero"/>
        <c:auto val="1"/>
        <c:lblAlgn val="ctr"/>
        <c:lblOffset val="100"/>
        <c:noMultiLvlLbl val="0"/>
      </c:catAx>
      <c:valAx>
        <c:axId val="208921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1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Karenga-Kotido'!$C$59:$N$59</c:f>
              <c:numCache>
                <c:formatCode>0.0%</c:formatCode>
                <c:ptCount val="12"/>
                <c:pt idx="0">
                  <c:v>0</c:v>
                </c:pt>
                <c:pt idx="1">
                  <c:v>7.8260869565217397E-2</c:v>
                </c:pt>
                <c:pt idx="2">
                  <c:v>8.6956521739130432E-2</c:v>
                </c:pt>
                <c:pt idx="3">
                  <c:v>8.6956521739130436E-3</c:v>
                </c:pt>
                <c:pt idx="4">
                  <c:v>0</c:v>
                </c:pt>
                <c:pt idx="5">
                  <c:v>0</c:v>
                </c:pt>
                <c:pt idx="6">
                  <c:v>2.6086956521739129E-2</c:v>
                </c:pt>
                <c:pt idx="7">
                  <c:v>1.7391304347826087E-2</c:v>
                </c:pt>
                <c:pt idx="8">
                  <c:v>8.6956521739130436E-3</c:v>
                </c:pt>
                <c:pt idx="9">
                  <c:v>0</c:v>
                </c:pt>
                <c:pt idx="10">
                  <c:v>0.77391304347826084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Karenga-Kotido'!$S$9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Karenga-Kotido'!$S$10:$S$21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'06.08 Karenga-Kotido'!$T$9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Karenga-Kotido'!$T$10:$T$21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'06.08 Karenga-Kotido'!$U$9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'06.08 Karenga-Kotido'!$V$9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'06.08 Karenga-Kotido'!$W$9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'06.08 Karenga-Kotido'!$X$9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'06.08 Karenga-Kotido'!$Y$9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'06.08 Karenga-Kotido'!$Z$9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'06.08 Karenga-Kotido'!$AA$9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'06.08 Karenga-Kotido'!$AB$9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'06.08 Karenga-Kotido'!$AC$9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Karenga-Kotido'!$AC$10:$AC$21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11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'06.08 Karenga-Kotido'!$AD$9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Karenga-Kotido'!$AD$10:$AD$21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16520"/>
        <c:axId val="208922008"/>
      </c:lineChart>
      <c:catAx>
        <c:axId val="20891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22008"/>
        <c:crosses val="autoZero"/>
        <c:auto val="1"/>
        <c:lblAlgn val="ctr"/>
        <c:lblOffset val="100"/>
        <c:noMultiLvlLbl val="0"/>
      </c:catAx>
      <c:valAx>
        <c:axId val="20892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1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Karenga-Kotido'!$C$60:$N$60</c:f>
              <c:numCache>
                <c:formatCode>0.00%</c:formatCode>
                <c:ptCount val="12"/>
                <c:pt idx="0">
                  <c:v>0</c:v>
                </c:pt>
                <c:pt idx="1">
                  <c:v>0.34615384615384615</c:v>
                </c:pt>
                <c:pt idx="2">
                  <c:v>0.38461538461538464</c:v>
                </c:pt>
                <c:pt idx="3">
                  <c:v>3.8461538461538464E-2</c:v>
                </c:pt>
                <c:pt idx="4">
                  <c:v>0</c:v>
                </c:pt>
                <c:pt idx="5">
                  <c:v>0</c:v>
                </c:pt>
                <c:pt idx="6">
                  <c:v>0.11538461538461539</c:v>
                </c:pt>
                <c:pt idx="7">
                  <c:v>7.6923076923076927E-2</c:v>
                </c:pt>
                <c:pt idx="8">
                  <c:v>3.8461538461538464E-2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Kotido-Karenga'!$AE$9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Kotido-Karenga'!$AE$10:$AE$21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'07.08 Kotido-Karenga'!$AF$9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Kotido-Karenga'!$AF$10:$AF$21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13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22400"/>
        <c:axId val="208922792"/>
      </c:lineChart>
      <c:catAx>
        <c:axId val="2089224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22792"/>
        <c:crosses val="autoZero"/>
        <c:auto val="1"/>
        <c:lblAlgn val="ctr"/>
        <c:lblOffset val="100"/>
        <c:noMultiLvlLbl val="0"/>
      </c:catAx>
      <c:valAx>
        <c:axId val="208922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2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Kotido-Karenga'!$C$59:$N$59</c:f>
              <c:numCache>
                <c:formatCode>0.0%</c:formatCode>
                <c:ptCount val="12"/>
                <c:pt idx="0">
                  <c:v>0</c:v>
                </c:pt>
                <c:pt idx="1">
                  <c:v>0.12244897959183673</c:v>
                </c:pt>
                <c:pt idx="2">
                  <c:v>0.12244897959183673</c:v>
                </c:pt>
                <c:pt idx="3">
                  <c:v>6.1224489795918366E-2</c:v>
                </c:pt>
                <c:pt idx="4">
                  <c:v>0</c:v>
                </c:pt>
                <c:pt idx="5">
                  <c:v>0</c:v>
                </c:pt>
                <c:pt idx="6">
                  <c:v>4.0816326530612242E-2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0.6428571428571429</c:v>
                </c:pt>
                <c:pt idx="11">
                  <c:v>1.020408163265306E-2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Kotido-Karenga'!$S$9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'07.08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Kotido-Karenga'!$S$10:$S$21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'07.08 Kotido-Karenga'!$T$9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Kotido-Karenga'!$T$10:$T$21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'07.08 Kotido-Karenga'!$U$9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'07.08 Kotido-Karenga'!$V$9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'07.08 Kotido-Karenga'!$W$9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'07.08 Kotido-Karenga'!$X$9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'07.08 Kotido-Karenga'!$Y$9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'07.08 Kotido-Karenga'!$Z$9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'07.08 Kotido-Karenga'!$AA$9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'07.08 Kotido-Karenga'!$AB$9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'07.08 Kotido-Karenga'!$AC$9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Kotido-Karenga'!$AC$10:$AC$21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10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'07.08 Kotido-Karenga'!$AD$9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Kotido-Karenga'!$AD$10:$AD$21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20048"/>
        <c:axId val="208921224"/>
      </c:lineChart>
      <c:catAx>
        <c:axId val="20892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21224"/>
        <c:crosses val="autoZero"/>
        <c:auto val="1"/>
        <c:lblAlgn val="ctr"/>
        <c:lblOffset val="100"/>
        <c:noMultiLvlLbl val="0"/>
      </c:catAx>
      <c:valAx>
        <c:axId val="20892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2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Kotido-Karenga'!$C$60:$N$60</c:f>
              <c:numCache>
                <c:formatCode>0.00%</c:formatCode>
                <c:ptCount val="12"/>
                <c:pt idx="0">
                  <c:v>0</c:v>
                </c:pt>
                <c:pt idx="1">
                  <c:v>0.34285714285714286</c:v>
                </c:pt>
                <c:pt idx="2">
                  <c:v>0.34285714285714286</c:v>
                </c:pt>
                <c:pt idx="3">
                  <c:v>0.17142857142857143</c:v>
                </c:pt>
                <c:pt idx="4">
                  <c:v>0</c:v>
                </c:pt>
                <c:pt idx="5">
                  <c:v>0</c:v>
                </c:pt>
                <c:pt idx="6">
                  <c:v>0.11428571428571428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2.8571428571428571E-2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Karenga-Kotido'!$AE$9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Karenga-Kotido'!$AE$10:$AE$21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'07.08 Karenga-Kotido'!$AF$9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Karenga-Kotido'!$AF$10:$AF$21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12</c:v>
                </c:pt>
                <c:pt idx="6">
                  <c:v>8</c:v>
                </c:pt>
                <c:pt idx="7">
                  <c:v>13</c:v>
                </c:pt>
                <c:pt idx="8">
                  <c:v>7</c:v>
                </c:pt>
                <c:pt idx="9">
                  <c:v>6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23968"/>
        <c:axId val="171947304"/>
      </c:lineChart>
      <c:catAx>
        <c:axId val="208923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1947304"/>
        <c:crosses val="autoZero"/>
        <c:auto val="1"/>
        <c:lblAlgn val="ctr"/>
        <c:lblOffset val="100"/>
        <c:noMultiLvlLbl val="0"/>
      </c:catAx>
      <c:valAx>
        <c:axId val="171947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892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Karenga-Kotido'!$C$59:$N$59</c:f>
              <c:numCache>
                <c:formatCode>0.0%</c:formatCode>
                <c:ptCount val="12"/>
                <c:pt idx="0">
                  <c:v>2.564102564102564E-2</c:v>
                </c:pt>
                <c:pt idx="1">
                  <c:v>3.8461538461538464E-2</c:v>
                </c:pt>
                <c:pt idx="2">
                  <c:v>6.4102564102564097E-2</c:v>
                </c:pt>
                <c:pt idx="3">
                  <c:v>2.564102564102564E-2</c:v>
                </c:pt>
                <c:pt idx="4">
                  <c:v>1.282051282051282E-2</c:v>
                </c:pt>
                <c:pt idx="5">
                  <c:v>0</c:v>
                </c:pt>
                <c:pt idx="6">
                  <c:v>1.282051282051282E-2</c:v>
                </c:pt>
                <c:pt idx="7">
                  <c:v>1.282051282051282E-2</c:v>
                </c:pt>
                <c:pt idx="8">
                  <c:v>0</c:v>
                </c:pt>
                <c:pt idx="9">
                  <c:v>0</c:v>
                </c:pt>
                <c:pt idx="10">
                  <c:v>0.78205128205128205</c:v>
                </c:pt>
                <c:pt idx="11">
                  <c:v>2.564102564102564E-2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Karenga-Kotido'!$C$60:$N$60</c:f>
              <c:numCache>
                <c:formatCode>0.00%</c:formatCode>
                <c:ptCount val="12"/>
                <c:pt idx="0">
                  <c:v>0.11764705882352941</c:v>
                </c:pt>
                <c:pt idx="1">
                  <c:v>0.17647058823529413</c:v>
                </c:pt>
                <c:pt idx="2">
                  <c:v>0.29411764705882354</c:v>
                </c:pt>
                <c:pt idx="3">
                  <c:v>0.11764705882352941</c:v>
                </c:pt>
                <c:pt idx="4">
                  <c:v>5.8823529411764705E-2</c:v>
                </c:pt>
                <c:pt idx="5">
                  <c:v>0</c:v>
                </c:pt>
                <c:pt idx="6">
                  <c:v>5.8823529411764705E-2</c:v>
                </c:pt>
                <c:pt idx="7">
                  <c:v>5.8823529411764705E-2</c:v>
                </c:pt>
                <c:pt idx="8">
                  <c:v>0</c:v>
                </c:pt>
                <c:pt idx="9">
                  <c:v>0</c:v>
                </c:pt>
                <c:pt idx="11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Kotido-Karenga'!$AE$9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Kotido-Karenga'!$AE$10:$AE$21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'08.08 Kotido-Karenga'!$AF$9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Kotido-Karenga'!$AF$10:$AF$21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11</c:v>
                </c:pt>
                <c:pt idx="5">
                  <c:v>5</c:v>
                </c:pt>
                <c:pt idx="6">
                  <c:v>15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569904"/>
        <c:axId val="215568336"/>
      </c:lineChart>
      <c:catAx>
        <c:axId val="215569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568336"/>
        <c:crosses val="autoZero"/>
        <c:auto val="1"/>
        <c:lblAlgn val="ctr"/>
        <c:lblOffset val="100"/>
        <c:noMultiLvlLbl val="0"/>
      </c:catAx>
      <c:valAx>
        <c:axId val="215568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56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Kotido-Karenga'!$C$59:$N$59</c:f>
              <c:numCache>
                <c:formatCode>0.0%</c:formatCode>
                <c:ptCount val="12"/>
                <c:pt idx="0">
                  <c:v>0</c:v>
                </c:pt>
                <c:pt idx="1">
                  <c:v>8.6021505376344093E-2</c:v>
                </c:pt>
                <c:pt idx="2">
                  <c:v>7.5268817204301078E-2</c:v>
                </c:pt>
                <c:pt idx="3">
                  <c:v>6.4516129032258063E-2</c:v>
                </c:pt>
                <c:pt idx="4">
                  <c:v>0</c:v>
                </c:pt>
                <c:pt idx="5">
                  <c:v>1.0752688172043012E-2</c:v>
                </c:pt>
                <c:pt idx="6">
                  <c:v>1.0752688172043012E-2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0.75268817204301075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Kotido-Karenga'!$S$9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'08.08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Kotido-Karenga'!$S$10:$S$21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'08.08 Kotido-Karenga'!$T$9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'08.08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Kotido-Karenga'!$T$10:$T$21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'08.08 Kotido-Karenga'!$U$9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'08.08 Kotido-Karenga'!$V$9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'08.08 Kotido-Karenga'!$W$9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'08.08 Kotido-Karenga'!$X$9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'08.08 Kotido-Karenga'!$Y$9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'08.08 Kotido-Karenga'!$Z$9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'08.08 Kotido-Karenga'!$AA$9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'08.08 Kotido-Karenga'!$AB$9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'08.08 Kotido-Karenga'!$AC$9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Kotido-Karenga'!$AC$10:$AC$21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10</c:v>
                </c:pt>
                <c:pt idx="5">
                  <c:v>5</c:v>
                </c:pt>
                <c:pt idx="6">
                  <c:v>10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'08.08 Kotido-Karenga'!$AD$9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Kotido-Karenga'!$AD$10:$AD$21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564808"/>
        <c:axId val="215571472"/>
      </c:lineChart>
      <c:catAx>
        <c:axId val="21556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571472"/>
        <c:crosses val="autoZero"/>
        <c:auto val="1"/>
        <c:lblAlgn val="ctr"/>
        <c:lblOffset val="100"/>
        <c:noMultiLvlLbl val="0"/>
      </c:catAx>
      <c:valAx>
        <c:axId val="2155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56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Kotido-Karenga'!$C$60:$N$60</c:f>
              <c:numCache>
                <c:formatCode>0.00%</c:formatCode>
                <c:ptCount val="12"/>
                <c:pt idx="0">
                  <c:v>0</c:v>
                </c:pt>
                <c:pt idx="1">
                  <c:v>0.34782608695652173</c:v>
                </c:pt>
                <c:pt idx="2">
                  <c:v>0.30434782608695654</c:v>
                </c:pt>
                <c:pt idx="3">
                  <c:v>0.2608695652173913</c:v>
                </c:pt>
                <c:pt idx="4">
                  <c:v>0</c:v>
                </c:pt>
                <c:pt idx="5">
                  <c:v>4.3478260869565216E-2</c:v>
                </c:pt>
                <c:pt idx="6">
                  <c:v>4.3478260869565216E-2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Karenga-Kotido'!$AE$9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Karenga-Kotido'!$AE$10:$AE$21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'08.08 Karenga-Kotido'!$AF$9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Karenga-Kotido'!$AF$10:$AF$21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12</c:v>
                </c:pt>
                <c:pt idx="5">
                  <c:v>11</c:v>
                </c:pt>
                <c:pt idx="6">
                  <c:v>6</c:v>
                </c:pt>
                <c:pt idx="7">
                  <c:v>10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564416"/>
        <c:axId val="215565592"/>
      </c:lineChart>
      <c:catAx>
        <c:axId val="2155644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565592"/>
        <c:crosses val="autoZero"/>
        <c:auto val="1"/>
        <c:lblAlgn val="ctr"/>
        <c:lblOffset val="100"/>
        <c:noMultiLvlLbl val="0"/>
      </c:catAx>
      <c:valAx>
        <c:axId val="215565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5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Karenga-Kotido'!$C$59:$N$59</c:f>
              <c:numCache>
                <c:formatCode>0.0%</c:formatCode>
                <c:ptCount val="12"/>
                <c:pt idx="0">
                  <c:v>1.3157894736842105E-2</c:v>
                </c:pt>
                <c:pt idx="1">
                  <c:v>9.2105263157894732E-2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0</c:v>
                </c:pt>
                <c:pt idx="5">
                  <c:v>0</c:v>
                </c:pt>
                <c:pt idx="6">
                  <c:v>2.6315789473684209E-2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0.76315789473684215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Karenga-Kotido'!$S$9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'08.08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Karenga-Kotido'!$S$10:$S$21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'08.08 Karenga-Kotido'!$T$9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'08.08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Karenga-Kotido'!$T$10:$T$21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'08.08 Karenga-Kotido'!$U$9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'08.08 Karenga-Kotido'!$V$9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'08.08 Karenga-Kotido'!$W$9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'08.08 Karenga-Kotido'!$X$9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'08.08 Karenga-Kotido'!$Y$9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'08.08 Karenga-Kotido'!$Z$9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'08.08 Karenga-Kotido'!$AA$9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'08.08 Karenga-Kotido'!$AB$9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'08.08 Karenga-Kotido'!$AC$9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Karenga-Kotido'!$AC$10:$AC$21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11</c:v>
                </c:pt>
                <c:pt idx="5">
                  <c:v>6</c:v>
                </c:pt>
                <c:pt idx="6">
                  <c:v>5</c:v>
                </c:pt>
                <c:pt idx="7">
                  <c:v>10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'08.08 Karenga-Kotido'!$AD$9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Karenga-Kotido'!$AD$10:$AD$21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566376"/>
        <c:axId val="215566768"/>
      </c:lineChart>
      <c:catAx>
        <c:axId val="215566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566768"/>
        <c:crosses val="autoZero"/>
        <c:auto val="1"/>
        <c:lblAlgn val="ctr"/>
        <c:lblOffset val="100"/>
        <c:noMultiLvlLbl val="0"/>
      </c:catAx>
      <c:valAx>
        <c:axId val="21556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56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Karenga-Kotido'!$C$60:$N$60</c:f>
              <c:numCache>
                <c:formatCode>0.00%</c:formatCode>
                <c:ptCount val="12"/>
                <c:pt idx="0">
                  <c:v>5.5555555555555552E-2</c:v>
                </c:pt>
                <c:pt idx="1">
                  <c:v>0.3888888888888889</c:v>
                </c:pt>
                <c:pt idx="2">
                  <c:v>0.22222222222222221</c:v>
                </c:pt>
                <c:pt idx="3">
                  <c:v>0.22222222222222221</c:v>
                </c:pt>
                <c:pt idx="4">
                  <c:v>0</c:v>
                </c:pt>
                <c:pt idx="5">
                  <c:v>0</c:v>
                </c:pt>
                <c:pt idx="6">
                  <c:v>0.1111111111111111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Kotido-Karenga-24h'!$AE$9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'09.08 Kotido-Karenga-24h'!$R$10:$R$33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'09.08 Kotido-Karenga-24h'!$AE$10:$AE$33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'09.08 Kotido-Karenga-24h'!$AF$9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'09.08 Kotido-Karenga-24h'!$R$10:$R$33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'09.08 Kotido-Karenga-24h'!$AF$10:$AF$33</c:f>
              <c:numCache>
                <c:formatCode>0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14</c:v>
                </c:pt>
                <c:pt idx="5">
                  <c:v>9</c:v>
                </c:pt>
                <c:pt idx="6">
                  <c:v>7</c:v>
                </c:pt>
                <c:pt idx="7">
                  <c:v>10</c:v>
                </c:pt>
                <c:pt idx="8">
                  <c:v>14</c:v>
                </c:pt>
                <c:pt idx="9">
                  <c:v>9</c:v>
                </c:pt>
                <c:pt idx="10">
                  <c:v>9</c:v>
                </c:pt>
                <c:pt idx="11">
                  <c:v>7</c:v>
                </c:pt>
                <c:pt idx="12">
                  <c:v>6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911928"/>
        <c:axId val="216917808"/>
      </c:lineChart>
      <c:catAx>
        <c:axId val="216911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6917808"/>
        <c:crosses val="autoZero"/>
        <c:auto val="1"/>
        <c:lblAlgn val="ctr"/>
        <c:lblOffset val="100"/>
        <c:noMultiLvlLbl val="0"/>
      </c:catAx>
      <c:valAx>
        <c:axId val="216917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691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Kotido-Karenga-24h'!$C$9:$N$9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Kotido-Karenga-24h'!$C$107:$N$107</c:f>
              <c:numCache>
                <c:formatCode>0.0%</c:formatCode>
                <c:ptCount val="12"/>
                <c:pt idx="0">
                  <c:v>8.0000000000000002E-3</c:v>
                </c:pt>
                <c:pt idx="1">
                  <c:v>6.4000000000000001E-2</c:v>
                </c:pt>
                <c:pt idx="2">
                  <c:v>0.104</c:v>
                </c:pt>
                <c:pt idx="3">
                  <c:v>1.6E-2</c:v>
                </c:pt>
                <c:pt idx="4">
                  <c:v>0</c:v>
                </c:pt>
                <c:pt idx="5">
                  <c:v>0</c:v>
                </c:pt>
                <c:pt idx="6">
                  <c:v>0.04</c:v>
                </c:pt>
                <c:pt idx="7">
                  <c:v>4.8000000000000001E-2</c:v>
                </c:pt>
                <c:pt idx="8">
                  <c:v>0</c:v>
                </c:pt>
                <c:pt idx="9">
                  <c:v>0</c:v>
                </c:pt>
                <c:pt idx="10">
                  <c:v>0.72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Kotido-Karenga-24h'!$C$9:$N$9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Kotido-Karenga-24h'!$C$108:$N$108</c:f>
              <c:numCache>
                <c:formatCode>0.00%</c:formatCode>
                <c:ptCount val="12"/>
                <c:pt idx="0">
                  <c:v>2.8571428571428571E-2</c:v>
                </c:pt>
                <c:pt idx="1">
                  <c:v>0.22857142857142856</c:v>
                </c:pt>
                <c:pt idx="2">
                  <c:v>0.37142857142857144</c:v>
                </c:pt>
                <c:pt idx="3">
                  <c:v>5.7142857142857141E-2</c:v>
                </c:pt>
                <c:pt idx="4">
                  <c:v>0</c:v>
                </c:pt>
                <c:pt idx="5">
                  <c:v>0</c:v>
                </c:pt>
                <c:pt idx="6">
                  <c:v>0.14285714285714285</c:v>
                </c:pt>
                <c:pt idx="7">
                  <c:v>0.17142857142857143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'09.08 Karenga-Kotido-24h'!$AE$9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'09.08 Karenga-Kotido-24h'!$R$10:$R$33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'09.08 Karenga-Kotido-24h'!$AE$10:$AE$33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'09.08 Karenga-Kotido-24h'!$AF$9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'09.08 Karenga-Kotido-24h'!$R$10:$R$33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'09.08 Karenga-Kotido-24h'!$AF$10:$AF$33</c:f>
              <c:numCache>
                <c:formatCode>0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14</c:v>
                </c:pt>
                <c:pt idx="5">
                  <c:v>10</c:v>
                </c:pt>
                <c:pt idx="6">
                  <c:v>8</c:v>
                </c:pt>
                <c:pt idx="7">
                  <c:v>12</c:v>
                </c:pt>
                <c:pt idx="8">
                  <c:v>11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7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913104"/>
        <c:axId val="216915456"/>
      </c:lineChart>
      <c:catAx>
        <c:axId val="216913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6915456"/>
        <c:crosses val="autoZero"/>
        <c:auto val="1"/>
        <c:lblAlgn val="ctr"/>
        <c:lblOffset val="100"/>
        <c:noMultiLvlLbl val="0"/>
      </c:catAx>
      <c:valAx>
        <c:axId val="216915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691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Karenga-Kotido-24h'!$C$9:$N$9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Karenga-Kotido-24h'!$C$107:$N$107</c:f>
              <c:numCache>
                <c:formatCode>0.0%</c:formatCode>
                <c:ptCount val="12"/>
                <c:pt idx="0">
                  <c:v>9.1743119266055051E-3</c:v>
                </c:pt>
                <c:pt idx="1">
                  <c:v>9.1743119266055051E-2</c:v>
                </c:pt>
                <c:pt idx="2">
                  <c:v>0.12844036697247707</c:v>
                </c:pt>
                <c:pt idx="3">
                  <c:v>2.7522935779816515E-2</c:v>
                </c:pt>
                <c:pt idx="4">
                  <c:v>0</c:v>
                </c:pt>
                <c:pt idx="5">
                  <c:v>0</c:v>
                </c:pt>
                <c:pt idx="6">
                  <c:v>7.3394495412844041E-2</c:v>
                </c:pt>
                <c:pt idx="7">
                  <c:v>9.1743119266055051E-3</c:v>
                </c:pt>
                <c:pt idx="8">
                  <c:v>9.1743119266055051E-3</c:v>
                </c:pt>
                <c:pt idx="9">
                  <c:v>0</c:v>
                </c:pt>
                <c:pt idx="10">
                  <c:v>0.65137614678899081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'09.08 Karenga-Kotido-24h'!$C$9:$N$9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'09.08 Karenga-Kotido-24h'!$C$108:$N$108</c:f>
              <c:numCache>
                <c:formatCode>0.00%</c:formatCode>
                <c:ptCount val="12"/>
                <c:pt idx="0">
                  <c:v>2.6315789473684209E-2</c:v>
                </c:pt>
                <c:pt idx="1">
                  <c:v>0.26315789473684209</c:v>
                </c:pt>
                <c:pt idx="2">
                  <c:v>0.36842105263157893</c:v>
                </c:pt>
                <c:pt idx="3">
                  <c:v>7.8947368421052627E-2</c:v>
                </c:pt>
                <c:pt idx="4">
                  <c:v>0</c:v>
                </c:pt>
                <c:pt idx="5">
                  <c:v>0</c:v>
                </c:pt>
                <c:pt idx="6">
                  <c:v>0.21052631578947367</c:v>
                </c:pt>
                <c:pt idx="7">
                  <c:v>2.6315789473684209E-2</c:v>
                </c:pt>
                <c:pt idx="8">
                  <c:v>2.6315789473684209E-2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'10.08 Kotido-Karenga-24h'!$AE$9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'10.08 Kotido-Karenga-24h'!$R$10:$R$33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Kotido-Karenga-24h'!$AE$10:$AE$33</c:f>
              <c:numCache>
                <c:formatCode>0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'10.08 Kotido-Karenga-24h'!$AF$9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'10.08 Kotido-Karenga-24h'!$R$10:$R$33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Kotido-Karenga-24h'!$AF$10:$AF$33</c:f>
              <c:numCache>
                <c:formatCode>0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6</c:v>
                </c:pt>
                <c:pt idx="9">
                  <c:v>11</c:v>
                </c:pt>
                <c:pt idx="10">
                  <c:v>10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532448"/>
        <c:axId val="218525784"/>
      </c:lineChart>
      <c:catAx>
        <c:axId val="2185324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8525784"/>
        <c:crosses val="autoZero"/>
        <c:auto val="1"/>
        <c:lblAlgn val="ctr"/>
        <c:lblOffset val="100"/>
        <c:noMultiLvlLbl val="0"/>
      </c:catAx>
      <c:valAx>
        <c:axId val="218525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853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Kotido-Karenga-24h'!$C$9:$N$9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Kotido-Karenga-24h'!$C$107:$N$107</c:f>
              <c:numCache>
                <c:formatCode>0.0%</c:formatCode>
                <c:ptCount val="12"/>
                <c:pt idx="0">
                  <c:v>3.3898305084745763E-2</c:v>
                </c:pt>
                <c:pt idx="1">
                  <c:v>8.4745762711864403E-2</c:v>
                </c:pt>
                <c:pt idx="2">
                  <c:v>3.3898305084745763E-2</c:v>
                </c:pt>
                <c:pt idx="3">
                  <c:v>7.6271186440677971E-2</c:v>
                </c:pt>
                <c:pt idx="4">
                  <c:v>0</c:v>
                </c:pt>
                <c:pt idx="5">
                  <c:v>0</c:v>
                </c:pt>
                <c:pt idx="6">
                  <c:v>3.3898305084745763E-2</c:v>
                </c:pt>
                <c:pt idx="7">
                  <c:v>8.4745762711864406E-3</c:v>
                </c:pt>
                <c:pt idx="8">
                  <c:v>8.4745762711864406E-3</c:v>
                </c:pt>
                <c:pt idx="9">
                  <c:v>1.6949152542372881E-2</c:v>
                </c:pt>
                <c:pt idx="10">
                  <c:v>0.70338983050847459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Kotido-Karenga-24h'!$C$9:$N$9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Kotido-Karenga-24h'!$C$108:$N$108</c:f>
              <c:numCache>
                <c:formatCode>0.00%</c:formatCode>
                <c:ptCount val="12"/>
                <c:pt idx="0">
                  <c:v>0.11428571428571428</c:v>
                </c:pt>
                <c:pt idx="1">
                  <c:v>0.2857142857142857</c:v>
                </c:pt>
                <c:pt idx="2">
                  <c:v>0.11428571428571428</c:v>
                </c:pt>
                <c:pt idx="3">
                  <c:v>0.25714285714285712</c:v>
                </c:pt>
                <c:pt idx="4">
                  <c:v>0</c:v>
                </c:pt>
                <c:pt idx="5">
                  <c:v>0</c:v>
                </c:pt>
                <c:pt idx="6">
                  <c:v>0.11428571428571428</c:v>
                </c:pt>
                <c:pt idx="7">
                  <c:v>2.8571428571428571E-2</c:v>
                </c:pt>
                <c:pt idx="8">
                  <c:v>2.8571428571428571E-2</c:v>
                </c:pt>
                <c:pt idx="9">
                  <c:v>5.7142857142857141E-2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'10.08 Karenga-Kotido-24h'!$AE$9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'10.08 Karenga-Kotido-24h'!$R$10:$R$33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Karenga-Kotido-24h'!$AE$10:$AE$33</c:f>
              <c:numCache>
                <c:formatCode>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'10.08 Karenga-Kotido-24h'!$AF$9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'10.08 Karenga-Kotido-24h'!$R$10:$R$33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Karenga-Kotido-24h'!$AF$10:$AF$33</c:f>
              <c:numCache>
                <c:formatCode>0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12</c:v>
                </c:pt>
                <c:pt idx="7">
                  <c:v>13</c:v>
                </c:pt>
                <c:pt idx="8">
                  <c:v>4</c:v>
                </c:pt>
                <c:pt idx="9">
                  <c:v>14</c:v>
                </c:pt>
                <c:pt idx="10">
                  <c:v>7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532840"/>
        <c:axId val="218533232"/>
      </c:lineChart>
      <c:catAx>
        <c:axId val="218532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8533232"/>
        <c:crosses val="autoZero"/>
        <c:auto val="1"/>
        <c:lblAlgn val="ctr"/>
        <c:lblOffset val="100"/>
        <c:noMultiLvlLbl val="0"/>
      </c:catAx>
      <c:valAx>
        <c:axId val="218533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853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Karenga-Kotido-24h'!$C$9:$N$9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Karenga-Kotido-24h'!$C$107:$N$107</c:f>
              <c:numCache>
                <c:formatCode>0.0%</c:formatCode>
                <c:ptCount val="12"/>
                <c:pt idx="0">
                  <c:v>2.8301886792452831E-2</c:v>
                </c:pt>
                <c:pt idx="1">
                  <c:v>3.7735849056603772E-2</c:v>
                </c:pt>
                <c:pt idx="2">
                  <c:v>7.5471698113207544E-2</c:v>
                </c:pt>
                <c:pt idx="3">
                  <c:v>1.8867924528301886E-2</c:v>
                </c:pt>
                <c:pt idx="4">
                  <c:v>0</c:v>
                </c:pt>
                <c:pt idx="5">
                  <c:v>0</c:v>
                </c:pt>
                <c:pt idx="6">
                  <c:v>1.8867924528301886E-2</c:v>
                </c:pt>
                <c:pt idx="7">
                  <c:v>9.433962264150943E-3</c:v>
                </c:pt>
                <c:pt idx="8">
                  <c:v>9.433962264150943E-3</c:v>
                </c:pt>
                <c:pt idx="9">
                  <c:v>0</c:v>
                </c:pt>
                <c:pt idx="10">
                  <c:v>0.80188679245283023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Karenga-Kotido-24h'!$C$9:$N$9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Karenga-Kotido-24h'!$C$108:$N$108</c:f>
              <c:numCache>
                <c:formatCode>0.00%</c:formatCode>
                <c:ptCount val="12"/>
                <c:pt idx="0">
                  <c:v>0.14285714285714285</c:v>
                </c:pt>
                <c:pt idx="1">
                  <c:v>0.19047619047619047</c:v>
                </c:pt>
                <c:pt idx="2">
                  <c:v>0.38095238095238093</c:v>
                </c:pt>
                <c:pt idx="3">
                  <c:v>9.5238095238095233E-2</c:v>
                </c:pt>
                <c:pt idx="4">
                  <c:v>0</c:v>
                </c:pt>
                <c:pt idx="5">
                  <c:v>0</c:v>
                </c:pt>
                <c:pt idx="6">
                  <c:v>9.5238095238095233E-2</c:v>
                </c:pt>
                <c:pt idx="7">
                  <c:v>4.7619047619047616E-2</c:v>
                </c:pt>
                <c:pt idx="8">
                  <c:v>4.7619047619047616E-2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Kotido-Karenga'!$AE$9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Kotido-Karenga'!$AE$10:$AE$21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'11.08 Kotido-Karenga'!$AF$9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Kotido-Karenga'!$AF$10:$AF$21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526960"/>
        <c:axId val="218531272"/>
      </c:lineChart>
      <c:catAx>
        <c:axId val="218526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8531272"/>
        <c:crosses val="autoZero"/>
        <c:auto val="1"/>
        <c:lblAlgn val="ctr"/>
        <c:lblOffset val="100"/>
        <c:noMultiLvlLbl val="0"/>
      </c:catAx>
      <c:valAx>
        <c:axId val="218531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852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Kotido-Karenga'!$C$59:$N$59</c:f>
              <c:numCache>
                <c:formatCode>0.0%</c:formatCode>
                <c:ptCount val="12"/>
                <c:pt idx="0">
                  <c:v>9.6774193548387094E-2</c:v>
                </c:pt>
                <c:pt idx="1">
                  <c:v>0</c:v>
                </c:pt>
                <c:pt idx="2">
                  <c:v>3.2258064516129031E-2</c:v>
                </c:pt>
                <c:pt idx="3">
                  <c:v>3.2258064516129031E-2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3.2258064516129031E-2</c:v>
                </c:pt>
                <c:pt idx="8">
                  <c:v>0</c:v>
                </c:pt>
                <c:pt idx="9">
                  <c:v>0</c:v>
                </c:pt>
                <c:pt idx="10">
                  <c:v>0.80645161290322576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Kotido-Karenga'!$S$9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Kotido-Karenga'!$S$10:$S$21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'11.08 Kotido-Karenga'!$T$9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Kotido-Karenga'!$R$10:$R$21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Kotido-Karenga'!$T$10:$T$21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'11.08 Kotido-Karenga'!$U$9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'11.08 Kotido-Karenga'!$V$9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'11.08 Kotido-Karenga'!$W$9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'11.08 Kotido-Karenga'!$X$9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'11.08 Kotido-Karenga'!$Y$9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'11.08 Kotido-Karenga'!$Z$9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'11.08 Kotido-Karenga'!$AA$9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'11.08 Kotido-Karenga'!$AB$9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'11.08 Kotido-Karenga'!$AC$9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Kotido-Karenga'!$AC$10:$AC$21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'11.08 Kotido-Karenga'!$AD$9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Kotido-Karenga'!$AD$10:$AD$21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527744"/>
        <c:axId val="216917416"/>
      </c:lineChart>
      <c:catAx>
        <c:axId val="21852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6917416"/>
        <c:crosses val="autoZero"/>
        <c:auto val="1"/>
        <c:lblAlgn val="ctr"/>
        <c:lblOffset val="100"/>
        <c:noMultiLvlLbl val="0"/>
      </c:catAx>
      <c:valAx>
        <c:axId val="21691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852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Kotido-Karenga'!$C$60:$N$60</c:f>
              <c:numCache>
                <c:formatCode>0.00%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0.16666666666666666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Karenga-Kotido'!$AE$9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Karenga-Kotido'!$AE$10:$AE$21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'11.08 Karenga-Kotido'!$AF$9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Karenga-Kotido'!$AF$10:$AF$21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13</c:v>
                </c:pt>
                <c:pt idx="8">
                  <c:v>3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034144"/>
        <c:axId val="219036496"/>
      </c:lineChart>
      <c:catAx>
        <c:axId val="219034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036496"/>
        <c:crosses val="autoZero"/>
        <c:auto val="1"/>
        <c:lblAlgn val="ctr"/>
        <c:lblOffset val="100"/>
        <c:noMultiLvlLbl val="0"/>
      </c:catAx>
      <c:valAx>
        <c:axId val="219036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03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Karenga-Kotido'!$C$59:$N$59</c:f>
              <c:numCache>
                <c:formatCode>0.0%</c:formatCode>
                <c:ptCount val="12"/>
                <c:pt idx="0">
                  <c:v>2.6315789473684209E-2</c:v>
                </c:pt>
                <c:pt idx="1">
                  <c:v>5.2631578947368418E-2</c:v>
                </c:pt>
                <c:pt idx="2">
                  <c:v>2.6315789473684209E-2</c:v>
                </c:pt>
                <c:pt idx="3">
                  <c:v>1.3157894736842105E-2</c:v>
                </c:pt>
                <c:pt idx="4">
                  <c:v>0</c:v>
                </c:pt>
                <c:pt idx="5">
                  <c:v>0</c:v>
                </c:pt>
                <c:pt idx="6">
                  <c:v>3.9473684210526314E-2</c:v>
                </c:pt>
                <c:pt idx="7">
                  <c:v>2.6315789473684209E-2</c:v>
                </c:pt>
                <c:pt idx="8">
                  <c:v>0</c:v>
                </c:pt>
                <c:pt idx="9">
                  <c:v>0</c:v>
                </c:pt>
                <c:pt idx="10">
                  <c:v>0.81578947368421051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Karenga-Kotido'!$S$9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Karenga-Kotido'!$S$10:$S$21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'11.08 Karenga-Kotido'!$T$9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Karenga-Kotido'!$R$10:$R$21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Karenga-Kotido'!$T$10:$T$21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'11.08 Karenga-Kotido'!$U$9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'11.08 Karenga-Kotido'!$V$9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'11.08 Karenga-Kotido'!$W$9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'11.08 Karenga-Kotido'!$X$9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'11.08 Karenga-Kotido'!$Y$9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'11.08 Karenga-Kotido'!$Z$9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'11.08 Karenga-Kotido'!$AA$9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'11.08 Karenga-Kotido'!$AB$9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'11.08 Karenga-Kotido'!$AC$9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Karenga-Kotido'!$AC$10:$AC$21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'11.08 Karenga-Kotido'!$AD$9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Karenga-Kotido'!$AD$10:$AD$21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034928"/>
        <c:axId val="219039240"/>
      </c:lineChart>
      <c:catAx>
        <c:axId val="21903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039240"/>
        <c:crosses val="autoZero"/>
        <c:auto val="1"/>
        <c:lblAlgn val="ctr"/>
        <c:lblOffset val="100"/>
        <c:noMultiLvlLbl val="0"/>
      </c:catAx>
      <c:valAx>
        <c:axId val="21903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0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Karenga-Kotido'!$C$60:$N$60</c:f>
              <c:numCache>
                <c:formatCode>0.00%</c:formatCode>
                <c:ptCount val="12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7.1428571428571425E-2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0.14285714285714285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Kotido-Karenga'!$AE$9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Kotido-Karenga'!$R$10:$R$33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Kotido-Karenga'!$AE$10:$AE$33</c:f>
              <c:numCache>
                <c:formatCode>0</c:formatCode>
                <c:ptCount val="24"/>
                <c:pt idx="0">
                  <c:v>1.8571428571428572</c:v>
                </c:pt>
                <c:pt idx="1">
                  <c:v>2.1428571428571423</c:v>
                </c:pt>
                <c:pt idx="2">
                  <c:v>4.4285714285714288</c:v>
                </c:pt>
                <c:pt idx="3">
                  <c:v>3.4285714285714279</c:v>
                </c:pt>
                <c:pt idx="4">
                  <c:v>2.9999999999999996</c:v>
                </c:pt>
                <c:pt idx="5">
                  <c:v>2.1428571428571423</c:v>
                </c:pt>
                <c:pt idx="6">
                  <c:v>3.4285714285714284</c:v>
                </c:pt>
                <c:pt idx="7">
                  <c:v>2.4285714285714284</c:v>
                </c:pt>
                <c:pt idx="8">
                  <c:v>2.8571428571428568</c:v>
                </c:pt>
                <c:pt idx="9">
                  <c:v>2.1428571428571423</c:v>
                </c:pt>
                <c:pt idx="10">
                  <c:v>1.5714285714285712</c:v>
                </c:pt>
                <c:pt idx="11">
                  <c:v>2.1428571428571428</c:v>
                </c:pt>
                <c:pt idx="12">
                  <c:v>0.5</c:v>
                </c:pt>
                <c:pt idx="13">
                  <c:v>1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Kotido-Karenga'!$AF$9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Kotido-Karenga'!$R$10:$R$33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Kotido-Karenga'!$AF$10:$AF$33</c:f>
              <c:numCache>
                <c:formatCode>0</c:formatCode>
                <c:ptCount val="24"/>
                <c:pt idx="0">
                  <c:v>8</c:v>
                </c:pt>
                <c:pt idx="1">
                  <c:v>11.285714285714285</c:v>
                </c:pt>
                <c:pt idx="2">
                  <c:v>15.142857142857142</c:v>
                </c:pt>
                <c:pt idx="3">
                  <c:v>11</c:v>
                </c:pt>
                <c:pt idx="4">
                  <c:v>11.857142857142858</c:v>
                </c:pt>
                <c:pt idx="5">
                  <c:v>9.5714285714285712</c:v>
                </c:pt>
                <c:pt idx="6">
                  <c:v>11</c:v>
                </c:pt>
                <c:pt idx="7">
                  <c:v>7.5714285714285703</c:v>
                </c:pt>
                <c:pt idx="8">
                  <c:v>8.5714285714285694</c:v>
                </c:pt>
                <c:pt idx="9">
                  <c:v>9.5714285714285712</c:v>
                </c:pt>
                <c:pt idx="10">
                  <c:v>9</c:v>
                </c:pt>
                <c:pt idx="11">
                  <c:v>7.4285714285714288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3.5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036104"/>
        <c:axId val="219035320"/>
      </c:lineChart>
      <c:catAx>
        <c:axId val="219036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035320"/>
        <c:crosses val="autoZero"/>
        <c:auto val="1"/>
        <c:lblAlgn val="ctr"/>
        <c:lblOffset val="100"/>
        <c:noMultiLvlLbl val="0"/>
      </c:catAx>
      <c:valAx>
        <c:axId val="219035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03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Kotido-Karenga'!$C$107:$N$107</c:f>
              <c:numCache>
                <c:formatCode>0.0%</c:formatCode>
                <c:ptCount val="12"/>
                <c:pt idx="0">
                  <c:v>1.9740259740259739E-2</c:v>
                </c:pt>
                <c:pt idx="1">
                  <c:v>6.7012987012987066E-2</c:v>
                </c:pt>
                <c:pt idx="2">
                  <c:v>7.4805194805194833E-2</c:v>
                </c:pt>
                <c:pt idx="3">
                  <c:v>3.3766233766233771E-2</c:v>
                </c:pt>
                <c:pt idx="4">
                  <c:v>0</c:v>
                </c:pt>
                <c:pt idx="5">
                  <c:v>1.0389610389610392E-3</c:v>
                </c:pt>
                <c:pt idx="6">
                  <c:v>3.7402597402597416E-2</c:v>
                </c:pt>
                <c:pt idx="7">
                  <c:v>1.3506493506493506E-2</c:v>
                </c:pt>
                <c:pt idx="8">
                  <c:v>1.0389610389610392E-3</c:v>
                </c:pt>
                <c:pt idx="9">
                  <c:v>2.0779220779220784E-3</c:v>
                </c:pt>
                <c:pt idx="10">
                  <c:v>0.74857142857142889</c:v>
                </c:pt>
                <c:pt idx="11">
                  <c:v>1.0389610389610392E-3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Kotido-Karenga'!$C$9:$N$9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Kotido-Karenga'!$C$108:$N$108</c:f>
              <c:numCache>
                <c:formatCode>0.00%</c:formatCode>
                <c:ptCount val="12"/>
                <c:pt idx="0">
                  <c:v>7.8512396694214878E-2</c:v>
                </c:pt>
                <c:pt idx="1">
                  <c:v>0.26652892561983493</c:v>
                </c:pt>
                <c:pt idx="2">
                  <c:v>0.29752066115702491</c:v>
                </c:pt>
                <c:pt idx="3">
                  <c:v>0.13429752066115705</c:v>
                </c:pt>
                <c:pt idx="4">
                  <c:v>0</c:v>
                </c:pt>
                <c:pt idx="5">
                  <c:v>4.1322314049586787E-3</c:v>
                </c:pt>
                <c:pt idx="6">
                  <c:v>0.14876033057851246</c:v>
                </c:pt>
                <c:pt idx="7">
                  <c:v>5.3719008264462811E-2</c:v>
                </c:pt>
                <c:pt idx="8">
                  <c:v>4.1322314049586787E-3</c:v>
                </c:pt>
                <c:pt idx="9">
                  <c:v>8.2644628099173573E-3</c:v>
                </c:pt>
                <c:pt idx="11">
                  <c:v>4.1322314049586787E-3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Karenga-Kotido'!$AE$9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Karenga-Kotido'!$R$10:$R$33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Karenga-Kotido'!$AE$10:$AE$33</c:f>
              <c:numCache>
                <c:formatCode>0</c:formatCode>
                <c:ptCount val="24"/>
                <c:pt idx="0">
                  <c:v>1.2857142857142856</c:v>
                </c:pt>
                <c:pt idx="1">
                  <c:v>1.5714285714285712</c:v>
                </c:pt>
                <c:pt idx="2">
                  <c:v>1.7142857142857142</c:v>
                </c:pt>
                <c:pt idx="3">
                  <c:v>1.5714285714285712</c:v>
                </c:pt>
                <c:pt idx="4">
                  <c:v>2.4285714285714284</c:v>
                </c:pt>
                <c:pt idx="5">
                  <c:v>2.9999999999999991</c:v>
                </c:pt>
                <c:pt idx="6">
                  <c:v>3.1428571428571419</c:v>
                </c:pt>
                <c:pt idx="7">
                  <c:v>2.4285714285714284</c:v>
                </c:pt>
                <c:pt idx="8">
                  <c:v>2.1428571428571423</c:v>
                </c:pt>
                <c:pt idx="9">
                  <c:v>1.7142857142857142</c:v>
                </c:pt>
                <c:pt idx="10">
                  <c:v>2.2857142857142851</c:v>
                </c:pt>
                <c:pt idx="11">
                  <c:v>2.1428571428571423</c:v>
                </c:pt>
                <c:pt idx="12">
                  <c:v>1.5</c:v>
                </c:pt>
                <c:pt idx="13">
                  <c:v>0</c:v>
                </c:pt>
                <c:pt idx="14">
                  <c:v>0.5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Karenga-Kotido'!$AF$9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Karenga-Kotido'!$R$10:$R$33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Karenga-Kotido'!$AF$10:$AF$33</c:f>
              <c:numCache>
                <c:formatCode>0</c:formatCode>
                <c:ptCount val="24"/>
                <c:pt idx="0">
                  <c:v>6.5714285714285712</c:v>
                </c:pt>
                <c:pt idx="1">
                  <c:v>9.5714285714285712</c:v>
                </c:pt>
                <c:pt idx="2">
                  <c:v>9.1428571428571423</c:v>
                </c:pt>
                <c:pt idx="3">
                  <c:v>9</c:v>
                </c:pt>
                <c:pt idx="4">
                  <c:v>11.142857142857142</c:v>
                </c:pt>
                <c:pt idx="5">
                  <c:v>10.714285714285714</c:v>
                </c:pt>
                <c:pt idx="6">
                  <c:v>9.5714285714285712</c:v>
                </c:pt>
                <c:pt idx="7">
                  <c:v>11.571428571428569</c:v>
                </c:pt>
                <c:pt idx="8">
                  <c:v>6.7142857142857144</c:v>
                </c:pt>
                <c:pt idx="9">
                  <c:v>8.2857142857142865</c:v>
                </c:pt>
                <c:pt idx="10">
                  <c:v>6.8571428571428559</c:v>
                </c:pt>
                <c:pt idx="11">
                  <c:v>6.8571428571428559</c:v>
                </c:pt>
                <c:pt idx="12">
                  <c:v>6</c:v>
                </c:pt>
                <c:pt idx="13">
                  <c:v>2.5</c:v>
                </c:pt>
                <c:pt idx="14">
                  <c:v>3</c:v>
                </c:pt>
                <c:pt idx="15">
                  <c:v>1</c:v>
                </c:pt>
                <c:pt idx="16">
                  <c:v>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040808"/>
        <c:axId val="220757880"/>
      </c:lineChart>
      <c:catAx>
        <c:axId val="219040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0757880"/>
        <c:crosses val="autoZero"/>
        <c:auto val="1"/>
        <c:lblAlgn val="ctr"/>
        <c:lblOffset val="100"/>
        <c:noMultiLvlLbl val="0"/>
      </c:catAx>
      <c:valAx>
        <c:axId val="220757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04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Karenga-Kotido'!$C$107:$N$107</c:f>
              <c:numCache>
                <c:formatCode>0.0%</c:formatCode>
                <c:ptCount val="12"/>
                <c:pt idx="0">
                  <c:v>2.0408163265306117E-2</c:v>
                </c:pt>
                <c:pt idx="1">
                  <c:v>5.5822328931572629E-2</c:v>
                </c:pt>
                <c:pt idx="2">
                  <c:v>7.5630252100840317E-2</c:v>
                </c:pt>
                <c:pt idx="3">
                  <c:v>2.1608643457382941E-2</c:v>
                </c:pt>
                <c:pt idx="4">
                  <c:v>1.2004801920768304E-3</c:v>
                </c:pt>
                <c:pt idx="5">
                  <c:v>0</c:v>
                </c:pt>
                <c:pt idx="6">
                  <c:v>4.2016806722689065E-2</c:v>
                </c:pt>
                <c:pt idx="7">
                  <c:v>1.2004801920768303E-2</c:v>
                </c:pt>
                <c:pt idx="8">
                  <c:v>3.6014405762304913E-3</c:v>
                </c:pt>
                <c:pt idx="9">
                  <c:v>0</c:v>
                </c:pt>
                <c:pt idx="10">
                  <c:v>0.76530612244897944</c:v>
                </c:pt>
                <c:pt idx="11">
                  <c:v>2.4009603841536609E-3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Karenga-Kotido'!$C$9:$N$9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Karenga-Kotido'!$C$108:$N$108</c:f>
              <c:numCache>
                <c:formatCode>0.00%</c:formatCode>
                <c:ptCount val="12"/>
                <c:pt idx="0">
                  <c:v>8.6956521739130446E-2</c:v>
                </c:pt>
                <c:pt idx="1">
                  <c:v>0.23785166240409217</c:v>
                </c:pt>
                <c:pt idx="2">
                  <c:v>0.32225063938618931</c:v>
                </c:pt>
                <c:pt idx="3">
                  <c:v>9.2071611253196919E-2</c:v>
                </c:pt>
                <c:pt idx="4">
                  <c:v>5.1150895140664966E-3</c:v>
                </c:pt>
                <c:pt idx="5">
                  <c:v>0</c:v>
                </c:pt>
                <c:pt idx="6">
                  <c:v>0.17902813299232739</c:v>
                </c:pt>
                <c:pt idx="7">
                  <c:v>5.1150895140664968E-2</c:v>
                </c:pt>
                <c:pt idx="8">
                  <c:v>1.5345268542199491E-2</c:v>
                </c:pt>
                <c:pt idx="9">
                  <c:v>0</c:v>
                </c:pt>
                <c:pt idx="11">
                  <c:v>1.0230179028132993E-2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Kotido-Karenga-2Dir'!$C$9:$N$9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Kotido-Karenga-2Dir'!$C$107:$N$107</c:f>
              <c:numCache>
                <c:formatCode>0.0%</c:formatCode>
                <c:ptCount val="12"/>
                <c:pt idx="0">
                  <c:v>2.0050125313283207E-2</c:v>
                </c:pt>
                <c:pt idx="1">
                  <c:v>6.1821219715956555E-2</c:v>
                </c:pt>
                <c:pt idx="2">
                  <c:v>7.518796992481204E-2</c:v>
                </c:pt>
                <c:pt idx="3">
                  <c:v>2.8125870231133394E-2</c:v>
                </c:pt>
                <c:pt idx="4">
                  <c:v>5.5694792536897797E-4</c:v>
                </c:pt>
                <c:pt idx="5">
                  <c:v>5.5694792536897797E-4</c:v>
                </c:pt>
                <c:pt idx="6">
                  <c:v>3.954330270119745E-2</c:v>
                </c:pt>
                <c:pt idx="7">
                  <c:v>1.280980228348649E-2</c:v>
                </c:pt>
                <c:pt idx="8">
                  <c:v>2.2277917014759119E-3</c:v>
                </c:pt>
                <c:pt idx="9">
                  <c:v>1.1138958507379559E-3</c:v>
                </c:pt>
                <c:pt idx="10">
                  <c:v>0.75633528265107197</c:v>
                </c:pt>
                <c:pt idx="11">
                  <c:v>1.6708437761069339E-3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Kotido-Karenga-2Dir'!$C$9:$N$9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Kotido-Karenga-2Dir'!$C$108:$N$108</c:f>
              <c:numCache>
                <c:formatCode>0.00%</c:formatCode>
                <c:ptCount val="12"/>
                <c:pt idx="0">
                  <c:v>8.2285714285714281E-2</c:v>
                </c:pt>
                <c:pt idx="1">
                  <c:v>0.25371428571428567</c:v>
                </c:pt>
                <c:pt idx="2">
                  <c:v>0.30857142857142861</c:v>
                </c:pt>
                <c:pt idx="3">
                  <c:v>0.11542857142857145</c:v>
                </c:pt>
                <c:pt idx="4">
                  <c:v>2.2857142857142855E-3</c:v>
                </c:pt>
                <c:pt idx="5">
                  <c:v>2.2857142857142855E-3</c:v>
                </c:pt>
                <c:pt idx="6">
                  <c:v>0.16228571428571434</c:v>
                </c:pt>
                <c:pt idx="7">
                  <c:v>5.2571428571428554E-2</c:v>
                </c:pt>
                <c:pt idx="8">
                  <c:v>9.1428571428571418E-3</c:v>
                </c:pt>
                <c:pt idx="9">
                  <c:v>4.5714285714285709E-3</c:v>
                </c:pt>
                <c:pt idx="11">
                  <c:v>6.8571428571428568E-3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Kotido-Karenga-2Dir'!$AE$9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Kotido-Karenga-2Dir'!$R$10:$R$33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Kotido-Karenga-2Dir'!$AE$10:$AE$33</c:f>
              <c:numCache>
                <c:formatCode>0</c:formatCode>
                <c:ptCount val="24"/>
                <c:pt idx="0">
                  <c:v>3.1428571428571423</c:v>
                </c:pt>
                <c:pt idx="1">
                  <c:v>3.714285714285714</c:v>
                </c:pt>
                <c:pt idx="2">
                  <c:v>6.1428571428571423</c:v>
                </c:pt>
                <c:pt idx="3">
                  <c:v>4.9999999999999991</c:v>
                </c:pt>
                <c:pt idx="4">
                  <c:v>5.428571428571427</c:v>
                </c:pt>
                <c:pt idx="5">
                  <c:v>5.1428571428571423</c:v>
                </c:pt>
                <c:pt idx="6">
                  <c:v>6.5714285714285712</c:v>
                </c:pt>
                <c:pt idx="7">
                  <c:v>4.8571428571428568</c:v>
                </c:pt>
                <c:pt idx="8">
                  <c:v>5</c:v>
                </c:pt>
                <c:pt idx="9">
                  <c:v>3.8571428571428568</c:v>
                </c:pt>
                <c:pt idx="10">
                  <c:v>3.8571428571428577</c:v>
                </c:pt>
                <c:pt idx="11">
                  <c:v>4.2857142857142856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DA-42D5-AED3-015B43C0EA2A}"/>
            </c:ext>
          </c:extLst>
        </c:ser>
        <c:ser>
          <c:idx val="1"/>
          <c:order val="1"/>
          <c:tx>
            <c:strRef>
              <c:f>'Avg Week Kotido-Karenga-2Dir'!$AF$9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Kotido-Karenga-2Dir'!$R$10:$R$33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Kotido-Karenga-2Dir'!$AF$10:$AF$33</c:f>
              <c:numCache>
                <c:formatCode>0</c:formatCode>
                <c:ptCount val="24"/>
                <c:pt idx="0">
                  <c:v>14.571428571428571</c:v>
                </c:pt>
                <c:pt idx="1">
                  <c:v>20.857142857142854</c:v>
                </c:pt>
                <c:pt idx="2">
                  <c:v>24.285714285714285</c:v>
                </c:pt>
                <c:pt idx="3">
                  <c:v>20</c:v>
                </c:pt>
                <c:pt idx="4">
                  <c:v>23</c:v>
                </c:pt>
                <c:pt idx="5">
                  <c:v>20.285714285714285</c:v>
                </c:pt>
                <c:pt idx="6">
                  <c:v>20.571428571428569</c:v>
                </c:pt>
                <c:pt idx="7">
                  <c:v>19.142857142857142</c:v>
                </c:pt>
                <c:pt idx="8">
                  <c:v>15.285714285714285</c:v>
                </c:pt>
                <c:pt idx="9">
                  <c:v>17.857142857142858</c:v>
                </c:pt>
                <c:pt idx="10">
                  <c:v>15.857142857142858</c:v>
                </c:pt>
                <c:pt idx="11">
                  <c:v>14.285714285714285</c:v>
                </c:pt>
                <c:pt idx="12">
                  <c:v>11</c:v>
                </c:pt>
                <c:pt idx="13">
                  <c:v>6.5</c:v>
                </c:pt>
                <c:pt idx="14">
                  <c:v>6</c:v>
                </c:pt>
                <c:pt idx="15">
                  <c:v>4.5</c:v>
                </c:pt>
                <c:pt idx="16">
                  <c:v>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DA-42D5-AED3-015B43C0EA2A}"/>
            </c:ext>
          </c:extLst>
        </c:ser>
        <c:ser>
          <c:idx val="5"/>
          <c:order val="2"/>
          <c:tx>
            <c:strRef>
              <c:f>'Avg Week Kotido-Karenga-2Dir'!$AC$9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Kotido-Karenga-2Dir'!$R$10:$R$33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Kotido-Karenga-2Dir'!$AC$10:$AC$33</c:f>
              <c:numCache>
                <c:formatCode>0</c:formatCode>
                <c:ptCount val="24"/>
                <c:pt idx="0">
                  <c:v>11.428571428571429</c:v>
                </c:pt>
                <c:pt idx="1">
                  <c:v>17.142857142857142</c:v>
                </c:pt>
                <c:pt idx="2">
                  <c:v>18.142857142857142</c:v>
                </c:pt>
                <c:pt idx="3">
                  <c:v>15.000000000000002</c:v>
                </c:pt>
                <c:pt idx="4">
                  <c:v>17.571428571428569</c:v>
                </c:pt>
                <c:pt idx="5">
                  <c:v>15.142857142857142</c:v>
                </c:pt>
                <c:pt idx="6">
                  <c:v>14</c:v>
                </c:pt>
                <c:pt idx="7">
                  <c:v>14.285714285714285</c:v>
                </c:pt>
                <c:pt idx="8">
                  <c:v>10.285714285714285</c:v>
                </c:pt>
                <c:pt idx="9">
                  <c:v>14</c:v>
                </c:pt>
                <c:pt idx="10">
                  <c:v>12</c:v>
                </c:pt>
                <c:pt idx="11">
                  <c:v>10</c:v>
                </c:pt>
                <c:pt idx="12">
                  <c:v>9</c:v>
                </c:pt>
                <c:pt idx="13">
                  <c:v>5.5</c:v>
                </c:pt>
                <c:pt idx="14">
                  <c:v>5</c:v>
                </c:pt>
                <c:pt idx="15">
                  <c:v>3.5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DA-42D5-AED3-015B43C0E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Kotido-Karenga-2Dir'!$S$9:$AF$9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Kotido-Karenga-2Dir'!$S$41:$AF$41</c:f>
              <c:numCache>
                <c:formatCode>0</c:formatCode>
                <c:ptCount val="14"/>
                <c:pt idx="0">
                  <c:v>5.1428571428571423</c:v>
                </c:pt>
                <c:pt idx="1">
                  <c:v>15.857142857142856</c:v>
                </c:pt>
                <c:pt idx="2">
                  <c:v>19.285714285714285</c:v>
                </c:pt>
                <c:pt idx="3">
                  <c:v>7.2142857142857135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10.142857142857142</c:v>
                </c:pt>
                <c:pt idx="7">
                  <c:v>3.2857142857142856</c:v>
                </c:pt>
                <c:pt idx="8">
                  <c:v>0.5714285714285714</c:v>
                </c:pt>
                <c:pt idx="9">
                  <c:v>0.2857142857142857</c:v>
                </c:pt>
                <c:pt idx="10">
                  <c:v>193.99999999999997</c:v>
                </c:pt>
                <c:pt idx="11">
                  <c:v>0.42857142857142855</c:v>
                </c:pt>
                <c:pt idx="12">
                  <c:v>62.499999999999993</c:v>
                </c:pt>
                <c:pt idx="13">
                  <c:v>256.5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8-4BBB-B66A-E4125FE69D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Kotido-Karenga-2Dir'!$S$9:$AF$9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Kotido-Karenga-2Dir'!$S$42:$AF$42</c:f>
              <c:numCache>
                <c:formatCode>0.000</c:formatCode>
                <c:ptCount val="14"/>
                <c:pt idx="0">
                  <c:v>1.6363636363636365</c:v>
                </c:pt>
                <c:pt idx="1">
                  <c:v>1.1443298969072164</c:v>
                </c:pt>
                <c:pt idx="2">
                  <c:v>1.0546875</c:v>
                </c:pt>
                <c:pt idx="3">
                  <c:v>1.074468085106383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1.1479289940828403</c:v>
                </c:pt>
                <c:pt idx="11">
                  <c:v>1</c:v>
                </c:pt>
                <c:pt idx="12">
                  <c:v>1.0964912280701755</c:v>
                </c:pt>
                <c:pt idx="13">
                  <c:v>1.1349557522123894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A-4D60-9D87-871B57BF9B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42</xdr:row>
      <xdr:rowOff>276224</xdr:rowOff>
    </xdr:from>
    <xdr:to>
      <xdr:col>28</xdr:col>
      <xdr:colOff>0</xdr:colOff>
      <xdr:row>59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59</xdr:row>
      <xdr:rowOff>9525</xdr:rowOff>
    </xdr:from>
    <xdr:to>
      <xdr:col>23</xdr:col>
      <xdr:colOff>682625</xdr:colOff>
      <xdr:row>73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59</xdr:row>
      <xdr:rowOff>15875</xdr:rowOff>
    </xdr:from>
    <xdr:to>
      <xdr:col>31</xdr:col>
      <xdr:colOff>47625</xdr:colOff>
      <xdr:row>73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28</xdr:col>
      <xdr:colOff>15874</xdr:colOff>
      <xdr:row>59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279400</xdr:rowOff>
    </xdr:from>
    <xdr:to>
      <xdr:col>24</xdr:col>
      <xdr:colOff>0</xdr:colOff>
      <xdr:row>73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59</xdr:row>
      <xdr:rowOff>0</xdr:rowOff>
    </xdr:from>
    <xdr:to>
      <xdr:col>31</xdr:col>
      <xdr:colOff>47625</xdr:colOff>
      <xdr:row>73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58</xdr:row>
      <xdr:rowOff>215900</xdr:rowOff>
    </xdr:from>
    <xdr:to>
      <xdr:col>23</xdr:col>
      <xdr:colOff>698500</xdr:colOff>
      <xdr:row>74</xdr:row>
      <xdr:rowOff>254000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</xdr:colOff>
      <xdr:row>74</xdr:row>
      <xdr:rowOff>269874</xdr:rowOff>
    </xdr:from>
    <xdr:to>
      <xdr:col>24</xdr:col>
      <xdr:colOff>0</xdr:colOff>
      <xdr:row>90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28</xdr:col>
      <xdr:colOff>15876</xdr:colOff>
      <xdr:row>58</xdr:row>
      <xdr:rowOff>215903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51BD9A4-7697-4DDD-8662-F64817733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58</xdr:row>
      <xdr:rowOff>222250</xdr:rowOff>
    </xdr:from>
    <xdr:to>
      <xdr:col>30</xdr:col>
      <xdr:colOff>698500</xdr:colOff>
      <xdr:row>74</xdr:row>
      <xdr:rowOff>220663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AB6ABE4-A89E-4168-A80B-204CA3722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698499</xdr:colOff>
      <xdr:row>74</xdr:row>
      <xdr:rowOff>238125</xdr:rowOff>
    </xdr:from>
    <xdr:to>
      <xdr:col>30</xdr:col>
      <xdr:colOff>698499</xdr:colOff>
      <xdr:row>90</xdr:row>
      <xdr:rowOff>269875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7E3FF82-8F21-4B07-AAC8-C7020DAA8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L3" sqref="L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174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4" t="s">
        <v>166</v>
      </c>
      <c r="H5" s="55"/>
      <c r="I5" s="14"/>
      <c r="J5" s="2" t="s">
        <v>5</v>
      </c>
      <c r="K5" s="54" t="s">
        <v>167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165</v>
      </c>
      <c r="H6" s="55"/>
      <c r="J6" s="2" t="s">
        <v>21</v>
      </c>
      <c r="K6" s="54"/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</v>
      </c>
      <c r="AD10" s="17">
        <f t="shared" si="2"/>
        <v>0</v>
      </c>
      <c r="AE10" s="31">
        <f t="shared" si="2"/>
        <v>3</v>
      </c>
      <c r="AF10" s="31">
        <f t="shared" si="2"/>
        <v>15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31</v>
      </c>
      <c r="AD11" s="17">
        <f t="shared" si="3"/>
        <v>0</v>
      </c>
      <c r="AE11" s="31">
        <f t="shared" si="3"/>
        <v>5</v>
      </c>
      <c r="AF11" s="31">
        <f t="shared" si="3"/>
        <v>36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1</v>
      </c>
      <c r="P12" s="15">
        <f t="shared" si="1"/>
        <v>4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46</v>
      </c>
      <c r="AD12" s="17">
        <f t="shared" si="4"/>
        <v>0</v>
      </c>
      <c r="AE12" s="31">
        <f t="shared" si="4"/>
        <v>7</v>
      </c>
      <c r="AF12" s="31">
        <f t="shared" si="4"/>
        <v>53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2</v>
      </c>
      <c r="P13" s="15">
        <f t="shared" si="1"/>
        <v>8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6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20</v>
      </c>
      <c r="AD13" s="17">
        <f t="shared" si="5"/>
        <v>0</v>
      </c>
      <c r="AE13" s="31">
        <f t="shared" si="5"/>
        <v>9</v>
      </c>
      <c r="AF13" s="31">
        <f t="shared" si="5"/>
        <v>29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1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5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14</v>
      </c>
      <c r="AD14" s="17">
        <f t="shared" si="6"/>
        <v>0</v>
      </c>
      <c r="AE14" s="31">
        <f t="shared" si="6"/>
        <v>6</v>
      </c>
      <c r="AF14" s="31">
        <f t="shared" si="6"/>
        <v>20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2</v>
      </c>
      <c r="P15" s="15">
        <f t="shared" si="1"/>
        <v>14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12</v>
      </c>
      <c r="AD15" s="17">
        <f t="shared" si="7"/>
        <v>0</v>
      </c>
      <c r="AE15" s="31">
        <f t="shared" si="7"/>
        <v>2</v>
      </c>
      <c r="AF15" s="31">
        <f t="shared" si="7"/>
        <v>14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0</v>
      </c>
      <c r="P16" s="15">
        <f t="shared" si="1"/>
        <v>5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17</v>
      </c>
      <c r="AD16" s="17">
        <f t="shared" si="8"/>
        <v>0</v>
      </c>
      <c r="AE16" s="31">
        <f t="shared" si="8"/>
        <v>3</v>
      </c>
      <c r="AF16" s="31">
        <f t="shared" si="8"/>
        <v>20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2</v>
      </c>
      <c r="P17" s="15">
        <f t="shared" si="1"/>
        <v>14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4</v>
      </c>
      <c r="AD17" s="17">
        <f t="shared" si="9"/>
        <v>0</v>
      </c>
      <c r="AE17" s="31">
        <f t="shared" si="9"/>
        <v>4</v>
      </c>
      <c r="AF17" s="31">
        <f t="shared" si="9"/>
        <v>8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19</v>
      </c>
      <c r="N18" s="50">
        <v>0</v>
      </c>
      <c r="O18" s="15">
        <f t="shared" si="0"/>
        <v>1</v>
      </c>
      <c r="P18" s="15">
        <f t="shared" si="1"/>
        <v>20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</v>
      </c>
      <c r="AD18" s="17">
        <f t="shared" si="10"/>
        <v>0</v>
      </c>
      <c r="AE18" s="31">
        <f t="shared" si="10"/>
        <v>2</v>
      </c>
      <c r="AF18" s="31">
        <f t="shared" si="10"/>
        <v>5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2</v>
      </c>
      <c r="P19" s="15">
        <f t="shared" si="1"/>
        <v>9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</v>
      </c>
      <c r="AD19" s="17">
        <f t="shared" si="11"/>
        <v>0</v>
      </c>
      <c r="AE19" s="31">
        <f t="shared" si="11"/>
        <v>0</v>
      </c>
      <c r="AF19" s="31">
        <f t="shared" si="11"/>
        <v>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3</v>
      </c>
      <c r="P20" s="15">
        <f t="shared" si="1"/>
        <v>18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9</v>
      </c>
      <c r="AD20" s="17">
        <f t="shared" si="12"/>
        <v>0</v>
      </c>
      <c r="AE20" s="31">
        <f t="shared" si="12"/>
        <v>1</v>
      </c>
      <c r="AF20" s="31">
        <f t="shared" si="12"/>
        <v>10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1</v>
      </c>
      <c r="P21" s="15">
        <f t="shared" si="1"/>
        <v>6</v>
      </c>
      <c r="R21" s="36" t="s">
        <v>20</v>
      </c>
      <c r="S21" s="34">
        <f t="shared" ref="S21:AF21" si="13">SUM(C54:C57)</f>
        <v>2</v>
      </c>
      <c r="T21" s="17">
        <f t="shared" si="13"/>
        <v>2</v>
      </c>
      <c r="U21" s="17">
        <f t="shared" si="13"/>
        <v>1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</v>
      </c>
      <c r="AD21" s="17">
        <f t="shared" si="13"/>
        <v>0</v>
      </c>
      <c r="AE21" s="31">
        <f t="shared" si="13"/>
        <v>7</v>
      </c>
      <c r="AF21" s="31">
        <f t="shared" si="13"/>
        <v>15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2</v>
      </c>
      <c r="P22" s="15">
        <f t="shared" si="1"/>
        <v>8</v>
      </c>
      <c r="R22" s="38" t="s">
        <v>90</v>
      </c>
      <c r="S22" s="39">
        <f>MAX(S10:S12)</f>
        <v>0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46</v>
      </c>
      <c r="AD22" s="39">
        <f t="shared" si="14"/>
        <v>0</v>
      </c>
      <c r="AE22" s="40">
        <f t="shared" si="14"/>
        <v>7</v>
      </c>
      <c r="AF22" s="40">
        <f t="shared" si="14"/>
        <v>53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1</v>
      </c>
      <c r="P23" s="15">
        <f t="shared" si="1"/>
        <v>9</v>
      </c>
      <c r="R23" s="38" t="s">
        <v>91</v>
      </c>
      <c r="S23" s="39">
        <f>MAX(S13:S18)</f>
        <v>1</v>
      </c>
      <c r="T23" s="39">
        <f t="shared" ref="T23:AF23" si="15">MAX(T13:T18)</f>
        <v>1</v>
      </c>
      <c r="U23" s="39">
        <f t="shared" si="15"/>
        <v>6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20</v>
      </c>
      <c r="AD23" s="39">
        <f t="shared" si="15"/>
        <v>0</v>
      </c>
      <c r="AE23" s="40">
        <f t="shared" si="15"/>
        <v>9</v>
      </c>
      <c r="AF23" s="40">
        <f t="shared" si="15"/>
        <v>29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2</v>
      </c>
      <c r="P24" s="15">
        <f t="shared" si="1"/>
        <v>6</v>
      </c>
      <c r="R24" s="38" t="s">
        <v>92</v>
      </c>
      <c r="S24" s="39">
        <f>MAX(S19:S21)</f>
        <v>2</v>
      </c>
      <c r="T24" s="39">
        <f t="shared" ref="T24:AF24" si="16">MAX(T19:T21)</f>
        <v>2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9</v>
      </c>
      <c r="AD24" s="39">
        <f t="shared" si="16"/>
        <v>0</v>
      </c>
      <c r="AE24" s="40">
        <f t="shared" si="16"/>
        <v>7</v>
      </c>
      <c r="AF24" s="40">
        <f t="shared" si="16"/>
        <v>15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2</v>
      </c>
      <c r="N25" s="50">
        <v>0</v>
      </c>
      <c r="O25" s="15">
        <f t="shared" si="0"/>
        <v>4</v>
      </c>
      <c r="P25" s="15">
        <f t="shared" si="1"/>
        <v>6</v>
      </c>
      <c r="R25" s="37" t="s">
        <v>85</v>
      </c>
      <c r="S25" s="35">
        <f t="shared" ref="S25:AF25" si="17">SUM(S10:S12)</f>
        <v>0</v>
      </c>
      <c r="T25" s="16">
        <f t="shared" si="17"/>
        <v>0</v>
      </c>
      <c r="U25" s="16">
        <f t="shared" si="17"/>
        <v>6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9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89</v>
      </c>
      <c r="AD25" s="16">
        <f t="shared" si="17"/>
        <v>0</v>
      </c>
      <c r="AE25" s="32">
        <f t="shared" si="17"/>
        <v>15</v>
      </c>
      <c r="AF25" s="32">
        <f t="shared" si="17"/>
        <v>104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3</v>
      </c>
      <c r="P26" s="15">
        <f t="shared" si="1"/>
        <v>5</v>
      </c>
      <c r="R26" s="28" t="s">
        <v>86</v>
      </c>
      <c r="S26" s="16">
        <f t="shared" ref="S26:AF26" si="18">SUM(S13:S18)</f>
        <v>1</v>
      </c>
      <c r="T26" s="16">
        <f t="shared" si="18"/>
        <v>5</v>
      </c>
      <c r="U26" s="16">
        <f t="shared" si="18"/>
        <v>14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3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70</v>
      </c>
      <c r="AD26" s="16">
        <f t="shared" si="18"/>
        <v>0</v>
      </c>
      <c r="AE26" s="32">
        <f t="shared" si="18"/>
        <v>26</v>
      </c>
      <c r="AF26" s="32">
        <f t="shared" si="18"/>
        <v>96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2</v>
      </c>
      <c r="P27" s="15">
        <f t="shared" si="1"/>
        <v>6</v>
      </c>
      <c r="R27" s="29" t="s">
        <v>87</v>
      </c>
      <c r="S27" s="16">
        <f t="shared" ref="S27:AF27" si="19">SUM(S19:S21)</f>
        <v>2</v>
      </c>
      <c r="T27" s="16">
        <f t="shared" si="19"/>
        <v>3</v>
      </c>
      <c r="U27" s="16">
        <f t="shared" si="19"/>
        <v>1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24</v>
      </c>
      <c r="AD27" s="16">
        <f t="shared" si="19"/>
        <v>0</v>
      </c>
      <c r="AE27" s="32">
        <f t="shared" si="19"/>
        <v>8</v>
      </c>
      <c r="AF27" s="32">
        <f t="shared" si="19"/>
        <v>32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0</v>
      </c>
      <c r="P28" s="15">
        <f t="shared" si="1"/>
        <v>6</v>
      </c>
      <c r="R28" s="5" t="s">
        <v>17</v>
      </c>
      <c r="S28" s="16">
        <f t="shared" ref="S28:AF28" si="20">SUM(S10:S21)</f>
        <v>3</v>
      </c>
      <c r="T28" s="16">
        <f t="shared" si="20"/>
        <v>8</v>
      </c>
      <c r="U28" s="16">
        <f t="shared" si="20"/>
        <v>21</v>
      </c>
      <c r="V28" s="16">
        <f t="shared" si="20"/>
        <v>1</v>
      </c>
      <c r="W28" s="16">
        <f t="shared" si="20"/>
        <v>0</v>
      </c>
      <c r="X28" s="16">
        <f t="shared" si="20"/>
        <v>0</v>
      </c>
      <c r="Y28" s="16">
        <f t="shared" si="20"/>
        <v>13</v>
      </c>
      <c r="Z28" s="16">
        <f t="shared" si="20"/>
        <v>3</v>
      </c>
      <c r="AA28" s="16">
        <f t="shared" si="20"/>
        <v>0</v>
      </c>
      <c r="AB28" s="16">
        <f t="shared" si="20"/>
        <v>0</v>
      </c>
      <c r="AC28" s="16">
        <f t="shared" si="20"/>
        <v>183</v>
      </c>
      <c r="AD28" s="16">
        <f t="shared" si="20"/>
        <v>0</v>
      </c>
      <c r="AE28" s="32">
        <f t="shared" si="20"/>
        <v>49</v>
      </c>
      <c r="AF28" s="32">
        <f t="shared" si="20"/>
        <v>232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1</v>
      </c>
      <c r="P29" s="15">
        <f t="shared" si="1"/>
        <v>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1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1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0</v>
      </c>
      <c r="P32" s="15">
        <f t="shared" si="1"/>
        <v>2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0</v>
      </c>
      <c r="P33" s="15">
        <f t="shared" si="1"/>
        <v>3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1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0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1</v>
      </c>
      <c r="P36" s="15">
        <f t="shared" si="1"/>
        <v>2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1</v>
      </c>
      <c r="P37" s="15">
        <f t="shared" si="1"/>
        <v>5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2</v>
      </c>
      <c r="P39" s="15">
        <f t="shared" si="1"/>
        <v>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2</v>
      </c>
      <c r="P41" s="15">
        <f t="shared" si="1"/>
        <v>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0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/>
      <c r="D45" s="50">
        <v>1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2</v>
      </c>
      <c r="P45" s="15">
        <f t="shared" si="1"/>
        <v>3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0</v>
      </c>
      <c r="P46" s="15">
        <f t="shared" si="1"/>
        <v>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0</v>
      </c>
      <c r="P47" s="15">
        <f t="shared" si="1"/>
        <v>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0</v>
      </c>
      <c r="P48" s="15">
        <f t="shared" si="1"/>
        <v>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4</v>
      </c>
      <c r="N49" s="50">
        <v>0</v>
      </c>
      <c r="O49" s="15">
        <f t="shared" si="0"/>
        <v>0</v>
      </c>
      <c r="P49" s="15">
        <f t="shared" si="1"/>
        <v>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</v>
      </c>
      <c r="N50" s="50">
        <v>0</v>
      </c>
      <c r="O50" s="15">
        <f t="shared" si="0"/>
        <v>0</v>
      </c>
      <c r="P50" s="15">
        <f t="shared" si="1"/>
        <v>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0</v>
      </c>
      <c r="P51" s="15">
        <f t="shared" si="1"/>
        <v>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1</v>
      </c>
      <c r="P53" s="15">
        <f t="shared" si="1"/>
        <v>6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1</v>
      </c>
      <c r="P54" s="15">
        <f t="shared" si="1"/>
        <v>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0</v>
      </c>
      <c r="P55" s="15">
        <f t="shared" si="1"/>
        <v>2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1</v>
      </c>
      <c r="P56" s="15">
        <f t="shared" si="1"/>
        <v>3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1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5</v>
      </c>
      <c r="P57" s="15">
        <f t="shared" si="1"/>
        <v>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</v>
      </c>
      <c r="D58" s="16">
        <f t="shared" si="21"/>
        <v>8</v>
      </c>
      <c r="E58" s="16">
        <f t="shared" si="21"/>
        <v>21</v>
      </c>
      <c r="F58" s="16">
        <f t="shared" si="21"/>
        <v>1</v>
      </c>
      <c r="G58" s="16">
        <f t="shared" si="21"/>
        <v>0</v>
      </c>
      <c r="H58" s="16">
        <f t="shared" si="21"/>
        <v>0</v>
      </c>
      <c r="I58" s="16">
        <f t="shared" si="21"/>
        <v>13</v>
      </c>
      <c r="J58" s="16">
        <f t="shared" si="21"/>
        <v>3</v>
      </c>
      <c r="K58" s="16">
        <f t="shared" si="21"/>
        <v>0</v>
      </c>
      <c r="L58" s="16">
        <f t="shared" si="21"/>
        <v>0</v>
      </c>
      <c r="M58" s="16">
        <f t="shared" si="21"/>
        <v>183</v>
      </c>
      <c r="N58" s="16">
        <f t="shared" si="21"/>
        <v>0</v>
      </c>
      <c r="O58" s="16">
        <f t="shared" si="21"/>
        <v>49</v>
      </c>
      <c r="P58" s="16">
        <f t="shared" si="21"/>
        <v>232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1.2931034482758621E-2</v>
      </c>
      <c r="D59" s="43">
        <f t="shared" si="22"/>
        <v>3.4482758620689655E-2</v>
      </c>
      <c r="E59" s="43">
        <f t="shared" si="22"/>
        <v>9.0517241379310345E-2</v>
      </c>
      <c r="F59" s="43">
        <f t="shared" si="22"/>
        <v>4.3103448275862068E-3</v>
      </c>
      <c r="G59" s="43">
        <f t="shared" si="22"/>
        <v>0</v>
      </c>
      <c r="H59" s="43">
        <f t="shared" si="22"/>
        <v>0</v>
      </c>
      <c r="I59" s="43">
        <f t="shared" si="22"/>
        <v>5.6034482758620691E-2</v>
      </c>
      <c r="J59" s="43">
        <f t="shared" si="22"/>
        <v>1.2931034482758621E-2</v>
      </c>
      <c r="K59" s="43">
        <f t="shared" si="22"/>
        <v>0</v>
      </c>
      <c r="L59" s="43">
        <f t="shared" si="22"/>
        <v>0</v>
      </c>
      <c r="M59" s="43">
        <f t="shared" si="22"/>
        <v>0.78879310344827591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6.1224489795918366E-2</v>
      </c>
      <c r="D60" s="44">
        <f t="shared" ref="D60:N60" si="23">D58/$O$58</f>
        <v>0.16326530612244897</v>
      </c>
      <c r="E60" s="44">
        <f t="shared" si="23"/>
        <v>0.42857142857142855</v>
      </c>
      <c r="F60" s="44">
        <f t="shared" si="23"/>
        <v>2.0408163265306121E-2</v>
      </c>
      <c r="G60" s="44">
        <f t="shared" si="23"/>
        <v>0</v>
      </c>
      <c r="H60" s="44">
        <f t="shared" si="23"/>
        <v>0</v>
      </c>
      <c r="I60" s="44">
        <f t="shared" si="23"/>
        <v>0.26530612244897961</v>
      </c>
      <c r="J60" s="44">
        <f t="shared" si="23"/>
        <v>6.1224489795918366E-2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M54" sqref="M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'05.08 Kotido-Karenga'!D5</f>
        <v>05.08.19</v>
      </c>
      <c r="E5" s="3"/>
      <c r="F5" s="41" t="s">
        <v>1</v>
      </c>
      <c r="G5" s="60" t="str">
        <f>'05.08 Kotido-Karenga'!G5:H5</f>
        <v>Kabong</v>
      </c>
      <c r="H5" s="61"/>
      <c r="I5" s="14"/>
      <c r="J5" s="2" t="s">
        <v>5</v>
      </c>
      <c r="K5" s="60" t="str">
        <f>'05.08 Kotido-Karenga'!K5:L5</f>
        <v>Lomongin Deborah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60">
        <f>'05.08 Kotido-Karenga'!K6:L6</f>
        <v>0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2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</v>
      </c>
      <c r="AD10" s="17">
        <f t="shared" si="2"/>
        <v>0</v>
      </c>
      <c r="AE10" s="31">
        <f t="shared" si="2"/>
        <v>5</v>
      </c>
      <c r="AF10" s="31">
        <f t="shared" si="2"/>
        <v>18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1</v>
      </c>
      <c r="P11" s="15">
        <f t="shared" si="1"/>
        <v>2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30</v>
      </c>
      <c r="AD11" s="17">
        <f t="shared" si="3"/>
        <v>0</v>
      </c>
      <c r="AE11" s="31">
        <f t="shared" si="3"/>
        <v>2</v>
      </c>
      <c r="AF11" s="31">
        <f t="shared" si="3"/>
        <v>32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1</v>
      </c>
      <c r="P12" s="15">
        <f t="shared" si="1"/>
        <v>7</v>
      </c>
      <c r="R12" s="1" t="s">
        <v>8</v>
      </c>
      <c r="S12" s="17">
        <f t="shared" ref="S12:AF12" si="4">SUM(C18:C21)</f>
        <v>0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2</v>
      </c>
      <c r="AF12" s="31">
        <f t="shared" si="4"/>
        <v>31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20</v>
      </c>
      <c r="AD13" s="17">
        <f t="shared" si="5"/>
        <v>0</v>
      </c>
      <c r="AE13" s="31">
        <f t="shared" si="5"/>
        <v>3</v>
      </c>
      <c r="AF13" s="31">
        <f t="shared" si="5"/>
        <v>23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0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2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18</v>
      </c>
      <c r="AD14" s="17">
        <f t="shared" si="6"/>
        <v>0</v>
      </c>
      <c r="AE14" s="31">
        <f t="shared" si="6"/>
        <v>6</v>
      </c>
      <c r="AF14" s="31">
        <f t="shared" si="6"/>
        <v>24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0</v>
      </c>
      <c r="P15" s="15">
        <f t="shared" si="1"/>
        <v>12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9</v>
      </c>
      <c r="AD15" s="17">
        <f t="shared" si="7"/>
        <v>0</v>
      </c>
      <c r="AE15" s="31">
        <f t="shared" si="7"/>
        <v>8</v>
      </c>
      <c r="AF15" s="31">
        <f t="shared" si="7"/>
        <v>17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0</v>
      </c>
      <c r="P16" s="15">
        <f t="shared" si="1"/>
        <v>9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9</v>
      </c>
      <c r="AD16" s="17">
        <f t="shared" si="8"/>
        <v>0</v>
      </c>
      <c r="AE16" s="31">
        <f t="shared" si="8"/>
        <v>7</v>
      </c>
      <c r="AF16" s="31">
        <f t="shared" si="8"/>
        <v>16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2</v>
      </c>
      <c r="P17" s="15">
        <f t="shared" si="1"/>
        <v>8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</v>
      </c>
      <c r="AD17" s="17">
        <f t="shared" si="9"/>
        <v>0</v>
      </c>
      <c r="AE17" s="31">
        <f t="shared" si="9"/>
        <v>3</v>
      </c>
      <c r="AF17" s="31">
        <f t="shared" si="9"/>
        <v>9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1</v>
      </c>
      <c r="P18" s="15">
        <f t="shared" si="1"/>
        <v>10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</v>
      </c>
      <c r="AD18" s="17">
        <f t="shared" si="10"/>
        <v>0</v>
      </c>
      <c r="AE18" s="31">
        <f t="shared" si="10"/>
        <v>3</v>
      </c>
      <c r="AF18" s="31">
        <f t="shared" si="10"/>
        <v>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0</v>
      </c>
      <c r="P19" s="15">
        <f t="shared" si="1"/>
        <v>9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</v>
      </c>
      <c r="AD19" s="17">
        <f t="shared" si="11"/>
        <v>0</v>
      </c>
      <c r="AE19" s="31">
        <f t="shared" si="11"/>
        <v>2</v>
      </c>
      <c r="AF19" s="31">
        <f t="shared" si="11"/>
        <v>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0</v>
      </c>
      <c r="P20" s="15">
        <f t="shared" si="1"/>
        <v>6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</v>
      </c>
      <c r="AD20" s="17">
        <f t="shared" si="12"/>
        <v>0</v>
      </c>
      <c r="AE20" s="31">
        <f t="shared" si="12"/>
        <v>3</v>
      </c>
      <c r="AF20" s="31">
        <f t="shared" si="12"/>
        <v>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1</v>
      </c>
      <c r="P21" s="15">
        <f t="shared" si="1"/>
        <v>6</v>
      </c>
      <c r="R21" s="36" t="s">
        <v>20</v>
      </c>
      <c r="S21" s="34">
        <f t="shared" ref="S21:AF21" si="13">SUM(C54:C57)</f>
        <v>1</v>
      </c>
      <c r="T21" s="17">
        <f t="shared" si="13"/>
        <v>1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</v>
      </c>
      <c r="AD21" s="17">
        <f t="shared" si="13"/>
        <v>0</v>
      </c>
      <c r="AE21" s="31">
        <f t="shared" si="13"/>
        <v>5</v>
      </c>
      <c r="AF21" s="31">
        <f t="shared" si="13"/>
        <v>13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1</v>
      </c>
      <c r="P22" s="15">
        <f t="shared" si="1"/>
        <v>5</v>
      </c>
      <c r="R22" s="38" t="s">
        <v>90</v>
      </c>
      <c r="S22" s="39">
        <f>MAX(S10:S12)</f>
        <v>1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30</v>
      </c>
      <c r="AD22" s="39">
        <f t="shared" si="14"/>
        <v>0</v>
      </c>
      <c r="AE22" s="40">
        <f t="shared" si="14"/>
        <v>5</v>
      </c>
      <c r="AF22" s="40">
        <f t="shared" si="14"/>
        <v>32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0</v>
      </c>
      <c r="P23" s="15">
        <f t="shared" si="1"/>
        <v>5</v>
      </c>
      <c r="R23" s="38" t="s">
        <v>91</v>
      </c>
      <c r="S23" s="39">
        <f>MAX(S13:S18)</f>
        <v>1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20</v>
      </c>
      <c r="AD23" s="39">
        <f t="shared" si="15"/>
        <v>0</v>
      </c>
      <c r="AE23" s="40">
        <f t="shared" si="15"/>
        <v>8</v>
      </c>
      <c r="AF23" s="40">
        <f t="shared" si="15"/>
        <v>24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0</v>
      </c>
      <c r="P24" s="15">
        <f t="shared" si="1"/>
        <v>7</v>
      </c>
      <c r="R24" s="38" t="s">
        <v>92</v>
      </c>
      <c r="S24" s="39">
        <f>MAX(S19:S21)</f>
        <v>1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8</v>
      </c>
      <c r="AD24" s="39">
        <f t="shared" si="16"/>
        <v>0</v>
      </c>
      <c r="AE24" s="40">
        <f t="shared" si="16"/>
        <v>5</v>
      </c>
      <c r="AF24" s="40">
        <f t="shared" si="16"/>
        <v>13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2</v>
      </c>
      <c r="P25" s="15">
        <f t="shared" si="1"/>
        <v>6</v>
      </c>
      <c r="R25" s="37" t="s">
        <v>85</v>
      </c>
      <c r="S25" s="35">
        <f t="shared" ref="S25:AF25" si="17">SUM(S10:S12)</f>
        <v>1</v>
      </c>
      <c r="T25" s="16">
        <f t="shared" si="17"/>
        <v>3</v>
      </c>
      <c r="U25" s="16">
        <f t="shared" si="17"/>
        <v>2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72</v>
      </c>
      <c r="AD25" s="16">
        <f t="shared" si="17"/>
        <v>0</v>
      </c>
      <c r="AE25" s="32">
        <f t="shared" si="17"/>
        <v>9</v>
      </c>
      <c r="AF25" s="32">
        <f t="shared" si="17"/>
        <v>81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1</v>
      </c>
      <c r="P26" s="15">
        <f t="shared" si="1"/>
        <v>3</v>
      </c>
      <c r="R26" s="28" t="s">
        <v>86</v>
      </c>
      <c r="S26" s="16">
        <f t="shared" ref="S26:AF26" si="18">SUM(S13:S18)</f>
        <v>1</v>
      </c>
      <c r="T26" s="16">
        <f t="shared" si="18"/>
        <v>3</v>
      </c>
      <c r="U26" s="16">
        <f t="shared" si="18"/>
        <v>9</v>
      </c>
      <c r="V26" s="16">
        <f t="shared" si="18"/>
        <v>5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66</v>
      </c>
      <c r="AD26" s="16">
        <f t="shared" si="18"/>
        <v>0</v>
      </c>
      <c r="AE26" s="32">
        <f t="shared" si="18"/>
        <v>30</v>
      </c>
      <c r="AF26" s="32">
        <f t="shared" si="18"/>
        <v>96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1</v>
      </c>
      <c r="P27" s="15">
        <f t="shared" si="1"/>
        <v>7</v>
      </c>
      <c r="R27" s="29" t="s">
        <v>87</v>
      </c>
      <c r="S27" s="16">
        <f t="shared" ref="S27:AF27" si="19">SUM(S19:S21)</f>
        <v>1</v>
      </c>
      <c r="T27" s="16">
        <f t="shared" si="19"/>
        <v>1</v>
      </c>
      <c r="U27" s="16">
        <f t="shared" si="19"/>
        <v>4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21</v>
      </c>
      <c r="AD27" s="16">
        <f t="shared" si="19"/>
        <v>0</v>
      </c>
      <c r="AE27" s="32">
        <f t="shared" si="19"/>
        <v>10</v>
      </c>
      <c r="AF27" s="32">
        <f t="shared" si="19"/>
        <v>31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2</v>
      </c>
      <c r="P28" s="15">
        <f t="shared" si="1"/>
        <v>7</v>
      </c>
      <c r="R28" s="5" t="s">
        <v>17</v>
      </c>
      <c r="S28" s="16">
        <f t="shared" ref="S28:AF28" si="20">SUM(S10:S21)</f>
        <v>3</v>
      </c>
      <c r="T28" s="16">
        <f t="shared" si="20"/>
        <v>7</v>
      </c>
      <c r="U28" s="16">
        <f t="shared" si="20"/>
        <v>15</v>
      </c>
      <c r="V28" s="16">
        <f t="shared" si="20"/>
        <v>5</v>
      </c>
      <c r="W28" s="16">
        <f t="shared" si="20"/>
        <v>0</v>
      </c>
      <c r="X28" s="16">
        <f t="shared" si="20"/>
        <v>0</v>
      </c>
      <c r="Y28" s="16">
        <f t="shared" si="20"/>
        <v>16</v>
      </c>
      <c r="Z28" s="16">
        <f t="shared" si="20"/>
        <v>3</v>
      </c>
      <c r="AA28" s="16">
        <f t="shared" si="20"/>
        <v>0</v>
      </c>
      <c r="AB28" s="16">
        <f t="shared" si="20"/>
        <v>0</v>
      </c>
      <c r="AC28" s="16">
        <f t="shared" si="20"/>
        <v>159</v>
      </c>
      <c r="AD28" s="16">
        <f t="shared" si="20"/>
        <v>0</v>
      </c>
      <c r="AE28" s="32">
        <f t="shared" si="20"/>
        <v>49</v>
      </c>
      <c r="AF28" s="32">
        <f t="shared" si="20"/>
        <v>208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2</v>
      </c>
      <c r="P29" s="15">
        <f t="shared" si="1"/>
        <v>7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2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2</v>
      </c>
      <c r="P30" s="15">
        <f t="shared" si="1"/>
        <v>4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0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3</v>
      </c>
      <c r="P31" s="15">
        <f t="shared" si="1"/>
        <v>4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2</v>
      </c>
      <c r="P32" s="15">
        <f t="shared" si="1"/>
        <v>4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1</v>
      </c>
      <c r="P33" s="15">
        <f t="shared" si="1"/>
        <v>5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3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2</v>
      </c>
      <c r="P35" s="15">
        <f t="shared" si="1"/>
        <v>5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1</v>
      </c>
      <c r="P36" s="15">
        <f t="shared" si="1"/>
        <v>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1</v>
      </c>
      <c r="P37" s="15">
        <f t="shared" si="1"/>
        <v>3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2</v>
      </c>
      <c r="P38" s="15">
        <f t="shared" si="1"/>
        <v>5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0</v>
      </c>
      <c r="P40" s="15">
        <f t="shared" si="1"/>
        <v>1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1</v>
      </c>
      <c r="P41" s="15">
        <f t="shared" si="1"/>
        <v>3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0</v>
      </c>
      <c r="P42" s="15">
        <f t="shared" si="1"/>
        <v>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1</v>
      </c>
      <c r="P43" s="15">
        <f t="shared" si="1"/>
        <v>2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</v>
      </c>
      <c r="N44" s="50">
        <v>0</v>
      </c>
      <c r="O44" s="15">
        <f t="shared" si="0"/>
        <v>2</v>
      </c>
      <c r="P44" s="15">
        <f t="shared" si="1"/>
        <v>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0</v>
      </c>
      <c r="P46" s="15">
        <f t="shared" si="1"/>
        <v>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1</v>
      </c>
      <c r="P47" s="15">
        <f t="shared" si="1"/>
        <v>3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1</v>
      </c>
      <c r="P48" s="15">
        <f t="shared" si="1"/>
        <v>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0</v>
      </c>
      <c r="P49" s="15">
        <f t="shared" si="1"/>
        <v>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1</v>
      </c>
      <c r="P50" s="15">
        <f t="shared" si="1"/>
        <v>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</v>
      </c>
      <c r="N53" s="50">
        <v>0</v>
      </c>
      <c r="O53" s="15">
        <f t="shared" si="0"/>
        <v>0</v>
      </c>
      <c r="P53" s="15">
        <f t="shared" si="1"/>
        <v>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0</v>
      </c>
      <c r="P54" s="15">
        <f t="shared" si="1"/>
        <v>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1</v>
      </c>
      <c r="P55" s="15">
        <f t="shared" si="1"/>
        <v>2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2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2</v>
      </c>
      <c r="P57" s="15">
        <f t="shared" si="1"/>
        <v>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</v>
      </c>
      <c r="D58" s="16">
        <f t="shared" si="21"/>
        <v>7</v>
      </c>
      <c r="E58" s="16">
        <f t="shared" si="21"/>
        <v>15</v>
      </c>
      <c r="F58" s="16">
        <f t="shared" si="21"/>
        <v>5</v>
      </c>
      <c r="G58" s="16">
        <f t="shared" si="21"/>
        <v>0</v>
      </c>
      <c r="H58" s="16">
        <f t="shared" si="21"/>
        <v>0</v>
      </c>
      <c r="I58" s="16">
        <f t="shared" si="21"/>
        <v>16</v>
      </c>
      <c r="J58" s="16">
        <f t="shared" si="21"/>
        <v>3</v>
      </c>
      <c r="K58" s="16">
        <f t="shared" si="21"/>
        <v>0</v>
      </c>
      <c r="L58" s="16">
        <f t="shared" si="21"/>
        <v>0</v>
      </c>
      <c r="M58" s="16">
        <f t="shared" si="21"/>
        <v>159</v>
      </c>
      <c r="N58" s="16">
        <f t="shared" si="21"/>
        <v>0</v>
      </c>
      <c r="O58" s="16">
        <f t="shared" si="21"/>
        <v>49</v>
      </c>
      <c r="P58" s="16">
        <f t="shared" si="21"/>
        <v>208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1.4423076923076924E-2</v>
      </c>
      <c r="D59" s="43">
        <f t="shared" si="22"/>
        <v>3.3653846153846152E-2</v>
      </c>
      <c r="E59" s="43">
        <f t="shared" si="22"/>
        <v>7.2115384615384609E-2</v>
      </c>
      <c r="F59" s="43">
        <f t="shared" si="22"/>
        <v>2.403846153846154E-2</v>
      </c>
      <c r="G59" s="43">
        <f t="shared" si="22"/>
        <v>0</v>
      </c>
      <c r="H59" s="43">
        <f t="shared" si="22"/>
        <v>0</v>
      </c>
      <c r="I59" s="43">
        <f t="shared" si="22"/>
        <v>7.6923076923076927E-2</v>
      </c>
      <c r="J59" s="43">
        <f t="shared" si="22"/>
        <v>1.4423076923076924E-2</v>
      </c>
      <c r="K59" s="43">
        <f t="shared" si="22"/>
        <v>0</v>
      </c>
      <c r="L59" s="43">
        <f t="shared" si="22"/>
        <v>0</v>
      </c>
      <c r="M59" s="43">
        <f t="shared" si="22"/>
        <v>0.76442307692307687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6.1224489795918366E-2</v>
      </c>
      <c r="D60" s="44">
        <f t="shared" ref="D60:N60" si="23">D58/$O$58</f>
        <v>0.14285714285714285</v>
      </c>
      <c r="E60" s="44">
        <f t="shared" si="23"/>
        <v>0.30612244897959184</v>
      </c>
      <c r="F60" s="44">
        <f t="shared" si="23"/>
        <v>0.10204081632653061</v>
      </c>
      <c r="G60" s="44">
        <f t="shared" si="23"/>
        <v>0</v>
      </c>
      <c r="H60" s="44">
        <f t="shared" si="23"/>
        <v>0</v>
      </c>
      <c r="I60" s="44">
        <f t="shared" si="23"/>
        <v>0.32653061224489793</v>
      </c>
      <c r="J60" s="44">
        <f t="shared" si="23"/>
        <v>6.1224489795918366E-2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topLeftCell="A8" zoomScale="60" workbookViewId="0">
      <selection activeCell="G10" sqref="G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'05.08 Kotido-Karenga'!G5:H5</f>
        <v>Kabong</v>
      </c>
      <c r="H5" s="64"/>
      <c r="I5" s="14"/>
      <c r="J5" s="2" t="s">
        <v>5</v>
      </c>
      <c r="K5" s="63" t="str">
        <f>'05.08 Kotido-Karenga'!K5:L5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Kotido-Karenga'!D6:E6</f>
        <v>Kotido</v>
      </c>
      <c r="E6" s="64"/>
      <c r="F6" s="2" t="s">
        <v>2</v>
      </c>
      <c r="G6" s="63" t="str">
        <f>'05.08 Kotido-Karenga'!G6:H6</f>
        <v>Karenga</v>
      </c>
      <c r="H6" s="64"/>
      <c r="J6" s="2" t="s">
        <v>21</v>
      </c>
      <c r="K6" s="63">
        <f>'05.08 Kotido-Karenga'!K6:L6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</v>
      </c>
      <c r="AD10" s="17">
        <f t="shared" si="2"/>
        <v>0</v>
      </c>
      <c r="AE10" s="31">
        <f t="shared" si="2"/>
        <v>2</v>
      </c>
      <c r="AF10" s="31">
        <f t="shared" si="2"/>
        <v>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</v>
      </c>
      <c r="AD11" s="17">
        <f t="shared" si="3"/>
        <v>0</v>
      </c>
      <c r="AE11" s="31">
        <f t="shared" si="3"/>
        <v>2</v>
      </c>
      <c r="AF11" s="31">
        <f t="shared" si="3"/>
        <v>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1</v>
      </c>
      <c r="P12" s="15">
        <f t="shared" si="1"/>
        <v>4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</v>
      </c>
      <c r="AD12" s="17">
        <f t="shared" si="4"/>
        <v>0</v>
      </c>
      <c r="AE12" s="31">
        <f t="shared" si="4"/>
        <v>5</v>
      </c>
      <c r="AF12" s="31">
        <f t="shared" si="4"/>
        <v>13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1</v>
      </c>
      <c r="P13" s="15">
        <f t="shared" si="1"/>
        <v>1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</v>
      </c>
      <c r="AD13" s="17">
        <f t="shared" si="5"/>
        <v>0</v>
      </c>
      <c r="AE13" s="31">
        <f t="shared" si="5"/>
        <v>1</v>
      </c>
      <c r="AF13" s="31">
        <f t="shared" si="5"/>
        <v>13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0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14</v>
      </c>
      <c r="AD14" s="17">
        <f t="shared" si="6"/>
        <v>0</v>
      </c>
      <c r="AE14" s="31">
        <f t="shared" si="6"/>
        <v>5</v>
      </c>
      <c r="AF14" s="31">
        <f t="shared" si="6"/>
        <v>19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1</v>
      </c>
      <c r="P15" s="15">
        <f t="shared" si="1"/>
        <v>2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11</v>
      </c>
      <c r="AD15" s="17">
        <f t="shared" si="7"/>
        <v>0</v>
      </c>
      <c r="AE15" s="31">
        <f t="shared" si="7"/>
        <v>4</v>
      </c>
      <c r="AF15" s="31">
        <f t="shared" si="7"/>
        <v>15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1</v>
      </c>
      <c r="P16" s="15">
        <f t="shared" si="1"/>
        <v>1</v>
      </c>
      <c r="R16" s="1" t="s">
        <v>12</v>
      </c>
      <c r="S16" s="17">
        <f t="shared" ref="S16:AF16" si="8">SUM(C34:C37)</f>
        <v>0</v>
      </c>
      <c r="T16" s="17">
        <f t="shared" si="8"/>
        <v>2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9</v>
      </c>
      <c r="AD16" s="17">
        <f t="shared" si="8"/>
        <v>0</v>
      </c>
      <c r="AE16" s="31">
        <f t="shared" si="8"/>
        <v>4</v>
      </c>
      <c r="AF16" s="31">
        <f t="shared" si="8"/>
        <v>13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0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</v>
      </c>
      <c r="AD17" s="17">
        <f t="shared" si="9"/>
        <v>0</v>
      </c>
      <c r="AE17" s="31">
        <f t="shared" si="9"/>
        <v>3</v>
      </c>
      <c r="AF17" s="31">
        <f t="shared" si="9"/>
        <v>10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2</v>
      </c>
      <c r="U18" s="17">
        <f t="shared" si="10"/>
        <v>1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8</v>
      </c>
      <c r="AD18" s="17">
        <f t="shared" si="10"/>
        <v>0</v>
      </c>
      <c r="AE18" s="31">
        <f t="shared" si="10"/>
        <v>6</v>
      </c>
      <c r="AF18" s="31">
        <f t="shared" si="10"/>
        <v>14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2</v>
      </c>
      <c r="P19" s="15">
        <f t="shared" si="1"/>
        <v>6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14</v>
      </c>
      <c r="AD19" s="17">
        <f t="shared" si="11"/>
        <v>0</v>
      </c>
      <c r="AE19" s="31">
        <f t="shared" si="11"/>
        <v>3</v>
      </c>
      <c r="AF19" s="31">
        <f t="shared" si="11"/>
        <v>17</v>
      </c>
    </row>
    <row r="20" spans="2:32" ht="23.1" customHeight="1" x14ac:dyDescent="0.25">
      <c r="B20" s="23" t="s">
        <v>47</v>
      </c>
      <c r="C20" s="50">
        <v>0</v>
      </c>
      <c r="D20" s="50">
        <v>1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3</v>
      </c>
      <c r="P20" s="15">
        <f t="shared" si="1"/>
        <v>5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</v>
      </c>
      <c r="AD20" s="17">
        <f t="shared" si="12"/>
        <v>0</v>
      </c>
      <c r="AE20" s="31">
        <f t="shared" si="12"/>
        <v>1</v>
      </c>
      <c r="AF20" s="31">
        <f t="shared" si="12"/>
        <v>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0</v>
      </c>
      <c r="P21" s="15">
        <f t="shared" si="1"/>
        <v>2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7</v>
      </c>
      <c r="AD21" s="17">
        <f t="shared" si="13"/>
        <v>0</v>
      </c>
      <c r="AE21" s="31">
        <f t="shared" si="13"/>
        <v>2</v>
      </c>
      <c r="AF21" s="31">
        <f t="shared" si="13"/>
        <v>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1</v>
      </c>
      <c r="P22" s="15">
        <f t="shared" si="1"/>
        <v>6</v>
      </c>
      <c r="R22" s="38" t="s">
        <v>90</v>
      </c>
      <c r="S22" s="39">
        <f>MAX(S10:S12)</f>
        <v>0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8</v>
      </c>
      <c r="AD22" s="39">
        <f t="shared" si="14"/>
        <v>0</v>
      </c>
      <c r="AE22" s="40">
        <f t="shared" si="14"/>
        <v>5</v>
      </c>
      <c r="AF22" s="40">
        <f t="shared" si="14"/>
        <v>13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0</v>
      </c>
      <c r="P23" s="15">
        <f t="shared" si="1"/>
        <v>1</v>
      </c>
      <c r="R23" s="38" t="s">
        <v>91</v>
      </c>
      <c r="S23" s="39">
        <f>MAX(S13:S18)</f>
        <v>0</v>
      </c>
      <c r="T23" s="39">
        <f t="shared" ref="T23:AF23" si="15">MAX(T13:T18)</f>
        <v>2</v>
      </c>
      <c r="U23" s="39">
        <f t="shared" si="15"/>
        <v>2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14</v>
      </c>
      <c r="AD23" s="39">
        <f t="shared" si="15"/>
        <v>0</v>
      </c>
      <c r="AE23" s="40">
        <f t="shared" si="15"/>
        <v>6</v>
      </c>
      <c r="AF23" s="40">
        <f t="shared" si="15"/>
        <v>19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0</v>
      </c>
      <c r="P24" s="15">
        <f t="shared" si="1"/>
        <v>6</v>
      </c>
      <c r="R24" s="38" t="s">
        <v>92</v>
      </c>
      <c r="S24" s="39">
        <f>MAX(S19:S21)</f>
        <v>0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14</v>
      </c>
      <c r="AD24" s="39">
        <f t="shared" si="16"/>
        <v>0</v>
      </c>
      <c r="AE24" s="40">
        <f t="shared" si="16"/>
        <v>3</v>
      </c>
      <c r="AF24" s="40">
        <f t="shared" si="16"/>
        <v>17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0</v>
      </c>
      <c r="P25" s="15">
        <f t="shared" si="1"/>
        <v>0</v>
      </c>
      <c r="R25" s="37" t="s">
        <v>85</v>
      </c>
      <c r="S25" s="35">
        <f t="shared" ref="S25:AF25" si="17">SUM(S10:S12)</f>
        <v>0</v>
      </c>
      <c r="T25" s="16">
        <f t="shared" si="17"/>
        <v>2</v>
      </c>
      <c r="U25" s="16">
        <f t="shared" si="17"/>
        <v>4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3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19</v>
      </c>
      <c r="AD25" s="16">
        <f t="shared" si="17"/>
        <v>0</v>
      </c>
      <c r="AE25" s="32">
        <f t="shared" si="17"/>
        <v>9</v>
      </c>
      <c r="AF25" s="32">
        <f t="shared" si="17"/>
        <v>28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1</v>
      </c>
      <c r="P26" s="15">
        <f t="shared" si="1"/>
        <v>3</v>
      </c>
      <c r="R26" s="28" t="s">
        <v>86</v>
      </c>
      <c r="S26" s="16">
        <f t="shared" ref="S26:AF26" si="18">SUM(S13:S18)</f>
        <v>0</v>
      </c>
      <c r="T26" s="16">
        <f t="shared" si="18"/>
        <v>7</v>
      </c>
      <c r="U26" s="16">
        <f t="shared" si="18"/>
        <v>8</v>
      </c>
      <c r="V26" s="16">
        <f t="shared" si="18"/>
        <v>3</v>
      </c>
      <c r="W26" s="16">
        <f t="shared" si="18"/>
        <v>0</v>
      </c>
      <c r="X26" s="16">
        <f t="shared" si="18"/>
        <v>0</v>
      </c>
      <c r="Y26" s="16">
        <f t="shared" si="18"/>
        <v>4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61</v>
      </c>
      <c r="AD26" s="16">
        <f t="shared" si="18"/>
        <v>0</v>
      </c>
      <c r="AE26" s="32">
        <f t="shared" si="18"/>
        <v>23</v>
      </c>
      <c r="AF26" s="32">
        <f t="shared" si="18"/>
        <v>84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3</v>
      </c>
      <c r="P27" s="15">
        <f t="shared" si="1"/>
        <v>11</v>
      </c>
      <c r="R27" s="29" t="s">
        <v>87</v>
      </c>
      <c r="S27" s="16">
        <f t="shared" ref="S27:AF27" si="19">SUM(S19:S21)</f>
        <v>0</v>
      </c>
      <c r="T27" s="16">
        <f t="shared" si="19"/>
        <v>2</v>
      </c>
      <c r="U27" s="16">
        <f t="shared" si="19"/>
        <v>1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2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29</v>
      </c>
      <c r="AD27" s="16">
        <f t="shared" si="19"/>
        <v>0</v>
      </c>
      <c r="AE27" s="32">
        <f t="shared" si="19"/>
        <v>6</v>
      </c>
      <c r="AF27" s="32">
        <f t="shared" si="19"/>
        <v>35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1</v>
      </c>
      <c r="P28" s="15">
        <f t="shared" si="1"/>
        <v>2</v>
      </c>
      <c r="R28" s="5" t="s">
        <v>17</v>
      </c>
      <c r="S28" s="16">
        <f t="shared" ref="S28:AF28" si="20">SUM(S10:S21)</f>
        <v>0</v>
      </c>
      <c r="T28" s="16">
        <f t="shared" si="20"/>
        <v>11</v>
      </c>
      <c r="U28" s="16">
        <f t="shared" si="20"/>
        <v>13</v>
      </c>
      <c r="V28" s="16">
        <f t="shared" si="20"/>
        <v>4</v>
      </c>
      <c r="W28" s="16">
        <f t="shared" si="20"/>
        <v>0</v>
      </c>
      <c r="X28" s="16">
        <f t="shared" si="20"/>
        <v>0</v>
      </c>
      <c r="Y28" s="16">
        <f t="shared" si="20"/>
        <v>9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109</v>
      </c>
      <c r="AD28" s="16">
        <f t="shared" si="20"/>
        <v>0</v>
      </c>
      <c r="AE28" s="32">
        <f t="shared" si="20"/>
        <v>38</v>
      </c>
      <c r="AF28" s="32">
        <f t="shared" si="20"/>
        <v>147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0</v>
      </c>
      <c r="P29" s="15">
        <f t="shared" si="1"/>
        <v>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0</v>
      </c>
      <c r="P30" s="15">
        <f t="shared" si="1"/>
        <v>4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1</v>
      </c>
      <c r="P31" s="15">
        <f t="shared" si="1"/>
        <v>6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3</v>
      </c>
      <c r="P32" s="15">
        <f t="shared" si="1"/>
        <v>5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0</v>
      </c>
      <c r="P34" s="15">
        <f t="shared" si="1"/>
        <v>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1</v>
      </c>
      <c r="P35" s="15">
        <f t="shared" si="1"/>
        <v>5</v>
      </c>
    </row>
    <row r="36" spans="2:20" ht="23.1" customHeight="1" x14ac:dyDescent="0.25">
      <c r="B36" s="24" t="s">
        <v>63</v>
      </c>
      <c r="C36" s="50">
        <v>0</v>
      </c>
      <c r="D36" s="50">
        <v>2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2</v>
      </c>
      <c r="P36" s="15">
        <f t="shared" si="1"/>
        <v>4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1</v>
      </c>
      <c r="P37" s="15">
        <f t="shared" si="1"/>
        <v>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1</v>
      </c>
      <c r="P38" s="15">
        <f t="shared" si="1"/>
        <v>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0</v>
      </c>
      <c r="P39" s="15">
        <f t="shared" si="1"/>
        <v>2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1</v>
      </c>
      <c r="P40" s="15">
        <f t="shared" si="1"/>
        <v>2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1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1</v>
      </c>
      <c r="P42" s="15">
        <f t="shared" si="1"/>
        <v>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1</v>
      </c>
      <c r="P43" s="15">
        <f t="shared" si="1"/>
        <v>2</v>
      </c>
    </row>
    <row r="44" spans="2:20" ht="23.1" customHeight="1" x14ac:dyDescent="0.25">
      <c r="B44" s="25" t="s">
        <v>71</v>
      </c>
      <c r="C44" s="50">
        <v>0</v>
      </c>
      <c r="D44" s="50">
        <v>2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3</v>
      </c>
      <c r="P44" s="15">
        <f t="shared" si="1"/>
        <v>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1</v>
      </c>
      <c r="P45" s="15">
        <f t="shared" si="1"/>
        <v>4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0</v>
      </c>
      <c r="P46" s="15">
        <f t="shared" si="1"/>
        <v>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0</v>
      </c>
      <c r="P47" s="15">
        <f t="shared" si="1"/>
        <v>6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5</v>
      </c>
      <c r="N48" s="50">
        <v>0</v>
      </c>
      <c r="O48" s="15">
        <f t="shared" si="0"/>
        <v>2</v>
      </c>
      <c r="P48" s="15">
        <f t="shared" si="1"/>
        <v>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1</v>
      </c>
      <c r="P49" s="15">
        <f t="shared" si="1"/>
        <v>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0</v>
      </c>
      <c r="P50" s="15">
        <f t="shared" si="1"/>
        <v>3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0</v>
      </c>
      <c r="P51" s="15">
        <f t="shared" si="1"/>
        <v>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0</v>
      </c>
      <c r="P53" s="15">
        <f t="shared" si="1"/>
        <v>4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0</v>
      </c>
      <c r="P54" s="15">
        <f t="shared" si="1"/>
        <v>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1</v>
      </c>
      <c r="P55" s="15">
        <f t="shared" si="1"/>
        <v>2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1</v>
      </c>
      <c r="P56" s="15">
        <f t="shared" si="1"/>
        <v>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0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0</v>
      </c>
      <c r="D58" s="16">
        <f t="shared" si="21"/>
        <v>11</v>
      </c>
      <c r="E58" s="16">
        <f t="shared" si="21"/>
        <v>13</v>
      </c>
      <c r="F58" s="16">
        <f t="shared" si="21"/>
        <v>4</v>
      </c>
      <c r="G58" s="16">
        <f t="shared" si="21"/>
        <v>0</v>
      </c>
      <c r="H58" s="16">
        <f t="shared" si="21"/>
        <v>0</v>
      </c>
      <c r="I58" s="16">
        <f t="shared" si="21"/>
        <v>9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109</v>
      </c>
      <c r="N58" s="16">
        <f t="shared" si="21"/>
        <v>0</v>
      </c>
      <c r="O58" s="16">
        <f t="shared" si="21"/>
        <v>38</v>
      </c>
      <c r="P58" s="16">
        <f t="shared" si="21"/>
        <v>147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</v>
      </c>
      <c r="D59" s="43">
        <f t="shared" si="22"/>
        <v>7.4829931972789115E-2</v>
      </c>
      <c r="E59" s="43">
        <f t="shared" si="22"/>
        <v>8.8435374149659865E-2</v>
      </c>
      <c r="F59" s="43">
        <f t="shared" si="22"/>
        <v>2.7210884353741496E-2</v>
      </c>
      <c r="G59" s="43">
        <f t="shared" si="22"/>
        <v>0</v>
      </c>
      <c r="H59" s="43">
        <f t="shared" si="22"/>
        <v>0</v>
      </c>
      <c r="I59" s="43">
        <f t="shared" si="22"/>
        <v>6.1224489795918366E-2</v>
      </c>
      <c r="J59" s="43">
        <f t="shared" si="22"/>
        <v>6.8027210884353739E-3</v>
      </c>
      <c r="K59" s="43">
        <f t="shared" si="22"/>
        <v>0</v>
      </c>
      <c r="L59" s="43">
        <f t="shared" si="22"/>
        <v>0</v>
      </c>
      <c r="M59" s="43">
        <f t="shared" si="22"/>
        <v>0.74149659863945583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</v>
      </c>
      <c r="D60" s="44">
        <f t="shared" ref="D60:N60" si="23">D58/$O$58</f>
        <v>0.28947368421052633</v>
      </c>
      <c r="E60" s="44">
        <f t="shared" si="23"/>
        <v>0.34210526315789475</v>
      </c>
      <c r="F60" s="44">
        <f t="shared" si="23"/>
        <v>0.10526315789473684</v>
      </c>
      <c r="G60" s="44">
        <f t="shared" si="23"/>
        <v>0</v>
      </c>
      <c r="H60" s="44">
        <f t="shared" si="23"/>
        <v>0</v>
      </c>
      <c r="I60" s="44">
        <f t="shared" si="23"/>
        <v>0.23684210526315788</v>
      </c>
      <c r="J60" s="44">
        <f t="shared" si="23"/>
        <v>2.6315789473684209E-2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Karenga-Kotido'!C3:G3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'06.08 Kotido-Karenga'!D5</f>
        <v>06.08.19</v>
      </c>
      <c r="E5" s="3"/>
      <c r="F5" s="41" t="s">
        <v>1</v>
      </c>
      <c r="G5" s="63" t="str">
        <f>'05.08 Kotido-Karenga'!G5:H5</f>
        <v>Kabong</v>
      </c>
      <c r="H5" s="64"/>
      <c r="I5" s="14"/>
      <c r="J5" s="2" t="s">
        <v>5</v>
      </c>
      <c r="K5" s="63" t="str">
        <f>'05.08 Kotido-Karenga'!K5:L5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Karenga-Kotido'!D6:E6</f>
        <v>Karenga</v>
      </c>
      <c r="E6" s="64"/>
      <c r="F6" s="2" t="s">
        <v>2</v>
      </c>
      <c r="G6" s="63" t="str">
        <f>'05.08 Karenga-Kotido'!G6:H6</f>
        <v>Kotido</v>
      </c>
      <c r="H6" s="64"/>
      <c r="J6" s="2" t="s">
        <v>21</v>
      </c>
      <c r="K6" s="63">
        <f>'05.08 Kotido-Karenga'!K6:L6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</v>
      </c>
      <c r="AD10" s="17">
        <f t="shared" si="2"/>
        <v>0</v>
      </c>
      <c r="AE10" s="31">
        <f t="shared" si="2"/>
        <v>1</v>
      </c>
      <c r="AF10" s="31">
        <f t="shared" si="2"/>
        <v>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1</v>
      </c>
      <c r="P11" s="15">
        <f t="shared" si="1"/>
        <v>3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</v>
      </c>
      <c r="AD11" s="17">
        <f t="shared" si="3"/>
        <v>0</v>
      </c>
      <c r="AE11" s="31">
        <f t="shared" si="3"/>
        <v>2</v>
      </c>
      <c r="AF11" s="31">
        <f t="shared" si="3"/>
        <v>8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7</v>
      </c>
      <c r="AD12" s="17">
        <f t="shared" si="4"/>
        <v>0</v>
      </c>
      <c r="AE12" s="31">
        <f t="shared" si="4"/>
        <v>3</v>
      </c>
      <c r="AF12" s="31">
        <f t="shared" si="4"/>
        <v>10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0</v>
      </c>
      <c r="P13" s="15">
        <f t="shared" si="1"/>
        <v>4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</v>
      </c>
      <c r="AD13" s="17">
        <f t="shared" si="5"/>
        <v>0</v>
      </c>
      <c r="AE13" s="31">
        <f t="shared" si="5"/>
        <v>1</v>
      </c>
      <c r="AF13" s="31">
        <f t="shared" si="5"/>
        <v>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0</v>
      </c>
      <c r="P14" s="15">
        <f t="shared" si="1"/>
        <v>1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9</v>
      </c>
      <c r="AD14" s="17">
        <f t="shared" si="6"/>
        <v>0</v>
      </c>
      <c r="AE14" s="31">
        <f t="shared" si="6"/>
        <v>3</v>
      </c>
      <c r="AF14" s="31">
        <f t="shared" si="6"/>
        <v>12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10</v>
      </c>
      <c r="AD15" s="17">
        <f t="shared" si="7"/>
        <v>0</v>
      </c>
      <c r="AE15" s="31">
        <f t="shared" si="7"/>
        <v>1</v>
      </c>
      <c r="AF15" s="31">
        <f t="shared" si="7"/>
        <v>11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1</v>
      </c>
      <c r="P16" s="15">
        <f t="shared" si="1"/>
        <v>1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</v>
      </c>
      <c r="AD16" s="17">
        <f t="shared" si="8"/>
        <v>0</v>
      </c>
      <c r="AE16" s="31">
        <f t="shared" si="8"/>
        <v>2</v>
      </c>
      <c r="AF16" s="31">
        <f t="shared" si="8"/>
        <v>10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1</v>
      </c>
      <c r="P17" s="15">
        <f t="shared" si="1"/>
        <v>4</v>
      </c>
      <c r="R17" s="1" t="s">
        <v>13</v>
      </c>
      <c r="S17" s="17">
        <f t="shared" ref="S17:AF17" si="9">SUM(C38:C41)</f>
        <v>0</v>
      </c>
      <c r="T17" s="17">
        <f t="shared" si="9"/>
        <v>2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8</v>
      </c>
      <c r="AD17" s="17">
        <f t="shared" si="9"/>
        <v>0</v>
      </c>
      <c r="AE17" s="31">
        <f t="shared" si="9"/>
        <v>3</v>
      </c>
      <c r="AF17" s="31">
        <f t="shared" si="9"/>
        <v>11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1</v>
      </c>
      <c r="P18" s="15">
        <f t="shared" si="1"/>
        <v>3</v>
      </c>
      <c r="R18" s="1" t="s">
        <v>14</v>
      </c>
      <c r="S18" s="17">
        <f t="shared" ref="S18:AF18" si="10">SUM(C42:C45)</f>
        <v>0</v>
      </c>
      <c r="T18" s="17">
        <f t="shared" si="10"/>
        <v>2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8</v>
      </c>
      <c r="AD18" s="17">
        <f t="shared" si="10"/>
        <v>0</v>
      </c>
      <c r="AE18" s="31">
        <f t="shared" si="10"/>
        <v>4</v>
      </c>
      <c r="AF18" s="31">
        <f t="shared" si="10"/>
        <v>12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</v>
      </c>
      <c r="N19" s="50">
        <v>0</v>
      </c>
      <c r="O19" s="15">
        <f t="shared" si="0"/>
        <v>1</v>
      </c>
      <c r="P19" s="15">
        <f t="shared" si="1"/>
        <v>3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11</v>
      </c>
      <c r="AD19" s="17">
        <f t="shared" si="11"/>
        <v>0</v>
      </c>
      <c r="AE19" s="31">
        <f t="shared" si="11"/>
        <v>2</v>
      </c>
      <c r="AF19" s="31">
        <f t="shared" si="11"/>
        <v>13</v>
      </c>
    </row>
    <row r="20" spans="2:32" ht="23.1" customHeight="1" x14ac:dyDescent="0.25">
      <c r="B20" s="23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1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</v>
      </c>
      <c r="AD20" s="17">
        <f t="shared" si="12"/>
        <v>0</v>
      </c>
      <c r="AE20" s="31">
        <f t="shared" si="12"/>
        <v>1</v>
      </c>
      <c r="AF20" s="31">
        <f t="shared" si="12"/>
        <v>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0</v>
      </c>
      <c r="P21" s="15">
        <f t="shared" si="1"/>
        <v>3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3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</v>
      </c>
      <c r="AD21" s="17">
        <f t="shared" si="13"/>
        <v>0</v>
      </c>
      <c r="AE21" s="31">
        <f t="shared" si="13"/>
        <v>3</v>
      </c>
      <c r="AF21" s="31">
        <f t="shared" si="13"/>
        <v>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1</v>
      </c>
      <c r="P22" s="15">
        <f t="shared" si="1"/>
        <v>1</v>
      </c>
      <c r="R22" s="38" t="s">
        <v>90</v>
      </c>
      <c r="S22" s="39">
        <f>MAX(S10:S12)</f>
        <v>0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7</v>
      </c>
      <c r="AD22" s="39">
        <f t="shared" si="14"/>
        <v>0</v>
      </c>
      <c r="AE22" s="40">
        <f t="shared" si="14"/>
        <v>3</v>
      </c>
      <c r="AF22" s="40">
        <f t="shared" si="14"/>
        <v>10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0</v>
      </c>
      <c r="P23" s="15">
        <f t="shared" si="1"/>
        <v>3</v>
      </c>
      <c r="R23" s="38" t="s">
        <v>91</v>
      </c>
      <c r="S23" s="39">
        <f>MAX(S13:S18)</f>
        <v>0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10</v>
      </c>
      <c r="AD23" s="39">
        <f t="shared" si="15"/>
        <v>0</v>
      </c>
      <c r="AE23" s="40">
        <f t="shared" si="15"/>
        <v>4</v>
      </c>
      <c r="AF23" s="40">
        <f t="shared" si="15"/>
        <v>12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0</v>
      </c>
      <c r="P24" s="15">
        <f t="shared" si="1"/>
        <v>1</v>
      </c>
      <c r="R24" s="38" t="s">
        <v>92</v>
      </c>
      <c r="S24" s="39">
        <f>MAX(S19:S21)</f>
        <v>0</v>
      </c>
      <c r="T24" s="39">
        <f t="shared" ref="T24:AF24" si="16">MAX(T19:T21)</f>
        <v>1</v>
      </c>
      <c r="U24" s="39">
        <f t="shared" si="16"/>
        <v>3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11</v>
      </c>
      <c r="AD24" s="39">
        <f t="shared" si="16"/>
        <v>0</v>
      </c>
      <c r="AE24" s="40">
        <f t="shared" si="16"/>
        <v>3</v>
      </c>
      <c r="AF24" s="40">
        <f t="shared" si="16"/>
        <v>13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</v>
      </c>
      <c r="N25" s="50">
        <v>0</v>
      </c>
      <c r="O25" s="15">
        <f t="shared" si="0"/>
        <v>0</v>
      </c>
      <c r="P25" s="15">
        <f t="shared" si="1"/>
        <v>2</v>
      </c>
      <c r="R25" s="37" t="s">
        <v>85</v>
      </c>
      <c r="S25" s="35">
        <f t="shared" ref="S25:AF25" si="17">SUM(S10:S12)</f>
        <v>0</v>
      </c>
      <c r="T25" s="16">
        <f t="shared" si="17"/>
        <v>4</v>
      </c>
      <c r="U25" s="16">
        <f t="shared" si="17"/>
        <v>1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20</v>
      </c>
      <c r="AD25" s="16">
        <f t="shared" si="17"/>
        <v>0</v>
      </c>
      <c r="AE25" s="32">
        <f t="shared" si="17"/>
        <v>6</v>
      </c>
      <c r="AF25" s="32">
        <f t="shared" si="17"/>
        <v>26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0</v>
      </c>
      <c r="P26" s="15">
        <f t="shared" si="1"/>
        <v>2</v>
      </c>
      <c r="R26" s="28" t="s">
        <v>86</v>
      </c>
      <c r="S26" s="16">
        <f t="shared" ref="S26:AF26" si="18">SUM(S13:S18)</f>
        <v>0</v>
      </c>
      <c r="T26" s="16">
        <f t="shared" si="18"/>
        <v>4</v>
      </c>
      <c r="U26" s="16">
        <f t="shared" si="18"/>
        <v>4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2</v>
      </c>
      <c r="Z26" s="16">
        <f t="shared" si="18"/>
        <v>2</v>
      </c>
      <c r="AA26" s="16">
        <f t="shared" si="18"/>
        <v>1</v>
      </c>
      <c r="AB26" s="16">
        <f t="shared" si="18"/>
        <v>0</v>
      </c>
      <c r="AC26" s="16">
        <f t="shared" si="18"/>
        <v>49</v>
      </c>
      <c r="AD26" s="16">
        <f t="shared" si="18"/>
        <v>0</v>
      </c>
      <c r="AE26" s="32">
        <f t="shared" si="18"/>
        <v>14</v>
      </c>
      <c r="AF26" s="32">
        <f t="shared" si="18"/>
        <v>63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2</v>
      </c>
      <c r="N27" s="50">
        <v>0</v>
      </c>
      <c r="O27" s="15">
        <f t="shared" si="0"/>
        <v>1</v>
      </c>
      <c r="P27" s="15">
        <f t="shared" si="1"/>
        <v>3</v>
      </c>
      <c r="R27" s="29" t="s">
        <v>87</v>
      </c>
      <c r="S27" s="16">
        <f t="shared" ref="S27:AF27" si="19">SUM(S19:S21)</f>
        <v>0</v>
      </c>
      <c r="T27" s="16">
        <f t="shared" si="19"/>
        <v>1</v>
      </c>
      <c r="U27" s="16">
        <f t="shared" si="19"/>
        <v>5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20</v>
      </c>
      <c r="AD27" s="16">
        <f t="shared" si="19"/>
        <v>0</v>
      </c>
      <c r="AE27" s="32">
        <f t="shared" si="19"/>
        <v>6</v>
      </c>
      <c r="AF27" s="32">
        <f t="shared" si="19"/>
        <v>26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0</v>
      </c>
      <c r="P28" s="15">
        <f t="shared" si="1"/>
        <v>4</v>
      </c>
      <c r="R28" s="5" t="s">
        <v>17</v>
      </c>
      <c r="S28" s="16">
        <f t="shared" ref="S28:AF28" si="20">SUM(S10:S21)</f>
        <v>0</v>
      </c>
      <c r="T28" s="16">
        <f t="shared" si="20"/>
        <v>9</v>
      </c>
      <c r="U28" s="16">
        <f t="shared" si="20"/>
        <v>10</v>
      </c>
      <c r="V28" s="16">
        <f t="shared" si="20"/>
        <v>1</v>
      </c>
      <c r="W28" s="16">
        <f t="shared" si="20"/>
        <v>0</v>
      </c>
      <c r="X28" s="16">
        <f t="shared" si="20"/>
        <v>0</v>
      </c>
      <c r="Y28" s="16">
        <f t="shared" si="20"/>
        <v>3</v>
      </c>
      <c r="Z28" s="16">
        <f t="shared" si="20"/>
        <v>2</v>
      </c>
      <c r="AA28" s="16">
        <f t="shared" si="20"/>
        <v>1</v>
      </c>
      <c r="AB28" s="16">
        <f t="shared" si="20"/>
        <v>0</v>
      </c>
      <c r="AC28" s="16">
        <f t="shared" si="20"/>
        <v>89</v>
      </c>
      <c r="AD28" s="16">
        <f t="shared" si="20"/>
        <v>0</v>
      </c>
      <c r="AE28" s="32">
        <f t="shared" si="20"/>
        <v>26</v>
      </c>
      <c r="AF28" s="32">
        <f t="shared" si="20"/>
        <v>115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2</v>
      </c>
      <c r="P29" s="15">
        <f t="shared" si="1"/>
        <v>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0</v>
      </c>
      <c r="P30" s="15">
        <f t="shared" si="1"/>
        <v>3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0</v>
      </c>
      <c r="P31" s="15">
        <f t="shared" si="1"/>
        <v>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1</v>
      </c>
      <c r="P32" s="15">
        <f t="shared" si="1"/>
        <v>5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0</v>
      </c>
      <c r="P33" s="15">
        <f t="shared" si="1"/>
        <v>1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2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0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0</v>
      </c>
      <c r="P36" s="15">
        <f t="shared" si="1"/>
        <v>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0</v>
      </c>
      <c r="P37" s="15">
        <f t="shared" si="1"/>
        <v>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0</v>
      </c>
      <c r="P38" s="15">
        <f t="shared" si="1"/>
        <v>3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1</v>
      </c>
      <c r="P39" s="15">
        <f t="shared" si="1"/>
        <v>1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1</v>
      </c>
      <c r="P40" s="15">
        <f t="shared" si="1"/>
        <v>3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1</v>
      </c>
      <c r="P41" s="15">
        <f t="shared" si="1"/>
        <v>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0</v>
      </c>
      <c r="P42" s="15">
        <f t="shared" si="1"/>
        <v>0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1</v>
      </c>
      <c r="L43" s="50">
        <v>0</v>
      </c>
      <c r="M43" s="50">
        <v>3</v>
      </c>
      <c r="N43" s="50">
        <v>0</v>
      </c>
      <c r="O43" s="15">
        <f t="shared" si="0"/>
        <v>3</v>
      </c>
      <c r="P43" s="15">
        <f t="shared" si="1"/>
        <v>6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</v>
      </c>
      <c r="N44" s="50">
        <v>0</v>
      </c>
      <c r="O44" s="15">
        <f t="shared" si="0"/>
        <v>1</v>
      </c>
      <c r="P44" s="15">
        <f t="shared" si="1"/>
        <v>4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0</v>
      </c>
      <c r="P45" s="15">
        <f t="shared" si="1"/>
        <v>2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0</v>
      </c>
      <c r="P46" s="15">
        <f t="shared" si="1"/>
        <v>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0</v>
      </c>
      <c r="P47" s="15">
        <f t="shared" si="1"/>
        <v>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2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2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</v>
      </c>
      <c r="N49" s="50">
        <v>0</v>
      </c>
      <c r="O49" s="15">
        <f t="shared" si="0"/>
        <v>0</v>
      </c>
      <c r="P49" s="15">
        <f t="shared" si="1"/>
        <v>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1</v>
      </c>
      <c r="P50" s="15">
        <f t="shared" si="1"/>
        <v>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0</v>
      </c>
      <c r="P51" s="15">
        <f t="shared" si="1"/>
        <v>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</v>
      </c>
      <c r="N52" s="50">
        <v>0</v>
      </c>
      <c r="O52" s="15">
        <f t="shared" si="0"/>
        <v>0</v>
      </c>
      <c r="P52" s="15">
        <f t="shared" si="1"/>
        <v>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0</v>
      </c>
      <c r="P54" s="15">
        <f t="shared" si="1"/>
        <v>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2</v>
      </c>
      <c r="P55" s="15">
        <f t="shared" si="1"/>
        <v>2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0</v>
      </c>
      <c r="P56" s="15">
        <f t="shared" si="1"/>
        <v>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</v>
      </c>
      <c r="N57" s="50">
        <v>0</v>
      </c>
      <c r="O57" s="15">
        <f t="shared" si="0"/>
        <v>1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0</v>
      </c>
      <c r="D58" s="16">
        <f t="shared" si="21"/>
        <v>9</v>
      </c>
      <c r="E58" s="16">
        <f t="shared" si="21"/>
        <v>10</v>
      </c>
      <c r="F58" s="16">
        <f t="shared" si="21"/>
        <v>1</v>
      </c>
      <c r="G58" s="16">
        <f t="shared" si="21"/>
        <v>0</v>
      </c>
      <c r="H58" s="16">
        <f t="shared" si="21"/>
        <v>0</v>
      </c>
      <c r="I58" s="16">
        <f t="shared" si="21"/>
        <v>3</v>
      </c>
      <c r="J58" s="16">
        <f t="shared" si="21"/>
        <v>2</v>
      </c>
      <c r="K58" s="16">
        <f t="shared" si="21"/>
        <v>1</v>
      </c>
      <c r="L58" s="16">
        <f t="shared" si="21"/>
        <v>0</v>
      </c>
      <c r="M58" s="16">
        <f t="shared" si="21"/>
        <v>89</v>
      </c>
      <c r="N58" s="16">
        <f t="shared" si="21"/>
        <v>0</v>
      </c>
      <c r="O58" s="16">
        <f t="shared" si="21"/>
        <v>26</v>
      </c>
      <c r="P58" s="16">
        <f t="shared" si="21"/>
        <v>115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</v>
      </c>
      <c r="D59" s="43">
        <f t="shared" si="22"/>
        <v>7.8260869565217397E-2</v>
      </c>
      <c r="E59" s="43">
        <f t="shared" si="22"/>
        <v>8.6956521739130432E-2</v>
      </c>
      <c r="F59" s="43">
        <f t="shared" si="22"/>
        <v>8.6956521739130436E-3</v>
      </c>
      <c r="G59" s="43">
        <f t="shared" si="22"/>
        <v>0</v>
      </c>
      <c r="H59" s="43">
        <f t="shared" si="22"/>
        <v>0</v>
      </c>
      <c r="I59" s="43">
        <f t="shared" si="22"/>
        <v>2.6086956521739129E-2</v>
      </c>
      <c r="J59" s="43">
        <f t="shared" si="22"/>
        <v>1.7391304347826087E-2</v>
      </c>
      <c r="K59" s="43">
        <f t="shared" si="22"/>
        <v>8.6956521739130436E-3</v>
      </c>
      <c r="L59" s="43">
        <f t="shared" si="22"/>
        <v>0</v>
      </c>
      <c r="M59" s="43">
        <f t="shared" si="22"/>
        <v>0.77391304347826084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</v>
      </c>
      <c r="D60" s="44">
        <f t="shared" ref="D60:N60" si="23">D58/$O$58</f>
        <v>0.34615384615384615</v>
      </c>
      <c r="E60" s="44">
        <f t="shared" si="23"/>
        <v>0.38461538461538464</v>
      </c>
      <c r="F60" s="44">
        <f t="shared" si="23"/>
        <v>3.8461538461538464E-2</v>
      </c>
      <c r="G60" s="44">
        <f t="shared" si="23"/>
        <v>0</v>
      </c>
      <c r="H60" s="44">
        <f t="shared" si="23"/>
        <v>0</v>
      </c>
      <c r="I60" s="44">
        <f t="shared" si="23"/>
        <v>0.11538461538461539</v>
      </c>
      <c r="J60" s="44">
        <f t="shared" si="23"/>
        <v>7.6923076923076927E-2</v>
      </c>
      <c r="K60" s="44">
        <f t="shared" si="23"/>
        <v>3.8461538461538464E-2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34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'05.08 Kotido-Karenga'!G5:H5</f>
        <v>Kabong</v>
      </c>
      <c r="H5" s="64"/>
      <c r="I5" s="14"/>
      <c r="J5" s="2" t="s">
        <v>5</v>
      </c>
      <c r="K5" s="63" t="str">
        <f>'05.08 Kotido-Karenga'!K5:L5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Kotido-Karenga'!D6:E6</f>
        <v>Kotido</v>
      </c>
      <c r="E6" s="64"/>
      <c r="F6" s="2" t="s">
        <v>2</v>
      </c>
      <c r="G6" s="63" t="str">
        <f>'05.08 Kotido-Karenga'!G6:H6</f>
        <v>Karenga</v>
      </c>
      <c r="H6" s="64"/>
      <c r="J6" s="2" t="s">
        <v>21</v>
      </c>
      <c r="K6" s="63">
        <f>'05.08 Kotido-Karenga'!K6:L6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</v>
      </c>
      <c r="AD10" s="17">
        <f t="shared" si="2"/>
        <v>0</v>
      </c>
      <c r="AE10" s="31">
        <f t="shared" si="2"/>
        <v>1</v>
      </c>
      <c r="AF10" s="31">
        <f t="shared" si="2"/>
        <v>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1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</v>
      </c>
      <c r="AD11" s="17">
        <f t="shared" si="3"/>
        <v>0</v>
      </c>
      <c r="AE11" s="31">
        <f t="shared" si="3"/>
        <v>2</v>
      </c>
      <c r="AF11" s="31">
        <f t="shared" si="3"/>
        <v>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0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</v>
      </c>
      <c r="AD12" s="17">
        <f t="shared" si="4"/>
        <v>0</v>
      </c>
      <c r="AE12" s="31">
        <f t="shared" si="4"/>
        <v>3</v>
      </c>
      <c r="AF12" s="31">
        <f t="shared" si="4"/>
        <v>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0</v>
      </c>
      <c r="P13" s="15">
        <f t="shared" si="1"/>
        <v>1</v>
      </c>
      <c r="R13" s="1" t="s">
        <v>9</v>
      </c>
      <c r="S13" s="17">
        <f t="shared" ref="S13:AF13" si="5">SUM(C22:C25)</f>
        <v>0</v>
      </c>
      <c r="T13" s="17">
        <f t="shared" si="5"/>
        <v>3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</v>
      </c>
      <c r="AD13" s="17">
        <f t="shared" si="5"/>
        <v>0</v>
      </c>
      <c r="AE13" s="31">
        <f t="shared" si="5"/>
        <v>7</v>
      </c>
      <c r="AF13" s="31">
        <f t="shared" si="5"/>
        <v>11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0</v>
      </c>
      <c r="P14" s="15">
        <f t="shared" si="1"/>
        <v>1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8</v>
      </c>
      <c r="AD14" s="17">
        <f t="shared" si="6"/>
        <v>0</v>
      </c>
      <c r="AE14" s="31">
        <f t="shared" si="6"/>
        <v>2</v>
      </c>
      <c r="AF14" s="31">
        <f t="shared" si="6"/>
        <v>10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0</v>
      </c>
      <c r="T15" s="17">
        <f t="shared" si="7"/>
        <v>2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</v>
      </c>
      <c r="AD15" s="17">
        <f t="shared" si="7"/>
        <v>0</v>
      </c>
      <c r="AE15" s="31">
        <f t="shared" si="7"/>
        <v>3</v>
      </c>
      <c r="AF15" s="31">
        <f t="shared" si="7"/>
        <v>8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1</v>
      </c>
      <c r="P16" s="15">
        <f t="shared" si="1"/>
        <v>2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</v>
      </c>
      <c r="AD16" s="17">
        <f t="shared" si="8"/>
        <v>1</v>
      </c>
      <c r="AE16" s="31">
        <f t="shared" si="8"/>
        <v>3</v>
      </c>
      <c r="AF16" s="31">
        <f t="shared" si="8"/>
        <v>5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1</v>
      </c>
      <c r="P17" s="15">
        <f t="shared" si="1"/>
        <v>1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</v>
      </c>
      <c r="AD17" s="17">
        <f t="shared" si="9"/>
        <v>0</v>
      </c>
      <c r="AE17" s="31">
        <f t="shared" si="9"/>
        <v>2</v>
      </c>
      <c r="AF17" s="31">
        <f t="shared" si="9"/>
        <v>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1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</v>
      </c>
      <c r="AD18" s="17">
        <f t="shared" si="10"/>
        <v>0</v>
      </c>
      <c r="AE18" s="31">
        <f t="shared" si="10"/>
        <v>6</v>
      </c>
      <c r="AF18" s="31">
        <f t="shared" si="10"/>
        <v>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</v>
      </c>
      <c r="N19" s="50">
        <v>0</v>
      </c>
      <c r="O19" s="15">
        <f t="shared" si="0"/>
        <v>1</v>
      </c>
      <c r="P19" s="15">
        <f t="shared" si="1"/>
        <v>3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10</v>
      </c>
      <c r="AD19" s="17">
        <f t="shared" si="11"/>
        <v>0</v>
      </c>
      <c r="AE19" s="31">
        <f t="shared" si="11"/>
        <v>3</v>
      </c>
      <c r="AF19" s="31">
        <f t="shared" si="11"/>
        <v>13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0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9</v>
      </c>
      <c r="AD20" s="17">
        <f t="shared" si="12"/>
        <v>0</v>
      </c>
      <c r="AE20" s="31">
        <f t="shared" si="12"/>
        <v>2</v>
      </c>
      <c r="AF20" s="31">
        <f t="shared" si="12"/>
        <v>11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1</v>
      </c>
      <c r="P21" s="15">
        <f t="shared" si="1"/>
        <v>4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</v>
      </c>
      <c r="AD21" s="17">
        <f t="shared" si="13"/>
        <v>0</v>
      </c>
      <c r="AE21" s="31">
        <f t="shared" si="13"/>
        <v>1</v>
      </c>
      <c r="AF21" s="31">
        <f t="shared" si="13"/>
        <v>5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1</v>
      </c>
      <c r="P22" s="15">
        <f t="shared" si="1"/>
        <v>2</v>
      </c>
      <c r="R22" s="38" t="s">
        <v>90</v>
      </c>
      <c r="S22" s="39">
        <f>MAX(S10:S12)</f>
        <v>0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</v>
      </c>
      <c r="AD22" s="39">
        <f t="shared" si="14"/>
        <v>0</v>
      </c>
      <c r="AE22" s="40">
        <f t="shared" si="14"/>
        <v>3</v>
      </c>
      <c r="AF22" s="40">
        <f t="shared" si="14"/>
        <v>9</v>
      </c>
    </row>
    <row r="23" spans="2:32" ht="23.1" customHeight="1" x14ac:dyDescent="0.25">
      <c r="B23" s="23" t="s">
        <v>50</v>
      </c>
      <c r="C23" s="50">
        <v>0</v>
      </c>
      <c r="D23" s="50">
        <v>2</v>
      </c>
      <c r="E23" s="50">
        <v>2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5</v>
      </c>
      <c r="P23" s="15">
        <f t="shared" si="1"/>
        <v>6</v>
      </c>
      <c r="R23" s="38" t="s">
        <v>91</v>
      </c>
      <c r="S23" s="39">
        <f>MAX(S13:S18)</f>
        <v>0</v>
      </c>
      <c r="T23" s="39">
        <f t="shared" ref="T23:AF23" si="15">MAX(T13:T18)</f>
        <v>3</v>
      </c>
      <c r="U23" s="39">
        <f t="shared" si="15"/>
        <v>3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8</v>
      </c>
      <c r="AD23" s="39">
        <f t="shared" si="15"/>
        <v>1</v>
      </c>
      <c r="AE23" s="40">
        <f t="shared" si="15"/>
        <v>7</v>
      </c>
      <c r="AF23" s="40">
        <f t="shared" si="15"/>
        <v>11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1</v>
      </c>
      <c r="P24" s="15">
        <f t="shared" si="1"/>
        <v>2</v>
      </c>
      <c r="R24" s="38" t="s">
        <v>92</v>
      </c>
      <c r="S24" s="39">
        <f>MAX(S19:S21)</f>
        <v>0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10</v>
      </c>
      <c r="AD24" s="39">
        <f t="shared" si="16"/>
        <v>0</v>
      </c>
      <c r="AE24" s="40">
        <f t="shared" si="16"/>
        <v>3</v>
      </c>
      <c r="AF24" s="40">
        <f t="shared" si="16"/>
        <v>13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0</v>
      </c>
      <c r="P25" s="15">
        <f t="shared" si="1"/>
        <v>1</v>
      </c>
      <c r="R25" s="37" t="s">
        <v>85</v>
      </c>
      <c r="S25" s="35">
        <f t="shared" ref="S25:AF25" si="17">SUM(S10:S12)</f>
        <v>0</v>
      </c>
      <c r="T25" s="16">
        <f t="shared" si="17"/>
        <v>2</v>
      </c>
      <c r="U25" s="16">
        <f t="shared" si="17"/>
        <v>3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14</v>
      </c>
      <c r="AD25" s="16">
        <f t="shared" si="17"/>
        <v>0</v>
      </c>
      <c r="AE25" s="32">
        <f t="shared" si="17"/>
        <v>6</v>
      </c>
      <c r="AF25" s="32">
        <f t="shared" si="17"/>
        <v>20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2</v>
      </c>
      <c r="P26" s="15">
        <f t="shared" si="1"/>
        <v>4</v>
      </c>
      <c r="R26" s="28" t="s">
        <v>86</v>
      </c>
      <c r="S26" s="16">
        <f t="shared" ref="S26:AF26" si="18">SUM(S13:S18)</f>
        <v>0</v>
      </c>
      <c r="T26" s="16">
        <f t="shared" si="18"/>
        <v>8</v>
      </c>
      <c r="U26" s="16">
        <f t="shared" si="18"/>
        <v>8</v>
      </c>
      <c r="V26" s="16">
        <f t="shared" si="18"/>
        <v>3</v>
      </c>
      <c r="W26" s="16">
        <f t="shared" si="18"/>
        <v>0</v>
      </c>
      <c r="X26" s="16">
        <f t="shared" si="18"/>
        <v>0</v>
      </c>
      <c r="Y26" s="16">
        <f t="shared" si="18"/>
        <v>3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26</v>
      </c>
      <c r="AD26" s="16">
        <f t="shared" si="18"/>
        <v>1</v>
      </c>
      <c r="AE26" s="32">
        <f t="shared" si="18"/>
        <v>23</v>
      </c>
      <c r="AF26" s="32">
        <f t="shared" si="18"/>
        <v>49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0</v>
      </c>
      <c r="P27" s="15">
        <f t="shared" si="1"/>
        <v>3</v>
      </c>
      <c r="R27" s="29" t="s">
        <v>87</v>
      </c>
      <c r="S27" s="16">
        <f t="shared" ref="S27:AF27" si="19">SUM(S19:S21)</f>
        <v>0</v>
      </c>
      <c r="T27" s="16">
        <f t="shared" si="19"/>
        <v>2</v>
      </c>
      <c r="U27" s="16">
        <f t="shared" si="19"/>
        <v>1</v>
      </c>
      <c r="V27" s="16">
        <f t="shared" si="19"/>
        <v>3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23</v>
      </c>
      <c r="AD27" s="16">
        <f t="shared" si="19"/>
        <v>0</v>
      </c>
      <c r="AE27" s="32">
        <f t="shared" si="19"/>
        <v>6</v>
      </c>
      <c r="AF27" s="32">
        <f t="shared" si="19"/>
        <v>29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0</v>
      </c>
      <c r="P28" s="15">
        <f t="shared" si="1"/>
        <v>1</v>
      </c>
      <c r="R28" s="5" t="s">
        <v>17</v>
      </c>
      <c r="S28" s="16">
        <f t="shared" ref="S28:AF28" si="20">SUM(S10:S21)</f>
        <v>0</v>
      </c>
      <c r="T28" s="16">
        <f t="shared" si="20"/>
        <v>12</v>
      </c>
      <c r="U28" s="16">
        <f t="shared" si="20"/>
        <v>12</v>
      </c>
      <c r="V28" s="16">
        <f t="shared" si="20"/>
        <v>6</v>
      </c>
      <c r="W28" s="16">
        <f t="shared" si="20"/>
        <v>0</v>
      </c>
      <c r="X28" s="16">
        <f t="shared" si="20"/>
        <v>0</v>
      </c>
      <c r="Y28" s="16">
        <f t="shared" si="20"/>
        <v>4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63</v>
      </c>
      <c r="AD28" s="16">
        <f t="shared" si="20"/>
        <v>1</v>
      </c>
      <c r="AE28" s="32">
        <f t="shared" si="20"/>
        <v>35</v>
      </c>
      <c r="AF28" s="32">
        <f t="shared" si="20"/>
        <v>98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0</v>
      </c>
      <c r="P29" s="15">
        <f t="shared" si="1"/>
        <v>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0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0</v>
      </c>
      <c r="P31" s="15">
        <f t="shared" si="1"/>
        <v>2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1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2</v>
      </c>
      <c r="P33" s="15">
        <f t="shared" si="1"/>
        <v>3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1</v>
      </c>
      <c r="O34" s="15">
        <f t="shared" si="0"/>
        <v>2</v>
      </c>
      <c r="P34" s="15">
        <f t="shared" si="1"/>
        <v>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0</v>
      </c>
      <c r="P35" s="15">
        <f t="shared" si="1"/>
        <v>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1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</v>
      </c>
      <c r="N38" s="50">
        <v>0</v>
      </c>
      <c r="O38" s="15">
        <f t="shared" si="0"/>
        <v>0</v>
      </c>
      <c r="P38" s="15">
        <f t="shared" si="1"/>
        <v>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2</v>
      </c>
      <c r="P40" s="15">
        <f t="shared" si="1"/>
        <v>4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0</v>
      </c>
      <c r="P41" s="15">
        <f t="shared" si="1"/>
        <v>0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1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3</v>
      </c>
      <c r="P43" s="15">
        <f t="shared" si="1"/>
        <v>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0</v>
      </c>
      <c r="P44" s="15">
        <f t="shared" si="1"/>
        <v>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2</v>
      </c>
      <c r="P45" s="15">
        <f t="shared" si="1"/>
        <v>3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1</v>
      </c>
      <c r="P46" s="15">
        <f t="shared" si="1"/>
        <v>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1</v>
      </c>
      <c r="P47" s="15">
        <f t="shared" si="1"/>
        <v>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1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0</v>
      </c>
      <c r="P49" s="15">
        <f t="shared" si="1"/>
        <v>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0</v>
      </c>
      <c r="P50" s="15">
        <f t="shared" si="1"/>
        <v>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0</v>
      </c>
      <c r="P51" s="15">
        <f t="shared" si="1"/>
        <v>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</v>
      </c>
      <c r="N52" s="50">
        <v>0</v>
      </c>
      <c r="O52" s="15">
        <f t="shared" si="0"/>
        <v>0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</v>
      </c>
      <c r="N53" s="50">
        <v>0</v>
      </c>
      <c r="O53" s="15">
        <f t="shared" si="0"/>
        <v>2</v>
      </c>
      <c r="P53" s="15">
        <f t="shared" si="1"/>
        <v>4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</v>
      </c>
      <c r="N54" s="50">
        <v>0</v>
      </c>
      <c r="O54" s="15">
        <f t="shared" si="0"/>
        <v>0</v>
      </c>
      <c r="P54" s="15">
        <f t="shared" si="1"/>
        <v>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1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0</v>
      </c>
      <c r="P57" s="15">
        <f t="shared" si="1"/>
        <v>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0</v>
      </c>
      <c r="D58" s="16">
        <f t="shared" si="21"/>
        <v>12</v>
      </c>
      <c r="E58" s="16">
        <f t="shared" si="21"/>
        <v>12</v>
      </c>
      <c r="F58" s="16">
        <f t="shared" si="21"/>
        <v>6</v>
      </c>
      <c r="G58" s="16">
        <f t="shared" si="21"/>
        <v>0</v>
      </c>
      <c r="H58" s="16">
        <f t="shared" si="21"/>
        <v>0</v>
      </c>
      <c r="I58" s="16">
        <f t="shared" si="21"/>
        <v>4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63</v>
      </c>
      <c r="N58" s="16">
        <f t="shared" si="21"/>
        <v>1</v>
      </c>
      <c r="O58" s="16">
        <f t="shared" si="21"/>
        <v>35</v>
      </c>
      <c r="P58" s="16">
        <f t="shared" si="21"/>
        <v>98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</v>
      </c>
      <c r="D59" s="43">
        <f t="shared" si="22"/>
        <v>0.12244897959183673</v>
      </c>
      <c r="E59" s="43">
        <f t="shared" si="22"/>
        <v>0.12244897959183673</v>
      </c>
      <c r="F59" s="43">
        <f t="shared" si="22"/>
        <v>6.1224489795918366E-2</v>
      </c>
      <c r="G59" s="43">
        <f t="shared" si="22"/>
        <v>0</v>
      </c>
      <c r="H59" s="43">
        <f t="shared" si="22"/>
        <v>0</v>
      </c>
      <c r="I59" s="43">
        <f t="shared" si="22"/>
        <v>4.0816326530612242E-2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0.6428571428571429</v>
      </c>
      <c r="N59" s="43">
        <f t="shared" si="22"/>
        <v>1.020408163265306E-2</v>
      </c>
      <c r="R59" s="8"/>
      <c r="T59"/>
    </row>
    <row r="60" spans="2:20" ht="23.1" customHeight="1" x14ac:dyDescent="0.25">
      <c r="B60" s="42" t="s">
        <v>94</v>
      </c>
      <c r="C60" s="44">
        <f>C58/$O$58</f>
        <v>0</v>
      </c>
      <c r="D60" s="44">
        <f t="shared" ref="D60:N60" si="23">D58/$O$58</f>
        <v>0.34285714285714286</v>
      </c>
      <c r="E60" s="44">
        <f t="shared" si="23"/>
        <v>0.34285714285714286</v>
      </c>
      <c r="F60" s="44">
        <f t="shared" si="23"/>
        <v>0.17142857142857143</v>
      </c>
      <c r="G60" s="44">
        <f t="shared" si="23"/>
        <v>0</v>
      </c>
      <c r="H60" s="44">
        <f t="shared" si="23"/>
        <v>0</v>
      </c>
      <c r="I60" s="44">
        <f t="shared" si="23"/>
        <v>0.11428571428571428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2.8571428571428571E-2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33" zoomScale="60" workbookViewId="0">
      <selection activeCell="J56" sqref="J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Karenga-Kotido'!C3:G3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'07.08 Kotido-Karenga'!D5</f>
        <v>07.08.19</v>
      </c>
      <c r="E5" s="3"/>
      <c r="F5" s="41" t="s">
        <v>1</v>
      </c>
      <c r="G5" s="63" t="str">
        <f>'05.08 Kotido-Karenga'!G5:H5</f>
        <v>Kabong</v>
      </c>
      <c r="H5" s="64"/>
      <c r="I5" s="14"/>
      <c r="J5" s="2" t="s">
        <v>5</v>
      </c>
      <c r="K5" s="63" t="str">
        <f>'05.08 Kotido-Karenga'!K5:L5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Karenga-Kotido'!D6:E6</f>
        <v>Karenga</v>
      </c>
      <c r="E6" s="64"/>
      <c r="F6" s="2" t="s">
        <v>2</v>
      </c>
      <c r="G6" s="63" t="str">
        <f>'05.08 Karenga-Kotido'!G6:H6</f>
        <v>Kotido</v>
      </c>
      <c r="H6" s="64"/>
      <c r="J6" s="2" t="s">
        <v>21</v>
      </c>
      <c r="K6" s="63">
        <f>'05.08 Kotido-Karenga'!K6:L6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1</v>
      </c>
      <c r="AF10" s="31">
        <f t="shared" si="2"/>
        <v>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1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</v>
      </c>
      <c r="AD11" s="17">
        <f t="shared" si="3"/>
        <v>0</v>
      </c>
      <c r="AE11" s="31">
        <f t="shared" si="3"/>
        <v>1</v>
      </c>
      <c r="AF11" s="31">
        <f t="shared" si="3"/>
        <v>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0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1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</v>
      </c>
      <c r="AD12" s="17">
        <f t="shared" si="4"/>
        <v>0</v>
      </c>
      <c r="AE12" s="31">
        <f t="shared" si="4"/>
        <v>1</v>
      </c>
      <c r="AF12" s="31">
        <f t="shared" si="4"/>
        <v>2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0</v>
      </c>
      <c r="P13" s="15">
        <f t="shared" si="1"/>
        <v>1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</v>
      </c>
      <c r="AD13" s="17">
        <f t="shared" si="5"/>
        <v>0</v>
      </c>
      <c r="AE13" s="31">
        <f t="shared" si="5"/>
        <v>0</v>
      </c>
      <c r="AF13" s="31">
        <f t="shared" si="5"/>
        <v>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</v>
      </c>
      <c r="AD14" s="17">
        <f t="shared" si="6"/>
        <v>0</v>
      </c>
      <c r="AE14" s="31">
        <f t="shared" si="6"/>
        <v>1</v>
      </c>
      <c r="AF14" s="31">
        <f t="shared" si="6"/>
        <v>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0</v>
      </c>
      <c r="P15" s="15">
        <f t="shared" si="1"/>
        <v>1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11</v>
      </c>
      <c r="AD15" s="17">
        <f t="shared" si="7"/>
        <v>0</v>
      </c>
      <c r="AE15" s="31">
        <f t="shared" si="7"/>
        <v>1</v>
      </c>
      <c r="AF15" s="31">
        <f t="shared" si="7"/>
        <v>12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0</v>
      </c>
      <c r="P16" s="15">
        <f t="shared" si="1"/>
        <v>1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</v>
      </c>
      <c r="AD16" s="17">
        <f t="shared" si="8"/>
        <v>2</v>
      </c>
      <c r="AE16" s="31">
        <f t="shared" si="8"/>
        <v>4</v>
      </c>
      <c r="AF16" s="31">
        <f t="shared" si="8"/>
        <v>8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1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12</v>
      </c>
      <c r="AD17" s="17">
        <f t="shared" si="9"/>
        <v>0</v>
      </c>
      <c r="AE17" s="31">
        <f t="shared" si="9"/>
        <v>1</v>
      </c>
      <c r="AF17" s="31">
        <f t="shared" si="9"/>
        <v>13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</v>
      </c>
      <c r="AD18" s="17">
        <f t="shared" si="10"/>
        <v>0</v>
      </c>
      <c r="AE18" s="31">
        <f t="shared" si="10"/>
        <v>2</v>
      </c>
      <c r="AF18" s="31">
        <f t="shared" si="10"/>
        <v>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</v>
      </c>
      <c r="AD19" s="17">
        <f t="shared" si="11"/>
        <v>0</v>
      </c>
      <c r="AE19" s="31">
        <f t="shared" si="11"/>
        <v>1</v>
      </c>
      <c r="AF19" s="31">
        <f t="shared" si="11"/>
        <v>6</v>
      </c>
    </row>
    <row r="20" spans="2:32" ht="23.1" customHeight="1" x14ac:dyDescent="0.25">
      <c r="B20" s="23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1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</v>
      </c>
      <c r="AD20" s="17">
        <f t="shared" si="12"/>
        <v>0</v>
      </c>
      <c r="AE20" s="31">
        <f t="shared" si="12"/>
        <v>3</v>
      </c>
      <c r="AF20" s="31">
        <f t="shared" si="12"/>
        <v>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1</v>
      </c>
      <c r="AF21" s="31">
        <f t="shared" si="13"/>
        <v>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0</v>
      </c>
      <c r="P22" s="15">
        <f t="shared" si="1"/>
        <v>0</v>
      </c>
      <c r="R22" s="38" t="s">
        <v>90</v>
      </c>
      <c r="S22" s="39">
        <f>MAX(S10:S12)</f>
        <v>0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</v>
      </c>
      <c r="AD22" s="39">
        <f t="shared" si="14"/>
        <v>0</v>
      </c>
      <c r="AE22" s="40">
        <f t="shared" si="14"/>
        <v>1</v>
      </c>
      <c r="AF22" s="40">
        <f t="shared" si="14"/>
        <v>4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0</v>
      </c>
      <c r="P23" s="15">
        <f t="shared" si="1"/>
        <v>1</v>
      </c>
      <c r="R23" s="38" t="s">
        <v>91</v>
      </c>
      <c r="S23" s="39">
        <f>MAX(S13:S18)</f>
        <v>1</v>
      </c>
      <c r="T23" s="39">
        <f t="shared" ref="T23:AF23" si="15">MAX(T13:T18)</f>
        <v>0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0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12</v>
      </c>
      <c r="AD23" s="39">
        <f t="shared" si="15"/>
        <v>2</v>
      </c>
      <c r="AE23" s="40">
        <f t="shared" si="15"/>
        <v>4</v>
      </c>
      <c r="AF23" s="40">
        <f t="shared" si="15"/>
        <v>13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0</v>
      </c>
      <c r="P24" s="15">
        <f t="shared" si="1"/>
        <v>2</v>
      </c>
      <c r="R24" s="38" t="s">
        <v>92</v>
      </c>
      <c r="S24" s="39">
        <f>MAX(S19:S21)</f>
        <v>0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0</v>
      </c>
      <c r="W24" s="39">
        <f t="shared" si="16"/>
        <v>1</v>
      </c>
      <c r="X24" s="39">
        <f t="shared" si="16"/>
        <v>0</v>
      </c>
      <c r="Y24" s="39">
        <f t="shared" si="16"/>
        <v>1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6</v>
      </c>
      <c r="AD24" s="39">
        <f t="shared" si="16"/>
        <v>0</v>
      </c>
      <c r="AE24" s="40">
        <f t="shared" si="16"/>
        <v>3</v>
      </c>
      <c r="AF24" s="40">
        <f t="shared" si="16"/>
        <v>9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0</v>
      </c>
      <c r="P25" s="15">
        <f t="shared" si="1"/>
        <v>1</v>
      </c>
      <c r="R25" s="37" t="s">
        <v>85</v>
      </c>
      <c r="S25" s="35">
        <f t="shared" ref="S25:AF25" si="17">SUM(S10:S12)</f>
        <v>0</v>
      </c>
      <c r="T25" s="16">
        <f t="shared" si="17"/>
        <v>2</v>
      </c>
      <c r="U25" s="16">
        <f t="shared" si="17"/>
        <v>1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7</v>
      </c>
      <c r="AD25" s="16">
        <f t="shared" si="17"/>
        <v>0</v>
      </c>
      <c r="AE25" s="32">
        <f t="shared" si="17"/>
        <v>3</v>
      </c>
      <c r="AF25" s="32">
        <f t="shared" si="17"/>
        <v>10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28" t="s">
        <v>86</v>
      </c>
      <c r="S26" s="16">
        <f t="shared" ref="S26:AF26" si="18">SUM(S13:S18)</f>
        <v>2</v>
      </c>
      <c r="T26" s="16">
        <f t="shared" si="18"/>
        <v>0</v>
      </c>
      <c r="U26" s="16">
        <f t="shared" si="18"/>
        <v>2</v>
      </c>
      <c r="V26" s="16">
        <f t="shared" si="18"/>
        <v>2</v>
      </c>
      <c r="W26" s="16">
        <f t="shared" si="18"/>
        <v>0</v>
      </c>
      <c r="X26" s="16">
        <f t="shared" si="18"/>
        <v>0</v>
      </c>
      <c r="Y26" s="16">
        <f t="shared" si="18"/>
        <v>0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40</v>
      </c>
      <c r="AD26" s="16">
        <f t="shared" si="18"/>
        <v>2</v>
      </c>
      <c r="AE26" s="32">
        <f t="shared" si="18"/>
        <v>9</v>
      </c>
      <c r="AF26" s="32">
        <f t="shared" si="18"/>
        <v>49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0</v>
      </c>
      <c r="P27" s="15">
        <f t="shared" si="1"/>
        <v>1</v>
      </c>
      <c r="R27" s="29" t="s">
        <v>87</v>
      </c>
      <c r="S27" s="16">
        <f t="shared" ref="S27:AF27" si="19">SUM(S19:S21)</f>
        <v>0</v>
      </c>
      <c r="T27" s="16">
        <f t="shared" si="19"/>
        <v>1</v>
      </c>
      <c r="U27" s="16">
        <f t="shared" si="19"/>
        <v>2</v>
      </c>
      <c r="V27" s="16">
        <f t="shared" si="19"/>
        <v>0</v>
      </c>
      <c r="W27" s="16">
        <f t="shared" si="19"/>
        <v>1</v>
      </c>
      <c r="X27" s="16">
        <f t="shared" si="19"/>
        <v>0</v>
      </c>
      <c r="Y27" s="16">
        <f t="shared" si="19"/>
        <v>1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14</v>
      </c>
      <c r="AD27" s="16">
        <f t="shared" si="19"/>
        <v>0</v>
      </c>
      <c r="AE27" s="32">
        <f t="shared" si="19"/>
        <v>5</v>
      </c>
      <c r="AF27" s="32">
        <f t="shared" si="19"/>
        <v>19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1</v>
      </c>
      <c r="P28" s="15">
        <f t="shared" si="1"/>
        <v>2</v>
      </c>
      <c r="R28" s="5" t="s">
        <v>17</v>
      </c>
      <c r="S28" s="16">
        <f t="shared" ref="S28:AF28" si="20">SUM(S10:S21)</f>
        <v>2</v>
      </c>
      <c r="T28" s="16">
        <f t="shared" si="20"/>
        <v>3</v>
      </c>
      <c r="U28" s="16">
        <f t="shared" si="20"/>
        <v>5</v>
      </c>
      <c r="V28" s="16">
        <f t="shared" si="20"/>
        <v>2</v>
      </c>
      <c r="W28" s="16">
        <f t="shared" si="20"/>
        <v>1</v>
      </c>
      <c r="X28" s="16">
        <f t="shared" si="20"/>
        <v>0</v>
      </c>
      <c r="Y28" s="16">
        <f t="shared" si="20"/>
        <v>1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61</v>
      </c>
      <c r="AD28" s="16">
        <f t="shared" si="20"/>
        <v>2</v>
      </c>
      <c r="AE28" s="32">
        <f t="shared" si="20"/>
        <v>17</v>
      </c>
      <c r="AF28" s="32">
        <f t="shared" si="20"/>
        <v>78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0</v>
      </c>
      <c r="P29" s="15">
        <f t="shared" si="1"/>
        <v>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0</v>
      </c>
      <c r="P30" s="15">
        <f t="shared" si="1"/>
        <v>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0</v>
      </c>
      <c r="P31" s="15">
        <f t="shared" si="1"/>
        <v>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0</v>
      </c>
      <c r="P32" s="15">
        <f t="shared" si="1"/>
        <v>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1</v>
      </c>
      <c r="P33" s="15">
        <f t="shared" si="1"/>
        <v>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</v>
      </c>
      <c r="N34" s="50">
        <v>2</v>
      </c>
      <c r="O34" s="15">
        <f t="shared" si="0"/>
        <v>2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1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1</v>
      </c>
      <c r="P37" s="15">
        <f t="shared" si="1"/>
        <v>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0</v>
      </c>
      <c r="P38" s="15">
        <f t="shared" si="1"/>
        <v>9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</v>
      </c>
      <c r="N40" s="50">
        <v>0</v>
      </c>
      <c r="O40" s="15">
        <f t="shared" si="0"/>
        <v>0</v>
      </c>
      <c r="P40" s="15">
        <f t="shared" si="1"/>
        <v>3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1</v>
      </c>
      <c r="P41" s="15">
        <f t="shared" si="1"/>
        <v>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0</v>
      </c>
      <c r="P42" s="15">
        <f t="shared" si="1"/>
        <v>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2</v>
      </c>
      <c r="P44" s="15">
        <f t="shared" si="1"/>
        <v>3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0</v>
      </c>
      <c r="P45" s="15">
        <f t="shared" si="1"/>
        <v>1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0</v>
      </c>
      <c r="P46" s="15">
        <f t="shared" si="1"/>
        <v>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0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1</v>
      </c>
      <c r="P49" s="15">
        <f t="shared" si="1"/>
        <v>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0</v>
      </c>
      <c r="P51" s="15">
        <f t="shared" si="1"/>
        <v>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1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1</v>
      </c>
      <c r="P53" s="15">
        <f t="shared" si="1"/>
        <v>4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0</v>
      </c>
      <c r="P54" s="15">
        <f t="shared" si="1"/>
        <v>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1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0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</v>
      </c>
      <c r="D58" s="16">
        <f t="shared" si="21"/>
        <v>3</v>
      </c>
      <c r="E58" s="16">
        <f t="shared" si="21"/>
        <v>5</v>
      </c>
      <c r="F58" s="16">
        <f t="shared" si="21"/>
        <v>2</v>
      </c>
      <c r="G58" s="16">
        <f t="shared" si="21"/>
        <v>1</v>
      </c>
      <c r="H58" s="16">
        <f t="shared" si="21"/>
        <v>0</v>
      </c>
      <c r="I58" s="16">
        <f t="shared" si="21"/>
        <v>1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61</v>
      </c>
      <c r="N58" s="16">
        <f t="shared" si="21"/>
        <v>2</v>
      </c>
      <c r="O58" s="16">
        <f t="shared" si="21"/>
        <v>17</v>
      </c>
      <c r="P58" s="16">
        <f t="shared" si="21"/>
        <v>78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2.564102564102564E-2</v>
      </c>
      <c r="D59" s="43">
        <f t="shared" si="22"/>
        <v>3.8461538461538464E-2</v>
      </c>
      <c r="E59" s="43">
        <f t="shared" si="22"/>
        <v>6.4102564102564097E-2</v>
      </c>
      <c r="F59" s="43">
        <f t="shared" si="22"/>
        <v>2.564102564102564E-2</v>
      </c>
      <c r="G59" s="43">
        <f t="shared" si="22"/>
        <v>1.282051282051282E-2</v>
      </c>
      <c r="H59" s="43">
        <f t="shared" si="22"/>
        <v>0</v>
      </c>
      <c r="I59" s="43">
        <f t="shared" si="22"/>
        <v>1.282051282051282E-2</v>
      </c>
      <c r="J59" s="43">
        <f t="shared" si="22"/>
        <v>1.282051282051282E-2</v>
      </c>
      <c r="K59" s="43">
        <f t="shared" si="22"/>
        <v>0</v>
      </c>
      <c r="L59" s="43">
        <f t="shared" si="22"/>
        <v>0</v>
      </c>
      <c r="M59" s="43">
        <f t="shared" si="22"/>
        <v>0.78205128205128205</v>
      </c>
      <c r="N59" s="43">
        <f t="shared" si="22"/>
        <v>2.564102564102564E-2</v>
      </c>
      <c r="R59" s="8"/>
      <c r="T59"/>
    </row>
    <row r="60" spans="2:20" ht="23.1" customHeight="1" x14ac:dyDescent="0.25">
      <c r="B60" s="42" t="s">
        <v>94</v>
      </c>
      <c r="C60" s="44">
        <f>C58/$O$58</f>
        <v>0.11764705882352941</v>
      </c>
      <c r="D60" s="44">
        <f t="shared" ref="D60:N60" si="23">D58/$O$58</f>
        <v>0.17647058823529413</v>
      </c>
      <c r="E60" s="44">
        <f t="shared" si="23"/>
        <v>0.29411764705882354</v>
      </c>
      <c r="F60" s="44">
        <f t="shared" si="23"/>
        <v>0.11764705882352941</v>
      </c>
      <c r="G60" s="44">
        <f t="shared" si="23"/>
        <v>5.8823529411764705E-2</v>
      </c>
      <c r="H60" s="44">
        <f t="shared" si="23"/>
        <v>0</v>
      </c>
      <c r="I60" s="44">
        <f t="shared" si="23"/>
        <v>5.8823529411764705E-2</v>
      </c>
      <c r="J60" s="44">
        <f t="shared" si="23"/>
        <v>5.8823529411764705E-2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0.11764705882352941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'07.08 Karenga-Kotido'!G5:H5</f>
        <v>Kabong</v>
      </c>
      <c r="H5" s="64"/>
      <c r="I5" s="14"/>
      <c r="J5" s="2" t="s">
        <v>5</v>
      </c>
      <c r="K5" s="63" t="str">
        <f>'07.08 Karenga-Kotido'!K5:L5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Kotido-Karenga'!D6:E6</f>
        <v>Kotido</v>
      </c>
      <c r="E6" s="64"/>
      <c r="F6" s="2" t="s">
        <v>2</v>
      </c>
      <c r="G6" s="63" t="str">
        <f>'05.08 Kotido-Karenga'!G6:H6</f>
        <v>Karenga</v>
      </c>
      <c r="H6" s="64"/>
      <c r="J6" s="2" t="s">
        <v>21</v>
      </c>
      <c r="K6" s="63">
        <f>'07.08 Karenga-Kotido'!K6:L6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</v>
      </c>
      <c r="AD10" s="17">
        <f t="shared" si="2"/>
        <v>0</v>
      </c>
      <c r="AE10" s="31">
        <f t="shared" si="2"/>
        <v>2</v>
      </c>
      <c r="AF10" s="31">
        <f t="shared" si="2"/>
        <v>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</v>
      </c>
      <c r="AD11" s="17">
        <f t="shared" si="3"/>
        <v>0</v>
      </c>
      <c r="AE11" s="31">
        <f t="shared" si="3"/>
        <v>2</v>
      </c>
      <c r="AF11" s="31">
        <f t="shared" si="3"/>
        <v>8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3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</v>
      </c>
      <c r="AD12" s="17">
        <f t="shared" si="4"/>
        <v>0</v>
      </c>
      <c r="AE12" s="31">
        <f t="shared" si="4"/>
        <v>6</v>
      </c>
      <c r="AF12" s="31">
        <f t="shared" si="4"/>
        <v>8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1</v>
      </c>
      <c r="P13" s="15">
        <f t="shared" si="1"/>
        <v>4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</v>
      </c>
      <c r="AD13" s="17">
        <f t="shared" si="5"/>
        <v>0</v>
      </c>
      <c r="AE13" s="31">
        <f t="shared" si="5"/>
        <v>2</v>
      </c>
      <c r="AF13" s="31">
        <f t="shared" si="5"/>
        <v>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0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10</v>
      </c>
      <c r="AD14" s="17">
        <f t="shared" si="6"/>
        <v>0</v>
      </c>
      <c r="AE14" s="31">
        <f t="shared" si="6"/>
        <v>1</v>
      </c>
      <c r="AF14" s="31">
        <f t="shared" si="6"/>
        <v>11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1</v>
      </c>
      <c r="P15" s="15">
        <f t="shared" si="1"/>
        <v>1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</v>
      </c>
      <c r="AD15" s="17">
        <f t="shared" si="7"/>
        <v>0</v>
      </c>
      <c r="AE15" s="31">
        <f t="shared" si="7"/>
        <v>0</v>
      </c>
      <c r="AF15" s="31">
        <f t="shared" si="7"/>
        <v>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1</v>
      </c>
      <c r="P16" s="15">
        <f t="shared" si="1"/>
        <v>2</v>
      </c>
      <c r="R16" s="1" t="s">
        <v>12</v>
      </c>
      <c r="S16" s="17">
        <f t="shared" ref="S16:AF16" si="8">SUM(C34:C37)</f>
        <v>0</v>
      </c>
      <c r="T16" s="17">
        <f t="shared" si="8"/>
        <v>3</v>
      </c>
      <c r="U16" s="17">
        <f t="shared" si="8"/>
        <v>0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10</v>
      </c>
      <c r="AD16" s="17">
        <f t="shared" si="8"/>
        <v>0</v>
      </c>
      <c r="AE16" s="31">
        <f t="shared" si="8"/>
        <v>5</v>
      </c>
      <c r="AF16" s="31">
        <f t="shared" si="8"/>
        <v>15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0</v>
      </c>
      <c r="P17" s="15">
        <f t="shared" si="1"/>
        <v>3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</v>
      </c>
      <c r="AD17" s="17">
        <f t="shared" si="9"/>
        <v>0</v>
      </c>
      <c r="AE17" s="31">
        <f t="shared" si="9"/>
        <v>1</v>
      </c>
      <c r="AF17" s="31">
        <f t="shared" si="9"/>
        <v>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</v>
      </c>
      <c r="AD18" s="17">
        <f t="shared" si="10"/>
        <v>0</v>
      </c>
      <c r="AE18" s="31">
        <f t="shared" si="10"/>
        <v>0</v>
      </c>
      <c r="AF18" s="31">
        <f t="shared" si="10"/>
        <v>5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2</v>
      </c>
      <c r="P19" s="15">
        <f t="shared" si="1"/>
        <v>2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</v>
      </c>
      <c r="AD19" s="17">
        <f t="shared" si="11"/>
        <v>0</v>
      </c>
      <c r="AE19" s="31">
        <f t="shared" si="11"/>
        <v>2</v>
      </c>
      <c r="AF19" s="31">
        <f t="shared" si="11"/>
        <v>4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2</v>
      </c>
      <c r="P20" s="15">
        <f t="shared" si="1"/>
        <v>4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9</v>
      </c>
      <c r="AD20" s="17">
        <f t="shared" si="12"/>
        <v>0</v>
      </c>
      <c r="AE20" s="31">
        <f t="shared" si="12"/>
        <v>1</v>
      </c>
      <c r="AF20" s="31">
        <f t="shared" si="12"/>
        <v>10</v>
      </c>
    </row>
    <row r="21" spans="2:32" ht="23.1" customHeight="1" x14ac:dyDescent="0.25">
      <c r="B21" s="23" t="s">
        <v>48</v>
      </c>
      <c r="C21" s="50">
        <v>0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2</v>
      </c>
      <c r="P21" s="15">
        <f t="shared" si="1"/>
        <v>2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</v>
      </c>
      <c r="AD21" s="17">
        <f t="shared" si="13"/>
        <v>0</v>
      </c>
      <c r="AE21" s="31">
        <f t="shared" si="13"/>
        <v>1</v>
      </c>
      <c r="AF21" s="31">
        <f t="shared" si="13"/>
        <v>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0</v>
      </c>
      <c r="P22" s="15">
        <f t="shared" si="1"/>
        <v>1</v>
      </c>
      <c r="R22" s="38" t="s">
        <v>90</v>
      </c>
      <c r="S22" s="39">
        <f>MAX(S10:S12)</f>
        <v>0</v>
      </c>
      <c r="T22" s="39">
        <f t="shared" ref="T22:AF22" si="14">MAX(T10:T12)</f>
        <v>3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1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</v>
      </c>
      <c r="AD22" s="39">
        <f t="shared" si="14"/>
        <v>0</v>
      </c>
      <c r="AE22" s="40">
        <f t="shared" si="14"/>
        <v>6</v>
      </c>
      <c r="AF22" s="40">
        <f t="shared" si="14"/>
        <v>8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2</v>
      </c>
      <c r="P23" s="15">
        <f t="shared" si="1"/>
        <v>3</v>
      </c>
      <c r="R23" s="38" t="s">
        <v>91</v>
      </c>
      <c r="S23" s="39">
        <f>MAX(S13:S18)</f>
        <v>0</v>
      </c>
      <c r="T23" s="39">
        <f t="shared" ref="T23:AF23" si="15">MAX(T13:T18)</f>
        <v>3</v>
      </c>
      <c r="U23" s="39">
        <f t="shared" si="15"/>
        <v>1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0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10</v>
      </c>
      <c r="AD23" s="39">
        <f t="shared" si="15"/>
        <v>0</v>
      </c>
      <c r="AE23" s="40">
        <f t="shared" si="15"/>
        <v>5</v>
      </c>
      <c r="AF23" s="40">
        <f t="shared" si="15"/>
        <v>15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0</v>
      </c>
      <c r="P24" s="15">
        <f t="shared" si="1"/>
        <v>2</v>
      </c>
      <c r="R24" s="38" t="s">
        <v>92</v>
      </c>
      <c r="S24" s="39">
        <f>MAX(S19:S21)</f>
        <v>0</v>
      </c>
      <c r="T24" s="39">
        <f t="shared" ref="T24:AF24" si="16">MAX(T19:T21)</f>
        <v>0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9</v>
      </c>
      <c r="AD24" s="39">
        <f t="shared" si="16"/>
        <v>0</v>
      </c>
      <c r="AE24" s="40">
        <f t="shared" si="16"/>
        <v>2</v>
      </c>
      <c r="AF24" s="40">
        <f t="shared" si="16"/>
        <v>10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</v>
      </c>
      <c r="N25" s="50">
        <v>0</v>
      </c>
      <c r="O25" s="15">
        <f t="shared" si="0"/>
        <v>0</v>
      </c>
      <c r="P25" s="15">
        <f t="shared" si="1"/>
        <v>2</v>
      </c>
      <c r="R25" s="37" t="s">
        <v>85</v>
      </c>
      <c r="S25" s="35">
        <f t="shared" ref="S25:AF25" si="17">SUM(S10:S12)</f>
        <v>0</v>
      </c>
      <c r="T25" s="16">
        <f t="shared" si="17"/>
        <v>4</v>
      </c>
      <c r="U25" s="16">
        <f t="shared" si="17"/>
        <v>5</v>
      </c>
      <c r="V25" s="16">
        <f t="shared" si="17"/>
        <v>0</v>
      </c>
      <c r="W25" s="16">
        <f t="shared" si="17"/>
        <v>0</v>
      </c>
      <c r="X25" s="16">
        <f t="shared" si="17"/>
        <v>1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14</v>
      </c>
      <c r="AD25" s="16">
        <f t="shared" si="17"/>
        <v>0</v>
      </c>
      <c r="AE25" s="32">
        <f t="shared" si="17"/>
        <v>10</v>
      </c>
      <c r="AF25" s="32">
        <f t="shared" si="17"/>
        <v>24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0</v>
      </c>
      <c r="P26" s="15">
        <f t="shared" si="1"/>
        <v>5</v>
      </c>
      <c r="R26" s="28" t="s">
        <v>86</v>
      </c>
      <c r="S26" s="16">
        <f t="shared" ref="S26:AF26" si="18">SUM(S13:S18)</f>
        <v>0</v>
      </c>
      <c r="T26" s="16">
        <f t="shared" si="18"/>
        <v>4</v>
      </c>
      <c r="U26" s="16">
        <f t="shared" si="18"/>
        <v>1</v>
      </c>
      <c r="V26" s="16">
        <f t="shared" si="18"/>
        <v>4</v>
      </c>
      <c r="W26" s="16">
        <f t="shared" si="18"/>
        <v>0</v>
      </c>
      <c r="X26" s="16">
        <f t="shared" si="18"/>
        <v>0</v>
      </c>
      <c r="Y26" s="16">
        <f t="shared" si="18"/>
        <v>0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41</v>
      </c>
      <c r="AD26" s="16">
        <f t="shared" si="18"/>
        <v>0</v>
      </c>
      <c r="AE26" s="32">
        <f t="shared" si="18"/>
        <v>9</v>
      </c>
      <c r="AF26" s="32">
        <f t="shared" si="18"/>
        <v>50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0</v>
      </c>
      <c r="P27" s="15">
        <f t="shared" si="1"/>
        <v>1</v>
      </c>
      <c r="R27" s="29" t="s">
        <v>87</v>
      </c>
      <c r="S27" s="16">
        <f t="shared" ref="S27:AF27" si="19">SUM(S19:S21)</f>
        <v>0</v>
      </c>
      <c r="T27" s="16">
        <f t="shared" si="19"/>
        <v>0</v>
      </c>
      <c r="U27" s="16">
        <f t="shared" si="19"/>
        <v>1</v>
      </c>
      <c r="V27" s="16">
        <f t="shared" si="19"/>
        <v>2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15</v>
      </c>
      <c r="AD27" s="16">
        <f t="shared" si="19"/>
        <v>0</v>
      </c>
      <c r="AE27" s="32">
        <f t="shared" si="19"/>
        <v>4</v>
      </c>
      <c r="AF27" s="32">
        <f t="shared" si="19"/>
        <v>19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1</v>
      </c>
      <c r="P28" s="15">
        <f t="shared" si="1"/>
        <v>4</v>
      </c>
      <c r="R28" s="5" t="s">
        <v>17</v>
      </c>
      <c r="S28" s="16">
        <f t="shared" ref="S28:AF28" si="20">SUM(S10:S21)</f>
        <v>0</v>
      </c>
      <c r="T28" s="16">
        <f t="shared" si="20"/>
        <v>8</v>
      </c>
      <c r="U28" s="16">
        <f t="shared" si="20"/>
        <v>7</v>
      </c>
      <c r="V28" s="16">
        <f t="shared" si="20"/>
        <v>6</v>
      </c>
      <c r="W28" s="16">
        <f t="shared" si="20"/>
        <v>0</v>
      </c>
      <c r="X28" s="16">
        <f t="shared" si="20"/>
        <v>1</v>
      </c>
      <c r="Y28" s="16">
        <f t="shared" si="20"/>
        <v>1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70</v>
      </c>
      <c r="AD28" s="16">
        <f t="shared" si="20"/>
        <v>0</v>
      </c>
      <c r="AE28" s="32">
        <f t="shared" si="20"/>
        <v>23</v>
      </c>
      <c r="AF28" s="32">
        <f t="shared" si="20"/>
        <v>93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0</v>
      </c>
      <c r="P29" s="15">
        <f t="shared" si="1"/>
        <v>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0</v>
      </c>
      <c r="P31" s="15">
        <f t="shared" si="1"/>
        <v>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0</v>
      </c>
      <c r="P32" s="15">
        <f t="shared" si="1"/>
        <v>2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0</v>
      </c>
      <c r="P33" s="15">
        <f t="shared" si="1"/>
        <v>3</v>
      </c>
    </row>
    <row r="34" spans="2:20" ht="23.1" customHeight="1" x14ac:dyDescent="0.25">
      <c r="B34" s="24" t="s">
        <v>61</v>
      </c>
      <c r="C34" s="50">
        <v>0</v>
      </c>
      <c r="D34" s="50">
        <v>3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3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0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2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1</v>
      </c>
      <c r="P38" s="15">
        <f t="shared" si="1"/>
        <v>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0</v>
      </c>
      <c r="P40" s="15">
        <f t="shared" si="1"/>
        <v>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0</v>
      </c>
      <c r="P41" s="15">
        <f t="shared" si="1"/>
        <v>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0</v>
      </c>
      <c r="P42" s="15">
        <f t="shared" si="1"/>
        <v>1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0</v>
      </c>
      <c r="P43" s="15">
        <f t="shared" si="1"/>
        <v>2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0</v>
      </c>
      <c r="P45" s="15">
        <f t="shared" si="1"/>
        <v>2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1</v>
      </c>
      <c r="P46" s="15">
        <f t="shared" si="1"/>
        <v>2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0</v>
      </c>
      <c r="P48" s="15">
        <f t="shared" si="1"/>
        <v>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1</v>
      </c>
      <c r="P49" s="15">
        <f t="shared" si="1"/>
        <v>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0</v>
      </c>
      <c r="P50" s="15">
        <f t="shared" si="1"/>
        <v>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0</v>
      </c>
      <c r="P51" s="15">
        <f t="shared" si="1"/>
        <v>3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0</v>
      </c>
      <c r="P53" s="15">
        <f t="shared" si="1"/>
        <v>5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</v>
      </c>
      <c r="N54" s="50">
        <v>0</v>
      </c>
      <c r="O54" s="15">
        <f t="shared" si="0"/>
        <v>0</v>
      </c>
      <c r="P54" s="15">
        <f t="shared" si="1"/>
        <v>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0</v>
      </c>
      <c r="P56" s="15">
        <f t="shared" si="1"/>
        <v>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1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0</v>
      </c>
      <c r="D58" s="16">
        <f t="shared" si="21"/>
        <v>8</v>
      </c>
      <c r="E58" s="16">
        <f t="shared" si="21"/>
        <v>7</v>
      </c>
      <c r="F58" s="16">
        <f t="shared" si="21"/>
        <v>6</v>
      </c>
      <c r="G58" s="16">
        <f t="shared" si="21"/>
        <v>0</v>
      </c>
      <c r="H58" s="16">
        <f t="shared" si="21"/>
        <v>1</v>
      </c>
      <c r="I58" s="16">
        <f t="shared" si="21"/>
        <v>1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70</v>
      </c>
      <c r="N58" s="16">
        <f t="shared" si="21"/>
        <v>0</v>
      </c>
      <c r="O58" s="16">
        <f t="shared" si="21"/>
        <v>23</v>
      </c>
      <c r="P58" s="16">
        <f t="shared" si="21"/>
        <v>93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</v>
      </c>
      <c r="D59" s="43">
        <f t="shared" si="22"/>
        <v>8.6021505376344093E-2</v>
      </c>
      <c r="E59" s="43">
        <f t="shared" si="22"/>
        <v>7.5268817204301078E-2</v>
      </c>
      <c r="F59" s="43">
        <f t="shared" si="22"/>
        <v>6.4516129032258063E-2</v>
      </c>
      <c r="G59" s="43">
        <f t="shared" si="22"/>
        <v>0</v>
      </c>
      <c r="H59" s="43">
        <f t="shared" si="22"/>
        <v>1.0752688172043012E-2</v>
      </c>
      <c r="I59" s="43">
        <f t="shared" si="22"/>
        <v>1.0752688172043012E-2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0.75268817204301075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</v>
      </c>
      <c r="D60" s="44">
        <f t="shared" ref="D60:N60" si="23">D58/$O$58</f>
        <v>0.34782608695652173</v>
      </c>
      <c r="E60" s="44">
        <f t="shared" si="23"/>
        <v>0.30434782608695654</v>
      </c>
      <c r="F60" s="44">
        <f t="shared" si="23"/>
        <v>0.2608695652173913</v>
      </c>
      <c r="G60" s="44">
        <f t="shared" si="23"/>
        <v>0</v>
      </c>
      <c r="H60" s="44">
        <f t="shared" si="23"/>
        <v>4.3478260869565216E-2</v>
      </c>
      <c r="I60" s="44">
        <f t="shared" si="23"/>
        <v>4.3478260869565216E-2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topLeftCell="A33" zoomScale="60" workbookViewId="0">
      <selection activeCell="I57" sqref="I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Karenga-Kotido'!C3:G3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'08.08 Kotido-Karenga'!D5</f>
        <v>08.08.19</v>
      </c>
      <c r="E5" s="3"/>
      <c r="F5" s="41" t="s">
        <v>1</v>
      </c>
      <c r="G5" s="63" t="str">
        <f>'08.08 Kotido-Karenga'!G5:H5</f>
        <v>Kabong</v>
      </c>
      <c r="H5" s="64"/>
      <c r="I5" s="14"/>
      <c r="J5" s="2" t="s">
        <v>5</v>
      </c>
      <c r="K5" s="63" t="str">
        <f>'08.08 Kotido-Karenga'!K5:L5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Karenga-Kotido'!D6:E6</f>
        <v>Karenga</v>
      </c>
      <c r="E6" s="64"/>
      <c r="F6" s="2" t="s">
        <v>2</v>
      </c>
      <c r="G6" s="63" t="str">
        <f>'05.08 Karenga-Kotido'!G6:H6</f>
        <v>Kotido</v>
      </c>
      <c r="H6" s="64"/>
      <c r="J6" s="2" t="s">
        <v>21</v>
      </c>
      <c r="K6" s="63">
        <f>'08.08 Kotido-Karenga'!K6:L6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</v>
      </c>
      <c r="AD10" s="17">
        <f t="shared" si="2"/>
        <v>0</v>
      </c>
      <c r="AE10" s="31">
        <f t="shared" si="2"/>
        <v>1</v>
      </c>
      <c r="AF10" s="31">
        <f t="shared" si="2"/>
        <v>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</v>
      </c>
      <c r="AD11" s="17">
        <f t="shared" si="3"/>
        <v>0</v>
      </c>
      <c r="AE11" s="31">
        <f t="shared" si="3"/>
        <v>2</v>
      </c>
      <c r="AF11" s="31">
        <f t="shared" si="3"/>
        <v>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0</v>
      </c>
      <c r="P12" s="15">
        <f t="shared" si="1"/>
        <v>1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</v>
      </c>
      <c r="AD12" s="17">
        <f t="shared" si="4"/>
        <v>0</v>
      </c>
      <c r="AE12" s="31">
        <f t="shared" si="4"/>
        <v>0</v>
      </c>
      <c r="AF12" s="31">
        <f t="shared" si="4"/>
        <v>3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1</v>
      </c>
      <c r="P13" s="15">
        <f t="shared" si="1"/>
        <v>2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</v>
      </c>
      <c r="AD13" s="17">
        <f t="shared" si="5"/>
        <v>0</v>
      </c>
      <c r="AE13" s="31">
        <f t="shared" si="5"/>
        <v>1</v>
      </c>
      <c r="AF13" s="31">
        <f t="shared" si="5"/>
        <v>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1</v>
      </c>
      <c r="P14" s="15">
        <f t="shared" si="1"/>
        <v>1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11</v>
      </c>
      <c r="AD14" s="17">
        <f t="shared" si="6"/>
        <v>0</v>
      </c>
      <c r="AE14" s="31">
        <f t="shared" si="6"/>
        <v>1</v>
      </c>
      <c r="AF14" s="31">
        <f t="shared" si="6"/>
        <v>12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1</v>
      </c>
      <c r="T15" s="17">
        <f t="shared" si="7"/>
        <v>3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</v>
      </c>
      <c r="AD15" s="17">
        <f t="shared" si="7"/>
        <v>0</v>
      </c>
      <c r="AE15" s="31">
        <f t="shared" si="7"/>
        <v>5</v>
      </c>
      <c r="AF15" s="31">
        <f t="shared" si="7"/>
        <v>11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</v>
      </c>
      <c r="AD16" s="17">
        <f t="shared" si="8"/>
        <v>0</v>
      </c>
      <c r="AE16" s="31">
        <f t="shared" si="8"/>
        <v>1</v>
      </c>
      <c r="AF16" s="31">
        <f t="shared" si="8"/>
        <v>6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1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10</v>
      </c>
      <c r="AD17" s="17">
        <f t="shared" si="9"/>
        <v>0</v>
      </c>
      <c r="AE17" s="31">
        <f t="shared" si="9"/>
        <v>0</v>
      </c>
      <c r="AF17" s="31">
        <f t="shared" si="9"/>
        <v>10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</v>
      </c>
      <c r="AD18" s="17">
        <f t="shared" si="10"/>
        <v>0</v>
      </c>
      <c r="AE18" s="31">
        <f t="shared" si="10"/>
        <v>1</v>
      </c>
      <c r="AF18" s="31">
        <f t="shared" si="10"/>
        <v>3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</v>
      </c>
      <c r="AD19" s="17">
        <f t="shared" si="11"/>
        <v>0</v>
      </c>
      <c r="AE19" s="31">
        <f t="shared" si="11"/>
        <v>4</v>
      </c>
      <c r="AF19" s="31">
        <f t="shared" si="11"/>
        <v>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0</v>
      </c>
      <c r="P20" s="15">
        <f t="shared" si="1"/>
        <v>2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</v>
      </c>
      <c r="AD20" s="17">
        <f t="shared" si="12"/>
        <v>0</v>
      </c>
      <c r="AE20" s="31">
        <f t="shared" si="12"/>
        <v>1</v>
      </c>
      <c r="AF20" s="31">
        <f t="shared" si="12"/>
        <v>6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0</v>
      </c>
      <c r="P21" s="15">
        <f t="shared" si="1"/>
        <v>1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1</v>
      </c>
      <c r="AF21" s="31">
        <f t="shared" si="13"/>
        <v>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0</v>
      </c>
      <c r="P22" s="15">
        <f t="shared" si="1"/>
        <v>2</v>
      </c>
      <c r="R22" s="38" t="s">
        <v>90</v>
      </c>
      <c r="S22" s="39">
        <f>MAX(S10:S12)</f>
        <v>0</v>
      </c>
      <c r="T22" s="39">
        <f t="shared" ref="T22:AF22" si="14">MAX(T10:T12)</f>
        <v>1</v>
      </c>
      <c r="U22" s="39">
        <f t="shared" si="14"/>
        <v>0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</v>
      </c>
      <c r="AD22" s="39">
        <f t="shared" si="14"/>
        <v>0</v>
      </c>
      <c r="AE22" s="40">
        <f t="shared" si="14"/>
        <v>2</v>
      </c>
      <c r="AF22" s="40">
        <f t="shared" si="14"/>
        <v>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0</v>
      </c>
      <c r="P23" s="15">
        <f t="shared" si="1"/>
        <v>1</v>
      </c>
      <c r="R23" s="38" t="s">
        <v>91</v>
      </c>
      <c r="S23" s="39">
        <f>MAX(S13:S18)</f>
        <v>1</v>
      </c>
      <c r="T23" s="39">
        <f t="shared" ref="T23:AF23" si="15">MAX(T13:T18)</f>
        <v>3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0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11</v>
      </c>
      <c r="AD23" s="39">
        <f t="shared" si="15"/>
        <v>0</v>
      </c>
      <c r="AE23" s="40">
        <f t="shared" si="15"/>
        <v>5</v>
      </c>
      <c r="AF23" s="40">
        <f t="shared" si="15"/>
        <v>12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0</v>
      </c>
      <c r="P24" s="15">
        <f t="shared" si="1"/>
        <v>2</v>
      </c>
      <c r="R24" s="38" t="s">
        <v>92</v>
      </c>
      <c r="S24" s="39">
        <f>MAX(S19:S21)</f>
        <v>0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</v>
      </c>
      <c r="AD24" s="39">
        <f t="shared" si="16"/>
        <v>0</v>
      </c>
      <c r="AE24" s="40">
        <f t="shared" si="16"/>
        <v>4</v>
      </c>
      <c r="AF24" s="40">
        <f t="shared" si="16"/>
        <v>6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1</v>
      </c>
      <c r="P25" s="15">
        <f t="shared" si="1"/>
        <v>2</v>
      </c>
      <c r="R25" s="37" t="s">
        <v>85</v>
      </c>
      <c r="S25" s="35">
        <f t="shared" ref="S25:AF25" si="17">SUM(S10:S12)</f>
        <v>0</v>
      </c>
      <c r="T25" s="16">
        <f t="shared" si="17"/>
        <v>2</v>
      </c>
      <c r="U25" s="16">
        <f t="shared" si="17"/>
        <v>0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8</v>
      </c>
      <c r="AD25" s="16">
        <f t="shared" si="17"/>
        <v>0</v>
      </c>
      <c r="AE25" s="32">
        <f t="shared" si="17"/>
        <v>3</v>
      </c>
      <c r="AF25" s="32">
        <f t="shared" si="17"/>
        <v>11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0</v>
      </c>
      <c r="P26" s="15">
        <f t="shared" si="1"/>
        <v>2</v>
      </c>
      <c r="R26" s="28" t="s">
        <v>86</v>
      </c>
      <c r="S26" s="16">
        <f t="shared" ref="S26:AF26" si="18">SUM(S13:S18)</f>
        <v>1</v>
      </c>
      <c r="T26" s="16">
        <f t="shared" si="18"/>
        <v>4</v>
      </c>
      <c r="U26" s="16">
        <f t="shared" si="18"/>
        <v>3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0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40</v>
      </c>
      <c r="AD26" s="16">
        <f t="shared" si="18"/>
        <v>0</v>
      </c>
      <c r="AE26" s="32">
        <f t="shared" si="18"/>
        <v>9</v>
      </c>
      <c r="AF26" s="32">
        <f t="shared" si="18"/>
        <v>49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1</v>
      </c>
      <c r="P27" s="15">
        <f t="shared" si="1"/>
        <v>4</v>
      </c>
      <c r="R27" s="29" t="s">
        <v>87</v>
      </c>
      <c r="S27" s="16">
        <f t="shared" ref="S27:AF27" si="19">SUM(S19:S21)</f>
        <v>0</v>
      </c>
      <c r="T27" s="16">
        <f t="shared" si="19"/>
        <v>1</v>
      </c>
      <c r="U27" s="16">
        <f t="shared" si="19"/>
        <v>1</v>
      </c>
      <c r="V27" s="16">
        <f t="shared" si="19"/>
        <v>2</v>
      </c>
      <c r="W27" s="16">
        <f t="shared" si="19"/>
        <v>0</v>
      </c>
      <c r="X27" s="16">
        <f t="shared" si="19"/>
        <v>0</v>
      </c>
      <c r="Y27" s="16">
        <f t="shared" si="19"/>
        <v>2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10</v>
      </c>
      <c r="AD27" s="16">
        <f t="shared" si="19"/>
        <v>0</v>
      </c>
      <c r="AE27" s="32">
        <f t="shared" si="19"/>
        <v>6</v>
      </c>
      <c r="AF27" s="32">
        <f t="shared" si="19"/>
        <v>16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0</v>
      </c>
      <c r="P28" s="15">
        <f t="shared" si="1"/>
        <v>1</v>
      </c>
      <c r="R28" s="5" t="s">
        <v>17</v>
      </c>
      <c r="S28" s="16">
        <f t="shared" ref="S28:AF28" si="20">SUM(S10:S21)</f>
        <v>1</v>
      </c>
      <c r="T28" s="16">
        <f t="shared" si="20"/>
        <v>7</v>
      </c>
      <c r="U28" s="16">
        <f t="shared" si="20"/>
        <v>4</v>
      </c>
      <c r="V28" s="16">
        <f t="shared" si="20"/>
        <v>4</v>
      </c>
      <c r="W28" s="16">
        <f t="shared" si="20"/>
        <v>0</v>
      </c>
      <c r="X28" s="16">
        <f t="shared" si="20"/>
        <v>0</v>
      </c>
      <c r="Y28" s="16">
        <f t="shared" si="20"/>
        <v>2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58</v>
      </c>
      <c r="AD28" s="16">
        <f t="shared" si="20"/>
        <v>0</v>
      </c>
      <c r="AE28" s="32">
        <f t="shared" si="20"/>
        <v>18</v>
      </c>
      <c r="AF28" s="32">
        <f t="shared" si="20"/>
        <v>76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0</v>
      </c>
      <c r="P29" s="15">
        <f t="shared" si="1"/>
        <v>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0</v>
      </c>
      <c r="P30" s="15">
        <f t="shared" si="1"/>
        <v>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0</v>
      </c>
      <c r="P31" s="15">
        <f t="shared" si="1"/>
        <v>2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2</v>
      </c>
      <c r="P32" s="15">
        <f t="shared" si="1"/>
        <v>4</v>
      </c>
    </row>
    <row r="33" spans="2:20" ht="23.1" customHeight="1" x14ac:dyDescent="0.25">
      <c r="B33" s="23" t="s">
        <v>60</v>
      </c>
      <c r="C33" s="50">
        <v>0</v>
      </c>
      <c r="D33" s="50">
        <v>2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3</v>
      </c>
      <c r="P33" s="15">
        <f t="shared" si="1"/>
        <v>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0</v>
      </c>
      <c r="P36" s="15">
        <f t="shared" si="1"/>
        <v>3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</v>
      </c>
      <c r="N38" s="50">
        <v>0</v>
      </c>
      <c r="O38" s="15">
        <f t="shared" si="0"/>
        <v>0</v>
      </c>
      <c r="P38" s="15">
        <f t="shared" si="1"/>
        <v>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0</v>
      </c>
      <c r="P40" s="15">
        <f t="shared" si="1"/>
        <v>5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0</v>
      </c>
      <c r="P41" s="15">
        <f t="shared" si="1"/>
        <v>3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1</v>
      </c>
      <c r="P42" s="15">
        <f t="shared" si="1"/>
        <v>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1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2</v>
      </c>
      <c r="P46" s="15">
        <f t="shared" si="1"/>
        <v>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1</v>
      </c>
      <c r="P47" s="15">
        <f t="shared" si="1"/>
        <v>1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1</v>
      </c>
      <c r="P48" s="15">
        <f t="shared" si="1"/>
        <v>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0</v>
      </c>
      <c r="P49" s="15">
        <f t="shared" si="1"/>
        <v>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</v>
      </c>
      <c r="N50" s="50">
        <v>0</v>
      </c>
      <c r="O50" s="15">
        <f t="shared" si="0"/>
        <v>1</v>
      </c>
      <c r="P50" s="15">
        <f t="shared" si="1"/>
        <v>3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0</v>
      </c>
      <c r="P51" s="15">
        <f t="shared" si="1"/>
        <v>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5">
        <f t="shared" si="0"/>
        <v>0</v>
      </c>
      <c r="P52" s="15">
        <f t="shared" si="1"/>
        <v>3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0</v>
      </c>
      <c r="P54" s="15">
        <f t="shared" si="1"/>
        <v>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1</v>
      </c>
      <c r="P56" s="15">
        <f t="shared" si="1"/>
        <v>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</v>
      </c>
      <c r="D58" s="16">
        <f t="shared" si="21"/>
        <v>7</v>
      </c>
      <c r="E58" s="16">
        <f t="shared" si="21"/>
        <v>4</v>
      </c>
      <c r="F58" s="16">
        <f t="shared" si="21"/>
        <v>4</v>
      </c>
      <c r="G58" s="16">
        <f t="shared" si="21"/>
        <v>0</v>
      </c>
      <c r="H58" s="16">
        <f t="shared" si="21"/>
        <v>0</v>
      </c>
      <c r="I58" s="16">
        <f t="shared" si="21"/>
        <v>2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58</v>
      </c>
      <c r="N58" s="16">
        <f t="shared" si="21"/>
        <v>0</v>
      </c>
      <c r="O58" s="16">
        <f t="shared" si="21"/>
        <v>18</v>
      </c>
      <c r="P58" s="16">
        <f t="shared" si="21"/>
        <v>76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1.3157894736842105E-2</v>
      </c>
      <c r="D59" s="43">
        <f t="shared" si="22"/>
        <v>9.2105263157894732E-2</v>
      </c>
      <c r="E59" s="43">
        <f t="shared" si="22"/>
        <v>5.2631578947368418E-2</v>
      </c>
      <c r="F59" s="43">
        <f t="shared" si="22"/>
        <v>5.2631578947368418E-2</v>
      </c>
      <c r="G59" s="43">
        <f t="shared" si="22"/>
        <v>0</v>
      </c>
      <c r="H59" s="43">
        <f t="shared" si="22"/>
        <v>0</v>
      </c>
      <c r="I59" s="43">
        <f t="shared" si="22"/>
        <v>2.6315789473684209E-2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0.76315789473684215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5.5555555555555552E-2</v>
      </c>
      <c r="D60" s="44">
        <f t="shared" ref="D60:N60" si="23">D58/$O$58</f>
        <v>0.3888888888888889</v>
      </c>
      <c r="E60" s="44">
        <f t="shared" si="23"/>
        <v>0.22222222222222221</v>
      </c>
      <c r="F60" s="44">
        <f t="shared" si="23"/>
        <v>0.22222222222222221</v>
      </c>
      <c r="G60" s="44">
        <f t="shared" si="23"/>
        <v>0</v>
      </c>
      <c r="H60" s="44">
        <f t="shared" si="23"/>
        <v>0</v>
      </c>
      <c r="I60" s="44">
        <f t="shared" si="23"/>
        <v>0.1111111111111111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40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'08.08 Karenga-Kotido'!G5:H5</f>
        <v>Kabong</v>
      </c>
      <c r="H5" s="64"/>
      <c r="I5" s="14"/>
      <c r="J5" s="2" t="s">
        <v>5</v>
      </c>
      <c r="K5" s="63" t="str">
        <f>'08.08 Karenga-Kotido'!K5:L5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Kotido-Karenga'!D6:E6</f>
        <v>Kotido</v>
      </c>
      <c r="E6" s="64"/>
      <c r="F6" s="2" t="s">
        <v>2</v>
      </c>
      <c r="G6" s="63" t="str">
        <f>'05.08 Kotido-Karenga'!G6:H6</f>
        <v>Karenga</v>
      </c>
      <c r="H6" s="64"/>
      <c r="J6" s="2" t="s">
        <v>21</v>
      </c>
      <c r="K6" s="63">
        <f>'08.08 Karenga-Kotido'!K6:L6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8</v>
      </c>
      <c r="AD10" s="17">
        <f t="shared" si="2"/>
        <v>0</v>
      </c>
      <c r="AE10" s="31">
        <f t="shared" si="2"/>
        <v>1</v>
      </c>
      <c r="AF10" s="31">
        <f t="shared" si="2"/>
        <v>9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0</v>
      </c>
      <c r="P11" s="15">
        <f t="shared" si="1"/>
        <v>3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</v>
      </c>
      <c r="AD11" s="17">
        <f t="shared" si="3"/>
        <v>0</v>
      </c>
      <c r="AE11" s="31">
        <f t="shared" si="3"/>
        <v>2</v>
      </c>
      <c r="AF11" s="31">
        <f t="shared" si="3"/>
        <v>6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</v>
      </c>
      <c r="AD12" s="17">
        <f t="shared" si="4"/>
        <v>0</v>
      </c>
      <c r="AE12" s="31">
        <f t="shared" si="4"/>
        <v>1</v>
      </c>
      <c r="AF12" s="31">
        <f t="shared" si="4"/>
        <v>6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1</v>
      </c>
      <c r="P13" s="15">
        <f t="shared" si="1"/>
        <v>5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4</v>
      </c>
      <c r="AD13" s="17">
        <f t="shared" si="5"/>
        <v>0</v>
      </c>
      <c r="AE13" s="31">
        <f t="shared" si="5"/>
        <v>3</v>
      </c>
      <c r="AF13" s="31">
        <f t="shared" si="5"/>
        <v>7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1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3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9</v>
      </c>
      <c r="AD14" s="17">
        <f t="shared" si="6"/>
        <v>0</v>
      </c>
      <c r="AE14" s="31">
        <f t="shared" si="6"/>
        <v>5</v>
      </c>
      <c r="AF14" s="31">
        <f t="shared" si="6"/>
        <v>14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1</v>
      </c>
      <c r="P15" s="15">
        <f t="shared" si="1"/>
        <v>2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5</v>
      </c>
      <c r="AD15" s="17">
        <f t="shared" si="7"/>
        <v>0</v>
      </c>
      <c r="AE15" s="31">
        <f t="shared" si="7"/>
        <v>4</v>
      </c>
      <c r="AF15" s="31">
        <f t="shared" si="7"/>
        <v>9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3</v>
      </c>
      <c r="AD16" s="17">
        <f t="shared" si="8"/>
        <v>0</v>
      </c>
      <c r="AE16" s="31">
        <f t="shared" si="8"/>
        <v>4</v>
      </c>
      <c r="AF16" s="31">
        <f t="shared" si="8"/>
        <v>7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0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</v>
      </c>
      <c r="AD17" s="17">
        <f t="shared" si="9"/>
        <v>0</v>
      </c>
      <c r="AE17" s="31">
        <f t="shared" si="9"/>
        <v>3</v>
      </c>
      <c r="AF17" s="31">
        <f t="shared" si="9"/>
        <v>10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0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11</v>
      </c>
      <c r="AD18" s="17">
        <f t="shared" si="10"/>
        <v>0</v>
      </c>
      <c r="AE18" s="31">
        <f t="shared" si="10"/>
        <v>3</v>
      </c>
      <c r="AF18" s="31">
        <f t="shared" si="10"/>
        <v>14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1</v>
      </c>
      <c r="P19" s="15">
        <f t="shared" si="1"/>
        <v>2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</v>
      </c>
      <c r="AD19" s="17">
        <f t="shared" si="11"/>
        <v>0</v>
      </c>
      <c r="AE19" s="31">
        <f t="shared" si="11"/>
        <v>2</v>
      </c>
      <c r="AF19" s="31">
        <f t="shared" si="11"/>
        <v>9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0</v>
      </c>
      <c r="P20" s="15">
        <f t="shared" si="1"/>
        <v>0</v>
      </c>
      <c r="R20" s="1" t="s">
        <v>16</v>
      </c>
      <c r="S20" s="17">
        <f t="shared" ref="S20:AF20" si="12">SUM(C50:C53)</f>
        <v>0</v>
      </c>
      <c r="T20" s="17">
        <f t="shared" si="12"/>
        <v>2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5</v>
      </c>
      <c r="AD20" s="17">
        <f t="shared" si="12"/>
        <v>0</v>
      </c>
      <c r="AE20" s="31">
        <f t="shared" si="12"/>
        <v>4</v>
      </c>
      <c r="AF20" s="31">
        <f t="shared" si="12"/>
        <v>9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0</v>
      </c>
      <c r="P21" s="15">
        <f t="shared" si="1"/>
        <v>3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</v>
      </c>
      <c r="AD21" s="17">
        <f t="shared" si="13"/>
        <v>0</v>
      </c>
      <c r="AE21" s="31">
        <f t="shared" si="13"/>
        <v>1</v>
      </c>
      <c r="AF21" s="31">
        <f t="shared" si="13"/>
        <v>7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1</v>
      </c>
      <c r="P22" s="15">
        <f t="shared" si="1"/>
        <v>2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6</v>
      </c>
      <c r="AD22" s="34">
        <f t="shared" si="14"/>
        <v>0</v>
      </c>
      <c r="AE22" s="31">
        <f t="shared" si="14"/>
        <v>0</v>
      </c>
      <c r="AF22" s="31">
        <f t="shared" si="14"/>
        <v>6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1</v>
      </c>
      <c r="P23" s="15">
        <f t="shared" si="1"/>
        <v>2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</v>
      </c>
      <c r="AD23" s="34">
        <f t="shared" si="15"/>
        <v>0</v>
      </c>
      <c r="AE23" s="31">
        <f t="shared" si="15"/>
        <v>1</v>
      </c>
      <c r="AF23" s="31">
        <f t="shared" si="15"/>
        <v>2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1</v>
      </c>
      <c r="P24" s="15">
        <f t="shared" si="1"/>
        <v>3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</v>
      </c>
      <c r="AD24" s="34">
        <f t="shared" si="16"/>
        <v>0</v>
      </c>
      <c r="AE24" s="31">
        <f t="shared" si="16"/>
        <v>1</v>
      </c>
      <c r="AF24" s="31">
        <f t="shared" si="16"/>
        <v>4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0</v>
      </c>
      <c r="P25" s="15">
        <f t="shared" si="1"/>
        <v>0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0</v>
      </c>
      <c r="AF25" s="31">
        <f t="shared" si="17"/>
        <v>5</v>
      </c>
    </row>
    <row r="26" spans="2:32" ht="23.1" customHeight="1" x14ac:dyDescent="0.25">
      <c r="B26" s="45" t="s">
        <v>53</v>
      </c>
      <c r="C26" s="50">
        <v>0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1</v>
      </c>
      <c r="P26" s="15">
        <f t="shared" si="1"/>
        <v>6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0</v>
      </c>
      <c r="AF26" s="31">
        <f t="shared" si="18"/>
        <v>1</v>
      </c>
    </row>
    <row r="27" spans="2:32" ht="23.1" customHeight="1" x14ac:dyDescent="0.25">
      <c r="B27" s="45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2</v>
      </c>
      <c r="P27" s="15">
        <f t="shared" si="1"/>
        <v>2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</v>
      </c>
      <c r="N28" s="50">
        <v>0</v>
      </c>
      <c r="O28" s="15">
        <f t="shared" si="0"/>
        <v>0</v>
      </c>
      <c r="P28" s="15">
        <f t="shared" si="1"/>
        <v>2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2</v>
      </c>
      <c r="P29" s="15">
        <f t="shared" si="1"/>
        <v>4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0</v>
      </c>
      <c r="P31" s="15">
        <f t="shared" si="1"/>
        <v>3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2</v>
      </c>
      <c r="P32" s="15">
        <f t="shared" si="1"/>
        <v>4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2</v>
      </c>
      <c r="P33" s="15">
        <f t="shared" si="1"/>
        <v>2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0</v>
      </c>
      <c r="P34" s="15">
        <f t="shared" si="1"/>
        <v>2</v>
      </c>
      <c r="R34" s="38" t="s">
        <v>90</v>
      </c>
      <c r="S34" s="39">
        <f t="shared" ref="S34:AF34" si="26">MAX(S10:S12)</f>
        <v>0</v>
      </c>
      <c r="T34" s="39">
        <f t="shared" si="26"/>
        <v>0</v>
      </c>
      <c r="U34" s="39">
        <f t="shared" si="26"/>
        <v>1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8</v>
      </c>
      <c r="AD34" s="39">
        <f t="shared" si="26"/>
        <v>0</v>
      </c>
      <c r="AE34" s="40">
        <f t="shared" si="26"/>
        <v>2</v>
      </c>
      <c r="AF34" s="40">
        <f t="shared" si="26"/>
        <v>9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1</v>
      </c>
      <c r="P35" s="15">
        <f t="shared" si="1"/>
        <v>1</v>
      </c>
      <c r="R35" s="38" t="s">
        <v>91</v>
      </c>
      <c r="S35" s="39">
        <f t="shared" ref="S35:AF35" si="27">MAX(S13:S18)</f>
        <v>0</v>
      </c>
      <c r="T35" s="39">
        <f t="shared" si="27"/>
        <v>3</v>
      </c>
      <c r="U35" s="39">
        <f t="shared" si="27"/>
        <v>2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1</v>
      </c>
      <c r="Z35" s="39">
        <f t="shared" si="27"/>
        <v>2</v>
      </c>
      <c r="AA35" s="39">
        <f t="shared" si="27"/>
        <v>0</v>
      </c>
      <c r="AB35" s="39">
        <f t="shared" si="27"/>
        <v>0</v>
      </c>
      <c r="AC35" s="39">
        <f t="shared" si="27"/>
        <v>11</v>
      </c>
      <c r="AD35" s="39">
        <f t="shared" si="27"/>
        <v>0</v>
      </c>
      <c r="AE35" s="40">
        <f t="shared" si="27"/>
        <v>5</v>
      </c>
      <c r="AF35" s="40">
        <f t="shared" si="27"/>
        <v>14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2</v>
      </c>
      <c r="P36" s="15">
        <f t="shared" si="1"/>
        <v>2</v>
      </c>
      <c r="R36" s="38" t="s">
        <v>92</v>
      </c>
      <c r="S36" s="39">
        <f t="shared" ref="S36:AF36" si="28">MAX(S19:S21)</f>
        <v>0</v>
      </c>
      <c r="T36" s="39">
        <f t="shared" si="28"/>
        <v>2</v>
      </c>
      <c r="U36" s="39">
        <f t="shared" si="28"/>
        <v>1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0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7</v>
      </c>
      <c r="AD36" s="39">
        <f t="shared" si="28"/>
        <v>0</v>
      </c>
      <c r="AE36" s="40">
        <f t="shared" si="28"/>
        <v>4</v>
      </c>
      <c r="AF36" s="40">
        <f t="shared" si="28"/>
        <v>9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1</v>
      </c>
      <c r="P37" s="15">
        <f t="shared" si="1"/>
        <v>2</v>
      </c>
      <c r="R37" s="37" t="s">
        <v>85</v>
      </c>
      <c r="S37" s="35">
        <f t="shared" ref="S37:AF37" si="29">SUM(S10:S12)</f>
        <v>0</v>
      </c>
      <c r="T37" s="16">
        <f t="shared" si="29"/>
        <v>0</v>
      </c>
      <c r="U37" s="16">
        <f t="shared" si="29"/>
        <v>3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1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17</v>
      </c>
      <c r="AD37" s="16">
        <f t="shared" si="29"/>
        <v>0</v>
      </c>
      <c r="AE37" s="32">
        <f t="shared" si="29"/>
        <v>4</v>
      </c>
      <c r="AF37" s="32">
        <f t="shared" si="29"/>
        <v>21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1</v>
      </c>
      <c r="P38" s="15">
        <f t="shared" si="1"/>
        <v>2</v>
      </c>
      <c r="R38" s="28" t="s">
        <v>86</v>
      </c>
      <c r="S38" s="16">
        <f t="shared" ref="S38:AF38" si="30">SUM(S13:S18)</f>
        <v>0</v>
      </c>
      <c r="T38" s="16">
        <f t="shared" si="30"/>
        <v>4</v>
      </c>
      <c r="U38" s="16">
        <f t="shared" si="30"/>
        <v>8</v>
      </c>
      <c r="V38" s="16">
        <f t="shared" si="30"/>
        <v>1</v>
      </c>
      <c r="W38" s="16">
        <f t="shared" si="30"/>
        <v>0</v>
      </c>
      <c r="X38" s="16">
        <f t="shared" si="30"/>
        <v>0</v>
      </c>
      <c r="Y38" s="16">
        <f t="shared" si="30"/>
        <v>4</v>
      </c>
      <c r="Z38" s="16">
        <f t="shared" si="30"/>
        <v>5</v>
      </c>
      <c r="AA38" s="16">
        <f t="shared" si="30"/>
        <v>0</v>
      </c>
      <c r="AB38" s="16">
        <f t="shared" si="30"/>
        <v>0</v>
      </c>
      <c r="AC38" s="16">
        <f t="shared" si="30"/>
        <v>39</v>
      </c>
      <c r="AD38" s="16">
        <f t="shared" si="30"/>
        <v>0</v>
      </c>
      <c r="AE38" s="32">
        <f t="shared" si="30"/>
        <v>22</v>
      </c>
      <c r="AF38" s="32">
        <f t="shared" si="30"/>
        <v>61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</v>
      </c>
      <c r="N39" s="50">
        <v>0</v>
      </c>
      <c r="O39" s="15">
        <f t="shared" si="0"/>
        <v>1</v>
      </c>
      <c r="P39" s="15">
        <f t="shared" si="1"/>
        <v>2</v>
      </c>
      <c r="R39" s="29" t="s">
        <v>87</v>
      </c>
      <c r="S39" s="16">
        <f t="shared" ref="S39:AF39" si="31">SUM(S19:S21)</f>
        <v>0</v>
      </c>
      <c r="T39" s="16">
        <f t="shared" si="31"/>
        <v>3</v>
      </c>
      <c r="U39" s="16">
        <f t="shared" si="31"/>
        <v>2</v>
      </c>
      <c r="V39" s="16">
        <f t="shared" si="31"/>
        <v>1</v>
      </c>
      <c r="W39" s="16">
        <f t="shared" si="31"/>
        <v>0</v>
      </c>
      <c r="X39" s="16">
        <f t="shared" si="31"/>
        <v>0</v>
      </c>
      <c r="Y39" s="16">
        <f t="shared" si="31"/>
        <v>0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18</v>
      </c>
      <c r="AD39" s="16">
        <f t="shared" si="31"/>
        <v>0</v>
      </c>
      <c r="AE39" s="32">
        <f t="shared" si="31"/>
        <v>7</v>
      </c>
      <c r="AF39" s="32">
        <f t="shared" si="31"/>
        <v>25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1</v>
      </c>
      <c r="P40" s="15">
        <f t="shared" si="1"/>
        <v>3</v>
      </c>
      <c r="R40" s="5" t="s">
        <v>17</v>
      </c>
      <c r="S40" s="16">
        <f t="shared" ref="S40:AF40" si="32">SUM(S10:S21)</f>
        <v>0</v>
      </c>
      <c r="T40" s="16">
        <f t="shared" si="32"/>
        <v>7</v>
      </c>
      <c r="U40" s="16">
        <f t="shared" si="32"/>
        <v>13</v>
      </c>
      <c r="V40" s="16">
        <f t="shared" si="32"/>
        <v>2</v>
      </c>
      <c r="W40" s="16">
        <f t="shared" si="32"/>
        <v>0</v>
      </c>
      <c r="X40" s="16">
        <f t="shared" si="32"/>
        <v>0</v>
      </c>
      <c r="Y40" s="16">
        <f t="shared" si="32"/>
        <v>5</v>
      </c>
      <c r="Z40" s="16">
        <f t="shared" si="32"/>
        <v>6</v>
      </c>
      <c r="AA40" s="16">
        <f t="shared" si="32"/>
        <v>0</v>
      </c>
      <c r="AB40" s="16">
        <f t="shared" si="32"/>
        <v>0</v>
      </c>
      <c r="AC40" s="16">
        <f t="shared" si="32"/>
        <v>74</v>
      </c>
      <c r="AD40" s="16">
        <f t="shared" si="32"/>
        <v>0</v>
      </c>
      <c r="AE40" s="32">
        <f t="shared" si="32"/>
        <v>33</v>
      </c>
      <c r="AF40" s="32">
        <f t="shared" si="32"/>
        <v>107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0</v>
      </c>
      <c r="P41" s="15">
        <f t="shared" si="1"/>
        <v>3</v>
      </c>
      <c r="R41" s="5" t="s">
        <v>159</v>
      </c>
      <c r="S41" s="16">
        <f>SUM(S10:S33)</f>
        <v>1</v>
      </c>
      <c r="T41" s="16">
        <f t="shared" ref="T41:AF41" si="33">SUM(T10:T33)</f>
        <v>8</v>
      </c>
      <c r="U41" s="16">
        <f t="shared" si="33"/>
        <v>13</v>
      </c>
      <c r="V41" s="16">
        <f t="shared" si="33"/>
        <v>2</v>
      </c>
      <c r="W41" s="16">
        <f t="shared" si="33"/>
        <v>0</v>
      </c>
      <c r="X41" s="16">
        <f t="shared" si="33"/>
        <v>0</v>
      </c>
      <c r="Y41" s="16">
        <f t="shared" si="33"/>
        <v>5</v>
      </c>
      <c r="Z41" s="16">
        <f t="shared" si="33"/>
        <v>6</v>
      </c>
      <c r="AA41" s="16">
        <f t="shared" si="33"/>
        <v>0</v>
      </c>
      <c r="AB41" s="16">
        <f t="shared" si="33"/>
        <v>0</v>
      </c>
      <c r="AC41" s="16">
        <f t="shared" si="33"/>
        <v>90</v>
      </c>
      <c r="AD41" s="16">
        <f t="shared" si="33"/>
        <v>0</v>
      </c>
      <c r="AE41" s="32">
        <f t="shared" si="33"/>
        <v>35</v>
      </c>
      <c r="AF41" s="32">
        <f t="shared" si="33"/>
        <v>125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0</v>
      </c>
      <c r="P42" s="15">
        <f t="shared" si="1"/>
        <v>5</v>
      </c>
      <c r="R42" s="5" t="s">
        <v>160</v>
      </c>
      <c r="S42" s="48" t="e">
        <f>S41/S40</f>
        <v>#DIV/0!</v>
      </c>
      <c r="T42" s="48">
        <f t="shared" ref="T42:AF42" si="34">T41/T40</f>
        <v>1.1428571428571428</v>
      </c>
      <c r="U42" s="48">
        <f t="shared" si="34"/>
        <v>1</v>
      </c>
      <c r="V42" s="48">
        <f t="shared" si="34"/>
        <v>1</v>
      </c>
      <c r="W42" s="48" t="e">
        <f t="shared" si="34"/>
        <v>#DIV/0!</v>
      </c>
      <c r="X42" s="48" t="e">
        <f t="shared" si="34"/>
        <v>#DIV/0!</v>
      </c>
      <c r="Y42" s="48">
        <f t="shared" si="34"/>
        <v>1</v>
      </c>
      <c r="Z42" s="48">
        <f t="shared" si="34"/>
        <v>1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1.2162162162162162</v>
      </c>
      <c r="AD42" s="48" t="e">
        <f t="shared" si="34"/>
        <v>#DIV/0!</v>
      </c>
      <c r="AE42" s="48">
        <f t="shared" si="34"/>
        <v>1.0606060606060606</v>
      </c>
      <c r="AF42" s="48">
        <f t="shared" si="34"/>
        <v>1.1682242990654206</v>
      </c>
    </row>
    <row r="43" spans="2:32" ht="23.1" customHeight="1" x14ac:dyDescent="0.25">
      <c r="B43" s="45" t="s">
        <v>70</v>
      </c>
      <c r="C43" s="50">
        <v>0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1</v>
      </c>
      <c r="P43" s="15">
        <f t="shared" si="1"/>
        <v>3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0</v>
      </c>
      <c r="P44" s="15">
        <f t="shared" si="1"/>
        <v>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2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2</v>
      </c>
      <c r="P45" s="15">
        <f t="shared" si="1"/>
        <v>4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1</v>
      </c>
      <c r="P46" s="15">
        <f t="shared" si="1"/>
        <v>1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0</v>
      </c>
      <c r="P47" s="15">
        <f t="shared" si="1"/>
        <v>1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0</v>
      </c>
      <c r="P48" s="15">
        <f t="shared" si="1"/>
        <v>2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4</v>
      </c>
      <c r="N49" s="50">
        <v>0</v>
      </c>
      <c r="O49" s="15">
        <f t="shared" si="0"/>
        <v>1</v>
      </c>
      <c r="P49" s="15">
        <f t="shared" si="1"/>
        <v>5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2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</v>
      </c>
      <c r="N50" s="50">
        <v>0</v>
      </c>
      <c r="O50" s="15">
        <f t="shared" si="0"/>
        <v>3</v>
      </c>
      <c r="P50" s="15">
        <f t="shared" si="1"/>
        <v>5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0</v>
      </c>
      <c r="P51" s="15">
        <f t="shared" si="1"/>
        <v>2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1</v>
      </c>
      <c r="P53" s="15">
        <f t="shared" si="1"/>
        <v>2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0</v>
      </c>
      <c r="P54" s="15">
        <f t="shared" si="1"/>
        <v>0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0</v>
      </c>
      <c r="P56" s="15">
        <f t="shared" si="1"/>
        <v>2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1</v>
      </c>
      <c r="P57" s="15">
        <f t="shared" si="1"/>
        <v>4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3</v>
      </c>
      <c r="N58" s="50">
        <v>0</v>
      </c>
      <c r="O58" s="15">
        <f t="shared" ref="O58:O105" si="35">SUM(C58:L58,N58)</f>
        <v>0</v>
      </c>
      <c r="P58" s="15">
        <f t="shared" ref="P58:P105" si="36">SUM(C58:N58)</f>
        <v>3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35"/>
        <v>0</v>
      </c>
      <c r="P59" s="15">
        <f t="shared" si="36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</v>
      </c>
      <c r="N60" s="50">
        <v>0</v>
      </c>
      <c r="O60" s="15">
        <f t="shared" si="35"/>
        <v>0</v>
      </c>
      <c r="P60" s="15">
        <f t="shared" si="36"/>
        <v>1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2</v>
      </c>
      <c r="N61" s="50">
        <v>0</v>
      </c>
      <c r="O61" s="15">
        <f t="shared" si="35"/>
        <v>0</v>
      </c>
      <c r="P61" s="15">
        <f t="shared" si="36"/>
        <v>2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35"/>
        <v>0</v>
      </c>
      <c r="P62" s="15">
        <f t="shared" si="36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1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</v>
      </c>
      <c r="N63" s="50">
        <v>0</v>
      </c>
      <c r="O63" s="15">
        <f t="shared" si="35"/>
        <v>1</v>
      </c>
      <c r="P63" s="15">
        <f t="shared" si="36"/>
        <v>2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35"/>
        <v>0</v>
      </c>
      <c r="P64" s="15">
        <f t="shared" si="36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35"/>
        <v>0</v>
      </c>
      <c r="P65" s="15">
        <f t="shared" si="36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2</v>
      </c>
      <c r="N66" s="50">
        <v>0</v>
      </c>
      <c r="O66" s="15">
        <f t="shared" si="35"/>
        <v>0</v>
      </c>
      <c r="P66" s="15">
        <f t="shared" si="36"/>
        <v>2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35"/>
        <v>1</v>
      </c>
      <c r="P67" s="15">
        <f t="shared" si="36"/>
        <v>2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35"/>
        <v>0</v>
      </c>
      <c r="P68" s="15">
        <f t="shared" si="36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35"/>
        <v>0</v>
      </c>
      <c r="P69" s="15">
        <f t="shared" si="36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35"/>
        <v>0</v>
      </c>
      <c r="P70" s="15">
        <f t="shared" si="36"/>
        <v>3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35"/>
        <v>0</v>
      </c>
      <c r="P71" s="15">
        <f t="shared" si="36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35"/>
        <v>0</v>
      </c>
      <c r="P72" s="15">
        <f t="shared" si="36"/>
        <v>1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35"/>
        <v>0</v>
      </c>
      <c r="P73" s="15">
        <f t="shared" si="36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si="35"/>
        <v>0</v>
      </c>
      <c r="P74" s="15">
        <f t="shared" si="36"/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</v>
      </c>
      <c r="D106" s="16">
        <f t="shared" ref="D106:P106" si="37">SUM(D10:D105)</f>
        <v>8</v>
      </c>
      <c r="E106" s="16">
        <f t="shared" si="37"/>
        <v>13</v>
      </c>
      <c r="F106" s="16">
        <f t="shared" si="37"/>
        <v>2</v>
      </c>
      <c r="G106" s="16">
        <f t="shared" si="37"/>
        <v>0</v>
      </c>
      <c r="H106" s="16">
        <f t="shared" si="37"/>
        <v>0</v>
      </c>
      <c r="I106" s="16">
        <f t="shared" si="37"/>
        <v>5</v>
      </c>
      <c r="J106" s="16">
        <f t="shared" si="37"/>
        <v>6</v>
      </c>
      <c r="K106" s="16">
        <f t="shared" si="37"/>
        <v>0</v>
      </c>
      <c r="L106" s="16">
        <f t="shared" si="37"/>
        <v>0</v>
      </c>
      <c r="M106" s="16">
        <f t="shared" si="37"/>
        <v>90</v>
      </c>
      <c r="N106" s="16">
        <f t="shared" si="37"/>
        <v>0</v>
      </c>
      <c r="O106" s="16">
        <f t="shared" si="37"/>
        <v>35</v>
      </c>
      <c r="P106" s="16">
        <f t="shared" si="37"/>
        <v>125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8.0000000000000002E-3</v>
      </c>
      <c r="D107" s="43">
        <f t="shared" si="38"/>
        <v>6.4000000000000001E-2</v>
      </c>
      <c r="E107" s="43">
        <f t="shared" si="38"/>
        <v>0.104</v>
      </c>
      <c r="F107" s="43">
        <f t="shared" si="38"/>
        <v>1.6E-2</v>
      </c>
      <c r="G107" s="43">
        <f t="shared" si="38"/>
        <v>0</v>
      </c>
      <c r="H107" s="43">
        <f t="shared" si="38"/>
        <v>0</v>
      </c>
      <c r="I107" s="43">
        <f t="shared" si="38"/>
        <v>0.04</v>
      </c>
      <c r="J107" s="43">
        <f t="shared" si="38"/>
        <v>4.8000000000000001E-2</v>
      </c>
      <c r="K107" s="43">
        <f t="shared" si="38"/>
        <v>0</v>
      </c>
      <c r="L107" s="43">
        <f t="shared" si="38"/>
        <v>0</v>
      </c>
      <c r="M107" s="43">
        <f t="shared" si="38"/>
        <v>0.72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2.8571428571428571E-2</v>
      </c>
      <c r="D108" s="44">
        <f t="shared" ref="D108:N108" si="39">D106/$O$106</f>
        <v>0.22857142857142856</v>
      </c>
      <c r="E108" s="44">
        <f t="shared" si="39"/>
        <v>0.37142857142857144</v>
      </c>
      <c r="F108" s="44">
        <f t="shared" si="39"/>
        <v>5.7142857142857141E-2</v>
      </c>
      <c r="G108" s="44">
        <f t="shared" si="39"/>
        <v>0</v>
      </c>
      <c r="H108" s="44">
        <f t="shared" si="39"/>
        <v>0</v>
      </c>
      <c r="I108" s="44">
        <f t="shared" si="39"/>
        <v>0.14285714285714285</v>
      </c>
      <c r="J108" s="44">
        <f t="shared" si="39"/>
        <v>0.17142857142857143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42" zoomScale="60" workbookViewId="0">
      <selection activeCell="M75" sqref="M7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'09.08 Kotido-Karenga-24h'!D5</f>
        <v>09.08.19</v>
      </c>
      <c r="E5" s="3"/>
      <c r="F5" s="41" t="s">
        <v>1</v>
      </c>
      <c r="G5" s="63" t="str">
        <f>'09.08 Kotido-Karenga-24h'!G5:H5</f>
        <v>Kabong</v>
      </c>
      <c r="H5" s="64"/>
      <c r="I5" s="14"/>
      <c r="J5" s="2" t="s">
        <v>5</v>
      </c>
      <c r="K5" s="63" t="str">
        <f>'09.08 Kotido-Karenga-24h'!K5:L5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Karenga-Kotido'!D6:E6</f>
        <v>Karenga</v>
      </c>
      <c r="E6" s="64"/>
      <c r="F6" s="2" t="s">
        <v>2</v>
      </c>
      <c r="G6" s="63" t="str">
        <f>'06.08 Karenga-Kotido'!G6:H6</f>
        <v>Kotido</v>
      </c>
      <c r="H6" s="64"/>
      <c r="J6" s="2" t="s">
        <v>21</v>
      </c>
      <c r="K6" s="63">
        <f>'09.08 Kotido-Karenga-24h'!K6:L6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</v>
      </c>
      <c r="AD10" s="17">
        <f t="shared" si="2"/>
        <v>0</v>
      </c>
      <c r="AE10" s="31">
        <f t="shared" si="2"/>
        <v>0</v>
      </c>
      <c r="AF10" s="31">
        <f t="shared" si="2"/>
        <v>2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</v>
      </c>
      <c r="AD11" s="17">
        <f t="shared" si="3"/>
        <v>0</v>
      </c>
      <c r="AE11" s="31">
        <f t="shared" si="3"/>
        <v>1</v>
      </c>
      <c r="AF11" s="31">
        <f t="shared" si="3"/>
        <v>7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0</v>
      </c>
      <c r="P12" s="15">
        <f t="shared" si="1"/>
        <v>1</v>
      </c>
      <c r="R12" s="1" t="s">
        <v>8</v>
      </c>
      <c r="S12" s="17">
        <f t="shared" ref="S12:AF12" si="4">SUM(C18:C21)</f>
        <v>0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</v>
      </c>
      <c r="AD12" s="17">
        <f t="shared" si="4"/>
        <v>0</v>
      </c>
      <c r="AE12" s="31">
        <f t="shared" si="4"/>
        <v>2</v>
      </c>
      <c r="AF12" s="31">
        <f t="shared" si="4"/>
        <v>4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0</v>
      </c>
      <c r="P13" s="15">
        <f t="shared" si="1"/>
        <v>1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</v>
      </c>
      <c r="AD13" s="17">
        <f t="shared" si="5"/>
        <v>0</v>
      </c>
      <c r="AE13" s="31">
        <f t="shared" si="5"/>
        <v>4</v>
      </c>
      <c r="AF13" s="31">
        <f t="shared" si="5"/>
        <v>8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1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2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10</v>
      </c>
      <c r="AD14" s="17">
        <f t="shared" si="6"/>
        <v>0</v>
      </c>
      <c r="AE14" s="31">
        <f t="shared" si="6"/>
        <v>4</v>
      </c>
      <c r="AF14" s="31">
        <f t="shared" si="6"/>
        <v>14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0</v>
      </c>
      <c r="T15" s="17">
        <f t="shared" si="7"/>
        <v>3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</v>
      </c>
      <c r="AD15" s="17">
        <f t="shared" si="7"/>
        <v>0</v>
      </c>
      <c r="AE15" s="31">
        <f t="shared" si="7"/>
        <v>5</v>
      </c>
      <c r="AF15" s="31">
        <f t="shared" si="7"/>
        <v>10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0</v>
      </c>
      <c r="P16" s="15">
        <f t="shared" si="1"/>
        <v>2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3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</v>
      </c>
      <c r="AD16" s="17">
        <f t="shared" si="8"/>
        <v>0</v>
      </c>
      <c r="AE16" s="31">
        <f t="shared" si="8"/>
        <v>3</v>
      </c>
      <c r="AF16" s="31">
        <f t="shared" si="8"/>
        <v>8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0</v>
      </c>
      <c r="P17" s="15">
        <f t="shared" si="1"/>
        <v>3</v>
      </c>
      <c r="R17" s="1" t="s">
        <v>13</v>
      </c>
      <c r="S17" s="17">
        <f t="shared" ref="S17:AF17" si="9">SUM(C38:C41)</f>
        <v>0</v>
      </c>
      <c r="T17" s="17">
        <f t="shared" si="9"/>
        <v>3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</v>
      </c>
      <c r="AD17" s="17">
        <f t="shared" si="9"/>
        <v>0</v>
      </c>
      <c r="AE17" s="31">
        <f t="shared" si="9"/>
        <v>5</v>
      </c>
      <c r="AF17" s="31">
        <f t="shared" si="9"/>
        <v>12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7</v>
      </c>
      <c r="AD18" s="17">
        <f t="shared" si="10"/>
        <v>0</v>
      </c>
      <c r="AE18" s="31">
        <f t="shared" si="10"/>
        <v>4</v>
      </c>
      <c r="AF18" s="31">
        <f t="shared" si="10"/>
        <v>11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</v>
      </c>
      <c r="AD19" s="17">
        <f t="shared" si="11"/>
        <v>0</v>
      </c>
      <c r="AE19" s="31">
        <f t="shared" si="11"/>
        <v>2</v>
      </c>
      <c r="AF19" s="31">
        <f t="shared" si="11"/>
        <v>7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1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</v>
      </c>
      <c r="AD20" s="17">
        <f t="shared" si="12"/>
        <v>0</v>
      </c>
      <c r="AE20" s="31">
        <f t="shared" si="12"/>
        <v>2</v>
      </c>
      <c r="AF20" s="31">
        <f t="shared" si="12"/>
        <v>6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1</v>
      </c>
      <c r="P21" s="15">
        <f t="shared" si="1"/>
        <v>2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1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4</v>
      </c>
      <c r="AD21" s="17">
        <f t="shared" si="13"/>
        <v>0</v>
      </c>
      <c r="AE21" s="31">
        <f t="shared" si="13"/>
        <v>4</v>
      </c>
      <c r="AF21" s="31">
        <f t="shared" si="13"/>
        <v>8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0</v>
      </c>
      <c r="P22" s="15">
        <f t="shared" si="1"/>
        <v>2</v>
      </c>
      <c r="R22" s="36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5</v>
      </c>
      <c r="AD22" s="34">
        <f t="shared" si="14"/>
        <v>0</v>
      </c>
      <c r="AE22" s="31">
        <f t="shared" si="14"/>
        <v>2</v>
      </c>
      <c r="AF22" s="31">
        <f t="shared" si="14"/>
        <v>7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2</v>
      </c>
      <c r="P23" s="15">
        <f t="shared" si="1"/>
        <v>2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</v>
      </c>
      <c r="AD23" s="34">
        <f t="shared" si="15"/>
        <v>0</v>
      </c>
      <c r="AE23" s="31">
        <f t="shared" si="15"/>
        <v>0</v>
      </c>
      <c r="AF23" s="31">
        <f t="shared" si="15"/>
        <v>2</v>
      </c>
    </row>
    <row r="24" spans="2:32" ht="23.1" customHeight="1" x14ac:dyDescent="0.25">
      <c r="B24" s="45" t="s">
        <v>51</v>
      </c>
      <c r="C24" s="50">
        <v>0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1</v>
      </c>
      <c r="P24" s="15">
        <f t="shared" si="1"/>
        <v>2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</v>
      </c>
      <c r="AD24" s="34">
        <f t="shared" si="16"/>
        <v>0</v>
      </c>
      <c r="AE24" s="31">
        <f t="shared" si="16"/>
        <v>0</v>
      </c>
      <c r="AF24" s="31">
        <f t="shared" si="16"/>
        <v>2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1</v>
      </c>
      <c r="P25" s="15">
        <f t="shared" si="1"/>
        <v>2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0</v>
      </c>
      <c r="AD25" s="34">
        <f t="shared" si="17"/>
        <v>0</v>
      </c>
      <c r="AE25" s="31">
        <f t="shared" si="17"/>
        <v>0</v>
      </c>
      <c r="AF25" s="31">
        <f t="shared" si="17"/>
        <v>0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1</v>
      </c>
      <c r="P26" s="15">
        <f t="shared" si="1"/>
        <v>3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0</v>
      </c>
      <c r="AF26" s="31">
        <f t="shared" si="18"/>
        <v>1</v>
      </c>
    </row>
    <row r="27" spans="2:32" ht="23.1" customHeight="1" x14ac:dyDescent="0.25">
      <c r="B27" s="45" t="s">
        <v>54</v>
      </c>
      <c r="C27" s="50">
        <v>0</v>
      </c>
      <c r="D27" s="50">
        <v>2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2</v>
      </c>
      <c r="P27" s="15">
        <f t="shared" si="1"/>
        <v>5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2</v>
      </c>
      <c r="N28" s="50">
        <v>0</v>
      </c>
      <c r="O28" s="15">
        <f t="shared" si="0"/>
        <v>1</v>
      </c>
      <c r="P28" s="15">
        <f t="shared" si="1"/>
        <v>3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0</v>
      </c>
      <c r="P29" s="15">
        <f t="shared" si="1"/>
        <v>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2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2</v>
      </c>
      <c r="P30" s="15">
        <f t="shared" si="1"/>
        <v>4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1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2</v>
      </c>
      <c r="P31" s="15">
        <f t="shared" si="1"/>
        <v>4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1</v>
      </c>
      <c r="P33" s="15">
        <f t="shared" si="1"/>
        <v>1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</v>
      </c>
      <c r="P34" s="15">
        <f t="shared" si="1"/>
        <v>3</v>
      </c>
      <c r="R34" s="38" t="s">
        <v>90</v>
      </c>
      <c r="S34" s="39">
        <f t="shared" ref="S34:AF34" si="26">MAX(S10:S12)</f>
        <v>0</v>
      </c>
      <c r="T34" s="39">
        <f t="shared" si="26"/>
        <v>1</v>
      </c>
      <c r="U34" s="39">
        <f t="shared" si="26"/>
        <v>1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0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6</v>
      </c>
      <c r="AD34" s="39">
        <f t="shared" si="26"/>
        <v>0</v>
      </c>
      <c r="AE34" s="40">
        <f t="shared" si="26"/>
        <v>2</v>
      </c>
      <c r="AF34" s="40">
        <f t="shared" si="26"/>
        <v>7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  <c r="R35" s="38" t="s">
        <v>91</v>
      </c>
      <c r="S35" s="39">
        <f t="shared" ref="S35:AF35" si="27">MAX(S13:S18)</f>
        <v>0</v>
      </c>
      <c r="T35" s="39">
        <f t="shared" si="27"/>
        <v>3</v>
      </c>
      <c r="U35" s="39">
        <f t="shared" si="27"/>
        <v>3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3</v>
      </c>
      <c r="Z35" s="39">
        <f t="shared" si="27"/>
        <v>0</v>
      </c>
      <c r="AA35" s="39">
        <f t="shared" si="27"/>
        <v>1</v>
      </c>
      <c r="AB35" s="39">
        <f t="shared" si="27"/>
        <v>0</v>
      </c>
      <c r="AC35" s="39">
        <f t="shared" si="27"/>
        <v>10</v>
      </c>
      <c r="AD35" s="39">
        <f t="shared" si="27"/>
        <v>0</v>
      </c>
      <c r="AE35" s="40">
        <f t="shared" si="27"/>
        <v>5</v>
      </c>
      <c r="AF35" s="40">
        <f t="shared" si="27"/>
        <v>14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</v>
      </c>
      <c r="P36" s="15">
        <f t="shared" si="1"/>
        <v>1</v>
      </c>
      <c r="R36" s="38" t="s">
        <v>92</v>
      </c>
      <c r="S36" s="39">
        <f t="shared" ref="S36:AF36" si="28">MAX(S19:S21)</f>
        <v>0</v>
      </c>
      <c r="T36" s="39">
        <f t="shared" si="28"/>
        <v>0</v>
      </c>
      <c r="U36" s="39">
        <f t="shared" si="28"/>
        <v>1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1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5</v>
      </c>
      <c r="AD36" s="39">
        <f t="shared" si="28"/>
        <v>0</v>
      </c>
      <c r="AE36" s="40">
        <f t="shared" si="28"/>
        <v>4</v>
      </c>
      <c r="AF36" s="40">
        <f t="shared" si="28"/>
        <v>8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1</v>
      </c>
      <c r="P37" s="15">
        <f t="shared" si="1"/>
        <v>4</v>
      </c>
      <c r="R37" s="37" t="s">
        <v>85</v>
      </c>
      <c r="S37" s="35">
        <f t="shared" ref="S37:AF37" si="29">SUM(S10:S12)</f>
        <v>0</v>
      </c>
      <c r="T37" s="16">
        <f t="shared" si="29"/>
        <v>1</v>
      </c>
      <c r="U37" s="16">
        <f t="shared" si="29"/>
        <v>2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0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10</v>
      </c>
      <c r="AD37" s="16">
        <f t="shared" si="29"/>
        <v>0</v>
      </c>
      <c r="AE37" s="32">
        <f t="shared" si="29"/>
        <v>3</v>
      </c>
      <c r="AF37" s="32">
        <f t="shared" si="29"/>
        <v>13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1</v>
      </c>
      <c r="P38" s="15">
        <f t="shared" si="1"/>
        <v>2</v>
      </c>
      <c r="R38" s="28" t="s">
        <v>86</v>
      </c>
      <c r="S38" s="16">
        <f t="shared" ref="S38:AF38" si="30">SUM(S13:S18)</f>
        <v>0</v>
      </c>
      <c r="T38" s="16">
        <f t="shared" si="30"/>
        <v>9</v>
      </c>
      <c r="U38" s="16">
        <f t="shared" si="30"/>
        <v>8</v>
      </c>
      <c r="V38" s="16">
        <f t="shared" si="30"/>
        <v>1</v>
      </c>
      <c r="W38" s="16">
        <f t="shared" si="30"/>
        <v>0</v>
      </c>
      <c r="X38" s="16">
        <f t="shared" si="30"/>
        <v>0</v>
      </c>
      <c r="Y38" s="16">
        <f t="shared" si="30"/>
        <v>6</v>
      </c>
      <c r="Z38" s="16">
        <f t="shared" si="30"/>
        <v>0</v>
      </c>
      <c r="AA38" s="16">
        <f t="shared" si="30"/>
        <v>1</v>
      </c>
      <c r="AB38" s="16">
        <f t="shared" si="30"/>
        <v>0</v>
      </c>
      <c r="AC38" s="16">
        <f t="shared" si="30"/>
        <v>38</v>
      </c>
      <c r="AD38" s="16">
        <f t="shared" si="30"/>
        <v>0</v>
      </c>
      <c r="AE38" s="32">
        <f t="shared" si="30"/>
        <v>25</v>
      </c>
      <c r="AF38" s="32">
        <f t="shared" si="30"/>
        <v>63</v>
      </c>
    </row>
    <row r="39" spans="2:32" ht="23.1" customHeight="1" x14ac:dyDescent="0.25">
      <c r="B39" s="46" t="s">
        <v>66</v>
      </c>
      <c r="C39" s="50">
        <v>0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1</v>
      </c>
      <c r="P39" s="15">
        <f t="shared" si="1"/>
        <v>3</v>
      </c>
      <c r="R39" s="29" t="s">
        <v>87</v>
      </c>
      <c r="S39" s="16">
        <f t="shared" ref="S39:AF39" si="31">SUM(S19:S21)</f>
        <v>0</v>
      </c>
      <c r="T39" s="16">
        <f t="shared" si="31"/>
        <v>0</v>
      </c>
      <c r="U39" s="16">
        <f t="shared" si="31"/>
        <v>3</v>
      </c>
      <c r="V39" s="16">
        <f t="shared" si="31"/>
        <v>2</v>
      </c>
      <c r="W39" s="16">
        <f t="shared" si="31"/>
        <v>0</v>
      </c>
      <c r="X39" s="16">
        <f t="shared" si="31"/>
        <v>0</v>
      </c>
      <c r="Y39" s="16">
        <f t="shared" si="31"/>
        <v>2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13</v>
      </c>
      <c r="AD39" s="16">
        <f t="shared" si="31"/>
        <v>0</v>
      </c>
      <c r="AE39" s="32">
        <f t="shared" si="31"/>
        <v>8</v>
      </c>
      <c r="AF39" s="32">
        <f t="shared" si="31"/>
        <v>21</v>
      </c>
    </row>
    <row r="40" spans="2:32" ht="23.1" customHeight="1" x14ac:dyDescent="0.25">
      <c r="B40" s="46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1</v>
      </c>
      <c r="P40" s="15">
        <f t="shared" si="1"/>
        <v>2</v>
      </c>
      <c r="R40" s="5" t="s">
        <v>17</v>
      </c>
      <c r="S40" s="16">
        <f t="shared" ref="S40:AF40" si="32">SUM(S10:S21)</f>
        <v>0</v>
      </c>
      <c r="T40" s="16">
        <f t="shared" si="32"/>
        <v>10</v>
      </c>
      <c r="U40" s="16">
        <f t="shared" si="32"/>
        <v>13</v>
      </c>
      <c r="V40" s="16">
        <f t="shared" si="32"/>
        <v>3</v>
      </c>
      <c r="W40" s="16">
        <f t="shared" si="32"/>
        <v>0</v>
      </c>
      <c r="X40" s="16">
        <f t="shared" si="32"/>
        <v>0</v>
      </c>
      <c r="Y40" s="16">
        <f t="shared" si="32"/>
        <v>8</v>
      </c>
      <c r="Z40" s="16">
        <f t="shared" si="32"/>
        <v>1</v>
      </c>
      <c r="AA40" s="16">
        <f t="shared" si="32"/>
        <v>1</v>
      </c>
      <c r="AB40" s="16">
        <f t="shared" si="32"/>
        <v>0</v>
      </c>
      <c r="AC40" s="16">
        <f t="shared" si="32"/>
        <v>61</v>
      </c>
      <c r="AD40" s="16">
        <f t="shared" si="32"/>
        <v>0</v>
      </c>
      <c r="AE40" s="32">
        <f t="shared" si="32"/>
        <v>36</v>
      </c>
      <c r="AF40" s="32">
        <f t="shared" si="32"/>
        <v>97</v>
      </c>
    </row>
    <row r="41" spans="2:32" ht="23.1" customHeight="1" x14ac:dyDescent="0.25">
      <c r="B41" s="45" t="s">
        <v>68</v>
      </c>
      <c r="C41" s="50">
        <v>0</v>
      </c>
      <c r="D41" s="50">
        <v>1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2</v>
      </c>
      <c r="P41" s="15">
        <f t="shared" si="1"/>
        <v>5</v>
      </c>
      <c r="R41" s="5" t="s">
        <v>159</v>
      </c>
      <c r="S41" s="16">
        <f>SUM(S10:S33)</f>
        <v>1</v>
      </c>
      <c r="T41" s="16">
        <f t="shared" ref="T41:AF41" si="33">SUM(T10:T33)</f>
        <v>10</v>
      </c>
      <c r="U41" s="16">
        <f t="shared" si="33"/>
        <v>14</v>
      </c>
      <c r="V41" s="16">
        <f t="shared" si="33"/>
        <v>3</v>
      </c>
      <c r="W41" s="16">
        <f t="shared" si="33"/>
        <v>0</v>
      </c>
      <c r="X41" s="16">
        <f t="shared" si="33"/>
        <v>0</v>
      </c>
      <c r="Y41" s="16">
        <f t="shared" si="33"/>
        <v>8</v>
      </c>
      <c r="Z41" s="16">
        <f t="shared" si="33"/>
        <v>1</v>
      </c>
      <c r="AA41" s="16">
        <f t="shared" si="33"/>
        <v>1</v>
      </c>
      <c r="AB41" s="16">
        <f t="shared" si="33"/>
        <v>0</v>
      </c>
      <c r="AC41" s="16">
        <f t="shared" si="33"/>
        <v>71</v>
      </c>
      <c r="AD41" s="16">
        <f t="shared" si="33"/>
        <v>0</v>
      </c>
      <c r="AE41" s="32">
        <f t="shared" si="33"/>
        <v>38</v>
      </c>
      <c r="AF41" s="32">
        <f t="shared" si="33"/>
        <v>109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3</v>
      </c>
      <c r="P42" s="15">
        <f t="shared" si="1"/>
        <v>5</v>
      </c>
      <c r="R42" s="5" t="s">
        <v>160</v>
      </c>
      <c r="S42" s="48" t="e">
        <f>S41/S40</f>
        <v>#DIV/0!</v>
      </c>
      <c r="T42" s="48">
        <f t="shared" ref="T42:AF42" si="34">T41/T40</f>
        <v>1</v>
      </c>
      <c r="U42" s="48">
        <f t="shared" si="34"/>
        <v>1.0769230769230769</v>
      </c>
      <c r="V42" s="48">
        <f t="shared" si="34"/>
        <v>1</v>
      </c>
      <c r="W42" s="48" t="e">
        <f t="shared" si="34"/>
        <v>#DIV/0!</v>
      </c>
      <c r="X42" s="48" t="e">
        <f t="shared" si="34"/>
        <v>#DIV/0!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 t="e">
        <f t="shared" si="34"/>
        <v>#DIV/0!</v>
      </c>
      <c r="AC42" s="48">
        <f t="shared" si="34"/>
        <v>1.1639344262295082</v>
      </c>
      <c r="AD42" s="48" t="e">
        <f t="shared" si="34"/>
        <v>#DIV/0!</v>
      </c>
      <c r="AE42" s="48">
        <f t="shared" si="34"/>
        <v>1.0555555555555556</v>
      </c>
      <c r="AF42" s="48">
        <f t="shared" si="34"/>
        <v>1.1237113402061856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0</v>
      </c>
      <c r="P43" s="15">
        <f t="shared" si="1"/>
        <v>2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1</v>
      </c>
      <c r="P44" s="15">
        <f t="shared" si="1"/>
        <v>3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0</v>
      </c>
      <c r="P45" s="15">
        <f t="shared" si="1"/>
        <v>1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1</v>
      </c>
      <c r="P46" s="15">
        <f t="shared" si="1"/>
        <v>3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0</v>
      </c>
      <c r="P48" s="15">
        <f t="shared" si="1"/>
        <v>0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1</v>
      </c>
      <c r="P49" s="15">
        <f t="shared" si="1"/>
        <v>4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0</v>
      </c>
      <c r="P51" s="15">
        <f t="shared" si="1"/>
        <v>1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</v>
      </c>
      <c r="N53" s="50">
        <v>0</v>
      </c>
      <c r="O53" s="15">
        <f t="shared" si="0"/>
        <v>0</v>
      </c>
      <c r="P53" s="15">
        <f t="shared" si="1"/>
        <v>2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0</v>
      </c>
      <c r="P54" s="15">
        <f t="shared" si="1"/>
        <v>1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1</v>
      </c>
      <c r="P55" s="15">
        <f t="shared" si="1"/>
        <v>1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1</v>
      </c>
      <c r="P56" s="15">
        <f t="shared" si="1"/>
        <v>4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2</v>
      </c>
      <c r="P57" s="15">
        <f t="shared" si="1"/>
        <v>2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</v>
      </c>
      <c r="N58" s="50">
        <v>0</v>
      </c>
      <c r="O58" s="15">
        <f t="shared" si="0"/>
        <v>2</v>
      </c>
      <c r="P58" s="15">
        <f t="shared" si="1"/>
        <v>4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</v>
      </c>
      <c r="N60" s="50">
        <v>0</v>
      </c>
      <c r="O60" s="15">
        <f t="shared" si="0"/>
        <v>0</v>
      </c>
      <c r="P60" s="15">
        <f t="shared" si="1"/>
        <v>1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2</v>
      </c>
      <c r="N61" s="50">
        <v>0</v>
      </c>
      <c r="O61" s="15">
        <f t="shared" si="0"/>
        <v>0</v>
      </c>
      <c r="P61" s="15">
        <f t="shared" si="1"/>
        <v>2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0"/>
        <v>0</v>
      </c>
      <c r="P62" s="15">
        <f t="shared" si="1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</v>
      </c>
      <c r="N63" s="50">
        <v>0</v>
      </c>
      <c r="O63" s="15">
        <f t="shared" si="0"/>
        <v>0</v>
      </c>
      <c r="P63" s="15">
        <f t="shared" si="1"/>
        <v>1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</v>
      </c>
      <c r="N64" s="50">
        <v>0</v>
      </c>
      <c r="O64" s="15">
        <f t="shared" si="0"/>
        <v>0</v>
      </c>
      <c r="P64" s="15">
        <f t="shared" si="1"/>
        <v>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0</v>
      </c>
      <c r="P65" s="15">
        <f t="shared" si="1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</v>
      </c>
      <c r="N66" s="50">
        <v>0</v>
      </c>
      <c r="O66" s="15">
        <f t="shared" si="0"/>
        <v>0</v>
      </c>
      <c r="P66" s="15">
        <f t="shared" si="1"/>
        <v>1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0</v>
      </c>
      <c r="P68" s="15">
        <f t="shared" si="1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</v>
      </c>
      <c r="D106" s="16">
        <f t="shared" ref="D106:P106" si="37">SUM(D10:D105)</f>
        <v>10</v>
      </c>
      <c r="E106" s="16">
        <f t="shared" si="37"/>
        <v>14</v>
      </c>
      <c r="F106" s="16">
        <f t="shared" si="37"/>
        <v>3</v>
      </c>
      <c r="G106" s="16">
        <f t="shared" si="37"/>
        <v>0</v>
      </c>
      <c r="H106" s="16">
        <f t="shared" si="37"/>
        <v>0</v>
      </c>
      <c r="I106" s="16">
        <f t="shared" si="37"/>
        <v>8</v>
      </c>
      <c r="J106" s="16">
        <f t="shared" si="37"/>
        <v>1</v>
      </c>
      <c r="K106" s="16">
        <f t="shared" si="37"/>
        <v>1</v>
      </c>
      <c r="L106" s="16">
        <f t="shared" si="37"/>
        <v>0</v>
      </c>
      <c r="M106" s="16">
        <f t="shared" si="37"/>
        <v>71</v>
      </c>
      <c r="N106" s="16">
        <f t="shared" si="37"/>
        <v>0</v>
      </c>
      <c r="O106" s="16">
        <f t="shared" si="37"/>
        <v>38</v>
      </c>
      <c r="P106" s="16">
        <f t="shared" si="37"/>
        <v>109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9.1743119266055051E-3</v>
      </c>
      <c r="D107" s="43">
        <f t="shared" si="38"/>
        <v>9.1743119266055051E-2</v>
      </c>
      <c r="E107" s="43">
        <f t="shared" si="38"/>
        <v>0.12844036697247707</v>
      </c>
      <c r="F107" s="43">
        <f t="shared" si="38"/>
        <v>2.7522935779816515E-2</v>
      </c>
      <c r="G107" s="43">
        <f t="shared" si="38"/>
        <v>0</v>
      </c>
      <c r="H107" s="43">
        <f t="shared" si="38"/>
        <v>0</v>
      </c>
      <c r="I107" s="43">
        <f t="shared" si="38"/>
        <v>7.3394495412844041E-2</v>
      </c>
      <c r="J107" s="43">
        <f t="shared" si="38"/>
        <v>9.1743119266055051E-3</v>
      </c>
      <c r="K107" s="43">
        <f t="shared" si="38"/>
        <v>9.1743119266055051E-3</v>
      </c>
      <c r="L107" s="43">
        <f t="shared" si="38"/>
        <v>0</v>
      </c>
      <c r="M107" s="43">
        <f t="shared" si="38"/>
        <v>0.65137614678899081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2.6315789473684209E-2</v>
      </c>
      <c r="D108" s="44">
        <f t="shared" ref="D108:N108" si="39">D106/$O$106</f>
        <v>0.26315789473684209</v>
      </c>
      <c r="E108" s="44">
        <f t="shared" si="39"/>
        <v>0.36842105263157893</v>
      </c>
      <c r="F108" s="44">
        <f t="shared" si="39"/>
        <v>7.8947368421052627E-2</v>
      </c>
      <c r="G108" s="44">
        <f t="shared" si="39"/>
        <v>0</v>
      </c>
      <c r="H108" s="44">
        <f t="shared" si="39"/>
        <v>0</v>
      </c>
      <c r="I108" s="44">
        <f t="shared" si="39"/>
        <v>0.21052631578947367</v>
      </c>
      <c r="J108" s="44">
        <f t="shared" si="39"/>
        <v>2.6315789473684209E-2</v>
      </c>
      <c r="K108" s="44">
        <f t="shared" si="39"/>
        <v>2.6315789473684209E-2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40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'09.08 Karenga-Kotido-24h'!G5:H5</f>
        <v>Kabong</v>
      </c>
      <c r="H5" s="64"/>
      <c r="I5" s="14"/>
      <c r="J5" s="2" t="s">
        <v>5</v>
      </c>
      <c r="K5" s="63" t="str">
        <f>'09.08 Karenga-Kotido-24h'!K5:L5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Kotido-Karenga'!D6:E6</f>
        <v>Kotido</v>
      </c>
      <c r="E6" s="64"/>
      <c r="F6" s="2" t="s">
        <v>2</v>
      </c>
      <c r="G6" s="63" t="str">
        <f>'05.08 Kotido-Karenga'!G6:H6</f>
        <v>Karenga</v>
      </c>
      <c r="H6" s="64"/>
      <c r="J6" s="2" t="s">
        <v>21</v>
      </c>
      <c r="K6" s="63">
        <f>'09.08 Karenga-Kotido-24h'!K6:L6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1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</v>
      </c>
      <c r="AD10" s="17">
        <f t="shared" si="2"/>
        <v>0</v>
      </c>
      <c r="AE10" s="31">
        <f t="shared" si="2"/>
        <v>3</v>
      </c>
      <c r="AF10" s="31">
        <f t="shared" si="2"/>
        <v>7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1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</v>
      </c>
      <c r="AD11" s="17">
        <f t="shared" si="3"/>
        <v>0</v>
      </c>
      <c r="AE11" s="31">
        <f t="shared" si="3"/>
        <v>2</v>
      </c>
      <c r="AF11" s="31">
        <f t="shared" si="3"/>
        <v>9</v>
      </c>
    </row>
    <row r="12" spans="2:32" ht="23.1" customHeight="1" x14ac:dyDescent="0.25">
      <c r="B12" s="45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1</v>
      </c>
      <c r="P12" s="15">
        <f t="shared" si="1"/>
        <v>1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2</v>
      </c>
      <c r="AC12" s="17">
        <f t="shared" si="4"/>
        <v>6</v>
      </c>
      <c r="AD12" s="17">
        <f t="shared" si="4"/>
        <v>0</v>
      </c>
      <c r="AE12" s="31">
        <f t="shared" si="4"/>
        <v>6</v>
      </c>
      <c r="AF12" s="31">
        <f t="shared" si="4"/>
        <v>12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1</v>
      </c>
      <c r="P13" s="15">
        <f t="shared" si="1"/>
        <v>3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</v>
      </c>
      <c r="AD13" s="17">
        <f t="shared" si="5"/>
        <v>0</v>
      </c>
      <c r="AE13" s="31">
        <f t="shared" si="5"/>
        <v>1</v>
      </c>
      <c r="AF13" s="31">
        <f t="shared" si="5"/>
        <v>3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0</v>
      </c>
      <c r="P14" s="15">
        <f t="shared" si="1"/>
        <v>1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</v>
      </c>
      <c r="AD14" s="17">
        <f t="shared" si="6"/>
        <v>0</v>
      </c>
      <c r="AE14" s="31">
        <f t="shared" si="6"/>
        <v>1</v>
      </c>
      <c r="AF14" s="31">
        <f t="shared" si="6"/>
        <v>5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0</v>
      </c>
      <c r="P15" s="15">
        <f t="shared" si="1"/>
        <v>4</v>
      </c>
      <c r="R15" s="1" t="s">
        <v>11</v>
      </c>
      <c r="S15" s="17">
        <f t="shared" ref="S15:AF15" si="7">SUM(C30:C33)</f>
        <v>1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8</v>
      </c>
      <c r="AD15" s="17">
        <f t="shared" si="7"/>
        <v>0</v>
      </c>
      <c r="AE15" s="31">
        <f t="shared" si="7"/>
        <v>2</v>
      </c>
      <c r="AF15" s="31">
        <f t="shared" si="7"/>
        <v>10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1</v>
      </c>
      <c r="P16" s="15">
        <f t="shared" si="1"/>
        <v>3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8</v>
      </c>
      <c r="AD16" s="17">
        <f t="shared" si="8"/>
        <v>0</v>
      </c>
      <c r="AE16" s="31">
        <f t="shared" si="8"/>
        <v>4</v>
      </c>
      <c r="AF16" s="31">
        <f t="shared" si="8"/>
        <v>12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1</v>
      </c>
      <c r="P17" s="15">
        <f t="shared" si="1"/>
        <v>1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</v>
      </c>
      <c r="AD17" s="17">
        <f t="shared" si="9"/>
        <v>0</v>
      </c>
      <c r="AE17" s="31">
        <f t="shared" si="9"/>
        <v>3</v>
      </c>
      <c r="AF17" s="31">
        <f t="shared" si="9"/>
        <v>10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2</v>
      </c>
      <c r="M18" s="50">
        <v>3</v>
      </c>
      <c r="N18" s="50">
        <v>0</v>
      </c>
      <c r="O18" s="15">
        <f t="shared" si="0"/>
        <v>3</v>
      </c>
      <c r="P18" s="15">
        <f t="shared" si="1"/>
        <v>6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</v>
      </c>
      <c r="AD18" s="17">
        <f t="shared" si="10"/>
        <v>0</v>
      </c>
      <c r="AE18" s="31">
        <f t="shared" si="10"/>
        <v>2</v>
      </c>
      <c r="AF18" s="31">
        <f t="shared" si="10"/>
        <v>6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8</v>
      </c>
      <c r="AD19" s="17">
        <f t="shared" si="11"/>
        <v>0</v>
      </c>
      <c r="AE19" s="31">
        <f t="shared" si="11"/>
        <v>3</v>
      </c>
      <c r="AF19" s="31">
        <f t="shared" si="11"/>
        <v>11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0</v>
      </c>
      <c r="P20" s="15">
        <f t="shared" si="1"/>
        <v>0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</v>
      </c>
      <c r="AD20" s="17">
        <f t="shared" si="12"/>
        <v>0</v>
      </c>
      <c r="AE20" s="31">
        <f t="shared" si="12"/>
        <v>2</v>
      </c>
      <c r="AF20" s="31">
        <f t="shared" si="12"/>
        <v>10</v>
      </c>
    </row>
    <row r="21" spans="2:32" ht="23.1" customHeight="1" x14ac:dyDescent="0.25">
      <c r="B21" s="45" t="s">
        <v>48</v>
      </c>
      <c r="C21" s="50">
        <v>0</v>
      </c>
      <c r="D21" s="50">
        <v>1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3</v>
      </c>
      <c r="P21" s="15">
        <f t="shared" si="1"/>
        <v>5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4</v>
      </c>
      <c r="AD21" s="17">
        <f t="shared" si="13"/>
        <v>0</v>
      </c>
      <c r="AE21" s="31">
        <f t="shared" si="13"/>
        <v>2</v>
      </c>
      <c r="AF21" s="31">
        <f t="shared" si="13"/>
        <v>6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0</v>
      </c>
      <c r="P22" s="15">
        <f t="shared" si="1"/>
        <v>1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3</v>
      </c>
      <c r="AD22" s="34">
        <f t="shared" si="14"/>
        <v>0</v>
      </c>
      <c r="AE22" s="31">
        <f t="shared" si="14"/>
        <v>1</v>
      </c>
      <c r="AF22" s="31">
        <f t="shared" si="14"/>
        <v>4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0</v>
      </c>
      <c r="P23" s="15">
        <f t="shared" si="1"/>
        <v>0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5</v>
      </c>
      <c r="AD23" s="34">
        <f t="shared" si="15"/>
        <v>0</v>
      </c>
      <c r="AE23" s="31">
        <f t="shared" si="15"/>
        <v>1</v>
      </c>
      <c r="AF23" s="31">
        <f t="shared" si="15"/>
        <v>6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0</v>
      </c>
      <c r="P24" s="15">
        <f t="shared" si="1"/>
        <v>1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</v>
      </c>
      <c r="AD24" s="34">
        <f t="shared" si="16"/>
        <v>0</v>
      </c>
      <c r="AE24" s="31">
        <f t="shared" si="16"/>
        <v>0</v>
      </c>
      <c r="AF24" s="31">
        <f t="shared" si="16"/>
        <v>2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1</v>
      </c>
      <c r="P25" s="15">
        <f t="shared" si="1"/>
        <v>1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</v>
      </c>
      <c r="AD25" s="34">
        <f t="shared" si="17"/>
        <v>0</v>
      </c>
      <c r="AE25" s="31">
        <f t="shared" si="17"/>
        <v>1</v>
      </c>
      <c r="AF25" s="31">
        <f t="shared" si="17"/>
        <v>2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1</v>
      </c>
      <c r="P26" s="15">
        <f t="shared" si="1"/>
        <v>2</v>
      </c>
      <c r="R26" s="36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</v>
      </c>
      <c r="AD26" s="34">
        <f t="shared" si="18"/>
        <v>0</v>
      </c>
      <c r="AE26" s="31">
        <f t="shared" si="18"/>
        <v>1</v>
      </c>
      <c r="AF26" s="31">
        <f t="shared" si="18"/>
        <v>3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0</v>
      </c>
      <c r="P27" s="15">
        <f t="shared" si="1"/>
        <v>3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0</v>
      </c>
      <c r="P29" s="15">
        <f t="shared" si="1"/>
        <v>0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0</v>
      </c>
      <c r="P30" s="15">
        <f t="shared" si="1"/>
        <v>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1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2</v>
      </c>
      <c r="P31" s="15">
        <f t="shared" si="1"/>
        <v>5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0</v>
      </c>
      <c r="P32" s="15">
        <f t="shared" si="1"/>
        <v>4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2</v>
      </c>
      <c r="P34" s="15">
        <f t="shared" si="1"/>
        <v>4</v>
      </c>
      <c r="R34" s="38" t="s">
        <v>90</v>
      </c>
      <c r="S34" s="39">
        <f t="shared" ref="S34:AF34" si="26">MAX(S10:S12)</f>
        <v>1</v>
      </c>
      <c r="T34" s="39">
        <f t="shared" si="26"/>
        <v>1</v>
      </c>
      <c r="U34" s="39">
        <f t="shared" si="26"/>
        <v>2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0</v>
      </c>
      <c r="AA34" s="39">
        <f t="shared" si="26"/>
        <v>0</v>
      </c>
      <c r="AB34" s="39">
        <f t="shared" si="26"/>
        <v>2</v>
      </c>
      <c r="AC34" s="39">
        <f t="shared" si="26"/>
        <v>7</v>
      </c>
      <c r="AD34" s="39">
        <f t="shared" si="26"/>
        <v>0</v>
      </c>
      <c r="AE34" s="40">
        <f t="shared" si="26"/>
        <v>6</v>
      </c>
      <c r="AF34" s="40">
        <f t="shared" si="26"/>
        <v>12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1</v>
      </c>
      <c r="P35" s="15">
        <f t="shared" si="1"/>
        <v>3</v>
      </c>
      <c r="R35" s="38" t="s">
        <v>91</v>
      </c>
      <c r="S35" s="39">
        <f t="shared" ref="S35:AF35" si="27">MAX(S13:S18)</f>
        <v>1</v>
      </c>
      <c r="T35" s="39">
        <f t="shared" si="27"/>
        <v>1</v>
      </c>
      <c r="U35" s="39">
        <f t="shared" si="27"/>
        <v>1</v>
      </c>
      <c r="V35" s="39">
        <f t="shared" si="27"/>
        <v>2</v>
      </c>
      <c r="W35" s="39">
        <f t="shared" si="27"/>
        <v>0</v>
      </c>
      <c r="X35" s="39">
        <f t="shared" si="27"/>
        <v>0</v>
      </c>
      <c r="Y35" s="39">
        <f t="shared" si="27"/>
        <v>1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8</v>
      </c>
      <c r="AD35" s="39">
        <f t="shared" si="27"/>
        <v>0</v>
      </c>
      <c r="AE35" s="40">
        <f t="shared" si="27"/>
        <v>4</v>
      </c>
      <c r="AF35" s="40">
        <f t="shared" si="27"/>
        <v>12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0</v>
      </c>
      <c r="P36" s="15">
        <f t="shared" si="1"/>
        <v>4</v>
      </c>
      <c r="R36" s="38" t="s">
        <v>92</v>
      </c>
      <c r="S36" s="39">
        <f t="shared" ref="S36:AF36" si="28">MAX(S19:S21)</f>
        <v>0</v>
      </c>
      <c r="T36" s="39">
        <f t="shared" si="28"/>
        <v>1</v>
      </c>
      <c r="U36" s="39">
        <f t="shared" si="28"/>
        <v>0</v>
      </c>
      <c r="V36" s="39">
        <f t="shared" si="28"/>
        <v>2</v>
      </c>
      <c r="W36" s="39">
        <f t="shared" si="28"/>
        <v>0</v>
      </c>
      <c r="X36" s="39">
        <f t="shared" si="28"/>
        <v>0</v>
      </c>
      <c r="Y36" s="39">
        <f t="shared" si="28"/>
        <v>0</v>
      </c>
      <c r="Z36" s="39">
        <f t="shared" si="28"/>
        <v>0</v>
      </c>
      <c r="AA36" s="39">
        <f t="shared" si="28"/>
        <v>1</v>
      </c>
      <c r="AB36" s="39">
        <f t="shared" si="28"/>
        <v>0</v>
      </c>
      <c r="AC36" s="39">
        <f t="shared" si="28"/>
        <v>8</v>
      </c>
      <c r="AD36" s="39">
        <f t="shared" si="28"/>
        <v>0</v>
      </c>
      <c r="AE36" s="40">
        <f t="shared" si="28"/>
        <v>3</v>
      </c>
      <c r="AF36" s="40">
        <f t="shared" si="28"/>
        <v>11</v>
      </c>
    </row>
    <row r="37" spans="2:32" ht="23.1" customHeight="1" x14ac:dyDescent="0.25">
      <c r="B37" s="45" t="s">
        <v>64</v>
      </c>
      <c r="C37" s="50">
        <v>0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1</v>
      </c>
      <c r="P37" s="15">
        <f t="shared" si="1"/>
        <v>1</v>
      </c>
      <c r="R37" s="37" t="s">
        <v>85</v>
      </c>
      <c r="S37" s="35">
        <f t="shared" ref="S37:AF37" si="29">SUM(S10:S12)</f>
        <v>2</v>
      </c>
      <c r="T37" s="16">
        <f t="shared" si="29"/>
        <v>2</v>
      </c>
      <c r="U37" s="16">
        <f t="shared" si="29"/>
        <v>3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2</v>
      </c>
      <c r="Z37" s="16">
        <f t="shared" si="29"/>
        <v>0</v>
      </c>
      <c r="AA37" s="16">
        <f t="shared" si="29"/>
        <v>0</v>
      </c>
      <c r="AB37" s="16">
        <f t="shared" si="29"/>
        <v>2</v>
      </c>
      <c r="AC37" s="16">
        <f t="shared" si="29"/>
        <v>17</v>
      </c>
      <c r="AD37" s="16">
        <f t="shared" si="29"/>
        <v>0</v>
      </c>
      <c r="AE37" s="32">
        <f t="shared" si="29"/>
        <v>11</v>
      </c>
      <c r="AF37" s="32">
        <f t="shared" si="29"/>
        <v>28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</v>
      </c>
      <c r="N38" s="50">
        <v>0</v>
      </c>
      <c r="O38" s="15">
        <f t="shared" si="0"/>
        <v>2</v>
      </c>
      <c r="P38" s="15">
        <f t="shared" si="1"/>
        <v>4</v>
      </c>
      <c r="R38" s="28" t="s">
        <v>86</v>
      </c>
      <c r="S38" s="16">
        <f t="shared" ref="S38:AF38" si="30">SUM(S13:S18)</f>
        <v>1</v>
      </c>
      <c r="T38" s="16">
        <f t="shared" si="30"/>
        <v>4</v>
      </c>
      <c r="U38" s="16">
        <f t="shared" si="30"/>
        <v>1</v>
      </c>
      <c r="V38" s="16">
        <f t="shared" si="30"/>
        <v>4</v>
      </c>
      <c r="W38" s="16">
        <f t="shared" si="30"/>
        <v>0</v>
      </c>
      <c r="X38" s="16">
        <f t="shared" si="30"/>
        <v>0</v>
      </c>
      <c r="Y38" s="16">
        <f t="shared" si="30"/>
        <v>2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33</v>
      </c>
      <c r="AD38" s="16">
        <f t="shared" si="30"/>
        <v>0</v>
      </c>
      <c r="AE38" s="32">
        <f t="shared" si="30"/>
        <v>13</v>
      </c>
      <c r="AF38" s="32">
        <f t="shared" si="30"/>
        <v>46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0</v>
      </c>
      <c r="P39" s="15">
        <f t="shared" si="1"/>
        <v>2</v>
      </c>
      <c r="R39" s="29" t="s">
        <v>87</v>
      </c>
      <c r="S39" s="16">
        <f t="shared" ref="S39:AF39" si="31">SUM(S19:S21)</f>
        <v>0</v>
      </c>
      <c r="T39" s="16">
        <f t="shared" si="31"/>
        <v>2</v>
      </c>
      <c r="U39" s="16">
        <f t="shared" si="31"/>
        <v>0</v>
      </c>
      <c r="V39" s="16">
        <f t="shared" si="31"/>
        <v>4</v>
      </c>
      <c r="W39" s="16">
        <f t="shared" si="31"/>
        <v>0</v>
      </c>
      <c r="X39" s="16">
        <f t="shared" si="31"/>
        <v>0</v>
      </c>
      <c r="Y39" s="16">
        <f t="shared" si="31"/>
        <v>0</v>
      </c>
      <c r="Z39" s="16">
        <f t="shared" si="31"/>
        <v>0</v>
      </c>
      <c r="AA39" s="16">
        <f t="shared" si="31"/>
        <v>1</v>
      </c>
      <c r="AB39" s="16">
        <f t="shared" si="31"/>
        <v>0</v>
      </c>
      <c r="AC39" s="16">
        <f t="shared" si="31"/>
        <v>20</v>
      </c>
      <c r="AD39" s="16">
        <f t="shared" si="31"/>
        <v>0</v>
      </c>
      <c r="AE39" s="32">
        <f t="shared" si="31"/>
        <v>7</v>
      </c>
      <c r="AF39" s="32">
        <f t="shared" si="31"/>
        <v>27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1</v>
      </c>
      <c r="P40" s="15">
        <f t="shared" si="1"/>
        <v>2</v>
      </c>
      <c r="R40" s="5" t="s">
        <v>17</v>
      </c>
      <c r="S40" s="16">
        <f t="shared" ref="S40:AF40" si="32">SUM(S10:S21)</f>
        <v>3</v>
      </c>
      <c r="T40" s="16">
        <f t="shared" si="32"/>
        <v>8</v>
      </c>
      <c r="U40" s="16">
        <f t="shared" si="32"/>
        <v>4</v>
      </c>
      <c r="V40" s="16">
        <f t="shared" si="32"/>
        <v>8</v>
      </c>
      <c r="W40" s="16">
        <f t="shared" si="32"/>
        <v>0</v>
      </c>
      <c r="X40" s="16">
        <f t="shared" si="32"/>
        <v>0</v>
      </c>
      <c r="Y40" s="16">
        <f t="shared" si="32"/>
        <v>4</v>
      </c>
      <c r="Z40" s="16">
        <f t="shared" si="32"/>
        <v>1</v>
      </c>
      <c r="AA40" s="16">
        <f t="shared" si="32"/>
        <v>1</v>
      </c>
      <c r="AB40" s="16">
        <f t="shared" si="32"/>
        <v>2</v>
      </c>
      <c r="AC40" s="16">
        <f t="shared" si="32"/>
        <v>70</v>
      </c>
      <c r="AD40" s="16">
        <f t="shared" si="32"/>
        <v>0</v>
      </c>
      <c r="AE40" s="32">
        <f t="shared" si="32"/>
        <v>31</v>
      </c>
      <c r="AF40" s="32">
        <f t="shared" si="32"/>
        <v>101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0</v>
      </c>
      <c r="P41" s="15">
        <f t="shared" si="1"/>
        <v>2</v>
      </c>
      <c r="R41" s="5" t="s">
        <v>159</v>
      </c>
      <c r="S41" s="16">
        <f>SUM(S10:S33)</f>
        <v>4</v>
      </c>
      <c r="T41" s="16">
        <f t="shared" ref="T41:AF41" si="33">SUM(T10:T33)</f>
        <v>10</v>
      </c>
      <c r="U41" s="16">
        <f t="shared" si="33"/>
        <v>4</v>
      </c>
      <c r="V41" s="16">
        <f t="shared" si="33"/>
        <v>9</v>
      </c>
      <c r="W41" s="16">
        <f t="shared" si="33"/>
        <v>0</v>
      </c>
      <c r="X41" s="16">
        <f t="shared" si="33"/>
        <v>0</v>
      </c>
      <c r="Y41" s="16">
        <f t="shared" si="33"/>
        <v>4</v>
      </c>
      <c r="Z41" s="16">
        <f t="shared" si="33"/>
        <v>1</v>
      </c>
      <c r="AA41" s="16">
        <f t="shared" si="33"/>
        <v>1</v>
      </c>
      <c r="AB41" s="16">
        <f t="shared" si="33"/>
        <v>2</v>
      </c>
      <c r="AC41" s="16">
        <f t="shared" si="33"/>
        <v>83</v>
      </c>
      <c r="AD41" s="16">
        <f t="shared" si="33"/>
        <v>0</v>
      </c>
      <c r="AE41" s="32">
        <f t="shared" si="33"/>
        <v>35</v>
      </c>
      <c r="AF41" s="32">
        <f t="shared" si="33"/>
        <v>118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0</v>
      </c>
      <c r="P42" s="15">
        <f t="shared" si="1"/>
        <v>1</v>
      </c>
      <c r="R42" s="5" t="s">
        <v>160</v>
      </c>
      <c r="S42" s="48">
        <f>S41/S40</f>
        <v>1.3333333333333333</v>
      </c>
      <c r="T42" s="48">
        <f t="shared" ref="T42:AF42" si="34">T41/T40</f>
        <v>1.25</v>
      </c>
      <c r="U42" s="48">
        <f t="shared" si="34"/>
        <v>1</v>
      </c>
      <c r="V42" s="48">
        <f t="shared" si="34"/>
        <v>1.125</v>
      </c>
      <c r="W42" s="48" t="e">
        <f t="shared" si="34"/>
        <v>#DIV/0!</v>
      </c>
      <c r="X42" s="48" t="e">
        <f t="shared" si="34"/>
        <v>#DIV/0!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>
        <f t="shared" si="34"/>
        <v>1</v>
      </c>
      <c r="AC42" s="48">
        <f t="shared" si="34"/>
        <v>1.1857142857142857</v>
      </c>
      <c r="AD42" s="48" t="e">
        <f t="shared" si="34"/>
        <v>#DIV/0!</v>
      </c>
      <c r="AE42" s="48">
        <f t="shared" si="34"/>
        <v>1.1290322580645162</v>
      </c>
      <c r="AF42" s="48">
        <f t="shared" si="34"/>
        <v>1.1683168316831682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</v>
      </c>
      <c r="P43" s="15">
        <f t="shared" si="1"/>
        <v>1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0</v>
      </c>
      <c r="P44" s="15">
        <f t="shared" si="1"/>
        <v>1</v>
      </c>
    </row>
    <row r="45" spans="2:32" ht="23.1" customHeight="1" x14ac:dyDescent="0.25">
      <c r="B45" s="45" t="s">
        <v>72</v>
      </c>
      <c r="C45" s="50">
        <v>0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1</v>
      </c>
      <c r="P45" s="15">
        <f t="shared" si="1"/>
        <v>3</v>
      </c>
    </row>
    <row r="46" spans="2:32" ht="23.1" customHeight="1" x14ac:dyDescent="0.25">
      <c r="B46" s="46" t="s">
        <v>73</v>
      </c>
      <c r="C46" s="50">
        <v>0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1</v>
      </c>
      <c r="P46" s="15">
        <f t="shared" si="1"/>
        <v>4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0</v>
      </c>
      <c r="P47" s="15">
        <f t="shared" si="1"/>
        <v>1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2</v>
      </c>
      <c r="P48" s="15">
        <f t="shared" si="1"/>
        <v>4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0</v>
      </c>
      <c r="P49" s="15">
        <f t="shared" si="1"/>
        <v>2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0</v>
      </c>
      <c r="P50" s="15">
        <f t="shared" si="1"/>
        <v>4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2</v>
      </c>
      <c r="P51" s="15">
        <f t="shared" si="1"/>
        <v>3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</v>
      </c>
      <c r="N52" s="50">
        <v>0</v>
      </c>
      <c r="O52" s="15">
        <f t="shared" si="0"/>
        <v>0</v>
      </c>
      <c r="P52" s="15">
        <f t="shared" si="1"/>
        <v>1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</v>
      </c>
      <c r="N53" s="50">
        <v>0</v>
      </c>
      <c r="O53" s="15">
        <f t="shared" si="0"/>
        <v>0</v>
      </c>
      <c r="P53" s="15">
        <f t="shared" si="1"/>
        <v>2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</v>
      </c>
      <c r="N54" s="50">
        <v>0</v>
      </c>
      <c r="O54" s="15">
        <f t="shared" si="0"/>
        <v>0</v>
      </c>
      <c r="P54" s="15">
        <f t="shared" si="1"/>
        <v>2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1</v>
      </c>
      <c r="N56" s="50">
        <v>0</v>
      </c>
      <c r="O56" s="15">
        <f t="shared" si="0"/>
        <v>2</v>
      </c>
      <c r="P56" s="15">
        <f t="shared" si="1"/>
        <v>3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0</v>
      </c>
      <c r="P57" s="15">
        <f t="shared" si="1"/>
        <v>1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</v>
      </c>
      <c r="N58" s="50">
        <v>0</v>
      </c>
      <c r="O58" s="15">
        <f t="shared" si="0"/>
        <v>1</v>
      </c>
      <c r="P58" s="15">
        <f t="shared" si="1"/>
        <v>3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1</v>
      </c>
      <c r="N59" s="50">
        <v>0</v>
      </c>
      <c r="O59" s="15">
        <f t="shared" si="0"/>
        <v>0</v>
      </c>
      <c r="P59" s="15">
        <f t="shared" si="1"/>
        <v>1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0</v>
      </c>
      <c r="P60" s="15">
        <f t="shared" si="1"/>
        <v>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0</v>
      </c>
      <c r="P61" s="15">
        <f t="shared" si="1"/>
        <v>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</v>
      </c>
      <c r="N62" s="50">
        <v>0</v>
      </c>
      <c r="O62" s="15">
        <f t="shared" si="0"/>
        <v>0</v>
      </c>
      <c r="P62" s="15">
        <f t="shared" si="1"/>
        <v>1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</v>
      </c>
      <c r="N63" s="50">
        <v>0</v>
      </c>
      <c r="O63" s="15">
        <f t="shared" si="0"/>
        <v>0</v>
      </c>
      <c r="P63" s="15">
        <f t="shared" si="1"/>
        <v>1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1</v>
      </c>
      <c r="P64" s="15">
        <f t="shared" si="1"/>
        <v>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0</v>
      </c>
      <c r="P65" s="15">
        <f t="shared" si="1"/>
        <v>3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0"/>
        <v>0</v>
      </c>
      <c r="P67" s="15">
        <f t="shared" si="1"/>
        <v>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</v>
      </c>
      <c r="N69" s="50">
        <v>0</v>
      </c>
      <c r="O69" s="15">
        <f t="shared" si="0"/>
        <v>0</v>
      </c>
      <c r="P69" s="15">
        <f t="shared" si="1"/>
        <v>1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1</v>
      </c>
      <c r="P70" s="15">
        <f t="shared" si="1"/>
        <v>1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0</v>
      </c>
      <c r="P73" s="15">
        <f t="shared" si="1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</v>
      </c>
      <c r="N75" s="50">
        <v>0</v>
      </c>
      <c r="O75" s="15">
        <f t="shared" si="35"/>
        <v>0</v>
      </c>
      <c r="P75" s="15">
        <f t="shared" si="36"/>
        <v>2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</v>
      </c>
      <c r="D106" s="16">
        <f t="shared" ref="D106:P106" si="37">SUM(D10:D105)</f>
        <v>10</v>
      </c>
      <c r="E106" s="16">
        <f t="shared" si="37"/>
        <v>4</v>
      </c>
      <c r="F106" s="16">
        <f t="shared" si="37"/>
        <v>9</v>
      </c>
      <c r="G106" s="16">
        <f t="shared" si="37"/>
        <v>0</v>
      </c>
      <c r="H106" s="16">
        <f t="shared" si="37"/>
        <v>0</v>
      </c>
      <c r="I106" s="16">
        <f t="shared" si="37"/>
        <v>4</v>
      </c>
      <c r="J106" s="16">
        <f t="shared" si="37"/>
        <v>1</v>
      </c>
      <c r="K106" s="16">
        <f t="shared" si="37"/>
        <v>1</v>
      </c>
      <c r="L106" s="16">
        <f t="shared" si="37"/>
        <v>2</v>
      </c>
      <c r="M106" s="16">
        <f t="shared" si="37"/>
        <v>83</v>
      </c>
      <c r="N106" s="16">
        <f t="shared" si="37"/>
        <v>0</v>
      </c>
      <c r="O106" s="16">
        <f t="shared" si="37"/>
        <v>35</v>
      </c>
      <c r="P106" s="16">
        <f t="shared" si="37"/>
        <v>118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3.3898305084745763E-2</v>
      </c>
      <c r="D107" s="43">
        <f t="shared" si="38"/>
        <v>8.4745762711864403E-2</v>
      </c>
      <c r="E107" s="43">
        <f t="shared" si="38"/>
        <v>3.3898305084745763E-2</v>
      </c>
      <c r="F107" s="43">
        <f t="shared" si="38"/>
        <v>7.6271186440677971E-2</v>
      </c>
      <c r="G107" s="43">
        <f t="shared" si="38"/>
        <v>0</v>
      </c>
      <c r="H107" s="43">
        <f t="shared" si="38"/>
        <v>0</v>
      </c>
      <c r="I107" s="43">
        <f t="shared" si="38"/>
        <v>3.3898305084745763E-2</v>
      </c>
      <c r="J107" s="43">
        <f t="shared" si="38"/>
        <v>8.4745762711864406E-3</v>
      </c>
      <c r="K107" s="43">
        <f t="shared" si="38"/>
        <v>8.4745762711864406E-3</v>
      </c>
      <c r="L107" s="43">
        <f t="shared" si="38"/>
        <v>1.6949152542372881E-2</v>
      </c>
      <c r="M107" s="43">
        <f t="shared" si="38"/>
        <v>0.70338983050847459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0.11428571428571428</v>
      </c>
      <c r="D108" s="44">
        <f t="shared" ref="D108:N108" si="39">D106/$O$106</f>
        <v>0.2857142857142857</v>
      </c>
      <c r="E108" s="44">
        <f t="shared" si="39"/>
        <v>0.11428571428571428</v>
      </c>
      <c r="F108" s="44">
        <f t="shared" si="39"/>
        <v>0.25714285714285712</v>
      </c>
      <c r="G108" s="44">
        <f t="shared" si="39"/>
        <v>0</v>
      </c>
      <c r="H108" s="44">
        <f t="shared" si="39"/>
        <v>0</v>
      </c>
      <c r="I108" s="44">
        <f t="shared" si="39"/>
        <v>0.11428571428571428</v>
      </c>
      <c r="J108" s="44">
        <f t="shared" si="39"/>
        <v>2.8571428571428571E-2</v>
      </c>
      <c r="K108" s="44">
        <f t="shared" si="39"/>
        <v>2.8571428571428571E-2</v>
      </c>
      <c r="L108" s="44">
        <f t="shared" si="39"/>
        <v>5.7142857142857141E-2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50" zoomScale="60" workbookViewId="0">
      <selection activeCell="C74" sqref="C7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'10.08 Kotido-Karenga-24h'!D5</f>
        <v>10.08.19</v>
      </c>
      <c r="E5" s="3"/>
      <c r="F5" s="41" t="s">
        <v>1</v>
      </c>
      <c r="G5" s="63" t="str">
        <f>'10.08 Kotido-Karenga-24h'!G5:H5</f>
        <v>Kabong</v>
      </c>
      <c r="H5" s="64"/>
      <c r="I5" s="14"/>
      <c r="J5" s="2" t="s">
        <v>5</v>
      </c>
      <c r="K5" s="63" t="str">
        <f>'10.08 Kotido-Karenga-24h'!K5:L5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Karenga-Kotido'!D6:E6</f>
        <v>Karenga</v>
      </c>
      <c r="E6" s="64"/>
      <c r="F6" s="2" t="s">
        <v>2</v>
      </c>
      <c r="G6" s="63" t="str">
        <f>'05.08 Karenga-Kotido'!G6:H6</f>
        <v>Kotido</v>
      </c>
      <c r="H6" s="64"/>
      <c r="J6" s="2" t="s">
        <v>21</v>
      </c>
      <c r="K6" s="63">
        <f>'10.08 Kotido-Karenga-24h'!K6:L6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</v>
      </c>
      <c r="AD10" s="17">
        <f t="shared" si="2"/>
        <v>0</v>
      </c>
      <c r="AE10" s="31">
        <f t="shared" si="2"/>
        <v>1</v>
      </c>
      <c r="AF10" s="31">
        <f t="shared" si="2"/>
        <v>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</v>
      </c>
      <c r="AD11" s="17">
        <f t="shared" si="3"/>
        <v>0</v>
      </c>
      <c r="AE11" s="31">
        <f t="shared" si="3"/>
        <v>1</v>
      </c>
      <c r="AF11" s="31">
        <f t="shared" si="3"/>
        <v>5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0</v>
      </c>
      <c r="P12" s="15">
        <f t="shared" si="1"/>
        <v>3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</v>
      </c>
      <c r="AD12" s="17">
        <f t="shared" si="4"/>
        <v>0</v>
      </c>
      <c r="AE12" s="31">
        <f t="shared" si="4"/>
        <v>3</v>
      </c>
      <c r="AF12" s="31">
        <f t="shared" si="4"/>
        <v>7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0</v>
      </c>
      <c r="P13" s="15">
        <f t="shared" si="1"/>
        <v>1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</v>
      </c>
      <c r="AD13" s="17">
        <f t="shared" si="5"/>
        <v>0</v>
      </c>
      <c r="AE13" s="31">
        <f t="shared" si="5"/>
        <v>1</v>
      </c>
      <c r="AF13" s="31">
        <f t="shared" si="5"/>
        <v>7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0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</v>
      </c>
      <c r="AD14" s="17">
        <f t="shared" si="6"/>
        <v>0</v>
      </c>
      <c r="AE14" s="31">
        <f t="shared" si="6"/>
        <v>1</v>
      </c>
      <c r="AF14" s="31">
        <f t="shared" si="6"/>
        <v>4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1</v>
      </c>
      <c r="P15" s="15">
        <f t="shared" si="1"/>
        <v>1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7</v>
      </c>
      <c r="AD15" s="17">
        <f t="shared" si="7"/>
        <v>0</v>
      </c>
      <c r="AE15" s="31">
        <f t="shared" si="7"/>
        <v>1</v>
      </c>
      <c r="AF15" s="31">
        <f t="shared" si="7"/>
        <v>8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0</v>
      </c>
      <c r="P16" s="15">
        <f t="shared" si="1"/>
        <v>1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9</v>
      </c>
      <c r="AD16" s="17">
        <f t="shared" si="8"/>
        <v>0</v>
      </c>
      <c r="AE16" s="31">
        <f t="shared" si="8"/>
        <v>3</v>
      </c>
      <c r="AF16" s="31">
        <f t="shared" si="8"/>
        <v>12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0</v>
      </c>
      <c r="P17" s="15">
        <f t="shared" si="1"/>
        <v>1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1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</v>
      </c>
      <c r="AD17" s="17">
        <f t="shared" si="9"/>
        <v>0</v>
      </c>
      <c r="AE17" s="31">
        <f t="shared" si="9"/>
        <v>4</v>
      </c>
      <c r="AF17" s="31">
        <f t="shared" si="9"/>
        <v>13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1</v>
      </c>
      <c r="P18" s="15">
        <f t="shared" si="1"/>
        <v>3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</v>
      </c>
      <c r="AD18" s="17">
        <f t="shared" si="10"/>
        <v>0</v>
      </c>
      <c r="AE18" s="31">
        <f t="shared" si="10"/>
        <v>0</v>
      </c>
      <c r="AF18" s="31">
        <f t="shared" si="10"/>
        <v>4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13</v>
      </c>
      <c r="AD19" s="17">
        <f t="shared" si="11"/>
        <v>0</v>
      </c>
      <c r="AE19" s="31">
        <f t="shared" si="11"/>
        <v>1</v>
      </c>
      <c r="AF19" s="31">
        <f t="shared" si="11"/>
        <v>14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1</v>
      </c>
      <c r="P20" s="15">
        <f t="shared" si="1"/>
        <v>2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</v>
      </c>
      <c r="AD20" s="17">
        <f t="shared" si="12"/>
        <v>0</v>
      </c>
      <c r="AE20" s="31">
        <f t="shared" si="12"/>
        <v>2</v>
      </c>
      <c r="AF20" s="31">
        <f t="shared" si="12"/>
        <v>7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1</v>
      </c>
      <c r="P21" s="15">
        <f t="shared" si="1"/>
        <v>2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</v>
      </c>
      <c r="AD21" s="17">
        <f t="shared" si="13"/>
        <v>0</v>
      </c>
      <c r="AE21" s="31">
        <f t="shared" si="13"/>
        <v>0</v>
      </c>
      <c r="AF21" s="31">
        <f t="shared" si="13"/>
        <v>4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0</v>
      </c>
      <c r="P22" s="15">
        <f t="shared" si="1"/>
        <v>1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4</v>
      </c>
      <c r="AD22" s="34">
        <f t="shared" si="14"/>
        <v>0</v>
      </c>
      <c r="AE22" s="31">
        <f t="shared" si="14"/>
        <v>1</v>
      </c>
      <c r="AF22" s="31">
        <f t="shared" si="14"/>
        <v>5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1</v>
      </c>
      <c r="P23" s="15">
        <f t="shared" si="1"/>
        <v>2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</v>
      </c>
      <c r="AD23" s="34">
        <f t="shared" si="15"/>
        <v>0</v>
      </c>
      <c r="AE23" s="31">
        <f t="shared" si="15"/>
        <v>0</v>
      </c>
      <c r="AF23" s="31">
        <f t="shared" si="15"/>
        <v>3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0</v>
      </c>
      <c r="P24" s="15">
        <f t="shared" si="1"/>
        <v>3</v>
      </c>
      <c r="R24" s="36" t="s">
        <v>148</v>
      </c>
      <c r="S24" s="34">
        <f>SUM(C66:C69)</f>
        <v>0</v>
      </c>
      <c r="T24" s="34">
        <f t="shared" ref="T24:AF24" si="16">SUM(D66:D69)</f>
        <v>1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</v>
      </c>
      <c r="AD24" s="34">
        <f t="shared" si="16"/>
        <v>0</v>
      </c>
      <c r="AE24" s="31">
        <f t="shared" si="16"/>
        <v>1</v>
      </c>
      <c r="AF24" s="31">
        <f t="shared" si="16"/>
        <v>4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0</v>
      </c>
      <c r="P25" s="15">
        <f t="shared" si="1"/>
        <v>1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</v>
      </c>
      <c r="AD25" s="34">
        <f t="shared" si="17"/>
        <v>0</v>
      </c>
      <c r="AE25" s="31">
        <f t="shared" si="17"/>
        <v>1</v>
      </c>
      <c r="AF25" s="31">
        <f t="shared" si="17"/>
        <v>2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0</v>
      </c>
      <c r="AF26" s="31">
        <f t="shared" si="18"/>
        <v>0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1</v>
      </c>
      <c r="P27" s="15">
        <f t="shared" si="1"/>
        <v>2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0</v>
      </c>
      <c r="P28" s="15">
        <f t="shared" si="1"/>
        <v>1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0</v>
      </c>
      <c r="P29" s="15">
        <f t="shared" si="1"/>
        <v>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2</v>
      </c>
      <c r="N31" s="50">
        <v>0</v>
      </c>
      <c r="O31" s="15">
        <f t="shared" si="0"/>
        <v>1</v>
      </c>
      <c r="P31" s="15">
        <f t="shared" si="1"/>
        <v>3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0</v>
      </c>
      <c r="P32" s="15">
        <f t="shared" si="1"/>
        <v>3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0</v>
      </c>
      <c r="P33" s="15">
        <f t="shared" si="1"/>
        <v>2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</v>
      </c>
      <c r="P34" s="15">
        <f t="shared" si="1"/>
        <v>3</v>
      </c>
      <c r="R34" s="38" t="s">
        <v>90</v>
      </c>
      <c r="S34" s="39">
        <f t="shared" ref="S34:AF34" si="26">MAX(S10:S12)</f>
        <v>1</v>
      </c>
      <c r="T34" s="39">
        <f t="shared" si="26"/>
        <v>1</v>
      </c>
      <c r="U34" s="39">
        <f t="shared" si="26"/>
        <v>1</v>
      </c>
      <c r="V34" s="39">
        <f t="shared" si="26"/>
        <v>1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6</v>
      </c>
      <c r="AD34" s="39">
        <f t="shared" si="26"/>
        <v>0</v>
      </c>
      <c r="AE34" s="40">
        <f t="shared" si="26"/>
        <v>3</v>
      </c>
      <c r="AF34" s="40">
        <f t="shared" si="26"/>
        <v>7</v>
      </c>
    </row>
    <row r="35" spans="2:32" ht="23.1" customHeight="1" x14ac:dyDescent="0.25">
      <c r="B35" s="46" t="s">
        <v>62</v>
      </c>
      <c r="C35" s="50">
        <v>0</v>
      </c>
      <c r="D35" s="50">
        <v>1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2</v>
      </c>
      <c r="P35" s="15">
        <f t="shared" si="1"/>
        <v>4</v>
      </c>
      <c r="R35" s="38" t="s">
        <v>91</v>
      </c>
      <c r="S35" s="39">
        <f t="shared" ref="S35:AF35" si="27">MAX(S13:S18)</f>
        <v>1</v>
      </c>
      <c r="T35" s="39">
        <f t="shared" si="27"/>
        <v>1</v>
      </c>
      <c r="U35" s="39">
        <f t="shared" si="27"/>
        <v>1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1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9</v>
      </c>
      <c r="AD35" s="39">
        <f t="shared" si="27"/>
        <v>0</v>
      </c>
      <c r="AE35" s="40">
        <f t="shared" si="27"/>
        <v>4</v>
      </c>
      <c r="AF35" s="40">
        <f t="shared" si="27"/>
        <v>13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0</v>
      </c>
      <c r="P36" s="15">
        <f t="shared" si="1"/>
        <v>3</v>
      </c>
      <c r="R36" s="38" t="s">
        <v>92</v>
      </c>
      <c r="S36" s="39">
        <f t="shared" ref="S36:AF36" si="28">MAX(S19:S21)</f>
        <v>0</v>
      </c>
      <c r="T36" s="39">
        <f t="shared" si="28"/>
        <v>0</v>
      </c>
      <c r="U36" s="39">
        <f t="shared" si="28"/>
        <v>2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0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13</v>
      </c>
      <c r="AD36" s="39">
        <f t="shared" si="28"/>
        <v>0</v>
      </c>
      <c r="AE36" s="40">
        <f t="shared" si="28"/>
        <v>2</v>
      </c>
      <c r="AF36" s="40">
        <f t="shared" si="28"/>
        <v>14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0</v>
      </c>
      <c r="P37" s="15">
        <f t="shared" si="1"/>
        <v>2</v>
      </c>
      <c r="R37" s="37" t="s">
        <v>85</v>
      </c>
      <c r="S37" s="35">
        <f t="shared" ref="S37:AF37" si="29">SUM(S10:S12)</f>
        <v>1</v>
      </c>
      <c r="T37" s="16">
        <f t="shared" si="29"/>
        <v>1</v>
      </c>
      <c r="U37" s="16">
        <f t="shared" si="29"/>
        <v>1</v>
      </c>
      <c r="V37" s="16">
        <f t="shared" si="29"/>
        <v>1</v>
      </c>
      <c r="W37" s="16">
        <f t="shared" si="29"/>
        <v>0</v>
      </c>
      <c r="X37" s="16">
        <f t="shared" si="29"/>
        <v>0</v>
      </c>
      <c r="Y37" s="16">
        <f t="shared" si="29"/>
        <v>1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14</v>
      </c>
      <c r="AD37" s="16">
        <f t="shared" si="29"/>
        <v>0</v>
      </c>
      <c r="AE37" s="32">
        <f t="shared" si="29"/>
        <v>5</v>
      </c>
      <c r="AF37" s="32">
        <f t="shared" si="29"/>
        <v>19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4</v>
      </c>
      <c r="N38" s="50">
        <v>0</v>
      </c>
      <c r="O38" s="15">
        <f t="shared" si="0"/>
        <v>2</v>
      </c>
      <c r="P38" s="15">
        <f t="shared" si="1"/>
        <v>6</v>
      </c>
      <c r="R38" s="28" t="s">
        <v>86</v>
      </c>
      <c r="S38" s="16">
        <f t="shared" ref="S38:AF38" si="30">SUM(S13:S18)</f>
        <v>1</v>
      </c>
      <c r="T38" s="16">
        <f t="shared" si="30"/>
        <v>2</v>
      </c>
      <c r="U38" s="16">
        <f t="shared" si="30"/>
        <v>3</v>
      </c>
      <c r="V38" s="16">
        <f t="shared" si="30"/>
        <v>1</v>
      </c>
      <c r="W38" s="16">
        <f t="shared" si="30"/>
        <v>0</v>
      </c>
      <c r="X38" s="16">
        <f t="shared" si="30"/>
        <v>0</v>
      </c>
      <c r="Y38" s="16">
        <f t="shared" si="30"/>
        <v>1</v>
      </c>
      <c r="Z38" s="16">
        <f t="shared" si="30"/>
        <v>1</v>
      </c>
      <c r="AA38" s="16">
        <f t="shared" si="30"/>
        <v>1</v>
      </c>
      <c r="AB38" s="16">
        <f t="shared" si="30"/>
        <v>0</v>
      </c>
      <c r="AC38" s="16">
        <f t="shared" si="30"/>
        <v>38</v>
      </c>
      <c r="AD38" s="16">
        <f t="shared" si="30"/>
        <v>0</v>
      </c>
      <c r="AE38" s="32">
        <f t="shared" si="30"/>
        <v>10</v>
      </c>
      <c r="AF38" s="32">
        <f t="shared" si="30"/>
        <v>48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</v>
      </c>
      <c r="N39" s="50">
        <v>0</v>
      </c>
      <c r="O39" s="15">
        <f t="shared" si="0"/>
        <v>1</v>
      </c>
      <c r="P39" s="15">
        <f t="shared" si="1"/>
        <v>2</v>
      </c>
      <c r="R39" s="29" t="s">
        <v>87</v>
      </c>
      <c r="S39" s="16">
        <f t="shared" ref="S39:AF39" si="31">SUM(S19:S21)</f>
        <v>0</v>
      </c>
      <c r="T39" s="16">
        <f t="shared" si="31"/>
        <v>0</v>
      </c>
      <c r="U39" s="16">
        <f t="shared" si="31"/>
        <v>3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0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22</v>
      </c>
      <c r="AD39" s="16">
        <f t="shared" si="31"/>
        <v>0</v>
      </c>
      <c r="AE39" s="32">
        <f t="shared" si="31"/>
        <v>3</v>
      </c>
      <c r="AF39" s="32">
        <f t="shared" si="31"/>
        <v>25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1</v>
      </c>
      <c r="P40" s="15">
        <f t="shared" si="1"/>
        <v>2</v>
      </c>
      <c r="R40" s="5" t="s">
        <v>17</v>
      </c>
      <c r="S40" s="16">
        <f t="shared" ref="S40:AF40" si="32">SUM(S10:S21)</f>
        <v>2</v>
      </c>
      <c r="T40" s="16">
        <f t="shared" si="32"/>
        <v>3</v>
      </c>
      <c r="U40" s="16">
        <f t="shared" si="32"/>
        <v>7</v>
      </c>
      <c r="V40" s="16">
        <f t="shared" si="32"/>
        <v>2</v>
      </c>
      <c r="W40" s="16">
        <f t="shared" si="32"/>
        <v>0</v>
      </c>
      <c r="X40" s="16">
        <f t="shared" si="32"/>
        <v>0</v>
      </c>
      <c r="Y40" s="16">
        <f t="shared" si="32"/>
        <v>2</v>
      </c>
      <c r="Z40" s="16">
        <f t="shared" si="32"/>
        <v>1</v>
      </c>
      <c r="AA40" s="16">
        <f t="shared" si="32"/>
        <v>1</v>
      </c>
      <c r="AB40" s="16">
        <f t="shared" si="32"/>
        <v>0</v>
      </c>
      <c r="AC40" s="16">
        <f t="shared" si="32"/>
        <v>74</v>
      </c>
      <c r="AD40" s="16">
        <f t="shared" si="32"/>
        <v>0</v>
      </c>
      <c r="AE40" s="32">
        <f t="shared" si="32"/>
        <v>18</v>
      </c>
      <c r="AF40" s="32">
        <f t="shared" si="32"/>
        <v>92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0</v>
      </c>
      <c r="P41" s="15">
        <f t="shared" si="1"/>
        <v>3</v>
      </c>
      <c r="R41" s="5" t="s">
        <v>159</v>
      </c>
      <c r="S41" s="16">
        <f>SUM(S10:S33)</f>
        <v>3</v>
      </c>
      <c r="T41" s="16">
        <f t="shared" ref="T41:AF41" si="33">SUM(T10:T33)</f>
        <v>4</v>
      </c>
      <c r="U41" s="16">
        <f t="shared" si="33"/>
        <v>8</v>
      </c>
      <c r="V41" s="16">
        <f t="shared" si="33"/>
        <v>2</v>
      </c>
      <c r="W41" s="16">
        <f t="shared" si="33"/>
        <v>0</v>
      </c>
      <c r="X41" s="16">
        <f t="shared" si="33"/>
        <v>0</v>
      </c>
      <c r="Y41" s="16">
        <f t="shared" si="33"/>
        <v>2</v>
      </c>
      <c r="Z41" s="16">
        <f t="shared" si="33"/>
        <v>1</v>
      </c>
      <c r="AA41" s="16">
        <f t="shared" si="33"/>
        <v>1</v>
      </c>
      <c r="AB41" s="16">
        <f t="shared" si="33"/>
        <v>0</v>
      </c>
      <c r="AC41" s="16">
        <f t="shared" si="33"/>
        <v>85</v>
      </c>
      <c r="AD41" s="16">
        <f t="shared" si="33"/>
        <v>0</v>
      </c>
      <c r="AE41" s="32">
        <f t="shared" si="33"/>
        <v>21</v>
      </c>
      <c r="AF41" s="32">
        <f t="shared" si="33"/>
        <v>106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0</v>
      </c>
      <c r="P42" s="15">
        <f t="shared" si="1"/>
        <v>1</v>
      </c>
      <c r="R42" s="5" t="s">
        <v>160</v>
      </c>
      <c r="S42" s="48">
        <f>S41/S40</f>
        <v>1.5</v>
      </c>
      <c r="T42" s="48">
        <f t="shared" ref="T42:AF42" si="34">T41/T40</f>
        <v>1.3333333333333333</v>
      </c>
      <c r="U42" s="48">
        <f t="shared" si="34"/>
        <v>1.1428571428571428</v>
      </c>
      <c r="V42" s="48">
        <f t="shared" si="34"/>
        <v>1</v>
      </c>
      <c r="W42" s="48" t="e">
        <f t="shared" si="34"/>
        <v>#DIV/0!</v>
      </c>
      <c r="X42" s="48" t="e">
        <f t="shared" si="34"/>
        <v>#DIV/0!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 t="e">
        <f t="shared" si="34"/>
        <v>#DIV/0!</v>
      </c>
      <c r="AC42" s="48">
        <f t="shared" si="34"/>
        <v>1.1486486486486487</v>
      </c>
      <c r="AD42" s="48" t="e">
        <f t="shared" si="34"/>
        <v>#DIV/0!</v>
      </c>
      <c r="AE42" s="48">
        <f t="shared" si="34"/>
        <v>1.1666666666666667</v>
      </c>
      <c r="AF42" s="48">
        <f t="shared" si="34"/>
        <v>1.1521739130434783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0</v>
      </c>
      <c r="P43" s="15">
        <f t="shared" si="1"/>
        <v>1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0</v>
      </c>
      <c r="P44" s="15">
        <f t="shared" si="1"/>
        <v>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0</v>
      </c>
      <c r="P46" s="15">
        <f t="shared" si="1"/>
        <v>2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0</v>
      </c>
      <c r="P47" s="15">
        <f t="shared" si="1"/>
        <v>5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0</v>
      </c>
      <c r="P48" s="15">
        <f t="shared" si="1"/>
        <v>4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1</v>
      </c>
      <c r="P49" s="15">
        <f t="shared" si="1"/>
        <v>3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1</v>
      </c>
      <c r="P50" s="15">
        <f t="shared" si="1"/>
        <v>4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</v>
      </c>
      <c r="N52" s="50">
        <v>0</v>
      </c>
      <c r="O52" s="15">
        <f t="shared" si="0"/>
        <v>0</v>
      </c>
      <c r="P52" s="15">
        <f t="shared" si="1"/>
        <v>1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0</v>
      </c>
      <c r="P54" s="15">
        <f t="shared" si="1"/>
        <v>0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0</v>
      </c>
      <c r="P56" s="15">
        <f t="shared" si="1"/>
        <v>1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</v>
      </c>
      <c r="N57" s="50">
        <v>0</v>
      </c>
      <c r="O57" s="15">
        <f t="shared" si="0"/>
        <v>0</v>
      </c>
      <c r="P57" s="15">
        <f t="shared" si="1"/>
        <v>2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</v>
      </c>
      <c r="N58" s="50">
        <v>0</v>
      </c>
      <c r="O58" s="15">
        <f t="shared" si="0"/>
        <v>0</v>
      </c>
      <c r="P58" s="15">
        <f t="shared" si="1"/>
        <v>1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1</v>
      </c>
      <c r="P60" s="15">
        <f t="shared" si="1"/>
        <v>1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3</v>
      </c>
      <c r="N61" s="50">
        <v>0</v>
      </c>
      <c r="O61" s="15">
        <f t="shared" si="0"/>
        <v>0</v>
      </c>
      <c r="P61" s="15">
        <f t="shared" si="1"/>
        <v>3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</v>
      </c>
      <c r="N62" s="50">
        <v>0</v>
      </c>
      <c r="O62" s="15">
        <f t="shared" si="0"/>
        <v>0</v>
      </c>
      <c r="P62" s="15">
        <f t="shared" si="1"/>
        <v>1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</v>
      </c>
      <c r="N63" s="50">
        <v>0</v>
      </c>
      <c r="O63" s="15">
        <f t="shared" si="0"/>
        <v>0</v>
      </c>
      <c r="P63" s="15">
        <f t="shared" si="1"/>
        <v>1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0</v>
      </c>
      <c r="P64" s="15">
        <f t="shared" si="1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</v>
      </c>
      <c r="N65" s="50">
        <v>0</v>
      </c>
      <c r="O65" s="15">
        <f t="shared" si="0"/>
        <v>0</v>
      </c>
      <c r="P65" s="15">
        <f t="shared" si="1"/>
        <v>1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1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1</v>
      </c>
      <c r="P67" s="15">
        <f t="shared" si="1"/>
        <v>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0</v>
      </c>
      <c r="P68" s="15">
        <f t="shared" si="1"/>
        <v>2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</v>
      </c>
      <c r="N69" s="50">
        <v>0</v>
      </c>
      <c r="O69" s="15">
        <f t="shared" si="0"/>
        <v>0</v>
      </c>
      <c r="P69" s="15">
        <f t="shared" si="1"/>
        <v>1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0"/>
        <v>0</v>
      </c>
      <c r="P72" s="15">
        <f t="shared" si="1"/>
        <v>1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1</v>
      </c>
      <c r="P73" s="15">
        <f t="shared" si="1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</v>
      </c>
      <c r="D106" s="16">
        <f t="shared" ref="D106:P106" si="37">SUM(D10:D105)</f>
        <v>4</v>
      </c>
      <c r="E106" s="16">
        <f t="shared" si="37"/>
        <v>8</v>
      </c>
      <c r="F106" s="16">
        <f t="shared" si="37"/>
        <v>2</v>
      </c>
      <c r="G106" s="16">
        <f t="shared" si="37"/>
        <v>0</v>
      </c>
      <c r="H106" s="16">
        <f t="shared" si="37"/>
        <v>0</v>
      </c>
      <c r="I106" s="16">
        <f t="shared" si="37"/>
        <v>2</v>
      </c>
      <c r="J106" s="16">
        <f t="shared" si="37"/>
        <v>1</v>
      </c>
      <c r="K106" s="16">
        <f t="shared" si="37"/>
        <v>1</v>
      </c>
      <c r="L106" s="16">
        <f t="shared" si="37"/>
        <v>0</v>
      </c>
      <c r="M106" s="16">
        <f t="shared" si="37"/>
        <v>85</v>
      </c>
      <c r="N106" s="16">
        <f t="shared" si="37"/>
        <v>0</v>
      </c>
      <c r="O106" s="16">
        <f t="shared" si="37"/>
        <v>21</v>
      </c>
      <c r="P106" s="16">
        <f t="shared" si="37"/>
        <v>106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2.8301886792452831E-2</v>
      </c>
      <c r="D107" s="43">
        <f t="shared" si="38"/>
        <v>3.7735849056603772E-2</v>
      </c>
      <c r="E107" s="43">
        <f t="shared" si="38"/>
        <v>7.5471698113207544E-2</v>
      </c>
      <c r="F107" s="43">
        <f t="shared" si="38"/>
        <v>1.8867924528301886E-2</v>
      </c>
      <c r="G107" s="43">
        <f t="shared" si="38"/>
        <v>0</v>
      </c>
      <c r="H107" s="43">
        <f t="shared" si="38"/>
        <v>0</v>
      </c>
      <c r="I107" s="43">
        <f t="shared" si="38"/>
        <v>1.8867924528301886E-2</v>
      </c>
      <c r="J107" s="43">
        <f t="shared" si="38"/>
        <v>9.433962264150943E-3</v>
      </c>
      <c r="K107" s="43">
        <f t="shared" si="38"/>
        <v>9.433962264150943E-3</v>
      </c>
      <c r="L107" s="43">
        <f t="shared" si="38"/>
        <v>0</v>
      </c>
      <c r="M107" s="43">
        <f t="shared" si="38"/>
        <v>0.80188679245283023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0.14285714285714285</v>
      </c>
      <c r="D108" s="44">
        <f t="shared" ref="D108:N108" si="39">D106/$O$106</f>
        <v>0.19047619047619047</v>
      </c>
      <c r="E108" s="44">
        <f t="shared" si="39"/>
        <v>0.38095238095238093</v>
      </c>
      <c r="F108" s="44">
        <f t="shared" si="39"/>
        <v>9.5238095238095233E-2</v>
      </c>
      <c r="G108" s="44">
        <f t="shared" si="39"/>
        <v>0</v>
      </c>
      <c r="H108" s="44">
        <f t="shared" si="39"/>
        <v>0</v>
      </c>
      <c r="I108" s="44">
        <f t="shared" si="39"/>
        <v>9.5238095238095233E-2</v>
      </c>
      <c r="J108" s="44">
        <f t="shared" si="39"/>
        <v>4.7619047619047616E-2</v>
      </c>
      <c r="K108" s="44">
        <f t="shared" si="39"/>
        <v>4.7619047619047616E-2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S53" sqref="S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Kotido-Karenga'!C3:G3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'10.08 Karenga-Kotido-24h'!G5:H5</f>
        <v>Kabong</v>
      </c>
      <c r="H5" s="64"/>
      <c r="I5" s="14"/>
      <c r="J5" s="2" t="s">
        <v>5</v>
      </c>
      <c r="K5" s="63" t="str">
        <f>'10.08 Karenga-Kotido-24h'!K5:L5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Kotido-Karenga'!D6:E6</f>
        <v>Kotido</v>
      </c>
      <c r="E6" s="64"/>
      <c r="F6" s="2" t="s">
        <v>2</v>
      </c>
      <c r="G6" s="63" t="str">
        <f>'05.08 Kotido-Karenga'!G6:H6</f>
        <v>Karenga</v>
      </c>
      <c r="H6" s="64"/>
      <c r="J6" s="2" t="s">
        <v>21</v>
      </c>
      <c r="K6" s="63">
        <f>'10.08 Karenga-Kotido-24h'!K6:L6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1</v>
      </c>
      <c r="AF10" s="31">
        <f t="shared" si="2"/>
        <v>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</v>
      </c>
      <c r="AD11" s="17">
        <f t="shared" si="3"/>
        <v>0</v>
      </c>
      <c r="AE11" s="31">
        <f t="shared" si="3"/>
        <v>0</v>
      </c>
      <c r="AF11" s="31">
        <f t="shared" si="3"/>
        <v>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0</v>
      </c>
      <c r="P12" s="15">
        <f t="shared" si="1"/>
        <v>1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</v>
      </c>
      <c r="AD12" s="17">
        <f t="shared" si="4"/>
        <v>0</v>
      </c>
      <c r="AE12" s="31">
        <f t="shared" si="4"/>
        <v>3</v>
      </c>
      <c r="AF12" s="31">
        <f t="shared" si="4"/>
        <v>5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1</v>
      </c>
      <c r="P13" s="15">
        <f t="shared" si="1"/>
        <v>2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</v>
      </c>
      <c r="AD13" s="17">
        <f t="shared" si="5"/>
        <v>0</v>
      </c>
      <c r="AE13" s="31">
        <f t="shared" si="5"/>
        <v>1</v>
      </c>
      <c r="AF13" s="31">
        <f t="shared" si="5"/>
        <v>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0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</v>
      </c>
      <c r="AD14" s="17">
        <f t="shared" si="6"/>
        <v>0</v>
      </c>
      <c r="AE14" s="31">
        <f t="shared" si="6"/>
        <v>1</v>
      </c>
      <c r="AF14" s="31">
        <f t="shared" si="6"/>
        <v>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</v>
      </c>
      <c r="AD15" s="17">
        <f t="shared" si="7"/>
        <v>0</v>
      </c>
      <c r="AE15" s="31">
        <f t="shared" si="7"/>
        <v>0</v>
      </c>
      <c r="AF15" s="31">
        <f t="shared" si="7"/>
        <v>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</v>
      </c>
      <c r="AD16" s="17">
        <f t="shared" si="8"/>
        <v>0</v>
      </c>
      <c r="AE16" s="31">
        <f t="shared" si="8"/>
        <v>1</v>
      </c>
      <c r="AF16" s="31">
        <f t="shared" si="8"/>
        <v>5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0</v>
      </c>
      <c r="P17" s="15">
        <f t="shared" si="1"/>
        <v>2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</v>
      </c>
      <c r="AD17" s="17">
        <f t="shared" si="9"/>
        <v>0</v>
      </c>
      <c r="AE17" s="31">
        <f t="shared" si="9"/>
        <v>1</v>
      </c>
      <c r="AF17" s="31">
        <f t="shared" si="9"/>
        <v>3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1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6</v>
      </c>
      <c r="AD18" s="17">
        <f t="shared" si="10"/>
        <v>0</v>
      </c>
      <c r="AE18" s="31">
        <f t="shared" si="10"/>
        <v>1</v>
      </c>
      <c r="AF18" s="31">
        <f t="shared" si="10"/>
        <v>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1</v>
      </c>
      <c r="P19" s="15">
        <f t="shared" si="1"/>
        <v>2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</v>
      </c>
      <c r="AD19" s="17">
        <f t="shared" si="11"/>
        <v>0</v>
      </c>
      <c r="AE19" s="31">
        <f t="shared" si="11"/>
        <v>2</v>
      </c>
      <c r="AF19" s="31">
        <f t="shared" si="11"/>
        <v>6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1</v>
      </c>
      <c r="P20" s="15">
        <f t="shared" si="1"/>
        <v>2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</v>
      </c>
      <c r="AD20" s="17">
        <f t="shared" si="12"/>
        <v>0</v>
      </c>
      <c r="AE20" s="31">
        <f t="shared" si="12"/>
        <v>0</v>
      </c>
      <c r="AF20" s="31">
        <f t="shared" si="12"/>
        <v>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</v>
      </c>
      <c r="AD21" s="17">
        <f t="shared" si="13"/>
        <v>0</v>
      </c>
      <c r="AE21" s="31">
        <f t="shared" si="13"/>
        <v>1</v>
      </c>
      <c r="AF21" s="31">
        <f t="shared" si="13"/>
        <v>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0</v>
      </c>
      <c r="P22" s="15">
        <f t="shared" si="1"/>
        <v>2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7</v>
      </c>
      <c r="AD22" s="39">
        <f t="shared" si="14"/>
        <v>0</v>
      </c>
      <c r="AE22" s="40">
        <f t="shared" si="14"/>
        <v>3</v>
      </c>
      <c r="AF22" s="40">
        <f t="shared" si="14"/>
        <v>7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1</v>
      </c>
      <c r="P23" s="15">
        <f t="shared" si="1"/>
        <v>2</v>
      </c>
      <c r="R23" s="38" t="s">
        <v>91</v>
      </c>
      <c r="S23" s="39">
        <f>MAX(S13:S18)</f>
        <v>1</v>
      </c>
      <c r="T23" s="39">
        <f t="shared" ref="T23:AF23" si="15">MAX(T13:T18)</f>
        <v>0</v>
      </c>
      <c r="U23" s="39">
        <f t="shared" si="15"/>
        <v>0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0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6</v>
      </c>
      <c r="AD23" s="39">
        <f t="shared" si="15"/>
        <v>0</v>
      </c>
      <c r="AE23" s="40">
        <f t="shared" si="15"/>
        <v>1</v>
      </c>
      <c r="AF23" s="40">
        <f t="shared" si="15"/>
        <v>7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0</v>
      </c>
      <c r="P24" s="15">
        <f t="shared" si="1"/>
        <v>2</v>
      </c>
      <c r="R24" s="38" t="s">
        <v>92</v>
      </c>
      <c r="S24" s="39">
        <f>MAX(S19:S21)</f>
        <v>1</v>
      </c>
      <c r="T24" s="39">
        <f t="shared" ref="T24:AF24" si="16">MAX(T19:T21)</f>
        <v>0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4</v>
      </c>
      <c r="AD24" s="39">
        <f t="shared" si="16"/>
        <v>0</v>
      </c>
      <c r="AE24" s="40">
        <f t="shared" si="16"/>
        <v>2</v>
      </c>
      <c r="AF24" s="40">
        <f t="shared" si="16"/>
        <v>6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0</v>
      </c>
      <c r="P25" s="15">
        <f t="shared" si="1"/>
        <v>0</v>
      </c>
      <c r="R25" s="37" t="s">
        <v>85</v>
      </c>
      <c r="S25" s="35">
        <f t="shared" ref="S25:AF25" si="17">SUM(S10:S12)</f>
        <v>3</v>
      </c>
      <c r="T25" s="16">
        <f t="shared" si="17"/>
        <v>0</v>
      </c>
      <c r="U25" s="16">
        <f t="shared" si="17"/>
        <v>1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12</v>
      </c>
      <c r="AD25" s="16">
        <f t="shared" si="17"/>
        <v>0</v>
      </c>
      <c r="AE25" s="32">
        <f t="shared" si="17"/>
        <v>4</v>
      </c>
      <c r="AF25" s="32">
        <f t="shared" si="17"/>
        <v>16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0</v>
      </c>
      <c r="P26" s="15">
        <f t="shared" si="1"/>
        <v>1</v>
      </c>
      <c r="R26" s="28" t="s">
        <v>86</v>
      </c>
      <c r="S26" s="16">
        <f t="shared" ref="S26:AF26" si="18">SUM(S13:S18)</f>
        <v>2</v>
      </c>
      <c r="T26" s="16">
        <f t="shared" si="18"/>
        <v>0</v>
      </c>
      <c r="U26" s="16">
        <f t="shared" si="18"/>
        <v>0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0</v>
      </c>
      <c r="Z26" s="16">
        <f t="shared" si="18"/>
        <v>2</v>
      </c>
      <c r="AA26" s="16">
        <f t="shared" si="18"/>
        <v>0</v>
      </c>
      <c r="AB26" s="16">
        <f t="shared" si="18"/>
        <v>0</v>
      </c>
      <c r="AC26" s="16">
        <f t="shared" si="18"/>
        <v>26</v>
      </c>
      <c r="AD26" s="16">
        <f t="shared" si="18"/>
        <v>0</v>
      </c>
      <c r="AE26" s="32">
        <f t="shared" si="18"/>
        <v>5</v>
      </c>
      <c r="AF26" s="32">
        <f t="shared" si="18"/>
        <v>31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1</v>
      </c>
      <c r="P27" s="15">
        <f t="shared" si="1"/>
        <v>2</v>
      </c>
      <c r="R27" s="29" t="s">
        <v>87</v>
      </c>
      <c r="S27" s="16">
        <f t="shared" ref="S27:AF27" si="19">SUM(S19:S21)</f>
        <v>1</v>
      </c>
      <c r="T27" s="16">
        <f t="shared" si="19"/>
        <v>0</v>
      </c>
      <c r="U27" s="16">
        <f t="shared" si="19"/>
        <v>1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12</v>
      </c>
      <c r="AD27" s="16">
        <f t="shared" si="19"/>
        <v>0</v>
      </c>
      <c r="AE27" s="32">
        <f t="shared" si="19"/>
        <v>3</v>
      </c>
      <c r="AF27" s="32">
        <f t="shared" si="19"/>
        <v>15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5" t="s">
        <v>17</v>
      </c>
      <c r="S28" s="16">
        <f t="shared" ref="S28:AF28" si="20">SUM(S10:S21)</f>
        <v>6</v>
      </c>
      <c r="T28" s="16">
        <f t="shared" si="20"/>
        <v>0</v>
      </c>
      <c r="U28" s="16">
        <f t="shared" si="20"/>
        <v>2</v>
      </c>
      <c r="V28" s="16">
        <f t="shared" si="20"/>
        <v>2</v>
      </c>
      <c r="W28" s="16">
        <f t="shared" si="20"/>
        <v>0</v>
      </c>
      <c r="X28" s="16">
        <f t="shared" si="20"/>
        <v>0</v>
      </c>
      <c r="Y28" s="16">
        <f t="shared" si="20"/>
        <v>0</v>
      </c>
      <c r="Z28" s="16">
        <f t="shared" si="20"/>
        <v>2</v>
      </c>
      <c r="AA28" s="16">
        <f t="shared" si="20"/>
        <v>0</v>
      </c>
      <c r="AB28" s="16">
        <f t="shared" si="20"/>
        <v>0</v>
      </c>
      <c r="AC28" s="16">
        <f t="shared" si="20"/>
        <v>50</v>
      </c>
      <c r="AD28" s="16">
        <f t="shared" si="20"/>
        <v>0</v>
      </c>
      <c r="AE28" s="32">
        <f t="shared" si="20"/>
        <v>12</v>
      </c>
      <c r="AF28" s="32">
        <f t="shared" si="20"/>
        <v>62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0</v>
      </c>
      <c r="P29" s="15">
        <f t="shared" si="1"/>
        <v>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0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0</v>
      </c>
      <c r="P31" s="15">
        <f t="shared" si="1"/>
        <v>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0</v>
      </c>
      <c r="P33" s="15">
        <f t="shared" si="1"/>
        <v>1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0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0</v>
      </c>
      <c r="P38" s="15">
        <f t="shared" si="1"/>
        <v>1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</v>
      </c>
      <c r="N39" s="50">
        <v>0</v>
      </c>
      <c r="O39" s="15">
        <f t="shared" si="0"/>
        <v>1</v>
      </c>
      <c r="P39" s="15">
        <f t="shared" si="1"/>
        <v>2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0</v>
      </c>
      <c r="P41" s="15">
        <f t="shared" si="1"/>
        <v>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0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1</v>
      </c>
      <c r="P43" s="15">
        <f t="shared" si="1"/>
        <v>2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0</v>
      </c>
      <c r="P44" s="15">
        <f t="shared" si="1"/>
        <v>2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0</v>
      </c>
      <c r="P45" s="15">
        <f t="shared" si="1"/>
        <v>1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2</v>
      </c>
      <c r="P46" s="15">
        <f t="shared" si="1"/>
        <v>2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0</v>
      </c>
      <c r="P47" s="15">
        <f t="shared" si="1"/>
        <v>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0</v>
      </c>
      <c r="P48" s="15">
        <f t="shared" si="1"/>
        <v>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</v>
      </c>
      <c r="N49" s="50">
        <v>0</v>
      </c>
      <c r="O49" s="15">
        <f t="shared" si="0"/>
        <v>0</v>
      </c>
      <c r="P49" s="15">
        <f t="shared" si="1"/>
        <v>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0</v>
      </c>
      <c r="P50" s="15">
        <f t="shared" si="1"/>
        <v>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0</v>
      </c>
      <c r="P51" s="15">
        <f t="shared" si="1"/>
        <v>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</v>
      </c>
      <c r="N53" s="50">
        <v>0</v>
      </c>
      <c r="O53" s="15">
        <f t="shared" si="0"/>
        <v>0</v>
      </c>
      <c r="P53" s="15">
        <f t="shared" si="1"/>
        <v>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1</v>
      </c>
      <c r="P54" s="15">
        <f t="shared" si="1"/>
        <v>5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</v>
      </c>
      <c r="D58" s="16">
        <f t="shared" si="21"/>
        <v>0</v>
      </c>
      <c r="E58" s="16">
        <f t="shared" si="21"/>
        <v>2</v>
      </c>
      <c r="F58" s="16">
        <f t="shared" si="21"/>
        <v>2</v>
      </c>
      <c r="G58" s="16">
        <f t="shared" si="21"/>
        <v>0</v>
      </c>
      <c r="H58" s="16">
        <f t="shared" si="21"/>
        <v>0</v>
      </c>
      <c r="I58" s="16">
        <f t="shared" si="21"/>
        <v>0</v>
      </c>
      <c r="J58" s="16">
        <f t="shared" si="21"/>
        <v>2</v>
      </c>
      <c r="K58" s="16">
        <f t="shared" si="21"/>
        <v>0</v>
      </c>
      <c r="L58" s="16">
        <f t="shared" si="21"/>
        <v>0</v>
      </c>
      <c r="M58" s="16">
        <f t="shared" si="21"/>
        <v>50</v>
      </c>
      <c r="N58" s="16">
        <f t="shared" si="21"/>
        <v>0</v>
      </c>
      <c r="O58" s="16">
        <f t="shared" si="21"/>
        <v>12</v>
      </c>
      <c r="P58" s="16">
        <f t="shared" si="21"/>
        <v>62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9.6774193548387094E-2</v>
      </c>
      <c r="D59" s="43">
        <f t="shared" si="22"/>
        <v>0</v>
      </c>
      <c r="E59" s="43">
        <f t="shared" si="22"/>
        <v>3.2258064516129031E-2</v>
      </c>
      <c r="F59" s="43">
        <f t="shared" si="22"/>
        <v>3.2258064516129031E-2</v>
      </c>
      <c r="G59" s="43">
        <f t="shared" si="22"/>
        <v>0</v>
      </c>
      <c r="H59" s="43">
        <f t="shared" si="22"/>
        <v>0</v>
      </c>
      <c r="I59" s="43">
        <f t="shared" si="22"/>
        <v>0</v>
      </c>
      <c r="J59" s="43">
        <f t="shared" si="22"/>
        <v>3.2258064516129031E-2</v>
      </c>
      <c r="K59" s="43">
        <f t="shared" si="22"/>
        <v>0</v>
      </c>
      <c r="L59" s="43">
        <f t="shared" si="22"/>
        <v>0</v>
      </c>
      <c r="M59" s="43">
        <f t="shared" si="22"/>
        <v>0.80645161290322576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</v>
      </c>
      <c r="D60" s="44">
        <f t="shared" ref="D60:N60" si="23">D58/$O$58</f>
        <v>0</v>
      </c>
      <c r="E60" s="44">
        <f t="shared" si="23"/>
        <v>0.16666666666666666</v>
      </c>
      <c r="F60" s="44">
        <f t="shared" si="23"/>
        <v>0.16666666666666666</v>
      </c>
      <c r="G60" s="44">
        <f t="shared" si="23"/>
        <v>0</v>
      </c>
      <c r="H60" s="44">
        <f t="shared" si="23"/>
        <v>0</v>
      </c>
      <c r="I60" s="44">
        <f t="shared" si="23"/>
        <v>0</v>
      </c>
      <c r="J60" s="44">
        <f t="shared" si="23"/>
        <v>0.16666666666666666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49" zoomScale="60" workbookViewId="0">
      <selection activeCell="R5" sqref="R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'05.08 Karenga-Kotido'!C3:G3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'11.08 Kotido-Karenga'!D5</f>
        <v>11.08.19</v>
      </c>
      <c r="E5" s="3"/>
      <c r="F5" s="41" t="s">
        <v>1</v>
      </c>
      <c r="G5" s="63" t="str">
        <f>'11.08 Kotido-Karenga'!G5:H5</f>
        <v>Kabong</v>
      </c>
      <c r="H5" s="64"/>
      <c r="I5" s="14"/>
      <c r="J5" s="2" t="s">
        <v>5</v>
      </c>
      <c r="K5" s="63" t="str">
        <f>'11.08 Kotido-Karenga'!K5:L5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'05.08 Karenga-Kotido'!D6:E6</f>
        <v>Karenga</v>
      </c>
      <c r="E6" s="64"/>
      <c r="F6" s="2" t="s">
        <v>2</v>
      </c>
      <c r="G6" s="63" t="str">
        <f>'05.08 Karenga-Kotido'!G6:H6</f>
        <v>Kotido</v>
      </c>
      <c r="H6" s="64"/>
      <c r="J6" s="2" t="s">
        <v>21</v>
      </c>
      <c r="K6" s="63">
        <f>'11.08 Kotido-Karenga'!K6:L6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</v>
      </c>
      <c r="AD10" s="17">
        <f t="shared" si="2"/>
        <v>0</v>
      </c>
      <c r="AE10" s="31">
        <f t="shared" si="2"/>
        <v>0</v>
      </c>
      <c r="AF10" s="31">
        <f t="shared" si="2"/>
        <v>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</v>
      </c>
      <c r="AD11" s="17">
        <f t="shared" si="3"/>
        <v>0</v>
      </c>
      <c r="AE11" s="31">
        <f t="shared" si="3"/>
        <v>2</v>
      </c>
      <c r="AF11" s="31">
        <f t="shared" si="3"/>
        <v>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0</v>
      </c>
      <c r="P12" s="15">
        <f t="shared" si="1"/>
        <v>3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</v>
      </c>
      <c r="AD12" s="17">
        <f t="shared" si="4"/>
        <v>0</v>
      </c>
      <c r="AE12" s="31">
        <f t="shared" si="4"/>
        <v>1</v>
      </c>
      <c r="AF12" s="31">
        <f t="shared" si="4"/>
        <v>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0</v>
      </c>
      <c r="P13" s="15">
        <f t="shared" si="1"/>
        <v>1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</v>
      </c>
      <c r="AD13" s="17">
        <f t="shared" si="5"/>
        <v>0</v>
      </c>
      <c r="AE13" s="31">
        <f t="shared" si="5"/>
        <v>1</v>
      </c>
      <c r="AF13" s="31">
        <f t="shared" si="5"/>
        <v>7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2</v>
      </c>
      <c r="P14" s="15">
        <f t="shared" si="1"/>
        <v>4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</v>
      </c>
      <c r="AD14" s="17">
        <f t="shared" si="6"/>
        <v>0</v>
      </c>
      <c r="AE14" s="31">
        <f t="shared" si="6"/>
        <v>1</v>
      </c>
      <c r="AF14" s="31">
        <f t="shared" si="6"/>
        <v>7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</v>
      </c>
      <c r="AD15" s="17">
        <f t="shared" si="7"/>
        <v>0</v>
      </c>
      <c r="AE15" s="31">
        <f t="shared" si="7"/>
        <v>0</v>
      </c>
      <c r="AF15" s="31">
        <f t="shared" si="7"/>
        <v>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0</v>
      </c>
      <c r="P16" s="15">
        <f t="shared" si="1"/>
        <v>1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</v>
      </c>
      <c r="AD16" s="17">
        <f t="shared" si="8"/>
        <v>0</v>
      </c>
      <c r="AE16" s="31">
        <f t="shared" si="8"/>
        <v>2</v>
      </c>
      <c r="AF16" s="31">
        <f t="shared" si="8"/>
        <v>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0</v>
      </c>
      <c r="P17" s="15">
        <f t="shared" si="1"/>
        <v>1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12</v>
      </c>
      <c r="AD17" s="17">
        <f t="shared" si="9"/>
        <v>0</v>
      </c>
      <c r="AE17" s="31">
        <f t="shared" si="9"/>
        <v>1</v>
      </c>
      <c r="AF17" s="31">
        <f t="shared" si="9"/>
        <v>13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</v>
      </c>
      <c r="AD18" s="17">
        <f t="shared" si="10"/>
        <v>0</v>
      </c>
      <c r="AE18" s="31">
        <f t="shared" si="10"/>
        <v>1</v>
      </c>
      <c r="AF18" s="31">
        <f t="shared" si="10"/>
        <v>3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</v>
      </c>
      <c r="AD19" s="17">
        <f t="shared" si="11"/>
        <v>0</v>
      </c>
      <c r="AE19" s="31">
        <f t="shared" si="11"/>
        <v>0</v>
      </c>
      <c r="AF19" s="31">
        <f t="shared" si="11"/>
        <v>3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1</v>
      </c>
      <c r="P20" s="15">
        <f t="shared" si="1"/>
        <v>4</v>
      </c>
      <c r="R20" s="1" t="s">
        <v>16</v>
      </c>
      <c r="S20" s="17">
        <f t="shared" ref="S20:AF20" si="12">SUM(C50:C53)</f>
        <v>0</v>
      </c>
      <c r="T20" s="17">
        <f t="shared" si="12"/>
        <v>2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</v>
      </c>
      <c r="AD20" s="17">
        <f t="shared" si="12"/>
        <v>0</v>
      </c>
      <c r="AE20" s="31">
        <f t="shared" si="12"/>
        <v>4</v>
      </c>
      <c r="AF20" s="31">
        <f t="shared" si="12"/>
        <v>7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0</v>
      </c>
      <c r="P21" s="15">
        <f t="shared" si="1"/>
        <v>3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</v>
      </c>
      <c r="AD21" s="17">
        <f t="shared" si="13"/>
        <v>0</v>
      </c>
      <c r="AE21" s="31">
        <f t="shared" si="13"/>
        <v>1</v>
      </c>
      <c r="AF21" s="31">
        <f t="shared" si="13"/>
        <v>6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0</v>
      </c>
      <c r="P22" s="15">
        <f t="shared" si="1"/>
        <v>0</v>
      </c>
      <c r="R22" s="38" t="s">
        <v>90</v>
      </c>
      <c r="S22" s="39">
        <f>MAX(S10:S12)</f>
        <v>1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</v>
      </c>
      <c r="AD22" s="39">
        <f t="shared" si="14"/>
        <v>0</v>
      </c>
      <c r="AE22" s="40">
        <f t="shared" si="14"/>
        <v>2</v>
      </c>
      <c r="AF22" s="40">
        <f t="shared" si="14"/>
        <v>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0</v>
      </c>
      <c r="P23" s="15">
        <f t="shared" si="1"/>
        <v>0</v>
      </c>
      <c r="R23" s="38" t="s">
        <v>91</v>
      </c>
      <c r="S23" s="39">
        <f>MAX(S13:S18)</f>
        <v>1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12</v>
      </c>
      <c r="AD23" s="39">
        <f t="shared" si="15"/>
        <v>0</v>
      </c>
      <c r="AE23" s="40">
        <f t="shared" si="15"/>
        <v>2</v>
      </c>
      <c r="AF23" s="40">
        <f t="shared" si="15"/>
        <v>13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1</v>
      </c>
      <c r="P24" s="15">
        <f t="shared" si="1"/>
        <v>4</v>
      </c>
      <c r="R24" s="38" t="s">
        <v>92</v>
      </c>
      <c r="S24" s="39">
        <f>MAX(S19:S21)</f>
        <v>0</v>
      </c>
      <c r="T24" s="39">
        <f t="shared" ref="T24:AF24" si="16">MAX(T19:T21)</f>
        <v>2</v>
      </c>
      <c r="U24" s="39">
        <f t="shared" si="16"/>
        <v>0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5</v>
      </c>
      <c r="AD24" s="39">
        <f t="shared" si="16"/>
        <v>0</v>
      </c>
      <c r="AE24" s="40">
        <f t="shared" si="16"/>
        <v>4</v>
      </c>
      <c r="AF24" s="40">
        <f t="shared" si="16"/>
        <v>7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0</v>
      </c>
      <c r="P25" s="15">
        <f t="shared" si="1"/>
        <v>3</v>
      </c>
      <c r="R25" s="37" t="s">
        <v>85</v>
      </c>
      <c r="S25" s="35">
        <f t="shared" ref="S25:AF25" si="17">SUM(S10:S12)</f>
        <v>1</v>
      </c>
      <c r="T25" s="16">
        <f t="shared" si="17"/>
        <v>0</v>
      </c>
      <c r="U25" s="16">
        <f t="shared" si="17"/>
        <v>1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14</v>
      </c>
      <c r="AD25" s="16">
        <f t="shared" si="17"/>
        <v>0</v>
      </c>
      <c r="AE25" s="32">
        <f t="shared" si="17"/>
        <v>3</v>
      </c>
      <c r="AF25" s="32">
        <f t="shared" si="17"/>
        <v>17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28" t="s">
        <v>86</v>
      </c>
      <c r="S26" s="16">
        <f t="shared" ref="S26:AF26" si="18">SUM(S13:S18)</f>
        <v>1</v>
      </c>
      <c r="T26" s="16">
        <f t="shared" si="18"/>
        <v>1</v>
      </c>
      <c r="U26" s="16">
        <f t="shared" si="18"/>
        <v>1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2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37</v>
      </c>
      <c r="AD26" s="16">
        <f t="shared" si="18"/>
        <v>0</v>
      </c>
      <c r="AE26" s="32">
        <f t="shared" si="18"/>
        <v>6</v>
      </c>
      <c r="AF26" s="32">
        <f t="shared" si="18"/>
        <v>43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0</v>
      </c>
      <c r="P27" s="15">
        <f t="shared" si="1"/>
        <v>1</v>
      </c>
      <c r="R27" s="29" t="s">
        <v>87</v>
      </c>
      <c r="S27" s="16">
        <f t="shared" ref="S27:AF27" si="19">SUM(S19:S21)</f>
        <v>0</v>
      </c>
      <c r="T27" s="16">
        <f t="shared" si="19"/>
        <v>3</v>
      </c>
      <c r="U27" s="16">
        <f t="shared" si="19"/>
        <v>0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11</v>
      </c>
      <c r="AD27" s="16">
        <f t="shared" si="19"/>
        <v>0</v>
      </c>
      <c r="AE27" s="32">
        <f t="shared" si="19"/>
        <v>5</v>
      </c>
      <c r="AF27" s="32">
        <f t="shared" si="19"/>
        <v>16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0</v>
      </c>
      <c r="P28" s="15">
        <f t="shared" si="1"/>
        <v>1</v>
      </c>
      <c r="R28" s="5" t="s">
        <v>17</v>
      </c>
      <c r="S28" s="16">
        <f t="shared" ref="S28:AF28" si="20">SUM(S10:S21)</f>
        <v>2</v>
      </c>
      <c r="T28" s="16">
        <f t="shared" si="20"/>
        <v>4</v>
      </c>
      <c r="U28" s="16">
        <f t="shared" si="20"/>
        <v>2</v>
      </c>
      <c r="V28" s="16">
        <f t="shared" si="20"/>
        <v>1</v>
      </c>
      <c r="W28" s="16">
        <f t="shared" si="20"/>
        <v>0</v>
      </c>
      <c r="X28" s="16">
        <f t="shared" si="20"/>
        <v>0</v>
      </c>
      <c r="Y28" s="16">
        <f t="shared" si="20"/>
        <v>3</v>
      </c>
      <c r="Z28" s="16">
        <f t="shared" si="20"/>
        <v>2</v>
      </c>
      <c r="AA28" s="16">
        <f t="shared" si="20"/>
        <v>0</v>
      </c>
      <c r="AB28" s="16">
        <f t="shared" si="20"/>
        <v>0</v>
      </c>
      <c r="AC28" s="16">
        <f t="shared" si="20"/>
        <v>62</v>
      </c>
      <c r="AD28" s="16">
        <f t="shared" si="20"/>
        <v>0</v>
      </c>
      <c r="AE28" s="32">
        <f t="shared" si="20"/>
        <v>14</v>
      </c>
      <c r="AF28" s="32">
        <f t="shared" si="20"/>
        <v>76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1</v>
      </c>
      <c r="P29" s="15">
        <f t="shared" si="1"/>
        <v>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0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0</v>
      </c>
      <c r="P31" s="15">
        <f t="shared" si="1"/>
        <v>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0</v>
      </c>
      <c r="P33" s="15">
        <f t="shared" si="1"/>
        <v>1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2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0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0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1</v>
      </c>
      <c r="P39" s="15">
        <f t="shared" si="1"/>
        <v>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0</v>
      </c>
      <c r="P40" s="15">
        <f t="shared" si="1"/>
        <v>11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0</v>
      </c>
      <c r="P41" s="15">
        <f t="shared" si="1"/>
        <v>1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1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0</v>
      </c>
      <c r="P45" s="15">
        <f t="shared" si="1"/>
        <v>1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0</v>
      </c>
      <c r="P46" s="15">
        <f t="shared" si="1"/>
        <v>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0</v>
      </c>
      <c r="P48" s="15">
        <f t="shared" si="1"/>
        <v>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0</v>
      </c>
      <c r="P49" s="15">
        <f t="shared" si="1"/>
        <v>2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2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4</v>
      </c>
      <c r="P50" s="15">
        <f t="shared" si="1"/>
        <v>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0</v>
      </c>
      <c r="P51" s="15">
        <f t="shared" si="1"/>
        <v>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</v>
      </c>
      <c r="N52" s="50">
        <v>0</v>
      </c>
      <c r="O52" s="15">
        <f t="shared" si="0"/>
        <v>0</v>
      </c>
      <c r="P52" s="15">
        <f t="shared" si="1"/>
        <v>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0</v>
      </c>
      <c r="P54" s="15">
        <f t="shared" si="1"/>
        <v>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1</v>
      </c>
      <c r="P56" s="15">
        <f t="shared" si="1"/>
        <v>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</v>
      </c>
      <c r="N57" s="50">
        <v>0</v>
      </c>
      <c r="O57" s="15">
        <f t="shared" si="0"/>
        <v>0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</v>
      </c>
      <c r="D58" s="16">
        <f t="shared" si="21"/>
        <v>4</v>
      </c>
      <c r="E58" s="16">
        <f t="shared" si="21"/>
        <v>2</v>
      </c>
      <c r="F58" s="16">
        <f t="shared" si="21"/>
        <v>1</v>
      </c>
      <c r="G58" s="16">
        <f t="shared" si="21"/>
        <v>0</v>
      </c>
      <c r="H58" s="16">
        <f t="shared" si="21"/>
        <v>0</v>
      </c>
      <c r="I58" s="16">
        <f t="shared" si="21"/>
        <v>3</v>
      </c>
      <c r="J58" s="16">
        <f t="shared" si="21"/>
        <v>2</v>
      </c>
      <c r="K58" s="16">
        <f t="shared" si="21"/>
        <v>0</v>
      </c>
      <c r="L58" s="16">
        <f t="shared" si="21"/>
        <v>0</v>
      </c>
      <c r="M58" s="16">
        <f t="shared" si="21"/>
        <v>62</v>
      </c>
      <c r="N58" s="16">
        <f t="shared" si="21"/>
        <v>0</v>
      </c>
      <c r="O58" s="16">
        <f t="shared" si="21"/>
        <v>14</v>
      </c>
      <c r="P58" s="16">
        <f t="shared" si="21"/>
        <v>76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2.6315789473684209E-2</v>
      </c>
      <c r="D59" s="43">
        <f t="shared" si="22"/>
        <v>5.2631578947368418E-2</v>
      </c>
      <c r="E59" s="43">
        <f t="shared" si="22"/>
        <v>2.6315789473684209E-2</v>
      </c>
      <c r="F59" s="43">
        <f t="shared" si="22"/>
        <v>1.3157894736842105E-2</v>
      </c>
      <c r="G59" s="43">
        <f t="shared" si="22"/>
        <v>0</v>
      </c>
      <c r="H59" s="43">
        <f t="shared" si="22"/>
        <v>0</v>
      </c>
      <c r="I59" s="43">
        <f t="shared" si="22"/>
        <v>3.9473684210526314E-2</v>
      </c>
      <c r="J59" s="43">
        <f t="shared" si="22"/>
        <v>2.6315789473684209E-2</v>
      </c>
      <c r="K59" s="43">
        <f t="shared" si="22"/>
        <v>0</v>
      </c>
      <c r="L59" s="43">
        <f t="shared" si="22"/>
        <v>0</v>
      </c>
      <c r="M59" s="43">
        <f t="shared" si="22"/>
        <v>0.81578947368421051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0.14285714285714285</v>
      </c>
      <c r="D60" s="44">
        <f t="shared" ref="D60:N60" si="23">D58/$O$58</f>
        <v>0.2857142857142857</v>
      </c>
      <c r="E60" s="44">
        <f t="shared" si="23"/>
        <v>0.14285714285714285</v>
      </c>
      <c r="F60" s="44">
        <f t="shared" si="23"/>
        <v>7.1428571428571425E-2</v>
      </c>
      <c r="G60" s="44">
        <f t="shared" si="23"/>
        <v>0</v>
      </c>
      <c r="H60" s="44">
        <f t="shared" si="23"/>
        <v>0</v>
      </c>
      <c r="I60" s="44">
        <f t="shared" si="23"/>
        <v>0.21428571428571427</v>
      </c>
      <c r="J60" s="44">
        <f t="shared" si="23"/>
        <v>0.14285714285714285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O34" zoomScale="60" workbookViewId="0">
      <selection activeCell="AE56" sqref="AE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Karenga-Kotido'!C3:G3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'11.08 Kotido-Karenga'!G5:H5</f>
        <v>Kabong</v>
      </c>
      <c r="H5" s="64"/>
      <c r="I5" s="14"/>
      <c r="J5" s="2" t="s">
        <v>5</v>
      </c>
      <c r="K5" s="63" t="str">
        <f>'11.08 Kotido-Karenga'!K5:L5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Kotido-Karenga'!D6:E6</f>
        <v>Kotido</v>
      </c>
      <c r="E6" s="64"/>
      <c r="F6" s="2" t="s">
        <v>2</v>
      </c>
      <c r="G6" s="63" t="str">
        <f>'11.08 Kotido-Karenga'!G6:H6</f>
        <v>Karenga</v>
      </c>
      <c r="H6" s="64"/>
      <c r="J6" s="2" t="s">
        <v>21</v>
      </c>
      <c r="K6" s="63">
        <f>'11.08 Kotido-Karenga'!K6:L6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AVERAGE('05.08 Kotido-Karenga'!C10,'06.08 Kotido-Karenga'!C10,'07.08 Kotido-Karenga'!C10,'08.08 Kotido-Karenga'!C10,'09.08 Kotido-Karenga-24h'!C10,'10.08 Kotido-Karenga-24h'!C10,'11.08 Kotido-Karenga'!C10)</f>
        <v>0</v>
      </c>
      <c r="D10" s="49">
        <f>AVERAGE('05.08 Kotido-Karenga'!D10,'06.08 Kotido-Karenga'!D10,'07.08 Kotido-Karenga'!D10,'08.08 Kotido-Karenga'!D10,'09.08 Kotido-Karenga-24h'!D10,'10.08 Kotido-Karenga-24h'!D10,'11.08 Kotido-Karenga'!D10)</f>
        <v>0</v>
      </c>
      <c r="E10" s="49">
        <f>AVERAGE('05.08 Kotido-Karenga'!E10,'06.08 Kotido-Karenga'!E10,'07.08 Kotido-Karenga'!E10,'08.08 Kotido-Karenga'!E10,'09.08 Kotido-Karenga-24h'!E10,'10.08 Kotido-Karenga-24h'!E10,'11.08 Kotido-Karenga'!E10)</f>
        <v>0</v>
      </c>
      <c r="F10" s="49">
        <f>AVERAGE('05.08 Kotido-Karenga'!F10,'06.08 Kotido-Karenga'!F10,'07.08 Kotido-Karenga'!F10,'08.08 Kotido-Karenga'!F10,'09.08 Kotido-Karenga-24h'!F10,'10.08 Kotido-Karenga-24h'!F10,'11.08 Kotido-Karenga'!F10)</f>
        <v>0</v>
      </c>
      <c r="G10" s="49">
        <f>AVERAGE('05.08 Kotido-Karenga'!G10,'06.08 Kotido-Karenga'!G10,'07.08 Kotido-Karenga'!G10,'08.08 Kotido-Karenga'!G10,'09.08 Kotido-Karenga-24h'!G10,'10.08 Kotido-Karenga-24h'!G10,'11.08 Kotido-Karenga'!G10)</f>
        <v>0</v>
      </c>
      <c r="H10" s="49">
        <f>AVERAGE('05.08 Kotido-Karenga'!H10,'06.08 Kotido-Karenga'!H10,'07.08 Kotido-Karenga'!H10,'08.08 Kotido-Karenga'!H10,'09.08 Kotido-Karenga-24h'!H10,'10.08 Kotido-Karenga-24h'!H10,'11.08 Kotido-Karenga'!H10)</f>
        <v>0</v>
      </c>
      <c r="I10" s="49">
        <f>AVERAGE('05.08 Kotido-Karenga'!I10,'06.08 Kotido-Karenga'!I10,'07.08 Kotido-Karenga'!I10,'08.08 Kotido-Karenga'!I10,'09.08 Kotido-Karenga-24h'!I10,'10.08 Kotido-Karenga-24h'!I10,'11.08 Kotido-Karenga'!I10)</f>
        <v>0</v>
      </c>
      <c r="J10" s="49">
        <f>AVERAGE('05.08 Kotido-Karenga'!J10,'06.08 Kotido-Karenga'!J10,'07.08 Kotido-Karenga'!J10,'08.08 Kotido-Karenga'!J10,'09.08 Kotido-Karenga-24h'!J10,'10.08 Kotido-Karenga-24h'!J10,'11.08 Kotido-Karenga'!J10)</f>
        <v>0</v>
      </c>
      <c r="K10" s="49">
        <f>AVERAGE('05.08 Kotido-Karenga'!K10,'06.08 Kotido-Karenga'!K10,'07.08 Kotido-Karenga'!K10,'08.08 Kotido-Karenga'!K10,'09.08 Kotido-Karenga-24h'!K10,'10.08 Kotido-Karenga-24h'!K10,'11.08 Kotido-Karenga'!K10)</f>
        <v>0</v>
      </c>
      <c r="L10" s="49">
        <f>AVERAGE('05.08 Kotido-Karenga'!L10,'06.08 Kotido-Karenga'!L10,'07.08 Kotido-Karenga'!L10,'08.08 Kotido-Karenga'!L10,'09.08 Kotido-Karenga-24h'!L10,'10.08 Kotido-Karenga-24h'!L10,'11.08 Kotido-Karenga'!L10)</f>
        <v>0</v>
      </c>
      <c r="M10" s="49">
        <f>AVERAGE('05.08 Kotido-Karenga'!M10,'06.08 Kotido-Karenga'!M10,'07.08 Kotido-Karenga'!M10,'08.08 Kotido-Karenga'!M10,'09.08 Kotido-Karenga-24h'!M10,'10.08 Kotido-Karenga-24h'!M10,'11.08 Kotido-Karenga'!M10)</f>
        <v>1</v>
      </c>
      <c r="N10" s="49">
        <f>AVERAGE('05.08 Kotido-Karenga'!N10,'06.08 Kotido-Karenga'!N10,'07.08 Kotido-Karenga'!N10,'08.08 Kotido-Karenga'!N10,'09.08 Kotido-Karenga-24h'!N10,'10.08 Kotido-Karenga-24h'!N10,'11.08 Kotido-Karenga'!N10)</f>
        <v>0</v>
      </c>
      <c r="O10" s="15">
        <f t="shared" ref="O10:O73" si="0">SUM(C10:L10,N10)</f>
        <v>0</v>
      </c>
      <c r="P10" s="15">
        <f t="shared" ref="P10:P73" si="1">SUM(C10:N10)</f>
        <v>1</v>
      </c>
      <c r="R10" s="1" t="s">
        <v>6</v>
      </c>
      <c r="S10" s="17">
        <f t="shared" ref="S10:AF10" si="2">SUM(C10:C13)</f>
        <v>0.2857142857142857</v>
      </c>
      <c r="T10" s="17">
        <f t="shared" si="2"/>
        <v>0.42857142857142855</v>
      </c>
      <c r="U10" s="17">
        <f t="shared" si="2"/>
        <v>0.71428571428571419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0.42857142857142855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6.1428571428571423</v>
      </c>
      <c r="AD10" s="17">
        <f t="shared" si="2"/>
        <v>0</v>
      </c>
      <c r="AE10" s="31">
        <f t="shared" si="2"/>
        <v>1.8571428571428572</v>
      </c>
      <c r="AF10" s="31">
        <f t="shared" si="2"/>
        <v>8</v>
      </c>
    </row>
    <row r="11" spans="2:32" s="6" customFormat="1" ht="23.1" customHeight="1" x14ac:dyDescent="0.25">
      <c r="B11" s="23" t="s">
        <v>38</v>
      </c>
      <c r="C11" s="49">
        <f>AVERAGE('05.08 Kotido-Karenga'!C11,'06.08 Kotido-Karenga'!C11,'07.08 Kotido-Karenga'!C11,'08.08 Kotido-Karenga'!C11,'09.08 Kotido-Karenga-24h'!C11,'10.08 Kotido-Karenga-24h'!C11,'11.08 Kotido-Karenga'!C11)</f>
        <v>0.14285714285714285</v>
      </c>
      <c r="D11" s="49">
        <f>AVERAGE('05.08 Kotido-Karenga'!D11,'06.08 Kotido-Karenga'!D11,'07.08 Kotido-Karenga'!D11,'08.08 Kotido-Karenga'!D11,'09.08 Kotido-Karenga-24h'!D11,'10.08 Kotido-Karenga-24h'!D11,'11.08 Kotido-Karenga'!D11)</f>
        <v>0.14285714285714285</v>
      </c>
      <c r="E11" s="49">
        <f>AVERAGE('05.08 Kotido-Karenga'!E11,'06.08 Kotido-Karenga'!E11,'07.08 Kotido-Karenga'!E11,'08.08 Kotido-Karenga'!E11,'09.08 Kotido-Karenga-24h'!E11,'10.08 Kotido-Karenga-24h'!E11,'11.08 Kotido-Karenga'!E11)</f>
        <v>0</v>
      </c>
      <c r="F11" s="49">
        <f>AVERAGE('05.08 Kotido-Karenga'!F11,'06.08 Kotido-Karenga'!F11,'07.08 Kotido-Karenga'!F11,'08.08 Kotido-Karenga'!F11,'09.08 Kotido-Karenga-24h'!F11,'10.08 Kotido-Karenga-24h'!F11,'11.08 Kotido-Karenga'!F11)</f>
        <v>0</v>
      </c>
      <c r="G11" s="49">
        <f>AVERAGE('05.08 Kotido-Karenga'!G11,'06.08 Kotido-Karenga'!G11,'07.08 Kotido-Karenga'!G11,'08.08 Kotido-Karenga'!G11,'09.08 Kotido-Karenga-24h'!G11,'10.08 Kotido-Karenga-24h'!G11,'11.08 Kotido-Karenga'!G11)</f>
        <v>0</v>
      </c>
      <c r="H11" s="49">
        <f>AVERAGE('05.08 Kotido-Karenga'!H11,'06.08 Kotido-Karenga'!H11,'07.08 Kotido-Karenga'!H11,'08.08 Kotido-Karenga'!H11,'09.08 Kotido-Karenga-24h'!H11,'10.08 Kotido-Karenga-24h'!H11,'11.08 Kotido-Karenga'!H11)</f>
        <v>0</v>
      </c>
      <c r="I11" s="49">
        <f>AVERAGE('05.08 Kotido-Karenga'!I11,'06.08 Kotido-Karenga'!I11,'07.08 Kotido-Karenga'!I11,'08.08 Kotido-Karenga'!I11,'09.08 Kotido-Karenga-24h'!I11,'10.08 Kotido-Karenga-24h'!I11,'11.08 Kotido-Karenga'!I11)</f>
        <v>0</v>
      </c>
      <c r="J11" s="49">
        <f>AVERAGE('05.08 Kotido-Karenga'!J11,'06.08 Kotido-Karenga'!J11,'07.08 Kotido-Karenga'!J11,'08.08 Kotido-Karenga'!J11,'09.08 Kotido-Karenga-24h'!J11,'10.08 Kotido-Karenga-24h'!J11,'11.08 Kotido-Karenga'!J11)</f>
        <v>0</v>
      </c>
      <c r="K11" s="49">
        <f>AVERAGE('05.08 Kotido-Karenga'!K11,'06.08 Kotido-Karenga'!K11,'07.08 Kotido-Karenga'!K11,'08.08 Kotido-Karenga'!K11,'09.08 Kotido-Karenga-24h'!K11,'10.08 Kotido-Karenga-24h'!K11,'11.08 Kotido-Karenga'!K11)</f>
        <v>0</v>
      </c>
      <c r="L11" s="49">
        <f>AVERAGE('05.08 Kotido-Karenga'!L11,'06.08 Kotido-Karenga'!L11,'07.08 Kotido-Karenga'!L11,'08.08 Kotido-Karenga'!L11,'09.08 Kotido-Karenga-24h'!L11,'10.08 Kotido-Karenga-24h'!L11,'11.08 Kotido-Karenga'!L11)</f>
        <v>0</v>
      </c>
      <c r="M11" s="49">
        <f>AVERAGE('05.08 Kotido-Karenga'!M11,'06.08 Kotido-Karenga'!M11,'07.08 Kotido-Karenga'!M11,'08.08 Kotido-Karenga'!M11,'09.08 Kotido-Karenga-24h'!M11,'10.08 Kotido-Karenga-24h'!M11,'11.08 Kotido-Karenga'!M11)</f>
        <v>1.2857142857142858</v>
      </c>
      <c r="N11" s="49">
        <f>AVERAGE('05.08 Kotido-Karenga'!N11,'06.08 Kotido-Karenga'!N11,'07.08 Kotido-Karenga'!N11,'08.08 Kotido-Karenga'!N11,'09.08 Kotido-Karenga-24h'!N11,'10.08 Kotido-Karenga-24h'!N11,'11.08 Kotido-Karenga'!N11)</f>
        <v>0</v>
      </c>
      <c r="O11" s="15">
        <f t="shared" si="0"/>
        <v>0.2857142857142857</v>
      </c>
      <c r="P11" s="15">
        <f t="shared" si="1"/>
        <v>1.5714285714285716</v>
      </c>
      <c r="R11" s="1" t="s">
        <v>7</v>
      </c>
      <c r="S11" s="17">
        <f t="shared" ref="S11:AF11" si="3">SUM(C14:C17)</f>
        <v>0</v>
      </c>
      <c r="T11" s="17">
        <f t="shared" si="3"/>
        <v>0.14285714285714285</v>
      </c>
      <c r="U11" s="17">
        <f t="shared" si="3"/>
        <v>0.99999999999999989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0.99999999999999989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9.1428571428571423</v>
      </c>
      <c r="AD11" s="17">
        <f t="shared" si="3"/>
        <v>0</v>
      </c>
      <c r="AE11" s="31">
        <f t="shared" si="3"/>
        <v>2.1428571428571423</v>
      </c>
      <c r="AF11" s="31">
        <f t="shared" si="3"/>
        <v>11.285714285714285</v>
      </c>
    </row>
    <row r="12" spans="2:32" ht="23.1" customHeight="1" x14ac:dyDescent="0.25">
      <c r="B12" s="23" t="s">
        <v>39</v>
      </c>
      <c r="C12" s="49">
        <f>AVERAGE('05.08 Kotido-Karenga'!C12,'06.08 Kotido-Karenga'!C12,'07.08 Kotido-Karenga'!C12,'08.08 Kotido-Karenga'!C12,'09.08 Kotido-Karenga-24h'!C12,'10.08 Kotido-Karenga-24h'!C12,'11.08 Kotido-Karenga'!C12)</f>
        <v>0</v>
      </c>
      <c r="D12" s="49">
        <f>AVERAGE('05.08 Kotido-Karenga'!D12,'06.08 Kotido-Karenga'!D12,'07.08 Kotido-Karenga'!D12,'08.08 Kotido-Karenga'!D12,'09.08 Kotido-Karenga-24h'!D12,'10.08 Kotido-Karenga-24h'!D12,'11.08 Kotido-Karenga'!D12)</f>
        <v>0.14285714285714285</v>
      </c>
      <c r="E12" s="49">
        <f>AVERAGE('05.08 Kotido-Karenga'!E12,'06.08 Kotido-Karenga'!E12,'07.08 Kotido-Karenga'!E12,'08.08 Kotido-Karenga'!E12,'09.08 Kotido-Karenga-24h'!E12,'10.08 Kotido-Karenga-24h'!E12,'11.08 Kotido-Karenga'!E12)</f>
        <v>0.42857142857142855</v>
      </c>
      <c r="F12" s="49">
        <f>AVERAGE('05.08 Kotido-Karenga'!F12,'06.08 Kotido-Karenga'!F12,'07.08 Kotido-Karenga'!F12,'08.08 Kotido-Karenga'!F12,'09.08 Kotido-Karenga-24h'!F12,'10.08 Kotido-Karenga-24h'!F12,'11.08 Kotido-Karenga'!F12)</f>
        <v>0</v>
      </c>
      <c r="G12" s="49">
        <f>AVERAGE('05.08 Kotido-Karenga'!G12,'06.08 Kotido-Karenga'!G12,'07.08 Kotido-Karenga'!G12,'08.08 Kotido-Karenga'!G12,'09.08 Kotido-Karenga-24h'!G12,'10.08 Kotido-Karenga-24h'!G12,'11.08 Kotido-Karenga'!G12)</f>
        <v>0</v>
      </c>
      <c r="H12" s="49">
        <f>AVERAGE('05.08 Kotido-Karenga'!H12,'06.08 Kotido-Karenga'!H12,'07.08 Kotido-Karenga'!H12,'08.08 Kotido-Karenga'!H12,'09.08 Kotido-Karenga-24h'!H12,'10.08 Kotido-Karenga-24h'!H12,'11.08 Kotido-Karenga'!H12)</f>
        <v>0</v>
      </c>
      <c r="I12" s="49">
        <f>AVERAGE('05.08 Kotido-Karenga'!I12,'06.08 Kotido-Karenga'!I12,'07.08 Kotido-Karenga'!I12,'08.08 Kotido-Karenga'!I12,'09.08 Kotido-Karenga-24h'!I12,'10.08 Kotido-Karenga-24h'!I12,'11.08 Kotido-Karenga'!I12)</f>
        <v>0</v>
      </c>
      <c r="J12" s="49">
        <f>AVERAGE('05.08 Kotido-Karenga'!J12,'06.08 Kotido-Karenga'!J12,'07.08 Kotido-Karenga'!J12,'08.08 Kotido-Karenga'!J12,'09.08 Kotido-Karenga-24h'!J12,'10.08 Kotido-Karenga-24h'!J12,'11.08 Kotido-Karenga'!J12)</f>
        <v>0</v>
      </c>
      <c r="K12" s="49">
        <f>AVERAGE('05.08 Kotido-Karenga'!K12,'06.08 Kotido-Karenga'!K12,'07.08 Kotido-Karenga'!K12,'08.08 Kotido-Karenga'!K12,'09.08 Kotido-Karenga-24h'!K12,'10.08 Kotido-Karenga-24h'!K12,'11.08 Kotido-Karenga'!K12)</f>
        <v>0</v>
      </c>
      <c r="L12" s="49">
        <f>AVERAGE('05.08 Kotido-Karenga'!L12,'06.08 Kotido-Karenga'!L12,'07.08 Kotido-Karenga'!L12,'08.08 Kotido-Karenga'!L12,'09.08 Kotido-Karenga-24h'!L12,'10.08 Kotido-Karenga-24h'!L12,'11.08 Kotido-Karenga'!L12)</f>
        <v>0</v>
      </c>
      <c r="M12" s="49">
        <f>AVERAGE('05.08 Kotido-Karenga'!M12,'06.08 Kotido-Karenga'!M12,'07.08 Kotido-Karenga'!M12,'08.08 Kotido-Karenga'!M12,'09.08 Kotido-Karenga-24h'!M12,'10.08 Kotido-Karenga-24h'!M12,'11.08 Kotido-Karenga'!M12)</f>
        <v>1.4285714285714286</v>
      </c>
      <c r="N12" s="49">
        <f>AVERAGE('05.08 Kotido-Karenga'!N12,'06.08 Kotido-Karenga'!N12,'07.08 Kotido-Karenga'!N12,'08.08 Kotido-Karenga'!N12,'09.08 Kotido-Karenga-24h'!N12,'10.08 Kotido-Karenga-24h'!N12,'11.08 Kotido-Karenga'!N12)</f>
        <v>0</v>
      </c>
      <c r="O12" s="15">
        <f t="shared" si="0"/>
        <v>0.5714285714285714</v>
      </c>
      <c r="P12" s="15">
        <f t="shared" si="1"/>
        <v>2</v>
      </c>
      <c r="R12" s="1" t="s">
        <v>8</v>
      </c>
      <c r="S12" s="17">
        <f t="shared" ref="S12:AF12" si="4">SUM(C18:C21)</f>
        <v>0.42857142857142855</v>
      </c>
      <c r="T12" s="17">
        <f t="shared" si="4"/>
        <v>0.8571428571428571</v>
      </c>
      <c r="U12" s="17">
        <f t="shared" si="4"/>
        <v>1.8571428571428572</v>
      </c>
      <c r="V12" s="17">
        <f t="shared" si="4"/>
        <v>0</v>
      </c>
      <c r="W12" s="17">
        <f t="shared" si="4"/>
        <v>0</v>
      </c>
      <c r="X12" s="17">
        <f t="shared" si="4"/>
        <v>0.14285714285714285</v>
      </c>
      <c r="Y12" s="17">
        <f t="shared" si="4"/>
        <v>0.85714285714285698</v>
      </c>
      <c r="Z12" s="17">
        <f t="shared" si="4"/>
        <v>0</v>
      </c>
      <c r="AA12" s="17">
        <f t="shared" si="4"/>
        <v>0</v>
      </c>
      <c r="AB12" s="17">
        <f t="shared" si="4"/>
        <v>0.2857142857142857</v>
      </c>
      <c r="AC12" s="17">
        <f t="shared" si="4"/>
        <v>10.714285714285714</v>
      </c>
      <c r="AD12" s="17">
        <f t="shared" si="4"/>
        <v>0</v>
      </c>
      <c r="AE12" s="31">
        <f t="shared" si="4"/>
        <v>4.4285714285714288</v>
      </c>
      <c r="AF12" s="31">
        <f t="shared" si="4"/>
        <v>15.142857142857142</v>
      </c>
    </row>
    <row r="13" spans="2:32" ht="23.1" customHeight="1" x14ac:dyDescent="0.25">
      <c r="B13" s="23" t="s">
        <v>40</v>
      </c>
      <c r="C13" s="49">
        <f>AVERAGE('05.08 Kotido-Karenga'!C13,'06.08 Kotido-Karenga'!C13,'07.08 Kotido-Karenga'!C13,'08.08 Kotido-Karenga'!C13,'09.08 Kotido-Karenga-24h'!C13,'10.08 Kotido-Karenga-24h'!C13,'11.08 Kotido-Karenga'!C13)</f>
        <v>0.14285714285714285</v>
      </c>
      <c r="D13" s="49">
        <f>AVERAGE('05.08 Kotido-Karenga'!D13,'06.08 Kotido-Karenga'!D13,'07.08 Kotido-Karenga'!D13,'08.08 Kotido-Karenga'!D13,'09.08 Kotido-Karenga-24h'!D13,'10.08 Kotido-Karenga-24h'!D13,'11.08 Kotido-Karenga'!D13)</f>
        <v>0.14285714285714285</v>
      </c>
      <c r="E13" s="49">
        <f>AVERAGE('05.08 Kotido-Karenga'!E13,'06.08 Kotido-Karenga'!E13,'07.08 Kotido-Karenga'!E13,'08.08 Kotido-Karenga'!E13,'09.08 Kotido-Karenga-24h'!E13,'10.08 Kotido-Karenga-24h'!E13,'11.08 Kotido-Karenga'!E13)</f>
        <v>0.2857142857142857</v>
      </c>
      <c r="F13" s="49">
        <f>AVERAGE('05.08 Kotido-Karenga'!F13,'06.08 Kotido-Karenga'!F13,'07.08 Kotido-Karenga'!F13,'08.08 Kotido-Karenga'!F13,'09.08 Kotido-Karenga-24h'!F13,'10.08 Kotido-Karenga-24h'!F13,'11.08 Kotido-Karenga'!F13)</f>
        <v>0</v>
      </c>
      <c r="G13" s="49">
        <f>AVERAGE('05.08 Kotido-Karenga'!G13,'06.08 Kotido-Karenga'!G13,'07.08 Kotido-Karenga'!G13,'08.08 Kotido-Karenga'!G13,'09.08 Kotido-Karenga-24h'!G13,'10.08 Kotido-Karenga-24h'!G13,'11.08 Kotido-Karenga'!G13)</f>
        <v>0</v>
      </c>
      <c r="H13" s="49">
        <f>AVERAGE('05.08 Kotido-Karenga'!H13,'06.08 Kotido-Karenga'!H13,'07.08 Kotido-Karenga'!H13,'08.08 Kotido-Karenga'!H13,'09.08 Kotido-Karenga-24h'!H13,'10.08 Kotido-Karenga-24h'!H13,'11.08 Kotido-Karenga'!H13)</f>
        <v>0</v>
      </c>
      <c r="I13" s="49">
        <f>AVERAGE('05.08 Kotido-Karenga'!I13,'06.08 Kotido-Karenga'!I13,'07.08 Kotido-Karenga'!I13,'08.08 Kotido-Karenga'!I13,'09.08 Kotido-Karenga-24h'!I13,'10.08 Kotido-Karenga-24h'!I13,'11.08 Kotido-Karenga'!I13)</f>
        <v>0.42857142857142855</v>
      </c>
      <c r="J13" s="49">
        <f>AVERAGE('05.08 Kotido-Karenga'!J13,'06.08 Kotido-Karenga'!J13,'07.08 Kotido-Karenga'!J13,'08.08 Kotido-Karenga'!J13,'09.08 Kotido-Karenga-24h'!J13,'10.08 Kotido-Karenga-24h'!J13,'11.08 Kotido-Karenga'!J13)</f>
        <v>0</v>
      </c>
      <c r="K13" s="49">
        <f>AVERAGE('05.08 Kotido-Karenga'!K13,'06.08 Kotido-Karenga'!K13,'07.08 Kotido-Karenga'!K13,'08.08 Kotido-Karenga'!K13,'09.08 Kotido-Karenga-24h'!K13,'10.08 Kotido-Karenga-24h'!K13,'11.08 Kotido-Karenga'!K13)</f>
        <v>0</v>
      </c>
      <c r="L13" s="49">
        <f>AVERAGE('05.08 Kotido-Karenga'!L13,'06.08 Kotido-Karenga'!L13,'07.08 Kotido-Karenga'!L13,'08.08 Kotido-Karenga'!L13,'09.08 Kotido-Karenga-24h'!L13,'10.08 Kotido-Karenga-24h'!L13,'11.08 Kotido-Karenga'!L13)</f>
        <v>0</v>
      </c>
      <c r="M13" s="49">
        <f>AVERAGE('05.08 Kotido-Karenga'!M13,'06.08 Kotido-Karenga'!M13,'07.08 Kotido-Karenga'!M13,'08.08 Kotido-Karenga'!M13,'09.08 Kotido-Karenga-24h'!M13,'10.08 Kotido-Karenga-24h'!M13,'11.08 Kotido-Karenga'!M13)</f>
        <v>2.4285714285714284</v>
      </c>
      <c r="N13" s="49">
        <f>AVERAGE('05.08 Kotido-Karenga'!N13,'06.08 Kotido-Karenga'!N13,'07.08 Kotido-Karenga'!N13,'08.08 Kotido-Karenga'!N13,'09.08 Kotido-Karenga-24h'!N13,'10.08 Kotido-Karenga-24h'!N13,'11.08 Kotido-Karenga'!N13)</f>
        <v>0</v>
      </c>
      <c r="O13" s="15">
        <f t="shared" si="0"/>
        <v>1</v>
      </c>
      <c r="P13" s="15">
        <f t="shared" si="1"/>
        <v>3.4285714285714284</v>
      </c>
      <c r="R13" s="1" t="s">
        <v>9</v>
      </c>
      <c r="S13" s="17">
        <f t="shared" ref="S13:AF13" si="5">SUM(C22:C25)</f>
        <v>0.14285714285714285</v>
      </c>
      <c r="T13" s="17">
        <f t="shared" si="5"/>
        <v>0.5714285714285714</v>
      </c>
      <c r="U13" s="17">
        <f t="shared" si="5"/>
        <v>1.5714285714285712</v>
      </c>
      <c r="V13" s="17">
        <f t="shared" si="5"/>
        <v>0.5714285714285714</v>
      </c>
      <c r="W13" s="17">
        <f t="shared" si="5"/>
        <v>0</v>
      </c>
      <c r="X13" s="17">
        <f t="shared" si="5"/>
        <v>0</v>
      </c>
      <c r="Y13" s="17">
        <f t="shared" si="5"/>
        <v>0.2857142857142857</v>
      </c>
      <c r="Z13" s="17">
        <f t="shared" si="5"/>
        <v>0.2857142857142857</v>
      </c>
      <c r="AA13" s="17">
        <f t="shared" si="5"/>
        <v>0</v>
      </c>
      <c r="AB13" s="17">
        <f t="shared" si="5"/>
        <v>0</v>
      </c>
      <c r="AC13" s="17">
        <f t="shared" si="5"/>
        <v>7.5714285714285721</v>
      </c>
      <c r="AD13" s="17">
        <f t="shared" si="5"/>
        <v>0</v>
      </c>
      <c r="AE13" s="31">
        <f t="shared" si="5"/>
        <v>3.4285714285714279</v>
      </c>
      <c r="AF13" s="31">
        <f t="shared" si="5"/>
        <v>11</v>
      </c>
    </row>
    <row r="14" spans="2:32" ht="23.1" customHeight="1" x14ac:dyDescent="0.25">
      <c r="B14" s="23" t="s">
        <v>41</v>
      </c>
      <c r="C14" s="49">
        <f>AVERAGE('05.08 Kotido-Karenga'!C14,'06.08 Kotido-Karenga'!C14,'07.08 Kotido-Karenga'!C14,'08.08 Kotido-Karenga'!C14,'09.08 Kotido-Karenga-24h'!C14,'10.08 Kotido-Karenga-24h'!C14,'11.08 Kotido-Karenga'!C14)</f>
        <v>0</v>
      </c>
      <c r="D14" s="49">
        <f>AVERAGE('05.08 Kotido-Karenga'!D14,'06.08 Kotido-Karenga'!D14,'07.08 Kotido-Karenga'!D14,'08.08 Kotido-Karenga'!D14,'09.08 Kotido-Karenga-24h'!D14,'10.08 Kotido-Karenga-24h'!D14,'11.08 Kotido-Karenga'!D14)</f>
        <v>0</v>
      </c>
      <c r="E14" s="49">
        <f>AVERAGE('05.08 Kotido-Karenga'!E14,'06.08 Kotido-Karenga'!E14,'07.08 Kotido-Karenga'!E14,'08.08 Kotido-Karenga'!E14,'09.08 Kotido-Karenga-24h'!E14,'10.08 Kotido-Karenga-24h'!E14,'11.08 Kotido-Karenga'!E14)</f>
        <v>0</v>
      </c>
      <c r="F14" s="49">
        <f>AVERAGE('05.08 Kotido-Karenga'!F14,'06.08 Kotido-Karenga'!F14,'07.08 Kotido-Karenga'!F14,'08.08 Kotido-Karenga'!F14,'09.08 Kotido-Karenga-24h'!F14,'10.08 Kotido-Karenga-24h'!F14,'11.08 Kotido-Karenga'!F14)</f>
        <v>0</v>
      </c>
      <c r="G14" s="49">
        <f>AVERAGE('05.08 Kotido-Karenga'!G14,'06.08 Kotido-Karenga'!G14,'07.08 Kotido-Karenga'!G14,'08.08 Kotido-Karenga'!G14,'09.08 Kotido-Karenga-24h'!G14,'10.08 Kotido-Karenga-24h'!G14,'11.08 Kotido-Karenga'!G14)</f>
        <v>0</v>
      </c>
      <c r="H14" s="49">
        <f>AVERAGE('05.08 Kotido-Karenga'!H14,'06.08 Kotido-Karenga'!H14,'07.08 Kotido-Karenga'!H14,'08.08 Kotido-Karenga'!H14,'09.08 Kotido-Karenga-24h'!H14,'10.08 Kotido-Karenga-24h'!H14,'11.08 Kotido-Karenga'!H14)</f>
        <v>0</v>
      </c>
      <c r="I14" s="49">
        <f>AVERAGE('05.08 Kotido-Karenga'!I14,'06.08 Kotido-Karenga'!I14,'07.08 Kotido-Karenga'!I14,'08.08 Kotido-Karenga'!I14,'09.08 Kotido-Karenga-24h'!I14,'10.08 Kotido-Karenga-24h'!I14,'11.08 Kotido-Karenga'!I14)</f>
        <v>0.2857142857142857</v>
      </c>
      <c r="J14" s="49">
        <f>AVERAGE('05.08 Kotido-Karenga'!J14,'06.08 Kotido-Karenga'!J14,'07.08 Kotido-Karenga'!J14,'08.08 Kotido-Karenga'!J14,'09.08 Kotido-Karenga-24h'!J14,'10.08 Kotido-Karenga-24h'!J14,'11.08 Kotido-Karenga'!J14)</f>
        <v>0</v>
      </c>
      <c r="K14" s="49">
        <f>AVERAGE('05.08 Kotido-Karenga'!K14,'06.08 Kotido-Karenga'!K14,'07.08 Kotido-Karenga'!K14,'08.08 Kotido-Karenga'!K14,'09.08 Kotido-Karenga-24h'!K14,'10.08 Kotido-Karenga-24h'!K14,'11.08 Kotido-Karenga'!K14)</f>
        <v>0</v>
      </c>
      <c r="L14" s="49">
        <f>AVERAGE('05.08 Kotido-Karenga'!L14,'06.08 Kotido-Karenga'!L14,'07.08 Kotido-Karenga'!L14,'08.08 Kotido-Karenga'!L14,'09.08 Kotido-Karenga-24h'!L14,'10.08 Kotido-Karenga-24h'!L14,'11.08 Kotido-Karenga'!L14)</f>
        <v>0</v>
      </c>
      <c r="M14" s="49">
        <f>AVERAGE('05.08 Kotido-Karenga'!M14,'06.08 Kotido-Karenga'!M14,'07.08 Kotido-Karenga'!M14,'08.08 Kotido-Karenga'!M14,'09.08 Kotido-Karenga-24h'!M14,'10.08 Kotido-Karenga-24h'!M14,'11.08 Kotido-Karenga'!M14)</f>
        <v>1.7142857142857142</v>
      </c>
      <c r="N14" s="49">
        <f>AVERAGE('05.08 Kotido-Karenga'!N14,'06.08 Kotido-Karenga'!N14,'07.08 Kotido-Karenga'!N14,'08.08 Kotido-Karenga'!N14,'09.08 Kotido-Karenga-24h'!N14,'10.08 Kotido-Karenga-24h'!N14,'11.08 Kotido-Karenga'!N14)</f>
        <v>0</v>
      </c>
      <c r="O14" s="15">
        <f t="shared" si="0"/>
        <v>0.2857142857142857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0.99999999999999978</v>
      </c>
      <c r="U14" s="17">
        <f t="shared" si="6"/>
        <v>1.1428571428571428</v>
      </c>
      <c r="V14" s="17">
        <f t="shared" si="6"/>
        <v>0.42857142857142855</v>
      </c>
      <c r="W14" s="17">
        <f t="shared" si="6"/>
        <v>0</v>
      </c>
      <c r="X14" s="17">
        <f t="shared" si="6"/>
        <v>0</v>
      </c>
      <c r="Y14" s="17">
        <f t="shared" si="6"/>
        <v>0.2857142857142857</v>
      </c>
      <c r="Z14" s="17">
        <f t="shared" si="6"/>
        <v>0.14285714285714285</v>
      </c>
      <c r="AA14" s="17">
        <f t="shared" si="6"/>
        <v>0</v>
      </c>
      <c r="AB14" s="17">
        <f t="shared" si="6"/>
        <v>0</v>
      </c>
      <c r="AC14" s="17">
        <f t="shared" si="6"/>
        <v>8.8571428571428577</v>
      </c>
      <c r="AD14" s="17">
        <f t="shared" si="6"/>
        <v>0</v>
      </c>
      <c r="AE14" s="31">
        <f t="shared" si="6"/>
        <v>2.9999999999999996</v>
      </c>
      <c r="AF14" s="31">
        <f t="shared" si="6"/>
        <v>11.857142857142858</v>
      </c>
    </row>
    <row r="15" spans="2:32" ht="23.1" customHeight="1" x14ac:dyDescent="0.25">
      <c r="B15" s="23" t="s">
        <v>42</v>
      </c>
      <c r="C15" s="49">
        <f>AVERAGE('05.08 Kotido-Karenga'!C15,'06.08 Kotido-Karenga'!C15,'07.08 Kotido-Karenga'!C15,'08.08 Kotido-Karenga'!C15,'09.08 Kotido-Karenga-24h'!C15,'10.08 Kotido-Karenga-24h'!C15,'11.08 Kotido-Karenga'!C15)</f>
        <v>0</v>
      </c>
      <c r="D15" s="49">
        <f>AVERAGE('05.08 Kotido-Karenga'!D15,'06.08 Kotido-Karenga'!D15,'07.08 Kotido-Karenga'!D15,'08.08 Kotido-Karenga'!D15,'09.08 Kotido-Karenga-24h'!D15,'10.08 Kotido-Karenga-24h'!D15,'11.08 Kotido-Karenga'!D15)</f>
        <v>0</v>
      </c>
      <c r="E15" s="49">
        <f>AVERAGE('05.08 Kotido-Karenga'!E15,'06.08 Kotido-Karenga'!E15,'07.08 Kotido-Karenga'!E15,'08.08 Kotido-Karenga'!E15,'09.08 Kotido-Karenga-24h'!E15,'10.08 Kotido-Karenga-24h'!E15,'11.08 Kotido-Karenga'!E15)</f>
        <v>0.2857142857142857</v>
      </c>
      <c r="F15" s="49">
        <f>AVERAGE('05.08 Kotido-Karenga'!F15,'06.08 Kotido-Karenga'!F15,'07.08 Kotido-Karenga'!F15,'08.08 Kotido-Karenga'!F15,'09.08 Kotido-Karenga-24h'!F15,'10.08 Kotido-Karenga-24h'!F15,'11.08 Kotido-Karenga'!F15)</f>
        <v>0</v>
      </c>
      <c r="G15" s="49">
        <f>AVERAGE('05.08 Kotido-Karenga'!G15,'06.08 Kotido-Karenga'!G15,'07.08 Kotido-Karenga'!G15,'08.08 Kotido-Karenga'!G15,'09.08 Kotido-Karenga-24h'!G15,'10.08 Kotido-Karenga-24h'!G15,'11.08 Kotido-Karenga'!G15)</f>
        <v>0</v>
      </c>
      <c r="H15" s="49">
        <f>AVERAGE('05.08 Kotido-Karenga'!H15,'06.08 Kotido-Karenga'!H15,'07.08 Kotido-Karenga'!H15,'08.08 Kotido-Karenga'!H15,'09.08 Kotido-Karenga-24h'!H15,'10.08 Kotido-Karenga-24h'!H15,'11.08 Kotido-Karenga'!H15)</f>
        <v>0</v>
      </c>
      <c r="I15" s="49">
        <f>AVERAGE('05.08 Kotido-Karenga'!I15,'06.08 Kotido-Karenga'!I15,'07.08 Kotido-Karenga'!I15,'08.08 Kotido-Karenga'!I15,'09.08 Kotido-Karenga-24h'!I15,'10.08 Kotido-Karenga-24h'!I15,'11.08 Kotido-Karenga'!I15)</f>
        <v>0.42857142857142855</v>
      </c>
      <c r="J15" s="49">
        <f>AVERAGE('05.08 Kotido-Karenga'!J15,'06.08 Kotido-Karenga'!J15,'07.08 Kotido-Karenga'!J15,'08.08 Kotido-Karenga'!J15,'09.08 Kotido-Karenga-24h'!J15,'10.08 Kotido-Karenga-24h'!J15,'11.08 Kotido-Karenga'!J15)</f>
        <v>0</v>
      </c>
      <c r="K15" s="49">
        <f>AVERAGE('05.08 Kotido-Karenga'!K15,'06.08 Kotido-Karenga'!K15,'07.08 Kotido-Karenga'!K15,'08.08 Kotido-Karenga'!K15,'09.08 Kotido-Karenga-24h'!K15,'10.08 Kotido-Karenga-24h'!K15,'11.08 Kotido-Karenga'!K15)</f>
        <v>0</v>
      </c>
      <c r="L15" s="49">
        <f>AVERAGE('05.08 Kotido-Karenga'!L15,'06.08 Kotido-Karenga'!L15,'07.08 Kotido-Karenga'!L15,'08.08 Kotido-Karenga'!L15,'09.08 Kotido-Karenga-24h'!L15,'10.08 Kotido-Karenga-24h'!L15,'11.08 Kotido-Karenga'!L15)</f>
        <v>0</v>
      </c>
      <c r="M15" s="49">
        <f>AVERAGE('05.08 Kotido-Karenga'!M15,'06.08 Kotido-Karenga'!M15,'07.08 Kotido-Karenga'!M15,'08.08 Kotido-Karenga'!M15,'09.08 Kotido-Karenga-24h'!M15,'10.08 Kotido-Karenga-24h'!M15,'11.08 Kotido-Karenga'!M15)</f>
        <v>3.1428571428571428</v>
      </c>
      <c r="N15" s="49">
        <f>AVERAGE('05.08 Kotido-Karenga'!N15,'06.08 Kotido-Karenga'!N15,'07.08 Kotido-Karenga'!N15,'08.08 Kotido-Karenga'!N15,'09.08 Kotido-Karenga-24h'!N15,'10.08 Kotido-Karenga-24h'!N15,'11.08 Kotido-Karenga'!N15)</f>
        <v>0</v>
      </c>
      <c r="O15" s="15">
        <f t="shared" si="0"/>
        <v>0.71428571428571419</v>
      </c>
      <c r="P15" s="15">
        <f t="shared" si="1"/>
        <v>3.8571428571428568</v>
      </c>
      <c r="R15" s="1" t="s">
        <v>11</v>
      </c>
      <c r="S15" s="17">
        <f t="shared" ref="S15:AF15" si="7">SUM(C30:C33)</f>
        <v>0.14285714285714285</v>
      </c>
      <c r="T15" s="17">
        <f t="shared" si="7"/>
        <v>0.71428571428571419</v>
      </c>
      <c r="U15" s="17">
        <f t="shared" si="7"/>
        <v>0.85714285714285698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0.2857142857142857</v>
      </c>
      <c r="Z15" s="17">
        <f t="shared" si="7"/>
        <v>0.14285714285714285</v>
      </c>
      <c r="AA15" s="17">
        <f t="shared" si="7"/>
        <v>0</v>
      </c>
      <c r="AB15" s="17">
        <f t="shared" si="7"/>
        <v>0</v>
      </c>
      <c r="AC15" s="17">
        <f t="shared" si="7"/>
        <v>7.4285714285714288</v>
      </c>
      <c r="AD15" s="17">
        <f t="shared" si="7"/>
        <v>0</v>
      </c>
      <c r="AE15" s="31">
        <f t="shared" si="7"/>
        <v>2.1428571428571423</v>
      </c>
      <c r="AF15" s="31">
        <f t="shared" si="7"/>
        <v>9.5714285714285712</v>
      </c>
    </row>
    <row r="16" spans="2:32" ht="23.1" customHeight="1" x14ac:dyDescent="0.25">
      <c r="B16" s="23" t="s">
        <v>43</v>
      </c>
      <c r="C16" s="49">
        <f>AVERAGE('05.08 Kotido-Karenga'!C16,'06.08 Kotido-Karenga'!C16,'07.08 Kotido-Karenga'!C16,'08.08 Kotido-Karenga'!C16,'09.08 Kotido-Karenga-24h'!C16,'10.08 Kotido-Karenga-24h'!C16,'11.08 Kotido-Karenga'!C16)</f>
        <v>0</v>
      </c>
      <c r="D16" s="49">
        <f>AVERAGE('05.08 Kotido-Karenga'!D16,'06.08 Kotido-Karenga'!D16,'07.08 Kotido-Karenga'!D16,'08.08 Kotido-Karenga'!D16,'09.08 Kotido-Karenga-24h'!D16,'10.08 Kotido-Karenga-24h'!D16,'11.08 Kotido-Karenga'!D16)</f>
        <v>0.14285714285714285</v>
      </c>
      <c r="E16" s="49">
        <f>AVERAGE('05.08 Kotido-Karenga'!E16,'06.08 Kotido-Karenga'!E16,'07.08 Kotido-Karenga'!E16,'08.08 Kotido-Karenga'!E16,'09.08 Kotido-Karenga-24h'!E16,'10.08 Kotido-Karenga-24h'!E16,'11.08 Kotido-Karenga'!E16)</f>
        <v>0.42857142857142855</v>
      </c>
      <c r="F16" s="49">
        <f>AVERAGE('05.08 Kotido-Karenga'!F16,'06.08 Kotido-Karenga'!F16,'07.08 Kotido-Karenga'!F16,'08.08 Kotido-Karenga'!F16,'09.08 Kotido-Karenga-24h'!F16,'10.08 Kotido-Karenga-24h'!F16,'11.08 Kotido-Karenga'!F16)</f>
        <v>0</v>
      </c>
      <c r="G16" s="49">
        <f>AVERAGE('05.08 Kotido-Karenga'!G16,'06.08 Kotido-Karenga'!G16,'07.08 Kotido-Karenga'!G16,'08.08 Kotido-Karenga'!G16,'09.08 Kotido-Karenga-24h'!G16,'10.08 Kotido-Karenga-24h'!G16,'11.08 Kotido-Karenga'!G16)</f>
        <v>0</v>
      </c>
      <c r="H16" s="49">
        <f>AVERAGE('05.08 Kotido-Karenga'!H16,'06.08 Kotido-Karenga'!H16,'07.08 Kotido-Karenga'!H16,'08.08 Kotido-Karenga'!H16,'09.08 Kotido-Karenga-24h'!H16,'10.08 Kotido-Karenga-24h'!H16,'11.08 Kotido-Karenga'!H16)</f>
        <v>0</v>
      </c>
      <c r="I16" s="49">
        <f>AVERAGE('05.08 Kotido-Karenga'!I16,'06.08 Kotido-Karenga'!I16,'07.08 Kotido-Karenga'!I16,'08.08 Kotido-Karenga'!I16,'09.08 Kotido-Karenga-24h'!I16,'10.08 Kotido-Karenga-24h'!I16,'11.08 Kotido-Karenga'!I16)</f>
        <v>0</v>
      </c>
      <c r="J16" s="49">
        <f>AVERAGE('05.08 Kotido-Karenga'!J16,'06.08 Kotido-Karenga'!J16,'07.08 Kotido-Karenga'!J16,'08.08 Kotido-Karenga'!J16,'09.08 Kotido-Karenga-24h'!J16,'10.08 Kotido-Karenga-24h'!J16,'11.08 Kotido-Karenga'!J16)</f>
        <v>0</v>
      </c>
      <c r="K16" s="49">
        <f>AVERAGE('05.08 Kotido-Karenga'!K16,'06.08 Kotido-Karenga'!K16,'07.08 Kotido-Karenga'!K16,'08.08 Kotido-Karenga'!K16,'09.08 Kotido-Karenga-24h'!K16,'10.08 Kotido-Karenga-24h'!K16,'11.08 Kotido-Karenga'!K16)</f>
        <v>0</v>
      </c>
      <c r="L16" s="49">
        <f>AVERAGE('05.08 Kotido-Karenga'!L16,'06.08 Kotido-Karenga'!L16,'07.08 Kotido-Karenga'!L16,'08.08 Kotido-Karenga'!L16,'09.08 Kotido-Karenga-24h'!L16,'10.08 Kotido-Karenga-24h'!L16,'11.08 Kotido-Karenga'!L16)</f>
        <v>0</v>
      </c>
      <c r="M16" s="49">
        <f>AVERAGE('05.08 Kotido-Karenga'!M16,'06.08 Kotido-Karenga'!M16,'07.08 Kotido-Karenga'!M16,'08.08 Kotido-Karenga'!M16,'09.08 Kotido-Karenga-24h'!M16,'10.08 Kotido-Karenga-24h'!M16,'11.08 Kotido-Karenga'!M16)</f>
        <v>1.2857142857142858</v>
      </c>
      <c r="N16" s="49">
        <f>AVERAGE('05.08 Kotido-Karenga'!N16,'06.08 Kotido-Karenga'!N16,'07.08 Kotido-Karenga'!N16,'08.08 Kotido-Karenga'!N16,'09.08 Kotido-Karenga-24h'!N16,'10.08 Kotido-Karenga-24h'!N16,'11.08 Kotido-Karenga'!N16)</f>
        <v>0</v>
      </c>
      <c r="O16" s="15">
        <f t="shared" si="0"/>
        <v>0.5714285714285714</v>
      </c>
      <c r="P16" s="15">
        <f t="shared" si="1"/>
        <v>1.8571428571428572</v>
      </c>
      <c r="R16" s="1" t="s">
        <v>12</v>
      </c>
      <c r="S16" s="17">
        <f t="shared" ref="S16:AF16" si="8">SUM(C34:C37)</f>
        <v>0.14285714285714285</v>
      </c>
      <c r="T16" s="17">
        <f t="shared" si="8"/>
        <v>1.1428571428571428</v>
      </c>
      <c r="U16" s="17">
        <f t="shared" si="8"/>
        <v>0.8571428571428571</v>
      </c>
      <c r="V16" s="17">
        <f t="shared" si="8"/>
        <v>0.5714285714285714</v>
      </c>
      <c r="W16" s="17">
        <f t="shared" si="8"/>
        <v>0</v>
      </c>
      <c r="X16" s="17">
        <f t="shared" si="8"/>
        <v>0</v>
      </c>
      <c r="Y16" s="17">
        <f t="shared" si="8"/>
        <v>0.2857142857142857</v>
      </c>
      <c r="Z16" s="17">
        <f t="shared" si="8"/>
        <v>0.2857142857142857</v>
      </c>
      <c r="AA16" s="17">
        <f t="shared" si="8"/>
        <v>0</v>
      </c>
      <c r="AB16" s="17">
        <f t="shared" si="8"/>
        <v>0</v>
      </c>
      <c r="AC16" s="17">
        <f t="shared" si="8"/>
        <v>7.5714285714285712</v>
      </c>
      <c r="AD16" s="17">
        <f t="shared" si="8"/>
        <v>0.14285714285714285</v>
      </c>
      <c r="AE16" s="31">
        <f t="shared" si="8"/>
        <v>3.4285714285714284</v>
      </c>
      <c r="AF16" s="31">
        <f t="shared" si="8"/>
        <v>11</v>
      </c>
    </row>
    <row r="17" spans="2:32" ht="23.1" customHeight="1" x14ac:dyDescent="0.25">
      <c r="B17" s="23" t="s">
        <v>44</v>
      </c>
      <c r="C17" s="49">
        <f>AVERAGE('05.08 Kotido-Karenga'!C17,'06.08 Kotido-Karenga'!C17,'07.08 Kotido-Karenga'!C17,'08.08 Kotido-Karenga'!C17,'09.08 Kotido-Karenga-24h'!C17,'10.08 Kotido-Karenga-24h'!C17,'11.08 Kotido-Karenga'!C17)</f>
        <v>0</v>
      </c>
      <c r="D17" s="49">
        <f>AVERAGE('05.08 Kotido-Karenga'!D17,'06.08 Kotido-Karenga'!D17,'07.08 Kotido-Karenga'!D17,'08.08 Kotido-Karenga'!D17,'09.08 Kotido-Karenga-24h'!D17,'10.08 Kotido-Karenga-24h'!D17,'11.08 Kotido-Karenga'!D17)</f>
        <v>0</v>
      </c>
      <c r="E17" s="49">
        <f>AVERAGE('05.08 Kotido-Karenga'!E17,'06.08 Kotido-Karenga'!E17,'07.08 Kotido-Karenga'!E17,'08.08 Kotido-Karenga'!E17,'09.08 Kotido-Karenga-24h'!E17,'10.08 Kotido-Karenga-24h'!E17,'11.08 Kotido-Karenga'!E17)</f>
        <v>0.2857142857142857</v>
      </c>
      <c r="F17" s="49">
        <f>AVERAGE('05.08 Kotido-Karenga'!F17,'06.08 Kotido-Karenga'!F17,'07.08 Kotido-Karenga'!F17,'08.08 Kotido-Karenga'!F17,'09.08 Kotido-Karenga-24h'!F17,'10.08 Kotido-Karenga-24h'!F17,'11.08 Kotido-Karenga'!F17)</f>
        <v>0</v>
      </c>
      <c r="G17" s="49">
        <f>AVERAGE('05.08 Kotido-Karenga'!G17,'06.08 Kotido-Karenga'!G17,'07.08 Kotido-Karenga'!G17,'08.08 Kotido-Karenga'!G17,'09.08 Kotido-Karenga-24h'!G17,'10.08 Kotido-Karenga-24h'!G17,'11.08 Kotido-Karenga'!G17)</f>
        <v>0</v>
      </c>
      <c r="H17" s="49">
        <f>AVERAGE('05.08 Kotido-Karenga'!H17,'06.08 Kotido-Karenga'!H17,'07.08 Kotido-Karenga'!H17,'08.08 Kotido-Karenga'!H17,'09.08 Kotido-Karenga-24h'!H17,'10.08 Kotido-Karenga-24h'!H17,'11.08 Kotido-Karenga'!H17)</f>
        <v>0</v>
      </c>
      <c r="I17" s="49">
        <f>AVERAGE('05.08 Kotido-Karenga'!I17,'06.08 Kotido-Karenga'!I17,'07.08 Kotido-Karenga'!I17,'08.08 Kotido-Karenga'!I17,'09.08 Kotido-Karenga-24h'!I17,'10.08 Kotido-Karenga-24h'!I17,'11.08 Kotido-Karenga'!I17)</f>
        <v>0.2857142857142857</v>
      </c>
      <c r="J17" s="49">
        <f>AVERAGE('05.08 Kotido-Karenga'!J17,'06.08 Kotido-Karenga'!J17,'07.08 Kotido-Karenga'!J17,'08.08 Kotido-Karenga'!J17,'09.08 Kotido-Karenga-24h'!J17,'10.08 Kotido-Karenga-24h'!J17,'11.08 Kotido-Karenga'!J17)</f>
        <v>0</v>
      </c>
      <c r="K17" s="49">
        <f>AVERAGE('05.08 Kotido-Karenga'!K17,'06.08 Kotido-Karenga'!K17,'07.08 Kotido-Karenga'!K17,'08.08 Kotido-Karenga'!K17,'09.08 Kotido-Karenga-24h'!K17,'10.08 Kotido-Karenga-24h'!K17,'11.08 Kotido-Karenga'!K17)</f>
        <v>0</v>
      </c>
      <c r="L17" s="49">
        <f>AVERAGE('05.08 Kotido-Karenga'!L17,'06.08 Kotido-Karenga'!L17,'07.08 Kotido-Karenga'!L17,'08.08 Kotido-Karenga'!L17,'09.08 Kotido-Karenga-24h'!L17,'10.08 Kotido-Karenga-24h'!L17,'11.08 Kotido-Karenga'!L17)</f>
        <v>0</v>
      </c>
      <c r="M17" s="49">
        <f>AVERAGE('05.08 Kotido-Karenga'!M17,'06.08 Kotido-Karenga'!M17,'07.08 Kotido-Karenga'!M17,'08.08 Kotido-Karenga'!M17,'09.08 Kotido-Karenga-24h'!M17,'10.08 Kotido-Karenga-24h'!M17,'11.08 Kotido-Karenga'!M17)</f>
        <v>3</v>
      </c>
      <c r="N17" s="49">
        <f>AVERAGE('05.08 Kotido-Karenga'!N17,'06.08 Kotido-Karenga'!N17,'07.08 Kotido-Karenga'!N17,'08.08 Kotido-Karenga'!N17,'09.08 Kotido-Karenga-24h'!N17,'10.08 Kotido-Karenga-24h'!N17,'11.08 Kotido-Karenga'!N17)</f>
        <v>0</v>
      </c>
      <c r="O17" s="15">
        <f t="shared" si="0"/>
        <v>0.5714285714285714</v>
      </c>
      <c r="P17" s="15">
        <f t="shared" si="1"/>
        <v>3.5714285714285712</v>
      </c>
      <c r="R17" s="1" t="s">
        <v>13</v>
      </c>
      <c r="S17" s="17">
        <f t="shared" ref="S17:AF17" si="9">SUM(C38:C41)</f>
        <v>0.14285714285714285</v>
      </c>
      <c r="T17" s="17">
        <f t="shared" si="9"/>
        <v>0.2857142857142857</v>
      </c>
      <c r="U17" s="17">
        <f t="shared" si="9"/>
        <v>0.71428571428571419</v>
      </c>
      <c r="V17" s="17">
        <f t="shared" si="9"/>
        <v>0.42857142857142855</v>
      </c>
      <c r="W17" s="17">
        <f t="shared" si="9"/>
        <v>0</v>
      </c>
      <c r="X17" s="17">
        <f t="shared" si="9"/>
        <v>0</v>
      </c>
      <c r="Y17" s="17">
        <f t="shared" si="9"/>
        <v>0.5714285714285714</v>
      </c>
      <c r="Z17" s="17">
        <f t="shared" si="9"/>
        <v>0.2857142857142857</v>
      </c>
      <c r="AA17" s="17">
        <f t="shared" si="9"/>
        <v>0</v>
      </c>
      <c r="AB17" s="17">
        <f t="shared" si="9"/>
        <v>0</v>
      </c>
      <c r="AC17" s="17">
        <f t="shared" si="9"/>
        <v>5.1428571428571423</v>
      </c>
      <c r="AD17" s="17">
        <f t="shared" si="9"/>
        <v>0</v>
      </c>
      <c r="AE17" s="31">
        <f t="shared" si="9"/>
        <v>2.4285714285714284</v>
      </c>
      <c r="AF17" s="31">
        <f t="shared" si="9"/>
        <v>7.5714285714285703</v>
      </c>
    </row>
    <row r="18" spans="2:32" ht="23.1" customHeight="1" x14ac:dyDescent="0.25">
      <c r="B18" s="23" t="s">
        <v>45</v>
      </c>
      <c r="C18" s="49">
        <f>AVERAGE('05.08 Kotido-Karenga'!C18,'06.08 Kotido-Karenga'!C18,'07.08 Kotido-Karenga'!C18,'08.08 Kotido-Karenga'!C18,'09.08 Kotido-Karenga-24h'!C18,'10.08 Kotido-Karenga-24h'!C18,'11.08 Kotido-Karenga'!C18)</f>
        <v>0.2857142857142857</v>
      </c>
      <c r="D18" s="49">
        <f>AVERAGE('05.08 Kotido-Karenga'!D18,'06.08 Kotido-Karenga'!D18,'07.08 Kotido-Karenga'!D18,'08.08 Kotido-Karenga'!D18,'09.08 Kotido-Karenga-24h'!D18,'10.08 Kotido-Karenga-24h'!D18,'11.08 Kotido-Karenga'!D18)</f>
        <v>0</v>
      </c>
      <c r="E18" s="49">
        <f>AVERAGE('05.08 Kotido-Karenga'!E18,'06.08 Kotido-Karenga'!E18,'07.08 Kotido-Karenga'!E18,'08.08 Kotido-Karenga'!E18,'09.08 Kotido-Karenga-24h'!E18,'10.08 Kotido-Karenga-24h'!E18,'11.08 Kotido-Karenga'!E18)</f>
        <v>0.14285714285714285</v>
      </c>
      <c r="F18" s="49">
        <f>AVERAGE('05.08 Kotido-Karenga'!F18,'06.08 Kotido-Karenga'!F18,'07.08 Kotido-Karenga'!F18,'08.08 Kotido-Karenga'!F18,'09.08 Kotido-Karenga-24h'!F18,'10.08 Kotido-Karenga-24h'!F18,'11.08 Kotido-Karenga'!F18)</f>
        <v>0</v>
      </c>
      <c r="G18" s="49">
        <f>AVERAGE('05.08 Kotido-Karenga'!G18,'06.08 Kotido-Karenga'!G18,'07.08 Kotido-Karenga'!G18,'08.08 Kotido-Karenga'!G18,'09.08 Kotido-Karenga-24h'!G18,'10.08 Kotido-Karenga-24h'!G18,'11.08 Kotido-Karenga'!G18)</f>
        <v>0</v>
      </c>
      <c r="H18" s="49">
        <f>AVERAGE('05.08 Kotido-Karenga'!H18,'06.08 Kotido-Karenga'!H18,'07.08 Kotido-Karenga'!H18,'08.08 Kotido-Karenga'!H18,'09.08 Kotido-Karenga-24h'!H18,'10.08 Kotido-Karenga-24h'!H18,'11.08 Kotido-Karenga'!H18)</f>
        <v>0</v>
      </c>
      <c r="I18" s="49">
        <f>AVERAGE('05.08 Kotido-Karenga'!I18,'06.08 Kotido-Karenga'!I18,'07.08 Kotido-Karenga'!I18,'08.08 Kotido-Karenga'!I18,'09.08 Kotido-Karenga-24h'!I18,'10.08 Kotido-Karenga-24h'!I18,'11.08 Kotido-Karenga'!I18)</f>
        <v>0.14285714285714285</v>
      </c>
      <c r="J18" s="49">
        <f>AVERAGE('05.08 Kotido-Karenga'!J18,'06.08 Kotido-Karenga'!J18,'07.08 Kotido-Karenga'!J18,'08.08 Kotido-Karenga'!J18,'09.08 Kotido-Karenga-24h'!J18,'10.08 Kotido-Karenga-24h'!J18,'11.08 Kotido-Karenga'!J18)</f>
        <v>0</v>
      </c>
      <c r="K18" s="49">
        <f>AVERAGE('05.08 Kotido-Karenga'!K18,'06.08 Kotido-Karenga'!K18,'07.08 Kotido-Karenga'!K18,'08.08 Kotido-Karenga'!K18,'09.08 Kotido-Karenga-24h'!K18,'10.08 Kotido-Karenga-24h'!K18,'11.08 Kotido-Karenga'!K18)</f>
        <v>0</v>
      </c>
      <c r="L18" s="49">
        <f>AVERAGE('05.08 Kotido-Karenga'!L18,'06.08 Kotido-Karenga'!L18,'07.08 Kotido-Karenga'!L18,'08.08 Kotido-Karenga'!L18,'09.08 Kotido-Karenga-24h'!L18,'10.08 Kotido-Karenga-24h'!L18,'11.08 Kotido-Karenga'!L18)</f>
        <v>0.2857142857142857</v>
      </c>
      <c r="M18" s="49">
        <f>AVERAGE('05.08 Kotido-Karenga'!M18,'06.08 Kotido-Karenga'!M18,'07.08 Kotido-Karenga'!M18,'08.08 Kotido-Karenga'!M18,'09.08 Kotido-Karenga-24h'!M18,'10.08 Kotido-Karenga-24h'!M18,'11.08 Kotido-Karenga'!M18)</f>
        <v>3.2857142857142856</v>
      </c>
      <c r="N18" s="49">
        <f>AVERAGE('05.08 Kotido-Karenga'!N18,'06.08 Kotido-Karenga'!N18,'07.08 Kotido-Karenga'!N18,'08.08 Kotido-Karenga'!N18,'09.08 Kotido-Karenga-24h'!N18,'10.08 Kotido-Karenga-24h'!N18,'11.08 Kotido-Karenga'!N18)</f>
        <v>0</v>
      </c>
      <c r="O18" s="15">
        <f t="shared" si="0"/>
        <v>0.8571428571428571</v>
      </c>
      <c r="P18" s="15">
        <f t="shared" si="1"/>
        <v>4.1428571428571423</v>
      </c>
      <c r="R18" s="1" t="s">
        <v>14</v>
      </c>
      <c r="S18" s="17">
        <f t="shared" ref="S18:AF18" si="10">SUM(C42:C45)</f>
        <v>0</v>
      </c>
      <c r="T18" s="17">
        <f t="shared" si="10"/>
        <v>0.8571428571428571</v>
      </c>
      <c r="U18" s="17">
        <f t="shared" si="10"/>
        <v>0.5714285714285714</v>
      </c>
      <c r="V18" s="17">
        <f t="shared" si="10"/>
        <v>0.2857142857142857</v>
      </c>
      <c r="W18" s="17">
        <f t="shared" si="10"/>
        <v>0</v>
      </c>
      <c r="X18" s="17">
        <f t="shared" si="10"/>
        <v>0</v>
      </c>
      <c r="Y18" s="17">
        <f t="shared" si="10"/>
        <v>0.5714285714285714</v>
      </c>
      <c r="Z18" s="17">
        <f t="shared" si="10"/>
        <v>0.5714285714285714</v>
      </c>
      <c r="AA18" s="17">
        <f t="shared" si="10"/>
        <v>0</v>
      </c>
      <c r="AB18" s="17">
        <f t="shared" si="10"/>
        <v>0</v>
      </c>
      <c r="AC18" s="17">
        <f t="shared" si="10"/>
        <v>5.7142857142857144</v>
      </c>
      <c r="AD18" s="17">
        <f t="shared" si="10"/>
        <v>0</v>
      </c>
      <c r="AE18" s="31">
        <f t="shared" si="10"/>
        <v>2.8571428571428568</v>
      </c>
      <c r="AF18" s="31">
        <f t="shared" si="10"/>
        <v>8.5714285714285694</v>
      </c>
    </row>
    <row r="19" spans="2:32" ht="23.1" customHeight="1" x14ac:dyDescent="0.25">
      <c r="B19" s="23" t="s">
        <v>46</v>
      </c>
      <c r="C19" s="49">
        <f>AVERAGE('05.08 Kotido-Karenga'!C19,'06.08 Kotido-Karenga'!C19,'07.08 Kotido-Karenga'!C19,'08.08 Kotido-Karenga'!C19,'09.08 Kotido-Karenga-24h'!C19,'10.08 Kotido-Karenga-24h'!C19,'11.08 Kotido-Karenga'!C19)</f>
        <v>0</v>
      </c>
      <c r="D19" s="49">
        <f>AVERAGE('05.08 Kotido-Karenga'!D19,'06.08 Kotido-Karenga'!D19,'07.08 Kotido-Karenga'!D19,'08.08 Kotido-Karenga'!D19,'09.08 Kotido-Karenga-24h'!D19,'10.08 Kotido-Karenga-24h'!D19,'11.08 Kotido-Karenga'!D19)</f>
        <v>0.2857142857142857</v>
      </c>
      <c r="E19" s="49">
        <f>AVERAGE('05.08 Kotido-Karenga'!E19,'06.08 Kotido-Karenga'!E19,'07.08 Kotido-Karenga'!E19,'08.08 Kotido-Karenga'!E19,'09.08 Kotido-Karenga-24h'!E19,'10.08 Kotido-Karenga-24h'!E19,'11.08 Kotido-Karenga'!E19)</f>
        <v>0.7142857142857143</v>
      </c>
      <c r="F19" s="49">
        <f>AVERAGE('05.08 Kotido-Karenga'!F19,'06.08 Kotido-Karenga'!F19,'07.08 Kotido-Karenga'!F19,'08.08 Kotido-Karenga'!F19,'09.08 Kotido-Karenga-24h'!F19,'10.08 Kotido-Karenga-24h'!F19,'11.08 Kotido-Karenga'!F19)</f>
        <v>0</v>
      </c>
      <c r="G19" s="49">
        <f>AVERAGE('05.08 Kotido-Karenga'!G19,'06.08 Kotido-Karenga'!G19,'07.08 Kotido-Karenga'!G19,'08.08 Kotido-Karenga'!G19,'09.08 Kotido-Karenga-24h'!G19,'10.08 Kotido-Karenga-24h'!G19,'11.08 Kotido-Karenga'!G19)</f>
        <v>0</v>
      </c>
      <c r="H19" s="49">
        <f>AVERAGE('05.08 Kotido-Karenga'!H19,'06.08 Kotido-Karenga'!H19,'07.08 Kotido-Karenga'!H19,'08.08 Kotido-Karenga'!H19,'09.08 Kotido-Karenga-24h'!H19,'10.08 Kotido-Karenga-24h'!H19,'11.08 Kotido-Karenga'!H19)</f>
        <v>0</v>
      </c>
      <c r="I19" s="49">
        <f>AVERAGE('05.08 Kotido-Karenga'!I19,'06.08 Kotido-Karenga'!I19,'07.08 Kotido-Karenga'!I19,'08.08 Kotido-Karenga'!I19,'09.08 Kotido-Karenga-24h'!I19,'10.08 Kotido-Karenga-24h'!I19,'11.08 Kotido-Karenga'!I19)</f>
        <v>0.2857142857142857</v>
      </c>
      <c r="J19" s="49">
        <f>AVERAGE('05.08 Kotido-Karenga'!J19,'06.08 Kotido-Karenga'!J19,'07.08 Kotido-Karenga'!J19,'08.08 Kotido-Karenga'!J19,'09.08 Kotido-Karenga-24h'!J19,'10.08 Kotido-Karenga-24h'!J19,'11.08 Kotido-Karenga'!J19)</f>
        <v>0</v>
      </c>
      <c r="K19" s="49">
        <f>AVERAGE('05.08 Kotido-Karenga'!K19,'06.08 Kotido-Karenga'!K19,'07.08 Kotido-Karenga'!K19,'08.08 Kotido-Karenga'!K19,'09.08 Kotido-Karenga-24h'!K19,'10.08 Kotido-Karenga-24h'!K19,'11.08 Kotido-Karenga'!K19)</f>
        <v>0</v>
      </c>
      <c r="L19" s="49">
        <f>AVERAGE('05.08 Kotido-Karenga'!L19,'06.08 Kotido-Karenga'!L19,'07.08 Kotido-Karenga'!L19,'08.08 Kotido-Karenga'!L19,'09.08 Kotido-Karenga-24h'!L19,'10.08 Kotido-Karenga-24h'!L19,'11.08 Kotido-Karenga'!L19)</f>
        <v>0</v>
      </c>
      <c r="M19" s="49">
        <f>AVERAGE('05.08 Kotido-Karenga'!M19,'06.08 Kotido-Karenga'!M19,'07.08 Kotido-Karenga'!M19,'08.08 Kotido-Karenga'!M19,'09.08 Kotido-Karenga-24h'!M19,'10.08 Kotido-Karenga-24h'!M19,'11.08 Kotido-Karenga'!M19)</f>
        <v>2.2857142857142856</v>
      </c>
      <c r="N19" s="49">
        <f>AVERAGE('05.08 Kotido-Karenga'!N19,'06.08 Kotido-Karenga'!N19,'07.08 Kotido-Karenga'!N19,'08.08 Kotido-Karenga'!N19,'09.08 Kotido-Karenga-24h'!N19,'10.08 Kotido-Karenga-24h'!N19,'11.08 Kotido-Karenga'!N19)</f>
        <v>0</v>
      </c>
      <c r="O19" s="15">
        <f t="shared" si="0"/>
        <v>1.2857142857142856</v>
      </c>
      <c r="P19" s="15">
        <f t="shared" si="1"/>
        <v>3.5714285714285712</v>
      </c>
      <c r="R19" s="1" t="s">
        <v>15</v>
      </c>
      <c r="S19" s="17">
        <f t="shared" ref="S19:AF19" si="11">SUM(C46:C49)</f>
        <v>0.14285714285714285</v>
      </c>
      <c r="T19" s="17">
        <f t="shared" si="11"/>
        <v>0.5714285714285714</v>
      </c>
      <c r="U19" s="17">
        <f t="shared" si="11"/>
        <v>0.5714285714285714</v>
      </c>
      <c r="V19" s="17">
        <f t="shared" si="11"/>
        <v>0.5714285714285714</v>
      </c>
      <c r="W19" s="17">
        <f t="shared" si="11"/>
        <v>0</v>
      </c>
      <c r="X19" s="17">
        <f t="shared" si="11"/>
        <v>0</v>
      </c>
      <c r="Y19" s="17">
        <f t="shared" si="11"/>
        <v>0.2857142857142857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7.4285714285714279</v>
      </c>
      <c r="AD19" s="17">
        <f t="shared" si="11"/>
        <v>0</v>
      </c>
      <c r="AE19" s="31">
        <f t="shared" si="11"/>
        <v>2.1428571428571423</v>
      </c>
      <c r="AF19" s="31">
        <f t="shared" si="11"/>
        <v>9.5714285714285712</v>
      </c>
    </row>
    <row r="20" spans="2:32" ht="23.1" customHeight="1" x14ac:dyDescent="0.25">
      <c r="B20" s="23" t="s">
        <v>47</v>
      </c>
      <c r="C20" s="49">
        <f>AVERAGE('05.08 Kotido-Karenga'!C20,'06.08 Kotido-Karenga'!C20,'07.08 Kotido-Karenga'!C20,'08.08 Kotido-Karenga'!C20,'09.08 Kotido-Karenga-24h'!C20,'10.08 Kotido-Karenga-24h'!C20,'11.08 Kotido-Karenga'!C20)</f>
        <v>0.14285714285714285</v>
      </c>
      <c r="D20" s="49">
        <f>AVERAGE('05.08 Kotido-Karenga'!D20,'06.08 Kotido-Karenga'!D20,'07.08 Kotido-Karenga'!D20,'08.08 Kotido-Karenga'!D20,'09.08 Kotido-Karenga-24h'!D20,'10.08 Kotido-Karenga-24h'!D20,'11.08 Kotido-Karenga'!D20)</f>
        <v>0.14285714285714285</v>
      </c>
      <c r="E20" s="49">
        <f>AVERAGE('05.08 Kotido-Karenga'!E20,'06.08 Kotido-Karenga'!E20,'07.08 Kotido-Karenga'!E20,'08.08 Kotido-Karenga'!E20,'09.08 Kotido-Karenga-24h'!E20,'10.08 Kotido-Karenga-24h'!E20,'11.08 Kotido-Karenga'!E20)</f>
        <v>0.5714285714285714</v>
      </c>
      <c r="F20" s="49">
        <f>AVERAGE('05.08 Kotido-Karenga'!F20,'06.08 Kotido-Karenga'!F20,'07.08 Kotido-Karenga'!F20,'08.08 Kotido-Karenga'!F20,'09.08 Kotido-Karenga-24h'!F20,'10.08 Kotido-Karenga-24h'!F20,'11.08 Kotido-Karenga'!F20)</f>
        <v>0</v>
      </c>
      <c r="G20" s="49">
        <f>AVERAGE('05.08 Kotido-Karenga'!G20,'06.08 Kotido-Karenga'!G20,'07.08 Kotido-Karenga'!G20,'08.08 Kotido-Karenga'!G20,'09.08 Kotido-Karenga-24h'!G20,'10.08 Kotido-Karenga-24h'!G20,'11.08 Kotido-Karenga'!G20)</f>
        <v>0</v>
      </c>
      <c r="H20" s="49">
        <f>AVERAGE('05.08 Kotido-Karenga'!H20,'06.08 Kotido-Karenga'!H20,'07.08 Kotido-Karenga'!H20,'08.08 Kotido-Karenga'!H20,'09.08 Kotido-Karenga-24h'!H20,'10.08 Kotido-Karenga-24h'!H20,'11.08 Kotido-Karenga'!H20)</f>
        <v>0.14285714285714285</v>
      </c>
      <c r="I20" s="49">
        <f>AVERAGE('05.08 Kotido-Karenga'!I20,'06.08 Kotido-Karenga'!I20,'07.08 Kotido-Karenga'!I20,'08.08 Kotido-Karenga'!I20,'09.08 Kotido-Karenga-24h'!I20,'10.08 Kotido-Karenga-24h'!I20,'11.08 Kotido-Karenga'!I20)</f>
        <v>0.2857142857142857</v>
      </c>
      <c r="J20" s="49">
        <f>AVERAGE('05.08 Kotido-Karenga'!J20,'06.08 Kotido-Karenga'!J20,'07.08 Kotido-Karenga'!J20,'08.08 Kotido-Karenga'!J20,'09.08 Kotido-Karenga-24h'!J20,'10.08 Kotido-Karenga-24h'!J20,'11.08 Kotido-Karenga'!J20)</f>
        <v>0</v>
      </c>
      <c r="K20" s="49">
        <f>AVERAGE('05.08 Kotido-Karenga'!K20,'06.08 Kotido-Karenga'!K20,'07.08 Kotido-Karenga'!K20,'08.08 Kotido-Karenga'!K20,'09.08 Kotido-Karenga-24h'!K20,'10.08 Kotido-Karenga-24h'!K20,'11.08 Kotido-Karenga'!K20)</f>
        <v>0</v>
      </c>
      <c r="L20" s="49">
        <f>AVERAGE('05.08 Kotido-Karenga'!L20,'06.08 Kotido-Karenga'!L20,'07.08 Kotido-Karenga'!L20,'08.08 Kotido-Karenga'!L20,'09.08 Kotido-Karenga-24h'!L20,'10.08 Kotido-Karenga-24h'!L20,'11.08 Kotido-Karenga'!L20)</f>
        <v>0</v>
      </c>
      <c r="M20" s="49">
        <f>AVERAGE('05.08 Kotido-Karenga'!M20,'06.08 Kotido-Karenga'!M20,'07.08 Kotido-Karenga'!M20,'08.08 Kotido-Karenga'!M20,'09.08 Kotido-Karenga-24h'!M20,'10.08 Kotido-Karenga-24h'!M20,'11.08 Kotido-Karenga'!M20)</f>
        <v>3</v>
      </c>
      <c r="N20" s="49">
        <f>AVERAGE('05.08 Kotido-Karenga'!N20,'06.08 Kotido-Karenga'!N20,'07.08 Kotido-Karenga'!N20,'08.08 Kotido-Karenga'!N20,'09.08 Kotido-Karenga-24h'!N20,'10.08 Kotido-Karenga-24h'!N20,'11.08 Kotido-Karenga'!N20)</f>
        <v>0</v>
      </c>
      <c r="O20" s="15">
        <f t="shared" si="0"/>
        <v>1.2857142857142856</v>
      </c>
      <c r="P20" s="15">
        <f t="shared" si="1"/>
        <v>4.2857142857142856</v>
      </c>
      <c r="R20" s="1" t="s">
        <v>16</v>
      </c>
      <c r="S20" s="17">
        <f t="shared" ref="S20:AF20" si="12">SUM(C50:C53)</f>
        <v>0</v>
      </c>
      <c r="T20" s="17">
        <f t="shared" si="12"/>
        <v>0.5714285714285714</v>
      </c>
      <c r="U20" s="17">
        <f t="shared" si="12"/>
        <v>0.14285714285714285</v>
      </c>
      <c r="V20" s="17">
        <f t="shared" si="12"/>
        <v>0.5714285714285714</v>
      </c>
      <c r="W20" s="17">
        <f t="shared" si="12"/>
        <v>0</v>
      </c>
      <c r="X20" s="17">
        <f t="shared" si="12"/>
        <v>0</v>
      </c>
      <c r="Y20" s="17">
        <f t="shared" si="12"/>
        <v>0.14285714285714285</v>
      </c>
      <c r="Z20" s="17">
        <f t="shared" si="12"/>
        <v>0.14285714285714285</v>
      </c>
      <c r="AA20" s="17">
        <f t="shared" si="12"/>
        <v>0</v>
      </c>
      <c r="AB20" s="17">
        <f t="shared" si="12"/>
        <v>0</v>
      </c>
      <c r="AC20" s="17">
        <f t="shared" si="12"/>
        <v>7.4285714285714288</v>
      </c>
      <c r="AD20" s="17">
        <f t="shared" si="12"/>
        <v>0</v>
      </c>
      <c r="AE20" s="31">
        <f t="shared" si="12"/>
        <v>1.5714285714285712</v>
      </c>
      <c r="AF20" s="31">
        <f t="shared" si="12"/>
        <v>9</v>
      </c>
    </row>
    <row r="21" spans="2:32" ht="23.1" customHeight="1" x14ac:dyDescent="0.25">
      <c r="B21" s="23" t="s">
        <v>48</v>
      </c>
      <c r="C21" s="49">
        <f>AVERAGE('05.08 Kotido-Karenga'!C21,'06.08 Kotido-Karenga'!C21,'07.08 Kotido-Karenga'!C21,'08.08 Kotido-Karenga'!C21,'09.08 Kotido-Karenga-24h'!C21,'10.08 Kotido-Karenga-24h'!C21,'11.08 Kotido-Karenga'!C21)</f>
        <v>0</v>
      </c>
      <c r="D21" s="49">
        <f>AVERAGE('05.08 Kotido-Karenga'!D21,'06.08 Kotido-Karenga'!D21,'07.08 Kotido-Karenga'!D21,'08.08 Kotido-Karenga'!D21,'09.08 Kotido-Karenga-24h'!D21,'10.08 Kotido-Karenga-24h'!D21,'11.08 Kotido-Karenga'!D21)</f>
        <v>0.42857142857142855</v>
      </c>
      <c r="E21" s="49">
        <f>AVERAGE('05.08 Kotido-Karenga'!E21,'06.08 Kotido-Karenga'!E21,'07.08 Kotido-Karenga'!E21,'08.08 Kotido-Karenga'!E21,'09.08 Kotido-Karenga-24h'!E21,'10.08 Kotido-Karenga-24h'!E21,'11.08 Kotido-Karenga'!E21)</f>
        <v>0.42857142857142855</v>
      </c>
      <c r="F21" s="49">
        <f>AVERAGE('05.08 Kotido-Karenga'!F21,'06.08 Kotido-Karenga'!F21,'07.08 Kotido-Karenga'!F21,'08.08 Kotido-Karenga'!F21,'09.08 Kotido-Karenga-24h'!F21,'10.08 Kotido-Karenga-24h'!F21,'11.08 Kotido-Karenga'!F21)</f>
        <v>0</v>
      </c>
      <c r="G21" s="49">
        <f>AVERAGE('05.08 Kotido-Karenga'!G21,'06.08 Kotido-Karenga'!G21,'07.08 Kotido-Karenga'!G21,'08.08 Kotido-Karenga'!G21,'09.08 Kotido-Karenga-24h'!G21,'10.08 Kotido-Karenga-24h'!G21,'11.08 Kotido-Karenga'!G21)</f>
        <v>0</v>
      </c>
      <c r="H21" s="49">
        <f>AVERAGE('05.08 Kotido-Karenga'!H21,'06.08 Kotido-Karenga'!H21,'07.08 Kotido-Karenga'!H21,'08.08 Kotido-Karenga'!H21,'09.08 Kotido-Karenga-24h'!H21,'10.08 Kotido-Karenga-24h'!H21,'11.08 Kotido-Karenga'!H21)</f>
        <v>0</v>
      </c>
      <c r="I21" s="49">
        <f>AVERAGE('05.08 Kotido-Karenga'!I21,'06.08 Kotido-Karenga'!I21,'07.08 Kotido-Karenga'!I21,'08.08 Kotido-Karenga'!I21,'09.08 Kotido-Karenga-24h'!I21,'10.08 Kotido-Karenga-24h'!I21,'11.08 Kotido-Karenga'!I21)</f>
        <v>0.14285714285714285</v>
      </c>
      <c r="J21" s="49">
        <f>AVERAGE('05.08 Kotido-Karenga'!J21,'06.08 Kotido-Karenga'!J21,'07.08 Kotido-Karenga'!J21,'08.08 Kotido-Karenga'!J21,'09.08 Kotido-Karenga-24h'!J21,'10.08 Kotido-Karenga-24h'!J21,'11.08 Kotido-Karenga'!J21)</f>
        <v>0</v>
      </c>
      <c r="K21" s="49">
        <f>AVERAGE('05.08 Kotido-Karenga'!K21,'06.08 Kotido-Karenga'!K21,'07.08 Kotido-Karenga'!K21,'08.08 Kotido-Karenga'!K21,'09.08 Kotido-Karenga-24h'!K21,'10.08 Kotido-Karenga-24h'!K21,'11.08 Kotido-Karenga'!K21)</f>
        <v>0</v>
      </c>
      <c r="L21" s="49">
        <f>AVERAGE('05.08 Kotido-Karenga'!L21,'06.08 Kotido-Karenga'!L21,'07.08 Kotido-Karenga'!L21,'08.08 Kotido-Karenga'!L21,'09.08 Kotido-Karenga-24h'!L21,'10.08 Kotido-Karenga-24h'!L21,'11.08 Kotido-Karenga'!L21)</f>
        <v>0</v>
      </c>
      <c r="M21" s="49">
        <f>AVERAGE('05.08 Kotido-Karenga'!M21,'06.08 Kotido-Karenga'!M21,'07.08 Kotido-Karenga'!M21,'08.08 Kotido-Karenga'!M21,'09.08 Kotido-Karenga-24h'!M21,'10.08 Kotido-Karenga-24h'!M21,'11.08 Kotido-Karenga'!M21)</f>
        <v>2.1428571428571428</v>
      </c>
      <c r="N21" s="49">
        <f>AVERAGE('05.08 Kotido-Karenga'!N21,'06.08 Kotido-Karenga'!N21,'07.08 Kotido-Karenga'!N21,'08.08 Kotido-Karenga'!N21,'09.08 Kotido-Karenga-24h'!N21,'10.08 Kotido-Karenga-24h'!N21,'11.08 Kotido-Karenga'!N21)</f>
        <v>0</v>
      </c>
      <c r="O21" s="15">
        <f t="shared" si="0"/>
        <v>1</v>
      </c>
      <c r="P21" s="15">
        <f t="shared" si="1"/>
        <v>3.1428571428571428</v>
      </c>
      <c r="R21" s="1" t="s">
        <v>20</v>
      </c>
      <c r="S21" s="34">
        <f t="shared" ref="S21:AF21" si="13">SUM(C54:C57)</f>
        <v>0.2857142857142857</v>
      </c>
      <c r="T21" s="17">
        <f t="shared" si="13"/>
        <v>0.5714285714285714</v>
      </c>
      <c r="U21" s="17">
        <f t="shared" si="13"/>
        <v>0.2857142857142857</v>
      </c>
      <c r="V21" s="17">
        <f t="shared" si="13"/>
        <v>0.71428571428571419</v>
      </c>
      <c r="W21" s="17">
        <f t="shared" si="13"/>
        <v>0</v>
      </c>
      <c r="X21" s="17">
        <f t="shared" si="13"/>
        <v>0</v>
      </c>
      <c r="Y21" s="17">
        <f t="shared" si="13"/>
        <v>0.14285714285714285</v>
      </c>
      <c r="Z21" s="17">
        <f t="shared" si="13"/>
        <v>0</v>
      </c>
      <c r="AA21" s="17">
        <f t="shared" si="13"/>
        <v>0.14285714285714285</v>
      </c>
      <c r="AB21" s="17">
        <f t="shared" si="13"/>
        <v>0</v>
      </c>
      <c r="AC21" s="17">
        <f t="shared" si="13"/>
        <v>5.2857142857142865</v>
      </c>
      <c r="AD21" s="17">
        <f t="shared" si="13"/>
        <v>0</v>
      </c>
      <c r="AE21" s="31">
        <f t="shared" si="13"/>
        <v>2.1428571428571428</v>
      </c>
      <c r="AF21" s="31">
        <f t="shared" si="13"/>
        <v>7.4285714285714288</v>
      </c>
    </row>
    <row r="22" spans="2:32" ht="23.1" customHeight="1" x14ac:dyDescent="0.25">
      <c r="B22" s="23" t="s">
        <v>49</v>
      </c>
      <c r="C22" s="49">
        <f>AVERAGE('05.08 Kotido-Karenga'!C22,'06.08 Kotido-Karenga'!C22,'07.08 Kotido-Karenga'!C22,'08.08 Kotido-Karenga'!C22,'09.08 Kotido-Karenga-24h'!C22,'10.08 Kotido-Karenga-24h'!C22,'11.08 Kotido-Karenga'!C22)</f>
        <v>0</v>
      </c>
      <c r="D22" s="49">
        <f>AVERAGE('05.08 Kotido-Karenga'!D22,'06.08 Kotido-Karenga'!D22,'07.08 Kotido-Karenga'!D22,'08.08 Kotido-Karenga'!D22,'09.08 Kotido-Karenga-24h'!D22,'10.08 Kotido-Karenga-24h'!D22,'11.08 Kotido-Karenga'!D22)</f>
        <v>0.14285714285714285</v>
      </c>
      <c r="E22" s="49">
        <f>AVERAGE('05.08 Kotido-Karenga'!E22,'06.08 Kotido-Karenga'!E22,'07.08 Kotido-Karenga'!E22,'08.08 Kotido-Karenga'!E22,'09.08 Kotido-Karenga-24h'!E22,'10.08 Kotido-Karenga-24h'!E22,'11.08 Kotido-Karenga'!E22)</f>
        <v>0.2857142857142857</v>
      </c>
      <c r="F22" s="49">
        <f>AVERAGE('05.08 Kotido-Karenga'!F22,'06.08 Kotido-Karenga'!F22,'07.08 Kotido-Karenga'!F22,'08.08 Kotido-Karenga'!F22,'09.08 Kotido-Karenga-24h'!F22,'10.08 Kotido-Karenga-24h'!F22,'11.08 Kotido-Karenga'!F22)</f>
        <v>0.14285714285714285</v>
      </c>
      <c r="G22" s="49">
        <f>AVERAGE('05.08 Kotido-Karenga'!G22,'06.08 Kotido-Karenga'!G22,'07.08 Kotido-Karenga'!G22,'08.08 Kotido-Karenga'!G22,'09.08 Kotido-Karenga-24h'!G22,'10.08 Kotido-Karenga-24h'!G22,'11.08 Kotido-Karenga'!G22)</f>
        <v>0</v>
      </c>
      <c r="H22" s="49">
        <f>AVERAGE('05.08 Kotido-Karenga'!H22,'06.08 Kotido-Karenga'!H22,'07.08 Kotido-Karenga'!H22,'08.08 Kotido-Karenga'!H22,'09.08 Kotido-Karenga-24h'!H22,'10.08 Kotido-Karenga-24h'!H22,'11.08 Kotido-Karenga'!H22)</f>
        <v>0</v>
      </c>
      <c r="I22" s="49">
        <f>AVERAGE('05.08 Kotido-Karenga'!I22,'06.08 Kotido-Karenga'!I22,'07.08 Kotido-Karenga'!I22,'08.08 Kotido-Karenga'!I22,'09.08 Kotido-Karenga-24h'!I22,'10.08 Kotido-Karenga-24h'!I22,'11.08 Kotido-Karenga'!I22)</f>
        <v>0.14285714285714285</v>
      </c>
      <c r="J22" s="49">
        <f>AVERAGE('05.08 Kotido-Karenga'!J22,'06.08 Kotido-Karenga'!J22,'07.08 Kotido-Karenga'!J22,'08.08 Kotido-Karenga'!J22,'09.08 Kotido-Karenga-24h'!J22,'10.08 Kotido-Karenga-24h'!J22,'11.08 Kotido-Karenga'!J22)</f>
        <v>0</v>
      </c>
      <c r="K22" s="49">
        <f>AVERAGE('05.08 Kotido-Karenga'!K22,'06.08 Kotido-Karenga'!K22,'07.08 Kotido-Karenga'!K22,'08.08 Kotido-Karenga'!K22,'09.08 Kotido-Karenga-24h'!K22,'10.08 Kotido-Karenga-24h'!K22,'11.08 Kotido-Karenga'!K22)</f>
        <v>0</v>
      </c>
      <c r="L22" s="49">
        <f>AVERAGE('05.08 Kotido-Karenga'!L22,'06.08 Kotido-Karenga'!L22,'07.08 Kotido-Karenga'!L22,'08.08 Kotido-Karenga'!L22,'09.08 Kotido-Karenga-24h'!L22,'10.08 Kotido-Karenga-24h'!L22,'11.08 Kotido-Karenga'!L22)</f>
        <v>0</v>
      </c>
      <c r="M22" s="49">
        <f>AVERAGE('05.08 Kotido-Karenga'!M22,'06.08 Kotido-Karenga'!M22,'07.08 Kotido-Karenga'!M22,'08.08 Kotido-Karenga'!M22,'09.08 Kotido-Karenga-24h'!M22,'10.08 Kotido-Karenga-24h'!M22,'11.08 Kotido-Karenga'!M22)</f>
        <v>2.4285714285714284</v>
      </c>
      <c r="N22" s="49">
        <f>AVERAGE('05.08 Kotido-Karenga'!N22,'06.08 Kotido-Karenga'!N22,'07.08 Kotido-Karenga'!N22,'08.08 Kotido-Karenga'!N22,'09.08 Kotido-Karenga-24h'!N22,'10.08 Kotido-Karenga-24h'!N22,'11.08 Kotido-Karenga'!N22)</f>
        <v>0</v>
      </c>
      <c r="O22" s="15">
        <f t="shared" si="0"/>
        <v>0.71428571428571419</v>
      </c>
      <c r="P22" s="15">
        <f t="shared" si="1"/>
        <v>3.1428571428571423</v>
      </c>
      <c r="R22" s="1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0.5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4.5</v>
      </c>
      <c r="AD22" s="34">
        <f t="shared" si="14"/>
        <v>0</v>
      </c>
      <c r="AE22" s="31">
        <f t="shared" si="14"/>
        <v>0.5</v>
      </c>
      <c r="AF22" s="31">
        <f t="shared" si="14"/>
        <v>5</v>
      </c>
    </row>
    <row r="23" spans="2:32" ht="23.1" customHeight="1" x14ac:dyDescent="0.25">
      <c r="B23" s="23" t="s">
        <v>50</v>
      </c>
      <c r="C23" s="49">
        <f>AVERAGE('05.08 Kotido-Karenga'!C23,'06.08 Kotido-Karenga'!C23,'07.08 Kotido-Karenga'!C23,'08.08 Kotido-Karenga'!C23,'09.08 Kotido-Karenga-24h'!C23,'10.08 Kotido-Karenga-24h'!C23,'11.08 Kotido-Karenga'!C23)</f>
        <v>0.14285714285714285</v>
      </c>
      <c r="D23" s="49">
        <f>AVERAGE('05.08 Kotido-Karenga'!D23,'06.08 Kotido-Karenga'!D23,'07.08 Kotido-Karenga'!D23,'08.08 Kotido-Karenga'!D23,'09.08 Kotido-Karenga-24h'!D23,'10.08 Kotido-Karenga-24h'!D23,'11.08 Kotido-Karenga'!D23)</f>
        <v>0.2857142857142857</v>
      </c>
      <c r="E23" s="49">
        <f>AVERAGE('05.08 Kotido-Karenga'!E23,'06.08 Kotido-Karenga'!E23,'07.08 Kotido-Karenga'!E23,'08.08 Kotido-Karenga'!E23,'09.08 Kotido-Karenga-24h'!E23,'10.08 Kotido-Karenga-24h'!E23,'11.08 Kotido-Karenga'!E23)</f>
        <v>0.7142857142857143</v>
      </c>
      <c r="F23" s="49">
        <f>AVERAGE('05.08 Kotido-Karenga'!F23,'06.08 Kotido-Karenga'!F23,'07.08 Kotido-Karenga'!F23,'08.08 Kotido-Karenga'!F23,'09.08 Kotido-Karenga-24h'!F23,'10.08 Kotido-Karenga-24h'!F23,'11.08 Kotido-Karenga'!F23)</f>
        <v>0.2857142857142857</v>
      </c>
      <c r="G23" s="49">
        <f>AVERAGE('05.08 Kotido-Karenga'!G23,'06.08 Kotido-Karenga'!G23,'07.08 Kotido-Karenga'!G23,'08.08 Kotido-Karenga'!G23,'09.08 Kotido-Karenga-24h'!G23,'10.08 Kotido-Karenga-24h'!G23,'11.08 Kotido-Karenga'!G23)</f>
        <v>0</v>
      </c>
      <c r="H23" s="49">
        <f>AVERAGE('05.08 Kotido-Karenga'!H23,'06.08 Kotido-Karenga'!H23,'07.08 Kotido-Karenga'!H23,'08.08 Kotido-Karenga'!H23,'09.08 Kotido-Karenga-24h'!H23,'10.08 Kotido-Karenga-24h'!H23,'11.08 Kotido-Karenga'!H23)</f>
        <v>0</v>
      </c>
      <c r="I23" s="49">
        <f>AVERAGE('05.08 Kotido-Karenga'!I23,'06.08 Kotido-Karenga'!I23,'07.08 Kotido-Karenga'!I23,'08.08 Kotido-Karenga'!I23,'09.08 Kotido-Karenga-24h'!I23,'10.08 Kotido-Karenga-24h'!I23,'11.08 Kotido-Karenga'!I23)</f>
        <v>0</v>
      </c>
      <c r="J23" s="49">
        <f>AVERAGE('05.08 Kotido-Karenga'!J23,'06.08 Kotido-Karenga'!J23,'07.08 Kotido-Karenga'!J23,'08.08 Kotido-Karenga'!J23,'09.08 Kotido-Karenga-24h'!J23,'10.08 Kotido-Karenga-24h'!J23,'11.08 Kotido-Karenga'!J23)</f>
        <v>0</v>
      </c>
      <c r="K23" s="49">
        <f>AVERAGE('05.08 Kotido-Karenga'!K23,'06.08 Kotido-Karenga'!K23,'07.08 Kotido-Karenga'!K23,'08.08 Kotido-Karenga'!K23,'09.08 Kotido-Karenga-24h'!K23,'10.08 Kotido-Karenga-24h'!K23,'11.08 Kotido-Karenga'!K23)</f>
        <v>0</v>
      </c>
      <c r="L23" s="49">
        <f>AVERAGE('05.08 Kotido-Karenga'!L23,'06.08 Kotido-Karenga'!L23,'07.08 Kotido-Karenga'!L23,'08.08 Kotido-Karenga'!L23,'09.08 Kotido-Karenga-24h'!L23,'10.08 Kotido-Karenga-24h'!L23,'11.08 Kotido-Karenga'!L23)</f>
        <v>0</v>
      </c>
      <c r="M23" s="49">
        <f>AVERAGE('05.08 Kotido-Karenga'!M23,'06.08 Kotido-Karenga'!M23,'07.08 Kotido-Karenga'!M23,'08.08 Kotido-Karenga'!M23,'09.08 Kotido-Karenga-24h'!M23,'10.08 Kotido-Karenga-24h'!M23,'11.08 Kotido-Karenga'!M23)</f>
        <v>1.8571428571428572</v>
      </c>
      <c r="N23" s="49">
        <f>AVERAGE('05.08 Kotido-Karenga'!N23,'06.08 Kotido-Karenga'!N23,'07.08 Kotido-Karenga'!N23,'08.08 Kotido-Karenga'!N23,'09.08 Kotido-Karenga-24h'!N23,'10.08 Kotido-Karenga-24h'!N23,'11.08 Kotido-Karenga'!N23)</f>
        <v>0</v>
      </c>
      <c r="O23" s="15">
        <f t="shared" si="0"/>
        <v>1.4285714285714284</v>
      </c>
      <c r="P23" s="15">
        <f t="shared" si="1"/>
        <v>3.2857142857142856</v>
      </c>
      <c r="R23" s="1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</v>
      </c>
      <c r="AD23" s="34">
        <f t="shared" si="15"/>
        <v>0</v>
      </c>
      <c r="AE23" s="31">
        <f t="shared" si="15"/>
        <v>1</v>
      </c>
      <c r="AF23" s="31">
        <f t="shared" si="15"/>
        <v>4</v>
      </c>
    </row>
    <row r="24" spans="2:32" ht="23.1" customHeight="1" x14ac:dyDescent="0.25">
      <c r="B24" s="23" t="s">
        <v>51</v>
      </c>
      <c r="C24" s="49">
        <f>AVERAGE('05.08 Kotido-Karenga'!C24,'06.08 Kotido-Karenga'!C24,'07.08 Kotido-Karenga'!C24,'08.08 Kotido-Karenga'!C24,'09.08 Kotido-Karenga-24h'!C24,'10.08 Kotido-Karenga-24h'!C24,'11.08 Kotido-Karenga'!C24)</f>
        <v>0</v>
      </c>
      <c r="D24" s="49">
        <f>AVERAGE('05.08 Kotido-Karenga'!D24,'06.08 Kotido-Karenga'!D24,'07.08 Kotido-Karenga'!D24,'08.08 Kotido-Karenga'!D24,'09.08 Kotido-Karenga-24h'!D24,'10.08 Kotido-Karenga-24h'!D24,'11.08 Kotido-Karenga'!D24)</f>
        <v>0.14285714285714285</v>
      </c>
      <c r="E24" s="49">
        <f>AVERAGE('05.08 Kotido-Karenga'!E24,'06.08 Kotido-Karenga'!E24,'07.08 Kotido-Karenga'!E24,'08.08 Kotido-Karenga'!E24,'09.08 Kotido-Karenga-24h'!E24,'10.08 Kotido-Karenga-24h'!E24,'11.08 Kotido-Karenga'!E24)</f>
        <v>0.2857142857142857</v>
      </c>
      <c r="F24" s="49">
        <f>AVERAGE('05.08 Kotido-Karenga'!F24,'06.08 Kotido-Karenga'!F24,'07.08 Kotido-Karenga'!F24,'08.08 Kotido-Karenga'!F24,'09.08 Kotido-Karenga-24h'!F24,'10.08 Kotido-Karenga-24h'!F24,'11.08 Kotido-Karenga'!F24)</f>
        <v>0</v>
      </c>
      <c r="G24" s="49">
        <f>AVERAGE('05.08 Kotido-Karenga'!G24,'06.08 Kotido-Karenga'!G24,'07.08 Kotido-Karenga'!G24,'08.08 Kotido-Karenga'!G24,'09.08 Kotido-Karenga-24h'!G24,'10.08 Kotido-Karenga-24h'!G24,'11.08 Kotido-Karenga'!G24)</f>
        <v>0</v>
      </c>
      <c r="H24" s="49">
        <f>AVERAGE('05.08 Kotido-Karenga'!H24,'06.08 Kotido-Karenga'!H24,'07.08 Kotido-Karenga'!H24,'08.08 Kotido-Karenga'!H24,'09.08 Kotido-Karenga-24h'!H24,'10.08 Kotido-Karenga-24h'!H24,'11.08 Kotido-Karenga'!H24)</f>
        <v>0</v>
      </c>
      <c r="I24" s="49">
        <f>AVERAGE('05.08 Kotido-Karenga'!I24,'06.08 Kotido-Karenga'!I24,'07.08 Kotido-Karenga'!I24,'08.08 Kotido-Karenga'!I24,'09.08 Kotido-Karenga-24h'!I24,'10.08 Kotido-Karenga-24h'!I24,'11.08 Kotido-Karenga'!I24)</f>
        <v>0</v>
      </c>
      <c r="J24" s="49">
        <f>AVERAGE('05.08 Kotido-Karenga'!J24,'06.08 Kotido-Karenga'!J24,'07.08 Kotido-Karenga'!J24,'08.08 Kotido-Karenga'!J24,'09.08 Kotido-Karenga-24h'!J24,'10.08 Kotido-Karenga-24h'!J24,'11.08 Kotido-Karenga'!J24)</f>
        <v>0.14285714285714285</v>
      </c>
      <c r="K24" s="49">
        <f>AVERAGE('05.08 Kotido-Karenga'!K24,'06.08 Kotido-Karenga'!K24,'07.08 Kotido-Karenga'!K24,'08.08 Kotido-Karenga'!K24,'09.08 Kotido-Karenga-24h'!K24,'10.08 Kotido-Karenga-24h'!K24,'11.08 Kotido-Karenga'!K24)</f>
        <v>0</v>
      </c>
      <c r="L24" s="49">
        <f>AVERAGE('05.08 Kotido-Karenga'!L24,'06.08 Kotido-Karenga'!L24,'07.08 Kotido-Karenga'!L24,'08.08 Kotido-Karenga'!L24,'09.08 Kotido-Karenga-24h'!L24,'10.08 Kotido-Karenga-24h'!L24,'11.08 Kotido-Karenga'!L24)</f>
        <v>0</v>
      </c>
      <c r="M24" s="49">
        <f>AVERAGE('05.08 Kotido-Karenga'!M24,'06.08 Kotido-Karenga'!M24,'07.08 Kotido-Karenga'!M24,'08.08 Kotido-Karenga'!M24,'09.08 Kotido-Karenga-24h'!M24,'10.08 Kotido-Karenga-24h'!M24,'11.08 Kotido-Karenga'!M24)</f>
        <v>2.5714285714285716</v>
      </c>
      <c r="N24" s="49">
        <f>AVERAGE('05.08 Kotido-Karenga'!N24,'06.08 Kotido-Karenga'!N24,'07.08 Kotido-Karenga'!N24,'08.08 Kotido-Karenga'!N24,'09.08 Kotido-Karenga-24h'!N24,'10.08 Kotido-Karenga-24h'!N24,'11.08 Kotido-Karenga'!N24)</f>
        <v>0</v>
      </c>
      <c r="O24" s="15">
        <f t="shared" si="0"/>
        <v>0.5714285714285714</v>
      </c>
      <c r="P24" s="15">
        <f t="shared" si="1"/>
        <v>3.1428571428571432</v>
      </c>
      <c r="R24" s="1" t="s">
        <v>148</v>
      </c>
      <c r="S24" s="34">
        <f>SUM(C66:C69)</f>
        <v>0.5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2.5</v>
      </c>
      <c r="AD24" s="34">
        <f t="shared" si="16"/>
        <v>0</v>
      </c>
      <c r="AE24" s="31">
        <f t="shared" si="16"/>
        <v>0.5</v>
      </c>
      <c r="AF24" s="31">
        <f t="shared" si="16"/>
        <v>3</v>
      </c>
    </row>
    <row r="25" spans="2:32" ht="23.1" customHeight="1" x14ac:dyDescent="0.25">
      <c r="B25" s="23" t="s">
        <v>52</v>
      </c>
      <c r="C25" s="49">
        <f>AVERAGE('05.08 Kotido-Karenga'!C25,'06.08 Kotido-Karenga'!C25,'07.08 Kotido-Karenga'!C25,'08.08 Kotido-Karenga'!C25,'09.08 Kotido-Karenga-24h'!C25,'10.08 Kotido-Karenga-24h'!C25,'11.08 Kotido-Karenga'!C25)</f>
        <v>0</v>
      </c>
      <c r="D25" s="49">
        <f>AVERAGE('05.08 Kotido-Karenga'!D25,'06.08 Kotido-Karenga'!D25,'07.08 Kotido-Karenga'!D25,'08.08 Kotido-Karenga'!D25,'09.08 Kotido-Karenga-24h'!D25,'10.08 Kotido-Karenga-24h'!D25,'11.08 Kotido-Karenga'!D25)</f>
        <v>0</v>
      </c>
      <c r="E25" s="49">
        <f>AVERAGE('05.08 Kotido-Karenga'!E25,'06.08 Kotido-Karenga'!E25,'07.08 Kotido-Karenga'!E25,'08.08 Kotido-Karenga'!E25,'09.08 Kotido-Karenga-24h'!E25,'10.08 Kotido-Karenga-24h'!E25,'11.08 Kotido-Karenga'!E25)</f>
        <v>0.2857142857142857</v>
      </c>
      <c r="F25" s="49">
        <f>AVERAGE('05.08 Kotido-Karenga'!F25,'06.08 Kotido-Karenga'!F25,'07.08 Kotido-Karenga'!F25,'08.08 Kotido-Karenga'!F25,'09.08 Kotido-Karenga-24h'!F25,'10.08 Kotido-Karenga-24h'!F25,'11.08 Kotido-Karenga'!F25)</f>
        <v>0.14285714285714285</v>
      </c>
      <c r="G25" s="49">
        <f>AVERAGE('05.08 Kotido-Karenga'!G25,'06.08 Kotido-Karenga'!G25,'07.08 Kotido-Karenga'!G25,'08.08 Kotido-Karenga'!G25,'09.08 Kotido-Karenga-24h'!G25,'10.08 Kotido-Karenga-24h'!G25,'11.08 Kotido-Karenga'!G25)</f>
        <v>0</v>
      </c>
      <c r="H25" s="49">
        <f>AVERAGE('05.08 Kotido-Karenga'!H25,'06.08 Kotido-Karenga'!H25,'07.08 Kotido-Karenga'!H25,'08.08 Kotido-Karenga'!H25,'09.08 Kotido-Karenga-24h'!H25,'10.08 Kotido-Karenga-24h'!H25,'11.08 Kotido-Karenga'!H25)</f>
        <v>0</v>
      </c>
      <c r="I25" s="49">
        <f>AVERAGE('05.08 Kotido-Karenga'!I25,'06.08 Kotido-Karenga'!I25,'07.08 Kotido-Karenga'!I25,'08.08 Kotido-Karenga'!I25,'09.08 Kotido-Karenga-24h'!I25,'10.08 Kotido-Karenga-24h'!I25,'11.08 Kotido-Karenga'!I25)</f>
        <v>0.14285714285714285</v>
      </c>
      <c r="J25" s="49">
        <f>AVERAGE('05.08 Kotido-Karenga'!J25,'06.08 Kotido-Karenga'!J25,'07.08 Kotido-Karenga'!J25,'08.08 Kotido-Karenga'!J25,'09.08 Kotido-Karenga-24h'!J25,'10.08 Kotido-Karenga-24h'!J25,'11.08 Kotido-Karenga'!J25)</f>
        <v>0.14285714285714285</v>
      </c>
      <c r="K25" s="49">
        <f>AVERAGE('05.08 Kotido-Karenga'!K25,'06.08 Kotido-Karenga'!K25,'07.08 Kotido-Karenga'!K25,'08.08 Kotido-Karenga'!K25,'09.08 Kotido-Karenga-24h'!K25,'10.08 Kotido-Karenga-24h'!K25,'11.08 Kotido-Karenga'!K25)</f>
        <v>0</v>
      </c>
      <c r="L25" s="49">
        <f>AVERAGE('05.08 Kotido-Karenga'!L25,'06.08 Kotido-Karenga'!L25,'07.08 Kotido-Karenga'!L25,'08.08 Kotido-Karenga'!L25,'09.08 Kotido-Karenga-24h'!L25,'10.08 Kotido-Karenga-24h'!L25,'11.08 Kotido-Karenga'!L25)</f>
        <v>0</v>
      </c>
      <c r="M25" s="49">
        <f>AVERAGE('05.08 Kotido-Karenga'!M25,'06.08 Kotido-Karenga'!M25,'07.08 Kotido-Karenga'!M25,'08.08 Kotido-Karenga'!M25,'09.08 Kotido-Karenga-24h'!M25,'10.08 Kotido-Karenga-24h'!M25,'11.08 Kotido-Karenga'!M25)</f>
        <v>0.7142857142857143</v>
      </c>
      <c r="N25" s="49">
        <f>AVERAGE('05.08 Kotido-Karenga'!N25,'06.08 Kotido-Karenga'!N25,'07.08 Kotido-Karenga'!N25,'08.08 Kotido-Karenga'!N25,'09.08 Kotido-Karenga-24h'!N25,'10.08 Kotido-Karenga-24h'!N25,'11.08 Kotido-Karenga'!N25)</f>
        <v>0</v>
      </c>
      <c r="O25" s="15">
        <f t="shared" si="0"/>
        <v>0.71428571428571419</v>
      </c>
      <c r="P25" s="15">
        <f t="shared" si="1"/>
        <v>1.4285714285714284</v>
      </c>
      <c r="R25" s="1" t="s">
        <v>149</v>
      </c>
      <c r="S25" s="34">
        <f>SUM(C70:C73)</f>
        <v>0.5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0.5</v>
      </c>
      <c r="AF25" s="31">
        <f t="shared" si="17"/>
        <v>3.5</v>
      </c>
    </row>
    <row r="26" spans="2:32" ht="23.1" customHeight="1" x14ac:dyDescent="0.25">
      <c r="B26" s="23" t="s">
        <v>53</v>
      </c>
      <c r="C26" s="49">
        <f>AVERAGE('05.08 Kotido-Karenga'!C26,'06.08 Kotido-Karenga'!C26,'07.08 Kotido-Karenga'!C26,'08.08 Kotido-Karenga'!C26,'09.08 Kotido-Karenga-24h'!C26,'10.08 Kotido-Karenga-24h'!C26,'11.08 Kotido-Karenga'!C26)</f>
        <v>0</v>
      </c>
      <c r="D26" s="49">
        <f>AVERAGE('05.08 Kotido-Karenga'!D26,'06.08 Kotido-Karenga'!D26,'07.08 Kotido-Karenga'!D26,'08.08 Kotido-Karenga'!D26,'09.08 Kotido-Karenga-24h'!D26,'10.08 Kotido-Karenga-24h'!D26,'11.08 Kotido-Karenga'!D26)</f>
        <v>0.42857142857142855</v>
      </c>
      <c r="E26" s="49">
        <f>AVERAGE('05.08 Kotido-Karenga'!E26,'06.08 Kotido-Karenga'!E26,'07.08 Kotido-Karenga'!E26,'08.08 Kotido-Karenga'!E26,'09.08 Kotido-Karenga-24h'!E26,'10.08 Kotido-Karenga-24h'!E26,'11.08 Kotido-Karenga'!E26)</f>
        <v>0.2857142857142857</v>
      </c>
      <c r="F26" s="49">
        <f>AVERAGE('05.08 Kotido-Karenga'!F26,'06.08 Kotido-Karenga'!F26,'07.08 Kotido-Karenga'!F26,'08.08 Kotido-Karenga'!F26,'09.08 Kotido-Karenga-24h'!F26,'10.08 Kotido-Karenga-24h'!F26,'11.08 Kotido-Karenga'!F26)</f>
        <v>0.2857142857142857</v>
      </c>
      <c r="G26" s="49">
        <f>AVERAGE('05.08 Kotido-Karenga'!G26,'06.08 Kotido-Karenga'!G26,'07.08 Kotido-Karenga'!G26,'08.08 Kotido-Karenga'!G26,'09.08 Kotido-Karenga-24h'!G26,'10.08 Kotido-Karenga-24h'!G26,'11.08 Kotido-Karenga'!G26)</f>
        <v>0</v>
      </c>
      <c r="H26" s="49">
        <f>AVERAGE('05.08 Kotido-Karenga'!H26,'06.08 Kotido-Karenga'!H26,'07.08 Kotido-Karenga'!H26,'08.08 Kotido-Karenga'!H26,'09.08 Kotido-Karenga-24h'!H26,'10.08 Kotido-Karenga-24h'!H26,'11.08 Kotido-Karenga'!H26)</f>
        <v>0</v>
      </c>
      <c r="I26" s="49">
        <f>AVERAGE('05.08 Kotido-Karenga'!I26,'06.08 Kotido-Karenga'!I26,'07.08 Kotido-Karenga'!I26,'08.08 Kotido-Karenga'!I26,'09.08 Kotido-Karenga-24h'!I26,'10.08 Kotido-Karenga-24h'!I26,'11.08 Kotido-Karenga'!I26)</f>
        <v>0.14285714285714285</v>
      </c>
      <c r="J26" s="49">
        <f>AVERAGE('05.08 Kotido-Karenga'!J26,'06.08 Kotido-Karenga'!J26,'07.08 Kotido-Karenga'!J26,'08.08 Kotido-Karenga'!J26,'09.08 Kotido-Karenga-24h'!J26,'10.08 Kotido-Karenga-24h'!J26,'11.08 Kotido-Karenga'!J26)</f>
        <v>0</v>
      </c>
      <c r="K26" s="49">
        <f>AVERAGE('05.08 Kotido-Karenga'!K26,'06.08 Kotido-Karenga'!K26,'07.08 Kotido-Karenga'!K26,'08.08 Kotido-Karenga'!K26,'09.08 Kotido-Karenga-24h'!K26,'10.08 Kotido-Karenga-24h'!K26,'11.08 Kotido-Karenga'!K26)</f>
        <v>0</v>
      </c>
      <c r="L26" s="49">
        <f>AVERAGE('05.08 Kotido-Karenga'!L26,'06.08 Kotido-Karenga'!L26,'07.08 Kotido-Karenga'!L26,'08.08 Kotido-Karenga'!L26,'09.08 Kotido-Karenga-24h'!L26,'10.08 Kotido-Karenga-24h'!L26,'11.08 Kotido-Karenga'!L26)</f>
        <v>0</v>
      </c>
      <c r="M26" s="49">
        <f>AVERAGE('05.08 Kotido-Karenga'!M26,'06.08 Kotido-Karenga'!M26,'07.08 Kotido-Karenga'!M26,'08.08 Kotido-Karenga'!M26,'09.08 Kotido-Karenga-24h'!M26,'10.08 Kotido-Karenga-24h'!M26,'11.08 Kotido-Karenga'!M26)</f>
        <v>2.5714285714285716</v>
      </c>
      <c r="N26" s="49">
        <f>AVERAGE('05.08 Kotido-Karenga'!N26,'06.08 Kotido-Karenga'!N26,'07.08 Kotido-Karenga'!N26,'08.08 Kotido-Karenga'!N26,'09.08 Kotido-Karenga-24h'!N26,'10.08 Kotido-Karenga-24h'!N26,'11.08 Kotido-Karenga'!N26)</f>
        <v>0</v>
      </c>
      <c r="O26" s="15">
        <f t="shared" si="0"/>
        <v>1.1428571428571428</v>
      </c>
      <c r="P26" s="15">
        <f t="shared" si="1"/>
        <v>3.7142857142857144</v>
      </c>
      <c r="R26" s="1" t="s">
        <v>150</v>
      </c>
      <c r="S26" s="34">
        <f>SUM(C74:C77)</f>
        <v>0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1.5</v>
      </c>
      <c r="AD26" s="34">
        <f t="shared" si="18"/>
        <v>0</v>
      </c>
      <c r="AE26" s="31">
        <f t="shared" si="18"/>
        <v>0.5</v>
      </c>
      <c r="AF26" s="31">
        <f t="shared" si="18"/>
        <v>2</v>
      </c>
    </row>
    <row r="27" spans="2:32" ht="23.1" customHeight="1" x14ac:dyDescent="0.25">
      <c r="B27" s="23" t="s">
        <v>54</v>
      </c>
      <c r="C27" s="49">
        <f>AVERAGE('05.08 Kotido-Karenga'!C27,'06.08 Kotido-Karenga'!C27,'07.08 Kotido-Karenga'!C27,'08.08 Kotido-Karenga'!C27,'09.08 Kotido-Karenga-24h'!C27,'10.08 Kotido-Karenga-24h'!C27,'11.08 Kotido-Karenga'!C27)</f>
        <v>0</v>
      </c>
      <c r="D27" s="49">
        <f>AVERAGE('05.08 Kotido-Karenga'!D27,'06.08 Kotido-Karenga'!D27,'07.08 Kotido-Karenga'!D27,'08.08 Kotido-Karenga'!D27,'09.08 Kotido-Karenga-24h'!D27,'10.08 Kotido-Karenga-24h'!D27,'11.08 Kotido-Karenga'!D27)</f>
        <v>0.2857142857142857</v>
      </c>
      <c r="E27" s="49">
        <f>AVERAGE('05.08 Kotido-Karenga'!E27,'06.08 Kotido-Karenga'!E27,'07.08 Kotido-Karenga'!E27,'08.08 Kotido-Karenga'!E27,'09.08 Kotido-Karenga-24h'!E27,'10.08 Kotido-Karenga-24h'!E27,'11.08 Kotido-Karenga'!E27)</f>
        <v>0.5714285714285714</v>
      </c>
      <c r="F27" s="49">
        <f>AVERAGE('05.08 Kotido-Karenga'!F27,'06.08 Kotido-Karenga'!F27,'07.08 Kotido-Karenga'!F27,'08.08 Kotido-Karenga'!F27,'09.08 Kotido-Karenga-24h'!F27,'10.08 Kotido-Karenga-24h'!F27,'11.08 Kotido-Karenga'!F27)</f>
        <v>0</v>
      </c>
      <c r="G27" s="49">
        <f>AVERAGE('05.08 Kotido-Karenga'!G27,'06.08 Kotido-Karenga'!G27,'07.08 Kotido-Karenga'!G27,'08.08 Kotido-Karenga'!G27,'09.08 Kotido-Karenga-24h'!G27,'10.08 Kotido-Karenga-24h'!G27,'11.08 Kotido-Karenga'!G27)</f>
        <v>0</v>
      </c>
      <c r="H27" s="49">
        <f>AVERAGE('05.08 Kotido-Karenga'!H27,'06.08 Kotido-Karenga'!H27,'07.08 Kotido-Karenga'!H27,'08.08 Kotido-Karenga'!H27,'09.08 Kotido-Karenga-24h'!H27,'10.08 Kotido-Karenga-24h'!H27,'11.08 Kotido-Karenga'!H27)</f>
        <v>0</v>
      </c>
      <c r="I27" s="49">
        <f>AVERAGE('05.08 Kotido-Karenga'!I27,'06.08 Kotido-Karenga'!I27,'07.08 Kotido-Karenga'!I27,'08.08 Kotido-Karenga'!I27,'09.08 Kotido-Karenga-24h'!I27,'10.08 Kotido-Karenga-24h'!I27,'11.08 Kotido-Karenga'!I27)</f>
        <v>0.14285714285714285</v>
      </c>
      <c r="J27" s="49">
        <f>AVERAGE('05.08 Kotido-Karenga'!J27,'06.08 Kotido-Karenga'!J27,'07.08 Kotido-Karenga'!J27,'08.08 Kotido-Karenga'!J27,'09.08 Kotido-Karenga-24h'!J27,'10.08 Kotido-Karenga-24h'!J27,'11.08 Kotido-Karenga'!J27)</f>
        <v>0.14285714285714285</v>
      </c>
      <c r="K27" s="49">
        <f>AVERAGE('05.08 Kotido-Karenga'!K27,'06.08 Kotido-Karenga'!K27,'07.08 Kotido-Karenga'!K27,'08.08 Kotido-Karenga'!K27,'09.08 Kotido-Karenga-24h'!K27,'10.08 Kotido-Karenga-24h'!K27,'11.08 Kotido-Karenga'!K27)</f>
        <v>0</v>
      </c>
      <c r="L27" s="49">
        <f>AVERAGE('05.08 Kotido-Karenga'!L27,'06.08 Kotido-Karenga'!L27,'07.08 Kotido-Karenga'!L27,'08.08 Kotido-Karenga'!L27,'09.08 Kotido-Karenga-24h'!L27,'10.08 Kotido-Karenga-24h'!L27,'11.08 Kotido-Karenga'!L27)</f>
        <v>0</v>
      </c>
      <c r="M27" s="49">
        <f>AVERAGE('05.08 Kotido-Karenga'!M27,'06.08 Kotido-Karenga'!M27,'07.08 Kotido-Karenga'!M27,'08.08 Kotido-Karenga'!M27,'09.08 Kotido-Karenga-24h'!M27,'10.08 Kotido-Karenga-24h'!M27,'11.08 Kotido-Karenga'!M27)</f>
        <v>2.8571428571428572</v>
      </c>
      <c r="N27" s="49">
        <f>AVERAGE('05.08 Kotido-Karenga'!N27,'06.08 Kotido-Karenga'!N27,'07.08 Kotido-Karenga'!N27,'08.08 Kotido-Karenga'!N27,'09.08 Kotido-Karenga-24h'!N27,'10.08 Kotido-Karenga-24h'!N27,'11.08 Kotido-Karenga'!N27)</f>
        <v>0</v>
      </c>
      <c r="O27" s="15">
        <f t="shared" si="0"/>
        <v>1.1428571428571428</v>
      </c>
      <c r="P27" s="15">
        <f t="shared" si="1"/>
        <v>4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23" t="s">
        <v>55</v>
      </c>
      <c r="C28" s="49">
        <f>AVERAGE('05.08 Kotido-Karenga'!C28,'06.08 Kotido-Karenga'!C28,'07.08 Kotido-Karenga'!C28,'08.08 Kotido-Karenga'!C28,'09.08 Kotido-Karenga-24h'!C28,'10.08 Kotido-Karenga-24h'!C28,'11.08 Kotido-Karenga'!C28)</f>
        <v>0</v>
      </c>
      <c r="D28" s="49">
        <f>AVERAGE('05.08 Kotido-Karenga'!D28,'06.08 Kotido-Karenga'!D28,'07.08 Kotido-Karenga'!D28,'08.08 Kotido-Karenga'!D28,'09.08 Kotido-Karenga-24h'!D28,'10.08 Kotido-Karenga-24h'!D28,'11.08 Kotido-Karenga'!D28)</f>
        <v>0.14285714285714285</v>
      </c>
      <c r="E28" s="49">
        <f>AVERAGE('05.08 Kotido-Karenga'!E28,'06.08 Kotido-Karenga'!E28,'07.08 Kotido-Karenga'!E28,'08.08 Kotido-Karenga'!E28,'09.08 Kotido-Karenga-24h'!E28,'10.08 Kotido-Karenga-24h'!E28,'11.08 Kotido-Karenga'!E28)</f>
        <v>0</v>
      </c>
      <c r="F28" s="49">
        <f>AVERAGE('05.08 Kotido-Karenga'!F28,'06.08 Kotido-Karenga'!F28,'07.08 Kotido-Karenga'!F28,'08.08 Kotido-Karenga'!F28,'09.08 Kotido-Karenga-24h'!F28,'10.08 Kotido-Karenga-24h'!F28,'11.08 Kotido-Karenga'!F28)</f>
        <v>0.14285714285714285</v>
      </c>
      <c r="G28" s="49">
        <f>AVERAGE('05.08 Kotido-Karenga'!G28,'06.08 Kotido-Karenga'!G28,'07.08 Kotido-Karenga'!G28,'08.08 Kotido-Karenga'!G28,'09.08 Kotido-Karenga-24h'!G28,'10.08 Kotido-Karenga-24h'!G28,'11.08 Kotido-Karenga'!G28)</f>
        <v>0</v>
      </c>
      <c r="H28" s="49">
        <f>AVERAGE('05.08 Kotido-Karenga'!H28,'06.08 Kotido-Karenga'!H28,'07.08 Kotido-Karenga'!H28,'08.08 Kotido-Karenga'!H28,'09.08 Kotido-Karenga-24h'!H28,'10.08 Kotido-Karenga-24h'!H28,'11.08 Kotido-Karenga'!H28)</f>
        <v>0</v>
      </c>
      <c r="I28" s="49">
        <f>AVERAGE('05.08 Kotido-Karenga'!I28,'06.08 Kotido-Karenga'!I28,'07.08 Kotido-Karenga'!I28,'08.08 Kotido-Karenga'!I28,'09.08 Kotido-Karenga-24h'!I28,'10.08 Kotido-Karenga-24h'!I28,'11.08 Kotido-Karenga'!I28)</f>
        <v>0</v>
      </c>
      <c r="J28" s="49">
        <f>AVERAGE('05.08 Kotido-Karenga'!J28,'06.08 Kotido-Karenga'!J28,'07.08 Kotido-Karenga'!J28,'08.08 Kotido-Karenga'!J28,'09.08 Kotido-Karenga-24h'!J28,'10.08 Kotido-Karenga-24h'!J28,'11.08 Kotido-Karenga'!J28)</f>
        <v>0</v>
      </c>
      <c r="K28" s="49">
        <f>AVERAGE('05.08 Kotido-Karenga'!K28,'06.08 Kotido-Karenga'!K28,'07.08 Kotido-Karenga'!K28,'08.08 Kotido-Karenga'!K28,'09.08 Kotido-Karenga-24h'!K28,'10.08 Kotido-Karenga-24h'!K28,'11.08 Kotido-Karenga'!K28)</f>
        <v>0</v>
      </c>
      <c r="L28" s="49">
        <f>AVERAGE('05.08 Kotido-Karenga'!L28,'06.08 Kotido-Karenga'!L28,'07.08 Kotido-Karenga'!L28,'08.08 Kotido-Karenga'!L28,'09.08 Kotido-Karenga-24h'!L28,'10.08 Kotido-Karenga-24h'!L28,'11.08 Kotido-Karenga'!L28)</f>
        <v>0</v>
      </c>
      <c r="M28" s="49">
        <f>AVERAGE('05.08 Kotido-Karenga'!M28,'06.08 Kotido-Karenga'!M28,'07.08 Kotido-Karenga'!M28,'08.08 Kotido-Karenga'!M28,'09.08 Kotido-Karenga-24h'!M28,'10.08 Kotido-Karenga-24h'!M28,'11.08 Kotido-Karenga'!M28)</f>
        <v>1.8571428571428572</v>
      </c>
      <c r="N28" s="49">
        <f>AVERAGE('05.08 Kotido-Karenga'!N28,'06.08 Kotido-Karenga'!N28,'07.08 Kotido-Karenga'!N28,'08.08 Kotido-Karenga'!N28,'09.08 Kotido-Karenga-24h'!N28,'10.08 Kotido-Karenga-24h'!N28,'11.08 Kotido-Karenga'!N28)</f>
        <v>0</v>
      </c>
      <c r="O28" s="15">
        <f t="shared" si="0"/>
        <v>0.2857142857142857</v>
      </c>
      <c r="P28" s="15">
        <f t="shared" si="1"/>
        <v>2.1428571428571428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23" t="s">
        <v>56</v>
      </c>
      <c r="C29" s="49">
        <f>AVERAGE('05.08 Kotido-Karenga'!C29,'06.08 Kotido-Karenga'!C29,'07.08 Kotido-Karenga'!C29,'08.08 Kotido-Karenga'!C29,'09.08 Kotido-Karenga-24h'!C29,'10.08 Kotido-Karenga-24h'!C29,'11.08 Kotido-Karenga'!C29)</f>
        <v>0</v>
      </c>
      <c r="D29" s="49">
        <f>AVERAGE('05.08 Kotido-Karenga'!D29,'06.08 Kotido-Karenga'!D29,'07.08 Kotido-Karenga'!D29,'08.08 Kotido-Karenga'!D29,'09.08 Kotido-Karenga-24h'!D29,'10.08 Kotido-Karenga-24h'!D29,'11.08 Kotido-Karenga'!D29)</f>
        <v>0.14285714285714285</v>
      </c>
      <c r="E29" s="49">
        <f>AVERAGE('05.08 Kotido-Karenga'!E29,'06.08 Kotido-Karenga'!E29,'07.08 Kotido-Karenga'!E29,'08.08 Kotido-Karenga'!E29,'09.08 Kotido-Karenga-24h'!E29,'10.08 Kotido-Karenga-24h'!E29,'11.08 Kotido-Karenga'!E29)</f>
        <v>0.2857142857142857</v>
      </c>
      <c r="F29" s="49">
        <f>AVERAGE('05.08 Kotido-Karenga'!F29,'06.08 Kotido-Karenga'!F29,'07.08 Kotido-Karenga'!F29,'08.08 Kotido-Karenga'!F29,'09.08 Kotido-Karenga-24h'!F29,'10.08 Kotido-Karenga-24h'!F29,'11.08 Kotido-Karenga'!F29)</f>
        <v>0</v>
      </c>
      <c r="G29" s="49">
        <f>AVERAGE('05.08 Kotido-Karenga'!G29,'06.08 Kotido-Karenga'!G29,'07.08 Kotido-Karenga'!G29,'08.08 Kotido-Karenga'!G29,'09.08 Kotido-Karenga-24h'!G29,'10.08 Kotido-Karenga-24h'!G29,'11.08 Kotido-Karenga'!G29)</f>
        <v>0</v>
      </c>
      <c r="H29" s="49">
        <f>AVERAGE('05.08 Kotido-Karenga'!H29,'06.08 Kotido-Karenga'!H29,'07.08 Kotido-Karenga'!H29,'08.08 Kotido-Karenga'!H29,'09.08 Kotido-Karenga-24h'!H29,'10.08 Kotido-Karenga-24h'!H29,'11.08 Kotido-Karenga'!H29)</f>
        <v>0</v>
      </c>
      <c r="I29" s="49">
        <f>AVERAGE('05.08 Kotido-Karenga'!I29,'06.08 Kotido-Karenga'!I29,'07.08 Kotido-Karenga'!I29,'08.08 Kotido-Karenga'!I29,'09.08 Kotido-Karenga-24h'!I29,'10.08 Kotido-Karenga-24h'!I29,'11.08 Kotido-Karenga'!I29)</f>
        <v>0</v>
      </c>
      <c r="J29" s="49">
        <f>AVERAGE('05.08 Kotido-Karenga'!J29,'06.08 Kotido-Karenga'!J29,'07.08 Kotido-Karenga'!J29,'08.08 Kotido-Karenga'!J29,'09.08 Kotido-Karenga-24h'!J29,'10.08 Kotido-Karenga-24h'!J29,'11.08 Kotido-Karenga'!J29)</f>
        <v>0</v>
      </c>
      <c r="K29" s="49">
        <f>AVERAGE('05.08 Kotido-Karenga'!K29,'06.08 Kotido-Karenga'!K29,'07.08 Kotido-Karenga'!K29,'08.08 Kotido-Karenga'!K29,'09.08 Kotido-Karenga-24h'!K29,'10.08 Kotido-Karenga-24h'!K29,'11.08 Kotido-Karenga'!K29)</f>
        <v>0</v>
      </c>
      <c r="L29" s="49">
        <f>AVERAGE('05.08 Kotido-Karenga'!L29,'06.08 Kotido-Karenga'!L29,'07.08 Kotido-Karenga'!L29,'08.08 Kotido-Karenga'!L29,'09.08 Kotido-Karenga-24h'!L29,'10.08 Kotido-Karenga-24h'!L29,'11.08 Kotido-Karenga'!L29)</f>
        <v>0</v>
      </c>
      <c r="M29" s="49">
        <f>AVERAGE('05.08 Kotido-Karenga'!M29,'06.08 Kotido-Karenga'!M29,'07.08 Kotido-Karenga'!M29,'08.08 Kotido-Karenga'!M29,'09.08 Kotido-Karenga-24h'!M29,'10.08 Kotido-Karenga-24h'!M29,'11.08 Kotido-Karenga'!M29)</f>
        <v>1.5714285714285714</v>
      </c>
      <c r="N29" s="49">
        <f>AVERAGE('05.08 Kotido-Karenga'!N29,'06.08 Kotido-Karenga'!N29,'07.08 Kotido-Karenga'!N29,'08.08 Kotido-Karenga'!N29,'09.08 Kotido-Karenga-24h'!N29,'10.08 Kotido-Karenga-24h'!N29,'11.08 Kotido-Karenga'!N29)</f>
        <v>0</v>
      </c>
      <c r="O29" s="15">
        <f t="shared" si="0"/>
        <v>0.42857142857142855</v>
      </c>
      <c r="P29" s="15">
        <f t="shared" si="1"/>
        <v>2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23" t="s">
        <v>57</v>
      </c>
      <c r="C30" s="49">
        <f>AVERAGE('05.08 Kotido-Karenga'!C30,'06.08 Kotido-Karenga'!C30,'07.08 Kotido-Karenga'!C30,'08.08 Kotido-Karenga'!C30,'09.08 Kotido-Karenga-24h'!C30,'10.08 Kotido-Karenga-24h'!C30,'11.08 Kotido-Karenga'!C30)</f>
        <v>0</v>
      </c>
      <c r="D30" s="49">
        <f>AVERAGE('05.08 Kotido-Karenga'!D30,'06.08 Kotido-Karenga'!D30,'07.08 Kotido-Karenga'!D30,'08.08 Kotido-Karenga'!D30,'09.08 Kotido-Karenga-24h'!D30,'10.08 Kotido-Karenga-24h'!D30,'11.08 Kotido-Karenga'!D30)</f>
        <v>0.14285714285714285</v>
      </c>
      <c r="E30" s="49">
        <f>AVERAGE('05.08 Kotido-Karenga'!E30,'06.08 Kotido-Karenga'!E30,'07.08 Kotido-Karenga'!E30,'08.08 Kotido-Karenga'!E30,'09.08 Kotido-Karenga-24h'!E30,'10.08 Kotido-Karenga-24h'!E30,'11.08 Kotido-Karenga'!E30)</f>
        <v>0</v>
      </c>
      <c r="F30" s="49">
        <f>AVERAGE('05.08 Kotido-Karenga'!F30,'06.08 Kotido-Karenga'!F30,'07.08 Kotido-Karenga'!F30,'08.08 Kotido-Karenga'!F30,'09.08 Kotido-Karenga-24h'!F30,'10.08 Kotido-Karenga-24h'!F30,'11.08 Kotido-Karenga'!F30)</f>
        <v>0</v>
      </c>
      <c r="G30" s="49">
        <f>AVERAGE('05.08 Kotido-Karenga'!G30,'06.08 Kotido-Karenga'!G30,'07.08 Kotido-Karenga'!G30,'08.08 Kotido-Karenga'!G30,'09.08 Kotido-Karenga-24h'!G30,'10.08 Kotido-Karenga-24h'!G30,'11.08 Kotido-Karenga'!G30)</f>
        <v>0</v>
      </c>
      <c r="H30" s="49">
        <f>AVERAGE('05.08 Kotido-Karenga'!H30,'06.08 Kotido-Karenga'!H30,'07.08 Kotido-Karenga'!H30,'08.08 Kotido-Karenga'!H30,'09.08 Kotido-Karenga-24h'!H30,'10.08 Kotido-Karenga-24h'!H30,'11.08 Kotido-Karenga'!H30)</f>
        <v>0</v>
      </c>
      <c r="I30" s="49">
        <f>AVERAGE('05.08 Kotido-Karenga'!I30,'06.08 Kotido-Karenga'!I30,'07.08 Kotido-Karenga'!I30,'08.08 Kotido-Karenga'!I30,'09.08 Kotido-Karenga-24h'!I30,'10.08 Kotido-Karenga-24h'!I30,'11.08 Kotido-Karenga'!I30)</f>
        <v>0</v>
      </c>
      <c r="J30" s="49">
        <f>AVERAGE('05.08 Kotido-Karenga'!J30,'06.08 Kotido-Karenga'!J30,'07.08 Kotido-Karenga'!J30,'08.08 Kotido-Karenga'!J30,'09.08 Kotido-Karenga-24h'!J30,'10.08 Kotido-Karenga-24h'!J30,'11.08 Kotido-Karenga'!J30)</f>
        <v>0</v>
      </c>
      <c r="K30" s="49">
        <f>AVERAGE('05.08 Kotido-Karenga'!K30,'06.08 Kotido-Karenga'!K30,'07.08 Kotido-Karenga'!K30,'08.08 Kotido-Karenga'!K30,'09.08 Kotido-Karenga-24h'!K30,'10.08 Kotido-Karenga-24h'!K30,'11.08 Kotido-Karenga'!K30)</f>
        <v>0</v>
      </c>
      <c r="L30" s="49">
        <f>AVERAGE('05.08 Kotido-Karenga'!L30,'06.08 Kotido-Karenga'!L30,'07.08 Kotido-Karenga'!L30,'08.08 Kotido-Karenga'!L30,'09.08 Kotido-Karenga-24h'!L30,'10.08 Kotido-Karenga-24h'!L30,'11.08 Kotido-Karenga'!L30)</f>
        <v>0</v>
      </c>
      <c r="M30" s="49">
        <f>AVERAGE('05.08 Kotido-Karenga'!M30,'06.08 Kotido-Karenga'!M30,'07.08 Kotido-Karenga'!M30,'08.08 Kotido-Karenga'!M30,'09.08 Kotido-Karenga-24h'!M30,'10.08 Kotido-Karenga-24h'!M30,'11.08 Kotido-Karenga'!M30)</f>
        <v>1.4285714285714286</v>
      </c>
      <c r="N30" s="49">
        <f>AVERAGE('05.08 Kotido-Karenga'!N30,'06.08 Kotido-Karenga'!N30,'07.08 Kotido-Karenga'!N30,'08.08 Kotido-Karenga'!N30,'09.08 Kotido-Karenga-24h'!N30,'10.08 Kotido-Karenga-24h'!N30,'11.08 Kotido-Karenga'!N30)</f>
        <v>0</v>
      </c>
      <c r="O30" s="15">
        <f t="shared" si="0"/>
        <v>0.14285714285714285</v>
      </c>
      <c r="P30" s="15">
        <f t="shared" si="1"/>
        <v>1.5714285714285714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49">
        <f>AVERAGE('05.08 Kotido-Karenga'!C31,'06.08 Kotido-Karenga'!C31,'07.08 Kotido-Karenga'!C31,'08.08 Kotido-Karenga'!C31,'09.08 Kotido-Karenga-24h'!C31,'10.08 Kotido-Karenga-24h'!C31,'11.08 Kotido-Karenga'!C31)</f>
        <v>0.14285714285714285</v>
      </c>
      <c r="D31" s="49">
        <f>AVERAGE('05.08 Kotido-Karenga'!D31,'06.08 Kotido-Karenga'!D31,'07.08 Kotido-Karenga'!D31,'08.08 Kotido-Karenga'!D31,'09.08 Kotido-Karenga-24h'!D31,'10.08 Kotido-Karenga-24h'!D31,'11.08 Kotido-Karenga'!D31)</f>
        <v>0.14285714285714285</v>
      </c>
      <c r="E31" s="49">
        <f>AVERAGE('05.08 Kotido-Karenga'!E31,'06.08 Kotido-Karenga'!E31,'07.08 Kotido-Karenga'!E31,'08.08 Kotido-Karenga'!E31,'09.08 Kotido-Karenga-24h'!E31,'10.08 Kotido-Karenga-24h'!E31,'11.08 Kotido-Karenga'!E31)</f>
        <v>0.2857142857142857</v>
      </c>
      <c r="F31" s="49">
        <f>AVERAGE('05.08 Kotido-Karenga'!F31,'06.08 Kotido-Karenga'!F31,'07.08 Kotido-Karenga'!F31,'08.08 Kotido-Karenga'!F31,'09.08 Kotido-Karenga-24h'!F31,'10.08 Kotido-Karenga-24h'!F31,'11.08 Kotido-Karenga'!F31)</f>
        <v>0</v>
      </c>
      <c r="G31" s="49">
        <f>AVERAGE('05.08 Kotido-Karenga'!G31,'06.08 Kotido-Karenga'!G31,'07.08 Kotido-Karenga'!G31,'08.08 Kotido-Karenga'!G31,'09.08 Kotido-Karenga-24h'!G31,'10.08 Kotido-Karenga-24h'!G31,'11.08 Kotido-Karenga'!G31)</f>
        <v>0</v>
      </c>
      <c r="H31" s="49">
        <f>AVERAGE('05.08 Kotido-Karenga'!H31,'06.08 Kotido-Karenga'!H31,'07.08 Kotido-Karenga'!H31,'08.08 Kotido-Karenga'!H31,'09.08 Kotido-Karenga-24h'!H31,'10.08 Kotido-Karenga-24h'!H31,'11.08 Kotido-Karenga'!H31)</f>
        <v>0</v>
      </c>
      <c r="I31" s="49">
        <f>AVERAGE('05.08 Kotido-Karenga'!I31,'06.08 Kotido-Karenga'!I31,'07.08 Kotido-Karenga'!I31,'08.08 Kotido-Karenga'!I31,'09.08 Kotido-Karenga-24h'!I31,'10.08 Kotido-Karenga-24h'!I31,'11.08 Kotido-Karenga'!I31)</f>
        <v>0</v>
      </c>
      <c r="J31" s="49">
        <f>AVERAGE('05.08 Kotido-Karenga'!J31,'06.08 Kotido-Karenga'!J31,'07.08 Kotido-Karenga'!J31,'08.08 Kotido-Karenga'!J31,'09.08 Kotido-Karenga-24h'!J31,'10.08 Kotido-Karenga-24h'!J31,'11.08 Kotido-Karenga'!J31)</f>
        <v>0</v>
      </c>
      <c r="K31" s="49">
        <f>AVERAGE('05.08 Kotido-Karenga'!K31,'06.08 Kotido-Karenga'!K31,'07.08 Kotido-Karenga'!K31,'08.08 Kotido-Karenga'!K31,'09.08 Kotido-Karenga-24h'!K31,'10.08 Kotido-Karenga-24h'!K31,'11.08 Kotido-Karenga'!K31)</f>
        <v>0</v>
      </c>
      <c r="L31" s="49">
        <f>AVERAGE('05.08 Kotido-Karenga'!L31,'06.08 Kotido-Karenga'!L31,'07.08 Kotido-Karenga'!L31,'08.08 Kotido-Karenga'!L31,'09.08 Kotido-Karenga-24h'!L31,'10.08 Kotido-Karenga-24h'!L31,'11.08 Kotido-Karenga'!L31)</f>
        <v>0</v>
      </c>
      <c r="M31" s="49">
        <f>AVERAGE('05.08 Kotido-Karenga'!M31,'06.08 Kotido-Karenga'!M31,'07.08 Kotido-Karenga'!M31,'08.08 Kotido-Karenga'!M31,'09.08 Kotido-Karenga-24h'!M31,'10.08 Kotido-Karenga-24h'!M31,'11.08 Kotido-Karenga'!M31)</f>
        <v>3</v>
      </c>
      <c r="N31" s="49">
        <f>AVERAGE('05.08 Kotido-Karenga'!N31,'06.08 Kotido-Karenga'!N31,'07.08 Kotido-Karenga'!N31,'08.08 Kotido-Karenga'!N31,'09.08 Kotido-Karenga-24h'!N31,'10.08 Kotido-Karenga-24h'!N31,'11.08 Kotido-Karenga'!N31)</f>
        <v>0</v>
      </c>
      <c r="O31" s="15">
        <f t="shared" si="0"/>
        <v>0.5714285714285714</v>
      </c>
      <c r="P31" s="15">
        <f t="shared" si="1"/>
        <v>3.5714285714285712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24" t="s">
        <v>59</v>
      </c>
      <c r="C32" s="49">
        <f>AVERAGE('05.08 Kotido-Karenga'!C32,'06.08 Kotido-Karenga'!C32,'07.08 Kotido-Karenga'!C32,'08.08 Kotido-Karenga'!C32,'09.08 Kotido-Karenga-24h'!C32,'10.08 Kotido-Karenga-24h'!C32,'11.08 Kotido-Karenga'!C32)</f>
        <v>0</v>
      </c>
      <c r="D32" s="49">
        <f>AVERAGE('05.08 Kotido-Karenga'!D32,'06.08 Kotido-Karenga'!D32,'07.08 Kotido-Karenga'!D32,'08.08 Kotido-Karenga'!D32,'09.08 Kotido-Karenga-24h'!D32,'10.08 Kotido-Karenga-24h'!D32,'11.08 Kotido-Karenga'!D32)</f>
        <v>0.2857142857142857</v>
      </c>
      <c r="E32" s="49">
        <f>AVERAGE('05.08 Kotido-Karenga'!E32,'06.08 Kotido-Karenga'!E32,'07.08 Kotido-Karenga'!E32,'08.08 Kotido-Karenga'!E32,'09.08 Kotido-Karenga-24h'!E32,'10.08 Kotido-Karenga-24h'!E32,'11.08 Kotido-Karenga'!E32)</f>
        <v>0.42857142857142855</v>
      </c>
      <c r="F32" s="49">
        <f>AVERAGE('05.08 Kotido-Karenga'!F32,'06.08 Kotido-Karenga'!F32,'07.08 Kotido-Karenga'!F32,'08.08 Kotido-Karenga'!F32,'09.08 Kotido-Karenga-24h'!F32,'10.08 Kotido-Karenga-24h'!F32,'11.08 Kotido-Karenga'!F32)</f>
        <v>0</v>
      </c>
      <c r="G32" s="49">
        <f>AVERAGE('05.08 Kotido-Karenga'!G32,'06.08 Kotido-Karenga'!G32,'07.08 Kotido-Karenga'!G32,'08.08 Kotido-Karenga'!G32,'09.08 Kotido-Karenga-24h'!G32,'10.08 Kotido-Karenga-24h'!G32,'11.08 Kotido-Karenga'!G32)</f>
        <v>0</v>
      </c>
      <c r="H32" s="49">
        <f>AVERAGE('05.08 Kotido-Karenga'!H32,'06.08 Kotido-Karenga'!H32,'07.08 Kotido-Karenga'!H32,'08.08 Kotido-Karenga'!H32,'09.08 Kotido-Karenga-24h'!H32,'10.08 Kotido-Karenga-24h'!H32,'11.08 Kotido-Karenga'!H32)</f>
        <v>0</v>
      </c>
      <c r="I32" s="49">
        <f>AVERAGE('05.08 Kotido-Karenga'!I32,'06.08 Kotido-Karenga'!I32,'07.08 Kotido-Karenga'!I32,'08.08 Kotido-Karenga'!I32,'09.08 Kotido-Karenga-24h'!I32,'10.08 Kotido-Karenga-24h'!I32,'11.08 Kotido-Karenga'!I32)</f>
        <v>0.14285714285714285</v>
      </c>
      <c r="J32" s="49">
        <f>AVERAGE('05.08 Kotido-Karenga'!J32,'06.08 Kotido-Karenga'!J32,'07.08 Kotido-Karenga'!J32,'08.08 Kotido-Karenga'!J32,'09.08 Kotido-Karenga-24h'!J32,'10.08 Kotido-Karenga-24h'!J32,'11.08 Kotido-Karenga'!J32)</f>
        <v>0</v>
      </c>
      <c r="K32" s="49">
        <f>AVERAGE('05.08 Kotido-Karenga'!K32,'06.08 Kotido-Karenga'!K32,'07.08 Kotido-Karenga'!K32,'08.08 Kotido-Karenga'!K32,'09.08 Kotido-Karenga-24h'!K32,'10.08 Kotido-Karenga-24h'!K32,'11.08 Kotido-Karenga'!K32)</f>
        <v>0</v>
      </c>
      <c r="L32" s="49">
        <f>AVERAGE('05.08 Kotido-Karenga'!L32,'06.08 Kotido-Karenga'!L32,'07.08 Kotido-Karenga'!L32,'08.08 Kotido-Karenga'!L32,'09.08 Kotido-Karenga-24h'!L32,'10.08 Kotido-Karenga-24h'!L32,'11.08 Kotido-Karenga'!L32)</f>
        <v>0</v>
      </c>
      <c r="M32" s="49">
        <f>AVERAGE('05.08 Kotido-Karenga'!M32,'06.08 Kotido-Karenga'!M32,'07.08 Kotido-Karenga'!M32,'08.08 Kotido-Karenga'!M32,'09.08 Kotido-Karenga-24h'!M32,'10.08 Kotido-Karenga-24h'!M32,'11.08 Kotido-Karenga'!M32)</f>
        <v>1.8571428571428572</v>
      </c>
      <c r="N32" s="49">
        <f>AVERAGE('05.08 Kotido-Karenga'!N32,'06.08 Kotido-Karenga'!N32,'07.08 Kotido-Karenga'!N32,'08.08 Kotido-Karenga'!N32,'09.08 Kotido-Karenga-24h'!N32,'10.08 Kotido-Karenga-24h'!N32,'11.08 Kotido-Karenga'!N32)</f>
        <v>0</v>
      </c>
      <c r="O32" s="15">
        <f t="shared" si="0"/>
        <v>0.85714285714285698</v>
      </c>
      <c r="P32" s="15">
        <f t="shared" si="1"/>
        <v>2.7142857142857144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23" t="s">
        <v>60</v>
      </c>
      <c r="C33" s="49">
        <f>AVERAGE('05.08 Kotido-Karenga'!C33,'06.08 Kotido-Karenga'!C33,'07.08 Kotido-Karenga'!C33,'08.08 Kotido-Karenga'!C33,'09.08 Kotido-Karenga-24h'!C33,'10.08 Kotido-Karenga-24h'!C33,'11.08 Kotido-Karenga'!C33)</f>
        <v>0</v>
      </c>
      <c r="D33" s="49">
        <f>AVERAGE('05.08 Kotido-Karenga'!D33,'06.08 Kotido-Karenga'!D33,'07.08 Kotido-Karenga'!D33,'08.08 Kotido-Karenga'!D33,'09.08 Kotido-Karenga-24h'!D33,'10.08 Kotido-Karenga-24h'!D33,'11.08 Kotido-Karenga'!D33)</f>
        <v>0.14285714285714285</v>
      </c>
      <c r="E33" s="49">
        <f>AVERAGE('05.08 Kotido-Karenga'!E33,'06.08 Kotido-Karenga'!E33,'07.08 Kotido-Karenga'!E33,'08.08 Kotido-Karenga'!E33,'09.08 Kotido-Karenga-24h'!E33,'10.08 Kotido-Karenga-24h'!E33,'11.08 Kotido-Karenga'!E33)</f>
        <v>0.14285714285714285</v>
      </c>
      <c r="F33" s="49">
        <f>AVERAGE('05.08 Kotido-Karenga'!F33,'06.08 Kotido-Karenga'!F33,'07.08 Kotido-Karenga'!F33,'08.08 Kotido-Karenga'!F33,'09.08 Kotido-Karenga-24h'!F33,'10.08 Kotido-Karenga-24h'!F33,'11.08 Kotido-Karenga'!F33)</f>
        <v>0</v>
      </c>
      <c r="G33" s="49">
        <f>AVERAGE('05.08 Kotido-Karenga'!G33,'06.08 Kotido-Karenga'!G33,'07.08 Kotido-Karenga'!G33,'08.08 Kotido-Karenga'!G33,'09.08 Kotido-Karenga-24h'!G33,'10.08 Kotido-Karenga-24h'!G33,'11.08 Kotido-Karenga'!G33)</f>
        <v>0</v>
      </c>
      <c r="H33" s="49">
        <f>AVERAGE('05.08 Kotido-Karenga'!H33,'06.08 Kotido-Karenga'!H33,'07.08 Kotido-Karenga'!H33,'08.08 Kotido-Karenga'!H33,'09.08 Kotido-Karenga-24h'!H33,'10.08 Kotido-Karenga-24h'!H33,'11.08 Kotido-Karenga'!H33)</f>
        <v>0</v>
      </c>
      <c r="I33" s="49">
        <f>AVERAGE('05.08 Kotido-Karenga'!I33,'06.08 Kotido-Karenga'!I33,'07.08 Kotido-Karenga'!I33,'08.08 Kotido-Karenga'!I33,'09.08 Kotido-Karenga-24h'!I33,'10.08 Kotido-Karenga-24h'!I33,'11.08 Kotido-Karenga'!I33)</f>
        <v>0.14285714285714285</v>
      </c>
      <c r="J33" s="49">
        <f>AVERAGE('05.08 Kotido-Karenga'!J33,'06.08 Kotido-Karenga'!J33,'07.08 Kotido-Karenga'!J33,'08.08 Kotido-Karenga'!J33,'09.08 Kotido-Karenga-24h'!J33,'10.08 Kotido-Karenga-24h'!J33,'11.08 Kotido-Karenga'!J33)</f>
        <v>0.14285714285714285</v>
      </c>
      <c r="K33" s="49">
        <f>AVERAGE('05.08 Kotido-Karenga'!K33,'06.08 Kotido-Karenga'!K33,'07.08 Kotido-Karenga'!K33,'08.08 Kotido-Karenga'!K33,'09.08 Kotido-Karenga-24h'!K33,'10.08 Kotido-Karenga-24h'!K33,'11.08 Kotido-Karenga'!K33)</f>
        <v>0</v>
      </c>
      <c r="L33" s="49">
        <f>AVERAGE('05.08 Kotido-Karenga'!L33,'06.08 Kotido-Karenga'!L33,'07.08 Kotido-Karenga'!L33,'08.08 Kotido-Karenga'!L33,'09.08 Kotido-Karenga-24h'!L33,'10.08 Kotido-Karenga-24h'!L33,'11.08 Kotido-Karenga'!L33)</f>
        <v>0</v>
      </c>
      <c r="M33" s="49">
        <f>AVERAGE('05.08 Kotido-Karenga'!M33,'06.08 Kotido-Karenga'!M33,'07.08 Kotido-Karenga'!M33,'08.08 Kotido-Karenga'!M33,'09.08 Kotido-Karenga-24h'!M33,'10.08 Kotido-Karenga-24h'!M33,'11.08 Kotido-Karenga'!M33)</f>
        <v>1.1428571428571428</v>
      </c>
      <c r="N33" s="49">
        <f>AVERAGE('05.08 Kotido-Karenga'!N33,'06.08 Kotido-Karenga'!N33,'07.08 Kotido-Karenga'!N33,'08.08 Kotido-Karenga'!N33,'09.08 Kotido-Karenga-24h'!N33,'10.08 Kotido-Karenga-24h'!N33,'11.08 Kotido-Karenga'!N33)</f>
        <v>0</v>
      </c>
      <c r="O33" s="15">
        <f t="shared" si="0"/>
        <v>0.5714285714285714</v>
      </c>
      <c r="P33" s="15">
        <f t="shared" si="1"/>
        <v>1.7142857142857142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24" t="s">
        <v>61</v>
      </c>
      <c r="C34" s="49">
        <f>AVERAGE('05.08 Kotido-Karenga'!C34,'06.08 Kotido-Karenga'!C34,'07.08 Kotido-Karenga'!C34,'08.08 Kotido-Karenga'!C34,'09.08 Kotido-Karenga-24h'!C34,'10.08 Kotido-Karenga-24h'!C34,'11.08 Kotido-Karenga'!C34)</f>
        <v>0</v>
      </c>
      <c r="D34" s="49">
        <f>AVERAGE('05.08 Kotido-Karenga'!D34,'06.08 Kotido-Karenga'!D34,'07.08 Kotido-Karenga'!D34,'08.08 Kotido-Karenga'!D34,'09.08 Kotido-Karenga-24h'!D34,'10.08 Kotido-Karenga-24h'!D34,'11.08 Kotido-Karenga'!D34)</f>
        <v>0.7142857142857143</v>
      </c>
      <c r="E34" s="49">
        <f>AVERAGE('05.08 Kotido-Karenga'!E34,'06.08 Kotido-Karenga'!E34,'07.08 Kotido-Karenga'!E34,'08.08 Kotido-Karenga'!E34,'09.08 Kotido-Karenga-24h'!E34,'10.08 Kotido-Karenga-24h'!E34,'11.08 Kotido-Karenga'!E34)</f>
        <v>0</v>
      </c>
      <c r="F34" s="49">
        <f>AVERAGE('05.08 Kotido-Karenga'!F34,'06.08 Kotido-Karenga'!F34,'07.08 Kotido-Karenga'!F34,'08.08 Kotido-Karenga'!F34,'09.08 Kotido-Karenga-24h'!F34,'10.08 Kotido-Karenga-24h'!F34,'11.08 Kotido-Karenga'!F34)</f>
        <v>0.14285714285714285</v>
      </c>
      <c r="G34" s="49">
        <f>AVERAGE('05.08 Kotido-Karenga'!G34,'06.08 Kotido-Karenga'!G34,'07.08 Kotido-Karenga'!G34,'08.08 Kotido-Karenga'!G34,'09.08 Kotido-Karenga-24h'!G34,'10.08 Kotido-Karenga-24h'!G34,'11.08 Kotido-Karenga'!G34)</f>
        <v>0</v>
      </c>
      <c r="H34" s="49">
        <f>AVERAGE('05.08 Kotido-Karenga'!H34,'06.08 Kotido-Karenga'!H34,'07.08 Kotido-Karenga'!H34,'08.08 Kotido-Karenga'!H34,'09.08 Kotido-Karenga-24h'!H34,'10.08 Kotido-Karenga-24h'!H34,'11.08 Kotido-Karenga'!H34)</f>
        <v>0</v>
      </c>
      <c r="I34" s="49">
        <f>AVERAGE('05.08 Kotido-Karenga'!I34,'06.08 Kotido-Karenga'!I34,'07.08 Kotido-Karenga'!I34,'08.08 Kotido-Karenga'!I34,'09.08 Kotido-Karenga-24h'!I34,'10.08 Kotido-Karenga-24h'!I34,'11.08 Kotido-Karenga'!I34)</f>
        <v>0.14285714285714285</v>
      </c>
      <c r="J34" s="49">
        <f>AVERAGE('05.08 Kotido-Karenga'!J34,'06.08 Kotido-Karenga'!J34,'07.08 Kotido-Karenga'!J34,'08.08 Kotido-Karenga'!J34,'09.08 Kotido-Karenga-24h'!J34,'10.08 Kotido-Karenga-24h'!J34,'11.08 Kotido-Karenga'!J34)</f>
        <v>0.14285714285714285</v>
      </c>
      <c r="K34" s="49">
        <f>AVERAGE('05.08 Kotido-Karenga'!K34,'06.08 Kotido-Karenga'!K34,'07.08 Kotido-Karenga'!K34,'08.08 Kotido-Karenga'!K34,'09.08 Kotido-Karenga-24h'!K34,'10.08 Kotido-Karenga-24h'!K34,'11.08 Kotido-Karenga'!K34)</f>
        <v>0</v>
      </c>
      <c r="L34" s="49">
        <f>AVERAGE('05.08 Kotido-Karenga'!L34,'06.08 Kotido-Karenga'!L34,'07.08 Kotido-Karenga'!L34,'08.08 Kotido-Karenga'!L34,'09.08 Kotido-Karenga-24h'!L34,'10.08 Kotido-Karenga-24h'!L34,'11.08 Kotido-Karenga'!L34)</f>
        <v>0</v>
      </c>
      <c r="M34" s="49">
        <f>AVERAGE('05.08 Kotido-Karenga'!M34,'06.08 Kotido-Karenga'!M34,'07.08 Kotido-Karenga'!M34,'08.08 Kotido-Karenga'!M34,'09.08 Kotido-Karenga-24h'!M34,'10.08 Kotido-Karenga-24h'!M34,'11.08 Kotido-Karenga'!M34)</f>
        <v>2.8571428571428572</v>
      </c>
      <c r="N34" s="49">
        <f>AVERAGE('05.08 Kotido-Karenga'!N34,'06.08 Kotido-Karenga'!N34,'07.08 Kotido-Karenga'!N34,'08.08 Kotido-Karenga'!N34,'09.08 Kotido-Karenga-24h'!N34,'10.08 Kotido-Karenga-24h'!N34,'11.08 Kotido-Karenga'!N34)</f>
        <v>0.14285714285714285</v>
      </c>
      <c r="O34" s="15">
        <f t="shared" si="0"/>
        <v>1.2857142857142856</v>
      </c>
      <c r="P34" s="15">
        <f t="shared" si="1"/>
        <v>4.1428571428571432</v>
      </c>
      <c r="R34" s="51" t="s">
        <v>90</v>
      </c>
      <c r="S34" s="52">
        <f t="shared" ref="S34:AF34" si="26">MAX(S10:S12)</f>
        <v>0.42857142857142855</v>
      </c>
      <c r="T34" s="52">
        <f t="shared" si="26"/>
        <v>0.8571428571428571</v>
      </c>
      <c r="U34" s="52">
        <f t="shared" si="26"/>
        <v>1.8571428571428572</v>
      </c>
      <c r="V34" s="52">
        <f t="shared" si="26"/>
        <v>0</v>
      </c>
      <c r="W34" s="52">
        <f t="shared" si="26"/>
        <v>0</v>
      </c>
      <c r="X34" s="52">
        <f t="shared" si="26"/>
        <v>0.14285714285714285</v>
      </c>
      <c r="Y34" s="52">
        <f t="shared" si="26"/>
        <v>0.99999999999999989</v>
      </c>
      <c r="Z34" s="52">
        <f t="shared" si="26"/>
        <v>0</v>
      </c>
      <c r="AA34" s="52">
        <f t="shared" si="26"/>
        <v>0</v>
      </c>
      <c r="AB34" s="52">
        <f t="shared" si="26"/>
        <v>0.2857142857142857</v>
      </c>
      <c r="AC34" s="52">
        <f t="shared" si="26"/>
        <v>10.714285714285714</v>
      </c>
      <c r="AD34" s="52">
        <f t="shared" si="26"/>
        <v>0</v>
      </c>
      <c r="AE34" s="40">
        <f t="shared" si="26"/>
        <v>4.4285714285714288</v>
      </c>
      <c r="AF34" s="40">
        <f t="shared" si="26"/>
        <v>15.142857142857142</v>
      </c>
    </row>
    <row r="35" spans="2:32" ht="23.1" customHeight="1" x14ac:dyDescent="0.25">
      <c r="B35" s="24" t="s">
        <v>62</v>
      </c>
      <c r="C35" s="49">
        <f>AVERAGE('05.08 Kotido-Karenga'!C35,'06.08 Kotido-Karenga'!C35,'07.08 Kotido-Karenga'!C35,'08.08 Kotido-Karenga'!C35,'09.08 Kotido-Karenga-24h'!C35,'10.08 Kotido-Karenga-24h'!C35,'11.08 Kotido-Karenga'!C35)</f>
        <v>0</v>
      </c>
      <c r="D35" s="49">
        <f>AVERAGE('05.08 Kotido-Karenga'!D35,'06.08 Kotido-Karenga'!D35,'07.08 Kotido-Karenga'!D35,'08.08 Kotido-Karenga'!D35,'09.08 Kotido-Karenga-24h'!D35,'10.08 Kotido-Karenga-24h'!D35,'11.08 Kotido-Karenga'!D35)</f>
        <v>0</v>
      </c>
      <c r="E35" s="49">
        <f>AVERAGE('05.08 Kotido-Karenga'!E35,'06.08 Kotido-Karenga'!E35,'07.08 Kotido-Karenga'!E35,'08.08 Kotido-Karenga'!E35,'09.08 Kotido-Karenga-24h'!E35,'10.08 Kotido-Karenga-24h'!E35,'11.08 Kotido-Karenga'!E35)</f>
        <v>0.2857142857142857</v>
      </c>
      <c r="F35" s="49">
        <f>AVERAGE('05.08 Kotido-Karenga'!F35,'06.08 Kotido-Karenga'!F35,'07.08 Kotido-Karenga'!F35,'08.08 Kotido-Karenga'!F35,'09.08 Kotido-Karenga-24h'!F35,'10.08 Kotido-Karenga-24h'!F35,'11.08 Kotido-Karenga'!F35)</f>
        <v>0</v>
      </c>
      <c r="G35" s="49">
        <f>AVERAGE('05.08 Kotido-Karenga'!G35,'06.08 Kotido-Karenga'!G35,'07.08 Kotido-Karenga'!G35,'08.08 Kotido-Karenga'!G35,'09.08 Kotido-Karenga-24h'!G35,'10.08 Kotido-Karenga-24h'!G35,'11.08 Kotido-Karenga'!G35)</f>
        <v>0</v>
      </c>
      <c r="H35" s="49">
        <f>AVERAGE('05.08 Kotido-Karenga'!H35,'06.08 Kotido-Karenga'!H35,'07.08 Kotido-Karenga'!H35,'08.08 Kotido-Karenga'!H35,'09.08 Kotido-Karenga-24h'!H35,'10.08 Kotido-Karenga-24h'!H35,'11.08 Kotido-Karenga'!H35)</f>
        <v>0</v>
      </c>
      <c r="I35" s="49">
        <f>AVERAGE('05.08 Kotido-Karenga'!I35,'06.08 Kotido-Karenga'!I35,'07.08 Kotido-Karenga'!I35,'08.08 Kotido-Karenga'!I35,'09.08 Kotido-Karenga-24h'!I35,'10.08 Kotido-Karenga-24h'!I35,'11.08 Kotido-Karenga'!I35)</f>
        <v>0.14285714285714285</v>
      </c>
      <c r="J35" s="49">
        <f>AVERAGE('05.08 Kotido-Karenga'!J35,'06.08 Kotido-Karenga'!J35,'07.08 Kotido-Karenga'!J35,'08.08 Kotido-Karenga'!J35,'09.08 Kotido-Karenga-24h'!J35,'10.08 Kotido-Karenga-24h'!J35,'11.08 Kotido-Karenga'!J35)</f>
        <v>0</v>
      </c>
      <c r="K35" s="49">
        <f>AVERAGE('05.08 Kotido-Karenga'!K35,'06.08 Kotido-Karenga'!K35,'07.08 Kotido-Karenga'!K35,'08.08 Kotido-Karenga'!K35,'09.08 Kotido-Karenga-24h'!K35,'10.08 Kotido-Karenga-24h'!K35,'11.08 Kotido-Karenga'!K35)</f>
        <v>0</v>
      </c>
      <c r="L35" s="49">
        <f>AVERAGE('05.08 Kotido-Karenga'!L35,'06.08 Kotido-Karenga'!L35,'07.08 Kotido-Karenga'!L35,'08.08 Kotido-Karenga'!L35,'09.08 Kotido-Karenga-24h'!L35,'10.08 Kotido-Karenga-24h'!L35,'11.08 Kotido-Karenga'!L35)</f>
        <v>0</v>
      </c>
      <c r="M35" s="49">
        <f>AVERAGE('05.08 Kotido-Karenga'!M35,'06.08 Kotido-Karenga'!M35,'07.08 Kotido-Karenga'!M35,'08.08 Kotido-Karenga'!M35,'09.08 Kotido-Karenga-24h'!M35,'10.08 Kotido-Karenga-24h'!M35,'11.08 Kotido-Karenga'!M35)</f>
        <v>1.7142857142857142</v>
      </c>
      <c r="N35" s="49">
        <f>AVERAGE('05.08 Kotido-Karenga'!N35,'06.08 Kotido-Karenga'!N35,'07.08 Kotido-Karenga'!N35,'08.08 Kotido-Karenga'!N35,'09.08 Kotido-Karenga-24h'!N35,'10.08 Kotido-Karenga-24h'!N35,'11.08 Kotido-Karenga'!N35)</f>
        <v>0</v>
      </c>
      <c r="O35" s="15">
        <f t="shared" si="0"/>
        <v>0.42857142857142855</v>
      </c>
      <c r="P35" s="15">
        <f t="shared" si="1"/>
        <v>2.1428571428571428</v>
      </c>
      <c r="R35" s="51" t="s">
        <v>91</v>
      </c>
      <c r="S35" s="52">
        <f t="shared" ref="S35:AF35" si="27">MAX(S13:S18)</f>
        <v>0.14285714285714285</v>
      </c>
      <c r="T35" s="52">
        <f t="shared" si="27"/>
        <v>1.1428571428571428</v>
      </c>
      <c r="U35" s="52">
        <f t="shared" si="27"/>
        <v>1.5714285714285712</v>
      </c>
      <c r="V35" s="52">
        <f t="shared" si="27"/>
        <v>0.5714285714285714</v>
      </c>
      <c r="W35" s="52">
        <f t="shared" si="27"/>
        <v>0</v>
      </c>
      <c r="X35" s="52">
        <f t="shared" si="27"/>
        <v>0</v>
      </c>
      <c r="Y35" s="52">
        <f t="shared" si="27"/>
        <v>0.5714285714285714</v>
      </c>
      <c r="Z35" s="52">
        <f t="shared" si="27"/>
        <v>0.5714285714285714</v>
      </c>
      <c r="AA35" s="52">
        <f t="shared" si="27"/>
        <v>0</v>
      </c>
      <c r="AB35" s="52">
        <f t="shared" si="27"/>
        <v>0</v>
      </c>
      <c r="AC35" s="52">
        <f t="shared" si="27"/>
        <v>8.8571428571428577</v>
      </c>
      <c r="AD35" s="52">
        <f t="shared" si="27"/>
        <v>0.14285714285714285</v>
      </c>
      <c r="AE35" s="40">
        <f t="shared" si="27"/>
        <v>3.4285714285714284</v>
      </c>
      <c r="AF35" s="40">
        <f t="shared" si="27"/>
        <v>11.857142857142858</v>
      </c>
    </row>
    <row r="36" spans="2:32" ht="23.1" customHeight="1" x14ac:dyDescent="0.25">
      <c r="B36" s="24" t="s">
        <v>63</v>
      </c>
      <c r="C36" s="49">
        <f>AVERAGE('05.08 Kotido-Karenga'!C36,'06.08 Kotido-Karenga'!C36,'07.08 Kotido-Karenga'!C36,'08.08 Kotido-Karenga'!C36,'09.08 Kotido-Karenga-24h'!C36,'10.08 Kotido-Karenga-24h'!C36,'11.08 Kotido-Karenga'!C36)</f>
        <v>0</v>
      </c>
      <c r="D36" s="49">
        <f>AVERAGE('05.08 Kotido-Karenga'!D36,'06.08 Kotido-Karenga'!D36,'07.08 Kotido-Karenga'!D36,'08.08 Kotido-Karenga'!D36,'09.08 Kotido-Karenga-24h'!D36,'10.08 Kotido-Karenga-24h'!D36,'11.08 Kotido-Karenga'!D36)</f>
        <v>0.2857142857142857</v>
      </c>
      <c r="E36" s="49">
        <f>AVERAGE('05.08 Kotido-Karenga'!E36,'06.08 Kotido-Karenga'!E36,'07.08 Kotido-Karenga'!E36,'08.08 Kotido-Karenga'!E36,'09.08 Kotido-Karenga-24h'!E36,'10.08 Kotido-Karenga-24h'!E36,'11.08 Kotido-Karenga'!E36)</f>
        <v>0.2857142857142857</v>
      </c>
      <c r="F36" s="49">
        <f>AVERAGE('05.08 Kotido-Karenga'!F36,'06.08 Kotido-Karenga'!F36,'07.08 Kotido-Karenga'!F36,'08.08 Kotido-Karenga'!F36,'09.08 Kotido-Karenga-24h'!F36,'10.08 Kotido-Karenga-24h'!F36,'11.08 Kotido-Karenga'!F36)</f>
        <v>0</v>
      </c>
      <c r="G36" s="49">
        <f>AVERAGE('05.08 Kotido-Karenga'!G36,'06.08 Kotido-Karenga'!G36,'07.08 Kotido-Karenga'!G36,'08.08 Kotido-Karenga'!G36,'09.08 Kotido-Karenga-24h'!G36,'10.08 Kotido-Karenga-24h'!G36,'11.08 Kotido-Karenga'!G36)</f>
        <v>0</v>
      </c>
      <c r="H36" s="49">
        <f>AVERAGE('05.08 Kotido-Karenga'!H36,'06.08 Kotido-Karenga'!H36,'07.08 Kotido-Karenga'!H36,'08.08 Kotido-Karenga'!H36,'09.08 Kotido-Karenga-24h'!H36,'10.08 Kotido-Karenga-24h'!H36,'11.08 Kotido-Karenga'!H36)</f>
        <v>0</v>
      </c>
      <c r="I36" s="49">
        <f>AVERAGE('05.08 Kotido-Karenga'!I36,'06.08 Kotido-Karenga'!I36,'07.08 Kotido-Karenga'!I36,'08.08 Kotido-Karenga'!I36,'09.08 Kotido-Karenga-24h'!I36,'10.08 Kotido-Karenga-24h'!I36,'11.08 Kotido-Karenga'!I36)</f>
        <v>0</v>
      </c>
      <c r="J36" s="49">
        <f>AVERAGE('05.08 Kotido-Karenga'!J36,'06.08 Kotido-Karenga'!J36,'07.08 Kotido-Karenga'!J36,'08.08 Kotido-Karenga'!J36,'09.08 Kotido-Karenga-24h'!J36,'10.08 Kotido-Karenga-24h'!J36,'11.08 Kotido-Karenga'!J36)</f>
        <v>0.14285714285714285</v>
      </c>
      <c r="K36" s="49">
        <f>AVERAGE('05.08 Kotido-Karenga'!K36,'06.08 Kotido-Karenga'!K36,'07.08 Kotido-Karenga'!K36,'08.08 Kotido-Karenga'!K36,'09.08 Kotido-Karenga-24h'!K36,'10.08 Kotido-Karenga-24h'!K36,'11.08 Kotido-Karenga'!K36)</f>
        <v>0</v>
      </c>
      <c r="L36" s="49">
        <f>AVERAGE('05.08 Kotido-Karenga'!L36,'06.08 Kotido-Karenga'!L36,'07.08 Kotido-Karenga'!L36,'08.08 Kotido-Karenga'!L36,'09.08 Kotido-Karenga-24h'!L36,'10.08 Kotido-Karenga-24h'!L36,'11.08 Kotido-Karenga'!L36)</f>
        <v>0</v>
      </c>
      <c r="M36" s="49">
        <f>AVERAGE('05.08 Kotido-Karenga'!M36,'06.08 Kotido-Karenga'!M36,'07.08 Kotido-Karenga'!M36,'08.08 Kotido-Karenga'!M36,'09.08 Kotido-Karenga-24h'!M36,'10.08 Kotido-Karenga-24h'!M36,'11.08 Kotido-Karenga'!M36)</f>
        <v>1.4285714285714286</v>
      </c>
      <c r="N36" s="49">
        <f>AVERAGE('05.08 Kotido-Karenga'!N36,'06.08 Kotido-Karenga'!N36,'07.08 Kotido-Karenga'!N36,'08.08 Kotido-Karenga'!N36,'09.08 Kotido-Karenga-24h'!N36,'10.08 Kotido-Karenga-24h'!N36,'11.08 Kotido-Karenga'!N36)</f>
        <v>0</v>
      </c>
      <c r="O36" s="15">
        <f t="shared" si="0"/>
        <v>0.71428571428571419</v>
      </c>
      <c r="P36" s="15">
        <f t="shared" si="1"/>
        <v>2.1428571428571428</v>
      </c>
      <c r="R36" s="51" t="s">
        <v>92</v>
      </c>
      <c r="S36" s="52">
        <f t="shared" ref="S36:AF36" si="28">MAX(S19:S21)</f>
        <v>0.2857142857142857</v>
      </c>
      <c r="T36" s="52">
        <f t="shared" si="28"/>
        <v>0.5714285714285714</v>
      </c>
      <c r="U36" s="52">
        <f t="shared" si="28"/>
        <v>0.5714285714285714</v>
      </c>
      <c r="V36" s="52">
        <f t="shared" si="28"/>
        <v>0.71428571428571419</v>
      </c>
      <c r="W36" s="52">
        <f t="shared" si="28"/>
        <v>0</v>
      </c>
      <c r="X36" s="52">
        <f t="shared" si="28"/>
        <v>0</v>
      </c>
      <c r="Y36" s="52">
        <f t="shared" si="28"/>
        <v>0.2857142857142857</v>
      </c>
      <c r="Z36" s="52">
        <f t="shared" si="28"/>
        <v>0.14285714285714285</v>
      </c>
      <c r="AA36" s="52">
        <f t="shared" si="28"/>
        <v>0.14285714285714285</v>
      </c>
      <c r="AB36" s="52">
        <f t="shared" si="28"/>
        <v>0</v>
      </c>
      <c r="AC36" s="52">
        <f t="shared" si="28"/>
        <v>7.4285714285714288</v>
      </c>
      <c r="AD36" s="52">
        <f t="shared" si="28"/>
        <v>0</v>
      </c>
      <c r="AE36" s="40">
        <f t="shared" si="28"/>
        <v>2.1428571428571428</v>
      </c>
      <c r="AF36" s="40">
        <f t="shared" si="28"/>
        <v>9.5714285714285712</v>
      </c>
    </row>
    <row r="37" spans="2:32" ht="23.1" customHeight="1" x14ac:dyDescent="0.25">
      <c r="B37" s="23" t="s">
        <v>64</v>
      </c>
      <c r="C37" s="49">
        <f>AVERAGE('05.08 Kotido-Karenga'!C37,'06.08 Kotido-Karenga'!C37,'07.08 Kotido-Karenga'!C37,'08.08 Kotido-Karenga'!C37,'09.08 Kotido-Karenga-24h'!C37,'10.08 Kotido-Karenga-24h'!C37,'11.08 Kotido-Karenga'!C37)</f>
        <v>0.14285714285714285</v>
      </c>
      <c r="D37" s="49">
        <f>AVERAGE('05.08 Kotido-Karenga'!D37,'06.08 Kotido-Karenga'!D37,'07.08 Kotido-Karenga'!D37,'08.08 Kotido-Karenga'!D37,'09.08 Kotido-Karenga-24h'!D37,'10.08 Kotido-Karenga-24h'!D37,'11.08 Kotido-Karenga'!D37)</f>
        <v>0.14285714285714285</v>
      </c>
      <c r="E37" s="49">
        <f>AVERAGE('05.08 Kotido-Karenga'!E37,'06.08 Kotido-Karenga'!E37,'07.08 Kotido-Karenga'!E37,'08.08 Kotido-Karenga'!E37,'09.08 Kotido-Karenga-24h'!E37,'10.08 Kotido-Karenga-24h'!E37,'11.08 Kotido-Karenga'!E37)</f>
        <v>0.2857142857142857</v>
      </c>
      <c r="F37" s="49">
        <f>AVERAGE('05.08 Kotido-Karenga'!F37,'06.08 Kotido-Karenga'!F37,'07.08 Kotido-Karenga'!F37,'08.08 Kotido-Karenga'!F37,'09.08 Kotido-Karenga-24h'!F37,'10.08 Kotido-Karenga-24h'!F37,'11.08 Kotido-Karenga'!F37)</f>
        <v>0.42857142857142855</v>
      </c>
      <c r="G37" s="49">
        <f>AVERAGE('05.08 Kotido-Karenga'!G37,'06.08 Kotido-Karenga'!G37,'07.08 Kotido-Karenga'!G37,'08.08 Kotido-Karenga'!G37,'09.08 Kotido-Karenga-24h'!G37,'10.08 Kotido-Karenga-24h'!G37,'11.08 Kotido-Karenga'!G37)</f>
        <v>0</v>
      </c>
      <c r="H37" s="49">
        <f>AVERAGE('05.08 Kotido-Karenga'!H37,'06.08 Kotido-Karenga'!H37,'07.08 Kotido-Karenga'!H37,'08.08 Kotido-Karenga'!H37,'09.08 Kotido-Karenga-24h'!H37,'10.08 Kotido-Karenga-24h'!H37,'11.08 Kotido-Karenga'!H37)</f>
        <v>0</v>
      </c>
      <c r="I37" s="49">
        <f>AVERAGE('05.08 Kotido-Karenga'!I37,'06.08 Kotido-Karenga'!I37,'07.08 Kotido-Karenga'!I37,'08.08 Kotido-Karenga'!I37,'09.08 Kotido-Karenga-24h'!I37,'10.08 Kotido-Karenga-24h'!I37,'11.08 Kotido-Karenga'!I37)</f>
        <v>0</v>
      </c>
      <c r="J37" s="49">
        <f>AVERAGE('05.08 Kotido-Karenga'!J37,'06.08 Kotido-Karenga'!J37,'07.08 Kotido-Karenga'!J37,'08.08 Kotido-Karenga'!J37,'09.08 Kotido-Karenga-24h'!J37,'10.08 Kotido-Karenga-24h'!J37,'11.08 Kotido-Karenga'!J37)</f>
        <v>0</v>
      </c>
      <c r="K37" s="49">
        <f>AVERAGE('05.08 Kotido-Karenga'!K37,'06.08 Kotido-Karenga'!K37,'07.08 Kotido-Karenga'!K37,'08.08 Kotido-Karenga'!K37,'09.08 Kotido-Karenga-24h'!K37,'10.08 Kotido-Karenga-24h'!K37,'11.08 Kotido-Karenga'!K37)</f>
        <v>0</v>
      </c>
      <c r="L37" s="49">
        <f>AVERAGE('05.08 Kotido-Karenga'!L37,'06.08 Kotido-Karenga'!L37,'07.08 Kotido-Karenga'!L37,'08.08 Kotido-Karenga'!L37,'09.08 Kotido-Karenga-24h'!L37,'10.08 Kotido-Karenga-24h'!L37,'11.08 Kotido-Karenga'!L37)</f>
        <v>0</v>
      </c>
      <c r="M37" s="49">
        <f>AVERAGE('05.08 Kotido-Karenga'!M37,'06.08 Kotido-Karenga'!M37,'07.08 Kotido-Karenga'!M37,'08.08 Kotido-Karenga'!M37,'09.08 Kotido-Karenga-24h'!M37,'10.08 Kotido-Karenga-24h'!M37,'11.08 Kotido-Karenga'!M37)</f>
        <v>1.5714285714285714</v>
      </c>
      <c r="N37" s="49">
        <f>AVERAGE('05.08 Kotido-Karenga'!N37,'06.08 Kotido-Karenga'!N37,'07.08 Kotido-Karenga'!N37,'08.08 Kotido-Karenga'!N37,'09.08 Kotido-Karenga-24h'!N37,'10.08 Kotido-Karenga-24h'!N37,'11.08 Kotido-Karenga'!N37)</f>
        <v>0</v>
      </c>
      <c r="O37" s="15">
        <f t="shared" si="0"/>
        <v>1</v>
      </c>
      <c r="P37" s="15">
        <f t="shared" si="1"/>
        <v>2.5714285714285712</v>
      </c>
      <c r="R37" s="37" t="s">
        <v>85</v>
      </c>
      <c r="S37" s="35">
        <f t="shared" ref="S37:AF37" si="29">SUM(S10:S12)</f>
        <v>0.71428571428571419</v>
      </c>
      <c r="T37" s="16">
        <f t="shared" si="29"/>
        <v>1.4285714285714284</v>
      </c>
      <c r="U37" s="16">
        <f t="shared" si="29"/>
        <v>3.5714285714285712</v>
      </c>
      <c r="V37" s="16">
        <f t="shared" si="29"/>
        <v>0</v>
      </c>
      <c r="W37" s="16">
        <f t="shared" si="29"/>
        <v>0</v>
      </c>
      <c r="X37" s="16">
        <f t="shared" si="29"/>
        <v>0.14285714285714285</v>
      </c>
      <c r="Y37" s="16">
        <f t="shared" si="29"/>
        <v>2.2857142857142856</v>
      </c>
      <c r="Z37" s="16">
        <f t="shared" si="29"/>
        <v>0</v>
      </c>
      <c r="AA37" s="16">
        <f t="shared" si="29"/>
        <v>0</v>
      </c>
      <c r="AB37" s="16">
        <f t="shared" si="29"/>
        <v>0.2857142857142857</v>
      </c>
      <c r="AC37" s="16">
        <f t="shared" si="29"/>
        <v>26</v>
      </c>
      <c r="AD37" s="16">
        <f t="shared" si="29"/>
        <v>0</v>
      </c>
      <c r="AE37" s="32">
        <f t="shared" si="29"/>
        <v>8.4285714285714288</v>
      </c>
      <c r="AF37" s="32">
        <f t="shared" si="29"/>
        <v>34.428571428571431</v>
      </c>
    </row>
    <row r="38" spans="2:32" ht="23.1" customHeight="1" x14ac:dyDescent="0.25">
      <c r="B38" s="24" t="s">
        <v>65</v>
      </c>
      <c r="C38" s="49">
        <f>AVERAGE('05.08 Kotido-Karenga'!C38,'06.08 Kotido-Karenga'!C38,'07.08 Kotido-Karenga'!C38,'08.08 Kotido-Karenga'!C38,'09.08 Kotido-Karenga-24h'!C38,'10.08 Kotido-Karenga-24h'!C38,'11.08 Kotido-Karenga'!C38)</f>
        <v>0</v>
      </c>
      <c r="D38" s="49">
        <f>AVERAGE('05.08 Kotido-Karenga'!D38,'06.08 Kotido-Karenga'!D38,'07.08 Kotido-Karenga'!D38,'08.08 Kotido-Karenga'!D38,'09.08 Kotido-Karenga-24h'!D38,'10.08 Kotido-Karenga-24h'!D38,'11.08 Kotido-Karenga'!D38)</f>
        <v>0.14285714285714285</v>
      </c>
      <c r="E38" s="49">
        <f>AVERAGE('05.08 Kotido-Karenga'!E38,'06.08 Kotido-Karenga'!E38,'07.08 Kotido-Karenga'!E38,'08.08 Kotido-Karenga'!E38,'09.08 Kotido-Karenga-24h'!E38,'10.08 Kotido-Karenga-24h'!E38,'11.08 Kotido-Karenga'!E38)</f>
        <v>0.2857142857142857</v>
      </c>
      <c r="F38" s="49">
        <f>AVERAGE('05.08 Kotido-Karenga'!F38,'06.08 Kotido-Karenga'!F38,'07.08 Kotido-Karenga'!F38,'08.08 Kotido-Karenga'!F38,'09.08 Kotido-Karenga-24h'!F38,'10.08 Kotido-Karenga-24h'!F38,'11.08 Kotido-Karenga'!F38)</f>
        <v>0.2857142857142857</v>
      </c>
      <c r="G38" s="49">
        <f>AVERAGE('05.08 Kotido-Karenga'!G38,'06.08 Kotido-Karenga'!G38,'07.08 Kotido-Karenga'!G38,'08.08 Kotido-Karenga'!G38,'09.08 Kotido-Karenga-24h'!G38,'10.08 Kotido-Karenga-24h'!G38,'11.08 Kotido-Karenga'!G38)</f>
        <v>0</v>
      </c>
      <c r="H38" s="49">
        <f>AVERAGE('05.08 Kotido-Karenga'!H38,'06.08 Kotido-Karenga'!H38,'07.08 Kotido-Karenga'!H38,'08.08 Kotido-Karenga'!H38,'09.08 Kotido-Karenga-24h'!H38,'10.08 Kotido-Karenga-24h'!H38,'11.08 Kotido-Karenga'!H38)</f>
        <v>0</v>
      </c>
      <c r="I38" s="49">
        <f>AVERAGE('05.08 Kotido-Karenga'!I38,'06.08 Kotido-Karenga'!I38,'07.08 Kotido-Karenga'!I38,'08.08 Kotido-Karenga'!I38,'09.08 Kotido-Karenga-24h'!I38,'10.08 Kotido-Karenga-24h'!I38,'11.08 Kotido-Karenga'!I38)</f>
        <v>0</v>
      </c>
      <c r="J38" s="49">
        <f>AVERAGE('05.08 Kotido-Karenga'!J38,'06.08 Kotido-Karenga'!J38,'07.08 Kotido-Karenga'!J38,'08.08 Kotido-Karenga'!J38,'09.08 Kotido-Karenga-24h'!J38,'10.08 Kotido-Karenga-24h'!J38,'11.08 Kotido-Karenga'!J38)</f>
        <v>0</v>
      </c>
      <c r="K38" s="49">
        <f>AVERAGE('05.08 Kotido-Karenga'!K38,'06.08 Kotido-Karenga'!K38,'07.08 Kotido-Karenga'!K38,'08.08 Kotido-Karenga'!K38,'09.08 Kotido-Karenga-24h'!K38,'10.08 Kotido-Karenga-24h'!K38,'11.08 Kotido-Karenga'!K38)</f>
        <v>0</v>
      </c>
      <c r="L38" s="49">
        <f>AVERAGE('05.08 Kotido-Karenga'!L38,'06.08 Kotido-Karenga'!L38,'07.08 Kotido-Karenga'!L38,'08.08 Kotido-Karenga'!L38,'09.08 Kotido-Karenga-24h'!L38,'10.08 Kotido-Karenga-24h'!L38,'11.08 Kotido-Karenga'!L38)</f>
        <v>0</v>
      </c>
      <c r="M38" s="49">
        <f>AVERAGE('05.08 Kotido-Karenga'!M38,'06.08 Kotido-Karenga'!M38,'07.08 Kotido-Karenga'!M38,'08.08 Kotido-Karenga'!M38,'09.08 Kotido-Karenga-24h'!M38,'10.08 Kotido-Karenga-24h'!M38,'11.08 Kotido-Karenga'!M38)</f>
        <v>1.7142857142857142</v>
      </c>
      <c r="N38" s="49">
        <f>AVERAGE('05.08 Kotido-Karenga'!N38,'06.08 Kotido-Karenga'!N38,'07.08 Kotido-Karenga'!N38,'08.08 Kotido-Karenga'!N38,'09.08 Kotido-Karenga-24h'!N38,'10.08 Kotido-Karenga-24h'!N38,'11.08 Kotido-Karenga'!N38)</f>
        <v>0</v>
      </c>
      <c r="O38" s="15">
        <f t="shared" si="0"/>
        <v>0.71428571428571419</v>
      </c>
      <c r="P38" s="15">
        <f t="shared" si="1"/>
        <v>2.4285714285714284</v>
      </c>
      <c r="R38" s="28" t="s">
        <v>86</v>
      </c>
      <c r="S38" s="16">
        <f t="shared" ref="S38:AF38" si="30">SUM(S13:S18)</f>
        <v>0.5714285714285714</v>
      </c>
      <c r="T38" s="16">
        <f t="shared" si="30"/>
        <v>4.5714285714285712</v>
      </c>
      <c r="U38" s="16">
        <f t="shared" si="30"/>
        <v>5.7142857142857135</v>
      </c>
      <c r="V38" s="16">
        <f t="shared" si="30"/>
        <v>2.2857142857142856</v>
      </c>
      <c r="W38" s="16">
        <f t="shared" si="30"/>
        <v>0</v>
      </c>
      <c r="X38" s="16">
        <f t="shared" si="30"/>
        <v>0</v>
      </c>
      <c r="Y38" s="16">
        <f t="shared" si="30"/>
        <v>2.2857142857142856</v>
      </c>
      <c r="Z38" s="16">
        <f t="shared" si="30"/>
        <v>1.7142857142857142</v>
      </c>
      <c r="AA38" s="16">
        <f t="shared" si="30"/>
        <v>0</v>
      </c>
      <c r="AB38" s="16">
        <f t="shared" si="30"/>
        <v>0</v>
      </c>
      <c r="AC38" s="16">
        <f t="shared" si="30"/>
        <v>42.285714285714285</v>
      </c>
      <c r="AD38" s="16">
        <f t="shared" si="30"/>
        <v>0.14285714285714285</v>
      </c>
      <c r="AE38" s="32">
        <f t="shared" si="30"/>
        <v>17.285714285714285</v>
      </c>
      <c r="AF38" s="32">
        <f t="shared" si="30"/>
        <v>59.571428571428569</v>
      </c>
    </row>
    <row r="39" spans="2:32" ht="23.1" customHeight="1" x14ac:dyDescent="0.25">
      <c r="B39" s="24" t="s">
        <v>66</v>
      </c>
      <c r="C39" s="49">
        <f>AVERAGE('05.08 Kotido-Karenga'!C39,'06.08 Kotido-Karenga'!C39,'07.08 Kotido-Karenga'!C39,'08.08 Kotido-Karenga'!C39,'09.08 Kotido-Karenga-24h'!C39,'10.08 Kotido-Karenga-24h'!C39,'11.08 Kotido-Karenga'!C39)</f>
        <v>0.14285714285714285</v>
      </c>
      <c r="D39" s="49">
        <f>AVERAGE('05.08 Kotido-Karenga'!D39,'06.08 Kotido-Karenga'!D39,'07.08 Kotido-Karenga'!D39,'08.08 Kotido-Karenga'!D39,'09.08 Kotido-Karenga-24h'!D39,'10.08 Kotido-Karenga-24h'!D39,'11.08 Kotido-Karenga'!D39)</f>
        <v>0</v>
      </c>
      <c r="E39" s="49">
        <f>AVERAGE('05.08 Kotido-Karenga'!E39,'06.08 Kotido-Karenga'!E39,'07.08 Kotido-Karenga'!E39,'08.08 Kotido-Karenga'!E39,'09.08 Kotido-Karenga-24h'!E39,'10.08 Kotido-Karenga-24h'!E39,'11.08 Kotido-Karenga'!E39)</f>
        <v>0.14285714285714285</v>
      </c>
      <c r="F39" s="49">
        <f>AVERAGE('05.08 Kotido-Karenga'!F39,'06.08 Kotido-Karenga'!F39,'07.08 Kotido-Karenga'!F39,'08.08 Kotido-Karenga'!F39,'09.08 Kotido-Karenga-24h'!F39,'10.08 Kotido-Karenga-24h'!F39,'11.08 Kotido-Karenga'!F39)</f>
        <v>0</v>
      </c>
      <c r="G39" s="49">
        <f>AVERAGE('05.08 Kotido-Karenga'!G39,'06.08 Kotido-Karenga'!G39,'07.08 Kotido-Karenga'!G39,'08.08 Kotido-Karenga'!G39,'09.08 Kotido-Karenga-24h'!G39,'10.08 Kotido-Karenga-24h'!G39,'11.08 Kotido-Karenga'!G39)</f>
        <v>0</v>
      </c>
      <c r="H39" s="49">
        <f>AVERAGE('05.08 Kotido-Karenga'!H39,'06.08 Kotido-Karenga'!H39,'07.08 Kotido-Karenga'!H39,'08.08 Kotido-Karenga'!H39,'09.08 Kotido-Karenga-24h'!H39,'10.08 Kotido-Karenga-24h'!H39,'11.08 Kotido-Karenga'!H39)</f>
        <v>0</v>
      </c>
      <c r="I39" s="49">
        <f>AVERAGE('05.08 Kotido-Karenga'!I39,'06.08 Kotido-Karenga'!I39,'07.08 Kotido-Karenga'!I39,'08.08 Kotido-Karenga'!I39,'09.08 Kotido-Karenga-24h'!I39,'10.08 Kotido-Karenga-24h'!I39,'11.08 Kotido-Karenga'!I39)</f>
        <v>0.14285714285714285</v>
      </c>
      <c r="J39" s="49">
        <f>AVERAGE('05.08 Kotido-Karenga'!J39,'06.08 Kotido-Karenga'!J39,'07.08 Kotido-Karenga'!J39,'08.08 Kotido-Karenga'!J39,'09.08 Kotido-Karenga-24h'!J39,'10.08 Kotido-Karenga-24h'!J39,'11.08 Kotido-Karenga'!J39)</f>
        <v>0.14285714285714285</v>
      </c>
      <c r="K39" s="49">
        <f>AVERAGE('05.08 Kotido-Karenga'!K39,'06.08 Kotido-Karenga'!K39,'07.08 Kotido-Karenga'!K39,'08.08 Kotido-Karenga'!K39,'09.08 Kotido-Karenga-24h'!K39,'10.08 Kotido-Karenga-24h'!K39,'11.08 Kotido-Karenga'!K39)</f>
        <v>0</v>
      </c>
      <c r="L39" s="49">
        <f>AVERAGE('05.08 Kotido-Karenga'!L39,'06.08 Kotido-Karenga'!L39,'07.08 Kotido-Karenga'!L39,'08.08 Kotido-Karenga'!L39,'09.08 Kotido-Karenga-24h'!L39,'10.08 Kotido-Karenga-24h'!L39,'11.08 Kotido-Karenga'!L39)</f>
        <v>0</v>
      </c>
      <c r="M39" s="49">
        <f>AVERAGE('05.08 Kotido-Karenga'!M39,'06.08 Kotido-Karenga'!M39,'07.08 Kotido-Karenga'!M39,'08.08 Kotido-Karenga'!M39,'09.08 Kotido-Karenga-24h'!M39,'10.08 Kotido-Karenga-24h'!M39,'11.08 Kotido-Karenga'!M39)</f>
        <v>1.1428571428571428</v>
      </c>
      <c r="N39" s="49">
        <f>AVERAGE('05.08 Kotido-Karenga'!N39,'06.08 Kotido-Karenga'!N39,'07.08 Kotido-Karenga'!N39,'08.08 Kotido-Karenga'!N39,'09.08 Kotido-Karenga-24h'!N39,'10.08 Kotido-Karenga-24h'!N39,'11.08 Kotido-Karenga'!N39)</f>
        <v>0</v>
      </c>
      <c r="O39" s="15">
        <f t="shared" si="0"/>
        <v>0.5714285714285714</v>
      </c>
      <c r="P39" s="15">
        <f t="shared" si="1"/>
        <v>1.7142857142857142</v>
      </c>
      <c r="R39" s="29" t="s">
        <v>87</v>
      </c>
      <c r="S39" s="16">
        <f t="shared" ref="S39:AF39" si="31">SUM(S19:S21)</f>
        <v>0.42857142857142855</v>
      </c>
      <c r="T39" s="16">
        <f t="shared" si="31"/>
        <v>1.7142857142857142</v>
      </c>
      <c r="U39" s="16">
        <f t="shared" si="31"/>
        <v>0.99999999999999989</v>
      </c>
      <c r="V39" s="16">
        <f t="shared" si="31"/>
        <v>1.857142857142857</v>
      </c>
      <c r="W39" s="16">
        <f t="shared" si="31"/>
        <v>0</v>
      </c>
      <c r="X39" s="16">
        <f t="shared" si="31"/>
        <v>0</v>
      </c>
      <c r="Y39" s="16">
        <f t="shared" si="31"/>
        <v>0.5714285714285714</v>
      </c>
      <c r="Z39" s="16">
        <f t="shared" si="31"/>
        <v>0.14285714285714285</v>
      </c>
      <c r="AA39" s="16">
        <f t="shared" si="31"/>
        <v>0.14285714285714285</v>
      </c>
      <c r="AB39" s="16">
        <f t="shared" si="31"/>
        <v>0</v>
      </c>
      <c r="AC39" s="16">
        <f t="shared" si="31"/>
        <v>20.142857142857146</v>
      </c>
      <c r="AD39" s="16">
        <f t="shared" si="31"/>
        <v>0</v>
      </c>
      <c r="AE39" s="32">
        <f t="shared" si="31"/>
        <v>5.8571428571428559</v>
      </c>
      <c r="AF39" s="32">
        <f t="shared" si="31"/>
        <v>26</v>
      </c>
    </row>
    <row r="40" spans="2:32" ht="23.1" customHeight="1" x14ac:dyDescent="0.25">
      <c r="B40" s="24" t="s">
        <v>67</v>
      </c>
      <c r="C40" s="49">
        <f>AVERAGE('05.08 Kotido-Karenga'!C40,'06.08 Kotido-Karenga'!C40,'07.08 Kotido-Karenga'!C40,'08.08 Kotido-Karenga'!C40,'09.08 Kotido-Karenga-24h'!C40,'10.08 Kotido-Karenga-24h'!C40,'11.08 Kotido-Karenga'!C40)</f>
        <v>0</v>
      </c>
      <c r="D40" s="49">
        <f>AVERAGE('05.08 Kotido-Karenga'!D40,'06.08 Kotido-Karenga'!D40,'07.08 Kotido-Karenga'!D40,'08.08 Kotido-Karenga'!D40,'09.08 Kotido-Karenga-24h'!D40,'10.08 Kotido-Karenga-24h'!D40,'11.08 Kotido-Karenga'!D40)</f>
        <v>0</v>
      </c>
      <c r="E40" s="49">
        <f>AVERAGE('05.08 Kotido-Karenga'!E40,'06.08 Kotido-Karenga'!E40,'07.08 Kotido-Karenga'!E40,'08.08 Kotido-Karenga'!E40,'09.08 Kotido-Karenga-24h'!E40,'10.08 Kotido-Karenga-24h'!E40,'11.08 Kotido-Karenga'!E40)</f>
        <v>0.2857142857142857</v>
      </c>
      <c r="F40" s="49">
        <f>AVERAGE('05.08 Kotido-Karenga'!F40,'06.08 Kotido-Karenga'!F40,'07.08 Kotido-Karenga'!F40,'08.08 Kotido-Karenga'!F40,'09.08 Kotido-Karenga-24h'!F40,'10.08 Kotido-Karenga-24h'!F40,'11.08 Kotido-Karenga'!F40)</f>
        <v>0.14285714285714285</v>
      </c>
      <c r="G40" s="49">
        <f>AVERAGE('05.08 Kotido-Karenga'!G40,'06.08 Kotido-Karenga'!G40,'07.08 Kotido-Karenga'!G40,'08.08 Kotido-Karenga'!G40,'09.08 Kotido-Karenga-24h'!G40,'10.08 Kotido-Karenga-24h'!G40,'11.08 Kotido-Karenga'!G40)</f>
        <v>0</v>
      </c>
      <c r="H40" s="49">
        <f>AVERAGE('05.08 Kotido-Karenga'!H40,'06.08 Kotido-Karenga'!H40,'07.08 Kotido-Karenga'!H40,'08.08 Kotido-Karenga'!H40,'09.08 Kotido-Karenga-24h'!H40,'10.08 Kotido-Karenga-24h'!H40,'11.08 Kotido-Karenga'!H40)</f>
        <v>0</v>
      </c>
      <c r="I40" s="49">
        <f>AVERAGE('05.08 Kotido-Karenga'!I40,'06.08 Kotido-Karenga'!I40,'07.08 Kotido-Karenga'!I40,'08.08 Kotido-Karenga'!I40,'09.08 Kotido-Karenga-24h'!I40,'10.08 Kotido-Karenga-24h'!I40,'11.08 Kotido-Karenga'!I40)</f>
        <v>0.2857142857142857</v>
      </c>
      <c r="J40" s="49">
        <f>AVERAGE('05.08 Kotido-Karenga'!J40,'06.08 Kotido-Karenga'!J40,'07.08 Kotido-Karenga'!J40,'08.08 Kotido-Karenga'!J40,'09.08 Kotido-Karenga-24h'!J40,'10.08 Kotido-Karenga-24h'!J40,'11.08 Kotido-Karenga'!J40)</f>
        <v>0</v>
      </c>
      <c r="K40" s="49">
        <f>AVERAGE('05.08 Kotido-Karenga'!K40,'06.08 Kotido-Karenga'!K40,'07.08 Kotido-Karenga'!K40,'08.08 Kotido-Karenga'!K40,'09.08 Kotido-Karenga-24h'!K40,'10.08 Kotido-Karenga-24h'!K40,'11.08 Kotido-Karenga'!K40)</f>
        <v>0</v>
      </c>
      <c r="L40" s="49">
        <f>AVERAGE('05.08 Kotido-Karenga'!L40,'06.08 Kotido-Karenga'!L40,'07.08 Kotido-Karenga'!L40,'08.08 Kotido-Karenga'!L40,'09.08 Kotido-Karenga-24h'!L40,'10.08 Kotido-Karenga-24h'!L40,'11.08 Kotido-Karenga'!L40)</f>
        <v>0</v>
      </c>
      <c r="M40" s="49">
        <f>AVERAGE('05.08 Kotido-Karenga'!M40,'06.08 Kotido-Karenga'!M40,'07.08 Kotido-Karenga'!M40,'08.08 Kotido-Karenga'!M40,'09.08 Kotido-Karenga-24h'!M40,'10.08 Kotido-Karenga-24h'!M40,'11.08 Kotido-Karenga'!M40)</f>
        <v>1.1428571428571428</v>
      </c>
      <c r="N40" s="49">
        <f>AVERAGE('05.08 Kotido-Karenga'!N40,'06.08 Kotido-Karenga'!N40,'07.08 Kotido-Karenga'!N40,'08.08 Kotido-Karenga'!N40,'09.08 Kotido-Karenga-24h'!N40,'10.08 Kotido-Karenga-24h'!N40,'11.08 Kotido-Karenga'!N40)</f>
        <v>0</v>
      </c>
      <c r="O40" s="15">
        <f t="shared" si="0"/>
        <v>0.71428571428571419</v>
      </c>
      <c r="P40" s="15">
        <f t="shared" si="1"/>
        <v>1.857142857142857</v>
      </c>
      <c r="R40" s="5" t="s">
        <v>17</v>
      </c>
      <c r="S40" s="16">
        <f t="shared" ref="S40:AF40" si="32">SUM(S10:S21)</f>
        <v>1.714285714285714</v>
      </c>
      <c r="T40" s="16">
        <f t="shared" si="32"/>
        <v>7.7142857142857117</v>
      </c>
      <c r="U40" s="16">
        <f t="shared" si="32"/>
        <v>10.285714285714283</v>
      </c>
      <c r="V40" s="16">
        <f t="shared" si="32"/>
        <v>4.1428571428571423</v>
      </c>
      <c r="W40" s="16">
        <f t="shared" si="32"/>
        <v>0</v>
      </c>
      <c r="X40" s="16">
        <f t="shared" si="32"/>
        <v>0.14285714285714285</v>
      </c>
      <c r="Y40" s="16">
        <f t="shared" si="32"/>
        <v>5.1428571428571423</v>
      </c>
      <c r="Z40" s="16">
        <f t="shared" si="32"/>
        <v>1.857142857142857</v>
      </c>
      <c r="AA40" s="16">
        <f t="shared" si="32"/>
        <v>0.14285714285714285</v>
      </c>
      <c r="AB40" s="16">
        <f t="shared" si="32"/>
        <v>0.2857142857142857</v>
      </c>
      <c r="AC40" s="16">
        <f t="shared" si="32"/>
        <v>88.428571428571431</v>
      </c>
      <c r="AD40" s="16">
        <f t="shared" si="32"/>
        <v>0.14285714285714285</v>
      </c>
      <c r="AE40" s="32">
        <f t="shared" si="32"/>
        <v>31.571428571428566</v>
      </c>
      <c r="AF40" s="32">
        <f t="shared" si="32"/>
        <v>120</v>
      </c>
    </row>
    <row r="41" spans="2:32" ht="23.1" customHeight="1" x14ac:dyDescent="0.25">
      <c r="B41" s="23" t="s">
        <v>68</v>
      </c>
      <c r="C41" s="49">
        <f>AVERAGE('05.08 Kotido-Karenga'!C41,'06.08 Kotido-Karenga'!C41,'07.08 Kotido-Karenga'!C41,'08.08 Kotido-Karenga'!C41,'09.08 Kotido-Karenga-24h'!C41,'10.08 Kotido-Karenga-24h'!C41,'11.08 Kotido-Karenga'!C41)</f>
        <v>0</v>
      </c>
      <c r="D41" s="49">
        <f>AVERAGE('05.08 Kotido-Karenga'!D41,'06.08 Kotido-Karenga'!D41,'07.08 Kotido-Karenga'!D41,'08.08 Kotido-Karenga'!D41,'09.08 Kotido-Karenga-24h'!D41,'10.08 Kotido-Karenga-24h'!D41,'11.08 Kotido-Karenga'!D41)</f>
        <v>0.14285714285714285</v>
      </c>
      <c r="E41" s="49">
        <f>AVERAGE('05.08 Kotido-Karenga'!E41,'06.08 Kotido-Karenga'!E41,'07.08 Kotido-Karenga'!E41,'08.08 Kotido-Karenga'!E41,'09.08 Kotido-Karenga-24h'!E41,'10.08 Kotido-Karenga-24h'!E41,'11.08 Kotido-Karenga'!E41)</f>
        <v>0</v>
      </c>
      <c r="F41" s="49">
        <f>AVERAGE('05.08 Kotido-Karenga'!F41,'06.08 Kotido-Karenga'!F41,'07.08 Kotido-Karenga'!F41,'08.08 Kotido-Karenga'!F41,'09.08 Kotido-Karenga-24h'!F41,'10.08 Kotido-Karenga-24h'!F41,'11.08 Kotido-Karenga'!F41)</f>
        <v>0</v>
      </c>
      <c r="G41" s="49">
        <f>AVERAGE('05.08 Kotido-Karenga'!G41,'06.08 Kotido-Karenga'!G41,'07.08 Kotido-Karenga'!G41,'08.08 Kotido-Karenga'!G41,'09.08 Kotido-Karenga-24h'!G41,'10.08 Kotido-Karenga-24h'!G41,'11.08 Kotido-Karenga'!G41)</f>
        <v>0</v>
      </c>
      <c r="H41" s="49">
        <f>AVERAGE('05.08 Kotido-Karenga'!H41,'06.08 Kotido-Karenga'!H41,'07.08 Kotido-Karenga'!H41,'08.08 Kotido-Karenga'!H41,'09.08 Kotido-Karenga-24h'!H41,'10.08 Kotido-Karenga-24h'!H41,'11.08 Kotido-Karenga'!H41)</f>
        <v>0</v>
      </c>
      <c r="I41" s="49">
        <f>AVERAGE('05.08 Kotido-Karenga'!I41,'06.08 Kotido-Karenga'!I41,'07.08 Kotido-Karenga'!I41,'08.08 Kotido-Karenga'!I41,'09.08 Kotido-Karenga-24h'!I41,'10.08 Kotido-Karenga-24h'!I41,'11.08 Kotido-Karenga'!I41)</f>
        <v>0.14285714285714285</v>
      </c>
      <c r="J41" s="49">
        <f>AVERAGE('05.08 Kotido-Karenga'!J41,'06.08 Kotido-Karenga'!J41,'07.08 Kotido-Karenga'!J41,'08.08 Kotido-Karenga'!J41,'09.08 Kotido-Karenga-24h'!J41,'10.08 Kotido-Karenga-24h'!J41,'11.08 Kotido-Karenga'!J41)</f>
        <v>0.14285714285714285</v>
      </c>
      <c r="K41" s="49">
        <f>AVERAGE('05.08 Kotido-Karenga'!K41,'06.08 Kotido-Karenga'!K41,'07.08 Kotido-Karenga'!K41,'08.08 Kotido-Karenga'!K41,'09.08 Kotido-Karenga-24h'!K41,'10.08 Kotido-Karenga-24h'!K41,'11.08 Kotido-Karenga'!K41)</f>
        <v>0</v>
      </c>
      <c r="L41" s="49">
        <f>AVERAGE('05.08 Kotido-Karenga'!L41,'06.08 Kotido-Karenga'!L41,'07.08 Kotido-Karenga'!L41,'08.08 Kotido-Karenga'!L41,'09.08 Kotido-Karenga-24h'!L41,'10.08 Kotido-Karenga-24h'!L41,'11.08 Kotido-Karenga'!L41)</f>
        <v>0</v>
      </c>
      <c r="M41" s="49">
        <f>AVERAGE('05.08 Kotido-Karenga'!M41,'06.08 Kotido-Karenga'!M41,'07.08 Kotido-Karenga'!M41,'08.08 Kotido-Karenga'!M41,'09.08 Kotido-Karenga-24h'!M41,'10.08 Kotido-Karenga-24h'!M41,'11.08 Kotido-Karenga'!M41)</f>
        <v>1.1428571428571428</v>
      </c>
      <c r="N41" s="49">
        <f>AVERAGE('05.08 Kotido-Karenga'!N41,'06.08 Kotido-Karenga'!N41,'07.08 Kotido-Karenga'!N41,'08.08 Kotido-Karenga'!N41,'09.08 Kotido-Karenga-24h'!N41,'10.08 Kotido-Karenga-24h'!N41,'11.08 Kotido-Karenga'!N41)</f>
        <v>0</v>
      </c>
      <c r="O41" s="15">
        <f t="shared" si="0"/>
        <v>0.42857142857142855</v>
      </c>
      <c r="P41" s="15">
        <f t="shared" si="1"/>
        <v>1.5714285714285714</v>
      </c>
      <c r="R41" s="5" t="s">
        <v>175</v>
      </c>
      <c r="S41" s="16">
        <f>SUM(S10:S33)</f>
        <v>2.714285714285714</v>
      </c>
      <c r="T41" s="16">
        <f t="shared" ref="T41:AD41" si="33">SUM(T10:T33)</f>
        <v>9.2142857142857117</v>
      </c>
      <c r="U41" s="16">
        <f t="shared" si="33"/>
        <v>10.285714285714283</v>
      </c>
      <c r="V41" s="16">
        <f t="shared" si="33"/>
        <v>4.6428571428571423</v>
      </c>
      <c r="W41" s="16">
        <f t="shared" si="33"/>
        <v>0</v>
      </c>
      <c r="X41" s="16">
        <f t="shared" si="33"/>
        <v>0.14285714285714285</v>
      </c>
      <c r="Y41" s="16">
        <f t="shared" si="33"/>
        <v>5.1428571428571423</v>
      </c>
      <c r="Z41" s="16">
        <f t="shared" si="33"/>
        <v>1.857142857142857</v>
      </c>
      <c r="AA41" s="16">
        <f t="shared" si="33"/>
        <v>0.14285714285714285</v>
      </c>
      <c r="AB41" s="16">
        <f t="shared" si="33"/>
        <v>0.2857142857142857</v>
      </c>
      <c r="AC41" s="16">
        <f t="shared" si="33"/>
        <v>102.92857142857143</v>
      </c>
      <c r="AD41" s="16">
        <f t="shared" si="33"/>
        <v>0.14285714285714285</v>
      </c>
      <c r="AE41" s="32">
        <f>SUM(AE10:AE33)</f>
        <v>34.571428571428569</v>
      </c>
      <c r="AF41" s="32">
        <f>SUM(AF10:AF33)</f>
        <v>137.5</v>
      </c>
    </row>
    <row r="42" spans="2:32" ht="23.1" customHeight="1" x14ac:dyDescent="0.25">
      <c r="B42" s="24" t="s">
        <v>69</v>
      </c>
      <c r="C42" s="49">
        <f>AVERAGE('05.08 Kotido-Karenga'!C42,'06.08 Kotido-Karenga'!C42,'07.08 Kotido-Karenga'!C42,'08.08 Kotido-Karenga'!C42,'09.08 Kotido-Karenga-24h'!C42,'10.08 Kotido-Karenga-24h'!C42,'11.08 Kotido-Karenga'!C42)</f>
        <v>0</v>
      </c>
      <c r="D42" s="49">
        <f>AVERAGE('05.08 Kotido-Karenga'!D42,'06.08 Kotido-Karenga'!D42,'07.08 Kotido-Karenga'!D42,'08.08 Kotido-Karenga'!D42,'09.08 Kotido-Karenga-24h'!D42,'10.08 Kotido-Karenga-24h'!D42,'11.08 Kotido-Karenga'!D42)</f>
        <v>0.14285714285714285</v>
      </c>
      <c r="E42" s="49">
        <f>AVERAGE('05.08 Kotido-Karenga'!E42,'06.08 Kotido-Karenga'!E42,'07.08 Kotido-Karenga'!E42,'08.08 Kotido-Karenga'!E42,'09.08 Kotido-Karenga-24h'!E42,'10.08 Kotido-Karenga-24h'!E42,'11.08 Kotido-Karenga'!E42)</f>
        <v>0.14285714285714285</v>
      </c>
      <c r="F42" s="49">
        <f>AVERAGE('05.08 Kotido-Karenga'!F42,'06.08 Kotido-Karenga'!F42,'07.08 Kotido-Karenga'!F42,'08.08 Kotido-Karenga'!F42,'09.08 Kotido-Karenga-24h'!F42,'10.08 Kotido-Karenga-24h'!F42,'11.08 Kotido-Karenga'!F42)</f>
        <v>0</v>
      </c>
      <c r="G42" s="49">
        <f>AVERAGE('05.08 Kotido-Karenga'!G42,'06.08 Kotido-Karenga'!G42,'07.08 Kotido-Karenga'!G42,'08.08 Kotido-Karenga'!G42,'09.08 Kotido-Karenga-24h'!G42,'10.08 Kotido-Karenga-24h'!G42,'11.08 Kotido-Karenga'!G42)</f>
        <v>0</v>
      </c>
      <c r="H42" s="49">
        <f>AVERAGE('05.08 Kotido-Karenga'!H42,'06.08 Kotido-Karenga'!H42,'07.08 Kotido-Karenga'!H42,'08.08 Kotido-Karenga'!H42,'09.08 Kotido-Karenga-24h'!H42,'10.08 Kotido-Karenga-24h'!H42,'11.08 Kotido-Karenga'!H42)</f>
        <v>0</v>
      </c>
      <c r="I42" s="49">
        <f>AVERAGE('05.08 Kotido-Karenga'!I42,'06.08 Kotido-Karenga'!I42,'07.08 Kotido-Karenga'!I42,'08.08 Kotido-Karenga'!I42,'09.08 Kotido-Karenga-24h'!I42,'10.08 Kotido-Karenga-24h'!I42,'11.08 Kotido-Karenga'!I42)</f>
        <v>0</v>
      </c>
      <c r="J42" s="49">
        <f>AVERAGE('05.08 Kotido-Karenga'!J42,'06.08 Kotido-Karenga'!J42,'07.08 Kotido-Karenga'!J42,'08.08 Kotido-Karenga'!J42,'09.08 Kotido-Karenga-24h'!J42,'10.08 Kotido-Karenga-24h'!J42,'11.08 Kotido-Karenga'!J42)</f>
        <v>0</v>
      </c>
      <c r="K42" s="49">
        <f>AVERAGE('05.08 Kotido-Karenga'!K42,'06.08 Kotido-Karenga'!K42,'07.08 Kotido-Karenga'!K42,'08.08 Kotido-Karenga'!K42,'09.08 Kotido-Karenga-24h'!K42,'10.08 Kotido-Karenga-24h'!K42,'11.08 Kotido-Karenga'!K42)</f>
        <v>0</v>
      </c>
      <c r="L42" s="49">
        <f>AVERAGE('05.08 Kotido-Karenga'!L42,'06.08 Kotido-Karenga'!L42,'07.08 Kotido-Karenga'!L42,'08.08 Kotido-Karenga'!L42,'09.08 Kotido-Karenga-24h'!L42,'10.08 Kotido-Karenga-24h'!L42,'11.08 Kotido-Karenga'!L42)</f>
        <v>0</v>
      </c>
      <c r="M42" s="49">
        <f>AVERAGE('05.08 Kotido-Karenga'!M42,'06.08 Kotido-Karenga'!M42,'07.08 Kotido-Karenga'!M42,'08.08 Kotido-Karenga'!M42,'09.08 Kotido-Karenga-24h'!M42,'10.08 Kotido-Karenga-24h'!M42,'11.08 Kotido-Karenga'!M42)</f>
        <v>2</v>
      </c>
      <c r="N42" s="49">
        <f>AVERAGE('05.08 Kotido-Karenga'!N42,'06.08 Kotido-Karenga'!N42,'07.08 Kotido-Karenga'!N42,'08.08 Kotido-Karenga'!N42,'09.08 Kotido-Karenga-24h'!N42,'10.08 Kotido-Karenga-24h'!N42,'11.08 Kotido-Karenga'!N42)</f>
        <v>0</v>
      </c>
      <c r="O42" s="15">
        <f t="shared" si="0"/>
        <v>0.2857142857142857</v>
      </c>
      <c r="P42" s="15">
        <f t="shared" si="1"/>
        <v>2.2857142857142856</v>
      </c>
      <c r="R42" s="5" t="s">
        <v>160</v>
      </c>
      <c r="S42" s="48">
        <f>S41/S40</f>
        <v>1.5833333333333335</v>
      </c>
      <c r="T42" s="48">
        <f t="shared" ref="T42:AF42" si="34">T41/T40</f>
        <v>1.1944444444444444</v>
      </c>
      <c r="U42" s="48">
        <f t="shared" si="34"/>
        <v>1</v>
      </c>
      <c r="V42" s="48">
        <f t="shared" si="34"/>
        <v>1.1206896551724137</v>
      </c>
      <c r="W42" s="48" t="e">
        <f t="shared" si="34"/>
        <v>#DIV/0!</v>
      </c>
      <c r="X42" s="48">
        <f t="shared" si="34"/>
        <v>1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>
        <f t="shared" si="34"/>
        <v>1</v>
      </c>
      <c r="AC42" s="48">
        <f t="shared" si="34"/>
        <v>1.1639741518578353</v>
      </c>
      <c r="AD42" s="48">
        <f t="shared" si="34"/>
        <v>1</v>
      </c>
      <c r="AE42" s="53">
        <f t="shared" si="34"/>
        <v>1.0950226244343892</v>
      </c>
      <c r="AF42" s="53">
        <f t="shared" si="34"/>
        <v>1.1458333333333333</v>
      </c>
    </row>
    <row r="43" spans="2:32" ht="23.1" customHeight="1" x14ac:dyDescent="0.25">
      <c r="B43" s="23" t="s">
        <v>70</v>
      </c>
      <c r="C43" s="49">
        <f>AVERAGE('05.08 Kotido-Karenga'!C43,'06.08 Kotido-Karenga'!C43,'07.08 Kotido-Karenga'!C43,'08.08 Kotido-Karenga'!C43,'09.08 Kotido-Karenga-24h'!C43,'10.08 Kotido-Karenga-24h'!C43,'11.08 Kotido-Karenga'!C43)</f>
        <v>0</v>
      </c>
      <c r="D43" s="49">
        <f>AVERAGE('05.08 Kotido-Karenga'!D43,'06.08 Kotido-Karenga'!D43,'07.08 Kotido-Karenga'!D43,'08.08 Kotido-Karenga'!D43,'09.08 Kotido-Karenga-24h'!D43,'10.08 Kotido-Karenga-24h'!D43,'11.08 Kotido-Karenga'!D43)</f>
        <v>0.14285714285714285</v>
      </c>
      <c r="E43" s="49">
        <f>AVERAGE('05.08 Kotido-Karenga'!E43,'06.08 Kotido-Karenga'!E43,'07.08 Kotido-Karenga'!E43,'08.08 Kotido-Karenga'!E43,'09.08 Kotido-Karenga-24h'!E43,'10.08 Kotido-Karenga-24h'!E43,'11.08 Kotido-Karenga'!E43)</f>
        <v>0</v>
      </c>
      <c r="F43" s="49">
        <f>AVERAGE('05.08 Kotido-Karenga'!F43,'06.08 Kotido-Karenga'!F43,'07.08 Kotido-Karenga'!F43,'08.08 Kotido-Karenga'!F43,'09.08 Kotido-Karenga-24h'!F43,'10.08 Kotido-Karenga-24h'!F43,'11.08 Kotido-Karenga'!F43)</f>
        <v>0.2857142857142857</v>
      </c>
      <c r="G43" s="49">
        <f>AVERAGE('05.08 Kotido-Karenga'!G43,'06.08 Kotido-Karenga'!G43,'07.08 Kotido-Karenga'!G43,'08.08 Kotido-Karenga'!G43,'09.08 Kotido-Karenga-24h'!G43,'10.08 Kotido-Karenga-24h'!G43,'11.08 Kotido-Karenga'!G43)</f>
        <v>0</v>
      </c>
      <c r="H43" s="49">
        <f>AVERAGE('05.08 Kotido-Karenga'!H43,'06.08 Kotido-Karenga'!H43,'07.08 Kotido-Karenga'!H43,'08.08 Kotido-Karenga'!H43,'09.08 Kotido-Karenga-24h'!H43,'10.08 Kotido-Karenga-24h'!H43,'11.08 Kotido-Karenga'!H43)</f>
        <v>0</v>
      </c>
      <c r="I43" s="49">
        <f>AVERAGE('05.08 Kotido-Karenga'!I43,'06.08 Kotido-Karenga'!I43,'07.08 Kotido-Karenga'!I43,'08.08 Kotido-Karenga'!I43,'09.08 Kotido-Karenga-24h'!I43,'10.08 Kotido-Karenga-24h'!I43,'11.08 Kotido-Karenga'!I43)</f>
        <v>0.42857142857142855</v>
      </c>
      <c r="J43" s="49">
        <f>AVERAGE('05.08 Kotido-Karenga'!J43,'06.08 Kotido-Karenga'!J43,'07.08 Kotido-Karenga'!J43,'08.08 Kotido-Karenga'!J43,'09.08 Kotido-Karenga-24h'!J43,'10.08 Kotido-Karenga-24h'!J43,'11.08 Kotido-Karenga'!J43)</f>
        <v>0.14285714285714285</v>
      </c>
      <c r="K43" s="49">
        <f>AVERAGE('05.08 Kotido-Karenga'!K43,'06.08 Kotido-Karenga'!K43,'07.08 Kotido-Karenga'!K43,'08.08 Kotido-Karenga'!K43,'09.08 Kotido-Karenga-24h'!K43,'10.08 Kotido-Karenga-24h'!K43,'11.08 Kotido-Karenga'!K43)</f>
        <v>0</v>
      </c>
      <c r="L43" s="49">
        <f>AVERAGE('05.08 Kotido-Karenga'!L43,'06.08 Kotido-Karenga'!L43,'07.08 Kotido-Karenga'!L43,'08.08 Kotido-Karenga'!L43,'09.08 Kotido-Karenga-24h'!L43,'10.08 Kotido-Karenga-24h'!L43,'11.08 Kotido-Karenga'!L43)</f>
        <v>0</v>
      </c>
      <c r="M43" s="49">
        <f>AVERAGE('05.08 Kotido-Karenga'!M43,'06.08 Kotido-Karenga'!M43,'07.08 Kotido-Karenga'!M43,'08.08 Kotido-Karenga'!M43,'09.08 Kotido-Karenga-24h'!M43,'10.08 Kotido-Karenga-24h'!M43,'11.08 Kotido-Karenga'!M43)</f>
        <v>0.8571428571428571</v>
      </c>
      <c r="N43" s="49">
        <f>AVERAGE('05.08 Kotido-Karenga'!N43,'06.08 Kotido-Karenga'!N43,'07.08 Kotido-Karenga'!N43,'08.08 Kotido-Karenga'!N43,'09.08 Kotido-Karenga-24h'!N43,'10.08 Kotido-Karenga-24h'!N43,'11.08 Kotido-Karenga'!N43)</f>
        <v>0</v>
      </c>
      <c r="O43" s="15">
        <f t="shared" si="0"/>
        <v>1</v>
      </c>
      <c r="P43" s="15">
        <f t="shared" si="1"/>
        <v>1.8571428571428572</v>
      </c>
    </row>
    <row r="44" spans="2:32" ht="23.1" customHeight="1" x14ac:dyDescent="0.25">
      <c r="B44" s="25" t="s">
        <v>71</v>
      </c>
      <c r="C44" s="49">
        <f>AVERAGE('05.08 Kotido-Karenga'!C44,'06.08 Kotido-Karenga'!C44,'07.08 Kotido-Karenga'!C44,'08.08 Kotido-Karenga'!C44,'09.08 Kotido-Karenga-24h'!C44,'10.08 Kotido-Karenga-24h'!C44,'11.08 Kotido-Karenga'!C44)</f>
        <v>0</v>
      </c>
      <c r="D44" s="49">
        <f>AVERAGE('05.08 Kotido-Karenga'!D44,'06.08 Kotido-Karenga'!D44,'07.08 Kotido-Karenga'!D44,'08.08 Kotido-Karenga'!D44,'09.08 Kotido-Karenga-24h'!D44,'10.08 Kotido-Karenga-24h'!D44,'11.08 Kotido-Karenga'!D44)</f>
        <v>0.2857142857142857</v>
      </c>
      <c r="E44" s="49">
        <f>AVERAGE('05.08 Kotido-Karenga'!E44,'06.08 Kotido-Karenga'!E44,'07.08 Kotido-Karenga'!E44,'08.08 Kotido-Karenga'!E44,'09.08 Kotido-Karenga-24h'!E44,'10.08 Kotido-Karenga-24h'!E44,'11.08 Kotido-Karenga'!E44)</f>
        <v>0</v>
      </c>
      <c r="F44" s="49">
        <f>AVERAGE('05.08 Kotido-Karenga'!F44,'06.08 Kotido-Karenga'!F44,'07.08 Kotido-Karenga'!F44,'08.08 Kotido-Karenga'!F44,'09.08 Kotido-Karenga-24h'!F44,'10.08 Kotido-Karenga-24h'!F44,'11.08 Kotido-Karenga'!F44)</f>
        <v>0</v>
      </c>
      <c r="G44" s="49">
        <f>AVERAGE('05.08 Kotido-Karenga'!G44,'06.08 Kotido-Karenga'!G44,'07.08 Kotido-Karenga'!G44,'08.08 Kotido-Karenga'!G44,'09.08 Kotido-Karenga-24h'!G44,'10.08 Kotido-Karenga-24h'!G44,'11.08 Kotido-Karenga'!G44)</f>
        <v>0</v>
      </c>
      <c r="H44" s="49">
        <f>AVERAGE('05.08 Kotido-Karenga'!H44,'06.08 Kotido-Karenga'!H44,'07.08 Kotido-Karenga'!H44,'08.08 Kotido-Karenga'!H44,'09.08 Kotido-Karenga-24h'!H44,'10.08 Kotido-Karenga-24h'!H44,'11.08 Kotido-Karenga'!H44)</f>
        <v>0</v>
      </c>
      <c r="I44" s="49">
        <f>AVERAGE('05.08 Kotido-Karenga'!I44,'06.08 Kotido-Karenga'!I44,'07.08 Kotido-Karenga'!I44,'08.08 Kotido-Karenga'!I44,'09.08 Kotido-Karenga-24h'!I44,'10.08 Kotido-Karenga-24h'!I44,'11.08 Kotido-Karenga'!I44)</f>
        <v>0.14285714285714285</v>
      </c>
      <c r="J44" s="49">
        <f>AVERAGE('05.08 Kotido-Karenga'!J44,'06.08 Kotido-Karenga'!J44,'07.08 Kotido-Karenga'!J44,'08.08 Kotido-Karenga'!J44,'09.08 Kotido-Karenga-24h'!J44,'10.08 Kotido-Karenga-24h'!J44,'11.08 Kotido-Karenga'!J44)</f>
        <v>0</v>
      </c>
      <c r="K44" s="49">
        <f>AVERAGE('05.08 Kotido-Karenga'!K44,'06.08 Kotido-Karenga'!K44,'07.08 Kotido-Karenga'!K44,'08.08 Kotido-Karenga'!K44,'09.08 Kotido-Karenga-24h'!K44,'10.08 Kotido-Karenga-24h'!K44,'11.08 Kotido-Karenga'!K44)</f>
        <v>0</v>
      </c>
      <c r="L44" s="49">
        <f>AVERAGE('05.08 Kotido-Karenga'!L44,'06.08 Kotido-Karenga'!L44,'07.08 Kotido-Karenga'!L44,'08.08 Kotido-Karenga'!L44,'09.08 Kotido-Karenga-24h'!L44,'10.08 Kotido-Karenga-24h'!L44,'11.08 Kotido-Karenga'!L44)</f>
        <v>0</v>
      </c>
      <c r="M44" s="49">
        <f>AVERAGE('05.08 Kotido-Karenga'!M44,'06.08 Kotido-Karenga'!M44,'07.08 Kotido-Karenga'!M44,'08.08 Kotido-Karenga'!M44,'09.08 Kotido-Karenga-24h'!M44,'10.08 Kotido-Karenga-24h'!M44,'11.08 Kotido-Karenga'!M44)</f>
        <v>1.1428571428571428</v>
      </c>
      <c r="N44" s="49">
        <f>AVERAGE('05.08 Kotido-Karenga'!N44,'06.08 Kotido-Karenga'!N44,'07.08 Kotido-Karenga'!N44,'08.08 Kotido-Karenga'!N44,'09.08 Kotido-Karenga-24h'!N44,'10.08 Kotido-Karenga-24h'!N44,'11.08 Kotido-Karenga'!N44)</f>
        <v>0</v>
      </c>
      <c r="O44" s="15">
        <f t="shared" si="0"/>
        <v>0.42857142857142855</v>
      </c>
      <c r="P44" s="15">
        <f t="shared" si="1"/>
        <v>1.5714285714285714</v>
      </c>
    </row>
    <row r="45" spans="2:32" ht="23.1" customHeight="1" x14ac:dyDescent="0.25">
      <c r="B45" s="23" t="s">
        <v>72</v>
      </c>
      <c r="C45" s="49">
        <f>AVERAGE('05.08 Kotido-Karenga'!C45,'06.08 Kotido-Karenga'!C45,'07.08 Kotido-Karenga'!C45,'08.08 Kotido-Karenga'!C45,'09.08 Kotido-Karenga-24h'!C45,'10.08 Kotido-Karenga-24h'!C45,'11.08 Kotido-Karenga'!C45)</f>
        <v>0</v>
      </c>
      <c r="D45" s="49">
        <f>AVERAGE('05.08 Kotido-Karenga'!D45,'06.08 Kotido-Karenga'!D45,'07.08 Kotido-Karenga'!D45,'08.08 Kotido-Karenga'!D45,'09.08 Kotido-Karenga-24h'!D45,'10.08 Kotido-Karenga-24h'!D45,'11.08 Kotido-Karenga'!D45)</f>
        <v>0.2857142857142857</v>
      </c>
      <c r="E45" s="49">
        <f>AVERAGE('05.08 Kotido-Karenga'!E45,'06.08 Kotido-Karenga'!E45,'07.08 Kotido-Karenga'!E45,'08.08 Kotido-Karenga'!E45,'09.08 Kotido-Karenga-24h'!E45,'10.08 Kotido-Karenga-24h'!E45,'11.08 Kotido-Karenga'!E45)</f>
        <v>0.42857142857142855</v>
      </c>
      <c r="F45" s="49">
        <f>AVERAGE('05.08 Kotido-Karenga'!F45,'06.08 Kotido-Karenga'!F45,'07.08 Kotido-Karenga'!F45,'08.08 Kotido-Karenga'!F45,'09.08 Kotido-Karenga-24h'!F45,'10.08 Kotido-Karenga-24h'!F45,'11.08 Kotido-Karenga'!F45)</f>
        <v>0</v>
      </c>
      <c r="G45" s="49">
        <f>AVERAGE('05.08 Kotido-Karenga'!G45,'06.08 Kotido-Karenga'!G45,'07.08 Kotido-Karenga'!G45,'08.08 Kotido-Karenga'!G45,'09.08 Kotido-Karenga-24h'!G45,'10.08 Kotido-Karenga-24h'!G45,'11.08 Kotido-Karenga'!G45)</f>
        <v>0</v>
      </c>
      <c r="H45" s="49">
        <f>AVERAGE('05.08 Kotido-Karenga'!H45,'06.08 Kotido-Karenga'!H45,'07.08 Kotido-Karenga'!H45,'08.08 Kotido-Karenga'!H45,'09.08 Kotido-Karenga-24h'!H45,'10.08 Kotido-Karenga-24h'!H45,'11.08 Kotido-Karenga'!H45)</f>
        <v>0</v>
      </c>
      <c r="I45" s="49">
        <f>AVERAGE('05.08 Kotido-Karenga'!I45,'06.08 Kotido-Karenga'!I45,'07.08 Kotido-Karenga'!I45,'08.08 Kotido-Karenga'!I45,'09.08 Kotido-Karenga-24h'!I45,'10.08 Kotido-Karenga-24h'!I45,'11.08 Kotido-Karenga'!I45)</f>
        <v>0</v>
      </c>
      <c r="J45" s="49">
        <f>AVERAGE('05.08 Kotido-Karenga'!J45,'06.08 Kotido-Karenga'!J45,'07.08 Kotido-Karenga'!J45,'08.08 Kotido-Karenga'!J45,'09.08 Kotido-Karenga-24h'!J45,'10.08 Kotido-Karenga-24h'!J45,'11.08 Kotido-Karenga'!J45)</f>
        <v>0.42857142857142855</v>
      </c>
      <c r="K45" s="49">
        <f>AVERAGE('05.08 Kotido-Karenga'!K45,'06.08 Kotido-Karenga'!K45,'07.08 Kotido-Karenga'!K45,'08.08 Kotido-Karenga'!K45,'09.08 Kotido-Karenga-24h'!K45,'10.08 Kotido-Karenga-24h'!K45,'11.08 Kotido-Karenga'!K45)</f>
        <v>0</v>
      </c>
      <c r="L45" s="49">
        <f>AVERAGE('05.08 Kotido-Karenga'!L45,'06.08 Kotido-Karenga'!L45,'07.08 Kotido-Karenga'!L45,'08.08 Kotido-Karenga'!L45,'09.08 Kotido-Karenga-24h'!L45,'10.08 Kotido-Karenga-24h'!L45,'11.08 Kotido-Karenga'!L45)</f>
        <v>0</v>
      </c>
      <c r="M45" s="49">
        <f>AVERAGE('05.08 Kotido-Karenga'!M45,'06.08 Kotido-Karenga'!M45,'07.08 Kotido-Karenga'!M45,'08.08 Kotido-Karenga'!M45,'09.08 Kotido-Karenga-24h'!M45,'10.08 Kotido-Karenga-24h'!M45,'11.08 Kotido-Karenga'!M45)</f>
        <v>1.7142857142857142</v>
      </c>
      <c r="N45" s="49">
        <f>AVERAGE('05.08 Kotido-Karenga'!N45,'06.08 Kotido-Karenga'!N45,'07.08 Kotido-Karenga'!N45,'08.08 Kotido-Karenga'!N45,'09.08 Kotido-Karenga-24h'!N45,'10.08 Kotido-Karenga-24h'!N45,'11.08 Kotido-Karenga'!N45)</f>
        <v>0</v>
      </c>
      <c r="O45" s="15">
        <f t="shared" si="0"/>
        <v>1.1428571428571428</v>
      </c>
      <c r="P45" s="15">
        <f t="shared" si="1"/>
        <v>2.8571428571428568</v>
      </c>
    </row>
    <row r="46" spans="2:32" ht="23.1" customHeight="1" x14ac:dyDescent="0.25">
      <c r="B46" s="24" t="s">
        <v>73</v>
      </c>
      <c r="C46" s="49">
        <f>AVERAGE('05.08 Kotido-Karenga'!C46,'06.08 Kotido-Karenga'!C46,'07.08 Kotido-Karenga'!C46,'08.08 Kotido-Karenga'!C46,'09.08 Kotido-Karenga-24h'!C46,'10.08 Kotido-Karenga-24h'!C46,'11.08 Kotido-Karenga'!C46)</f>
        <v>0.14285714285714285</v>
      </c>
      <c r="D46" s="49">
        <f>AVERAGE('05.08 Kotido-Karenga'!D46,'06.08 Kotido-Karenga'!D46,'07.08 Kotido-Karenga'!D46,'08.08 Kotido-Karenga'!D46,'09.08 Kotido-Karenga-24h'!D46,'10.08 Kotido-Karenga-24h'!D46,'11.08 Kotido-Karenga'!D46)</f>
        <v>0.14285714285714285</v>
      </c>
      <c r="E46" s="49">
        <f>AVERAGE('05.08 Kotido-Karenga'!E46,'06.08 Kotido-Karenga'!E46,'07.08 Kotido-Karenga'!E46,'08.08 Kotido-Karenga'!E46,'09.08 Kotido-Karenga-24h'!E46,'10.08 Kotido-Karenga-24h'!E46,'11.08 Kotido-Karenga'!E46)</f>
        <v>0.2857142857142857</v>
      </c>
      <c r="F46" s="49">
        <f>AVERAGE('05.08 Kotido-Karenga'!F46,'06.08 Kotido-Karenga'!F46,'07.08 Kotido-Karenga'!F46,'08.08 Kotido-Karenga'!F46,'09.08 Kotido-Karenga-24h'!F46,'10.08 Kotido-Karenga-24h'!F46,'11.08 Kotido-Karenga'!F46)</f>
        <v>0.14285714285714285</v>
      </c>
      <c r="G46" s="49">
        <f>AVERAGE('05.08 Kotido-Karenga'!G46,'06.08 Kotido-Karenga'!G46,'07.08 Kotido-Karenga'!G46,'08.08 Kotido-Karenga'!G46,'09.08 Kotido-Karenga-24h'!G46,'10.08 Kotido-Karenga-24h'!G46,'11.08 Kotido-Karenga'!G46)</f>
        <v>0</v>
      </c>
      <c r="H46" s="49">
        <f>AVERAGE('05.08 Kotido-Karenga'!H46,'06.08 Kotido-Karenga'!H46,'07.08 Kotido-Karenga'!H46,'08.08 Kotido-Karenga'!H46,'09.08 Kotido-Karenga-24h'!H46,'10.08 Kotido-Karenga-24h'!H46,'11.08 Kotido-Karenga'!H46)</f>
        <v>0</v>
      </c>
      <c r="I46" s="49">
        <f>AVERAGE('05.08 Kotido-Karenga'!I46,'06.08 Kotido-Karenga'!I46,'07.08 Kotido-Karenga'!I46,'08.08 Kotido-Karenga'!I46,'09.08 Kotido-Karenga-24h'!I46,'10.08 Kotido-Karenga-24h'!I46,'11.08 Kotido-Karenga'!I46)</f>
        <v>0.14285714285714285</v>
      </c>
      <c r="J46" s="49">
        <f>AVERAGE('05.08 Kotido-Karenga'!J46,'06.08 Kotido-Karenga'!J46,'07.08 Kotido-Karenga'!J46,'08.08 Kotido-Karenga'!J46,'09.08 Kotido-Karenga-24h'!J46,'10.08 Kotido-Karenga-24h'!J46,'11.08 Kotido-Karenga'!J46)</f>
        <v>0</v>
      </c>
      <c r="K46" s="49">
        <f>AVERAGE('05.08 Kotido-Karenga'!K46,'06.08 Kotido-Karenga'!K46,'07.08 Kotido-Karenga'!K46,'08.08 Kotido-Karenga'!K46,'09.08 Kotido-Karenga-24h'!K46,'10.08 Kotido-Karenga-24h'!K46,'11.08 Kotido-Karenga'!K46)</f>
        <v>0</v>
      </c>
      <c r="L46" s="49">
        <f>AVERAGE('05.08 Kotido-Karenga'!L46,'06.08 Kotido-Karenga'!L46,'07.08 Kotido-Karenga'!L46,'08.08 Kotido-Karenga'!L46,'09.08 Kotido-Karenga-24h'!L46,'10.08 Kotido-Karenga-24h'!L46,'11.08 Kotido-Karenga'!L46)</f>
        <v>0</v>
      </c>
      <c r="M46" s="49">
        <f>AVERAGE('05.08 Kotido-Karenga'!M46,'06.08 Kotido-Karenga'!M46,'07.08 Kotido-Karenga'!M46,'08.08 Kotido-Karenga'!M46,'09.08 Kotido-Karenga-24h'!M46,'10.08 Kotido-Karenga-24h'!M46,'11.08 Kotido-Karenga'!M46)</f>
        <v>0.8571428571428571</v>
      </c>
      <c r="N46" s="49">
        <f>AVERAGE('05.08 Kotido-Karenga'!N46,'06.08 Kotido-Karenga'!N46,'07.08 Kotido-Karenga'!N46,'08.08 Kotido-Karenga'!N46,'09.08 Kotido-Karenga-24h'!N46,'10.08 Kotido-Karenga-24h'!N46,'11.08 Kotido-Karenga'!N46)</f>
        <v>0</v>
      </c>
      <c r="O46" s="15">
        <f t="shared" si="0"/>
        <v>0.85714285714285698</v>
      </c>
      <c r="P46" s="15">
        <f t="shared" si="1"/>
        <v>1.714285714285714</v>
      </c>
      <c r="R46" s="8"/>
      <c r="T46"/>
    </row>
    <row r="47" spans="2:32" ht="23.1" customHeight="1" x14ac:dyDescent="0.25">
      <c r="B47" s="24" t="s">
        <v>74</v>
      </c>
      <c r="C47" s="49">
        <f>AVERAGE('05.08 Kotido-Karenga'!C47,'06.08 Kotido-Karenga'!C47,'07.08 Kotido-Karenga'!C47,'08.08 Kotido-Karenga'!C47,'09.08 Kotido-Karenga-24h'!C47,'10.08 Kotido-Karenga-24h'!C47,'11.08 Kotido-Karenga'!C47)</f>
        <v>0</v>
      </c>
      <c r="D47" s="49">
        <f>AVERAGE('05.08 Kotido-Karenga'!D47,'06.08 Kotido-Karenga'!D47,'07.08 Kotido-Karenga'!D47,'08.08 Kotido-Karenga'!D47,'09.08 Kotido-Karenga-24h'!D47,'10.08 Kotido-Karenga-24h'!D47,'11.08 Kotido-Karenga'!D47)</f>
        <v>0.14285714285714285</v>
      </c>
      <c r="E47" s="49">
        <f>AVERAGE('05.08 Kotido-Karenga'!E47,'06.08 Kotido-Karenga'!E47,'07.08 Kotido-Karenga'!E47,'08.08 Kotido-Karenga'!E47,'09.08 Kotido-Karenga-24h'!E47,'10.08 Kotido-Karenga-24h'!E47,'11.08 Kotido-Karenga'!E47)</f>
        <v>0</v>
      </c>
      <c r="F47" s="49">
        <f>AVERAGE('05.08 Kotido-Karenga'!F47,'06.08 Kotido-Karenga'!F47,'07.08 Kotido-Karenga'!F47,'08.08 Kotido-Karenga'!F47,'09.08 Kotido-Karenga-24h'!F47,'10.08 Kotido-Karenga-24h'!F47,'11.08 Kotido-Karenga'!F47)</f>
        <v>0</v>
      </c>
      <c r="G47" s="49">
        <f>AVERAGE('05.08 Kotido-Karenga'!G47,'06.08 Kotido-Karenga'!G47,'07.08 Kotido-Karenga'!G47,'08.08 Kotido-Karenga'!G47,'09.08 Kotido-Karenga-24h'!G47,'10.08 Kotido-Karenga-24h'!G47,'11.08 Kotido-Karenga'!G47)</f>
        <v>0</v>
      </c>
      <c r="H47" s="49">
        <f>AVERAGE('05.08 Kotido-Karenga'!H47,'06.08 Kotido-Karenga'!H47,'07.08 Kotido-Karenga'!H47,'08.08 Kotido-Karenga'!H47,'09.08 Kotido-Karenga-24h'!H47,'10.08 Kotido-Karenga-24h'!H47,'11.08 Kotido-Karenga'!H47)</f>
        <v>0</v>
      </c>
      <c r="I47" s="49">
        <f>AVERAGE('05.08 Kotido-Karenga'!I47,'06.08 Kotido-Karenga'!I47,'07.08 Kotido-Karenga'!I47,'08.08 Kotido-Karenga'!I47,'09.08 Kotido-Karenga-24h'!I47,'10.08 Kotido-Karenga-24h'!I47,'11.08 Kotido-Karenga'!I47)</f>
        <v>0</v>
      </c>
      <c r="J47" s="49">
        <f>AVERAGE('05.08 Kotido-Karenga'!J47,'06.08 Kotido-Karenga'!J47,'07.08 Kotido-Karenga'!J47,'08.08 Kotido-Karenga'!J47,'09.08 Kotido-Karenga-24h'!J47,'10.08 Kotido-Karenga-24h'!J47,'11.08 Kotido-Karenga'!J47)</f>
        <v>0</v>
      </c>
      <c r="K47" s="49">
        <f>AVERAGE('05.08 Kotido-Karenga'!K47,'06.08 Kotido-Karenga'!K47,'07.08 Kotido-Karenga'!K47,'08.08 Kotido-Karenga'!K47,'09.08 Kotido-Karenga-24h'!K47,'10.08 Kotido-Karenga-24h'!K47,'11.08 Kotido-Karenga'!K47)</f>
        <v>0</v>
      </c>
      <c r="L47" s="49">
        <f>AVERAGE('05.08 Kotido-Karenga'!L47,'06.08 Kotido-Karenga'!L47,'07.08 Kotido-Karenga'!L47,'08.08 Kotido-Karenga'!L47,'09.08 Kotido-Karenga-24h'!L47,'10.08 Kotido-Karenga-24h'!L47,'11.08 Kotido-Karenga'!L47)</f>
        <v>0</v>
      </c>
      <c r="M47" s="49">
        <f>AVERAGE('05.08 Kotido-Karenga'!M47,'06.08 Kotido-Karenga'!M47,'07.08 Kotido-Karenga'!M47,'08.08 Kotido-Karenga'!M47,'09.08 Kotido-Karenga-24h'!M47,'10.08 Kotido-Karenga-24h'!M47,'11.08 Kotido-Karenga'!M47)</f>
        <v>2.2857142857142856</v>
      </c>
      <c r="N47" s="49">
        <f>AVERAGE('05.08 Kotido-Karenga'!N47,'06.08 Kotido-Karenga'!N47,'07.08 Kotido-Karenga'!N47,'08.08 Kotido-Karenga'!N47,'09.08 Kotido-Karenga-24h'!N47,'10.08 Kotido-Karenga-24h'!N47,'11.08 Kotido-Karenga'!N47)</f>
        <v>0</v>
      </c>
      <c r="O47" s="15">
        <f t="shared" si="0"/>
        <v>0.14285714285714285</v>
      </c>
      <c r="P47" s="15">
        <f t="shared" si="1"/>
        <v>2.4285714285714284</v>
      </c>
      <c r="R47" s="8"/>
      <c r="T47"/>
    </row>
    <row r="48" spans="2:32" ht="23.1" customHeight="1" x14ac:dyDescent="0.25">
      <c r="B48" s="24" t="s">
        <v>75</v>
      </c>
      <c r="C48" s="49">
        <f>AVERAGE('05.08 Kotido-Karenga'!C48,'06.08 Kotido-Karenga'!C48,'07.08 Kotido-Karenga'!C48,'08.08 Kotido-Karenga'!C48,'09.08 Kotido-Karenga-24h'!C48,'10.08 Kotido-Karenga-24h'!C48,'11.08 Kotido-Karenga'!C48)</f>
        <v>0</v>
      </c>
      <c r="D48" s="49">
        <f>AVERAGE('05.08 Kotido-Karenga'!D48,'06.08 Kotido-Karenga'!D48,'07.08 Kotido-Karenga'!D48,'08.08 Kotido-Karenga'!D48,'09.08 Kotido-Karenga-24h'!D48,'10.08 Kotido-Karenga-24h'!D48,'11.08 Kotido-Karenga'!D48)</f>
        <v>0.14285714285714285</v>
      </c>
      <c r="E48" s="49">
        <f>AVERAGE('05.08 Kotido-Karenga'!E48,'06.08 Kotido-Karenga'!E48,'07.08 Kotido-Karenga'!E48,'08.08 Kotido-Karenga'!E48,'09.08 Kotido-Karenga-24h'!E48,'10.08 Kotido-Karenga-24h'!E48,'11.08 Kotido-Karenga'!E48)</f>
        <v>0</v>
      </c>
      <c r="F48" s="49">
        <f>AVERAGE('05.08 Kotido-Karenga'!F48,'06.08 Kotido-Karenga'!F48,'07.08 Kotido-Karenga'!F48,'08.08 Kotido-Karenga'!F48,'09.08 Kotido-Karenga-24h'!F48,'10.08 Kotido-Karenga-24h'!F48,'11.08 Kotido-Karenga'!F48)</f>
        <v>0.42857142857142855</v>
      </c>
      <c r="G48" s="49">
        <f>AVERAGE('05.08 Kotido-Karenga'!G48,'06.08 Kotido-Karenga'!G48,'07.08 Kotido-Karenga'!G48,'08.08 Kotido-Karenga'!G48,'09.08 Kotido-Karenga-24h'!G48,'10.08 Kotido-Karenga-24h'!G48,'11.08 Kotido-Karenga'!G48)</f>
        <v>0</v>
      </c>
      <c r="H48" s="49">
        <f>AVERAGE('05.08 Kotido-Karenga'!H48,'06.08 Kotido-Karenga'!H48,'07.08 Kotido-Karenga'!H48,'08.08 Kotido-Karenga'!H48,'09.08 Kotido-Karenga-24h'!H48,'10.08 Kotido-Karenga-24h'!H48,'11.08 Kotido-Karenga'!H48)</f>
        <v>0</v>
      </c>
      <c r="I48" s="49">
        <f>AVERAGE('05.08 Kotido-Karenga'!I48,'06.08 Kotido-Karenga'!I48,'07.08 Kotido-Karenga'!I48,'08.08 Kotido-Karenga'!I48,'09.08 Kotido-Karenga-24h'!I48,'10.08 Kotido-Karenga-24h'!I48,'11.08 Kotido-Karenga'!I48)</f>
        <v>0.14285714285714285</v>
      </c>
      <c r="J48" s="49">
        <f>AVERAGE('05.08 Kotido-Karenga'!J48,'06.08 Kotido-Karenga'!J48,'07.08 Kotido-Karenga'!J48,'08.08 Kotido-Karenga'!J48,'09.08 Kotido-Karenga-24h'!J48,'10.08 Kotido-Karenga-24h'!J48,'11.08 Kotido-Karenga'!J48)</f>
        <v>0</v>
      </c>
      <c r="K48" s="49">
        <f>AVERAGE('05.08 Kotido-Karenga'!K48,'06.08 Kotido-Karenga'!K48,'07.08 Kotido-Karenga'!K48,'08.08 Kotido-Karenga'!K48,'09.08 Kotido-Karenga-24h'!K48,'10.08 Kotido-Karenga-24h'!K48,'11.08 Kotido-Karenga'!K48)</f>
        <v>0</v>
      </c>
      <c r="L48" s="49">
        <f>AVERAGE('05.08 Kotido-Karenga'!L48,'06.08 Kotido-Karenga'!L48,'07.08 Kotido-Karenga'!L48,'08.08 Kotido-Karenga'!L48,'09.08 Kotido-Karenga-24h'!L48,'10.08 Kotido-Karenga-24h'!L48,'11.08 Kotido-Karenga'!L48)</f>
        <v>0</v>
      </c>
      <c r="M48" s="49">
        <f>AVERAGE('05.08 Kotido-Karenga'!M48,'06.08 Kotido-Karenga'!M48,'07.08 Kotido-Karenga'!M48,'08.08 Kotido-Karenga'!M48,'09.08 Kotido-Karenga-24h'!M48,'10.08 Kotido-Karenga-24h'!M48,'11.08 Kotido-Karenga'!M48)</f>
        <v>2</v>
      </c>
      <c r="N48" s="49">
        <f>AVERAGE('05.08 Kotido-Karenga'!N48,'06.08 Kotido-Karenga'!N48,'07.08 Kotido-Karenga'!N48,'08.08 Kotido-Karenga'!N48,'09.08 Kotido-Karenga-24h'!N48,'10.08 Kotido-Karenga-24h'!N48,'11.08 Kotido-Karenga'!N48)</f>
        <v>0</v>
      </c>
      <c r="O48" s="15">
        <f t="shared" si="0"/>
        <v>0.71428571428571419</v>
      </c>
      <c r="P48" s="15">
        <f t="shared" si="1"/>
        <v>2.7142857142857144</v>
      </c>
      <c r="R48" s="8"/>
      <c r="T48"/>
    </row>
    <row r="49" spans="2:20" ht="23.1" customHeight="1" x14ac:dyDescent="0.25">
      <c r="B49" s="23" t="s">
        <v>76</v>
      </c>
      <c r="C49" s="49">
        <f>AVERAGE('05.08 Kotido-Karenga'!C49,'06.08 Kotido-Karenga'!C49,'07.08 Kotido-Karenga'!C49,'08.08 Kotido-Karenga'!C49,'09.08 Kotido-Karenga-24h'!C49,'10.08 Kotido-Karenga-24h'!C49,'11.08 Kotido-Karenga'!C49)</f>
        <v>0</v>
      </c>
      <c r="D49" s="49">
        <f>AVERAGE('05.08 Kotido-Karenga'!D49,'06.08 Kotido-Karenga'!D49,'07.08 Kotido-Karenga'!D49,'08.08 Kotido-Karenga'!D49,'09.08 Kotido-Karenga-24h'!D49,'10.08 Kotido-Karenga-24h'!D49,'11.08 Kotido-Karenga'!D49)</f>
        <v>0.14285714285714285</v>
      </c>
      <c r="E49" s="49">
        <f>AVERAGE('05.08 Kotido-Karenga'!E49,'06.08 Kotido-Karenga'!E49,'07.08 Kotido-Karenga'!E49,'08.08 Kotido-Karenga'!E49,'09.08 Kotido-Karenga-24h'!E49,'10.08 Kotido-Karenga-24h'!E49,'11.08 Kotido-Karenga'!E49)</f>
        <v>0.2857142857142857</v>
      </c>
      <c r="F49" s="49">
        <f>AVERAGE('05.08 Kotido-Karenga'!F49,'06.08 Kotido-Karenga'!F49,'07.08 Kotido-Karenga'!F49,'08.08 Kotido-Karenga'!F49,'09.08 Kotido-Karenga-24h'!F49,'10.08 Kotido-Karenga-24h'!F49,'11.08 Kotido-Karenga'!F49)</f>
        <v>0</v>
      </c>
      <c r="G49" s="49">
        <f>AVERAGE('05.08 Kotido-Karenga'!G49,'06.08 Kotido-Karenga'!G49,'07.08 Kotido-Karenga'!G49,'08.08 Kotido-Karenga'!G49,'09.08 Kotido-Karenga-24h'!G49,'10.08 Kotido-Karenga-24h'!G49,'11.08 Kotido-Karenga'!G49)</f>
        <v>0</v>
      </c>
      <c r="H49" s="49">
        <f>AVERAGE('05.08 Kotido-Karenga'!H49,'06.08 Kotido-Karenga'!H49,'07.08 Kotido-Karenga'!H49,'08.08 Kotido-Karenga'!H49,'09.08 Kotido-Karenga-24h'!H49,'10.08 Kotido-Karenga-24h'!H49,'11.08 Kotido-Karenga'!H49)</f>
        <v>0</v>
      </c>
      <c r="I49" s="49">
        <f>AVERAGE('05.08 Kotido-Karenga'!I49,'06.08 Kotido-Karenga'!I49,'07.08 Kotido-Karenga'!I49,'08.08 Kotido-Karenga'!I49,'09.08 Kotido-Karenga-24h'!I49,'10.08 Kotido-Karenga-24h'!I49,'11.08 Kotido-Karenga'!I49)</f>
        <v>0</v>
      </c>
      <c r="J49" s="49">
        <f>AVERAGE('05.08 Kotido-Karenga'!J49,'06.08 Kotido-Karenga'!J49,'07.08 Kotido-Karenga'!J49,'08.08 Kotido-Karenga'!J49,'09.08 Kotido-Karenga-24h'!J49,'10.08 Kotido-Karenga-24h'!J49,'11.08 Kotido-Karenga'!J49)</f>
        <v>0</v>
      </c>
      <c r="K49" s="49">
        <f>AVERAGE('05.08 Kotido-Karenga'!K49,'06.08 Kotido-Karenga'!K49,'07.08 Kotido-Karenga'!K49,'08.08 Kotido-Karenga'!K49,'09.08 Kotido-Karenga-24h'!K49,'10.08 Kotido-Karenga-24h'!K49,'11.08 Kotido-Karenga'!K49)</f>
        <v>0</v>
      </c>
      <c r="L49" s="49">
        <f>AVERAGE('05.08 Kotido-Karenga'!L49,'06.08 Kotido-Karenga'!L49,'07.08 Kotido-Karenga'!L49,'08.08 Kotido-Karenga'!L49,'09.08 Kotido-Karenga-24h'!L49,'10.08 Kotido-Karenga-24h'!L49,'11.08 Kotido-Karenga'!L49)</f>
        <v>0</v>
      </c>
      <c r="M49" s="49">
        <f>AVERAGE('05.08 Kotido-Karenga'!M49,'06.08 Kotido-Karenga'!M49,'07.08 Kotido-Karenga'!M49,'08.08 Kotido-Karenga'!M49,'09.08 Kotido-Karenga-24h'!M49,'10.08 Kotido-Karenga-24h'!M49,'11.08 Kotido-Karenga'!M49)</f>
        <v>2.2857142857142856</v>
      </c>
      <c r="N49" s="49">
        <f>AVERAGE('05.08 Kotido-Karenga'!N49,'06.08 Kotido-Karenga'!N49,'07.08 Kotido-Karenga'!N49,'08.08 Kotido-Karenga'!N49,'09.08 Kotido-Karenga-24h'!N49,'10.08 Kotido-Karenga-24h'!N49,'11.08 Kotido-Karenga'!N49)</f>
        <v>0</v>
      </c>
      <c r="O49" s="15">
        <f t="shared" si="0"/>
        <v>0.42857142857142855</v>
      </c>
      <c r="P49" s="15">
        <f t="shared" si="1"/>
        <v>2.714285714285714</v>
      </c>
      <c r="R49" s="8"/>
      <c r="T49"/>
    </row>
    <row r="50" spans="2:20" ht="23.1" customHeight="1" x14ac:dyDescent="0.25">
      <c r="B50" s="24" t="s">
        <v>77</v>
      </c>
      <c r="C50" s="49">
        <f>AVERAGE('05.08 Kotido-Karenga'!C50,'06.08 Kotido-Karenga'!C50,'07.08 Kotido-Karenga'!C50,'08.08 Kotido-Karenga'!C50,'09.08 Kotido-Karenga-24h'!C50,'10.08 Kotido-Karenga-24h'!C50,'11.08 Kotido-Karenga'!C50)</f>
        <v>0</v>
      </c>
      <c r="D50" s="49">
        <f>AVERAGE('05.08 Kotido-Karenga'!D50,'06.08 Kotido-Karenga'!D50,'07.08 Kotido-Karenga'!D50,'08.08 Kotido-Karenga'!D50,'09.08 Kotido-Karenga-24h'!D50,'10.08 Kotido-Karenga-24h'!D50,'11.08 Kotido-Karenga'!D50)</f>
        <v>0.2857142857142857</v>
      </c>
      <c r="E50" s="49">
        <f>AVERAGE('05.08 Kotido-Karenga'!E50,'06.08 Kotido-Karenga'!E50,'07.08 Kotido-Karenga'!E50,'08.08 Kotido-Karenga'!E50,'09.08 Kotido-Karenga-24h'!E50,'10.08 Kotido-Karenga-24h'!E50,'11.08 Kotido-Karenga'!E50)</f>
        <v>0.14285714285714285</v>
      </c>
      <c r="F50" s="49">
        <f>AVERAGE('05.08 Kotido-Karenga'!F50,'06.08 Kotido-Karenga'!F50,'07.08 Kotido-Karenga'!F50,'08.08 Kotido-Karenga'!F50,'09.08 Kotido-Karenga-24h'!F50,'10.08 Kotido-Karenga-24h'!F50,'11.08 Kotido-Karenga'!F50)</f>
        <v>0</v>
      </c>
      <c r="G50" s="49">
        <f>AVERAGE('05.08 Kotido-Karenga'!G50,'06.08 Kotido-Karenga'!G50,'07.08 Kotido-Karenga'!G50,'08.08 Kotido-Karenga'!G50,'09.08 Kotido-Karenga-24h'!G50,'10.08 Kotido-Karenga-24h'!G50,'11.08 Kotido-Karenga'!G50)</f>
        <v>0</v>
      </c>
      <c r="H50" s="49">
        <f>AVERAGE('05.08 Kotido-Karenga'!H50,'06.08 Kotido-Karenga'!H50,'07.08 Kotido-Karenga'!H50,'08.08 Kotido-Karenga'!H50,'09.08 Kotido-Karenga-24h'!H50,'10.08 Kotido-Karenga-24h'!H50,'11.08 Kotido-Karenga'!H50)</f>
        <v>0</v>
      </c>
      <c r="I50" s="49">
        <f>AVERAGE('05.08 Kotido-Karenga'!I50,'06.08 Kotido-Karenga'!I50,'07.08 Kotido-Karenga'!I50,'08.08 Kotido-Karenga'!I50,'09.08 Kotido-Karenga-24h'!I50,'10.08 Kotido-Karenga-24h'!I50,'11.08 Kotido-Karenga'!I50)</f>
        <v>0</v>
      </c>
      <c r="J50" s="49">
        <f>AVERAGE('05.08 Kotido-Karenga'!J50,'06.08 Kotido-Karenga'!J50,'07.08 Kotido-Karenga'!J50,'08.08 Kotido-Karenga'!J50,'09.08 Kotido-Karenga-24h'!J50,'10.08 Kotido-Karenga-24h'!J50,'11.08 Kotido-Karenga'!J50)</f>
        <v>0</v>
      </c>
      <c r="K50" s="49">
        <f>AVERAGE('05.08 Kotido-Karenga'!K50,'06.08 Kotido-Karenga'!K50,'07.08 Kotido-Karenga'!K50,'08.08 Kotido-Karenga'!K50,'09.08 Kotido-Karenga-24h'!K50,'10.08 Kotido-Karenga-24h'!K50,'11.08 Kotido-Karenga'!K50)</f>
        <v>0</v>
      </c>
      <c r="L50" s="49">
        <f>AVERAGE('05.08 Kotido-Karenga'!L50,'06.08 Kotido-Karenga'!L50,'07.08 Kotido-Karenga'!L50,'08.08 Kotido-Karenga'!L50,'09.08 Kotido-Karenga-24h'!L50,'10.08 Kotido-Karenga-24h'!L50,'11.08 Kotido-Karenga'!L50)</f>
        <v>0</v>
      </c>
      <c r="M50" s="49">
        <f>AVERAGE('05.08 Kotido-Karenga'!M50,'06.08 Kotido-Karenga'!M50,'07.08 Kotido-Karenga'!M50,'08.08 Kotido-Karenga'!M50,'09.08 Kotido-Karenga-24h'!M50,'10.08 Kotido-Karenga-24h'!M50,'11.08 Kotido-Karenga'!M50)</f>
        <v>2.5714285714285716</v>
      </c>
      <c r="N50" s="49">
        <f>AVERAGE('05.08 Kotido-Karenga'!N50,'06.08 Kotido-Karenga'!N50,'07.08 Kotido-Karenga'!N50,'08.08 Kotido-Karenga'!N50,'09.08 Kotido-Karenga-24h'!N50,'10.08 Kotido-Karenga-24h'!N50,'11.08 Kotido-Karenga'!N50)</f>
        <v>0</v>
      </c>
      <c r="O50" s="15">
        <f t="shared" si="0"/>
        <v>0.42857142857142855</v>
      </c>
      <c r="P50" s="15">
        <f t="shared" si="1"/>
        <v>3</v>
      </c>
      <c r="R50" s="8"/>
      <c r="T50"/>
    </row>
    <row r="51" spans="2:20" ht="23.1" customHeight="1" x14ac:dyDescent="0.25">
      <c r="B51" s="24" t="s">
        <v>78</v>
      </c>
      <c r="C51" s="49">
        <f>AVERAGE('05.08 Kotido-Karenga'!C51,'06.08 Kotido-Karenga'!C51,'07.08 Kotido-Karenga'!C51,'08.08 Kotido-Karenga'!C51,'09.08 Kotido-Karenga-24h'!C51,'10.08 Kotido-Karenga-24h'!C51,'11.08 Kotido-Karenga'!C51)</f>
        <v>0</v>
      </c>
      <c r="D51" s="49">
        <f>AVERAGE('05.08 Kotido-Karenga'!D51,'06.08 Kotido-Karenga'!D51,'07.08 Kotido-Karenga'!D51,'08.08 Kotido-Karenga'!D51,'09.08 Kotido-Karenga-24h'!D51,'10.08 Kotido-Karenga-24h'!D51,'11.08 Kotido-Karenga'!D51)</f>
        <v>0.14285714285714285</v>
      </c>
      <c r="E51" s="49">
        <f>AVERAGE('05.08 Kotido-Karenga'!E51,'06.08 Kotido-Karenga'!E51,'07.08 Kotido-Karenga'!E51,'08.08 Kotido-Karenga'!E51,'09.08 Kotido-Karenga-24h'!E51,'10.08 Kotido-Karenga-24h'!E51,'11.08 Kotido-Karenga'!E51)</f>
        <v>0</v>
      </c>
      <c r="F51" s="49">
        <f>AVERAGE('05.08 Kotido-Karenga'!F51,'06.08 Kotido-Karenga'!F51,'07.08 Kotido-Karenga'!F51,'08.08 Kotido-Karenga'!F51,'09.08 Kotido-Karenga-24h'!F51,'10.08 Kotido-Karenga-24h'!F51,'11.08 Kotido-Karenga'!F51)</f>
        <v>0.14285714285714285</v>
      </c>
      <c r="G51" s="49">
        <f>AVERAGE('05.08 Kotido-Karenga'!G51,'06.08 Kotido-Karenga'!G51,'07.08 Kotido-Karenga'!G51,'08.08 Kotido-Karenga'!G51,'09.08 Kotido-Karenga-24h'!G51,'10.08 Kotido-Karenga-24h'!G51,'11.08 Kotido-Karenga'!G51)</f>
        <v>0</v>
      </c>
      <c r="H51" s="49">
        <f>AVERAGE('05.08 Kotido-Karenga'!H51,'06.08 Kotido-Karenga'!H51,'07.08 Kotido-Karenga'!H51,'08.08 Kotido-Karenga'!H51,'09.08 Kotido-Karenga-24h'!H51,'10.08 Kotido-Karenga-24h'!H51,'11.08 Kotido-Karenga'!H51)</f>
        <v>0</v>
      </c>
      <c r="I51" s="49">
        <f>AVERAGE('05.08 Kotido-Karenga'!I51,'06.08 Kotido-Karenga'!I51,'07.08 Kotido-Karenga'!I51,'08.08 Kotido-Karenga'!I51,'09.08 Kotido-Karenga-24h'!I51,'10.08 Kotido-Karenga-24h'!I51,'11.08 Kotido-Karenga'!I51)</f>
        <v>0</v>
      </c>
      <c r="J51" s="49">
        <f>AVERAGE('05.08 Kotido-Karenga'!J51,'06.08 Kotido-Karenga'!J51,'07.08 Kotido-Karenga'!J51,'08.08 Kotido-Karenga'!J51,'09.08 Kotido-Karenga-24h'!J51,'10.08 Kotido-Karenga-24h'!J51,'11.08 Kotido-Karenga'!J51)</f>
        <v>0</v>
      </c>
      <c r="K51" s="49">
        <f>AVERAGE('05.08 Kotido-Karenga'!K51,'06.08 Kotido-Karenga'!K51,'07.08 Kotido-Karenga'!K51,'08.08 Kotido-Karenga'!K51,'09.08 Kotido-Karenga-24h'!K51,'10.08 Kotido-Karenga-24h'!K51,'11.08 Kotido-Karenga'!K51)</f>
        <v>0</v>
      </c>
      <c r="L51" s="49">
        <f>AVERAGE('05.08 Kotido-Karenga'!L51,'06.08 Kotido-Karenga'!L51,'07.08 Kotido-Karenga'!L51,'08.08 Kotido-Karenga'!L51,'09.08 Kotido-Karenga-24h'!L51,'10.08 Kotido-Karenga-24h'!L51,'11.08 Kotido-Karenga'!L51)</f>
        <v>0</v>
      </c>
      <c r="M51" s="49">
        <f>AVERAGE('05.08 Kotido-Karenga'!M51,'06.08 Kotido-Karenga'!M51,'07.08 Kotido-Karenga'!M51,'08.08 Kotido-Karenga'!M51,'09.08 Kotido-Karenga-24h'!M51,'10.08 Kotido-Karenga-24h'!M51,'11.08 Kotido-Karenga'!M51)</f>
        <v>1.5714285714285714</v>
      </c>
      <c r="N51" s="49">
        <f>AVERAGE('05.08 Kotido-Karenga'!N51,'06.08 Kotido-Karenga'!N51,'07.08 Kotido-Karenga'!N51,'08.08 Kotido-Karenga'!N51,'09.08 Kotido-Karenga-24h'!N51,'10.08 Kotido-Karenga-24h'!N51,'11.08 Kotido-Karenga'!N51)</f>
        <v>0</v>
      </c>
      <c r="O51" s="15">
        <f t="shared" si="0"/>
        <v>0.2857142857142857</v>
      </c>
      <c r="P51" s="15">
        <f t="shared" si="1"/>
        <v>1.8571428571428572</v>
      </c>
      <c r="R51" s="8"/>
      <c r="T51"/>
    </row>
    <row r="52" spans="2:20" ht="23.1" customHeight="1" x14ac:dyDescent="0.25">
      <c r="B52" s="24" t="s">
        <v>79</v>
      </c>
      <c r="C52" s="49">
        <f>AVERAGE('05.08 Kotido-Karenga'!C52,'06.08 Kotido-Karenga'!C52,'07.08 Kotido-Karenga'!C52,'08.08 Kotido-Karenga'!C52,'09.08 Kotido-Karenga-24h'!C52,'10.08 Kotido-Karenga-24h'!C52,'11.08 Kotido-Karenga'!C52)</f>
        <v>0</v>
      </c>
      <c r="D52" s="49">
        <f>AVERAGE('05.08 Kotido-Karenga'!D52,'06.08 Kotido-Karenga'!D52,'07.08 Kotido-Karenga'!D52,'08.08 Kotido-Karenga'!D52,'09.08 Kotido-Karenga-24h'!D52,'10.08 Kotido-Karenga-24h'!D52,'11.08 Kotido-Karenga'!D52)</f>
        <v>0</v>
      </c>
      <c r="E52" s="49">
        <f>AVERAGE('05.08 Kotido-Karenga'!E52,'06.08 Kotido-Karenga'!E52,'07.08 Kotido-Karenga'!E52,'08.08 Kotido-Karenga'!E52,'09.08 Kotido-Karenga-24h'!E52,'10.08 Kotido-Karenga-24h'!E52,'11.08 Kotido-Karenga'!E52)</f>
        <v>0</v>
      </c>
      <c r="F52" s="49">
        <f>AVERAGE('05.08 Kotido-Karenga'!F52,'06.08 Kotido-Karenga'!F52,'07.08 Kotido-Karenga'!F52,'08.08 Kotido-Karenga'!F52,'09.08 Kotido-Karenga-24h'!F52,'10.08 Kotido-Karenga-24h'!F52,'11.08 Kotido-Karenga'!F52)</f>
        <v>0.14285714285714285</v>
      </c>
      <c r="G52" s="49">
        <f>AVERAGE('05.08 Kotido-Karenga'!G52,'06.08 Kotido-Karenga'!G52,'07.08 Kotido-Karenga'!G52,'08.08 Kotido-Karenga'!G52,'09.08 Kotido-Karenga-24h'!G52,'10.08 Kotido-Karenga-24h'!G52,'11.08 Kotido-Karenga'!G52)</f>
        <v>0</v>
      </c>
      <c r="H52" s="49">
        <f>AVERAGE('05.08 Kotido-Karenga'!H52,'06.08 Kotido-Karenga'!H52,'07.08 Kotido-Karenga'!H52,'08.08 Kotido-Karenga'!H52,'09.08 Kotido-Karenga-24h'!H52,'10.08 Kotido-Karenga-24h'!H52,'11.08 Kotido-Karenga'!H52)</f>
        <v>0</v>
      </c>
      <c r="I52" s="49">
        <f>AVERAGE('05.08 Kotido-Karenga'!I52,'06.08 Kotido-Karenga'!I52,'07.08 Kotido-Karenga'!I52,'08.08 Kotido-Karenga'!I52,'09.08 Kotido-Karenga-24h'!I52,'10.08 Kotido-Karenga-24h'!I52,'11.08 Kotido-Karenga'!I52)</f>
        <v>0.14285714285714285</v>
      </c>
      <c r="J52" s="49">
        <f>AVERAGE('05.08 Kotido-Karenga'!J52,'06.08 Kotido-Karenga'!J52,'07.08 Kotido-Karenga'!J52,'08.08 Kotido-Karenga'!J52,'09.08 Kotido-Karenga-24h'!J52,'10.08 Kotido-Karenga-24h'!J52,'11.08 Kotido-Karenga'!J52)</f>
        <v>0</v>
      </c>
      <c r="K52" s="49">
        <f>AVERAGE('05.08 Kotido-Karenga'!K52,'06.08 Kotido-Karenga'!K52,'07.08 Kotido-Karenga'!K52,'08.08 Kotido-Karenga'!K52,'09.08 Kotido-Karenga-24h'!K52,'10.08 Kotido-Karenga-24h'!K52,'11.08 Kotido-Karenga'!K52)</f>
        <v>0</v>
      </c>
      <c r="L52" s="49">
        <f>AVERAGE('05.08 Kotido-Karenga'!L52,'06.08 Kotido-Karenga'!L52,'07.08 Kotido-Karenga'!L52,'08.08 Kotido-Karenga'!L52,'09.08 Kotido-Karenga-24h'!L52,'10.08 Kotido-Karenga-24h'!L52,'11.08 Kotido-Karenga'!L52)</f>
        <v>0</v>
      </c>
      <c r="M52" s="49">
        <f>AVERAGE('05.08 Kotido-Karenga'!M52,'06.08 Kotido-Karenga'!M52,'07.08 Kotido-Karenga'!M52,'08.08 Kotido-Karenga'!M52,'09.08 Kotido-Karenga-24h'!M52,'10.08 Kotido-Karenga-24h'!M52,'11.08 Kotido-Karenga'!M52)</f>
        <v>0.2857142857142857</v>
      </c>
      <c r="N52" s="49">
        <f>AVERAGE('05.08 Kotido-Karenga'!N52,'06.08 Kotido-Karenga'!N52,'07.08 Kotido-Karenga'!N52,'08.08 Kotido-Karenga'!N52,'09.08 Kotido-Karenga-24h'!N52,'10.08 Kotido-Karenga-24h'!N52,'11.08 Kotido-Karenga'!N52)</f>
        <v>0</v>
      </c>
      <c r="O52" s="15">
        <f t="shared" si="0"/>
        <v>0.2857142857142857</v>
      </c>
      <c r="P52" s="15">
        <f t="shared" si="1"/>
        <v>0.5714285714285714</v>
      </c>
      <c r="R52" s="8"/>
      <c r="T52"/>
    </row>
    <row r="53" spans="2:20" ht="23.1" customHeight="1" x14ac:dyDescent="0.25">
      <c r="B53" s="23" t="s">
        <v>80</v>
      </c>
      <c r="C53" s="49">
        <f>AVERAGE('05.08 Kotido-Karenga'!C53,'06.08 Kotido-Karenga'!C53,'07.08 Kotido-Karenga'!C53,'08.08 Kotido-Karenga'!C53,'09.08 Kotido-Karenga-24h'!C53,'10.08 Kotido-Karenga-24h'!C53,'11.08 Kotido-Karenga'!C53)</f>
        <v>0</v>
      </c>
      <c r="D53" s="49">
        <f>AVERAGE('05.08 Kotido-Karenga'!D53,'06.08 Kotido-Karenga'!D53,'07.08 Kotido-Karenga'!D53,'08.08 Kotido-Karenga'!D53,'09.08 Kotido-Karenga-24h'!D53,'10.08 Kotido-Karenga-24h'!D53,'11.08 Kotido-Karenga'!D53)</f>
        <v>0.14285714285714285</v>
      </c>
      <c r="E53" s="49">
        <f>AVERAGE('05.08 Kotido-Karenga'!E53,'06.08 Kotido-Karenga'!E53,'07.08 Kotido-Karenga'!E53,'08.08 Kotido-Karenga'!E53,'09.08 Kotido-Karenga-24h'!E53,'10.08 Kotido-Karenga-24h'!E53,'11.08 Kotido-Karenga'!E53)</f>
        <v>0</v>
      </c>
      <c r="F53" s="49">
        <f>AVERAGE('05.08 Kotido-Karenga'!F53,'06.08 Kotido-Karenga'!F53,'07.08 Kotido-Karenga'!F53,'08.08 Kotido-Karenga'!F53,'09.08 Kotido-Karenga-24h'!F53,'10.08 Kotido-Karenga-24h'!F53,'11.08 Kotido-Karenga'!F53)</f>
        <v>0.2857142857142857</v>
      </c>
      <c r="G53" s="49">
        <f>AVERAGE('05.08 Kotido-Karenga'!G53,'06.08 Kotido-Karenga'!G53,'07.08 Kotido-Karenga'!G53,'08.08 Kotido-Karenga'!G53,'09.08 Kotido-Karenga-24h'!G53,'10.08 Kotido-Karenga-24h'!G53,'11.08 Kotido-Karenga'!G53)</f>
        <v>0</v>
      </c>
      <c r="H53" s="49">
        <f>AVERAGE('05.08 Kotido-Karenga'!H53,'06.08 Kotido-Karenga'!H53,'07.08 Kotido-Karenga'!H53,'08.08 Kotido-Karenga'!H53,'09.08 Kotido-Karenga-24h'!H53,'10.08 Kotido-Karenga-24h'!H53,'11.08 Kotido-Karenga'!H53)</f>
        <v>0</v>
      </c>
      <c r="I53" s="49">
        <f>AVERAGE('05.08 Kotido-Karenga'!I53,'06.08 Kotido-Karenga'!I53,'07.08 Kotido-Karenga'!I53,'08.08 Kotido-Karenga'!I53,'09.08 Kotido-Karenga-24h'!I53,'10.08 Kotido-Karenga-24h'!I53,'11.08 Kotido-Karenga'!I53)</f>
        <v>0</v>
      </c>
      <c r="J53" s="49">
        <f>AVERAGE('05.08 Kotido-Karenga'!J53,'06.08 Kotido-Karenga'!J53,'07.08 Kotido-Karenga'!J53,'08.08 Kotido-Karenga'!J53,'09.08 Kotido-Karenga-24h'!J53,'10.08 Kotido-Karenga-24h'!J53,'11.08 Kotido-Karenga'!J53)</f>
        <v>0.14285714285714285</v>
      </c>
      <c r="K53" s="49">
        <f>AVERAGE('05.08 Kotido-Karenga'!K53,'06.08 Kotido-Karenga'!K53,'07.08 Kotido-Karenga'!K53,'08.08 Kotido-Karenga'!K53,'09.08 Kotido-Karenga-24h'!K53,'10.08 Kotido-Karenga-24h'!K53,'11.08 Kotido-Karenga'!K53)</f>
        <v>0</v>
      </c>
      <c r="L53" s="49">
        <f>AVERAGE('05.08 Kotido-Karenga'!L53,'06.08 Kotido-Karenga'!L53,'07.08 Kotido-Karenga'!L53,'08.08 Kotido-Karenga'!L53,'09.08 Kotido-Karenga-24h'!L53,'10.08 Kotido-Karenga-24h'!L53,'11.08 Kotido-Karenga'!L53)</f>
        <v>0</v>
      </c>
      <c r="M53" s="49">
        <f>AVERAGE('05.08 Kotido-Karenga'!M53,'06.08 Kotido-Karenga'!M53,'07.08 Kotido-Karenga'!M53,'08.08 Kotido-Karenga'!M53,'09.08 Kotido-Karenga-24h'!M53,'10.08 Kotido-Karenga-24h'!M53,'11.08 Kotido-Karenga'!M53)</f>
        <v>3</v>
      </c>
      <c r="N53" s="49">
        <f>AVERAGE('05.08 Kotido-Karenga'!N53,'06.08 Kotido-Karenga'!N53,'07.08 Kotido-Karenga'!N53,'08.08 Kotido-Karenga'!N53,'09.08 Kotido-Karenga-24h'!N53,'10.08 Kotido-Karenga-24h'!N53,'11.08 Kotido-Karenga'!N53)</f>
        <v>0</v>
      </c>
      <c r="O53" s="15">
        <f t="shared" si="0"/>
        <v>0.5714285714285714</v>
      </c>
      <c r="P53" s="15">
        <f t="shared" si="1"/>
        <v>3.5714285714285712</v>
      </c>
      <c r="R53" s="8"/>
      <c r="T53"/>
    </row>
    <row r="54" spans="2:20" ht="23.1" customHeight="1" x14ac:dyDescent="0.25">
      <c r="B54" s="23" t="s">
        <v>81</v>
      </c>
      <c r="C54" s="49">
        <f>AVERAGE('05.08 Kotido-Karenga'!C54,'06.08 Kotido-Karenga'!C54,'07.08 Kotido-Karenga'!C54,'08.08 Kotido-Karenga'!C54,'09.08 Kotido-Karenga-24h'!C54,'10.08 Kotido-Karenga-24h'!C54,'11.08 Kotido-Karenga'!C54)</f>
        <v>0.14285714285714285</v>
      </c>
      <c r="D54" s="49">
        <f>AVERAGE('05.08 Kotido-Karenga'!D54,'06.08 Kotido-Karenga'!D54,'07.08 Kotido-Karenga'!D54,'08.08 Kotido-Karenga'!D54,'09.08 Kotido-Karenga-24h'!D54,'10.08 Kotido-Karenga-24h'!D54,'11.08 Kotido-Karenga'!D54)</f>
        <v>0</v>
      </c>
      <c r="E54" s="49">
        <f>AVERAGE('05.08 Kotido-Karenga'!E54,'06.08 Kotido-Karenga'!E54,'07.08 Kotido-Karenga'!E54,'08.08 Kotido-Karenga'!E54,'09.08 Kotido-Karenga-24h'!E54,'10.08 Kotido-Karenga-24h'!E54,'11.08 Kotido-Karenga'!E54)</f>
        <v>0</v>
      </c>
      <c r="F54" s="49">
        <f>AVERAGE('05.08 Kotido-Karenga'!F54,'06.08 Kotido-Karenga'!F54,'07.08 Kotido-Karenga'!F54,'08.08 Kotido-Karenga'!F54,'09.08 Kotido-Karenga-24h'!F54,'10.08 Kotido-Karenga-24h'!F54,'11.08 Kotido-Karenga'!F54)</f>
        <v>0.14285714285714285</v>
      </c>
      <c r="G54" s="49">
        <f>AVERAGE('05.08 Kotido-Karenga'!G54,'06.08 Kotido-Karenga'!G54,'07.08 Kotido-Karenga'!G54,'08.08 Kotido-Karenga'!G54,'09.08 Kotido-Karenga-24h'!G54,'10.08 Kotido-Karenga-24h'!G54,'11.08 Kotido-Karenga'!G54)</f>
        <v>0</v>
      </c>
      <c r="H54" s="49">
        <f>AVERAGE('05.08 Kotido-Karenga'!H54,'06.08 Kotido-Karenga'!H54,'07.08 Kotido-Karenga'!H54,'08.08 Kotido-Karenga'!H54,'09.08 Kotido-Karenga-24h'!H54,'10.08 Kotido-Karenga-24h'!H54,'11.08 Kotido-Karenga'!H54)</f>
        <v>0</v>
      </c>
      <c r="I54" s="49">
        <f>AVERAGE('05.08 Kotido-Karenga'!I54,'06.08 Kotido-Karenga'!I54,'07.08 Kotido-Karenga'!I54,'08.08 Kotido-Karenga'!I54,'09.08 Kotido-Karenga-24h'!I54,'10.08 Kotido-Karenga-24h'!I54,'11.08 Kotido-Karenga'!I54)</f>
        <v>0</v>
      </c>
      <c r="J54" s="49">
        <f>AVERAGE('05.08 Kotido-Karenga'!J54,'06.08 Kotido-Karenga'!J54,'07.08 Kotido-Karenga'!J54,'08.08 Kotido-Karenga'!J54,'09.08 Kotido-Karenga-24h'!J54,'10.08 Kotido-Karenga-24h'!J54,'11.08 Kotido-Karenga'!J54)</f>
        <v>0</v>
      </c>
      <c r="K54" s="49">
        <f>AVERAGE('05.08 Kotido-Karenga'!K54,'06.08 Kotido-Karenga'!K54,'07.08 Kotido-Karenga'!K54,'08.08 Kotido-Karenga'!K54,'09.08 Kotido-Karenga-24h'!K54,'10.08 Kotido-Karenga-24h'!K54,'11.08 Kotido-Karenga'!K54)</f>
        <v>0</v>
      </c>
      <c r="L54" s="49">
        <f>AVERAGE('05.08 Kotido-Karenga'!L54,'06.08 Kotido-Karenga'!L54,'07.08 Kotido-Karenga'!L54,'08.08 Kotido-Karenga'!L54,'09.08 Kotido-Karenga-24h'!L54,'10.08 Kotido-Karenga-24h'!L54,'11.08 Kotido-Karenga'!L54)</f>
        <v>0</v>
      </c>
      <c r="M54" s="49">
        <f>AVERAGE('05.08 Kotido-Karenga'!M54,'06.08 Kotido-Karenga'!M54,'07.08 Kotido-Karenga'!M54,'08.08 Kotido-Karenga'!M54,'09.08 Kotido-Karenga-24h'!M54,'10.08 Kotido-Karenga-24h'!M54,'11.08 Kotido-Karenga'!M54)</f>
        <v>1.5714285714285714</v>
      </c>
      <c r="N54" s="49">
        <f>AVERAGE('05.08 Kotido-Karenga'!N54,'06.08 Kotido-Karenga'!N54,'07.08 Kotido-Karenga'!N54,'08.08 Kotido-Karenga'!N54,'09.08 Kotido-Karenga-24h'!N54,'10.08 Kotido-Karenga-24h'!N54,'11.08 Kotido-Karenga'!N54)</f>
        <v>0</v>
      </c>
      <c r="O54" s="15">
        <f t="shared" si="0"/>
        <v>0.2857142857142857</v>
      </c>
      <c r="P54" s="15">
        <f t="shared" si="1"/>
        <v>1.8571428571428572</v>
      </c>
      <c r="R54" s="8"/>
      <c r="T54"/>
    </row>
    <row r="55" spans="2:20" ht="23.1" customHeight="1" x14ac:dyDescent="0.25">
      <c r="B55" s="23" t="s">
        <v>82</v>
      </c>
      <c r="C55" s="49">
        <f>AVERAGE('05.08 Kotido-Karenga'!C55,'06.08 Kotido-Karenga'!C55,'07.08 Kotido-Karenga'!C55,'08.08 Kotido-Karenga'!C55,'09.08 Kotido-Karenga-24h'!C55,'10.08 Kotido-Karenga-24h'!C55,'11.08 Kotido-Karenga'!C55)</f>
        <v>0</v>
      </c>
      <c r="D55" s="49">
        <f>AVERAGE('05.08 Kotido-Karenga'!D55,'06.08 Kotido-Karenga'!D55,'07.08 Kotido-Karenga'!D55,'08.08 Kotido-Karenga'!D55,'09.08 Kotido-Karenga-24h'!D55,'10.08 Kotido-Karenga-24h'!D55,'11.08 Kotido-Karenga'!D55)</f>
        <v>0.14285714285714285</v>
      </c>
      <c r="E55" s="49">
        <f>AVERAGE('05.08 Kotido-Karenga'!E55,'06.08 Kotido-Karenga'!E55,'07.08 Kotido-Karenga'!E55,'08.08 Kotido-Karenga'!E55,'09.08 Kotido-Karenga-24h'!E55,'10.08 Kotido-Karenga-24h'!E55,'11.08 Kotido-Karenga'!E55)</f>
        <v>0</v>
      </c>
      <c r="F55" s="49">
        <f>AVERAGE('05.08 Kotido-Karenga'!F55,'06.08 Kotido-Karenga'!F55,'07.08 Kotido-Karenga'!F55,'08.08 Kotido-Karenga'!F55,'09.08 Kotido-Karenga-24h'!F55,'10.08 Kotido-Karenga-24h'!F55,'11.08 Kotido-Karenga'!F55)</f>
        <v>0</v>
      </c>
      <c r="G55" s="49">
        <f>AVERAGE('05.08 Kotido-Karenga'!G55,'06.08 Kotido-Karenga'!G55,'07.08 Kotido-Karenga'!G55,'08.08 Kotido-Karenga'!G55,'09.08 Kotido-Karenga-24h'!G55,'10.08 Kotido-Karenga-24h'!G55,'11.08 Kotido-Karenga'!G55)</f>
        <v>0</v>
      </c>
      <c r="H55" s="49">
        <f>AVERAGE('05.08 Kotido-Karenga'!H55,'06.08 Kotido-Karenga'!H55,'07.08 Kotido-Karenga'!H55,'08.08 Kotido-Karenga'!H55,'09.08 Kotido-Karenga-24h'!H55,'10.08 Kotido-Karenga-24h'!H55,'11.08 Kotido-Karenga'!H55)</f>
        <v>0</v>
      </c>
      <c r="I55" s="49">
        <f>AVERAGE('05.08 Kotido-Karenga'!I55,'06.08 Kotido-Karenga'!I55,'07.08 Kotido-Karenga'!I55,'08.08 Kotido-Karenga'!I55,'09.08 Kotido-Karenga-24h'!I55,'10.08 Kotido-Karenga-24h'!I55,'11.08 Kotido-Karenga'!I55)</f>
        <v>0</v>
      </c>
      <c r="J55" s="49">
        <f>AVERAGE('05.08 Kotido-Karenga'!J55,'06.08 Kotido-Karenga'!J55,'07.08 Kotido-Karenga'!J55,'08.08 Kotido-Karenga'!J55,'09.08 Kotido-Karenga-24h'!J55,'10.08 Kotido-Karenga-24h'!J55,'11.08 Kotido-Karenga'!J55)</f>
        <v>0</v>
      </c>
      <c r="K55" s="49">
        <f>AVERAGE('05.08 Kotido-Karenga'!K55,'06.08 Kotido-Karenga'!K55,'07.08 Kotido-Karenga'!K55,'08.08 Kotido-Karenga'!K55,'09.08 Kotido-Karenga-24h'!K55,'10.08 Kotido-Karenga-24h'!K55,'11.08 Kotido-Karenga'!K55)</f>
        <v>0</v>
      </c>
      <c r="L55" s="49">
        <f>AVERAGE('05.08 Kotido-Karenga'!L55,'06.08 Kotido-Karenga'!L55,'07.08 Kotido-Karenga'!L55,'08.08 Kotido-Karenga'!L55,'09.08 Kotido-Karenga-24h'!L55,'10.08 Kotido-Karenga-24h'!L55,'11.08 Kotido-Karenga'!L55)</f>
        <v>0</v>
      </c>
      <c r="M55" s="49">
        <f>AVERAGE('05.08 Kotido-Karenga'!M55,'06.08 Kotido-Karenga'!M55,'07.08 Kotido-Karenga'!M55,'08.08 Kotido-Karenga'!M55,'09.08 Kotido-Karenga-24h'!M55,'10.08 Kotido-Karenga-24h'!M55,'11.08 Kotido-Karenga'!M55)</f>
        <v>0.5714285714285714</v>
      </c>
      <c r="N55" s="49">
        <f>AVERAGE('05.08 Kotido-Karenga'!N55,'06.08 Kotido-Karenga'!N55,'07.08 Kotido-Karenga'!N55,'08.08 Kotido-Karenga'!N55,'09.08 Kotido-Karenga-24h'!N55,'10.08 Kotido-Karenga-24h'!N55,'11.08 Kotido-Karenga'!N55)</f>
        <v>0</v>
      </c>
      <c r="O55" s="15">
        <f t="shared" si="0"/>
        <v>0.14285714285714285</v>
      </c>
      <c r="P55" s="15">
        <f t="shared" si="1"/>
        <v>0.71428571428571419</v>
      </c>
      <c r="R55" s="8"/>
      <c r="T55"/>
    </row>
    <row r="56" spans="2:20" ht="23.1" customHeight="1" x14ac:dyDescent="0.25">
      <c r="B56" s="23" t="s">
        <v>83</v>
      </c>
      <c r="C56" s="49">
        <f>AVERAGE('05.08 Kotido-Karenga'!C56,'06.08 Kotido-Karenga'!C56,'07.08 Kotido-Karenga'!C56,'08.08 Kotido-Karenga'!C56,'09.08 Kotido-Karenga-24h'!C56,'10.08 Kotido-Karenga-24h'!C56,'11.08 Kotido-Karenga'!C56)</f>
        <v>0</v>
      </c>
      <c r="D56" s="49">
        <f>AVERAGE('05.08 Kotido-Karenga'!D56,'06.08 Kotido-Karenga'!D56,'07.08 Kotido-Karenga'!D56,'08.08 Kotido-Karenga'!D56,'09.08 Kotido-Karenga-24h'!D56,'10.08 Kotido-Karenga-24h'!D56,'11.08 Kotido-Karenga'!D56)</f>
        <v>0.2857142857142857</v>
      </c>
      <c r="E56" s="49">
        <f>AVERAGE('05.08 Kotido-Karenga'!E56,'06.08 Kotido-Karenga'!E56,'07.08 Kotido-Karenga'!E56,'08.08 Kotido-Karenga'!E56,'09.08 Kotido-Karenga-24h'!E56,'10.08 Kotido-Karenga-24h'!E56,'11.08 Kotido-Karenga'!E56)</f>
        <v>0</v>
      </c>
      <c r="F56" s="49">
        <f>AVERAGE('05.08 Kotido-Karenga'!F56,'06.08 Kotido-Karenga'!F56,'07.08 Kotido-Karenga'!F56,'08.08 Kotido-Karenga'!F56,'09.08 Kotido-Karenga-24h'!F56,'10.08 Kotido-Karenga-24h'!F56,'11.08 Kotido-Karenga'!F56)</f>
        <v>0.2857142857142857</v>
      </c>
      <c r="G56" s="49">
        <f>AVERAGE('05.08 Kotido-Karenga'!G56,'06.08 Kotido-Karenga'!G56,'07.08 Kotido-Karenga'!G56,'08.08 Kotido-Karenga'!G56,'09.08 Kotido-Karenga-24h'!G56,'10.08 Kotido-Karenga-24h'!G56,'11.08 Kotido-Karenga'!G56)</f>
        <v>0</v>
      </c>
      <c r="H56" s="49">
        <f>AVERAGE('05.08 Kotido-Karenga'!H56,'06.08 Kotido-Karenga'!H56,'07.08 Kotido-Karenga'!H56,'08.08 Kotido-Karenga'!H56,'09.08 Kotido-Karenga-24h'!H56,'10.08 Kotido-Karenga-24h'!H56,'11.08 Kotido-Karenga'!H56)</f>
        <v>0</v>
      </c>
      <c r="I56" s="49">
        <f>AVERAGE('05.08 Kotido-Karenga'!I56,'06.08 Kotido-Karenga'!I56,'07.08 Kotido-Karenga'!I56,'08.08 Kotido-Karenga'!I56,'09.08 Kotido-Karenga-24h'!I56,'10.08 Kotido-Karenga-24h'!I56,'11.08 Kotido-Karenga'!I56)</f>
        <v>0</v>
      </c>
      <c r="J56" s="49">
        <f>AVERAGE('05.08 Kotido-Karenga'!J56,'06.08 Kotido-Karenga'!J56,'07.08 Kotido-Karenga'!J56,'08.08 Kotido-Karenga'!J56,'09.08 Kotido-Karenga-24h'!J56,'10.08 Kotido-Karenga-24h'!J56,'11.08 Kotido-Karenga'!J56)</f>
        <v>0</v>
      </c>
      <c r="K56" s="49">
        <f>AVERAGE('05.08 Kotido-Karenga'!K56,'06.08 Kotido-Karenga'!K56,'07.08 Kotido-Karenga'!K56,'08.08 Kotido-Karenga'!K56,'09.08 Kotido-Karenga-24h'!K56,'10.08 Kotido-Karenga-24h'!K56,'11.08 Kotido-Karenga'!K56)</f>
        <v>0.14285714285714285</v>
      </c>
      <c r="L56" s="49">
        <f>AVERAGE('05.08 Kotido-Karenga'!L56,'06.08 Kotido-Karenga'!L56,'07.08 Kotido-Karenga'!L56,'08.08 Kotido-Karenga'!L56,'09.08 Kotido-Karenga-24h'!L56,'10.08 Kotido-Karenga-24h'!L56,'11.08 Kotido-Karenga'!L56)</f>
        <v>0</v>
      </c>
      <c r="M56" s="49">
        <f>AVERAGE('05.08 Kotido-Karenga'!M56,'06.08 Kotido-Karenga'!M56,'07.08 Kotido-Karenga'!M56,'08.08 Kotido-Karenga'!M56,'09.08 Kotido-Karenga-24h'!M56,'10.08 Kotido-Karenga-24h'!M56,'11.08 Kotido-Karenga'!M56)</f>
        <v>1.2857142857142858</v>
      </c>
      <c r="N56" s="49">
        <f>AVERAGE('05.08 Kotido-Karenga'!N56,'06.08 Kotido-Karenga'!N56,'07.08 Kotido-Karenga'!N56,'08.08 Kotido-Karenga'!N56,'09.08 Kotido-Karenga-24h'!N56,'10.08 Kotido-Karenga-24h'!N56,'11.08 Kotido-Karenga'!N56)</f>
        <v>0</v>
      </c>
      <c r="O56" s="15">
        <f t="shared" si="0"/>
        <v>0.71428571428571419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49">
        <f>AVERAGE('05.08 Kotido-Karenga'!C57,'06.08 Kotido-Karenga'!C57,'07.08 Kotido-Karenga'!C57,'08.08 Kotido-Karenga'!C57,'09.08 Kotido-Karenga-24h'!C57,'10.08 Kotido-Karenga-24h'!C57,'11.08 Kotido-Karenga'!C57)</f>
        <v>0.14285714285714285</v>
      </c>
      <c r="D57" s="49">
        <f>AVERAGE('05.08 Kotido-Karenga'!D57,'06.08 Kotido-Karenga'!D57,'07.08 Kotido-Karenga'!D57,'08.08 Kotido-Karenga'!D57,'09.08 Kotido-Karenga-24h'!D57,'10.08 Kotido-Karenga-24h'!D57,'11.08 Kotido-Karenga'!D57)</f>
        <v>0.14285714285714285</v>
      </c>
      <c r="E57" s="49">
        <f>AVERAGE('05.08 Kotido-Karenga'!E57,'06.08 Kotido-Karenga'!E57,'07.08 Kotido-Karenga'!E57,'08.08 Kotido-Karenga'!E57,'09.08 Kotido-Karenga-24h'!E57,'10.08 Kotido-Karenga-24h'!E57,'11.08 Kotido-Karenga'!E57)</f>
        <v>0.2857142857142857</v>
      </c>
      <c r="F57" s="49">
        <f>AVERAGE('05.08 Kotido-Karenga'!F57,'06.08 Kotido-Karenga'!F57,'07.08 Kotido-Karenga'!F57,'08.08 Kotido-Karenga'!F57,'09.08 Kotido-Karenga-24h'!F57,'10.08 Kotido-Karenga-24h'!F57,'11.08 Kotido-Karenga'!F57)</f>
        <v>0.2857142857142857</v>
      </c>
      <c r="G57" s="49">
        <f>AVERAGE('05.08 Kotido-Karenga'!G57,'06.08 Kotido-Karenga'!G57,'07.08 Kotido-Karenga'!G57,'08.08 Kotido-Karenga'!G57,'09.08 Kotido-Karenga-24h'!G57,'10.08 Kotido-Karenga-24h'!G57,'11.08 Kotido-Karenga'!G57)</f>
        <v>0</v>
      </c>
      <c r="H57" s="49">
        <f>AVERAGE('05.08 Kotido-Karenga'!H57,'06.08 Kotido-Karenga'!H57,'07.08 Kotido-Karenga'!H57,'08.08 Kotido-Karenga'!H57,'09.08 Kotido-Karenga-24h'!H57,'10.08 Kotido-Karenga-24h'!H57,'11.08 Kotido-Karenga'!H57)</f>
        <v>0</v>
      </c>
      <c r="I57" s="49">
        <f>AVERAGE('05.08 Kotido-Karenga'!I57,'06.08 Kotido-Karenga'!I57,'07.08 Kotido-Karenga'!I57,'08.08 Kotido-Karenga'!I57,'09.08 Kotido-Karenga-24h'!I57,'10.08 Kotido-Karenga-24h'!I57,'11.08 Kotido-Karenga'!I57)</f>
        <v>0.14285714285714285</v>
      </c>
      <c r="J57" s="49">
        <f>AVERAGE('05.08 Kotido-Karenga'!J57,'06.08 Kotido-Karenga'!J57,'07.08 Kotido-Karenga'!J57,'08.08 Kotido-Karenga'!J57,'09.08 Kotido-Karenga-24h'!J57,'10.08 Kotido-Karenga-24h'!J57,'11.08 Kotido-Karenga'!J57)</f>
        <v>0</v>
      </c>
      <c r="K57" s="49">
        <f>AVERAGE('05.08 Kotido-Karenga'!K57,'06.08 Kotido-Karenga'!K57,'07.08 Kotido-Karenga'!K57,'08.08 Kotido-Karenga'!K57,'09.08 Kotido-Karenga-24h'!K57,'10.08 Kotido-Karenga-24h'!K57,'11.08 Kotido-Karenga'!K57)</f>
        <v>0</v>
      </c>
      <c r="L57" s="49">
        <f>AVERAGE('05.08 Kotido-Karenga'!L57,'06.08 Kotido-Karenga'!L57,'07.08 Kotido-Karenga'!L57,'08.08 Kotido-Karenga'!L57,'09.08 Kotido-Karenga-24h'!L57,'10.08 Kotido-Karenga-24h'!L57,'11.08 Kotido-Karenga'!L57)</f>
        <v>0</v>
      </c>
      <c r="M57" s="49">
        <f>AVERAGE('05.08 Kotido-Karenga'!M57,'06.08 Kotido-Karenga'!M57,'07.08 Kotido-Karenga'!M57,'08.08 Kotido-Karenga'!M57,'09.08 Kotido-Karenga-24h'!M57,'10.08 Kotido-Karenga-24h'!M57,'11.08 Kotido-Karenga'!M57)</f>
        <v>1.8571428571428572</v>
      </c>
      <c r="N57" s="49">
        <f>AVERAGE('05.08 Kotido-Karenga'!N57,'06.08 Kotido-Karenga'!N57,'07.08 Kotido-Karenga'!N57,'08.08 Kotido-Karenga'!N57,'09.08 Kotido-Karenga-24h'!N57,'10.08 Kotido-Karenga-24h'!N57,'11.08 Kotido-Karenga'!N57)</f>
        <v>0</v>
      </c>
      <c r="O57" s="15">
        <f t="shared" si="0"/>
        <v>1</v>
      </c>
      <c r="P57" s="15">
        <f t="shared" si="1"/>
        <v>2.8571428571428572</v>
      </c>
      <c r="R57" s="8"/>
      <c r="T57"/>
    </row>
    <row r="58" spans="2:20" ht="23.1" customHeight="1" x14ac:dyDescent="0.25">
      <c r="B58" s="23" t="s">
        <v>99</v>
      </c>
      <c r="C58" s="49">
        <f>AVERAGE('09.08 Kotido-Karenga-24h'!C58,'10.08 Kotido-Karenga-24h'!C58)</f>
        <v>0</v>
      </c>
      <c r="D58" s="49">
        <f>AVERAGE('09.08 Kotido-Karenga-24h'!D58,'10.08 Kotido-Karenga-24h'!D58)</f>
        <v>0</v>
      </c>
      <c r="E58" s="49">
        <f>AVERAGE('09.08 Kotido-Karenga-24h'!E58,'10.08 Kotido-Karenga-24h'!E58)</f>
        <v>0</v>
      </c>
      <c r="F58" s="49">
        <f>AVERAGE('09.08 Kotido-Karenga-24h'!F58,'10.08 Kotido-Karenga-24h'!F58)</f>
        <v>0.5</v>
      </c>
      <c r="G58" s="49">
        <f>AVERAGE('09.08 Kotido-Karenga-24h'!G58,'10.08 Kotido-Karenga-24h'!G58)</f>
        <v>0</v>
      </c>
      <c r="H58" s="49">
        <f>AVERAGE('09.08 Kotido-Karenga-24h'!H58,'10.08 Kotido-Karenga-24h'!H58)</f>
        <v>0</v>
      </c>
      <c r="I58" s="49">
        <f>AVERAGE('09.08 Kotido-Karenga-24h'!I58,'10.08 Kotido-Karenga-24h'!I58)</f>
        <v>0</v>
      </c>
      <c r="J58" s="49">
        <f>AVERAGE('09.08 Kotido-Karenga-24h'!J58,'10.08 Kotido-Karenga-24h'!J58)</f>
        <v>0</v>
      </c>
      <c r="K58" s="49">
        <f>AVERAGE('09.08 Kotido-Karenga-24h'!K58,'10.08 Kotido-Karenga-24h'!K58)</f>
        <v>0</v>
      </c>
      <c r="L58" s="49">
        <f>AVERAGE('09.08 Kotido-Karenga-24h'!L58,'10.08 Kotido-Karenga-24h'!L58)</f>
        <v>0</v>
      </c>
      <c r="M58" s="49">
        <f>AVERAGE('09.08 Kotido-Karenga-24h'!M58,'10.08 Kotido-Karenga-24h'!M58)</f>
        <v>2.5</v>
      </c>
      <c r="N58" s="49">
        <f>AVERAGE('09.08 Kotido-Karenga-24h'!N58,'10.08 Kotido-Karenga-24h'!N58)</f>
        <v>0</v>
      </c>
      <c r="O58" s="15">
        <f t="shared" si="0"/>
        <v>0.5</v>
      </c>
      <c r="P58" s="15">
        <f t="shared" si="1"/>
        <v>3</v>
      </c>
      <c r="R58" s="8"/>
      <c r="T58"/>
    </row>
    <row r="59" spans="2:20" ht="23.1" customHeight="1" x14ac:dyDescent="0.25">
      <c r="B59" s="23" t="s">
        <v>100</v>
      </c>
      <c r="C59" s="49">
        <f>AVERAGE('09.08 Kotido-Karenga-24h'!C59,'10.08 Kotido-Karenga-24h'!C59)</f>
        <v>0</v>
      </c>
      <c r="D59" s="49">
        <f>AVERAGE('09.08 Kotido-Karenga-24h'!D59,'10.08 Kotido-Karenga-24h'!D59)</f>
        <v>0</v>
      </c>
      <c r="E59" s="49">
        <f>AVERAGE('09.08 Kotido-Karenga-24h'!E59,'10.08 Kotido-Karenga-24h'!E59)</f>
        <v>0</v>
      </c>
      <c r="F59" s="49">
        <f>AVERAGE('09.08 Kotido-Karenga-24h'!F59,'10.08 Kotido-Karenga-24h'!F59)</f>
        <v>0</v>
      </c>
      <c r="G59" s="49">
        <f>AVERAGE('09.08 Kotido-Karenga-24h'!G59,'10.08 Kotido-Karenga-24h'!G59)</f>
        <v>0</v>
      </c>
      <c r="H59" s="49">
        <f>AVERAGE('09.08 Kotido-Karenga-24h'!H59,'10.08 Kotido-Karenga-24h'!H59)</f>
        <v>0</v>
      </c>
      <c r="I59" s="49">
        <f>AVERAGE('09.08 Kotido-Karenga-24h'!I59,'10.08 Kotido-Karenga-24h'!I59)</f>
        <v>0</v>
      </c>
      <c r="J59" s="49">
        <f>AVERAGE('09.08 Kotido-Karenga-24h'!J59,'10.08 Kotido-Karenga-24h'!J59)</f>
        <v>0</v>
      </c>
      <c r="K59" s="49">
        <f>AVERAGE('09.08 Kotido-Karenga-24h'!K59,'10.08 Kotido-Karenga-24h'!K59)</f>
        <v>0</v>
      </c>
      <c r="L59" s="49">
        <f>AVERAGE('09.08 Kotido-Karenga-24h'!L59,'10.08 Kotido-Karenga-24h'!L59)</f>
        <v>0</v>
      </c>
      <c r="M59" s="49">
        <f>AVERAGE('09.08 Kotido-Karenga-24h'!M59,'10.08 Kotido-Karenga-24h'!M59)</f>
        <v>0.5</v>
      </c>
      <c r="N59" s="49">
        <f>AVERAGE('09.08 Kotido-Karenga-24h'!N59,'10.08 Kotido-Karenga-24h'!N59)</f>
        <v>0</v>
      </c>
      <c r="O59" s="15">
        <f t="shared" si="0"/>
        <v>0</v>
      </c>
      <c r="P59" s="15">
        <f t="shared" si="1"/>
        <v>0.5</v>
      </c>
      <c r="R59" s="8"/>
      <c r="T59"/>
    </row>
    <row r="60" spans="2:20" ht="23.1" customHeight="1" x14ac:dyDescent="0.25">
      <c r="B60" s="23" t="s">
        <v>101</v>
      </c>
      <c r="C60" s="49">
        <f>AVERAGE('09.08 Kotido-Karenga-24h'!C60,'10.08 Kotido-Karenga-24h'!C60)</f>
        <v>0</v>
      </c>
      <c r="D60" s="49">
        <f>AVERAGE('09.08 Kotido-Karenga-24h'!D60,'10.08 Kotido-Karenga-24h'!D60)</f>
        <v>0</v>
      </c>
      <c r="E60" s="49">
        <f>AVERAGE('09.08 Kotido-Karenga-24h'!E60,'10.08 Kotido-Karenga-24h'!E60)</f>
        <v>0</v>
      </c>
      <c r="F60" s="49">
        <f>AVERAGE('09.08 Kotido-Karenga-24h'!F60,'10.08 Kotido-Karenga-24h'!F60)</f>
        <v>0</v>
      </c>
      <c r="G60" s="49">
        <f>AVERAGE('09.08 Kotido-Karenga-24h'!G60,'10.08 Kotido-Karenga-24h'!G60)</f>
        <v>0</v>
      </c>
      <c r="H60" s="49">
        <f>AVERAGE('09.08 Kotido-Karenga-24h'!H60,'10.08 Kotido-Karenga-24h'!H60)</f>
        <v>0</v>
      </c>
      <c r="I60" s="49">
        <f>AVERAGE('09.08 Kotido-Karenga-24h'!I60,'10.08 Kotido-Karenga-24h'!I60)</f>
        <v>0</v>
      </c>
      <c r="J60" s="49">
        <f>AVERAGE('09.08 Kotido-Karenga-24h'!J60,'10.08 Kotido-Karenga-24h'!J60)</f>
        <v>0</v>
      </c>
      <c r="K60" s="49">
        <f>AVERAGE('09.08 Kotido-Karenga-24h'!K60,'10.08 Kotido-Karenga-24h'!K60)</f>
        <v>0</v>
      </c>
      <c r="L60" s="49">
        <f>AVERAGE('09.08 Kotido-Karenga-24h'!L60,'10.08 Kotido-Karenga-24h'!L60)</f>
        <v>0</v>
      </c>
      <c r="M60" s="49">
        <f>AVERAGE('09.08 Kotido-Karenga-24h'!M60,'10.08 Kotido-Karenga-24h'!M60)</f>
        <v>0.5</v>
      </c>
      <c r="N60" s="49">
        <f>AVERAGE('09.08 Kotido-Karenga-24h'!N60,'10.08 Kotido-Karenga-24h'!N60)</f>
        <v>0</v>
      </c>
      <c r="O60" s="15">
        <f t="shared" si="0"/>
        <v>0</v>
      </c>
      <c r="P60" s="15">
        <f t="shared" si="1"/>
        <v>0.5</v>
      </c>
      <c r="R60" s="8"/>
      <c r="T60"/>
    </row>
    <row r="61" spans="2:20" ht="23.1" customHeight="1" x14ac:dyDescent="0.25">
      <c r="B61" s="23" t="s">
        <v>102</v>
      </c>
      <c r="C61" s="49">
        <f>AVERAGE('09.08 Kotido-Karenga-24h'!C61,'10.08 Kotido-Karenga-24h'!C61)</f>
        <v>0</v>
      </c>
      <c r="D61" s="49">
        <f>AVERAGE('09.08 Kotido-Karenga-24h'!D61,'10.08 Kotido-Karenga-24h'!D61)</f>
        <v>0</v>
      </c>
      <c r="E61" s="49">
        <f>AVERAGE('09.08 Kotido-Karenga-24h'!E61,'10.08 Kotido-Karenga-24h'!E61)</f>
        <v>0</v>
      </c>
      <c r="F61" s="49">
        <f>AVERAGE('09.08 Kotido-Karenga-24h'!F61,'10.08 Kotido-Karenga-24h'!F61)</f>
        <v>0</v>
      </c>
      <c r="G61" s="49">
        <f>AVERAGE('09.08 Kotido-Karenga-24h'!G61,'10.08 Kotido-Karenga-24h'!G61)</f>
        <v>0</v>
      </c>
      <c r="H61" s="49">
        <f>AVERAGE('09.08 Kotido-Karenga-24h'!H61,'10.08 Kotido-Karenga-24h'!H61)</f>
        <v>0</v>
      </c>
      <c r="I61" s="49">
        <f>AVERAGE('09.08 Kotido-Karenga-24h'!I61,'10.08 Kotido-Karenga-24h'!I61)</f>
        <v>0</v>
      </c>
      <c r="J61" s="49">
        <f>AVERAGE('09.08 Kotido-Karenga-24h'!J61,'10.08 Kotido-Karenga-24h'!J61)</f>
        <v>0</v>
      </c>
      <c r="K61" s="49">
        <f>AVERAGE('09.08 Kotido-Karenga-24h'!K61,'10.08 Kotido-Karenga-24h'!K61)</f>
        <v>0</v>
      </c>
      <c r="L61" s="49">
        <f>AVERAGE('09.08 Kotido-Karenga-24h'!L61,'10.08 Kotido-Karenga-24h'!L61)</f>
        <v>0</v>
      </c>
      <c r="M61" s="49">
        <f>AVERAGE('09.08 Kotido-Karenga-24h'!M61,'10.08 Kotido-Karenga-24h'!M61)</f>
        <v>1</v>
      </c>
      <c r="N61" s="49">
        <f>AVERAGE('09.08 Kotido-Karenga-24h'!N61,'10.08 Kotido-Karenga-24h'!N61)</f>
        <v>0</v>
      </c>
      <c r="O61" s="15">
        <f t="shared" si="0"/>
        <v>0</v>
      </c>
      <c r="P61" s="15">
        <f t="shared" si="1"/>
        <v>1</v>
      </c>
      <c r="R61" s="8"/>
      <c r="T61"/>
    </row>
    <row r="62" spans="2:20" ht="23.1" customHeight="1" x14ac:dyDescent="0.25">
      <c r="B62" s="23" t="s">
        <v>107</v>
      </c>
      <c r="C62" s="49">
        <f>AVERAGE('09.08 Kotido-Karenga-24h'!C62,'10.08 Kotido-Karenga-24h'!C62)</f>
        <v>0</v>
      </c>
      <c r="D62" s="49">
        <f>AVERAGE('09.08 Kotido-Karenga-24h'!D62,'10.08 Kotido-Karenga-24h'!D62)</f>
        <v>0</v>
      </c>
      <c r="E62" s="49">
        <f>AVERAGE('09.08 Kotido-Karenga-24h'!E62,'10.08 Kotido-Karenga-24h'!E62)</f>
        <v>0</v>
      </c>
      <c r="F62" s="49">
        <f>AVERAGE('09.08 Kotido-Karenga-24h'!F62,'10.08 Kotido-Karenga-24h'!F62)</f>
        <v>0</v>
      </c>
      <c r="G62" s="49">
        <f>AVERAGE('09.08 Kotido-Karenga-24h'!G62,'10.08 Kotido-Karenga-24h'!G62)</f>
        <v>0</v>
      </c>
      <c r="H62" s="49">
        <f>AVERAGE('09.08 Kotido-Karenga-24h'!H62,'10.08 Kotido-Karenga-24h'!H62)</f>
        <v>0</v>
      </c>
      <c r="I62" s="49">
        <f>AVERAGE('09.08 Kotido-Karenga-24h'!I62,'10.08 Kotido-Karenga-24h'!I62)</f>
        <v>0</v>
      </c>
      <c r="J62" s="49">
        <f>AVERAGE('09.08 Kotido-Karenga-24h'!J62,'10.08 Kotido-Karenga-24h'!J62)</f>
        <v>0</v>
      </c>
      <c r="K62" s="49">
        <f>AVERAGE('09.08 Kotido-Karenga-24h'!K62,'10.08 Kotido-Karenga-24h'!K62)</f>
        <v>0</v>
      </c>
      <c r="L62" s="49">
        <f>AVERAGE('09.08 Kotido-Karenga-24h'!L62,'10.08 Kotido-Karenga-24h'!L62)</f>
        <v>0</v>
      </c>
      <c r="M62" s="49">
        <f>AVERAGE('09.08 Kotido-Karenga-24h'!M62,'10.08 Kotido-Karenga-24h'!M62)</f>
        <v>0.5</v>
      </c>
      <c r="N62" s="49">
        <f>AVERAGE('09.08 Kotido-Karenga-24h'!N62,'10.08 Kotido-Karenga-24h'!N62)</f>
        <v>0</v>
      </c>
      <c r="O62" s="15">
        <f t="shared" si="0"/>
        <v>0</v>
      </c>
      <c r="P62" s="15">
        <f t="shared" si="1"/>
        <v>0.5</v>
      </c>
      <c r="R62" s="8"/>
      <c r="T62"/>
    </row>
    <row r="63" spans="2:20" ht="23.1" customHeight="1" x14ac:dyDescent="0.25">
      <c r="B63" s="23" t="s">
        <v>108</v>
      </c>
      <c r="C63" s="49">
        <f>AVERAGE('09.08 Kotido-Karenga-24h'!C63,'10.08 Kotido-Karenga-24h'!C63)</f>
        <v>0</v>
      </c>
      <c r="D63" s="49">
        <f>AVERAGE('09.08 Kotido-Karenga-24h'!D63,'10.08 Kotido-Karenga-24h'!D63)</f>
        <v>0.5</v>
      </c>
      <c r="E63" s="49">
        <f>AVERAGE('09.08 Kotido-Karenga-24h'!E63,'10.08 Kotido-Karenga-24h'!E63)</f>
        <v>0</v>
      </c>
      <c r="F63" s="49">
        <f>AVERAGE('09.08 Kotido-Karenga-24h'!F63,'10.08 Kotido-Karenga-24h'!F63)</f>
        <v>0</v>
      </c>
      <c r="G63" s="49">
        <f>AVERAGE('09.08 Kotido-Karenga-24h'!G63,'10.08 Kotido-Karenga-24h'!G63)</f>
        <v>0</v>
      </c>
      <c r="H63" s="49">
        <f>AVERAGE('09.08 Kotido-Karenga-24h'!H63,'10.08 Kotido-Karenga-24h'!H63)</f>
        <v>0</v>
      </c>
      <c r="I63" s="49">
        <f>AVERAGE('09.08 Kotido-Karenga-24h'!I63,'10.08 Kotido-Karenga-24h'!I63)</f>
        <v>0</v>
      </c>
      <c r="J63" s="49">
        <f>AVERAGE('09.08 Kotido-Karenga-24h'!J63,'10.08 Kotido-Karenga-24h'!J63)</f>
        <v>0</v>
      </c>
      <c r="K63" s="49">
        <f>AVERAGE('09.08 Kotido-Karenga-24h'!K63,'10.08 Kotido-Karenga-24h'!K63)</f>
        <v>0</v>
      </c>
      <c r="L63" s="49">
        <f>AVERAGE('09.08 Kotido-Karenga-24h'!L63,'10.08 Kotido-Karenga-24h'!L63)</f>
        <v>0</v>
      </c>
      <c r="M63" s="49">
        <f>AVERAGE('09.08 Kotido-Karenga-24h'!M63,'10.08 Kotido-Karenga-24h'!M63)</f>
        <v>1</v>
      </c>
      <c r="N63" s="49">
        <f>AVERAGE('09.08 Kotido-Karenga-24h'!N63,'10.08 Kotido-Karenga-24h'!N63)</f>
        <v>0</v>
      </c>
      <c r="O63" s="15">
        <f t="shared" si="0"/>
        <v>0.5</v>
      </c>
      <c r="P63" s="15">
        <f t="shared" si="1"/>
        <v>1.5</v>
      </c>
      <c r="R63" s="8"/>
      <c r="T63"/>
    </row>
    <row r="64" spans="2:20" ht="23.1" customHeight="1" x14ac:dyDescent="0.25">
      <c r="B64" s="23" t="s">
        <v>109</v>
      </c>
      <c r="C64" s="49">
        <f>AVERAGE('09.08 Kotido-Karenga-24h'!C64,'10.08 Kotido-Karenga-24h'!C64)</f>
        <v>0</v>
      </c>
      <c r="D64" s="49">
        <f>AVERAGE('09.08 Kotido-Karenga-24h'!D64,'10.08 Kotido-Karenga-24h'!D64)</f>
        <v>0.5</v>
      </c>
      <c r="E64" s="49">
        <f>AVERAGE('09.08 Kotido-Karenga-24h'!E64,'10.08 Kotido-Karenga-24h'!E64)</f>
        <v>0</v>
      </c>
      <c r="F64" s="49">
        <f>AVERAGE('09.08 Kotido-Karenga-24h'!F64,'10.08 Kotido-Karenga-24h'!F64)</f>
        <v>0</v>
      </c>
      <c r="G64" s="49">
        <f>AVERAGE('09.08 Kotido-Karenga-24h'!G64,'10.08 Kotido-Karenga-24h'!G64)</f>
        <v>0</v>
      </c>
      <c r="H64" s="49">
        <f>AVERAGE('09.08 Kotido-Karenga-24h'!H64,'10.08 Kotido-Karenga-24h'!H64)</f>
        <v>0</v>
      </c>
      <c r="I64" s="49">
        <f>AVERAGE('09.08 Kotido-Karenga-24h'!I64,'10.08 Kotido-Karenga-24h'!I64)</f>
        <v>0</v>
      </c>
      <c r="J64" s="49">
        <f>AVERAGE('09.08 Kotido-Karenga-24h'!J64,'10.08 Kotido-Karenga-24h'!J64)</f>
        <v>0</v>
      </c>
      <c r="K64" s="49">
        <f>AVERAGE('09.08 Kotido-Karenga-24h'!K64,'10.08 Kotido-Karenga-24h'!K64)</f>
        <v>0</v>
      </c>
      <c r="L64" s="49">
        <f>AVERAGE('09.08 Kotido-Karenga-24h'!L64,'10.08 Kotido-Karenga-24h'!L64)</f>
        <v>0</v>
      </c>
      <c r="M64" s="49">
        <f>AVERAGE('09.08 Kotido-Karenga-24h'!M64,'10.08 Kotido-Karenga-24h'!M64)</f>
        <v>0</v>
      </c>
      <c r="N64" s="49">
        <f>AVERAGE('09.08 Kotido-Karenga-24h'!N64,'10.08 Kotido-Karenga-24h'!N64)</f>
        <v>0</v>
      </c>
      <c r="O64" s="15">
        <f t="shared" si="0"/>
        <v>0.5</v>
      </c>
      <c r="P64" s="15">
        <f t="shared" si="1"/>
        <v>0.5</v>
      </c>
      <c r="R64" s="8"/>
      <c r="T64"/>
    </row>
    <row r="65" spans="2:20" ht="23.1" customHeight="1" x14ac:dyDescent="0.25">
      <c r="B65" s="23" t="s">
        <v>158</v>
      </c>
      <c r="C65" s="49">
        <f>AVERAGE('09.08 Kotido-Karenga-24h'!C65,'10.08 Kotido-Karenga-24h'!C65)</f>
        <v>0</v>
      </c>
      <c r="D65" s="49">
        <f>AVERAGE('09.08 Kotido-Karenga-24h'!D65,'10.08 Kotido-Karenga-24h'!D65)</f>
        <v>0</v>
      </c>
      <c r="E65" s="49">
        <f>AVERAGE('09.08 Kotido-Karenga-24h'!E65,'10.08 Kotido-Karenga-24h'!E65)</f>
        <v>0</v>
      </c>
      <c r="F65" s="49">
        <f>AVERAGE('09.08 Kotido-Karenga-24h'!F65,'10.08 Kotido-Karenga-24h'!F65)</f>
        <v>0</v>
      </c>
      <c r="G65" s="49">
        <f>AVERAGE('09.08 Kotido-Karenga-24h'!G65,'10.08 Kotido-Karenga-24h'!G65)</f>
        <v>0</v>
      </c>
      <c r="H65" s="49">
        <f>AVERAGE('09.08 Kotido-Karenga-24h'!H65,'10.08 Kotido-Karenga-24h'!H65)</f>
        <v>0</v>
      </c>
      <c r="I65" s="49">
        <f>AVERAGE('09.08 Kotido-Karenga-24h'!I65,'10.08 Kotido-Karenga-24h'!I65)</f>
        <v>0</v>
      </c>
      <c r="J65" s="49">
        <f>AVERAGE('09.08 Kotido-Karenga-24h'!J65,'10.08 Kotido-Karenga-24h'!J65)</f>
        <v>0</v>
      </c>
      <c r="K65" s="49">
        <f>AVERAGE('09.08 Kotido-Karenga-24h'!K65,'10.08 Kotido-Karenga-24h'!K65)</f>
        <v>0</v>
      </c>
      <c r="L65" s="49">
        <f>AVERAGE('09.08 Kotido-Karenga-24h'!L65,'10.08 Kotido-Karenga-24h'!L65)</f>
        <v>0</v>
      </c>
      <c r="M65" s="49">
        <f>AVERAGE('09.08 Kotido-Karenga-24h'!M65,'10.08 Kotido-Karenga-24h'!M65)</f>
        <v>1.5</v>
      </c>
      <c r="N65" s="49">
        <f>AVERAGE('09.08 Kotido-Karenga-24h'!N65,'10.08 Kotido-Karenga-24h'!N65)</f>
        <v>0</v>
      </c>
      <c r="O65" s="15">
        <f t="shared" si="0"/>
        <v>0</v>
      </c>
      <c r="P65" s="15">
        <f t="shared" si="1"/>
        <v>1.5</v>
      </c>
      <c r="R65" s="8"/>
      <c r="T65"/>
    </row>
    <row r="66" spans="2:20" ht="23.1" customHeight="1" x14ac:dyDescent="0.25">
      <c r="B66" s="23" t="s">
        <v>103</v>
      </c>
      <c r="C66" s="49">
        <f>AVERAGE('09.08 Kotido-Karenga-24h'!C66,'10.08 Kotido-Karenga-24h'!C66)</f>
        <v>0</v>
      </c>
      <c r="D66" s="49">
        <f>AVERAGE('09.08 Kotido-Karenga-24h'!D66,'10.08 Kotido-Karenga-24h'!D66)</f>
        <v>0</v>
      </c>
      <c r="E66" s="49">
        <f>AVERAGE('09.08 Kotido-Karenga-24h'!E66,'10.08 Kotido-Karenga-24h'!E66)</f>
        <v>0</v>
      </c>
      <c r="F66" s="49">
        <f>AVERAGE('09.08 Kotido-Karenga-24h'!F66,'10.08 Kotido-Karenga-24h'!F66)</f>
        <v>0</v>
      </c>
      <c r="G66" s="49">
        <f>AVERAGE('09.08 Kotido-Karenga-24h'!G66,'10.08 Kotido-Karenga-24h'!G66)</f>
        <v>0</v>
      </c>
      <c r="H66" s="49">
        <f>AVERAGE('09.08 Kotido-Karenga-24h'!H66,'10.08 Kotido-Karenga-24h'!H66)</f>
        <v>0</v>
      </c>
      <c r="I66" s="49">
        <f>AVERAGE('09.08 Kotido-Karenga-24h'!I66,'10.08 Kotido-Karenga-24h'!I66)</f>
        <v>0</v>
      </c>
      <c r="J66" s="49">
        <f>AVERAGE('09.08 Kotido-Karenga-24h'!J66,'10.08 Kotido-Karenga-24h'!J66)</f>
        <v>0</v>
      </c>
      <c r="K66" s="49">
        <f>AVERAGE('09.08 Kotido-Karenga-24h'!K66,'10.08 Kotido-Karenga-24h'!K66)</f>
        <v>0</v>
      </c>
      <c r="L66" s="49">
        <f>AVERAGE('09.08 Kotido-Karenga-24h'!L66,'10.08 Kotido-Karenga-24h'!L66)</f>
        <v>0</v>
      </c>
      <c r="M66" s="49">
        <f>AVERAGE('09.08 Kotido-Karenga-24h'!M66,'10.08 Kotido-Karenga-24h'!M66)</f>
        <v>1</v>
      </c>
      <c r="N66" s="49">
        <f>AVERAGE('09.08 Kotido-Karenga-24h'!N66,'10.08 Kotido-Karenga-24h'!N66)</f>
        <v>0</v>
      </c>
      <c r="O66" s="15">
        <f t="shared" si="0"/>
        <v>0</v>
      </c>
      <c r="P66" s="15">
        <f t="shared" si="1"/>
        <v>1</v>
      </c>
      <c r="R66" s="8"/>
      <c r="T66"/>
    </row>
    <row r="67" spans="2:20" ht="23.1" customHeight="1" x14ac:dyDescent="0.25">
      <c r="B67" s="23" t="s">
        <v>104</v>
      </c>
      <c r="C67" s="49">
        <f>AVERAGE('09.08 Kotido-Karenga-24h'!C67,'10.08 Kotido-Karenga-24h'!C67)</f>
        <v>0.5</v>
      </c>
      <c r="D67" s="49">
        <f>AVERAGE('09.08 Kotido-Karenga-24h'!D67,'10.08 Kotido-Karenga-24h'!D67)</f>
        <v>0</v>
      </c>
      <c r="E67" s="49">
        <f>AVERAGE('09.08 Kotido-Karenga-24h'!E67,'10.08 Kotido-Karenga-24h'!E67)</f>
        <v>0</v>
      </c>
      <c r="F67" s="49">
        <f>AVERAGE('09.08 Kotido-Karenga-24h'!F67,'10.08 Kotido-Karenga-24h'!F67)</f>
        <v>0</v>
      </c>
      <c r="G67" s="49">
        <f>AVERAGE('09.08 Kotido-Karenga-24h'!G67,'10.08 Kotido-Karenga-24h'!G67)</f>
        <v>0</v>
      </c>
      <c r="H67" s="49">
        <f>AVERAGE('09.08 Kotido-Karenga-24h'!H67,'10.08 Kotido-Karenga-24h'!H67)</f>
        <v>0</v>
      </c>
      <c r="I67" s="49">
        <f>AVERAGE('09.08 Kotido-Karenga-24h'!I67,'10.08 Kotido-Karenga-24h'!I67)</f>
        <v>0</v>
      </c>
      <c r="J67" s="49">
        <f>AVERAGE('09.08 Kotido-Karenga-24h'!J67,'10.08 Kotido-Karenga-24h'!J67)</f>
        <v>0</v>
      </c>
      <c r="K67" s="49">
        <f>AVERAGE('09.08 Kotido-Karenga-24h'!K67,'10.08 Kotido-Karenga-24h'!K67)</f>
        <v>0</v>
      </c>
      <c r="L67" s="49">
        <f>AVERAGE('09.08 Kotido-Karenga-24h'!L67,'10.08 Kotido-Karenga-24h'!L67)</f>
        <v>0</v>
      </c>
      <c r="M67" s="49">
        <f>AVERAGE('09.08 Kotido-Karenga-24h'!M67,'10.08 Kotido-Karenga-24h'!M67)</f>
        <v>1</v>
      </c>
      <c r="N67" s="49">
        <f>AVERAGE('09.08 Kotido-Karenga-24h'!N67,'10.08 Kotido-Karenga-24h'!N67)</f>
        <v>0</v>
      </c>
      <c r="O67" s="15">
        <f t="shared" si="0"/>
        <v>0.5</v>
      </c>
      <c r="P67" s="15">
        <f t="shared" si="1"/>
        <v>1.5</v>
      </c>
      <c r="R67" s="8"/>
      <c r="T67"/>
    </row>
    <row r="68" spans="2:20" ht="23.1" customHeight="1" x14ac:dyDescent="0.25">
      <c r="B68" s="23" t="s">
        <v>105</v>
      </c>
      <c r="C68" s="49">
        <f>AVERAGE('09.08 Kotido-Karenga-24h'!C68,'10.08 Kotido-Karenga-24h'!C68)</f>
        <v>0</v>
      </c>
      <c r="D68" s="49">
        <f>AVERAGE('09.08 Kotido-Karenga-24h'!D68,'10.08 Kotido-Karenga-24h'!D68)</f>
        <v>0</v>
      </c>
      <c r="E68" s="49">
        <f>AVERAGE('09.08 Kotido-Karenga-24h'!E68,'10.08 Kotido-Karenga-24h'!E68)</f>
        <v>0</v>
      </c>
      <c r="F68" s="49">
        <f>AVERAGE('09.08 Kotido-Karenga-24h'!F68,'10.08 Kotido-Karenga-24h'!F68)</f>
        <v>0</v>
      </c>
      <c r="G68" s="49">
        <f>AVERAGE('09.08 Kotido-Karenga-24h'!G68,'10.08 Kotido-Karenga-24h'!G68)</f>
        <v>0</v>
      </c>
      <c r="H68" s="49">
        <f>AVERAGE('09.08 Kotido-Karenga-24h'!H68,'10.08 Kotido-Karenga-24h'!H68)</f>
        <v>0</v>
      </c>
      <c r="I68" s="49">
        <f>AVERAGE('09.08 Kotido-Karenga-24h'!I68,'10.08 Kotido-Karenga-24h'!I68)</f>
        <v>0</v>
      </c>
      <c r="J68" s="49">
        <f>AVERAGE('09.08 Kotido-Karenga-24h'!J68,'10.08 Kotido-Karenga-24h'!J68)</f>
        <v>0</v>
      </c>
      <c r="K68" s="49">
        <f>AVERAGE('09.08 Kotido-Karenga-24h'!K68,'10.08 Kotido-Karenga-24h'!K68)</f>
        <v>0</v>
      </c>
      <c r="L68" s="49">
        <f>AVERAGE('09.08 Kotido-Karenga-24h'!L68,'10.08 Kotido-Karenga-24h'!L68)</f>
        <v>0</v>
      </c>
      <c r="M68" s="49">
        <f>AVERAGE('09.08 Kotido-Karenga-24h'!M68,'10.08 Kotido-Karenga-24h'!M68)</f>
        <v>0</v>
      </c>
      <c r="N68" s="49">
        <f>AVERAGE('09.08 Kotido-Karenga-24h'!N68,'10.08 Kotido-Karenga-24h'!N68)</f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23" t="s">
        <v>106</v>
      </c>
      <c r="C69" s="49">
        <f>AVERAGE('09.08 Kotido-Karenga-24h'!C69,'10.08 Kotido-Karenga-24h'!C69)</f>
        <v>0</v>
      </c>
      <c r="D69" s="49">
        <f>AVERAGE('09.08 Kotido-Karenga-24h'!D69,'10.08 Kotido-Karenga-24h'!D69)</f>
        <v>0</v>
      </c>
      <c r="E69" s="49">
        <f>AVERAGE('09.08 Kotido-Karenga-24h'!E69,'10.08 Kotido-Karenga-24h'!E69)</f>
        <v>0</v>
      </c>
      <c r="F69" s="49">
        <f>AVERAGE('09.08 Kotido-Karenga-24h'!F69,'10.08 Kotido-Karenga-24h'!F69)</f>
        <v>0</v>
      </c>
      <c r="G69" s="49">
        <f>AVERAGE('09.08 Kotido-Karenga-24h'!G69,'10.08 Kotido-Karenga-24h'!G69)</f>
        <v>0</v>
      </c>
      <c r="H69" s="49">
        <f>AVERAGE('09.08 Kotido-Karenga-24h'!H69,'10.08 Kotido-Karenga-24h'!H69)</f>
        <v>0</v>
      </c>
      <c r="I69" s="49">
        <f>AVERAGE('09.08 Kotido-Karenga-24h'!I69,'10.08 Kotido-Karenga-24h'!I69)</f>
        <v>0</v>
      </c>
      <c r="J69" s="49">
        <f>AVERAGE('09.08 Kotido-Karenga-24h'!J69,'10.08 Kotido-Karenga-24h'!J69)</f>
        <v>0</v>
      </c>
      <c r="K69" s="49">
        <f>AVERAGE('09.08 Kotido-Karenga-24h'!K69,'10.08 Kotido-Karenga-24h'!K69)</f>
        <v>0</v>
      </c>
      <c r="L69" s="49">
        <f>AVERAGE('09.08 Kotido-Karenga-24h'!L69,'10.08 Kotido-Karenga-24h'!L69)</f>
        <v>0</v>
      </c>
      <c r="M69" s="49">
        <f>AVERAGE('09.08 Kotido-Karenga-24h'!M69,'10.08 Kotido-Karenga-24h'!M69)</f>
        <v>0.5</v>
      </c>
      <c r="N69" s="49">
        <f>AVERAGE('09.08 Kotido-Karenga-24h'!N69,'10.08 Kotido-Karenga-24h'!N69)</f>
        <v>0</v>
      </c>
      <c r="O69" s="15">
        <f t="shared" si="0"/>
        <v>0</v>
      </c>
      <c r="P69" s="15">
        <f t="shared" si="1"/>
        <v>0.5</v>
      </c>
      <c r="R69" s="8"/>
      <c r="T69"/>
    </row>
    <row r="70" spans="2:20" ht="23.1" customHeight="1" x14ac:dyDescent="0.25">
      <c r="B70" s="23" t="s">
        <v>110</v>
      </c>
      <c r="C70" s="49">
        <f>AVERAGE('09.08 Kotido-Karenga-24h'!C70,'10.08 Kotido-Karenga-24h'!C70)</f>
        <v>0.5</v>
      </c>
      <c r="D70" s="49">
        <f>AVERAGE('09.08 Kotido-Karenga-24h'!D70,'10.08 Kotido-Karenga-24h'!D70)</f>
        <v>0</v>
      </c>
      <c r="E70" s="49">
        <f>AVERAGE('09.08 Kotido-Karenga-24h'!E70,'10.08 Kotido-Karenga-24h'!E70)</f>
        <v>0</v>
      </c>
      <c r="F70" s="49">
        <f>AVERAGE('09.08 Kotido-Karenga-24h'!F70,'10.08 Kotido-Karenga-24h'!F70)</f>
        <v>0</v>
      </c>
      <c r="G70" s="49">
        <f>AVERAGE('09.08 Kotido-Karenga-24h'!G70,'10.08 Kotido-Karenga-24h'!G70)</f>
        <v>0</v>
      </c>
      <c r="H70" s="49">
        <f>AVERAGE('09.08 Kotido-Karenga-24h'!H70,'10.08 Kotido-Karenga-24h'!H70)</f>
        <v>0</v>
      </c>
      <c r="I70" s="49">
        <f>AVERAGE('09.08 Kotido-Karenga-24h'!I70,'10.08 Kotido-Karenga-24h'!I70)</f>
        <v>0</v>
      </c>
      <c r="J70" s="49">
        <f>AVERAGE('09.08 Kotido-Karenga-24h'!J70,'10.08 Kotido-Karenga-24h'!J70)</f>
        <v>0</v>
      </c>
      <c r="K70" s="49">
        <f>AVERAGE('09.08 Kotido-Karenga-24h'!K70,'10.08 Kotido-Karenga-24h'!K70)</f>
        <v>0</v>
      </c>
      <c r="L70" s="49">
        <f>AVERAGE('09.08 Kotido-Karenga-24h'!L70,'10.08 Kotido-Karenga-24h'!L70)</f>
        <v>0</v>
      </c>
      <c r="M70" s="49">
        <f>AVERAGE('09.08 Kotido-Karenga-24h'!M70,'10.08 Kotido-Karenga-24h'!M70)</f>
        <v>1.5</v>
      </c>
      <c r="N70" s="49">
        <f>AVERAGE('09.08 Kotido-Karenga-24h'!N70,'10.08 Kotido-Karenga-24h'!N70)</f>
        <v>0</v>
      </c>
      <c r="O70" s="15">
        <f t="shared" si="0"/>
        <v>0.5</v>
      </c>
      <c r="P70" s="15">
        <f t="shared" si="1"/>
        <v>2</v>
      </c>
      <c r="R70" s="8"/>
      <c r="T70"/>
    </row>
    <row r="71" spans="2:20" ht="23.1" customHeight="1" x14ac:dyDescent="0.25">
      <c r="B71" s="23" t="s">
        <v>111</v>
      </c>
      <c r="C71" s="49">
        <f>AVERAGE('09.08 Kotido-Karenga-24h'!C71,'10.08 Kotido-Karenga-24h'!C71)</f>
        <v>0</v>
      </c>
      <c r="D71" s="49">
        <f>AVERAGE('09.08 Kotido-Karenga-24h'!D71,'10.08 Kotido-Karenga-24h'!D71)</f>
        <v>0</v>
      </c>
      <c r="E71" s="49">
        <f>AVERAGE('09.08 Kotido-Karenga-24h'!E71,'10.08 Kotido-Karenga-24h'!E71)</f>
        <v>0</v>
      </c>
      <c r="F71" s="49">
        <f>AVERAGE('09.08 Kotido-Karenga-24h'!F71,'10.08 Kotido-Karenga-24h'!F71)</f>
        <v>0</v>
      </c>
      <c r="G71" s="49">
        <f>AVERAGE('09.08 Kotido-Karenga-24h'!G71,'10.08 Kotido-Karenga-24h'!G71)</f>
        <v>0</v>
      </c>
      <c r="H71" s="49">
        <f>AVERAGE('09.08 Kotido-Karenga-24h'!H71,'10.08 Kotido-Karenga-24h'!H71)</f>
        <v>0</v>
      </c>
      <c r="I71" s="49">
        <f>AVERAGE('09.08 Kotido-Karenga-24h'!I71,'10.08 Kotido-Karenga-24h'!I71)</f>
        <v>0</v>
      </c>
      <c r="J71" s="49">
        <f>AVERAGE('09.08 Kotido-Karenga-24h'!J71,'10.08 Kotido-Karenga-24h'!J71)</f>
        <v>0</v>
      </c>
      <c r="K71" s="49">
        <f>AVERAGE('09.08 Kotido-Karenga-24h'!K71,'10.08 Kotido-Karenga-24h'!K71)</f>
        <v>0</v>
      </c>
      <c r="L71" s="49">
        <f>AVERAGE('09.08 Kotido-Karenga-24h'!L71,'10.08 Kotido-Karenga-24h'!L71)</f>
        <v>0</v>
      </c>
      <c r="M71" s="49">
        <f>AVERAGE('09.08 Kotido-Karenga-24h'!M71,'10.08 Kotido-Karenga-24h'!M71)</f>
        <v>0</v>
      </c>
      <c r="N71" s="49">
        <f>AVERAGE('09.08 Kotido-Karenga-24h'!N71,'10.08 Kotido-Karenga-24h'!N71)</f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23" t="s">
        <v>112</v>
      </c>
      <c r="C72" s="49">
        <f>AVERAGE('09.08 Kotido-Karenga-24h'!C72,'10.08 Kotido-Karenga-24h'!C72)</f>
        <v>0</v>
      </c>
      <c r="D72" s="49">
        <f>AVERAGE('09.08 Kotido-Karenga-24h'!D72,'10.08 Kotido-Karenga-24h'!D72)</f>
        <v>0</v>
      </c>
      <c r="E72" s="49">
        <f>AVERAGE('09.08 Kotido-Karenga-24h'!E72,'10.08 Kotido-Karenga-24h'!E72)</f>
        <v>0</v>
      </c>
      <c r="F72" s="49">
        <f>AVERAGE('09.08 Kotido-Karenga-24h'!F72,'10.08 Kotido-Karenga-24h'!F72)</f>
        <v>0</v>
      </c>
      <c r="G72" s="49">
        <f>AVERAGE('09.08 Kotido-Karenga-24h'!G72,'10.08 Kotido-Karenga-24h'!G72)</f>
        <v>0</v>
      </c>
      <c r="H72" s="49">
        <f>AVERAGE('09.08 Kotido-Karenga-24h'!H72,'10.08 Kotido-Karenga-24h'!H72)</f>
        <v>0</v>
      </c>
      <c r="I72" s="49">
        <f>AVERAGE('09.08 Kotido-Karenga-24h'!I72,'10.08 Kotido-Karenga-24h'!I72)</f>
        <v>0</v>
      </c>
      <c r="J72" s="49">
        <f>AVERAGE('09.08 Kotido-Karenga-24h'!J72,'10.08 Kotido-Karenga-24h'!J72)</f>
        <v>0</v>
      </c>
      <c r="K72" s="49">
        <f>AVERAGE('09.08 Kotido-Karenga-24h'!K72,'10.08 Kotido-Karenga-24h'!K72)</f>
        <v>0</v>
      </c>
      <c r="L72" s="49">
        <f>AVERAGE('09.08 Kotido-Karenga-24h'!L72,'10.08 Kotido-Karenga-24h'!L72)</f>
        <v>0</v>
      </c>
      <c r="M72" s="49">
        <f>AVERAGE('09.08 Kotido-Karenga-24h'!M72,'10.08 Kotido-Karenga-24h'!M72)</f>
        <v>0.5</v>
      </c>
      <c r="N72" s="49">
        <f>AVERAGE('09.08 Kotido-Karenga-24h'!N72,'10.08 Kotido-Karenga-24h'!N72)</f>
        <v>0</v>
      </c>
      <c r="O72" s="15">
        <f t="shared" si="0"/>
        <v>0</v>
      </c>
      <c r="P72" s="15">
        <f t="shared" si="1"/>
        <v>0.5</v>
      </c>
      <c r="R72" s="8"/>
      <c r="T72"/>
    </row>
    <row r="73" spans="2:20" ht="23.1" customHeight="1" x14ac:dyDescent="0.25">
      <c r="B73" s="23" t="s">
        <v>113</v>
      </c>
      <c r="C73" s="49">
        <f>AVERAGE('09.08 Kotido-Karenga-24h'!C73,'10.08 Kotido-Karenga-24h'!C73)</f>
        <v>0</v>
      </c>
      <c r="D73" s="49">
        <f>AVERAGE('09.08 Kotido-Karenga-24h'!D73,'10.08 Kotido-Karenga-24h'!D73)</f>
        <v>0</v>
      </c>
      <c r="E73" s="49">
        <f>AVERAGE('09.08 Kotido-Karenga-24h'!E73,'10.08 Kotido-Karenga-24h'!E73)</f>
        <v>0</v>
      </c>
      <c r="F73" s="49">
        <f>AVERAGE('09.08 Kotido-Karenga-24h'!F73,'10.08 Kotido-Karenga-24h'!F73)</f>
        <v>0</v>
      </c>
      <c r="G73" s="49">
        <f>AVERAGE('09.08 Kotido-Karenga-24h'!G73,'10.08 Kotido-Karenga-24h'!G73)</f>
        <v>0</v>
      </c>
      <c r="H73" s="49">
        <f>AVERAGE('09.08 Kotido-Karenga-24h'!H73,'10.08 Kotido-Karenga-24h'!H73)</f>
        <v>0</v>
      </c>
      <c r="I73" s="49">
        <f>AVERAGE('09.08 Kotido-Karenga-24h'!I73,'10.08 Kotido-Karenga-24h'!I73)</f>
        <v>0</v>
      </c>
      <c r="J73" s="49">
        <f>AVERAGE('09.08 Kotido-Karenga-24h'!J73,'10.08 Kotido-Karenga-24h'!J73)</f>
        <v>0</v>
      </c>
      <c r="K73" s="49">
        <f>AVERAGE('09.08 Kotido-Karenga-24h'!K73,'10.08 Kotido-Karenga-24h'!K73)</f>
        <v>0</v>
      </c>
      <c r="L73" s="49">
        <f>AVERAGE('09.08 Kotido-Karenga-24h'!L73,'10.08 Kotido-Karenga-24h'!L73)</f>
        <v>0</v>
      </c>
      <c r="M73" s="49">
        <f>AVERAGE('09.08 Kotido-Karenga-24h'!M73,'10.08 Kotido-Karenga-24h'!M73)</f>
        <v>1</v>
      </c>
      <c r="N73" s="49">
        <f>AVERAGE('09.08 Kotido-Karenga-24h'!N73,'10.08 Kotido-Karenga-24h'!N73)</f>
        <v>0</v>
      </c>
      <c r="O73" s="15">
        <f t="shared" si="0"/>
        <v>0</v>
      </c>
      <c r="P73" s="15">
        <f t="shared" si="1"/>
        <v>1</v>
      </c>
      <c r="R73" s="8"/>
      <c r="T73"/>
    </row>
    <row r="74" spans="2:20" ht="23.1" customHeight="1" x14ac:dyDescent="0.25">
      <c r="B74" s="23" t="s">
        <v>114</v>
      </c>
      <c r="C74" s="49">
        <f>AVERAGE('09.08 Kotido-Karenga-24h'!C74,'10.08 Kotido-Karenga-24h'!C74)</f>
        <v>0</v>
      </c>
      <c r="D74" s="49">
        <f>AVERAGE('09.08 Kotido-Karenga-24h'!D74,'10.08 Kotido-Karenga-24h'!D74)</f>
        <v>0</v>
      </c>
      <c r="E74" s="49">
        <f>AVERAGE('09.08 Kotido-Karenga-24h'!E74,'10.08 Kotido-Karenga-24h'!E74)</f>
        <v>0</v>
      </c>
      <c r="F74" s="49">
        <f>AVERAGE('09.08 Kotido-Karenga-24h'!F74,'10.08 Kotido-Karenga-24h'!F74)</f>
        <v>0</v>
      </c>
      <c r="G74" s="49">
        <f>AVERAGE('09.08 Kotido-Karenga-24h'!G74,'10.08 Kotido-Karenga-24h'!G74)</f>
        <v>0</v>
      </c>
      <c r="H74" s="49">
        <f>AVERAGE('09.08 Kotido-Karenga-24h'!H74,'10.08 Kotido-Karenga-24h'!H74)</f>
        <v>0</v>
      </c>
      <c r="I74" s="49">
        <f>AVERAGE('09.08 Kotido-Karenga-24h'!I74,'10.08 Kotido-Karenga-24h'!I74)</f>
        <v>0</v>
      </c>
      <c r="J74" s="49">
        <f>AVERAGE('09.08 Kotido-Karenga-24h'!J74,'10.08 Kotido-Karenga-24h'!J74)</f>
        <v>0</v>
      </c>
      <c r="K74" s="49">
        <f>AVERAGE('09.08 Kotido-Karenga-24h'!K74,'10.08 Kotido-Karenga-24h'!K74)</f>
        <v>0</v>
      </c>
      <c r="L74" s="49">
        <f>AVERAGE('09.08 Kotido-Karenga-24h'!L74,'10.08 Kotido-Karenga-24h'!L74)</f>
        <v>0</v>
      </c>
      <c r="M74" s="49">
        <f>AVERAGE('09.08 Kotido-Karenga-24h'!M74,'10.08 Kotido-Karenga-24h'!M74)</f>
        <v>0.5</v>
      </c>
      <c r="N74" s="49">
        <f>AVERAGE('09.08 Kotido-Karenga-24h'!N74,'10.08 Kotido-Karenga-24h'!N74)</f>
        <v>0</v>
      </c>
      <c r="O74" s="15">
        <f t="shared" ref="O74:O105" si="35">SUM(C74:L74,N74)</f>
        <v>0</v>
      </c>
      <c r="P74" s="15">
        <f t="shared" ref="P74:P105" si="36">SUM(C74:N74)</f>
        <v>0.5</v>
      </c>
      <c r="R74" s="8"/>
      <c r="T74"/>
    </row>
    <row r="75" spans="2:20" ht="23.1" customHeight="1" x14ac:dyDescent="0.25">
      <c r="B75" s="23" t="s">
        <v>115</v>
      </c>
      <c r="C75" s="49">
        <f>AVERAGE('09.08 Kotido-Karenga-24h'!C75,'10.08 Kotido-Karenga-24h'!C75)</f>
        <v>0</v>
      </c>
      <c r="D75" s="49">
        <f>AVERAGE('09.08 Kotido-Karenga-24h'!D75,'10.08 Kotido-Karenga-24h'!D75)</f>
        <v>0</v>
      </c>
      <c r="E75" s="49">
        <f>AVERAGE('09.08 Kotido-Karenga-24h'!E75,'10.08 Kotido-Karenga-24h'!E75)</f>
        <v>0</v>
      </c>
      <c r="F75" s="49">
        <f>AVERAGE('09.08 Kotido-Karenga-24h'!F75,'10.08 Kotido-Karenga-24h'!F75)</f>
        <v>0</v>
      </c>
      <c r="G75" s="49">
        <f>AVERAGE('09.08 Kotido-Karenga-24h'!G75,'10.08 Kotido-Karenga-24h'!G75)</f>
        <v>0</v>
      </c>
      <c r="H75" s="49">
        <f>AVERAGE('09.08 Kotido-Karenga-24h'!H75,'10.08 Kotido-Karenga-24h'!H75)</f>
        <v>0</v>
      </c>
      <c r="I75" s="49">
        <f>AVERAGE('09.08 Kotido-Karenga-24h'!I75,'10.08 Kotido-Karenga-24h'!I75)</f>
        <v>0</v>
      </c>
      <c r="J75" s="49">
        <f>AVERAGE('09.08 Kotido-Karenga-24h'!J75,'10.08 Kotido-Karenga-24h'!J75)</f>
        <v>0</v>
      </c>
      <c r="K75" s="49">
        <f>AVERAGE('09.08 Kotido-Karenga-24h'!K75,'10.08 Kotido-Karenga-24h'!K75)</f>
        <v>0</v>
      </c>
      <c r="L75" s="49">
        <f>AVERAGE('09.08 Kotido-Karenga-24h'!L75,'10.08 Kotido-Karenga-24h'!L75)</f>
        <v>0</v>
      </c>
      <c r="M75" s="49">
        <f>AVERAGE('09.08 Kotido-Karenga-24h'!M75,'10.08 Kotido-Karenga-24h'!M75)</f>
        <v>1</v>
      </c>
      <c r="N75" s="49">
        <f>AVERAGE('09.08 Kotido-Karenga-24h'!N75,'10.08 Kotido-Karenga-24h'!N75)</f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23" t="s">
        <v>116</v>
      </c>
      <c r="C76" s="49">
        <f>AVERAGE('09.08 Kotido-Karenga-24h'!C76,'10.08 Kotido-Karenga-24h'!C76)</f>
        <v>0</v>
      </c>
      <c r="D76" s="49">
        <f>AVERAGE('09.08 Kotido-Karenga-24h'!D76,'10.08 Kotido-Karenga-24h'!D76)</f>
        <v>0</v>
      </c>
      <c r="E76" s="49">
        <f>AVERAGE('09.08 Kotido-Karenga-24h'!E76,'10.08 Kotido-Karenga-24h'!E76)</f>
        <v>0</v>
      </c>
      <c r="F76" s="49">
        <f>AVERAGE('09.08 Kotido-Karenga-24h'!F76,'10.08 Kotido-Karenga-24h'!F76)</f>
        <v>0</v>
      </c>
      <c r="G76" s="49">
        <f>AVERAGE('09.08 Kotido-Karenga-24h'!G76,'10.08 Kotido-Karenga-24h'!G76)</f>
        <v>0</v>
      </c>
      <c r="H76" s="49">
        <f>AVERAGE('09.08 Kotido-Karenga-24h'!H76,'10.08 Kotido-Karenga-24h'!H76)</f>
        <v>0</v>
      </c>
      <c r="I76" s="49">
        <f>AVERAGE('09.08 Kotido-Karenga-24h'!I76,'10.08 Kotido-Karenga-24h'!I76)</f>
        <v>0</v>
      </c>
      <c r="J76" s="49">
        <f>AVERAGE('09.08 Kotido-Karenga-24h'!J76,'10.08 Kotido-Karenga-24h'!J76)</f>
        <v>0</v>
      </c>
      <c r="K76" s="49">
        <f>AVERAGE('09.08 Kotido-Karenga-24h'!K76,'10.08 Kotido-Karenga-24h'!K76)</f>
        <v>0</v>
      </c>
      <c r="L76" s="49">
        <f>AVERAGE('09.08 Kotido-Karenga-24h'!L76,'10.08 Kotido-Karenga-24h'!L76)</f>
        <v>0</v>
      </c>
      <c r="M76" s="49">
        <f>AVERAGE('09.08 Kotido-Karenga-24h'!M76,'10.08 Kotido-Karenga-24h'!M76)</f>
        <v>0</v>
      </c>
      <c r="N76" s="49">
        <f>AVERAGE('09.08 Kotido-Karenga-24h'!N76,'10.08 Kotido-Karenga-24h'!N76)</f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23" t="s">
        <v>117</v>
      </c>
      <c r="C77" s="49">
        <f>AVERAGE('09.08 Kotido-Karenga-24h'!C77,'10.08 Kotido-Karenga-24h'!C77)</f>
        <v>0</v>
      </c>
      <c r="D77" s="49">
        <f>AVERAGE('09.08 Kotido-Karenga-24h'!D77,'10.08 Kotido-Karenga-24h'!D77)</f>
        <v>0.5</v>
      </c>
      <c r="E77" s="49">
        <f>AVERAGE('09.08 Kotido-Karenga-24h'!E77,'10.08 Kotido-Karenga-24h'!E77)</f>
        <v>0</v>
      </c>
      <c r="F77" s="49">
        <f>AVERAGE('09.08 Kotido-Karenga-24h'!F77,'10.08 Kotido-Karenga-24h'!F77)</f>
        <v>0</v>
      </c>
      <c r="G77" s="49">
        <f>AVERAGE('09.08 Kotido-Karenga-24h'!G77,'10.08 Kotido-Karenga-24h'!G77)</f>
        <v>0</v>
      </c>
      <c r="H77" s="49">
        <f>AVERAGE('09.08 Kotido-Karenga-24h'!H77,'10.08 Kotido-Karenga-24h'!H77)</f>
        <v>0</v>
      </c>
      <c r="I77" s="49">
        <f>AVERAGE('09.08 Kotido-Karenga-24h'!I77,'10.08 Kotido-Karenga-24h'!I77)</f>
        <v>0</v>
      </c>
      <c r="J77" s="49">
        <f>AVERAGE('09.08 Kotido-Karenga-24h'!J77,'10.08 Kotido-Karenga-24h'!J77)</f>
        <v>0</v>
      </c>
      <c r="K77" s="49">
        <f>AVERAGE('09.08 Kotido-Karenga-24h'!K77,'10.08 Kotido-Karenga-24h'!K77)</f>
        <v>0</v>
      </c>
      <c r="L77" s="49">
        <f>AVERAGE('09.08 Kotido-Karenga-24h'!L77,'10.08 Kotido-Karenga-24h'!L77)</f>
        <v>0</v>
      </c>
      <c r="M77" s="49">
        <f>AVERAGE('09.08 Kotido-Karenga-24h'!M77,'10.08 Kotido-Karenga-24h'!M77)</f>
        <v>0</v>
      </c>
      <c r="N77" s="49">
        <f>AVERAGE('09.08 Kotido-Karenga-24h'!N77,'10.08 Kotido-Karenga-24h'!N77)</f>
        <v>0</v>
      </c>
      <c r="O77" s="15">
        <f t="shared" si="35"/>
        <v>0.5</v>
      </c>
      <c r="P77" s="15">
        <f t="shared" si="36"/>
        <v>0.5</v>
      </c>
      <c r="R77" s="8"/>
      <c r="T77"/>
    </row>
    <row r="78" spans="2:20" ht="23.1" customHeight="1" x14ac:dyDescent="0.25">
      <c r="B78" s="24" t="s">
        <v>118</v>
      </c>
      <c r="C78" s="49">
        <f>AVERAGE('09.08 Kotido-Karenga-24h'!C78,'10.08 Kotido-Karenga-24h'!C78)</f>
        <v>0</v>
      </c>
      <c r="D78" s="49">
        <f>AVERAGE('09.08 Kotido-Karenga-24h'!D78,'10.08 Kotido-Karenga-24h'!D78)</f>
        <v>0</v>
      </c>
      <c r="E78" s="49">
        <f>AVERAGE('09.08 Kotido-Karenga-24h'!E78,'10.08 Kotido-Karenga-24h'!E78)</f>
        <v>0</v>
      </c>
      <c r="F78" s="49">
        <f>AVERAGE('09.08 Kotido-Karenga-24h'!F78,'10.08 Kotido-Karenga-24h'!F78)</f>
        <v>0</v>
      </c>
      <c r="G78" s="49">
        <f>AVERAGE('09.08 Kotido-Karenga-24h'!G78,'10.08 Kotido-Karenga-24h'!G78)</f>
        <v>0</v>
      </c>
      <c r="H78" s="49">
        <f>AVERAGE('09.08 Kotido-Karenga-24h'!H78,'10.08 Kotido-Karenga-24h'!H78)</f>
        <v>0</v>
      </c>
      <c r="I78" s="49">
        <f>AVERAGE('09.08 Kotido-Karenga-24h'!I78,'10.08 Kotido-Karenga-24h'!I78)</f>
        <v>0</v>
      </c>
      <c r="J78" s="49">
        <f>AVERAGE('09.08 Kotido-Karenga-24h'!J78,'10.08 Kotido-Karenga-24h'!J78)</f>
        <v>0</v>
      </c>
      <c r="K78" s="49">
        <f>AVERAGE('09.08 Kotido-Karenga-24h'!K78,'10.08 Kotido-Karenga-24h'!K78)</f>
        <v>0</v>
      </c>
      <c r="L78" s="49">
        <f>AVERAGE('09.08 Kotido-Karenga-24h'!L78,'10.08 Kotido-Karenga-24h'!L78)</f>
        <v>0</v>
      </c>
      <c r="M78" s="49">
        <f>AVERAGE('09.08 Kotido-Karenga-24h'!M78,'10.08 Kotido-Karenga-24h'!M78)</f>
        <v>0</v>
      </c>
      <c r="N78" s="49">
        <f>AVERAGE('09.08 Kotido-Karenga-24h'!N78,'10.08 Kotido-Karenga-24h'!N78)</f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23" t="s">
        <v>119</v>
      </c>
      <c r="C79" s="49">
        <f>AVERAGE('09.08 Kotido-Karenga-24h'!C79,'10.08 Kotido-Karenga-24h'!C79)</f>
        <v>0</v>
      </c>
      <c r="D79" s="49">
        <f>AVERAGE('09.08 Kotido-Karenga-24h'!D79,'10.08 Kotido-Karenga-24h'!D79)</f>
        <v>0</v>
      </c>
      <c r="E79" s="49">
        <f>AVERAGE('09.08 Kotido-Karenga-24h'!E79,'10.08 Kotido-Karenga-24h'!E79)</f>
        <v>0</v>
      </c>
      <c r="F79" s="49">
        <f>AVERAGE('09.08 Kotido-Karenga-24h'!F79,'10.08 Kotido-Karenga-24h'!F79)</f>
        <v>0</v>
      </c>
      <c r="G79" s="49">
        <f>AVERAGE('09.08 Kotido-Karenga-24h'!G79,'10.08 Kotido-Karenga-24h'!G79)</f>
        <v>0</v>
      </c>
      <c r="H79" s="49">
        <f>AVERAGE('09.08 Kotido-Karenga-24h'!H79,'10.08 Kotido-Karenga-24h'!H79)</f>
        <v>0</v>
      </c>
      <c r="I79" s="49">
        <f>AVERAGE('09.08 Kotido-Karenga-24h'!I79,'10.08 Kotido-Karenga-24h'!I79)</f>
        <v>0</v>
      </c>
      <c r="J79" s="49">
        <f>AVERAGE('09.08 Kotido-Karenga-24h'!J79,'10.08 Kotido-Karenga-24h'!J79)</f>
        <v>0</v>
      </c>
      <c r="K79" s="49">
        <f>AVERAGE('09.08 Kotido-Karenga-24h'!K79,'10.08 Kotido-Karenga-24h'!K79)</f>
        <v>0</v>
      </c>
      <c r="L79" s="49">
        <f>AVERAGE('09.08 Kotido-Karenga-24h'!L79,'10.08 Kotido-Karenga-24h'!L79)</f>
        <v>0</v>
      </c>
      <c r="M79" s="49">
        <f>AVERAGE('09.08 Kotido-Karenga-24h'!M79,'10.08 Kotido-Karenga-24h'!M79)</f>
        <v>0</v>
      </c>
      <c r="N79" s="49">
        <f>AVERAGE('09.08 Kotido-Karenga-24h'!N79,'10.08 Kotido-Karenga-24h'!N79)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AVERAGE('09.08 Kotido-Karenga-24h'!C80,'10.08 Kotido-Karenga-24h'!C80)</f>
        <v>0</v>
      </c>
      <c r="D80" s="49">
        <f>AVERAGE('09.08 Kotido-Karenga-24h'!D80,'10.08 Kotido-Karenga-24h'!D80)</f>
        <v>0</v>
      </c>
      <c r="E80" s="49">
        <f>AVERAGE('09.08 Kotido-Karenga-24h'!E80,'10.08 Kotido-Karenga-24h'!E80)</f>
        <v>0</v>
      </c>
      <c r="F80" s="49">
        <f>AVERAGE('09.08 Kotido-Karenga-24h'!F80,'10.08 Kotido-Karenga-24h'!F80)</f>
        <v>0</v>
      </c>
      <c r="G80" s="49">
        <f>AVERAGE('09.08 Kotido-Karenga-24h'!G80,'10.08 Kotido-Karenga-24h'!G80)</f>
        <v>0</v>
      </c>
      <c r="H80" s="49">
        <f>AVERAGE('09.08 Kotido-Karenga-24h'!H80,'10.08 Kotido-Karenga-24h'!H80)</f>
        <v>0</v>
      </c>
      <c r="I80" s="49">
        <f>AVERAGE('09.08 Kotido-Karenga-24h'!I80,'10.08 Kotido-Karenga-24h'!I80)</f>
        <v>0</v>
      </c>
      <c r="J80" s="49">
        <f>AVERAGE('09.08 Kotido-Karenga-24h'!J80,'10.08 Kotido-Karenga-24h'!J80)</f>
        <v>0</v>
      </c>
      <c r="K80" s="49">
        <f>AVERAGE('09.08 Kotido-Karenga-24h'!K80,'10.08 Kotido-Karenga-24h'!K80)</f>
        <v>0</v>
      </c>
      <c r="L80" s="49">
        <f>AVERAGE('09.08 Kotido-Karenga-24h'!L80,'10.08 Kotido-Karenga-24h'!L80)</f>
        <v>0</v>
      </c>
      <c r="M80" s="49">
        <f>AVERAGE('09.08 Kotido-Karenga-24h'!M80,'10.08 Kotido-Karenga-24h'!M80)</f>
        <v>0</v>
      </c>
      <c r="N80" s="49">
        <f>AVERAGE('09.08 Kotido-Karenga-24h'!N80,'10.08 Kotido-Karenga-24h'!N80)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AVERAGE('09.08 Kotido-Karenga-24h'!C81,'10.08 Kotido-Karenga-24h'!C81)</f>
        <v>0</v>
      </c>
      <c r="D81" s="49">
        <f>AVERAGE('09.08 Kotido-Karenga-24h'!D81,'10.08 Kotido-Karenga-24h'!D81)</f>
        <v>0</v>
      </c>
      <c r="E81" s="49">
        <f>AVERAGE('09.08 Kotido-Karenga-24h'!E81,'10.08 Kotido-Karenga-24h'!E81)</f>
        <v>0</v>
      </c>
      <c r="F81" s="49">
        <f>AVERAGE('09.08 Kotido-Karenga-24h'!F81,'10.08 Kotido-Karenga-24h'!F81)</f>
        <v>0</v>
      </c>
      <c r="G81" s="49">
        <f>AVERAGE('09.08 Kotido-Karenga-24h'!G81,'10.08 Kotido-Karenga-24h'!G81)</f>
        <v>0</v>
      </c>
      <c r="H81" s="49">
        <f>AVERAGE('09.08 Kotido-Karenga-24h'!H81,'10.08 Kotido-Karenga-24h'!H81)</f>
        <v>0</v>
      </c>
      <c r="I81" s="49">
        <f>AVERAGE('09.08 Kotido-Karenga-24h'!I81,'10.08 Kotido-Karenga-24h'!I81)</f>
        <v>0</v>
      </c>
      <c r="J81" s="49">
        <f>AVERAGE('09.08 Kotido-Karenga-24h'!J81,'10.08 Kotido-Karenga-24h'!J81)</f>
        <v>0</v>
      </c>
      <c r="K81" s="49">
        <f>AVERAGE('09.08 Kotido-Karenga-24h'!K81,'10.08 Kotido-Karenga-24h'!K81)</f>
        <v>0</v>
      </c>
      <c r="L81" s="49">
        <f>AVERAGE('09.08 Kotido-Karenga-24h'!L81,'10.08 Kotido-Karenga-24h'!L81)</f>
        <v>0</v>
      </c>
      <c r="M81" s="49">
        <f>AVERAGE('09.08 Kotido-Karenga-24h'!M81,'10.08 Kotido-Karenga-24h'!M81)</f>
        <v>0</v>
      </c>
      <c r="N81" s="49">
        <f>AVERAGE('09.08 Kotido-Karenga-24h'!N81,'10.08 Kotido-Karenga-24h'!N81)</f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24" t="s">
        <v>122</v>
      </c>
      <c r="C82" s="49">
        <f>AVERAGE('09.08 Kotido-Karenga-24h'!C82,'10.08 Kotido-Karenga-24h'!C82)</f>
        <v>0</v>
      </c>
      <c r="D82" s="49">
        <f>AVERAGE('09.08 Kotido-Karenga-24h'!D82,'10.08 Kotido-Karenga-24h'!D82)</f>
        <v>0</v>
      </c>
      <c r="E82" s="49">
        <f>AVERAGE('09.08 Kotido-Karenga-24h'!E82,'10.08 Kotido-Karenga-24h'!E82)</f>
        <v>0</v>
      </c>
      <c r="F82" s="49">
        <f>AVERAGE('09.08 Kotido-Karenga-24h'!F82,'10.08 Kotido-Karenga-24h'!F82)</f>
        <v>0</v>
      </c>
      <c r="G82" s="49">
        <f>AVERAGE('09.08 Kotido-Karenga-24h'!G82,'10.08 Kotido-Karenga-24h'!G82)</f>
        <v>0</v>
      </c>
      <c r="H82" s="49">
        <f>AVERAGE('09.08 Kotido-Karenga-24h'!H82,'10.08 Kotido-Karenga-24h'!H82)</f>
        <v>0</v>
      </c>
      <c r="I82" s="49">
        <f>AVERAGE('09.08 Kotido-Karenga-24h'!I82,'10.08 Kotido-Karenga-24h'!I82)</f>
        <v>0</v>
      </c>
      <c r="J82" s="49">
        <f>AVERAGE('09.08 Kotido-Karenga-24h'!J82,'10.08 Kotido-Karenga-24h'!J82)</f>
        <v>0</v>
      </c>
      <c r="K82" s="49">
        <f>AVERAGE('09.08 Kotido-Karenga-24h'!K82,'10.08 Kotido-Karenga-24h'!K82)</f>
        <v>0</v>
      </c>
      <c r="L82" s="49">
        <f>AVERAGE('09.08 Kotido-Karenga-24h'!L82,'10.08 Kotido-Karenga-24h'!L82)</f>
        <v>0</v>
      </c>
      <c r="M82" s="49">
        <f>AVERAGE('09.08 Kotido-Karenga-24h'!M82,'10.08 Kotido-Karenga-24h'!M82)</f>
        <v>0</v>
      </c>
      <c r="N82" s="49">
        <f>AVERAGE('09.08 Kotido-Karenga-24h'!N82,'10.08 Kotido-Karenga-24h'!N82)</f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23" t="s">
        <v>123</v>
      </c>
      <c r="C83" s="49">
        <f>AVERAGE('09.08 Kotido-Karenga-24h'!C83,'10.08 Kotido-Karenga-24h'!C83)</f>
        <v>0</v>
      </c>
      <c r="D83" s="49">
        <f>AVERAGE('09.08 Kotido-Karenga-24h'!D83,'10.08 Kotido-Karenga-24h'!D83)</f>
        <v>0</v>
      </c>
      <c r="E83" s="49">
        <f>AVERAGE('09.08 Kotido-Karenga-24h'!E83,'10.08 Kotido-Karenga-24h'!E83)</f>
        <v>0</v>
      </c>
      <c r="F83" s="49">
        <f>AVERAGE('09.08 Kotido-Karenga-24h'!F83,'10.08 Kotido-Karenga-24h'!F83)</f>
        <v>0</v>
      </c>
      <c r="G83" s="49">
        <f>AVERAGE('09.08 Kotido-Karenga-24h'!G83,'10.08 Kotido-Karenga-24h'!G83)</f>
        <v>0</v>
      </c>
      <c r="H83" s="49">
        <f>AVERAGE('09.08 Kotido-Karenga-24h'!H83,'10.08 Kotido-Karenga-24h'!H83)</f>
        <v>0</v>
      </c>
      <c r="I83" s="49">
        <f>AVERAGE('09.08 Kotido-Karenga-24h'!I83,'10.08 Kotido-Karenga-24h'!I83)</f>
        <v>0</v>
      </c>
      <c r="J83" s="49">
        <f>AVERAGE('09.08 Kotido-Karenga-24h'!J83,'10.08 Kotido-Karenga-24h'!J83)</f>
        <v>0</v>
      </c>
      <c r="K83" s="49">
        <f>AVERAGE('09.08 Kotido-Karenga-24h'!K83,'10.08 Kotido-Karenga-24h'!K83)</f>
        <v>0</v>
      </c>
      <c r="L83" s="49">
        <f>AVERAGE('09.08 Kotido-Karenga-24h'!L83,'10.08 Kotido-Karenga-24h'!L83)</f>
        <v>0</v>
      </c>
      <c r="M83" s="49">
        <f>AVERAGE('09.08 Kotido-Karenga-24h'!M83,'10.08 Kotido-Karenga-24h'!M83)</f>
        <v>0</v>
      </c>
      <c r="N83" s="49">
        <f>AVERAGE('09.08 Kotido-Karenga-24h'!N83,'10.08 Kotido-Karenga-24h'!N83)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AVERAGE('09.08 Kotido-Karenga-24h'!C84,'10.08 Kotido-Karenga-24h'!C84)</f>
        <v>0</v>
      </c>
      <c r="D84" s="49">
        <f>AVERAGE('09.08 Kotido-Karenga-24h'!D84,'10.08 Kotido-Karenga-24h'!D84)</f>
        <v>0</v>
      </c>
      <c r="E84" s="49">
        <f>AVERAGE('09.08 Kotido-Karenga-24h'!E84,'10.08 Kotido-Karenga-24h'!E84)</f>
        <v>0</v>
      </c>
      <c r="F84" s="49">
        <f>AVERAGE('09.08 Kotido-Karenga-24h'!F84,'10.08 Kotido-Karenga-24h'!F84)</f>
        <v>0</v>
      </c>
      <c r="G84" s="49">
        <f>AVERAGE('09.08 Kotido-Karenga-24h'!G84,'10.08 Kotido-Karenga-24h'!G84)</f>
        <v>0</v>
      </c>
      <c r="H84" s="49">
        <f>AVERAGE('09.08 Kotido-Karenga-24h'!H84,'10.08 Kotido-Karenga-24h'!H84)</f>
        <v>0</v>
      </c>
      <c r="I84" s="49">
        <f>AVERAGE('09.08 Kotido-Karenga-24h'!I84,'10.08 Kotido-Karenga-24h'!I84)</f>
        <v>0</v>
      </c>
      <c r="J84" s="49">
        <f>AVERAGE('09.08 Kotido-Karenga-24h'!J84,'10.08 Kotido-Karenga-24h'!J84)</f>
        <v>0</v>
      </c>
      <c r="K84" s="49">
        <f>AVERAGE('09.08 Kotido-Karenga-24h'!K84,'10.08 Kotido-Karenga-24h'!K84)</f>
        <v>0</v>
      </c>
      <c r="L84" s="49">
        <f>AVERAGE('09.08 Kotido-Karenga-24h'!L84,'10.08 Kotido-Karenga-24h'!L84)</f>
        <v>0</v>
      </c>
      <c r="M84" s="49">
        <f>AVERAGE('09.08 Kotido-Karenga-24h'!M84,'10.08 Kotido-Karenga-24h'!M84)</f>
        <v>0</v>
      </c>
      <c r="N84" s="49">
        <f>AVERAGE('09.08 Kotido-Karenga-24h'!N84,'10.08 Kotido-Karenga-24h'!N84)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AVERAGE('09.08 Kotido-Karenga-24h'!C85,'10.08 Kotido-Karenga-24h'!C85)</f>
        <v>0</v>
      </c>
      <c r="D85" s="49">
        <f>AVERAGE('09.08 Kotido-Karenga-24h'!D85,'10.08 Kotido-Karenga-24h'!D85)</f>
        <v>0</v>
      </c>
      <c r="E85" s="49">
        <f>AVERAGE('09.08 Kotido-Karenga-24h'!E85,'10.08 Kotido-Karenga-24h'!E85)</f>
        <v>0</v>
      </c>
      <c r="F85" s="49">
        <f>AVERAGE('09.08 Kotido-Karenga-24h'!F85,'10.08 Kotido-Karenga-24h'!F85)</f>
        <v>0</v>
      </c>
      <c r="G85" s="49">
        <f>AVERAGE('09.08 Kotido-Karenga-24h'!G85,'10.08 Kotido-Karenga-24h'!G85)</f>
        <v>0</v>
      </c>
      <c r="H85" s="49">
        <f>AVERAGE('09.08 Kotido-Karenga-24h'!H85,'10.08 Kotido-Karenga-24h'!H85)</f>
        <v>0</v>
      </c>
      <c r="I85" s="49">
        <f>AVERAGE('09.08 Kotido-Karenga-24h'!I85,'10.08 Kotido-Karenga-24h'!I85)</f>
        <v>0</v>
      </c>
      <c r="J85" s="49">
        <f>AVERAGE('09.08 Kotido-Karenga-24h'!J85,'10.08 Kotido-Karenga-24h'!J85)</f>
        <v>0</v>
      </c>
      <c r="K85" s="49">
        <f>AVERAGE('09.08 Kotido-Karenga-24h'!K85,'10.08 Kotido-Karenga-24h'!K85)</f>
        <v>0</v>
      </c>
      <c r="L85" s="49">
        <f>AVERAGE('09.08 Kotido-Karenga-24h'!L85,'10.08 Kotido-Karenga-24h'!L85)</f>
        <v>0</v>
      </c>
      <c r="M85" s="49">
        <f>AVERAGE('09.08 Kotido-Karenga-24h'!M85,'10.08 Kotido-Karenga-24h'!M85)</f>
        <v>0</v>
      </c>
      <c r="N85" s="49">
        <f>AVERAGE('09.08 Kotido-Karenga-24h'!N85,'10.08 Kotido-Karenga-24h'!N85)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AVERAGE('09.08 Kotido-Karenga-24h'!C86,'10.08 Kotido-Karenga-24h'!C86)</f>
        <v>0</v>
      </c>
      <c r="D86" s="49">
        <f>AVERAGE('09.08 Kotido-Karenga-24h'!D86,'10.08 Kotido-Karenga-24h'!D86)</f>
        <v>0</v>
      </c>
      <c r="E86" s="49">
        <f>AVERAGE('09.08 Kotido-Karenga-24h'!E86,'10.08 Kotido-Karenga-24h'!E86)</f>
        <v>0</v>
      </c>
      <c r="F86" s="49">
        <f>AVERAGE('09.08 Kotido-Karenga-24h'!F86,'10.08 Kotido-Karenga-24h'!F86)</f>
        <v>0</v>
      </c>
      <c r="G86" s="49">
        <f>AVERAGE('09.08 Kotido-Karenga-24h'!G86,'10.08 Kotido-Karenga-24h'!G86)</f>
        <v>0</v>
      </c>
      <c r="H86" s="49">
        <f>AVERAGE('09.08 Kotido-Karenga-24h'!H86,'10.08 Kotido-Karenga-24h'!H86)</f>
        <v>0</v>
      </c>
      <c r="I86" s="49">
        <f>AVERAGE('09.08 Kotido-Karenga-24h'!I86,'10.08 Kotido-Karenga-24h'!I86)</f>
        <v>0</v>
      </c>
      <c r="J86" s="49">
        <f>AVERAGE('09.08 Kotido-Karenga-24h'!J86,'10.08 Kotido-Karenga-24h'!J86)</f>
        <v>0</v>
      </c>
      <c r="K86" s="49">
        <f>AVERAGE('09.08 Kotido-Karenga-24h'!K86,'10.08 Kotido-Karenga-24h'!K86)</f>
        <v>0</v>
      </c>
      <c r="L86" s="49">
        <f>AVERAGE('09.08 Kotido-Karenga-24h'!L86,'10.08 Kotido-Karenga-24h'!L86)</f>
        <v>0</v>
      </c>
      <c r="M86" s="49">
        <f>AVERAGE('09.08 Kotido-Karenga-24h'!M86,'10.08 Kotido-Karenga-24h'!M86)</f>
        <v>0</v>
      </c>
      <c r="N86" s="49">
        <f>AVERAGE('09.08 Kotido-Karenga-24h'!N86,'10.08 Kotido-Karenga-24h'!N86)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AVERAGE('09.08 Kotido-Karenga-24h'!C87,'10.08 Kotido-Karenga-24h'!C87)</f>
        <v>0</v>
      </c>
      <c r="D87" s="49">
        <f>AVERAGE('09.08 Kotido-Karenga-24h'!D87,'10.08 Kotido-Karenga-24h'!D87)</f>
        <v>0</v>
      </c>
      <c r="E87" s="49">
        <f>AVERAGE('09.08 Kotido-Karenga-24h'!E87,'10.08 Kotido-Karenga-24h'!E87)</f>
        <v>0</v>
      </c>
      <c r="F87" s="49">
        <f>AVERAGE('09.08 Kotido-Karenga-24h'!F87,'10.08 Kotido-Karenga-24h'!F87)</f>
        <v>0</v>
      </c>
      <c r="G87" s="49">
        <f>AVERAGE('09.08 Kotido-Karenga-24h'!G87,'10.08 Kotido-Karenga-24h'!G87)</f>
        <v>0</v>
      </c>
      <c r="H87" s="49">
        <f>AVERAGE('09.08 Kotido-Karenga-24h'!H87,'10.08 Kotido-Karenga-24h'!H87)</f>
        <v>0</v>
      </c>
      <c r="I87" s="49">
        <f>AVERAGE('09.08 Kotido-Karenga-24h'!I87,'10.08 Kotido-Karenga-24h'!I87)</f>
        <v>0</v>
      </c>
      <c r="J87" s="49">
        <f>AVERAGE('09.08 Kotido-Karenga-24h'!J87,'10.08 Kotido-Karenga-24h'!J87)</f>
        <v>0</v>
      </c>
      <c r="K87" s="49">
        <f>AVERAGE('09.08 Kotido-Karenga-24h'!K87,'10.08 Kotido-Karenga-24h'!K87)</f>
        <v>0</v>
      </c>
      <c r="L87" s="49">
        <f>AVERAGE('09.08 Kotido-Karenga-24h'!L87,'10.08 Kotido-Karenga-24h'!L87)</f>
        <v>0</v>
      </c>
      <c r="M87" s="49">
        <f>AVERAGE('09.08 Kotido-Karenga-24h'!M87,'10.08 Kotido-Karenga-24h'!M87)</f>
        <v>0</v>
      </c>
      <c r="N87" s="49">
        <f>AVERAGE('09.08 Kotido-Karenga-24h'!N87,'10.08 Kotido-Karenga-24h'!N87)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AVERAGE('09.08 Kotido-Karenga-24h'!C88,'10.08 Kotido-Karenga-24h'!C88)</f>
        <v>0</v>
      </c>
      <c r="D88" s="49">
        <f>AVERAGE('09.08 Kotido-Karenga-24h'!D88,'10.08 Kotido-Karenga-24h'!D88)</f>
        <v>0</v>
      </c>
      <c r="E88" s="49">
        <f>AVERAGE('09.08 Kotido-Karenga-24h'!E88,'10.08 Kotido-Karenga-24h'!E88)</f>
        <v>0</v>
      </c>
      <c r="F88" s="49">
        <f>AVERAGE('09.08 Kotido-Karenga-24h'!F88,'10.08 Kotido-Karenga-24h'!F88)</f>
        <v>0</v>
      </c>
      <c r="G88" s="49">
        <f>AVERAGE('09.08 Kotido-Karenga-24h'!G88,'10.08 Kotido-Karenga-24h'!G88)</f>
        <v>0</v>
      </c>
      <c r="H88" s="49">
        <f>AVERAGE('09.08 Kotido-Karenga-24h'!H88,'10.08 Kotido-Karenga-24h'!H88)</f>
        <v>0</v>
      </c>
      <c r="I88" s="49">
        <f>AVERAGE('09.08 Kotido-Karenga-24h'!I88,'10.08 Kotido-Karenga-24h'!I88)</f>
        <v>0</v>
      </c>
      <c r="J88" s="49">
        <f>AVERAGE('09.08 Kotido-Karenga-24h'!J88,'10.08 Kotido-Karenga-24h'!J88)</f>
        <v>0</v>
      </c>
      <c r="K88" s="49">
        <f>AVERAGE('09.08 Kotido-Karenga-24h'!K88,'10.08 Kotido-Karenga-24h'!K88)</f>
        <v>0</v>
      </c>
      <c r="L88" s="49">
        <f>AVERAGE('09.08 Kotido-Karenga-24h'!L88,'10.08 Kotido-Karenga-24h'!L88)</f>
        <v>0</v>
      </c>
      <c r="M88" s="49">
        <f>AVERAGE('09.08 Kotido-Karenga-24h'!M88,'10.08 Kotido-Karenga-24h'!M88)</f>
        <v>0</v>
      </c>
      <c r="N88" s="49">
        <f>AVERAGE('09.08 Kotido-Karenga-24h'!N88,'10.08 Kotido-Karenga-24h'!N88)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AVERAGE('09.08 Kotido-Karenga-24h'!C89,'10.08 Kotido-Karenga-24h'!C89)</f>
        <v>0</v>
      </c>
      <c r="D89" s="49">
        <f>AVERAGE('09.08 Kotido-Karenga-24h'!D89,'10.08 Kotido-Karenga-24h'!D89)</f>
        <v>0</v>
      </c>
      <c r="E89" s="49">
        <f>AVERAGE('09.08 Kotido-Karenga-24h'!E89,'10.08 Kotido-Karenga-24h'!E89)</f>
        <v>0</v>
      </c>
      <c r="F89" s="49">
        <f>AVERAGE('09.08 Kotido-Karenga-24h'!F89,'10.08 Kotido-Karenga-24h'!F89)</f>
        <v>0</v>
      </c>
      <c r="G89" s="49">
        <f>AVERAGE('09.08 Kotido-Karenga-24h'!G89,'10.08 Kotido-Karenga-24h'!G89)</f>
        <v>0</v>
      </c>
      <c r="H89" s="49">
        <f>AVERAGE('09.08 Kotido-Karenga-24h'!H89,'10.08 Kotido-Karenga-24h'!H89)</f>
        <v>0</v>
      </c>
      <c r="I89" s="49">
        <f>AVERAGE('09.08 Kotido-Karenga-24h'!I89,'10.08 Kotido-Karenga-24h'!I89)</f>
        <v>0</v>
      </c>
      <c r="J89" s="49">
        <f>AVERAGE('09.08 Kotido-Karenga-24h'!J89,'10.08 Kotido-Karenga-24h'!J89)</f>
        <v>0</v>
      </c>
      <c r="K89" s="49">
        <f>AVERAGE('09.08 Kotido-Karenga-24h'!K89,'10.08 Kotido-Karenga-24h'!K89)</f>
        <v>0</v>
      </c>
      <c r="L89" s="49">
        <f>AVERAGE('09.08 Kotido-Karenga-24h'!L89,'10.08 Kotido-Karenga-24h'!L89)</f>
        <v>0</v>
      </c>
      <c r="M89" s="49">
        <f>AVERAGE('09.08 Kotido-Karenga-24h'!M89,'10.08 Kotido-Karenga-24h'!M89)</f>
        <v>0</v>
      </c>
      <c r="N89" s="49">
        <f>AVERAGE('09.08 Kotido-Karenga-24h'!N89,'10.08 Kotido-Karenga-24h'!N89)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AVERAGE('09.08 Kotido-Karenga-24h'!C90,'10.08 Kotido-Karenga-24h'!C90)</f>
        <v>0</v>
      </c>
      <c r="D90" s="49">
        <f>AVERAGE('09.08 Kotido-Karenga-24h'!D90,'10.08 Kotido-Karenga-24h'!D90)</f>
        <v>0</v>
      </c>
      <c r="E90" s="49">
        <f>AVERAGE('09.08 Kotido-Karenga-24h'!E90,'10.08 Kotido-Karenga-24h'!E90)</f>
        <v>0</v>
      </c>
      <c r="F90" s="49">
        <f>AVERAGE('09.08 Kotido-Karenga-24h'!F90,'10.08 Kotido-Karenga-24h'!F90)</f>
        <v>0</v>
      </c>
      <c r="G90" s="49">
        <f>AVERAGE('09.08 Kotido-Karenga-24h'!G90,'10.08 Kotido-Karenga-24h'!G90)</f>
        <v>0</v>
      </c>
      <c r="H90" s="49">
        <f>AVERAGE('09.08 Kotido-Karenga-24h'!H90,'10.08 Kotido-Karenga-24h'!H90)</f>
        <v>0</v>
      </c>
      <c r="I90" s="49">
        <f>AVERAGE('09.08 Kotido-Karenga-24h'!I90,'10.08 Kotido-Karenga-24h'!I90)</f>
        <v>0</v>
      </c>
      <c r="J90" s="49">
        <f>AVERAGE('09.08 Kotido-Karenga-24h'!J90,'10.08 Kotido-Karenga-24h'!J90)</f>
        <v>0</v>
      </c>
      <c r="K90" s="49">
        <f>AVERAGE('09.08 Kotido-Karenga-24h'!K90,'10.08 Kotido-Karenga-24h'!K90)</f>
        <v>0</v>
      </c>
      <c r="L90" s="49">
        <f>AVERAGE('09.08 Kotido-Karenga-24h'!L90,'10.08 Kotido-Karenga-24h'!L90)</f>
        <v>0</v>
      </c>
      <c r="M90" s="49">
        <f>AVERAGE('09.08 Kotido-Karenga-24h'!M90,'10.08 Kotido-Karenga-24h'!M90)</f>
        <v>0</v>
      </c>
      <c r="N90" s="49">
        <f>AVERAGE('09.08 Kotido-Karenga-24h'!N90,'10.08 Kotido-Karenga-24h'!N90)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AVERAGE('09.08 Kotido-Karenga-24h'!C91,'10.08 Kotido-Karenga-24h'!C91)</f>
        <v>0</v>
      </c>
      <c r="D91" s="49">
        <f>AVERAGE('09.08 Kotido-Karenga-24h'!D91,'10.08 Kotido-Karenga-24h'!D91)</f>
        <v>0</v>
      </c>
      <c r="E91" s="49">
        <f>AVERAGE('09.08 Kotido-Karenga-24h'!E91,'10.08 Kotido-Karenga-24h'!E91)</f>
        <v>0</v>
      </c>
      <c r="F91" s="49">
        <f>AVERAGE('09.08 Kotido-Karenga-24h'!F91,'10.08 Kotido-Karenga-24h'!F91)</f>
        <v>0</v>
      </c>
      <c r="G91" s="49">
        <f>AVERAGE('09.08 Kotido-Karenga-24h'!G91,'10.08 Kotido-Karenga-24h'!G91)</f>
        <v>0</v>
      </c>
      <c r="H91" s="49">
        <f>AVERAGE('09.08 Kotido-Karenga-24h'!H91,'10.08 Kotido-Karenga-24h'!H91)</f>
        <v>0</v>
      </c>
      <c r="I91" s="49">
        <f>AVERAGE('09.08 Kotido-Karenga-24h'!I91,'10.08 Kotido-Karenga-24h'!I91)</f>
        <v>0</v>
      </c>
      <c r="J91" s="49">
        <f>AVERAGE('09.08 Kotido-Karenga-24h'!J91,'10.08 Kotido-Karenga-24h'!J91)</f>
        <v>0</v>
      </c>
      <c r="K91" s="49">
        <f>AVERAGE('09.08 Kotido-Karenga-24h'!K91,'10.08 Kotido-Karenga-24h'!K91)</f>
        <v>0</v>
      </c>
      <c r="L91" s="49">
        <f>AVERAGE('09.08 Kotido-Karenga-24h'!L91,'10.08 Kotido-Karenga-24h'!L91)</f>
        <v>0</v>
      </c>
      <c r="M91" s="49">
        <f>AVERAGE('09.08 Kotido-Karenga-24h'!M91,'10.08 Kotido-Karenga-24h'!M91)</f>
        <v>0</v>
      </c>
      <c r="N91" s="49">
        <f>AVERAGE('09.08 Kotido-Karenga-24h'!N91,'10.08 Kotido-Karenga-24h'!N91)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AVERAGE('09.08 Kotido-Karenga-24h'!C92,'10.08 Kotido-Karenga-24h'!C92)</f>
        <v>0</v>
      </c>
      <c r="D92" s="49">
        <f>AVERAGE('09.08 Kotido-Karenga-24h'!D92,'10.08 Kotido-Karenga-24h'!D92)</f>
        <v>0</v>
      </c>
      <c r="E92" s="49">
        <f>AVERAGE('09.08 Kotido-Karenga-24h'!E92,'10.08 Kotido-Karenga-24h'!E92)</f>
        <v>0</v>
      </c>
      <c r="F92" s="49">
        <f>AVERAGE('09.08 Kotido-Karenga-24h'!F92,'10.08 Kotido-Karenga-24h'!F92)</f>
        <v>0</v>
      </c>
      <c r="G92" s="49">
        <f>AVERAGE('09.08 Kotido-Karenga-24h'!G92,'10.08 Kotido-Karenga-24h'!G92)</f>
        <v>0</v>
      </c>
      <c r="H92" s="49">
        <f>AVERAGE('09.08 Kotido-Karenga-24h'!H92,'10.08 Kotido-Karenga-24h'!H92)</f>
        <v>0</v>
      </c>
      <c r="I92" s="49">
        <f>AVERAGE('09.08 Kotido-Karenga-24h'!I92,'10.08 Kotido-Karenga-24h'!I92)</f>
        <v>0</v>
      </c>
      <c r="J92" s="49">
        <f>AVERAGE('09.08 Kotido-Karenga-24h'!J92,'10.08 Kotido-Karenga-24h'!J92)</f>
        <v>0</v>
      </c>
      <c r="K92" s="49">
        <f>AVERAGE('09.08 Kotido-Karenga-24h'!K92,'10.08 Kotido-Karenga-24h'!K92)</f>
        <v>0</v>
      </c>
      <c r="L92" s="49">
        <f>AVERAGE('09.08 Kotido-Karenga-24h'!L92,'10.08 Kotido-Karenga-24h'!L92)</f>
        <v>0</v>
      </c>
      <c r="M92" s="49">
        <f>AVERAGE('09.08 Kotido-Karenga-24h'!M92,'10.08 Kotido-Karenga-24h'!M92)</f>
        <v>0</v>
      </c>
      <c r="N92" s="49">
        <f>AVERAGE('09.08 Kotido-Karenga-24h'!N92,'10.08 Kotido-Karenga-24h'!N92)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AVERAGE('09.08 Kotido-Karenga-24h'!C93,'10.08 Kotido-Karenga-24h'!C93)</f>
        <v>0</v>
      </c>
      <c r="D93" s="49">
        <f>AVERAGE('09.08 Kotido-Karenga-24h'!D93,'10.08 Kotido-Karenga-24h'!D93)</f>
        <v>0</v>
      </c>
      <c r="E93" s="49">
        <f>AVERAGE('09.08 Kotido-Karenga-24h'!E93,'10.08 Kotido-Karenga-24h'!E93)</f>
        <v>0</v>
      </c>
      <c r="F93" s="49">
        <f>AVERAGE('09.08 Kotido-Karenga-24h'!F93,'10.08 Kotido-Karenga-24h'!F93)</f>
        <v>0</v>
      </c>
      <c r="G93" s="49">
        <f>AVERAGE('09.08 Kotido-Karenga-24h'!G93,'10.08 Kotido-Karenga-24h'!G93)</f>
        <v>0</v>
      </c>
      <c r="H93" s="49">
        <f>AVERAGE('09.08 Kotido-Karenga-24h'!H93,'10.08 Kotido-Karenga-24h'!H93)</f>
        <v>0</v>
      </c>
      <c r="I93" s="49">
        <f>AVERAGE('09.08 Kotido-Karenga-24h'!I93,'10.08 Kotido-Karenga-24h'!I93)</f>
        <v>0</v>
      </c>
      <c r="J93" s="49">
        <f>AVERAGE('09.08 Kotido-Karenga-24h'!J93,'10.08 Kotido-Karenga-24h'!J93)</f>
        <v>0</v>
      </c>
      <c r="K93" s="49">
        <f>AVERAGE('09.08 Kotido-Karenga-24h'!K93,'10.08 Kotido-Karenga-24h'!K93)</f>
        <v>0</v>
      </c>
      <c r="L93" s="49">
        <f>AVERAGE('09.08 Kotido-Karenga-24h'!L93,'10.08 Kotido-Karenga-24h'!L93)</f>
        <v>0</v>
      </c>
      <c r="M93" s="49">
        <f>AVERAGE('09.08 Kotido-Karenga-24h'!M93,'10.08 Kotido-Karenga-24h'!M93)</f>
        <v>0</v>
      </c>
      <c r="N93" s="49">
        <f>AVERAGE('09.08 Kotido-Karenga-24h'!N93,'10.08 Kotido-Karenga-24h'!N93)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AVERAGE('09.08 Kotido-Karenga-24h'!C94,'10.08 Kotido-Karenga-24h'!C94)</f>
        <v>0</v>
      </c>
      <c r="D94" s="49">
        <f>AVERAGE('09.08 Kotido-Karenga-24h'!D94,'10.08 Kotido-Karenga-24h'!D94)</f>
        <v>0</v>
      </c>
      <c r="E94" s="49">
        <f>AVERAGE('09.08 Kotido-Karenga-24h'!E94,'10.08 Kotido-Karenga-24h'!E94)</f>
        <v>0</v>
      </c>
      <c r="F94" s="49">
        <f>AVERAGE('09.08 Kotido-Karenga-24h'!F94,'10.08 Kotido-Karenga-24h'!F94)</f>
        <v>0</v>
      </c>
      <c r="G94" s="49">
        <f>AVERAGE('09.08 Kotido-Karenga-24h'!G94,'10.08 Kotido-Karenga-24h'!G94)</f>
        <v>0</v>
      </c>
      <c r="H94" s="49">
        <f>AVERAGE('09.08 Kotido-Karenga-24h'!H94,'10.08 Kotido-Karenga-24h'!H94)</f>
        <v>0</v>
      </c>
      <c r="I94" s="49">
        <f>AVERAGE('09.08 Kotido-Karenga-24h'!I94,'10.08 Kotido-Karenga-24h'!I94)</f>
        <v>0</v>
      </c>
      <c r="J94" s="49">
        <f>AVERAGE('09.08 Kotido-Karenga-24h'!J94,'10.08 Kotido-Karenga-24h'!J94)</f>
        <v>0</v>
      </c>
      <c r="K94" s="49">
        <f>AVERAGE('09.08 Kotido-Karenga-24h'!K94,'10.08 Kotido-Karenga-24h'!K94)</f>
        <v>0</v>
      </c>
      <c r="L94" s="49">
        <f>AVERAGE('09.08 Kotido-Karenga-24h'!L94,'10.08 Kotido-Karenga-24h'!L94)</f>
        <v>0</v>
      </c>
      <c r="M94" s="49">
        <f>AVERAGE('09.08 Kotido-Karenga-24h'!M94,'10.08 Kotido-Karenga-24h'!M94)</f>
        <v>0</v>
      </c>
      <c r="N94" s="49">
        <f>AVERAGE('09.08 Kotido-Karenga-24h'!N94,'10.08 Kotido-Karenga-24h'!N94)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AVERAGE('09.08 Kotido-Karenga-24h'!C95,'10.08 Kotido-Karenga-24h'!C95)</f>
        <v>0</v>
      </c>
      <c r="D95" s="49">
        <f>AVERAGE('09.08 Kotido-Karenga-24h'!D95,'10.08 Kotido-Karenga-24h'!D95)</f>
        <v>0</v>
      </c>
      <c r="E95" s="49">
        <f>AVERAGE('09.08 Kotido-Karenga-24h'!E95,'10.08 Kotido-Karenga-24h'!E95)</f>
        <v>0</v>
      </c>
      <c r="F95" s="49">
        <f>AVERAGE('09.08 Kotido-Karenga-24h'!F95,'10.08 Kotido-Karenga-24h'!F95)</f>
        <v>0</v>
      </c>
      <c r="G95" s="49">
        <f>AVERAGE('09.08 Kotido-Karenga-24h'!G95,'10.08 Kotido-Karenga-24h'!G95)</f>
        <v>0</v>
      </c>
      <c r="H95" s="49">
        <f>AVERAGE('09.08 Kotido-Karenga-24h'!H95,'10.08 Kotido-Karenga-24h'!H95)</f>
        <v>0</v>
      </c>
      <c r="I95" s="49">
        <f>AVERAGE('09.08 Kotido-Karenga-24h'!I95,'10.08 Kotido-Karenga-24h'!I95)</f>
        <v>0</v>
      </c>
      <c r="J95" s="49">
        <f>AVERAGE('09.08 Kotido-Karenga-24h'!J95,'10.08 Kotido-Karenga-24h'!J95)</f>
        <v>0</v>
      </c>
      <c r="K95" s="49">
        <f>AVERAGE('09.08 Kotido-Karenga-24h'!K95,'10.08 Kotido-Karenga-24h'!K95)</f>
        <v>0</v>
      </c>
      <c r="L95" s="49">
        <f>AVERAGE('09.08 Kotido-Karenga-24h'!L95,'10.08 Kotido-Karenga-24h'!L95)</f>
        <v>0</v>
      </c>
      <c r="M95" s="49">
        <f>AVERAGE('09.08 Kotido-Karenga-24h'!M95,'10.08 Kotido-Karenga-24h'!M95)</f>
        <v>0</v>
      </c>
      <c r="N95" s="49">
        <f>AVERAGE('09.08 Kotido-Karenga-24h'!N95,'10.08 Kotido-Karenga-24h'!N95)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AVERAGE('09.08 Kotido-Karenga-24h'!C96,'10.08 Kotido-Karenga-24h'!C96)</f>
        <v>0</v>
      </c>
      <c r="D96" s="49">
        <f>AVERAGE('09.08 Kotido-Karenga-24h'!D96,'10.08 Kotido-Karenga-24h'!D96)</f>
        <v>0</v>
      </c>
      <c r="E96" s="49">
        <f>AVERAGE('09.08 Kotido-Karenga-24h'!E96,'10.08 Kotido-Karenga-24h'!E96)</f>
        <v>0</v>
      </c>
      <c r="F96" s="49">
        <f>AVERAGE('09.08 Kotido-Karenga-24h'!F96,'10.08 Kotido-Karenga-24h'!F96)</f>
        <v>0</v>
      </c>
      <c r="G96" s="49">
        <f>AVERAGE('09.08 Kotido-Karenga-24h'!G96,'10.08 Kotido-Karenga-24h'!G96)</f>
        <v>0</v>
      </c>
      <c r="H96" s="49">
        <f>AVERAGE('09.08 Kotido-Karenga-24h'!H96,'10.08 Kotido-Karenga-24h'!H96)</f>
        <v>0</v>
      </c>
      <c r="I96" s="49">
        <f>AVERAGE('09.08 Kotido-Karenga-24h'!I96,'10.08 Kotido-Karenga-24h'!I96)</f>
        <v>0</v>
      </c>
      <c r="J96" s="49">
        <f>AVERAGE('09.08 Kotido-Karenga-24h'!J96,'10.08 Kotido-Karenga-24h'!J96)</f>
        <v>0</v>
      </c>
      <c r="K96" s="49">
        <f>AVERAGE('09.08 Kotido-Karenga-24h'!K96,'10.08 Kotido-Karenga-24h'!K96)</f>
        <v>0</v>
      </c>
      <c r="L96" s="49">
        <f>AVERAGE('09.08 Kotido-Karenga-24h'!L96,'10.08 Kotido-Karenga-24h'!L96)</f>
        <v>0</v>
      </c>
      <c r="M96" s="49">
        <f>AVERAGE('09.08 Kotido-Karenga-24h'!M96,'10.08 Kotido-Karenga-24h'!M96)</f>
        <v>0</v>
      </c>
      <c r="N96" s="49">
        <f>AVERAGE('09.08 Kotido-Karenga-24h'!N96,'10.08 Kotido-Karenga-24h'!N96)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AVERAGE('09.08 Kotido-Karenga-24h'!C97,'10.08 Kotido-Karenga-24h'!C97)</f>
        <v>0</v>
      </c>
      <c r="D97" s="49">
        <f>AVERAGE('09.08 Kotido-Karenga-24h'!D97,'10.08 Kotido-Karenga-24h'!D97)</f>
        <v>0</v>
      </c>
      <c r="E97" s="49">
        <f>AVERAGE('09.08 Kotido-Karenga-24h'!E97,'10.08 Kotido-Karenga-24h'!E97)</f>
        <v>0</v>
      </c>
      <c r="F97" s="49">
        <f>AVERAGE('09.08 Kotido-Karenga-24h'!F97,'10.08 Kotido-Karenga-24h'!F97)</f>
        <v>0</v>
      </c>
      <c r="G97" s="49">
        <f>AVERAGE('09.08 Kotido-Karenga-24h'!G97,'10.08 Kotido-Karenga-24h'!G97)</f>
        <v>0</v>
      </c>
      <c r="H97" s="49">
        <f>AVERAGE('09.08 Kotido-Karenga-24h'!H97,'10.08 Kotido-Karenga-24h'!H97)</f>
        <v>0</v>
      </c>
      <c r="I97" s="49">
        <f>AVERAGE('09.08 Kotido-Karenga-24h'!I97,'10.08 Kotido-Karenga-24h'!I97)</f>
        <v>0</v>
      </c>
      <c r="J97" s="49">
        <f>AVERAGE('09.08 Kotido-Karenga-24h'!J97,'10.08 Kotido-Karenga-24h'!J97)</f>
        <v>0</v>
      </c>
      <c r="K97" s="49">
        <f>AVERAGE('09.08 Kotido-Karenga-24h'!K97,'10.08 Kotido-Karenga-24h'!K97)</f>
        <v>0</v>
      </c>
      <c r="L97" s="49">
        <f>AVERAGE('09.08 Kotido-Karenga-24h'!L97,'10.08 Kotido-Karenga-24h'!L97)</f>
        <v>0</v>
      </c>
      <c r="M97" s="49">
        <f>AVERAGE('09.08 Kotido-Karenga-24h'!M97,'10.08 Kotido-Karenga-24h'!M97)</f>
        <v>0</v>
      </c>
      <c r="N97" s="49">
        <f>AVERAGE('09.08 Kotido-Karenga-24h'!N97,'10.08 Kotido-Karenga-24h'!N97)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AVERAGE('09.08 Kotido-Karenga-24h'!C98,'10.08 Kotido-Karenga-24h'!C98)</f>
        <v>0</v>
      </c>
      <c r="D98" s="49">
        <f>AVERAGE('09.08 Kotido-Karenga-24h'!D98,'10.08 Kotido-Karenga-24h'!D98)</f>
        <v>0</v>
      </c>
      <c r="E98" s="49">
        <f>AVERAGE('09.08 Kotido-Karenga-24h'!E98,'10.08 Kotido-Karenga-24h'!E98)</f>
        <v>0</v>
      </c>
      <c r="F98" s="49">
        <f>AVERAGE('09.08 Kotido-Karenga-24h'!F98,'10.08 Kotido-Karenga-24h'!F98)</f>
        <v>0</v>
      </c>
      <c r="G98" s="49">
        <f>AVERAGE('09.08 Kotido-Karenga-24h'!G98,'10.08 Kotido-Karenga-24h'!G98)</f>
        <v>0</v>
      </c>
      <c r="H98" s="49">
        <f>AVERAGE('09.08 Kotido-Karenga-24h'!H98,'10.08 Kotido-Karenga-24h'!H98)</f>
        <v>0</v>
      </c>
      <c r="I98" s="49">
        <f>AVERAGE('09.08 Kotido-Karenga-24h'!I98,'10.08 Kotido-Karenga-24h'!I98)</f>
        <v>0</v>
      </c>
      <c r="J98" s="49">
        <f>AVERAGE('09.08 Kotido-Karenga-24h'!J98,'10.08 Kotido-Karenga-24h'!J98)</f>
        <v>0</v>
      </c>
      <c r="K98" s="49">
        <f>AVERAGE('09.08 Kotido-Karenga-24h'!K98,'10.08 Kotido-Karenga-24h'!K98)</f>
        <v>0</v>
      </c>
      <c r="L98" s="49">
        <f>AVERAGE('09.08 Kotido-Karenga-24h'!L98,'10.08 Kotido-Karenga-24h'!L98)</f>
        <v>0</v>
      </c>
      <c r="M98" s="49">
        <f>AVERAGE('09.08 Kotido-Karenga-24h'!M98,'10.08 Kotido-Karenga-24h'!M98)</f>
        <v>0</v>
      </c>
      <c r="N98" s="49">
        <f>AVERAGE('09.08 Kotido-Karenga-24h'!N98,'10.08 Kotido-Karenga-24h'!N98)</f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23" t="s">
        <v>139</v>
      </c>
      <c r="C99" s="49">
        <f>AVERAGE('09.08 Kotido-Karenga-24h'!C99,'10.08 Kotido-Karenga-24h'!C99)</f>
        <v>0</v>
      </c>
      <c r="D99" s="49">
        <f>AVERAGE('09.08 Kotido-Karenga-24h'!D99,'10.08 Kotido-Karenga-24h'!D99)</f>
        <v>0</v>
      </c>
      <c r="E99" s="49">
        <f>AVERAGE('09.08 Kotido-Karenga-24h'!E99,'10.08 Kotido-Karenga-24h'!E99)</f>
        <v>0</v>
      </c>
      <c r="F99" s="49">
        <f>AVERAGE('09.08 Kotido-Karenga-24h'!F99,'10.08 Kotido-Karenga-24h'!F99)</f>
        <v>0</v>
      </c>
      <c r="G99" s="49">
        <f>AVERAGE('09.08 Kotido-Karenga-24h'!G99,'10.08 Kotido-Karenga-24h'!G99)</f>
        <v>0</v>
      </c>
      <c r="H99" s="49">
        <f>AVERAGE('09.08 Kotido-Karenga-24h'!H99,'10.08 Kotido-Karenga-24h'!H99)</f>
        <v>0</v>
      </c>
      <c r="I99" s="49">
        <f>AVERAGE('09.08 Kotido-Karenga-24h'!I99,'10.08 Kotido-Karenga-24h'!I99)</f>
        <v>0</v>
      </c>
      <c r="J99" s="49">
        <f>AVERAGE('09.08 Kotido-Karenga-24h'!J99,'10.08 Kotido-Karenga-24h'!J99)</f>
        <v>0</v>
      </c>
      <c r="K99" s="49">
        <f>AVERAGE('09.08 Kotido-Karenga-24h'!K99,'10.08 Kotido-Karenga-24h'!K99)</f>
        <v>0</v>
      </c>
      <c r="L99" s="49">
        <f>AVERAGE('09.08 Kotido-Karenga-24h'!L99,'10.08 Kotido-Karenga-24h'!L99)</f>
        <v>0</v>
      </c>
      <c r="M99" s="49">
        <f>AVERAGE('09.08 Kotido-Karenga-24h'!M99,'10.08 Kotido-Karenga-24h'!M99)</f>
        <v>0</v>
      </c>
      <c r="N99" s="49">
        <f>AVERAGE('09.08 Kotido-Karenga-24h'!N99,'10.08 Kotido-Karenga-24h'!N99)</f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25" t="s">
        <v>140</v>
      </c>
      <c r="C100" s="49">
        <f>AVERAGE('09.08 Kotido-Karenga-24h'!C100,'10.08 Kotido-Karenga-24h'!C100)</f>
        <v>0</v>
      </c>
      <c r="D100" s="49">
        <f>AVERAGE('09.08 Kotido-Karenga-24h'!D100,'10.08 Kotido-Karenga-24h'!D100)</f>
        <v>0</v>
      </c>
      <c r="E100" s="49">
        <f>AVERAGE('09.08 Kotido-Karenga-24h'!E100,'10.08 Kotido-Karenga-24h'!E100)</f>
        <v>0</v>
      </c>
      <c r="F100" s="49">
        <f>AVERAGE('09.08 Kotido-Karenga-24h'!F100,'10.08 Kotido-Karenga-24h'!F100)</f>
        <v>0</v>
      </c>
      <c r="G100" s="49">
        <f>AVERAGE('09.08 Kotido-Karenga-24h'!G100,'10.08 Kotido-Karenga-24h'!G100)</f>
        <v>0</v>
      </c>
      <c r="H100" s="49">
        <f>AVERAGE('09.08 Kotido-Karenga-24h'!H100,'10.08 Kotido-Karenga-24h'!H100)</f>
        <v>0</v>
      </c>
      <c r="I100" s="49">
        <f>AVERAGE('09.08 Kotido-Karenga-24h'!I100,'10.08 Kotido-Karenga-24h'!I100)</f>
        <v>0</v>
      </c>
      <c r="J100" s="49">
        <f>AVERAGE('09.08 Kotido-Karenga-24h'!J100,'10.08 Kotido-Karenga-24h'!J100)</f>
        <v>0</v>
      </c>
      <c r="K100" s="49">
        <f>AVERAGE('09.08 Kotido-Karenga-24h'!K100,'10.08 Kotido-Karenga-24h'!K100)</f>
        <v>0</v>
      </c>
      <c r="L100" s="49">
        <f>AVERAGE('09.08 Kotido-Karenga-24h'!L100,'10.08 Kotido-Karenga-24h'!L100)</f>
        <v>0</v>
      </c>
      <c r="M100" s="49">
        <f>AVERAGE('09.08 Kotido-Karenga-24h'!M100,'10.08 Kotido-Karenga-24h'!M100)</f>
        <v>0</v>
      </c>
      <c r="N100" s="49">
        <f>AVERAGE('09.08 Kotido-Karenga-24h'!N100,'10.08 Kotido-Karenga-24h'!N100)</f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23" t="s">
        <v>141</v>
      </c>
      <c r="C101" s="49">
        <f>AVERAGE('09.08 Kotido-Karenga-24h'!C101,'10.08 Kotido-Karenga-24h'!C101)</f>
        <v>0</v>
      </c>
      <c r="D101" s="49">
        <f>AVERAGE('09.08 Kotido-Karenga-24h'!D101,'10.08 Kotido-Karenga-24h'!D101)</f>
        <v>0</v>
      </c>
      <c r="E101" s="49">
        <f>AVERAGE('09.08 Kotido-Karenga-24h'!E101,'10.08 Kotido-Karenga-24h'!E101)</f>
        <v>0</v>
      </c>
      <c r="F101" s="49">
        <f>AVERAGE('09.08 Kotido-Karenga-24h'!F101,'10.08 Kotido-Karenga-24h'!F101)</f>
        <v>0</v>
      </c>
      <c r="G101" s="49">
        <f>AVERAGE('09.08 Kotido-Karenga-24h'!G101,'10.08 Kotido-Karenga-24h'!G101)</f>
        <v>0</v>
      </c>
      <c r="H101" s="49">
        <f>AVERAGE('09.08 Kotido-Karenga-24h'!H101,'10.08 Kotido-Karenga-24h'!H101)</f>
        <v>0</v>
      </c>
      <c r="I101" s="49">
        <f>AVERAGE('09.08 Kotido-Karenga-24h'!I101,'10.08 Kotido-Karenga-24h'!I101)</f>
        <v>0</v>
      </c>
      <c r="J101" s="49">
        <f>AVERAGE('09.08 Kotido-Karenga-24h'!J101,'10.08 Kotido-Karenga-24h'!J101)</f>
        <v>0</v>
      </c>
      <c r="K101" s="49">
        <f>AVERAGE('09.08 Kotido-Karenga-24h'!K101,'10.08 Kotido-Karenga-24h'!K101)</f>
        <v>0</v>
      </c>
      <c r="L101" s="49">
        <f>AVERAGE('09.08 Kotido-Karenga-24h'!L101,'10.08 Kotido-Karenga-24h'!L101)</f>
        <v>0</v>
      </c>
      <c r="M101" s="49">
        <f>AVERAGE('09.08 Kotido-Karenga-24h'!M101,'10.08 Kotido-Karenga-24h'!M101)</f>
        <v>0</v>
      </c>
      <c r="N101" s="49">
        <f>AVERAGE('09.08 Kotido-Karenga-24h'!N101,'10.08 Kotido-Karenga-24h'!N101)</f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24" t="s">
        <v>142</v>
      </c>
      <c r="C102" s="49">
        <f>AVERAGE('09.08 Kotido-Karenga-24h'!C102,'10.08 Kotido-Karenga-24h'!C102)</f>
        <v>0</v>
      </c>
      <c r="D102" s="49">
        <f>AVERAGE('09.08 Kotido-Karenga-24h'!D102,'10.08 Kotido-Karenga-24h'!D102)</f>
        <v>0</v>
      </c>
      <c r="E102" s="49">
        <f>AVERAGE('09.08 Kotido-Karenga-24h'!E102,'10.08 Kotido-Karenga-24h'!E102)</f>
        <v>0</v>
      </c>
      <c r="F102" s="49">
        <f>AVERAGE('09.08 Kotido-Karenga-24h'!F102,'10.08 Kotido-Karenga-24h'!F102)</f>
        <v>0</v>
      </c>
      <c r="G102" s="49">
        <f>AVERAGE('09.08 Kotido-Karenga-24h'!G102,'10.08 Kotido-Karenga-24h'!G102)</f>
        <v>0</v>
      </c>
      <c r="H102" s="49">
        <f>AVERAGE('09.08 Kotido-Karenga-24h'!H102,'10.08 Kotido-Karenga-24h'!H102)</f>
        <v>0</v>
      </c>
      <c r="I102" s="49">
        <f>AVERAGE('09.08 Kotido-Karenga-24h'!I102,'10.08 Kotido-Karenga-24h'!I102)</f>
        <v>0</v>
      </c>
      <c r="J102" s="49">
        <f>AVERAGE('09.08 Kotido-Karenga-24h'!J102,'10.08 Kotido-Karenga-24h'!J102)</f>
        <v>0</v>
      </c>
      <c r="K102" s="49">
        <f>AVERAGE('09.08 Kotido-Karenga-24h'!K102,'10.08 Kotido-Karenga-24h'!K102)</f>
        <v>0</v>
      </c>
      <c r="L102" s="49">
        <f>AVERAGE('09.08 Kotido-Karenga-24h'!L102,'10.08 Kotido-Karenga-24h'!L102)</f>
        <v>0</v>
      </c>
      <c r="M102" s="49">
        <f>AVERAGE('09.08 Kotido-Karenga-24h'!M102,'10.08 Kotido-Karenga-24h'!M102)</f>
        <v>0</v>
      </c>
      <c r="N102" s="49">
        <f>AVERAGE('09.08 Kotido-Karenga-24h'!N102,'10.08 Kotido-Karenga-24h'!N102)</f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23" t="s">
        <v>143</v>
      </c>
      <c r="C103" s="49">
        <f>AVERAGE('09.08 Kotido-Karenga-24h'!C103,'10.08 Kotido-Karenga-24h'!C103)</f>
        <v>0</v>
      </c>
      <c r="D103" s="49">
        <f>AVERAGE('09.08 Kotido-Karenga-24h'!D103,'10.08 Kotido-Karenga-24h'!D103)</f>
        <v>0</v>
      </c>
      <c r="E103" s="49">
        <f>AVERAGE('09.08 Kotido-Karenga-24h'!E103,'10.08 Kotido-Karenga-24h'!E103)</f>
        <v>0</v>
      </c>
      <c r="F103" s="49">
        <f>AVERAGE('09.08 Kotido-Karenga-24h'!F103,'10.08 Kotido-Karenga-24h'!F103)</f>
        <v>0</v>
      </c>
      <c r="G103" s="49">
        <f>AVERAGE('09.08 Kotido-Karenga-24h'!G103,'10.08 Kotido-Karenga-24h'!G103)</f>
        <v>0</v>
      </c>
      <c r="H103" s="49">
        <f>AVERAGE('09.08 Kotido-Karenga-24h'!H103,'10.08 Kotido-Karenga-24h'!H103)</f>
        <v>0</v>
      </c>
      <c r="I103" s="49">
        <f>AVERAGE('09.08 Kotido-Karenga-24h'!I103,'10.08 Kotido-Karenga-24h'!I103)</f>
        <v>0</v>
      </c>
      <c r="J103" s="49">
        <f>AVERAGE('09.08 Kotido-Karenga-24h'!J103,'10.08 Kotido-Karenga-24h'!J103)</f>
        <v>0</v>
      </c>
      <c r="K103" s="49">
        <f>AVERAGE('09.08 Kotido-Karenga-24h'!K103,'10.08 Kotido-Karenga-24h'!K103)</f>
        <v>0</v>
      </c>
      <c r="L103" s="49">
        <f>AVERAGE('09.08 Kotido-Karenga-24h'!L103,'10.08 Kotido-Karenga-24h'!L103)</f>
        <v>0</v>
      </c>
      <c r="M103" s="49">
        <f>AVERAGE('09.08 Kotido-Karenga-24h'!M103,'10.08 Kotido-Karenga-24h'!M103)</f>
        <v>0</v>
      </c>
      <c r="N103" s="49">
        <f>AVERAGE('09.08 Kotido-Karenga-24h'!N103,'10.08 Kotido-Karenga-24h'!N103)</f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25" t="s">
        <v>144</v>
      </c>
      <c r="C104" s="49">
        <f>AVERAGE('09.08 Kotido-Karenga-24h'!C104,'10.08 Kotido-Karenga-24h'!C104)</f>
        <v>0</v>
      </c>
      <c r="D104" s="49">
        <f>AVERAGE('09.08 Kotido-Karenga-24h'!D104,'10.08 Kotido-Karenga-24h'!D104)</f>
        <v>0</v>
      </c>
      <c r="E104" s="49">
        <f>AVERAGE('09.08 Kotido-Karenga-24h'!E104,'10.08 Kotido-Karenga-24h'!E104)</f>
        <v>0</v>
      </c>
      <c r="F104" s="49">
        <f>AVERAGE('09.08 Kotido-Karenga-24h'!F104,'10.08 Kotido-Karenga-24h'!F104)</f>
        <v>0</v>
      </c>
      <c r="G104" s="49">
        <f>AVERAGE('09.08 Kotido-Karenga-24h'!G104,'10.08 Kotido-Karenga-24h'!G104)</f>
        <v>0</v>
      </c>
      <c r="H104" s="49">
        <f>AVERAGE('09.08 Kotido-Karenga-24h'!H104,'10.08 Kotido-Karenga-24h'!H104)</f>
        <v>0</v>
      </c>
      <c r="I104" s="49">
        <f>AVERAGE('09.08 Kotido-Karenga-24h'!I104,'10.08 Kotido-Karenga-24h'!I104)</f>
        <v>0</v>
      </c>
      <c r="J104" s="49">
        <f>AVERAGE('09.08 Kotido-Karenga-24h'!J104,'10.08 Kotido-Karenga-24h'!J104)</f>
        <v>0</v>
      </c>
      <c r="K104" s="49">
        <f>AVERAGE('09.08 Kotido-Karenga-24h'!K104,'10.08 Kotido-Karenga-24h'!K104)</f>
        <v>0</v>
      </c>
      <c r="L104" s="49">
        <f>AVERAGE('09.08 Kotido-Karenga-24h'!L104,'10.08 Kotido-Karenga-24h'!L104)</f>
        <v>0</v>
      </c>
      <c r="M104" s="49">
        <f>AVERAGE('09.08 Kotido-Karenga-24h'!M104,'10.08 Kotido-Karenga-24h'!M104)</f>
        <v>0</v>
      </c>
      <c r="N104" s="49">
        <f>AVERAGE('09.08 Kotido-Karenga-24h'!N104,'10.08 Kotido-Karenga-24h'!N104)</f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23" t="s">
        <v>145</v>
      </c>
      <c r="C105" s="49">
        <f>AVERAGE('09.08 Kotido-Karenga-24h'!C105,'10.08 Kotido-Karenga-24h'!C105)</f>
        <v>0</v>
      </c>
      <c r="D105" s="49">
        <f>AVERAGE('09.08 Kotido-Karenga-24h'!D105,'10.08 Kotido-Karenga-24h'!D105)</f>
        <v>0</v>
      </c>
      <c r="E105" s="49">
        <f>AVERAGE('09.08 Kotido-Karenga-24h'!E105,'10.08 Kotido-Karenga-24h'!E105)</f>
        <v>0</v>
      </c>
      <c r="F105" s="49">
        <f>AVERAGE('09.08 Kotido-Karenga-24h'!F105,'10.08 Kotido-Karenga-24h'!F105)</f>
        <v>0</v>
      </c>
      <c r="G105" s="49">
        <f>AVERAGE('09.08 Kotido-Karenga-24h'!G105,'10.08 Kotido-Karenga-24h'!G105)</f>
        <v>0</v>
      </c>
      <c r="H105" s="49">
        <f>AVERAGE('09.08 Kotido-Karenga-24h'!H105,'10.08 Kotido-Karenga-24h'!H105)</f>
        <v>0</v>
      </c>
      <c r="I105" s="49">
        <f>AVERAGE('09.08 Kotido-Karenga-24h'!I105,'10.08 Kotido-Karenga-24h'!I105)</f>
        <v>0</v>
      </c>
      <c r="J105" s="49">
        <f>AVERAGE('09.08 Kotido-Karenga-24h'!J105,'10.08 Kotido-Karenga-24h'!J105)</f>
        <v>0</v>
      </c>
      <c r="K105" s="49">
        <f>AVERAGE('09.08 Kotido-Karenga-24h'!K105,'10.08 Kotido-Karenga-24h'!K105)</f>
        <v>0</v>
      </c>
      <c r="L105" s="49">
        <f>AVERAGE('09.08 Kotido-Karenga-24h'!L105,'10.08 Kotido-Karenga-24h'!L105)</f>
        <v>0</v>
      </c>
      <c r="M105" s="49">
        <f>AVERAGE('09.08 Kotido-Karenga-24h'!M105,'10.08 Kotido-Karenga-24h'!M105)</f>
        <v>0</v>
      </c>
      <c r="N105" s="49">
        <f>AVERAGE('09.08 Kotido-Karenga-24h'!N105,'10.08 Kotido-Karenga-24h'!N105)</f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2.7142857142857135</v>
      </c>
      <c r="D106" s="16">
        <f t="shared" ref="D106:P106" si="37">SUM(D10:D105)</f>
        <v>9.2142857142857189</v>
      </c>
      <c r="E106" s="16">
        <f t="shared" si="37"/>
        <v>10.285714285714286</v>
      </c>
      <c r="F106" s="16">
        <f t="shared" si="37"/>
        <v>4.6428571428571423</v>
      </c>
      <c r="G106" s="16">
        <f t="shared" si="37"/>
        <v>0</v>
      </c>
      <c r="H106" s="16">
        <f t="shared" si="37"/>
        <v>0.14285714285714285</v>
      </c>
      <c r="I106" s="16">
        <f t="shared" si="37"/>
        <v>5.1428571428571432</v>
      </c>
      <c r="J106" s="16">
        <f t="shared" si="37"/>
        <v>1.8571428571428568</v>
      </c>
      <c r="K106" s="16">
        <f t="shared" si="37"/>
        <v>0.14285714285714285</v>
      </c>
      <c r="L106" s="16">
        <f t="shared" si="37"/>
        <v>0.2857142857142857</v>
      </c>
      <c r="M106" s="16">
        <f t="shared" si="37"/>
        <v>102.92857142857144</v>
      </c>
      <c r="N106" s="16">
        <f t="shared" si="37"/>
        <v>0.14285714285714285</v>
      </c>
      <c r="O106" s="16">
        <f t="shared" si="37"/>
        <v>34.571428571428562</v>
      </c>
      <c r="P106" s="16">
        <f t="shared" si="37"/>
        <v>137.49999999999997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1.9740259740259739E-2</v>
      </c>
      <c r="D107" s="43">
        <f t="shared" si="38"/>
        <v>6.7012987012987066E-2</v>
      </c>
      <c r="E107" s="43">
        <f t="shared" si="38"/>
        <v>7.4805194805194833E-2</v>
      </c>
      <c r="F107" s="43">
        <f t="shared" si="38"/>
        <v>3.3766233766233771E-2</v>
      </c>
      <c r="G107" s="43">
        <f t="shared" si="38"/>
        <v>0</v>
      </c>
      <c r="H107" s="43">
        <f t="shared" si="38"/>
        <v>1.0389610389610392E-3</v>
      </c>
      <c r="I107" s="43">
        <f t="shared" si="38"/>
        <v>3.7402597402597416E-2</v>
      </c>
      <c r="J107" s="43">
        <f t="shared" si="38"/>
        <v>1.3506493506493506E-2</v>
      </c>
      <c r="K107" s="43">
        <f t="shared" si="38"/>
        <v>1.0389610389610392E-3</v>
      </c>
      <c r="L107" s="43">
        <f t="shared" si="38"/>
        <v>2.0779220779220784E-3</v>
      </c>
      <c r="M107" s="43">
        <f t="shared" si="38"/>
        <v>0.74857142857142889</v>
      </c>
      <c r="N107" s="43">
        <f t="shared" si="38"/>
        <v>1.0389610389610392E-3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7.8512396694214878E-2</v>
      </c>
      <c r="D108" s="44">
        <f t="shared" ref="D108:N108" si="39">D106/$O$106</f>
        <v>0.26652892561983493</v>
      </c>
      <c r="E108" s="44">
        <f t="shared" si="39"/>
        <v>0.29752066115702491</v>
      </c>
      <c r="F108" s="44">
        <f t="shared" si="39"/>
        <v>0.13429752066115705</v>
      </c>
      <c r="G108" s="44">
        <f t="shared" si="39"/>
        <v>0</v>
      </c>
      <c r="H108" s="44">
        <f t="shared" si="39"/>
        <v>4.1322314049586787E-3</v>
      </c>
      <c r="I108" s="44">
        <f t="shared" si="39"/>
        <v>0.14876033057851246</v>
      </c>
      <c r="J108" s="44">
        <f t="shared" si="39"/>
        <v>5.3719008264462811E-2</v>
      </c>
      <c r="K108" s="44">
        <f t="shared" si="39"/>
        <v>4.1322314049586787E-3</v>
      </c>
      <c r="L108" s="44">
        <f t="shared" si="39"/>
        <v>8.2644628099173573E-3</v>
      </c>
      <c r="M108" s="44"/>
      <c r="N108" s="44">
        <f t="shared" si="39"/>
        <v>4.1322314049586787E-3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L70" zoomScale="60" workbookViewId="0">
      <selection activeCell="AE56" sqref="AE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Karenga-Kotido'!C3:G3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'11.08 Karenga-Kotido'!G5:H5</f>
        <v>Kabong</v>
      </c>
      <c r="H5" s="64"/>
      <c r="I5" s="14"/>
      <c r="J5" s="2" t="s">
        <v>5</v>
      </c>
      <c r="K5" s="63" t="str">
        <f>'11.08 Karenga-Kotido'!K5:L5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Karenga-Kotido'!D6:E6</f>
        <v>Karenga</v>
      </c>
      <c r="E6" s="64"/>
      <c r="F6" s="2" t="s">
        <v>2</v>
      </c>
      <c r="G6" s="63" t="str">
        <f>'11.08 Karenga-Kotido'!G6:H6</f>
        <v>Kotido</v>
      </c>
      <c r="H6" s="64"/>
      <c r="J6" s="2" t="s">
        <v>21</v>
      </c>
      <c r="K6" s="63">
        <f>'11.08 Karenga-Kotido'!K6:L6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AVERAGE('05.08 Karenga-Kotido'!C10,'06.08 Karenga-Kotido'!C10,'07.08 Karenga-Kotido'!C10,'08.08 Karenga-Kotido'!C10,'09.08 Karenga-Kotido-24h'!C10,'10.08 Karenga-Kotido-24h'!C10,'11.08 Karenga-Kotido'!C10)</f>
        <v>0</v>
      </c>
      <c r="D10" s="49">
        <f>AVERAGE('05.08 Karenga-Kotido'!D10,'06.08 Karenga-Kotido'!D10,'07.08 Karenga-Kotido'!D10,'08.08 Karenga-Kotido'!D10,'09.08 Karenga-Kotido-24h'!D10,'10.08 Karenga-Kotido-24h'!D10,'11.08 Karenga-Kotido'!D10)</f>
        <v>0.14285714285714285</v>
      </c>
      <c r="E10" s="49">
        <f>AVERAGE('05.08 Karenga-Kotido'!E10,'06.08 Karenga-Kotido'!E10,'07.08 Karenga-Kotido'!E10,'08.08 Karenga-Kotido'!E10,'09.08 Karenga-Kotido-24h'!E10,'10.08 Karenga-Kotido-24h'!E10,'11.08 Karenga-Kotido'!E10)</f>
        <v>0</v>
      </c>
      <c r="F10" s="49">
        <f>AVERAGE('05.08 Karenga-Kotido'!F10,'06.08 Karenga-Kotido'!F10,'07.08 Karenga-Kotido'!F10,'08.08 Karenga-Kotido'!F10,'09.08 Karenga-Kotido-24h'!F10,'10.08 Karenga-Kotido-24h'!F10,'11.08 Karenga-Kotido'!F10)</f>
        <v>0</v>
      </c>
      <c r="G10" s="49">
        <f>AVERAGE('05.08 Karenga-Kotido'!G10,'06.08 Karenga-Kotido'!G10,'07.08 Karenga-Kotido'!G10,'08.08 Karenga-Kotido'!G10,'09.08 Karenga-Kotido-24h'!G10,'10.08 Karenga-Kotido-24h'!G10,'11.08 Karenga-Kotido'!G10)</f>
        <v>0</v>
      </c>
      <c r="H10" s="49">
        <f>AVERAGE('05.08 Karenga-Kotido'!H10,'06.08 Karenga-Kotido'!H10,'07.08 Karenga-Kotido'!H10,'08.08 Karenga-Kotido'!H10,'09.08 Karenga-Kotido-24h'!H10,'10.08 Karenga-Kotido-24h'!H10,'11.08 Karenga-Kotido'!H10)</f>
        <v>0</v>
      </c>
      <c r="I10" s="49">
        <f>AVERAGE('05.08 Karenga-Kotido'!I10,'06.08 Karenga-Kotido'!I10,'07.08 Karenga-Kotido'!I10,'08.08 Karenga-Kotido'!I10,'09.08 Karenga-Kotido-24h'!I10,'10.08 Karenga-Kotido-24h'!I10,'11.08 Karenga-Kotido'!I10)</f>
        <v>0</v>
      </c>
      <c r="J10" s="49">
        <f>AVERAGE('05.08 Karenga-Kotido'!J10,'06.08 Karenga-Kotido'!J10,'07.08 Karenga-Kotido'!J10,'08.08 Karenga-Kotido'!J10,'09.08 Karenga-Kotido-24h'!J10,'10.08 Karenga-Kotido-24h'!J10,'11.08 Karenga-Kotido'!J10)</f>
        <v>0</v>
      </c>
      <c r="K10" s="49">
        <f>AVERAGE('05.08 Karenga-Kotido'!K10,'06.08 Karenga-Kotido'!K10,'07.08 Karenga-Kotido'!K10,'08.08 Karenga-Kotido'!K10,'09.08 Karenga-Kotido-24h'!K10,'10.08 Karenga-Kotido-24h'!K10,'11.08 Karenga-Kotido'!K10)</f>
        <v>0</v>
      </c>
      <c r="L10" s="49">
        <f>AVERAGE('05.08 Karenga-Kotido'!L10,'06.08 Karenga-Kotido'!L10,'07.08 Karenga-Kotido'!L10,'08.08 Karenga-Kotido'!L10,'09.08 Karenga-Kotido-24h'!L10,'10.08 Karenga-Kotido-24h'!L10,'11.08 Karenga-Kotido'!L10)</f>
        <v>0</v>
      </c>
      <c r="M10" s="49">
        <f>AVERAGE('05.08 Karenga-Kotido'!M10,'06.08 Karenga-Kotido'!M10,'07.08 Karenga-Kotido'!M10,'08.08 Karenga-Kotido'!M10,'09.08 Karenga-Kotido-24h'!M10,'10.08 Karenga-Kotido-24h'!M10,'11.08 Karenga-Kotido'!M10)</f>
        <v>0.8571428571428571</v>
      </c>
      <c r="N10" s="49">
        <f>AVERAGE('05.08 Karenga-Kotido'!N10,'06.08 Karenga-Kotido'!N10,'07.08 Karenga-Kotido'!N10,'08.08 Karenga-Kotido'!N10,'09.08 Karenga-Kotido-24h'!N10,'10.08 Karenga-Kotido-24h'!N10,'11.08 Karenga-Kotido'!N10)</f>
        <v>0</v>
      </c>
      <c r="O10" s="15">
        <f t="shared" ref="O10:O73" si="0">SUM(C10:L10,N10)</f>
        <v>0.14285714285714285</v>
      </c>
      <c r="P10" s="15">
        <f t="shared" ref="P10:P73" si="1">SUM(C10:N10)</f>
        <v>1</v>
      </c>
      <c r="R10" s="1" t="s">
        <v>6</v>
      </c>
      <c r="S10" s="17">
        <f t="shared" ref="S10:AF10" si="2">SUM(C10:C13)</f>
        <v>0</v>
      </c>
      <c r="T10" s="17">
        <f t="shared" si="2"/>
        <v>0.71428571428571419</v>
      </c>
      <c r="U10" s="17">
        <f t="shared" si="2"/>
        <v>0.2857142857142857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0.2857142857142857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5.2857142857142856</v>
      </c>
      <c r="AD10" s="17">
        <f t="shared" si="2"/>
        <v>0</v>
      </c>
      <c r="AE10" s="31">
        <f t="shared" si="2"/>
        <v>1.2857142857142856</v>
      </c>
      <c r="AF10" s="31">
        <f t="shared" si="2"/>
        <v>6.5714285714285712</v>
      </c>
    </row>
    <row r="11" spans="2:32" s="6" customFormat="1" ht="23.1" customHeight="1" x14ac:dyDescent="0.25">
      <c r="B11" s="23" t="s">
        <v>38</v>
      </c>
      <c r="C11" s="49">
        <f>AVERAGE('05.08 Karenga-Kotido'!C11,'06.08 Karenga-Kotido'!C11,'07.08 Karenga-Kotido'!C11,'08.08 Karenga-Kotido'!C11,'09.08 Karenga-Kotido-24h'!C11,'10.08 Karenga-Kotido-24h'!C11,'11.08 Karenga-Kotido'!C11)</f>
        <v>0</v>
      </c>
      <c r="D11" s="49">
        <f>AVERAGE('05.08 Karenga-Kotido'!D11,'06.08 Karenga-Kotido'!D11,'07.08 Karenga-Kotido'!D11,'08.08 Karenga-Kotido'!D11,'09.08 Karenga-Kotido-24h'!D11,'10.08 Karenga-Kotido-24h'!D11,'11.08 Karenga-Kotido'!D11)</f>
        <v>0.14285714285714285</v>
      </c>
      <c r="E11" s="49">
        <f>AVERAGE('05.08 Karenga-Kotido'!E11,'06.08 Karenga-Kotido'!E11,'07.08 Karenga-Kotido'!E11,'08.08 Karenga-Kotido'!E11,'09.08 Karenga-Kotido-24h'!E11,'10.08 Karenga-Kotido-24h'!E11,'11.08 Karenga-Kotido'!E11)</f>
        <v>0.2857142857142857</v>
      </c>
      <c r="F11" s="49">
        <f>AVERAGE('05.08 Karenga-Kotido'!F11,'06.08 Karenga-Kotido'!F11,'07.08 Karenga-Kotido'!F11,'08.08 Karenga-Kotido'!F11,'09.08 Karenga-Kotido-24h'!F11,'10.08 Karenga-Kotido-24h'!F11,'11.08 Karenga-Kotido'!F11)</f>
        <v>0</v>
      </c>
      <c r="G11" s="49">
        <f>AVERAGE('05.08 Karenga-Kotido'!G11,'06.08 Karenga-Kotido'!G11,'07.08 Karenga-Kotido'!G11,'08.08 Karenga-Kotido'!G11,'09.08 Karenga-Kotido-24h'!G11,'10.08 Karenga-Kotido-24h'!G11,'11.08 Karenga-Kotido'!G11)</f>
        <v>0</v>
      </c>
      <c r="H11" s="49">
        <f>AVERAGE('05.08 Karenga-Kotido'!H11,'06.08 Karenga-Kotido'!H11,'07.08 Karenga-Kotido'!H11,'08.08 Karenga-Kotido'!H11,'09.08 Karenga-Kotido-24h'!H11,'10.08 Karenga-Kotido-24h'!H11,'11.08 Karenga-Kotido'!H11)</f>
        <v>0</v>
      </c>
      <c r="I11" s="49">
        <f>AVERAGE('05.08 Karenga-Kotido'!I11,'06.08 Karenga-Kotido'!I11,'07.08 Karenga-Kotido'!I11,'08.08 Karenga-Kotido'!I11,'09.08 Karenga-Kotido-24h'!I11,'10.08 Karenga-Kotido-24h'!I11,'11.08 Karenga-Kotido'!I11)</f>
        <v>0</v>
      </c>
      <c r="J11" s="49">
        <f>AVERAGE('05.08 Karenga-Kotido'!J11,'06.08 Karenga-Kotido'!J11,'07.08 Karenga-Kotido'!J11,'08.08 Karenga-Kotido'!J11,'09.08 Karenga-Kotido-24h'!J11,'10.08 Karenga-Kotido-24h'!J11,'11.08 Karenga-Kotido'!J11)</f>
        <v>0</v>
      </c>
      <c r="K11" s="49">
        <f>AVERAGE('05.08 Karenga-Kotido'!K11,'06.08 Karenga-Kotido'!K11,'07.08 Karenga-Kotido'!K11,'08.08 Karenga-Kotido'!K11,'09.08 Karenga-Kotido-24h'!K11,'10.08 Karenga-Kotido-24h'!K11,'11.08 Karenga-Kotido'!K11)</f>
        <v>0</v>
      </c>
      <c r="L11" s="49">
        <f>AVERAGE('05.08 Karenga-Kotido'!L11,'06.08 Karenga-Kotido'!L11,'07.08 Karenga-Kotido'!L11,'08.08 Karenga-Kotido'!L11,'09.08 Karenga-Kotido-24h'!L11,'10.08 Karenga-Kotido-24h'!L11,'11.08 Karenga-Kotido'!L11)</f>
        <v>0</v>
      </c>
      <c r="M11" s="49">
        <f>AVERAGE('05.08 Karenga-Kotido'!M11,'06.08 Karenga-Kotido'!M11,'07.08 Karenga-Kotido'!M11,'08.08 Karenga-Kotido'!M11,'09.08 Karenga-Kotido-24h'!M11,'10.08 Karenga-Kotido-24h'!M11,'11.08 Karenga-Kotido'!M11)</f>
        <v>0.42857142857142855</v>
      </c>
      <c r="N11" s="49">
        <f>AVERAGE('05.08 Karenga-Kotido'!N11,'06.08 Karenga-Kotido'!N11,'07.08 Karenga-Kotido'!N11,'08.08 Karenga-Kotido'!N11,'09.08 Karenga-Kotido-24h'!N11,'10.08 Karenga-Kotido-24h'!N11,'11.08 Karenga-Kotido'!N11)</f>
        <v>0</v>
      </c>
      <c r="O11" s="15">
        <f t="shared" si="0"/>
        <v>0.42857142857142855</v>
      </c>
      <c r="P11" s="15">
        <f t="shared" si="1"/>
        <v>0.8571428571428571</v>
      </c>
      <c r="R11" s="1" t="s">
        <v>7</v>
      </c>
      <c r="S11" s="17">
        <f t="shared" ref="S11:AF11" si="3">SUM(C14:C17)</f>
        <v>0.2857142857142857</v>
      </c>
      <c r="T11" s="17">
        <f t="shared" si="3"/>
        <v>0.42857142857142855</v>
      </c>
      <c r="U11" s="17">
        <f t="shared" si="3"/>
        <v>0.2857142857142857</v>
      </c>
      <c r="V11" s="17">
        <f t="shared" si="3"/>
        <v>0.2857142857142857</v>
      </c>
      <c r="W11" s="17">
        <f t="shared" si="3"/>
        <v>0</v>
      </c>
      <c r="X11" s="17">
        <f t="shared" si="3"/>
        <v>0</v>
      </c>
      <c r="Y11" s="17">
        <f t="shared" si="3"/>
        <v>0.14285714285714285</v>
      </c>
      <c r="Z11" s="17">
        <f t="shared" si="3"/>
        <v>0.14285714285714285</v>
      </c>
      <c r="AA11" s="17">
        <f t="shared" si="3"/>
        <v>0</v>
      </c>
      <c r="AB11" s="17">
        <f t="shared" si="3"/>
        <v>0</v>
      </c>
      <c r="AC11" s="17">
        <f t="shared" si="3"/>
        <v>8</v>
      </c>
      <c r="AD11" s="17">
        <f t="shared" si="3"/>
        <v>0</v>
      </c>
      <c r="AE11" s="31">
        <f t="shared" si="3"/>
        <v>1.5714285714285712</v>
      </c>
      <c r="AF11" s="31">
        <f t="shared" si="3"/>
        <v>9.5714285714285712</v>
      </c>
    </row>
    <row r="12" spans="2:32" ht="23.1" customHeight="1" x14ac:dyDescent="0.25">
      <c r="B12" s="23" t="s">
        <v>39</v>
      </c>
      <c r="C12" s="49">
        <f>AVERAGE('05.08 Karenga-Kotido'!C12,'06.08 Karenga-Kotido'!C12,'07.08 Karenga-Kotido'!C12,'08.08 Karenga-Kotido'!C12,'09.08 Karenga-Kotido-24h'!C12,'10.08 Karenga-Kotido-24h'!C12,'11.08 Karenga-Kotido'!C12)</f>
        <v>0</v>
      </c>
      <c r="D12" s="49">
        <f>AVERAGE('05.08 Karenga-Kotido'!D12,'06.08 Karenga-Kotido'!D12,'07.08 Karenga-Kotido'!D12,'08.08 Karenga-Kotido'!D12,'09.08 Karenga-Kotido-24h'!D12,'10.08 Karenga-Kotido-24h'!D12,'11.08 Karenga-Kotido'!D12)</f>
        <v>0.14285714285714285</v>
      </c>
      <c r="E12" s="49">
        <f>AVERAGE('05.08 Karenga-Kotido'!E12,'06.08 Karenga-Kotido'!E12,'07.08 Karenga-Kotido'!E12,'08.08 Karenga-Kotido'!E12,'09.08 Karenga-Kotido-24h'!E12,'10.08 Karenga-Kotido-24h'!E12,'11.08 Karenga-Kotido'!E12)</f>
        <v>0</v>
      </c>
      <c r="F12" s="49">
        <f>AVERAGE('05.08 Karenga-Kotido'!F12,'06.08 Karenga-Kotido'!F12,'07.08 Karenga-Kotido'!F12,'08.08 Karenga-Kotido'!F12,'09.08 Karenga-Kotido-24h'!F12,'10.08 Karenga-Kotido-24h'!F12,'11.08 Karenga-Kotido'!F12)</f>
        <v>0</v>
      </c>
      <c r="G12" s="49">
        <f>AVERAGE('05.08 Karenga-Kotido'!G12,'06.08 Karenga-Kotido'!G12,'07.08 Karenga-Kotido'!G12,'08.08 Karenga-Kotido'!G12,'09.08 Karenga-Kotido-24h'!G12,'10.08 Karenga-Kotido-24h'!G12,'11.08 Karenga-Kotido'!G12)</f>
        <v>0</v>
      </c>
      <c r="H12" s="49">
        <f>AVERAGE('05.08 Karenga-Kotido'!H12,'06.08 Karenga-Kotido'!H12,'07.08 Karenga-Kotido'!H12,'08.08 Karenga-Kotido'!H12,'09.08 Karenga-Kotido-24h'!H12,'10.08 Karenga-Kotido-24h'!H12,'11.08 Karenga-Kotido'!H12)</f>
        <v>0</v>
      </c>
      <c r="I12" s="49">
        <f>AVERAGE('05.08 Karenga-Kotido'!I12,'06.08 Karenga-Kotido'!I12,'07.08 Karenga-Kotido'!I12,'08.08 Karenga-Kotido'!I12,'09.08 Karenga-Kotido-24h'!I12,'10.08 Karenga-Kotido-24h'!I12,'11.08 Karenga-Kotido'!I12)</f>
        <v>0</v>
      </c>
      <c r="J12" s="49">
        <f>AVERAGE('05.08 Karenga-Kotido'!J12,'06.08 Karenga-Kotido'!J12,'07.08 Karenga-Kotido'!J12,'08.08 Karenga-Kotido'!J12,'09.08 Karenga-Kotido-24h'!J12,'10.08 Karenga-Kotido-24h'!J12,'11.08 Karenga-Kotido'!J12)</f>
        <v>0</v>
      </c>
      <c r="K12" s="49">
        <f>AVERAGE('05.08 Karenga-Kotido'!K12,'06.08 Karenga-Kotido'!K12,'07.08 Karenga-Kotido'!K12,'08.08 Karenga-Kotido'!K12,'09.08 Karenga-Kotido-24h'!K12,'10.08 Karenga-Kotido-24h'!K12,'11.08 Karenga-Kotido'!K12)</f>
        <v>0</v>
      </c>
      <c r="L12" s="49">
        <f>AVERAGE('05.08 Karenga-Kotido'!L12,'06.08 Karenga-Kotido'!L12,'07.08 Karenga-Kotido'!L12,'08.08 Karenga-Kotido'!L12,'09.08 Karenga-Kotido-24h'!L12,'10.08 Karenga-Kotido-24h'!L12,'11.08 Karenga-Kotido'!L12)</f>
        <v>0</v>
      </c>
      <c r="M12" s="49">
        <f>AVERAGE('05.08 Karenga-Kotido'!M12,'06.08 Karenga-Kotido'!M12,'07.08 Karenga-Kotido'!M12,'08.08 Karenga-Kotido'!M12,'09.08 Karenga-Kotido-24h'!M12,'10.08 Karenga-Kotido-24h'!M12,'11.08 Karenga-Kotido'!M12)</f>
        <v>2.2857142857142856</v>
      </c>
      <c r="N12" s="49">
        <f>AVERAGE('05.08 Karenga-Kotido'!N12,'06.08 Karenga-Kotido'!N12,'07.08 Karenga-Kotido'!N12,'08.08 Karenga-Kotido'!N12,'09.08 Karenga-Kotido-24h'!N12,'10.08 Karenga-Kotido-24h'!N12,'11.08 Karenga-Kotido'!N12)</f>
        <v>0</v>
      </c>
      <c r="O12" s="15">
        <f t="shared" si="0"/>
        <v>0.14285714285714285</v>
      </c>
      <c r="P12" s="15">
        <f t="shared" si="1"/>
        <v>2.4285714285714284</v>
      </c>
      <c r="R12" s="1" t="s">
        <v>8</v>
      </c>
      <c r="S12" s="17">
        <f t="shared" ref="S12:AF12" si="4">SUM(C18:C21)</f>
        <v>0.14285714285714285</v>
      </c>
      <c r="T12" s="17">
        <f t="shared" si="4"/>
        <v>0.71428571428571419</v>
      </c>
      <c r="U12" s="17">
        <f t="shared" si="4"/>
        <v>0.5714285714285714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0.2857142857142857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7.4285714285714288</v>
      </c>
      <c r="AD12" s="17">
        <f t="shared" si="4"/>
        <v>0</v>
      </c>
      <c r="AE12" s="31">
        <f t="shared" si="4"/>
        <v>1.7142857142857142</v>
      </c>
      <c r="AF12" s="31">
        <f t="shared" si="4"/>
        <v>9.1428571428571423</v>
      </c>
    </row>
    <row r="13" spans="2:32" ht="23.1" customHeight="1" x14ac:dyDescent="0.25">
      <c r="B13" s="23" t="s">
        <v>40</v>
      </c>
      <c r="C13" s="49">
        <f>AVERAGE('05.08 Karenga-Kotido'!C13,'06.08 Karenga-Kotido'!C13,'07.08 Karenga-Kotido'!C13,'08.08 Karenga-Kotido'!C13,'09.08 Karenga-Kotido-24h'!C13,'10.08 Karenga-Kotido-24h'!C13,'11.08 Karenga-Kotido'!C13)</f>
        <v>0</v>
      </c>
      <c r="D13" s="49">
        <f>AVERAGE('05.08 Karenga-Kotido'!D13,'06.08 Karenga-Kotido'!D13,'07.08 Karenga-Kotido'!D13,'08.08 Karenga-Kotido'!D13,'09.08 Karenga-Kotido-24h'!D13,'10.08 Karenga-Kotido-24h'!D13,'11.08 Karenga-Kotido'!D13)</f>
        <v>0.2857142857142857</v>
      </c>
      <c r="E13" s="49">
        <f>AVERAGE('05.08 Karenga-Kotido'!E13,'06.08 Karenga-Kotido'!E13,'07.08 Karenga-Kotido'!E13,'08.08 Karenga-Kotido'!E13,'09.08 Karenga-Kotido-24h'!E13,'10.08 Karenga-Kotido-24h'!E13,'11.08 Karenga-Kotido'!E13)</f>
        <v>0</v>
      </c>
      <c r="F13" s="49">
        <f>AVERAGE('05.08 Karenga-Kotido'!F13,'06.08 Karenga-Kotido'!F13,'07.08 Karenga-Kotido'!F13,'08.08 Karenga-Kotido'!F13,'09.08 Karenga-Kotido-24h'!F13,'10.08 Karenga-Kotido-24h'!F13,'11.08 Karenga-Kotido'!F13)</f>
        <v>0</v>
      </c>
      <c r="G13" s="49">
        <f>AVERAGE('05.08 Karenga-Kotido'!G13,'06.08 Karenga-Kotido'!G13,'07.08 Karenga-Kotido'!G13,'08.08 Karenga-Kotido'!G13,'09.08 Karenga-Kotido-24h'!G13,'10.08 Karenga-Kotido-24h'!G13,'11.08 Karenga-Kotido'!G13)</f>
        <v>0</v>
      </c>
      <c r="H13" s="49">
        <f>AVERAGE('05.08 Karenga-Kotido'!H13,'06.08 Karenga-Kotido'!H13,'07.08 Karenga-Kotido'!H13,'08.08 Karenga-Kotido'!H13,'09.08 Karenga-Kotido-24h'!H13,'10.08 Karenga-Kotido-24h'!H13,'11.08 Karenga-Kotido'!H13)</f>
        <v>0</v>
      </c>
      <c r="I13" s="49">
        <f>AVERAGE('05.08 Karenga-Kotido'!I13,'06.08 Karenga-Kotido'!I13,'07.08 Karenga-Kotido'!I13,'08.08 Karenga-Kotido'!I13,'09.08 Karenga-Kotido-24h'!I13,'10.08 Karenga-Kotido-24h'!I13,'11.08 Karenga-Kotido'!I13)</f>
        <v>0.2857142857142857</v>
      </c>
      <c r="J13" s="49">
        <f>AVERAGE('05.08 Karenga-Kotido'!J13,'06.08 Karenga-Kotido'!J13,'07.08 Karenga-Kotido'!J13,'08.08 Karenga-Kotido'!J13,'09.08 Karenga-Kotido-24h'!J13,'10.08 Karenga-Kotido-24h'!J13,'11.08 Karenga-Kotido'!J13)</f>
        <v>0</v>
      </c>
      <c r="K13" s="49">
        <f>AVERAGE('05.08 Karenga-Kotido'!K13,'06.08 Karenga-Kotido'!K13,'07.08 Karenga-Kotido'!K13,'08.08 Karenga-Kotido'!K13,'09.08 Karenga-Kotido-24h'!K13,'10.08 Karenga-Kotido-24h'!K13,'11.08 Karenga-Kotido'!K13)</f>
        <v>0</v>
      </c>
      <c r="L13" s="49">
        <f>AVERAGE('05.08 Karenga-Kotido'!L13,'06.08 Karenga-Kotido'!L13,'07.08 Karenga-Kotido'!L13,'08.08 Karenga-Kotido'!L13,'09.08 Karenga-Kotido-24h'!L13,'10.08 Karenga-Kotido-24h'!L13,'11.08 Karenga-Kotido'!L13)</f>
        <v>0</v>
      </c>
      <c r="M13" s="49">
        <f>AVERAGE('05.08 Karenga-Kotido'!M13,'06.08 Karenga-Kotido'!M13,'07.08 Karenga-Kotido'!M13,'08.08 Karenga-Kotido'!M13,'09.08 Karenga-Kotido-24h'!M13,'10.08 Karenga-Kotido-24h'!M13,'11.08 Karenga-Kotido'!M13)</f>
        <v>1.7142857142857142</v>
      </c>
      <c r="N13" s="49">
        <f>AVERAGE('05.08 Karenga-Kotido'!N13,'06.08 Karenga-Kotido'!N13,'07.08 Karenga-Kotido'!N13,'08.08 Karenga-Kotido'!N13,'09.08 Karenga-Kotido-24h'!N13,'10.08 Karenga-Kotido-24h'!N13,'11.08 Karenga-Kotido'!N13)</f>
        <v>0</v>
      </c>
      <c r="O13" s="15">
        <f t="shared" si="0"/>
        <v>0.5714285714285714</v>
      </c>
      <c r="P13" s="15">
        <f t="shared" si="1"/>
        <v>2.2857142857142856</v>
      </c>
      <c r="R13" s="1" t="s">
        <v>9</v>
      </c>
      <c r="S13" s="17">
        <f t="shared" ref="S13:AF13" si="5">SUM(C22:C25)</f>
        <v>0</v>
      </c>
      <c r="T13" s="17">
        <f t="shared" si="5"/>
        <v>0.2857142857142857</v>
      </c>
      <c r="U13" s="17">
        <f t="shared" si="5"/>
        <v>0.5714285714285714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0.71428571428571419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7.4285714285714288</v>
      </c>
      <c r="AD13" s="17">
        <f t="shared" si="5"/>
        <v>0</v>
      </c>
      <c r="AE13" s="31">
        <f t="shared" si="5"/>
        <v>1.5714285714285712</v>
      </c>
      <c r="AF13" s="31">
        <f t="shared" si="5"/>
        <v>9</v>
      </c>
    </row>
    <row r="14" spans="2:32" ht="23.1" customHeight="1" x14ac:dyDescent="0.25">
      <c r="B14" s="23" t="s">
        <v>41</v>
      </c>
      <c r="C14" s="49">
        <f>AVERAGE('05.08 Karenga-Kotido'!C14,'06.08 Karenga-Kotido'!C14,'07.08 Karenga-Kotido'!C14,'08.08 Karenga-Kotido'!C14,'09.08 Karenga-Kotido-24h'!C14,'10.08 Karenga-Kotido-24h'!C14,'11.08 Karenga-Kotido'!C14)</f>
        <v>0.14285714285714285</v>
      </c>
      <c r="D14" s="49">
        <f>AVERAGE('05.08 Karenga-Kotido'!D14,'06.08 Karenga-Kotido'!D14,'07.08 Karenga-Kotido'!D14,'08.08 Karenga-Kotido'!D14,'09.08 Karenga-Kotido-24h'!D14,'10.08 Karenga-Kotido-24h'!D14,'11.08 Karenga-Kotido'!D14)</f>
        <v>0</v>
      </c>
      <c r="E14" s="49">
        <f>AVERAGE('05.08 Karenga-Kotido'!E14,'06.08 Karenga-Kotido'!E14,'07.08 Karenga-Kotido'!E14,'08.08 Karenga-Kotido'!E14,'09.08 Karenga-Kotido-24h'!E14,'10.08 Karenga-Kotido-24h'!E14,'11.08 Karenga-Kotido'!E14)</f>
        <v>0.2857142857142857</v>
      </c>
      <c r="F14" s="49">
        <f>AVERAGE('05.08 Karenga-Kotido'!F14,'06.08 Karenga-Kotido'!F14,'07.08 Karenga-Kotido'!F14,'08.08 Karenga-Kotido'!F14,'09.08 Karenga-Kotido-24h'!F14,'10.08 Karenga-Kotido-24h'!F14,'11.08 Karenga-Kotido'!F14)</f>
        <v>0.14285714285714285</v>
      </c>
      <c r="G14" s="49">
        <f>AVERAGE('05.08 Karenga-Kotido'!G14,'06.08 Karenga-Kotido'!G14,'07.08 Karenga-Kotido'!G14,'08.08 Karenga-Kotido'!G14,'09.08 Karenga-Kotido-24h'!G14,'10.08 Karenga-Kotido-24h'!G14,'11.08 Karenga-Kotido'!G14)</f>
        <v>0</v>
      </c>
      <c r="H14" s="49">
        <f>AVERAGE('05.08 Karenga-Kotido'!H14,'06.08 Karenga-Kotido'!H14,'07.08 Karenga-Kotido'!H14,'08.08 Karenga-Kotido'!H14,'09.08 Karenga-Kotido-24h'!H14,'10.08 Karenga-Kotido-24h'!H14,'11.08 Karenga-Kotido'!H14)</f>
        <v>0</v>
      </c>
      <c r="I14" s="49">
        <f>AVERAGE('05.08 Karenga-Kotido'!I14,'06.08 Karenga-Kotido'!I14,'07.08 Karenga-Kotido'!I14,'08.08 Karenga-Kotido'!I14,'09.08 Karenga-Kotido-24h'!I14,'10.08 Karenga-Kotido-24h'!I14,'11.08 Karenga-Kotido'!I14)</f>
        <v>0</v>
      </c>
      <c r="J14" s="49">
        <f>AVERAGE('05.08 Karenga-Kotido'!J14,'06.08 Karenga-Kotido'!J14,'07.08 Karenga-Kotido'!J14,'08.08 Karenga-Kotido'!J14,'09.08 Karenga-Kotido-24h'!J14,'10.08 Karenga-Kotido-24h'!J14,'11.08 Karenga-Kotido'!J14)</f>
        <v>0</v>
      </c>
      <c r="K14" s="49">
        <f>AVERAGE('05.08 Karenga-Kotido'!K14,'06.08 Karenga-Kotido'!K14,'07.08 Karenga-Kotido'!K14,'08.08 Karenga-Kotido'!K14,'09.08 Karenga-Kotido-24h'!K14,'10.08 Karenga-Kotido-24h'!K14,'11.08 Karenga-Kotido'!K14)</f>
        <v>0</v>
      </c>
      <c r="L14" s="49">
        <f>AVERAGE('05.08 Karenga-Kotido'!L14,'06.08 Karenga-Kotido'!L14,'07.08 Karenga-Kotido'!L14,'08.08 Karenga-Kotido'!L14,'09.08 Karenga-Kotido-24h'!L14,'10.08 Karenga-Kotido-24h'!L14,'11.08 Karenga-Kotido'!L14)</f>
        <v>0</v>
      </c>
      <c r="M14" s="49">
        <f>AVERAGE('05.08 Karenga-Kotido'!M14,'06.08 Karenga-Kotido'!M14,'07.08 Karenga-Kotido'!M14,'08.08 Karenga-Kotido'!M14,'09.08 Karenga-Kotido-24h'!M14,'10.08 Karenga-Kotido-24h'!M14,'11.08 Karenga-Kotido'!M14)</f>
        <v>1.2857142857142858</v>
      </c>
      <c r="N14" s="49">
        <f>AVERAGE('05.08 Karenga-Kotido'!N14,'06.08 Karenga-Kotido'!N14,'07.08 Karenga-Kotido'!N14,'08.08 Karenga-Kotido'!N14,'09.08 Karenga-Kotido-24h'!N14,'10.08 Karenga-Kotido-24h'!N14,'11.08 Karenga-Kotido'!N14)</f>
        <v>0</v>
      </c>
      <c r="O14" s="15">
        <f t="shared" si="0"/>
        <v>0.5714285714285714</v>
      </c>
      <c r="P14" s="15">
        <f t="shared" si="1"/>
        <v>1.8571428571428572</v>
      </c>
      <c r="R14" s="1" t="s">
        <v>10</v>
      </c>
      <c r="S14" s="17">
        <f t="shared" ref="S14:AF14" si="6">SUM(C26:C29)</f>
        <v>0</v>
      </c>
      <c r="T14" s="17">
        <f t="shared" si="6"/>
        <v>0.5714285714285714</v>
      </c>
      <c r="U14" s="17">
        <f t="shared" si="6"/>
        <v>0.5714285714285714</v>
      </c>
      <c r="V14" s="17">
        <f t="shared" si="6"/>
        <v>0.2857142857142857</v>
      </c>
      <c r="W14" s="17">
        <f t="shared" si="6"/>
        <v>0</v>
      </c>
      <c r="X14" s="17">
        <f t="shared" si="6"/>
        <v>0</v>
      </c>
      <c r="Y14" s="17">
        <f t="shared" si="6"/>
        <v>0.5714285714285714</v>
      </c>
      <c r="Z14" s="17">
        <f t="shared" si="6"/>
        <v>0.2857142857142857</v>
      </c>
      <c r="AA14" s="17">
        <f t="shared" si="6"/>
        <v>0.14285714285714285</v>
      </c>
      <c r="AB14" s="17">
        <f t="shared" si="6"/>
        <v>0</v>
      </c>
      <c r="AC14" s="17">
        <f t="shared" si="6"/>
        <v>8.7142857142857135</v>
      </c>
      <c r="AD14" s="17">
        <f t="shared" si="6"/>
        <v>0</v>
      </c>
      <c r="AE14" s="31">
        <f t="shared" si="6"/>
        <v>2.4285714285714284</v>
      </c>
      <c r="AF14" s="31">
        <f t="shared" si="6"/>
        <v>11.142857142857142</v>
      </c>
    </row>
    <row r="15" spans="2:32" ht="23.1" customHeight="1" x14ac:dyDescent="0.25">
      <c r="B15" s="23" t="s">
        <v>42</v>
      </c>
      <c r="C15" s="49">
        <f>AVERAGE('05.08 Karenga-Kotido'!C15,'06.08 Karenga-Kotido'!C15,'07.08 Karenga-Kotido'!C15,'08.08 Karenga-Kotido'!C15,'09.08 Karenga-Kotido-24h'!C15,'10.08 Karenga-Kotido-24h'!C15,'11.08 Karenga-Kotido'!C15)</f>
        <v>0</v>
      </c>
      <c r="D15" s="49">
        <f>AVERAGE('05.08 Karenga-Kotido'!D15,'06.08 Karenga-Kotido'!D15,'07.08 Karenga-Kotido'!D15,'08.08 Karenga-Kotido'!D15,'09.08 Karenga-Kotido-24h'!D15,'10.08 Karenga-Kotido-24h'!D15,'11.08 Karenga-Kotido'!D15)</f>
        <v>0</v>
      </c>
      <c r="E15" s="49">
        <f>AVERAGE('05.08 Karenga-Kotido'!E15,'06.08 Karenga-Kotido'!E15,'07.08 Karenga-Kotido'!E15,'08.08 Karenga-Kotido'!E15,'09.08 Karenga-Kotido-24h'!E15,'10.08 Karenga-Kotido-24h'!E15,'11.08 Karenga-Kotido'!E15)</f>
        <v>0</v>
      </c>
      <c r="F15" s="49">
        <f>AVERAGE('05.08 Karenga-Kotido'!F15,'06.08 Karenga-Kotido'!F15,'07.08 Karenga-Kotido'!F15,'08.08 Karenga-Kotido'!F15,'09.08 Karenga-Kotido-24h'!F15,'10.08 Karenga-Kotido-24h'!F15,'11.08 Karenga-Kotido'!F15)</f>
        <v>0.14285714285714285</v>
      </c>
      <c r="G15" s="49">
        <f>AVERAGE('05.08 Karenga-Kotido'!G15,'06.08 Karenga-Kotido'!G15,'07.08 Karenga-Kotido'!G15,'08.08 Karenga-Kotido'!G15,'09.08 Karenga-Kotido-24h'!G15,'10.08 Karenga-Kotido-24h'!G15,'11.08 Karenga-Kotido'!G15)</f>
        <v>0</v>
      </c>
      <c r="H15" s="49">
        <f>AVERAGE('05.08 Karenga-Kotido'!H15,'06.08 Karenga-Kotido'!H15,'07.08 Karenga-Kotido'!H15,'08.08 Karenga-Kotido'!H15,'09.08 Karenga-Kotido-24h'!H15,'10.08 Karenga-Kotido-24h'!H15,'11.08 Karenga-Kotido'!H15)</f>
        <v>0</v>
      </c>
      <c r="I15" s="49">
        <f>AVERAGE('05.08 Karenga-Kotido'!I15,'06.08 Karenga-Kotido'!I15,'07.08 Karenga-Kotido'!I15,'08.08 Karenga-Kotido'!I15,'09.08 Karenga-Kotido-24h'!I15,'10.08 Karenga-Kotido-24h'!I15,'11.08 Karenga-Kotido'!I15)</f>
        <v>0</v>
      </c>
      <c r="J15" s="49">
        <f>AVERAGE('05.08 Karenga-Kotido'!J15,'06.08 Karenga-Kotido'!J15,'07.08 Karenga-Kotido'!J15,'08.08 Karenga-Kotido'!J15,'09.08 Karenga-Kotido-24h'!J15,'10.08 Karenga-Kotido-24h'!J15,'11.08 Karenga-Kotido'!J15)</f>
        <v>0</v>
      </c>
      <c r="K15" s="49">
        <f>AVERAGE('05.08 Karenga-Kotido'!K15,'06.08 Karenga-Kotido'!K15,'07.08 Karenga-Kotido'!K15,'08.08 Karenga-Kotido'!K15,'09.08 Karenga-Kotido-24h'!K15,'10.08 Karenga-Kotido-24h'!K15,'11.08 Karenga-Kotido'!K15)</f>
        <v>0</v>
      </c>
      <c r="L15" s="49">
        <f>AVERAGE('05.08 Karenga-Kotido'!L15,'06.08 Karenga-Kotido'!L15,'07.08 Karenga-Kotido'!L15,'08.08 Karenga-Kotido'!L15,'09.08 Karenga-Kotido-24h'!L15,'10.08 Karenga-Kotido-24h'!L15,'11.08 Karenga-Kotido'!L15)</f>
        <v>0</v>
      </c>
      <c r="M15" s="49">
        <f>AVERAGE('05.08 Karenga-Kotido'!M15,'06.08 Karenga-Kotido'!M15,'07.08 Karenga-Kotido'!M15,'08.08 Karenga-Kotido'!M15,'09.08 Karenga-Kotido-24h'!M15,'10.08 Karenga-Kotido-24h'!M15,'11.08 Karenga-Kotido'!M15)</f>
        <v>2.4285714285714284</v>
      </c>
      <c r="N15" s="49">
        <f>AVERAGE('05.08 Karenga-Kotido'!N15,'06.08 Karenga-Kotido'!N15,'07.08 Karenga-Kotido'!N15,'08.08 Karenga-Kotido'!N15,'09.08 Karenga-Kotido-24h'!N15,'10.08 Karenga-Kotido-24h'!N15,'11.08 Karenga-Kotido'!N15)</f>
        <v>0</v>
      </c>
      <c r="O15" s="15">
        <f t="shared" si="0"/>
        <v>0.14285714285714285</v>
      </c>
      <c r="P15" s="15">
        <f t="shared" si="1"/>
        <v>2.5714285714285712</v>
      </c>
      <c r="R15" s="1" t="s">
        <v>11</v>
      </c>
      <c r="S15" s="17">
        <f t="shared" ref="S15:AF15" si="7">SUM(C30:C33)</f>
        <v>0.2857142857142857</v>
      </c>
      <c r="T15" s="17">
        <f t="shared" si="7"/>
        <v>0.99999999999999989</v>
      </c>
      <c r="U15" s="17">
        <f t="shared" si="7"/>
        <v>0.8571428571428571</v>
      </c>
      <c r="V15" s="17">
        <f t="shared" si="7"/>
        <v>0.42857142857142855</v>
      </c>
      <c r="W15" s="17">
        <f t="shared" si="7"/>
        <v>0</v>
      </c>
      <c r="X15" s="17">
        <f t="shared" si="7"/>
        <v>0</v>
      </c>
      <c r="Y15" s="17">
        <f t="shared" si="7"/>
        <v>0.2857142857142857</v>
      </c>
      <c r="Z15" s="17">
        <f t="shared" si="7"/>
        <v>0</v>
      </c>
      <c r="AA15" s="17">
        <f t="shared" si="7"/>
        <v>0.14285714285714285</v>
      </c>
      <c r="AB15" s="17">
        <f t="shared" si="7"/>
        <v>0</v>
      </c>
      <c r="AC15" s="17">
        <f t="shared" si="7"/>
        <v>7.7142857142857144</v>
      </c>
      <c r="AD15" s="17">
        <f t="shared" si="7"/>
        <v>0</v>
      </c>
      <c r="AE15" s="31">
        <f t="shared" si="7"/>
        <v>2.9999999999999991</v>
      </c>
      <c r="AF15" s="31">
        <f t="shared" si="7"/>
        <v>10.714285714285714</v>
      </c>
    </row>
    <row r="16" spans="2:32" ht="23.1" customHeight="1" x14ac:dyDescent="0.25">
      <c r="B16" s="23" t="s">
        <v>43</v>
      </c>
      <c r="C16" s="49">
        <f>AVERAGE('05.08 Karenga-Kotido'!C16,'06.08 Karenga-Kotido'!C16,'07.08 Karenga-Kotido'!C16,'08.08 Karenga-Kotido'!C16,'09.08 Karenga-Kotido-24h'!C16,'10.08 Karenga-Kotido-24h'!C16,'11.08 Karenga-Kotido'!C16)</f>
        <v>0</v>
      </c>
      <c r="D16" s="49">
        <f>AVERAGE('05.08 Karenga-Kotido'!D16,'06.08 Karenga-Kotido'!D16,'07.08 Karenga-Kotido'!D16,'08.08 Karenga-Kotido'!D16,'09.08 Karenga-Kotido-24h'!D16,'10.08 Karenga-Kotido-24h'!D16,'11.08 Karenga-Kotido'!D16)</f>
        <v>0</v>
      </c>
      <c r="E16" s="49">
        <f>AVERAGE('05.08 Karenga-Kotido'!E16,'06.08 Karenga-Kotido'!E16,'07.08 Karenga-Kotido'!E16,'08.08 Karenga-Kotido'!E16,'09.08 Karenga-Kotido-24h'!E16,'10.08 Karenga-Kotido-24h'!E16,'11.08 Karenga-Kotido'!E16)</f>
        <v>0</v>
      </c>
      <c r="F16" s="49">
        <f>AVERAGE('05.08 Karenga-Kotido'!F16,'06.08 Karenga-Kotido'!F16,'07.08 Karenga-Kotido'!F16,'08.08 Karenga-Kotido'!F16,'09.08 Karenga-Kotido-24h'!F16,'10.08 Karenga-Kotido-24h'!F16,'11.08 Karenga-Kotido'!F16)</f>
        <v>0</v>
      </c>
      <c r="G16" s="49">
        <f>AVERAGE('05.08 Karenga-Kotido'!G16,'06.08 Karenga-Kotido'!G16,'07.08 Karenga-Kotido'!G16,'08.08 Karenga-Kotido'!G16,'09.08 Karenga-Kotido-24h'!G16,'10.08 Karenga-Kotido-24h'!G16,'11.08 Karenga-Kotido'!G16)</f>
        <v>0</v>
      </c>
      <c r="H16" s="49">
        <f>AVERAGE('05.08 Karenga-Kotido'!H16,'06.08 Karenga-Kotido'!H16,'07.08 Karenga-Kotido'!H16,'08.08 Karenga-Kotido'!H16,'09.08 Karenga-Kotido-24h'!H16,'10.08 Karenga-Kotido-24h'!H16,'11.08 Karenga-Kotido'!H16)</f>
        <v>0</v>
      </c>
      <c r="I16" s="49">
        <f>AVERAGE('05.08 Karenga-Kotido'!I16,'06.08 Karenga-Kotido'!I16,'07.08 Karenga-Kotido'!I16,'08.08 Karenga-Kotido'!I16,'09.08 Karenga-Kotido-24h'!I16,'10.08 Karenga-Kotido-24h'!I16,'11.08 Karenga-Kotido'!I16)</f>
        <v>0.14285714285714285</v>
      </c>
      <c r="J16" s="49">
        <f>AVERAGE('05.08 Karenga-Kotido'!J16,'06.08 Karenga-Kotido'!J16,'07.08 Karenga-Kotido'!J16,'08.08 Karenga-Kotido'!J16,'09.08 Karenga-Kotido-24h'!J16,'10.08 Karenga-Kotido-24h'!J16,'11.08 Karenga-Kotido'!J16)</f>
        <v>0</v>
      </c>
      <c r="K16" s="49">
        <f>AVERAGE('05.08 Karenga-Kotido'!K16,'06.08 Karenga-Kotido'!K16,'07.08 Karenga-Kotido'!K16,'08.08 Karenga-Kotido'!K16,'09.08 Karenga-Kotido-24h'!K16,'10.08 Karenga-Kotido-24h'!K16,'11.08 Karenga-Kotido'!K16)</f>
        <v>0</v>
      </c>
      <c r="L16" s="49">
        <f>AVERAGE('05.08 Karenga-Kotido'!L16,'06.08 Karenga-Kotido'!L16,'07.08 Karenga-Kotido'!L16,'08.08 Karenga-Kotido'!L16,'09.08 Karenga-Kotido-24h'!L16,'10.08 Karenga-Kotido-24h'!L16,'11.08 Karenga-Kotido'!L16)</f>
        <v>0</v>
      </c>
      <c r="M16" s="49">
        <f>AVERAGE('05.08 Karenga-Kotido'!M16,'06.08 Karenga-Kotido'!M16,'07.08 Karenga-Kotido'!M16,'08.08 Karenga-Kotido'!M16,'09.08 Karenga-Kotido-24h'!M16,'10.08 Karenga-Kotido-24h'!M16,'11.08 Karenga-Kotido'!M16)</f>
        <v>2</v>
      </c>
      <c r="N16" s="49">
        <f>AVERAGE('05.08 Karenga-Kotido'!N16,'06.08 Karenga-Kotido'!N16,'07.08 Karenga-Kotido'!N16,'08.08 Karenga-Kotido'!N16,'09.08 Karenga-Kotido-24h'!N16,'10.08 Karenga-Kotido-24h'!N16,'11.08 Karenga-Kotido'!N16)</f>
        <v>0</v>
      </c>
      <c r="O16" s="15">
        <f t="shared" si="0"/>
        <v>0.14285714285714285</v>
      </c>
      <c r="P16" s="15">
        <f t="shared" si="1"/>
        <v>2.1428571428571428</v>
      </c>
      <c r="R16" s="1" t="s">
        <v>12</v>
      </c>
      <c r="S16" s="17">
        <f t="shared" ref="S16:AF16" si="8">SUM(C34:C37)</f>
        <v>0.42857142857142855</v>
      </c>
      <c r="T16" s="17">
        <f t="shared" si="8"/>
        <v>0.14285714285714285</v>
      </c>
      <c r="U16" s="17">
        <f t="shared" si="8"/>
        <v>0.85714285714285698</v>
      </c>
      <c r="V16" s="17">
        <f t="shared" si="8"/>
        <v>0.42857142857142855</v>
      </c>
      <c r="W16" s="17">
        <f t="shared" si="8"/>
        <v>0</v>
      </c>
      <c r="X16" s="17">
        <f t="shared" si="8"/>
        <v>0</v>
      </c>
      <c r="Y16" s="17">
        <f t="shared" si="8"/>
        <v>0.85714285714285698</v>
      </c>
      <c r="Z16" s="17">
        <f t="shared" si="8"/>
        <v>0.14285714285714285</v>
      </c>
      <c r="AA16" s="17">
        <f t="shared" si="8"/>
        <v>0</v>
      </c>
      <c r="AB16" s="17">
        <f t="shared" si="8"/>
        <v>0</v>
      </c>
      <c r="AC16" s="17">
        <f t="shared" si="8"/>
        <v>6.4285714285714279</v>
      </c>
      <c r="AD16" s="17">
        <f t="shared" si="8"/>
        <v>0.2857142857142857</v>
      </c>
      <c r="AE16" s="31">
        <f t="shared" si="8"/>
        <v>3.1428571428571419</v>
      </c>
      <c r="AF16" s="31">
        <f t="shared" si="8"/>
        <v>9.5714285714285712</v>
      </c>
    </row>
    <row r="17" spans="2:32" ht="23.1" customHeight="1" x14ac:dyDescent="0.25">
      <c r="B17" s="23" t="s">
        <v>44</v>
      </c>
      <c r="C17" s="49">
        <f>AVERAGE('05.08 Karenga-Kotido'!C17,'06.08 Karenga-Kotido'!C17,'07.08 Karenga-Kotido'!C17,'08.08 Karenga-Kotido'!C17,'09.08 Karenga-Kotido-24h'!C17,'10.08 Karenga-Kotido-24h'!C17,'11.08 Karenga-Kotido'!C17)</f>
        <v>0.14285714285714285</v>
      </c>
      <c r="D17" s="49">
        <f>AVERAGE('05.08 Karenga-Kotido'!D17,'06.08 Karenga-Kotido'!D17,'07.08 Karenga-Kotido'!D17,'08.08 Karenga-Kotido'!D17,'09.08 Karenga-Kotido-24h'!D17,'10.08 Karenga-Kotido-24h'!D17,'11.08 Karenga-Kotido'!D17)</f>
        <v>0.42857142857142855</v>
      </c>
      <c r="E17" s="49">
        <f>AVERAGE('05.08 Karenga-Kotido'!E17,'06.08 Karenga-Kotido'!E17,'07.08 Karenga-Kotido'!E17,'08.08 Karenga-Kotido'!E17,'09.08 Karenga-Kotido-24h'!E17,'10.08 Karenga-Kotido-24h'!E17,'11.08 Karenga-Kotido'!E17)</f>
        <v>0</v>
      </c>
      <c r="F17" s="49">
        <f>AVERAGE('05.08 Karenga-Kotido'!F17,'06.08 Karenga-Kotido'!F17,'07.08 Karenga-Kotido'!F17,'08.08 Karenga-Kotido'!F17,'09.08 Karenga-Kotido-24h'!F17,'10.08 Karenga-Kotido-24h'!F17,'11.08 Karenga-Kotido'!F17)</f>
        <v>0</v>
      </c>
      <c r="G17" s="49">
        <f>AVERAGE('05.08 Karenga-Kotido'!G17,'06.08 Karenga-Kotido'!G17,'07.08 Karenga-Kotido'!G17,'08.08 Karenga-Kotido'!G17,'09.08 Karenga-Kotido-24h'!G17,'10.08 Karenga-Kotido-24h'!G17,'11.08 Karenga-Kotido'!G17)</f>
        <v>0</v>
      </c>
      <c r="H17" s="49">
        <f>AVERAGE('05.08 Karenga-Kotido'!H17,'06.08 Karenga-Kotido'!H17,'07.08 Karenga-Kotido'!H17,'08.08 Karenga-Kotido'!H17,'09.08 Karenga-Kotido-24h'!H17,'10.08 Karenga-Kotido-24h'!H17,'11.08 Karenga-Kotido'!H17)</f>
        <v>0</v>
      </c>
      <c r="I17" s="49">
        <f>AVERAGE('05.08 Karenga-Kotido'!I17,'06.08 Karenga-Kotido'!I17,'07.08 Karenga-Kotido'!I17,'08.08 Karenga-Kotido'!I17,'09.08 Karenga-Kotido-24h'!I17,'10.08 Karenga-Kotido-24h'!I17,'11.08 Karenga-Kotido'!I17)</f>
        <v>0</v>
      </c>
      <c r="J17" s="49">
        <f>AVERAGE('05.08 Karenga-Kotido'!J17,'06.08 Karenga-Kotido'!J17,'07.08 Karenga-Kotido'!J17,'08.08 Karenga-Kotido'!J17,'09.08 Karenga-Kotido-24h'!J17,'10.08 Karenga-Kotido-24h'!J17,'11.08 Karenga-Kotido'!J17)</f>
        <v>0.14285714285714285</v>
      </c>
      <c r="K17" s="49">
        <f>AVERAGE('05.08 Karenga-Kotido'!K17,'06.08 Karenga-Kotido'!K17,'07.08 Karenga-Kotido'!K17,'08.08 Karenga-Kotido'!K17,'09.08 Karenga-Kotido-24h'!K17,'10.08 Karenga-Kotido-24h'!K17,'11.08 Karenga-Kotido'!K17)</f>
        <v>0</v>
      </c>
      <c r="L17" s="49">
        <f>AVERAGE('05.08 Karenga-Kotido'!L17,'06.08 Karenga-Kotido'!L17,'07.08 Karenga-Kotido'!L17,'08.08 Karenga-Kotido'!L17,'09.08 Karenga-Kotido-24h'!L17,'10.08 Karenga-Kotido-24h'!L17,'11.08 Karenga-Kotido'!L17)</f>
        <v>0</v>
      </c>
      <c r="M17" s="49">
        <f>AVERAGE('05.08 Karenga-Kotido'!M17,'06.08 Karenga-Kotido'!M17,'07.08 Karenga-Kotido'!M17,'08.08 Karenga-Kotido'!M17,'09.08 Karenga-Kotido-24h'!M17,'10.08 Karenga-Kotido-24h'!M17,'11.08 Karenga-Kotido'!M17)</f>
        <v>2.2857142857142856</v>
      </c>
      <c r="N17" s="49">
        <f>AVERAGE('05.08 Karenga-Kotido'!N17,'06.08 Karenga-Kotido'!N17,'07.08 Karenga-Kotido'!N17,'08.08 Karenga-Kotido'!N17,'09.08 Karenga-Kotido-24h'!N17,'10.08 Karenga-Kotido-24h'!N17,'11.08 Karenga-Kotido'!N17)</f>
        <v>0</v>
      </c>
      <c r="O17" s="15">
        <f t="shared" si="0"/>
        <v>0.71428571428571419</v>
      </c>
      <c r="P17" s="15">
        <f t="shared" si="1"/>
        <v>3</v>
      </c>
      <c r="R17" s="1" t="s">
        <v>13</v>
      </c>
      <c r="S17" s="17">
        <f t="shared" ref="S17:AF17" si="9">SUM(C38:C41)</f>
        <v>0.14285714285714285</v>
      </c>
      <c r="T17" s="17">
        <f t="shared" si="9"/>
        <v>0.8571428571428571</v>
      </c>
      <c r="U17" s="17">
        <f t="shared" si="9"/>
        <v>0.71428571428571419</v>
      </c>
      <c r="V17" s="17">
        <f t="shared" si="9"/>
        <v>0.2857142857142857</v>
      </c>
      <c r="W17" s="17">
        <f t="shared" si="9"/>
        <v>0</v>
      </c>
      <c r="X17" s="17">
        <f t="shared" si="9"/>
        <v>0</v>
      </c>
      <c r="Y17" s="17">
        <f t="shared" si="9"/>
        <v>0.42857142857142855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9.1428571428571423</v>
      </c>
      <c r="AD17" s="17">
        <f t="shared" si="9"/>
        <v>0</v>
      </c>
      <c r="AE17" s="31">
        <f t="shared" si="9"/>
        <v>2.4285714285714284</v>
      </c>
      <c r="AF17" s="31">
        <f t="shared" si="9"/>
        <v>11.571428571428569</v>
      </c>
    </row>
    <row r="18" spans="2:32" ht="23.1" customHeight="1" x14ac:dyDescent="0.25">
      <c r="B18" s="23" t="s">
        <v>45</v>
      </c>
      <c r="C18" s="49">
        <f>AVERAGE('05.08 Karenga-Kotido'!C18,'06.08 Karenga-Kotido'!C18,'07.08 Karenga-Kotido'!C18,'08.08 Karenga-Kotido'!C18,'09.08 Karenga-Kotido-24h'!C18,'10.08 Karenga-Kotido-24h'!C18,'11.08 Karenga-Kotido'!C18)</f>
        <v>0.14285714285714285</v>
      </c>
      <c r="D18" s="49">
        <f>AVERAGE('05.08 Karenga-Kotido'!D18,'06.08 Karenga-Kotido'!D18,'07.08 Karenga-Kotido'!D18,'08.08 Karenga-Kotido'!D18,'09.08 Karenga-Kotido-24h'!D18,'10.08 Karenga-Kotido-24h'!D18,'11.08 Karenga-Kotido'!D18)</f>
        <v>0.14285714285714285</v>
      </c>
      <c r="E18" s="49">
        <f>AVERAGE('05.08 Karenga-Kotido'!E18,'06.08 Karenga-Kotido'!E18,'07.08 Karenga-Kotido'!E18,'08.08 Karenga-Kotido'!E18,'09.08 Karenga-Kotido-24h'!E18,'10.08 Karenga-Kotido-24h'!E18,'11.08 Karenga-Kotido'!E18)</f>
        <v>0.14285714285714285</v>
      </c>
      <c r="F18" s="49">
        <f>AVERAGE('05.08 Karenga-Kotido'!F18,'06.08 Karenga-Kotido'!F18,'07.08 Karenga-Kotido'!F18,'08.08 Karenga-Kotido'!F18,'09.08 Karenga-Kotido-24h'!F18,'10.08 Karenga-Kotido-24h'!F18,'11.08 Karenga-Kotido'!F18)</f>
        <v>0</v>
      </c>
      <c r="G18" s="49">
        <f>AVERAGE('05.08 Karenga-Kotido'!G18,'06.08 Karenga-Kotido'!G18,'07.08 Karenga-Kotido'!G18,'08.08 Karenga-Kotido'!G18,'09.08 Karenga-Kotido-24h'!G18,'10.08 Karenga-Kotido-24h'!G18,'11.08 Karenga-Kotido'!G18)</f>
        <v>0</v>
      </c>
      <c r="H18" s="49">
        <f>AVERAGE('05.08 Karenga-Kotido'!H18,'06.08 Karenga-Kotido'!H18,'07.08 Karenga-Kotido'!H18,'08.08 Karenga-Kotido'!H18,'09.08 Karenga-Kotido-24h'!H18,'10.08 Karenga-Kotido-24h'!H18,'11.08 Karenga-Kotido'!H18)</f>
        <v>0</v>
      </c>
      <c r="I18" s="49">
        <f>AVERAGE('05.08 Karenga-Kotido'!I18,'06.08 Karenga-Kotido'!I18,'07.08 Karenga-Kotido'!I18,'08.08 Karenga-Kotido'!I18,'09.08 Karenga-Kotido-24h'!I18,'10.08 Karenga-Kotido-24h'!I18,'11.08 Karenga-Kotido'!I18)</f>
        <v>0</v>
      </c>
      <c r="J18" s="49">
        <f>AVERAGE('05.08 Karenga-Kotido'!J18,'06.08 Karenga-Kotido'!J18,'07.08 Karenga-Kotido'!J18,'08.08 Karenga-Kotido'!J18,'09.08 Karenga-Kotido-24h'!J18,'10.08 Karenga-Kotido-24h'!J18,'11.08 Karenga-Kotido'!J18)</f>
        <v>0</v>
      </c>
      <c r="K18" s="49">
        <f>AVERAGE('05.08 Karenga-Kotido'!K18,'06.08 Karenga-Kotido'!K18,'07.08 Karenga-Kotido'!K18,'08.08 Karenga-Kotido'!K18,'09.08 Karenga-Kotido-24h'!K18,'10.08 Karenga-Kotido-24h'!K18,'11.08 Karenga-Kotido'!K18)</f>
        <v>0</v>
      </c>
      <c r="L18" s="49">
        <f>AVERAGE('05.08 Karenga-Kotido'!L18,'06.08 Karenga-Kotido'!L18,'07.08 Karenga-Kotido'!L18,'08.08 Karenga-Kotido'!L18,'09.08 Karenga-Kotido-24h'!L18,'10.08 Karenga-Kotido-24h'!L18,'11.08 Karenga-Kotido'!L18)</f>
        <v>0</v>
      </c>
      <c r="M18" s="49">
        <f>AVERAGE('05.08 Karenga-Kotido'!M18,'06.08 Karenga-Kotido'!M18,'07.08 Karenga-Kotido'!M18,'08.08 Karenga-Kotido'!M18,'09.08 Karenga-Kotido-24h'!M18,'10.08 Karenga-Kotido-24h'!M18,'11.08 Karenga-Kotido'!M18)</f>
        <v>1.8571428571428572</v>
      </c>
      <c r="N18" s="49">
        <f>AVERAGE('05.08 Karenga-Kotido'!N18,'06.08 Karenga-Kotido'!N18,'07.08 Karenga-Kotido'!N18,'08.08 Karenga-Kotido'!N18,'09.08 Karenga-Kotido-24h'!N18,'10.08 Karenga-Kotido-24h'!N18,'11.08 Karenga-Kotido'!N18)</f>
        <v>0</v>
      </c>
      <c r="O18" s="15">
        <f t="shared" si="0"/>
        <v>0.42857142857142855</v>
      </c>
      <c r="P18" s="15">
        <f t="shared" si="1"/>
        <v>2.2857142857142856</v>
      </c>
      <c r="R18" s="1" t="s">
        <v>14</v>
      </c>
      <c r="S18" s="17">
        <f t="shared" ref="S18:AF18" si="10">SUM(C42:C45)</f>
        <v>0</v>
      </c>
      <c r="T18" s="17">
        <f t="shared" si="10"/>
        <v>0.42857142857142855</v>
      </c>
      <c r="U18" s="17">
        <f t="shared" si="10"/>
        <v>0.71428571428571419</v>
      </c>
      <c r="V18" s="17">
        <f t="shared" si="10"/>
        <v>0.2857142857142857</v>
      </c>
      <c r="W18" s="17">
        <f t="shared" si="10"/>
        <v>0</v>
      </c>
      <c r="X18" s="17">
        <f t="shared" si="10"/>
        <v>0</v>
      </c>
      <c r="Y18" s="17">
        <f t="shared" si="10"/>
        <v>0.2857142857142857</v>
      </c>
      <c r="Z18" s="17">
        <f t="shared" si="10"/>
        <v>0.2857142857142857</v>
      </c>
      <c r="AA18" s="17">
        <f t="shared" si="10"/>
        <v>0.14285714285714285</v>
      </c>
      <c r="AB18" s="17">
        <f t="shared" si="10"/>
        <v>0</v>
      </c>
      <c r="AC18" s="17">
        <f t="shared" si="10"/>
        <v>4.5714285714285712</v>
      </c>
      <c r="AD18" s="17">
        <f t="shared" si="10"/>
        <v>0</v>
      </c>
      <c r="AE18" s="31">
        <f t="shared" si="10"/>
        <v>2.1428571428571423</v>
      </c>
      <c r="AF18" s="31">
        <f t="shared" si="10"/>
        <v>6.7142857142857144</v>
      </c>
    </row>
    <row r="19" spans="2:32" ht="23.1" customHeight="1" x14ac:dyDescent="0.25">
      <c r="B19" s="23" t="s">
        <v>46</v>
      </c>
      <c r="C19" s="49">
        <f>AVERAGE('05.08 Karenga-Kotido'!C19,'06.08 Karenga-Kotido'!C19,'07.08 Karenga-Kotido'!C19,'08.08 Karenga-Kotido'!C19,'09.08 Karenga-Kotido-24h'!C19,'10.08 Karenga-Kotido-24h'!C19,'11.08 Karenga-Kotido'!C19)</f>
        <v>0</v>
      </c>
      <c r="D19" s="49">
        <f>AVERAGE('05.08 Karenga-Kotido'!D19,'06.08 Karenga-Kotido'!D19,'07.08 Karenga-Kotido'!D19,'08.08 Karenga-Kotido'!D19,'09.08 Karenga-Kotido-24h'!D19,'10.08 Karenga-Kotido-24h'!D19,'11.08 Karenga-Kotido'!D19)</f>
        <v>0.14285714285714285</v>
      </c>
      <c r="E19" s="49">
        <f>AVERAGE('05.08 Karenga-Kotido'!E19,'06.08 Karenga-Kotido'!E19,'07.08 Karenga-Kotido'!E19,'08.08 Karenga-Kotido'!E19,'09.08 Karenga-Kotido-24h'!E19,'10.08 Karenga-Kotido-24h'!E19,'11.08 Karenga-Kotido'!E19)</f>
        <v>0</v>
      </c>
      <c r="F19" s="49">
        <f>AVERAGE('05.08 Karenga-Kotido'!F19,'06.08 Karenga-Kotido'!F19,'07.08 Karenga-Kotido'!F19,'08.08 Karenga-Kotido'!F19,'09.08 Karenga-Kotido-24h'!F19,'10.08 Karenga-Kotido-24h'!F19,'11.08 Karenga-Kotido'!F19)</f>
        <v>0</v>
      </c>
      <c r="G19" s="49">
        <f>AVERAGE('05.08 Karenga-Kotido'!G19,'06.08 Karenga-Kotido'!G19,'07.08 Karenga-Kotido'!G19,'08.08 Karenga-Kotido'!G19,'09.08 Karenga-Kotido-24h'!G19,'10.08 Karenga-Kotido-24h'!G19,'11.08 Karenga-Kotido'!G19)</f>
        <v>0</v>
      </c>
      <c r="H19" s="49">
        <f>AVERAGE('05.08 Karenga-Kotido'!H19,'06.08 Karenga-Kotido'!H19,'07.08 Karenga-Kotido'!H19,'08.08 Karenga-Kotido'!H19,'09.08 Karenga-Kotido-24h'!H19,'10.08 Karenga-Kotido-24h'!H19,'11.08 Karenga-Kotido'!H19)</f>
        <v>0</v>
      </c>
      <c r="I19" s="49">
        <f>AVERAGE('05.08 Karenga-Kotido'!I19,'06.08 Karenga-Kotido'!I19,'07.08 Karenga-Kotido'!I19,'08.08 Karenga-Kotido'!I19,'09.08 Karenga-Kotido-24h'!I19,'10.08 Karenga-Kotido-24h'!I19,'11.08 Karenga-Kotido'!I19)</f>
        <v>0</v>
      </c>
      <c r="J19" s="49">
        <f>AVERAGE('05.08 Karenga-Kotido'!J19,'06.08 Karenga-Kotido'!J19,'07.08 Karenga-Kotido'!J19,'08.08 Karenga-Kotido'!J19,'09.08 Karenga-Kotido-24h'!J19,'10.08 Karenga-Kotido-24h'!J19,'11.08 Karenga-Kotido'!J19)</f>
        <v>0</v>
      </c>
      <c r="K19" s="49">
        <f>AVERAGE('05.08 Karenga-Kotido'!K19,'06.08 Karenga-Kotido'!K19,'07.08 Karenga-Kotido'!K19,'08.08 Karenga-Kotido'!K19,'09.08 Karenga-Kotido-24h'!K19,'10.08 Karenga-Kotido-24h'!K19,'11.08 Karenga-Kotido'!K19)</f>
        <v>0</v>
      </c>
      <c r="L19" s="49">
        <f>AVERAGE('05.08 Karenga-Kotido'!L19,'06.08 Karenga-Kotido'!L19,'07.08 Karenga-Kotido'!L19,'08.08 Karenga-Kotido'!L19,'09.08 Karenga-Kotido-24h'!L19,'10.08 Karenga-Kotido-24h'!L19,'11.08 Karenga-Kotido'!L19)</f>
        <v>0</v>
      </c>
      <c r="M19" s="49">
        <f>AVERAGE('05.08 Karenga-Kotido'!M19,'06.08 Karenga-Kotido'!M19,'07.08 Karenga-Kotido'!M19,'08.08 Karenga-Kotido'!M19,'09.08 Karenga-Kotido-24h'!M19,'10.08 Karenga-Kotido-24h'!M19,'11.08 Karenga-Kotido'!M19)</f>
        <v>1.8571428571428572</v>
      </c>
      <c r="N19" s="49">
        <f>AVERAGE('05.08 Karenga-Kotido'!N19,'06.08 Karenga-Kotido'!N19,'07.08 Karenga-Kotido'!N19,'08.08 Karenga-Kotido'!N19,'09.08 Karenga-Kotido-24h'!N19,'10.08 Karenga-Kotido-24h'!N19,'11.08 Karenga-Kotido'!N19)</f>
        <v>0</v>
      </c>
      <c r="O19" s="15">
        <f t="shared" si="0"/>
        <v>0.14285714285714285</v>
      </c>
      <c r="P19" s="15">
        <f t="shared" si="1"/>
        <v>2</v>
      </c>
      <c r="R19" s="1" t="s">
        <v>15</v>
      </c>
      <c r="S19" s="17">
        <f t="shared" ref="S19:AF19" si="11">SUM(C46:C49)</f>
        <v>0</v>
      </c>
      <c r="T19" s="17">
        <f t="shared" si="11"/>
        <v>0.14285714285714285</v>
      </c>
      <c r="U19" s="17">
        <f t="shared" si="11"/>
        <v>1</v>
      </c>
      <c r="V19" s="17">
        <f t="shared" si="11"/>
        <v>0.2857142857142857</v>
      </c>
      <c r="W19" s="17">
        <f t="shared" si="11"/>
        <v>0</v>
      </c>
      <c r="X19" s="17">
        <f t="shared" si="11"/>
        <v>0</v>
      </c>
      <c r="Y19" s="17">
        <f t="shared" si="11"/>
        <v>0.2857142857142857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6.5714285714285712</v>
      </c>
      <c r="AD19" s="17">
        <f t="shared" si="11"/>
        <v>0</v>
      </c>
      <c r="AE19" s="31">
        <f t="shared" si="11"/>
        <v>1.7142857142857142</v>
      </c>
      <c r="AF19" s="31">
        <f t="shared" si="11"/>
        <v>8.2857142857142865</v>
      </c>
    </row>
    <row r="20" spans="2:32" ht="23.1" customHeight="1" x14ac:dyDescent="0.25">
      <c r="B20" s="23" t="s">
        <v>47</v>
      </c>
      <c r="C20" s="49">
        <f>AVERAGE('05.08 Karenga-Kotido'!C20,'06.08 Karenga-Kotido'!C20,'07.08 Karenga-Kotido'!C20,'08.08 Karenga-Kotido'!C20,'09.08 Karenga-Kotido-24h'!C20,'10.08 Karenga-Kotido-24h'!C20,'11.08 Karenga-Kotido'!C20)</f>
        <v>0</v>
      </c>
      <c r="D20" s="49">
        <f>AVERAGE('05.08 Karenga-Kotido'!D20,'06.08 Karenga-Kotido'!D20,'07.08 Karenga-Kotido'!D20,'08.08 Karenga-Kotido'!D20,'09.08 Karenga-Kotido-24h'!D20,'10.08 Karenga-Kotido-24h'!D20,'11.08 Karenga-Kotido'!D20)</f>
        <v>0.42857142857142855</v>
      </c>
      <c r="E20" s="49">
        <f>AVERAGE('05.08 Karenga-Kotido'!E20,'06.08 Karenga-Kotido'!E20,'07.08 Karenga-Kotido'!E20,'08.08 Karenga-Kotido'!E20,'09.08 Karenga-Kotido-24h'!E20,'10.08 Karenga-Kotido-24h'!E20,'11.08 Karenga-Kotido'!E20)</f>
        <v>0.14285714285714285</v>
      </c>
      <c r="F20" s="49">
        <f>AVERAGE('05.08 Karenga-Kotido'!F20,'06.08 Karenga-Kotido'!F20,'07.08 Karenga-Kotido'!F20,'08.08 Karenga-Kotido'!F20,'09.08 Karenga-Kotido-24h'!F20,'10.08 Karenga-Kotido-24h'!F20,'11.08 Karenga-Kotido'!F20)</f>
        <v>0</v>
      </c>
      <c r="G20" s="49">
        <f>AVERAGE('05.08 Karenga-Kotido'!G20,'06.08 Karenga-Kotido'!G20,'07.08 Karenga-Kotido'!G20,'08.08 Karenga-Kotido'!G20,'09.08 Karenga-Kotido-24h'!G20,'10.08 Karenga-Kotido-24h'!G20,'11.08 Karenga-Kotido'!G20)</f>
        <v>0</v>
      </c>
      <c r="H20" s="49">
        <f>AVERAGE('05.08 Karenga-Kotido'!H20,'06.08 Karenga-Kotido'!H20,'07.08 Karenga-Kotido'!H20,'08.08 Karenga-Kotido'!H20,'09.08 Karenga-Kotido-24h'!H20,'10.08 Karenga-Kotido-24h'!H20,'11.08 Karenga-Kotido'!H20)</f>
        <v>0</v>
      </c>
      <c r="I20" s="49">
        <f>AVERAGE('05.08 Karenga-Kotido'!I20,'06.08 Karenga-Kotido'!I20,'07.08 Karenga-Kotido'!I20,'08.08 Karenga-Kotido'!I20,'09.08 Karenga-Kotido-24h'!I20,'10.08 Karenga-Kotido-24h'!I20,'11.08 Karenga-Kotido'!I20)</f>
        <v>0.14285714285714285</v>
      </c>
      <c r="J20" s="49">
        <f>AVERAGE('05.08 Karenga-Kotido'!J20,'06.08 Karenga-Kotido'!J20,'07.08 Karenga-Kotido'!J20,'08.08 Karenga-Kotido'!J20,'09.08 Karenga-Kotido-24h'!J20,'10.08 Karenga-Kotido-24h'!J20,'11.08 Karenga-Kotido'!J20)</f>
        <v>0</v>
      </c>
      <c r="K20" s="49">
        <f>AVERAGE('05.08 Karenga-Kotido'!K20,'06.08 Karenga-Kotido'!K20,'07.08 Karenga-Kotido'!K20,'08.08 Karenga-Kotido'!K20,'09.08 Karenga-Kotido-24h'!K20,'10.08 Karenga-Kotido-24h'!K20,'11.08 Karenga-Kotido'!K20)</f>
        <v>0</v>
      </c>
      <c r="L20" s="49">
        <f>AVERAGE('05.08 Karenga-Kotido'!L20,'06.08 Karenga-Kotido'!L20,'07.08 Karenga-Kotido'!L20,'08.08 Karenga-Kotido'!L20,'09.08 Karenga-Kotido-24h'!L20,'10.08 Karenga-Kotido-24h'!L20,'11.08 Karenga-Kotido'!L20)</f>
        <v>0</v>
      </c>
      <c r="M20" s="49">
        <f>AVERAGE('05.08 Karenga-Kotido'!M20,'06.08 Karenga-Kotido'!M20,'07.08 Karenga-Kotido'!M20,'08.08 Karenga-Kotido'!M20,'09.08 Karenga-Kotido-24h'!M20,'10.08 Karenga-Kotido-24h'!M20,'11.08 Karenga-Kotido'!M20)</f>
        <v>1.7142857142857142</v>
      </c>
      <c r="N20" s="49">
        <f>AVERAGE('05.08 Karenga-Kotido'!N20,'06.08 Karenga-Kotido'!N20,'07.08 Karenga-Kotido'!N20,'08.08 Karenga-Kotido'!N20,'09.08 Karenga-Kotido-24h'!N20,'10.08 Karenga-Kotido-24h'!N20,'11.08 Karenga-Kotido'!N20)</f>
        <v>0</v>
      </c>
      <c r="O20" s="15">
        <f t="shared" si="0"/>
        <v>0.71428571428571419</v>
      </c>
      <c r="P20" s="15">
        <f t="shared" si="1"/>
        <v>2.4285714285714284</v>
      </c>
      <c r="R20" s="1" t="s">
        <v>16</v>
      </c>
      <c r="S20" s="17">
        <f t="shared" ref="S20:AF20" si="12">SUM(C50:C53)</f>
        <v>0</v>
      </c>
      <c r="T20" s="17">
        <f t="shared" si="12"/>
        <v>0.5714285714285714</v>
      </c>
      <c r="U20" s="17">
        <f t="shared" si="12"/>
        <v>0.71428571428571419</v>
      </c>
      <c r="V20" s="17">
        <f t="shared" si="12"/>
        <v>0</v>
      </c>
      <c r="W20" s="17">
        <f t="shared" si="12"/>
        <v>0.14285714285714285</v>
      </c>
      <c r="X20" s="17">
        <f t="shared" si="12"/>
        <v>0</v>
      </c>
      <c r="Y20" s="17">
        <f t="shared" si="12"/>
        <v>0.5714285714285714</v>
      </c>
      <c r="Z20" s="17">
        <f t="shared" si="12"/>
        <v>0.2857142857142857</v>
      </c>
      <c r="AA20" s="17">
        <f t="shared" si="12"/>
        <v>0</v>
      </c>
      <c r="AB20" s="17">
        <f t="shared" si="12"/>
        <v>0</v>
      </c>
      <c r="AC20" s="17">
        <f t="shared" si="12"/>
        <v>4.5714285714285712</v>
      </c>
      <c r="AD20" s="17">
        <f t="shared" si="12"/>
        <v>0</v>
      </c>
      <c r="AE20" s="31">
        <f t="shared" si="12"/>
        <v>2.2857142857142851</v>
      </c>
      <c r="AF20" s="31">
        <f t="shared" si="12"/>
        <v>6.8571428571428559</v>
      </c>
    </row>
    <row r="21" spans="2:32" ht="23.1" customHeight="1" x14ac:dyDescent="0.25">
      <c r="B21" s="23" t="s">
        <v>48</v>
      </c>
      <c r="C21" s="49">
        <f>AVERAGE('05.08 Karenga-Kotido'!C21,'06.08 Karenga-Kotido'!C21,'07.08 Karenga-Kotido'!C21,'08.08 Karenga-Kotido'!C21,'09.08 Karenga-Kotido-24h'!C21,'10.08 Karenga-Kotido-24h'!C21,'11.08 Karenga-Kotido'!C21)</f>
        <v>0</v>
      </c>
      <c r="D21" s="49">
        <f>AVERAGE('05.08 Karenga-Kotido'!D21,'06.08 Karenga-Kotido'!D21,'07.08 Karenga-Kotido'!D21,'08.08 Karenga-Kotido'!D21,'09.08 Karenga-Kotido-24h'!D21,'10.08 Karenga-Kotido-24h'!D21,'11.08 Karenga-Kotido'!D21)</f>
        <v>0</v>
      </c>
      <c r="E21" s="49">
        <f>AVERAGE('05.08 Karenga-Kotido'!E21,'06.08 Karenga-Kotido'!E21,'07.08 Karenga-Kotido'!E21,'08.08 Karenga-Kotido'!E21,'09.08 Karenga-Kotido-24h'!E21,'10.08 Karenga-Kotido-24h'!E21,'11.08 Karenga-Kotido'!E21)</f>
        <v>0.2857142857142857</v>
      </c>
      <c r="F21" s="49">
        <f>AVERAGE('05.08 Karenga-Kotido'!F21,'06.08 Karenga-Kotido'!F21,'07.08 Karenga-Kotido'!F21,'08.08 Karenga-Kotido'!F21,'09.08 Karenga-Kotido-24h'!F21,'10.08 Karenga-Kotido-24h'!F21,'11.08 Karenga-Kotido'!F21)</f>
        <v>0</v>
      </c>
      <c r="G21" s="49">
        <f>AVERAGE('05.08 Karenga-Kotido'!G21,'06.08 Karenga-Kotido'!G21,'07.08 Karenga-Kotido'!G21,'08.08 Karenga-Kotido'!G21,'09.08 Karenga-Kotido-24h'!G21,'10.08 Karenga-Kotido-24h'!G21,'11.08 Karenga-Kotido'!G21)</f>
        <v>0</v>
      </c>
      <c r="H21" s="49">
        <f>AVERAGE('05.08 Karenga-Kotido'!H21,'06.08 Karenga-Kotido'!H21,'07.08 Karenga-Kotido'!H21,'08.08 Karenga-Kotido'!H21,'09.08 Karenga-Kotido-24h'!H21,'10.08 Karenga-Kotido-24h'!H21,'11.08 Karenga-Kotido'!H21)</f>
        <v>0</v>
      </c>
      <c r="I21" s="49">
        <f>AVERAGE('05.08 Karenga-Kotido'!I21,'06.08 Karenga-Kotido'!I21,'07.08 Karenga-Kotido'!I21,'08.08 Karenga-Kotido'!I21,'09.08 Karenga-Kotido-24h'!I21,'10.08 Karenga-Kotido-24h'!I21,'11.08 Karenga-Kotido'!I21)</f>
        <v>0.14285714285714285</v>
      </c>
      <c r="J21" s="49">
        <f>AVERAGE('05.08 Karenga-Kotido'!J21,'06.08 Karenga-Kotido'!J21,'07.08 Karenga-Kotido'!J21,'08.08 Karenga-Kotido'!J21,'09.08 Karenga-Kotido-24h'!J21,'10.08 Karenga-Kotido-24h'!J21,'11.08 Karenga-Kotido'!J21)</f>
        <v>0</v>
      </c>
      <c r="K21" s="49">
        <f>AVERAGE('05.08 Karenga-Kotido'!K21,'06.08 Karenga-Kotido'!K21,'07.08 Karenga-Kotido'!K21,'08.08 Karenga-Kotido'!K21,'09.08 Karenga-Kotido-24h'!K21,'10.08 Karenga-Kotido-24h'!K21,'11.08 Karenga-Kotido'!K21)</f>
        <v>0</v>
      </c>
      <c r="L21" s="49">
        <f>AVERAGE('05.08 Karenga-Kotido'!L21,'06.08 Karenga-Kotido'!L21,'07.08 Karenga-Kotido'!L21,'08.08 Karenga-Kotido'!L21,'09.08 Karenga-Kotido-24h'!L21,'10.08 Karenga-Kotido-24h'!L21,'11.08 Karenga-Kotido'!L21)</f>
        <v>0</v>
      </c>
      <c r="M21" s="49">
        <f>AVERAGE('05.08 Karenga-Kotido'!M21,'06.08 Karenga-Kotido'!M21,'07.08 Karenga-Kotido'!M21,'08.08 Karenga-Kotido'!M21,'09.08 Karenga-Kotido-24h'!M21,'10.08 Karenga-Kotido-24h'!M21,'11.08 Karenga-Kotido'!M21)</f>
        <v>2</v>
      </c>
      <c r="N21" s="49">
        <f>AVERAGE('05.08 Karenga-Kotido'!N21,'06.08 Karenga-Kotido'!N21,'07.08 Karenga-Kotido'!N21,'08.08 Karenga-Kotido'!N21,'09.08 Karenga-Kotido-24h'!N21,'10.08 Karenga-Kotido-24h'!N21,'11.08 Karenga-Kotido'!N21)</f>
        <v>0</v>
      </c>
      <c r="O21" s="15">
        <f t="shared" si="0"/>
        <v>0.42857142857142855</v>
      </c>
      <c r="P21" s="15">
        <f t="shared" si="1"/>
        <v>2.4285714285714284</v>
      </c>
      <c r="R21" s="1" t="s">
        <v>20</v>
      </c>
      <c r="S21" s="34">
        <f t="shared" ref="S21:AF21" si="13">SUM(C54:C57)</f>
        <v>0.14285714285714285</v>
      </c>
      <c r="T21" s="17">
        <f t="shared" si="13"/>
        <v>0.2857142857142857</v>
      </c>
      <c r="U21" s="17">
        <f t="shared" si="13"/>
        <v>0.85714285714285698</v>
      </c>
      <c r="V21" s="17">
        <f t="shared" si="13"/>
        <v>0.2857142857142857</v>
      </c>
      <c r="W21" s="17">
        <f t="shared" si="13"/>
        <v>0</v>
      </c>
      <c r="X21" s="17">
        <f t="shared" si="13"/>
        <v>0</v>
      </c>
      <c r="Y21" s="17">
        <f t="shared" si="13"/>
        <v>0.2857142857142857</v>
      </c>
      <c r="Z21" s="17">
        <f t="shared" si="13"/>
        <v>0.2857142857142857</v>
      </c>
      <c r="AA21" s="17">
        <f t="shared" si="13"/>
        <v>0</v>
      </c>
      <c r="AB21" s="17">
        <f t="shared" si="13"/>
        <v>0</v>
      </c>
      <c r="AC21" s="17">
        <f t="shared" si="13"/>
        <v>4.7142857142857144</v>
      </c>
      <c r="AD21" s="17">
        <f t="shared" si="13"/>
        <v>0</v>
      </c>
      <c r="AE21" s="31">
        <f t="shared" si="13"/>
        <v>2.1428571428571423</v>
      </c>
      <c r="AF21" s="31">
        <f t="shared" si="13"/>
        <v>6.8571428571428559</v>
      </c>
    </row>
    <row r="22" spans="2:32" ht="23.1" customHeight="1" x14ac:dyDescent="0.25">
      <c r="B22" s="23" t="s">
        <v>49</v>
      </c>
      <c r="C22" s="49">
        <f>AVERAGE('05.08 Karenga-Kotido'!C22,'06.08 Karenga-Kotido'!C22,'07.08 Karenga-Kotido'!C22,'08.08 Karenga-Kotido'!C22,'09.08 Karenga-Kotido-24h'!C22,'10.08 Karenga-Kotido-24h'!C22,'11.08 Karenga-Kotido'!C22)</f>
        <v>0</v>
      </c>
      <c r="D22" s="49">
        <f>AVERAGE('05.08 Karenga-Kotido'!D22,'06.08 Karenga-Kotido'!D22,'07.08 Karenga-Kotido'!D22,'08.08 Karenga-Kotido'!D22,'09.08 Karenga-Kotido-24h'!D22,'10.08 Karenga-Kotido-24h'!D22,'11.08 Karenga-Kotido'!D22)</f>
        <v>0</v>
      </c>
      <c r="E22" s="49">
        <f>AVERAGE('05.08 Karenga-Kotido'!E22,'06.08 Karenga-Kotido'!E22,'07.08 Karenga-Kotido'!E22,'08.08 Karenga-Kotido'!E22,'09.08 Karenga-Kotido-24h'!E22,'10.08 Karenga-Kotido-24h'!E22,'11.08 Karenga-Kotido'!E22)</f>
        <v>0.2857142857142857</v>
      </c>
      <c r="F22" s="49">
        <f>AVERAGE('05.08 Karenga-Kotido'!F22,'06.08 Karenga-Kotido'!F22,'07.08 Karenga-Kotido'!F22,'08.08 Karenga-Kotido'!F22,'09.08 Karenga-Kotido-24h'!F22,'10.08 Karenga-Kotido-24h'!F22,'11.08 Karenga-Kotido'!F22)</f>
        <v>0</v>
      </c>
      <c r="G22" s="49">
        <f>AVERAGE('05.08 Karenga-Kotido'!G22,'06.08 Karenga-Kotido'!G22,'07.08 Karenga-Kotido'!G22,'08.08 Karenga-Kotido'!G22,'09.08 Karenga-Kotido-24h'!G22,'10.08 Karenga-Kotido-24h'!G22,'11.08 Karenga-Kotido'!G22)</f>
        <v>0</v>
      </c>
      <c r="H22" s="49">
        <f>AVERAGE('05.08 Karenga-Kotido'!H22,'06.08 Karenga-Kotido'!H22,'07.08 Karenga-Kotido'!H22,'08.08 Karenga-Kotido'!H22,'09.08 Karenga-Kotido-24h'!H22,'10.08 Karenga-Kotido-24h'!H22,'11.08 Karenga-Kotido'!H22)</f>
        <v>0</v>
      </c>
      <c r="I22" s="49">
        <f>AVERAGE('05.08 Karenga-Kotido'!I22,'06.08 Karenga-Kotido'!I22,'07.08 Karenga-Kotido'!I22,'08.08 Karenga-Kotido'!I22,'09.08 Karenga-Kotido-24h'!I22,'10.08 Karenga-Kotido-24h'!I22,'11.08 Karenga-Kotido'!I22)</f>
        <v>0</v>
      </c>
      <c r="J22" s="49">
        <f>AVERAGE('05.08 Karenga-Kotido'!J22,'06.08 Karenga-Kotido'!J22,'07.08 Karenga-Kotido'!J22,'08.08 Karenga-Kotido'!J22,'09.08 Karenga-Kotido-24h'!J22,'10.08 Karenga-Kotido-24h'!J22,'11.08 Karenga-Kotido'!J22)</f>
        <v>0</v>
      </c>
      <c r="K22" s="49">
        <f>AVERAGE('05.08 Karenga-Kotido'!K22,'06.08 Karenga-Kotido'!K22,'07.08 Karenga-Kotido'!K22,'08.08 Karenga-Kotido'!K22,'09.08 Karenga-Kotido-24h'!K22,'10.08 Karenga-Kotido-24h'!K22,'11.08 Karenga-Kotido'!K22)</f>
        <v>0</v>
      </c>
      <c r="L22" s="49">
        <f>AVERAGE('05.08 Karenga-Kotido'!L22,'06.08 Karenga-Kotido'!L22,'07.08 Karenga-Kotido'!L22,'08.08 Karenga-Kotido'!L22,'09.08 Karenga-Kotido-24h'!L22,'10.08 Karenga-Kotido-24h'!L22,'11.08 Karenga-Kotido'!L22)</f>
        <v>0</v>
      </c>
      <c r="M22" s="49">
        <f>AVERAGE('05.08 Karenga-Kotido'!M22,'06.08 Karenga-Kotido'!M22,'07.08 Karenga-Kotido'!M22,'08.08 Karenga-Kotido'!M22,'09.08 Karenga-Kotido-24h'!M22,'10.08 Karenga-Kotido-24h'!M22,'11.08 Karenga-Kotido'!M22)</f>
        <v>1.2857142857142858</v>
      </c>
      <c r="N22" s="49">
        <f>AVERAGE('05.08 Karenga-Kotido'!N22,'06.08 Karenga-Kotido'!N22,'07.08 Karenga-Kotido'!N22,'08.08 Karenga-Kotido'!N22,'09.08 Karenga-Kotido-24h'!N22,'10.08 Karenga-Kotido-24h'!N22,'11.08 Karenga-Kotido'!N22)</f>
        <v>0</v>
      </c>
      <c r="O22" s="15">
        <f t="shared" si="0"/>
        <v>0.2857142857142857</v>
      </c>
      <c r="P22" s="15">
        <f t="shared" si="1"/>
        <v>1.5714285714285716</v>
      </c>
      <c r="R22" s="1" t="s">
        <v>146</v>
      </c>
      <c r="S22" s="34">
        <f>SUM(C58:C61)</f>
        <v>0.5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4.5</v>
      </c>
      <c r="AD22" s="34">
        <f t="shared" si="14"/>
        <v>0</v>
      </c>
      <c r="AE22" s="31">
        <f t="shared" si="14"/>
        <v>1.5</v>
      </c>
      <c r="AF22" s="31">
        <f t="shared" si="14"/>
        <v>6</v>
      </c>
    </row>
    <row r="23" spans="2:32" ht="23.1" customHeight="1" x14ac:dyDescent="0.25">
      <c r="B23" s="23" t="s">
        <v>50</v>
      </c>
      <c r="C23" s="49">
        <f>AVERAGE('05.08 Karenga-Kotido'!C23,'06.08 Karenga-Kotido'!C23,'07.08 Karenga-Kotido'!C23,'08.08 Karenga-Kotido'!C23,'09.08 Karenga-Kotido-24h'!C23,'10.08 Karenga-Kotido-24h'!C23,'11.08 Karenga-Kotido'!C23)</f>
        <v>0</v>
      </c>
      <c r="D23" s="49">
        <f>AVERAGE('05.08 Karenga-Kotido'!D23,'06.08 Karenga-Kotido'!D23,'07.08 Karenga-Kotido'!D23,'08.08 Karenga-Kotido'!D23,'09.08 Karenga-Kotido-24h'!D23,'10.08 Karenga-Kotido-24h'!D23,'11.08 Karenga-Kotido'!D23)</f>
        <v>0</v>
      </c>
      <c r="E23" s="49">
        <f>AVERAGE('05.08 Karenga-Kotido'!E23,'06.08 Karenga-Kotido'!E23,'07.08 Karenga-Kotido'!E23,'08.08 Karenga-Kotido'!E23,'09.08 Karenga-Kotido-24h'!E23,'10.08 Karenga-Kotido-24h'!E23,'11.08 Karenga-Kotido'!E23)</f>
        <v>0.14285714285714285</v>
      </c>
      <c r="F23" s="49">
        <f>AVERAGE('05.08 Karenga-Kotido'!F23,'06.08 Karenga-Kotido'!F23,'07.08 Karenga-Kotido'!F23,'08.08 Karenga-Kotido'!F23,'09.08 Karenga-Kotido-24h'!F23,'10.08 Karenga-Kotido-24h'!F23,'11.08 Karenga-Kotido'!F23)</f>
        <v>0</v>
      </c>
      <c r="G23" s="49">
        <f>AVERAGE('05.08 Karenga-Kotido'!G23,'06.08 Karenga-Kotido'!G23,'07.08 Karenga-Kotido'!G23,'08.08 Karenga-Kotido'!G23,'09.08 Karenga-Kotido-24h'!G23,'10.08 Karenga-Kotido-24h'!G23,'11.08 Karenga-Kotido'!G23)</f>
        <v>0</v>
      </c>
      <c r="H23" s="49">
        <f>AVERAGE('05.08 Karenga-Kotido'!H23,'06.08 Karenga-Kotido'!H23,'07.08 Karenga-Kotido'!H23,'08.08 Karenga-Kotido'!H23,'09.08 Karenga-Kotido-24h'!H23,'10.08 Karenga-Kotido-24h'!H23,'11.08 Karenga-Kotido'!H23)</f>
        <v>0</v>
      </c>
      <c r="I23" s="49">
        <f>AVERAGE('05.08 Karenga-Kotido'!I23,'06.08 Karenga-Kotido'!I23,'07.08 Karenga-Kotido'!I23,'08.08 Karenga-Kotido'!I23,'09.08 Karenga-Kotido-24h'!I23,'10.08 Karenga-Kotido-24h'!I23,'11.08 Karenga-Kotido'!I23)</f>
        <v>0.2857142857142857</v>
      </c>
      <c r="J23" s="49">
        <f>AVERAGE('05.08 Karenga-Kotido'!J23,'06.08 Karenga-Kotido'!J23,'07.08 Karenga-Kotido'!J23,'08.08 Karenga-Kotido'!J23,'09.08 Karenga-Kotido-24h'!J23,'10.08 Karenga-Kotido-24h'!J23,'11.08 Karenga-Kotido'!J23)</f>
        <v>0</v>
      </c>
      <c r="K23" s="49">
        <f>AVERAGE('05.08 Karenga-Kotido'!K23,'06.08 Karenga-Kotido'!K23,'07.08 Karenga-Kotido'!K23,'08.08 Karenga-Kotido'!K23,'09.08 Karenga-Kotido-24h'!K23,'10.08 Karenga-Kotido-24h'!K23,'11.08 Karenga-Kotido'!K23)</f>
        <v>0</v>
      </c>
      <c r="L23" s="49">
        <f>AVERAGE('05.08 Karenga-Kotido'!L23,'06.08 Karenga-Kotido'!L23,'07.08 Karenga-Kotido'!L23,'08.08 Karenga-Kotido'!L23,'09.08 Karenga-Kotido-24h'!L23,'10.08 Karenga-Kotido-24h'!L23,'11.08 Karenga-Kotido'!L23)</f>
        <v>0</v>
      </c>
      <c r="M23" s="49">
        <f>AVERAGE('05.08 Karenga-Kotido'!M23,'06.08 Karenga-Kotido'!M23,'07.08 Karenga-Kotido'!M23,'08.08 Karenga-Kotido'!M23,'09.08 Karenga-Kotido-24h'!M23,'10.08 Karenga-Kotido-24h'!M23,'11.08 Karenga-Kotido'!M23)</f>
        <v>1.5714285714285714</v>
      </c>
      <c r="N23" s="49">
        <f>AVERAGE('05.08 Karenga-Kotido'!N23,'06.08 Karenga-Kotido'!N23,'07.08 Karenga-Kotido'!N23,'08.08 Karenga-Kotido'!N23,'09.08 Karenga-Kotido-24h'!N23,'10.08 Karenga-Kotido-24h'!N23,'11.08 Karenga-Kotido'!N23)</f>
        <v>0</v>
      </c>
      <c r="O23" s="15">
        <f t="shared" si="0"/>
        <v>0.42857142857142855</v>
      </c>
      <c r="P23" s="15">
        <f t="shared" si="1"/>
        <v>2</v>
      </c>
      <c r="R23" s="1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2.5</v>
      </c>
      <c r="AD23" s="34">
        <f t="shared" si="15"/>
        <v>0</v>
      </c>
      <c r="AE23" s="31">
        <f t="shared" si="15"/>
        <v>0</v>
      </c>
      <c r="AF23" s="31">
        <f t="shared" si="15"/>
        <v>2.5</v>
      </c>
    </row>
    <row r="24" spans="2:32" ht="23.1" customHeight="1" x14ac:dyDescent="0.25">
      <c r="B24" s="23" t="s">
        <v>51</v>
      </c>
      <c r="C24" s="49">
        <f>AVERAGE('05.08 Karenga-Kotido'!C24,'06.08 Karenga-Kotido'!C24,'07.08 Karenga-Kotido'!C24,'08.08 Karenga-Kotido'!C24,'09.08 Karenga-Kotido-24h'!C24,'10.08 Karenga-Kotido-24h'!C24,'11.08 Karenga-Kotido'!C24)</f>
        <v>0</v>
      </c>
      <c r="D24" s="49">
        <f>AVERAGE('05.08 Karenga-Kotido'!D24,'06.08 Karenga-Kotido'!D24,'07.08 Karenga-Kotido'!D24,'08.08 Karenga-Kotido'!D24,'09.08 Karenga-Kotido-24h'!D24,'10.08 Karenga-Kotido-24h'!D24,'11.08 Karenga-Kotido'!D24)</f>
        <v>0.14285714285714285</v>
      </c>
      <c r="E24" s="49">
        <f>AVERAGE('05.08 Karenga-Kotido'!E24,'06.08 Karenga-Kotido'!E24,'07.08 Karenga-Kotido'!E24,'08.08 Karenga-Kotido'!E24,'09.08 Karenga-Kotido-24h'!E24,'10.08 Karenga-Kotido-24h'!E24,'11.08 Karenga-Kotido'!E24)</f>
        <v>0</v>
      </c>
      <c r="F24" s="49">
        <f>AVERAGE('05.08 Karenga-Kotido'!F24,'06.08 Karenga-Kotido'!F24,'07.08 Karenga-Kotido'!F24,'08.08 Karenga-Kotido'!F24,'09.08 Karenga-Kotido-24h'!F24,'10.08 Karenga-Kotido-24h'!F24,'11.08 Karenga-Kotido'!F24)</f>
        <v>0</v>
      </c>
      <c r="G24" s="49">
        <f>AVERAGE('05.08 Karenga-Kotido'!G24,'06.08 Karenga-Kotido'!G24,'07.08 Karenga-Kotido'!G24,'08.08 Karenga-Kotido'!G24,'09.08 Karenga-Kotido-24h'!G24,'10.08 Karenga-Kotido-24h'!G24,'11.08 Karenga-Kotido'!G24)</f>
        <v>0</v>
      </c>
      <c r="H24" s="49">
        <f>AVERAGE('05.08 Karenga-Kotido'!H24,'06.08 Karenga-Kotido'!H24,'07.08 Karenga-Kotido'!H24,'08.08 Karenga-Kotido'!H24,'09.08 Karenga-Kotido-24h'!H24,'10.08 Karenga-Kotido-24h'!H24,'11.08 Karenga-Kotido'!H24)</f>
        <v>0</v>
      </c>
      <c r="I24" s="49">
        <f>AVERAGE('05.08 Karenga-Kotido'!I24,'06.08 Karenga-Kotido'!I24,'07.08 Karenga-Kotido'!I24,'08.08 Karenga-Kotido'!I24,'09.08 Karenga-Kotido-24h'!I24,'10.08 Karenga-Kotido-24h'!I24,'11.08 Karenga-Kotido'!I24)</f>
        <v>0.14285714285714285</v>
      </c>
      <c r="J24" s="49">
        <f>AVERAGE('05.08 Karenga-Kotido'!J24,'06.08 Karenga-Kotido'!J24,'07.08 Karenga-Kotido'!J24,'08.08 Karenga-Kotido'!J24,'09.08 Karenga-Kotido-24h'!J24,'10.08 Karenga-Kotido-24h'!J24,'11.08 Karenga-Kotido'!J24)</f>
        <v>0</v>
      </c>
      <c r="K24" s="49">
        <f>AVERAGE('05.08 Karenga-Kotido'!K24,'06.08 Karenga-Kotido'!K24,'07.08 Karenga-Kotido'!K24,'08.08 Karenga-Kotido'!K24,'09.08 Karenga-Kotido-24h'!K24,'10.08 Karenga-Kotido-24h'!K24,'11.08 Karenga-Kotido'!K24)</f>
        <v>0</v>
      </c>
      <c r="L24" s="49">
        <f>AVERAGE('05.08 Karenga-Kotido'!L24,'06.08 Karenga-Kotido'!L24,'07.08 Karenga-Kotido'!L24,'08.08 Karenga-Kotido'!L24,'09.08 Karenga-Kotido-24h'!L24,'10.08 Karenga-Kotido-24h'!L24,'11.08 Karenga-Kotido'!L24)</f>
        <v>0</v>
      </c>
      <c r="M24" s="49">
        <f>AVERAGE('05.08 Karenga-Kotido'!M24,'06.08 Karenga-Kotido'!M24,'07.08 Karenga-Kotido'!M24,'08.08 Karenga-Kotido'!M24,'09.08 Karenga-Kotido-24h'!M24,'10.08 Karenga-Kotido-24h'!M24,'11.08 Karenga-Kotido'!M24)</f>
        <v>2.7142857142857144</v>
      </c>
      <c r="N24" s="49">
        <f>AVERAGE('05.08 Karenga-Kotido'!N24,'06.08 Karenga-Kotido'!N24,'07.08 Karenga-Kotido'!N24,'08.08 Karenga-Kotido'!N24,'09.08 Karenga-Kotido-24h'!N24,'10.08 Karenga-Kotido-24h'!N24,'11.08 Karenga-Kotido'!N24)</f>
        <v>0</v>
      </c>
      <c r="O24" s="15">
        <f t="shared" si="0"/>
        <v>0.2857142857142857</v>
      </c>
      <c r="P24" s="15">
        <f t="shared" si="1"/>
        <v>3</v>
      </c>
      <c r="R24" s="1" t="s">
        <v>148</v>
      </c>
      <c r="S24" s="34">
        <f>SUM(C66:C69)</f>
        <v>0</v>
      </c>
      <c r="T24" s="34">
        <f t="shared" ref="T24:AF24" si="16">SUM(D66:D69)</f>
        <v>0.5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2.5</v>
      </c>
      <c r="AD24" s="34">
        <f t="shared" si="16"/>
        <v>0</v>
      </c>
      <c r="AE24" s="31">
        <f t="shared" si="16"/>
        <v>0.5</v>
      </c>
      <c r="AF24" s="31">
        <f t="shared" si="16"/>
        <v>3</v>
      </c>
    </row>
    <row r="25" spans="2:32" ht="23.1" customHeight="1" x14ac:dyDescent="0.25">
      <c r="B25" s="23" t="s">
        <v>52</v>
      </c>
      <c r="C25" s="49">
        <f>AVERAGE('05.08 Karenga-Kotido'!C25,'06.08 Karenga-Kotido'!C25,'07.08 Karenga-Kotido'!C25,'08.08 Karenga-Kotido'!C25,'09.08 Karenga-Kotido-24h'!C25,'10.08 Karenga-Kotido-24h'!C25,'11.08 Karenga-Kotido'!C25)</f>
        <v>0</v>
      </c>
      <c r="D25" s="49">
        <f>AVERAGE('05.08 Karenga-Kotido'!D25,'06.08 Karenga-Kotido'!D25,'07.08 Karenga-Kotido'!D25,'08.08 Karenga-Kotido'!D25,'09.08 Karenga-Kotido-24h'!D25,'10.08 Karenga-Kotido-24h'!D25,'11.08 Karenga-Kotido'!D25)</f>
        <v>0.14285714285714285</v>
      </c>
      <c r="E25" s="49">
        <f>AVERAGE('05.08 Karenga-Kotido'!E25,'06.08 Karenga-Kotido'!E25,'07.08 Karenga-Kotido'!E25,'08.08 Karenga-Kotido'!E25,'09.08 Karenga-Kotido-24h'!E25,'10.08 Karenga-Kotido-24h'!E25,'11.08 Karenga-Kotido'!E25)</f>
        <v>0.14285714285714285</v>
      </c>
      <c r="F25" s="49">
        <f>AVERAGE('05.08 Karenga-Kotido'!F25,'06.08 Karenga-Kotido'!F25,'07.08 Karenga-Kotido'!F25,'08.08 Karenga-Kotido'!F25,'09.08 Karenga-Kotido-24h'!F25,'10.08 Karenga-Kotido-24h'!F25,'11.08 Karenga-Kotido'!F25)</f>
        <v>0</v>
      </c>
      <c r="G25" s="49">
        <f>AVERAGE('05.08 Karenga-Kotido'!G25,'06.08 Karenga-Kotido'!G25,'07.08 Karenga-Kotido'!G25,'08.08 Karenga-Kotido'!G25,'09.08 Karenga-Kotido-24h'!G25,'10.08 Karenga-Kotido-24h'!G25,'11.08 Karenga-Kotido'!G25)</f>
        <v>0</v>
      </c>
      <c r="H25" s="49">
        <f>AVERAGE('05.08 Karenga-Kotido'!H25,'06.08 Karenga-Kotido'!H25,'07.08 Karenga-Kotido'!H25,'08.08 Karenga-Kotido'!H25,'09.08 Karenga-Kotido-24h'!H25,'10.08 Karenga-Kotido-24h'!H25,'11.08 Karenga-Kotido'!H25)</f>
        <v>0</v>
      </c>
      <c r="I25" s="49">
        <f>AVERAGE('05.08 Karenga-Kotido'!I25,'06.08 Karenga-Kotido'!I25,'07.08 Karenga-Kotido'!I25,'08.08 Karenga-Kotido'!I25,'09.08 Karenga-Kotido-24h'!I25,'10.08 Karenga-Kotido-24h'!I25,'11.08 Karenga-Kotido'!I25)</f>
        <v>0.2857142857142857</v>
      </c>
      <c r="J25" s="49">
        <f>AVERAGE('05.08 Karenga-Kotido'!J25,'06.08 Karenga-Kotido'!J25,'07.08 Karenga-Kotido'!J25,'08.08 Karenga-Kotido'!J25,'09.08 Karenga-Kotido-24h'!J25,'10.08 Karenga-Kotido-24h'!J25,'11.08 Karenga-Kotido'!J25)</f>
        <v>0</v>
      </c>
      <c r="K25" s="49">
        <f>AVERAGE('05.08 Karenga-Kotido'!K25,'06.08 Karenga-Kotido'!K25,'07.08 Karenga-Kotido'!K25,'08.08 Karenga-Kotido'!K25,'09.08 Karenga-Kotido-24h'!K25,'10.08 Karenga-Kotido-24h'!K25,'11.08 Karenga-Kotido'!K25)</f>
        <v>0</v>
      </c>
      <c r="L25" s="49">
        <f>AVERAGE('05.08 Karenga-Kotido'!L25,'06.08 Karenga-Kotido'!L25,'07.08 Karenga-Kotido'!L25,'08.08 Karenga-Kotido'!L25,'09.08 Karenga-Kotido-24h'!L25,'10.08 Karenga-Kotido-24h'!L25,'11.08 Karenga-Kotido'!L25)</f>
        <v>0</v>
      </c>
      <c r="M25" s="49">
        <f>AVERAGE('05.08 Karenga-Kotido'!M25,'06.08 Karenga-Kotido'!M25,'07.08 Karenga-Kotido'!M25,'08.08 Karenga-Kotido'!M25,'09.08 Karenga-Kotido-24h'!M25,'10.08 Karenga-Kotido-24h'!M25,'11.08 Karenga-Kotido'!M25)</f>
        <v>1.8571428571428572</v>
      </c>
      <c r="N25" s="49">
        <f>AVERAGE('05.08 Karenga-Kotido'!N25,'06.08 Karenga-Kotido'!N25,'07.08 Karenga-Kotido'!N25,'08.08 Karenga-Kotido'!N25,'09.08 Karenga-Kotido-24h'!N25,'10.08 Karenga-Kotido-24h'!N25,'11.08 Karenga-Kotido'!N25)</f>
        <v>0</v>
      </c>
      <c r="O25" s="15">
        <f t="shared" si="0"/>
        <v>0.5714285714285714</v>
      </c>
      <c r="P25" s="15">
        <f t="shared" si="1"/>
        <v>2.4285714285714288</v>
      </c>
      <c r="R25" s="1" t="s">
        <v>149</v>
      </c>
      <c r="S25" s="34">
        <f>SUM(C70:C73)</f>
        <v>0.5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0.5</v>
      </c>
      <c r="AD25" s="34">
        <f t="shared" si="17"/>
        <v>0</v>
      </c>
      <c r="AE25" s="31">
        <f t="shared" si="17"/>
        <v>0.5</v>
      </c>
      <c r="AF25" s="31">
        <f t="shared" si="17"/>
        <v>1</v>
      </c>
    </row>
    <row r="26" spans="2:32" ht="23.1" customHeight="1" x14ac:dyDescent="0.25">
      <c r="B26" s="23" t="s">
        <v>53</v>
      </c>
      <c r="C26" s="49">
        <f>AVERAGE('05.08 Karenga-Kotido'!C26,'06.08 Karenga-Kotido'!C26,'07.08 Karenga-Kotido'!C26,'08.08 Karenga-Kotido'!C26,'09.08 Karenga-Kotido-24h'!C26,'10.08 Karenga-Kotido-24h'!C26,'11.08 Karenga-Kotido'!C26)</f>
        <v>0</v>
      </c>
      <c r="D26" s="49">
        <f>AVERAGE('05.08 Karenga-Kotido'!D26,'06.08 Karenga-Kotido'!D26,'07.08 Karenga-Kotido'!D26,'08.08 Karenga-Kotido'!D26,'09.08 Karenga-Kotido-24h'!D26,'10.08 Karenga-Kotido-24h'!D26,'11.08 Karenga-Kotido'!D26)</f>
        <v>0.14285714285714285</v>
      </c>
      <c r="E26" s="49">
        <f>AVERAGE('05.08 Karenga-Kotido'!E26,'06.08 Karenga-Kotido'!E26,'07.08 Karenga-Kotido'!E26,'08.08 Karenga-Kotido'!E26,'09.08 Karenga-Kotido-24h'!E26,'10.08 Karenga-Kotido-24h'!E26,'11.08 Karenga-Kotido'!E26)</f>
        <v>0</v>
      </c>
      <c r="F26" s="49">
        <f>AVERAGE('05.08 Karenga-Kotido'!F26,'06.08 Karenga-Kotido'!F26,'07.08 Karenga-Kotido'!F26,'08.08 Karenga-Kotido'!F26,'09.08 Karenga-Kotido-24h'!F26,'10.08 Karenga-Kotido-24h'!F26,'11.08 Karenga-Kotido'!F26)</f>
        <v>0</v>
      </c>
      <c r="G26" s="49">
        <f>AVERAGE('05.08 Karenga-Kotido'!G26,'06.08 Karenga-Kotido'!G26,'07.08 Karenga-Kotido'!G26,'08.08 Karenga-Kotido'!G26,'09.08 Karenga-Kotido-24h'!G26,'10.08 Karenga-Kotido-24h'!G26,'11.08 Karenga-Kotido'!G26)</f>
        <v>0</v>
      </c>
      <c r="H26" s="49">
        <f>AVERAGE('05.08 Karenga-Kotido'!H26,'06.08 Karenga-Kotido'!H26,'07.08 Karenga-Kotido'!H26,'08.08 Karenga-Kotido'!H26,'09.08 Karenga-Kotido-24h'!H26,'10.08 Karenga-Kotido-24h'!H26,'11.08 Karenga-Kotido'!H26)</f>
        <v>0</v>
      </c>
      <c r="I26" s="49">
        <f>AVERAGE('05.08 Karenga-Kotido'!I26,'06.08 Karenga-Kotido'!I26,'07.08 Karenga-Kotido'!I26,'08.08 Karenga-Kotido'!I26,'09.08 Karenga-Kotido-24h'!I26,'10.08 Karenga-Kotido-24h'!I26,'11.08 Karenga-Kotido'!I26)</f>
        <v>0.14285714285714285</v>
      </c>
      <c r="J26" s="49">
        <f>AVERAGE('05.08 Karenga-Kotido'!J26,'06.08 Karenga-Kotido'!J26,'07.08 Karenga-Kotido'!J26,'08.08 Karenga-Kotido'!J26,'09.08 Karenga-Kotido-24h'!J26,'10.08 Karenga-Kotido-24h'!J26,'11.08 Karenga-Kotido'!J26)</f>
        <v>0</v>
      </c>
      <c r="K26" s="49">
        <f>AVERAGE('05.08 Karenga-Kotido'!K26,'06.08 Karenga-Kotido'!K26,'07.08 Karenga-Kotido'!K26,'08.08 Karenga-Kotido'!K26,'09.08 Karenga-Kotido-24h'!K26,'10.08 Karenga-Kotido-24h'!K26,'11.08 Karenga-Kotido'!K26)</f>
        <v>0</v>
      </c>
      <c r="L26" s="49">
        <f>AVERAGE('05.08 Karenga-Kotido'!L26,'06.08 Karenga-Kotido'!L26,'07.08 Karenga-Kotido'!L26,'08.08 Karenga-Kotido'!L26,'09.08 Karenga-Kotido-24h'!L26,'10.08 Karenga-Kotido-24h'!L26,'11.08 Karenga-Kotido'!L26)</f>
        <v>0</v>
      </c>
      <c r="M26" s="49">
        <f>AVERAGE('05.08 Karenga-Kotido'!M26,'06.08 Karenga-Kotido'!M26,'07.08 Karenga-Kotido'!M26,'08.08 Karenga-Kotido'!M26,'09.08 Karenga-Kotido-24h'!M26,'10.08 Karenga-Kotido-24h'!M26,'11.08 Karenga-Kotido'!M26)</f>
        <v>1.1428571428571428</v>
      </c>
      <c r="N26" s="49">
        <f>AVERAGE('05.08 Karenga-Kotido'!N26,'06.08 Karenga-Kotido'!N26,'07.08 Karenga-Kotido'!N26,'08.08 Karenga-Kotido'!N26,'09.08 Karenga-Kotido-24h'!N26,'10.08 Karenga-Kotido-24h'!N26,'11.08 Karenga-Kotido'!N26)</f>
        <v>0</v>
      </c>
      <c r="O26" s="15">
        <f t="shared" si="0"/>
        <v>0.2857142857142857</v>
      </c>
      <c r="P26" s="15">
        <f t="shared" si="1"/>
        <v>1.4285714285714284</v>
      </c>
      <c r="R26" s="1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0.5</v>
      </c>
      <c r="AD26" s="34">
        <f t="shared" si="18"/>
        <v>0</v>
      </c>
      <c r="AE26" s="31">
        <f t="shared" si="18"/>
        <v>0</v>
      </c>
      <c r="AF26" s="31">
        <f t="shared" si="18"/>
        <v>0.5</v>
      </c>
    </row>
    <row r="27" spans="2:32" ht="23.1" customHeight="1" x14ac:dyDescent="0.25">
      <c r="B27" s="23" t="s">
        <v>54</v>
      </c>
      <c r="C27" s="49">
        <f>AVERAGE('05.08 Karenga-Kotido'!C27,'06.08 Karenga-Kotido'!C27,'07.08 Karenga-Kotido'!C27,'08.08 Karenga-Kotido'!C27,'09.08 Karenga-Kotido-24h'!C27,'10.08 Karenga-Kotido-24h'!C27,'11.08 Karenga-Kotido'!C27)</f>
        <v>0</v>
      </c>
      <c r="D27" s="49">
        <f>AVERAGE('05.08 Karenga-Kotido'!D27,'06.08 Karenga-Kotido'!D27,'07.08 Karenga-Kotido'!D27,'08.08 Karenga-Kotido'!D27,'09.08 Karenga-Kotido-24h'!D27,'10.08 Karenga-Kotido-24h'!D27,'11.08 Karenga-Kotido'!D27)</f>
        <v>0.2857142857142857</v>
      </c>
      <c r="E27" s="49">
        <f>AVERAGE('05.08 Karenga-Kotido'!E27,'06.08 Karenga-Kotido'!E27,'07.08 Karenga-Kotido'!E27,'08.08 Karenga-Kotido'!E27,'09.08 Karenga-Kotido-24h'!E27,'10.08 Karenga-Kotido-24h'!E27,'11.08 Karenga-Kotido'!E27)</f>
        <v>0</v>
      </c>
      <c r="F27" s="49">
        <f>AVERAGE('05.08 Karenga-Kotido'!F27,'06.08 Karenga-Kotido'!F27,'07.08 Karenga-Kotido'!F27,'08.08 Karenga-Kotido'!F27,'09.08 Karenga-Kotido-24h'!F27,'10.08 Karenga-Kotido-24h'!F27,'11.08 Karenga-Kotido'!F27)</f>
        <v>0.14285714285714285</v>
      </c>
      <c r="G27" s="49">
        <f>AVERAGE('05.08 Karenga-Kotido'!G27,'06.08 Karenga-Kotido'!G27,'07.08 Karenga-Kotido'!G27,'08.08 Karenga-Kotido'!G27,'09.08 Karenga-Kotido-24h'!G27,'10.08 Karenga-Kotido-24h'!G27,'11.08 Karenga-Kotido'!G27)</f>
        <v>0</v>
      </c>
      <c r="H27" s="49">
        <f>AVERAGE('05.08 Karenga-Kotido'!H27,'06.08 Karenga-Kotido'!H27,'07.08 Karenga-Kotido'!H27,'08.08 Karenga-Kotido'!H27,'09.08 Karenga-Kotido-24h'!H27,'10.08 Karenga-Kotido-24h'!H27,'11.08 Karenga-Kotido'!H27)</f>
        <v>0</v>
      </c>
      <c r="I27" s="49">
        <f>AVERAGE('05.08 Karenga-Kotido'!I27,'06.08 Karenga-Kotido'!I27,'07.08 Karenga-Kotido'!I27,'08.08 Karenga-Kotido'!I27,'09.08 Karenga-Kotido-24h'!I27,'10.08 Karenga-Kotido-24h'!I27,'11.08 Karenga-Kotido'!I27)</f>
        <v>0.14285714285714285</v>
      </c>
      <c r="J27" s="49">
        <f>AVERAGE('05.08 Karenga-Kotido'!J27,'06.08 Karenga-Kotido'!J27,'07.08 Karenga-Kotido'!J27,'08.08 Karenga-Kotido'!J27,'09.08 Karenga-Kotido-24h'!J27,'10.08 Karenga-Kotido-24h'!J27,'11.08 Karenga-Kotido'!J27)</f>
        <v>0.2857142857142857</v>
      </c>
      <c r="K27" s="49">
        <f>AVERAGE('05.08 Karenga-Kotido'!K27,'06.08 Karenga-Kotido'!K27,'07.08 Karenga-Kotido'!K27,'08.08 Karenga-Kotido'!K27,'09.08 Karenga-Kotido-24h'!K27,'10.08 Karenga-Kotido-24h'!K27,'11.08 Karenga-Kotido'!K27)</f>
        <v>0</v>
      </c>
      <c r="L27" s="49">
        <f>AVERAGE('05.08 Karenga-Kotido'!L27,'06.08 Karenga-Kotido'!L27,'07.08 Karenga-Kotido'!L27,'08.08 Karenga-Kotido'!L27,'09.08 Karenga-Kotido-24h'!L27,'10.08 Karenga-Kotido-24h'!L27,'11.08 Karenga-Kotido'!L27)</f>
        <v>0</v>
      </c>
      <c r="M27" s="49">
        <f>AVERAGE('05.08 Karenga-Kotido'!M27,'06.08 Karenga-Kotido'!M27,'07.08 Karenga-Kotido'!M27,'08.08 Karenga-Kotido'!M27,'09.08 Karenga-Kotido-24h'!M27,'10.08 Karenga-Kotido-24h'!M27,'11.08 Karenga-Kotido'!M27)</f>
        <v>2.4285714285714284</v>
      </c>
      <c r="N27" s="49">
        <f>AVERAGE('05.08 Karenga-Kotido'!N27,'06.08 Karenga-Kotido'!N27,'07.08 Karenga-Kotido'!N27,'08.08 Karenga-Kotido'!N27,'09.08 Karenga-Kotido-24h'!N27,'10.08 Karenga-Kotido-24h'!N27,'11.08 Karenga-Kotido'!N27)</f>
        <v>0</v>
      </c>
      <c r="O27" s="15">
        <f t="shared" si="0"/>
        <v>0.8571428571428571</v>
      </c>
      <c r="P27" s="15">
        <f t="shared" si="1"/>
        <v>3.2857142857142856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23" t="s">
        <v>55</v>
      </c>
      <c r="C28" s="49">
        <f>AVERAGE('05.08 Karenga-Kotido'!C28,'06.08 Karenga-Kotido'!C28,'07.08 Karenga-Kotido'!C28,'08.08 Karenga-Kotido'!C28,'09.08 Karenga-Kotido-24h'!C28,'10.08 Karenga-Kotido-24h'!C28,'11.08 Karenga-Kotido'!C28)</f>
        <v>0</v>
      </c>
      <c r="D28" s="49">
        <f>AVERAGE('05.08 Karenga-Kotido'!D28,'06.08 Karenga-Kotido'!D28,'07.08 Karenga-Kotido'!D28,'08.08 Karenga-Kotido'!D28,'09.08 Karenga-Kotido-24h'!D28,'10.08 Karenga-Kotido-24h'!D28,'11.08 Karenga-Kotido'!D28)</f>
        <v>0</v>
      </c>
      <c r="E28" s="49">
        <f>AVERAGE('05.08 Karenga-Kotido'!E28,'06.08 Karenga-Kotido'!E28,'07.08 Karenga-Kotido'!E28,'08.08 Karenga-Kotido'!E28,'09.08 Karenga-Kotido-24h'!E28,'10.08 Karenga-Kotido-24h'!E28,'11.08 Karenga-Kotido'!E28)</f>
        <v>0.2857142857142857</v>
      </c>
      <c r="F28" s="49">
        <f>AVERAGE('05.08 Karenga-Kotido'!F28,'06.08 Karenga-Kotido'!F28,'07.08 Karenga-Kotido'!F28,'08.08 Karenga-Kotido'!F28,'09.08 Karenga-Kotido-24h'!F28,'10.08 Karenga-Kotido-24h'!F28,'11.08 Karenga-Kotido'!F28)</f>
        <v>0</v>
      </c>
      <c r="G28" s="49">
        <f>AVERAGE('05.08 Karenga-Kotido'!G28,'06.08 Karenga-Kotido'!G28,'07.08 Karenga-Kotido'!G28,'08.08 Karenga-Kotido'!G28,'09.08 Karenga-Kotido-24h'!G28,'10.08 Karenga-Kotido-24h'!G28,'11.08 Karenga-Kotido'!G28)</f>
        <v>0</v>
      </c>
      <c r="H28" s="49">
        <f>AVERAGE('05.08 Karenga-Kotido'!H28,'06.08 Karenga-Kotido'!H28,'07.08 Karenga-Kotido'!H28,'08.08 Karenga-Kotido'!H28,'09.08 Karenga-Kotido-24h'!H28,'10.08 Karenga-Kotido-24h'!H28,'11.08 Karenga-Kotido'!H28)</f>
        <v>0</v>
      </c>
      <c r="I28" s="49">
        <f>AVERAGE('05.08 Karenga-Kotido'!I28,'06.08 Karenga-Kotido'!I28,'07.08 Karenga-Kotido'!I28,'08.08 Karenga-Kotido'!I28,'09.08 Karenga-Kotido-24h'!I28,'10.08 Karenga-Kotido-24h'!I28,'11.08 Karenga-Kotido'!I28)</f>
        <v>0.14285714285714285</v>
      </c>
      <c r="J28" s="49">
        <f>AVERAGE('05.08 Karenga-Kotido'!J28,'06.08 Karenga-Kotido'!J28,'07.08 Karenga-Kotido'!J28,'08.08 Karenga-Kotido'!J28,'09.08 Karenga-Kotido-24h'!J28,'10.08 Karenga-Kotido-24h'!J28,'11.08 Karenga-Kotido'!J28)</f>
        <v>0</v>
      </c>
      <c r="K28" s="49">
        <f>AVERAGE('05.08 Karenga-Kotido'!K28,'06.08 Karenga-Kotido'!K28,'07.08 Karenga-Kotido'!K28,'08.08 Karenga-Kotido'!K28,'09.08 Karenga-Kotido-24h'!K28,'10.08 Karenga-Kotido-24h'!K28,'11.08 Karenga-Kotido'!K28)</f>
        <v>0.14285714285714285</v>
      </c>
      <c r="L28" s="49">
        <f>AVERAGE('05.08 Karenga-Kotido'!L28,'06.08 Karenga-Kotido'!L28,'07.08 Karenga-Kotido'!L28,'08.08 Karenga-Kotido'!L28,'09.08 Karenga-Kotido-24h'!L28,'10.08 Karenga-Kotido-24h'!L28,'11.08 Karenga-Kotido'!L28)</f>
        <v>0</v>
      </c>
      <c r="M28" s="49">
        <f>AVERAGE('05.08 Karenga-Kotido'!M28,'06.08 Karenga-Kotido'!M28,'07.08 Karenga-Kotido'!M28,'08.08 Karenga-Kotido'!M28,'09.08 Karenga-Kotido-24h'!M28,'10.08 Karenga-Kotido-24h'!M28,'11.08 Karenga-Kotido'!M28)</f>
        <v>2.1428571428571428</v>
      </c>
      <c r="N28" s="49">
        <f>AVERAGE('05.08 Karenga-Kotido'!N28,'06.08 Karenga-Kotido'!N28,'07.08 Karenga-Kotido'!N28,'08.08 Karenga-Kotido'!N28,'09.08 Karenga-Kotido-24h'!N28,'10.08 Karenga-Kotido-24h'!N28,'11.08 Karenga-Kotido'!N28)</f>
        <v>0</v>
      </c>
      <c r="O28" s="15">
        <f t="shared" si="0"/>
        <v>0.5714285714285714</v>
      </c>
      <c r="P28" s="15">
        <f t="shared" si="1"/>
        <v>2.7142857142857144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23" t="s">
        <v>56</v>
      </c>
      <c r="C29" s="49">
        <f>AVERAGE('05.08 Karenga-Kotido'!C29,'06.08 Karenga-Kotido'!C29,'07.08 Karenga-Kotido'!C29,'08.08 Karenga-Kotido'!C29,'09.08 Karenga-Kotido-24h'!C29,'10.08 Karenga-Kotido-24h'!C29,'11.08 Karenga-Kotido'!C29)</f>
        <v>0</v>
      </c>
      <c r="D29" s="49">
        <f>AVERAGE('05.08 Karenga-Kotido'!D29,'06.08 Karenga-Kotido'!D29,'07.08 Karenga-Kotido'!D29,'08.08 Karenga-Kotido'!D29,'09.08 Karenga-Kotido-24h'!D29,'10.08 Karenga-Kotido-24h'!D29,'11.08 Karenga-Kotido'!D29)</f>
        <v>0.14285714285714285</v>
      </c>
      <c r="E29" s="49">
        <f>AVERAGE('05.08 Karenga-Kotido'!E29,'06.08 Karenga-Kotido'!E29,'07.08 Karenga-Kotido'!E29,'08.08 Karenga-Kotido'!E29,'09.08 Karenga-Kotido-24h'!E29,'10.08 Karenga-Kotido-24h'!E29,'11.08 Karenga-Kotido'!E29)</f>
        <v>0.2857142857142857</v>
      </c>
      <c r="F29" s="49">
        <f>AVERAGE('05.08 Karenga-Kotido'!F29,'06.08 Karenga-Kotido'!F29,'07.08 Karenga-Kotido'!F29,'08.08 Karenga-Kotido'!F29,'09.08 Karenga-Kotido-24h'!F29,'10.08 Karenga-Kotido-24h'!F29,'11.08 Karenga-Kotido'!F29)</f>
        <v>0.14285714285714285</v>
      </c>
      <c r="G29" s="49">
        <f>AVERAGE('05.08 Karenga-Kotido'!G29,'06.08 Karenga-Kotido'!G29,'07.08 Karenga-Kotido'!G29,'08.08 Karenga-Kotido'!G29,'09.08 Karenga-Kotido-24h'!G29,'10.08 Karenga-Kotido-24h'!G29,'11.08 Karenga-Kotido'!G29)</f>
        <v>0</v>
      </c>
      <c r="H29" s="49">
        <f>AVERAGE('05.08 Karenga-Kotido'!H29,'06.08 Karenga-Kotido'!H29,'07.08 Karenga-Kotido'!H29,'08.08 Karenga-Kotido'!H29,'09.08 Karenga-Kotido-24h'!H29,'10.08 Karenga-Kotido-24h'!H29,'11.08 Karenga-Kotido'!H29)</f>
        <v>0</v>
      </c>
      <c r="I29" s="49">
        <f>AVERAGE('05.08 Karenga-Kotido'!I29,'06.08 Karenga-Kotido'!I29,'07.08 Karenga-Kotido'!I29,'08.08 Karenga-Kotido'!I29,'09.08 Karenga-Kotido-24h'!I29,'10.08 Karenga-Kotido-24h'!I29,'11.08 Karenga-Kotido'!I29)</f>
        <v>0.14285714285714285</v>
      </c>
      <c r="J29" s="49">
        <f>AVERAGE('05.08 Karenga-Kotido'!J29,'06.08 Karenga-Kotido'!J29,'07.08 Karenga-Kotido'!J29,'08.08 Karenga-Kotido'!J29,'09.08 Karenga-Kotido-24h'!J29,'10.08 Karenga-Kotido-24h'!J29,'11.08 Karenga-Kotido'!J29)</f>
        <v>0</v>
      </c>
      <c r="K29" s="49">
        <f>AVERAGE('05.08 Karenga-Kotido'!K29,'06.08 Karenga-Kotido'!K29,'07.08 Karenga-Kotido'!K29,'08.08 Karenga-Kotido'!K29,'09.08 Karenga-Kotido-24h'!K29,'10.08 Karenga-Kotido-24h'!K29,'11.08 Karenga-Kotido'!K29)</f>
        <v>0</v>
      </c>
      <c r="L29" s="49">
        <f>AVERAGE('05.08 Karenga-Kotido'!L29,'06.08 Karenga-Kotido'!L29,'07.08 Karenga-Kotido'!L29,'08.08 Karenga-Kotido'!L29,'09.08 Karenga-Kotido-24h'!L29,'10.08 Karenga-Kotido-24h'!L29,'11.08 Karenga-Kotido'!L29)</f>
        <v>0</v>
      </c>
      <c r="M29" s="49">
        <f>AVERAGE('05.08 Karenga-Kotido'!M29,'06.08 Karenga-Kotido'!M29,'07.08 Karenga-Kotido'!M29,'08.08 Karenga-Kotido'!M29,'09.08 Karenga-Kotido-24h'!M29,'10.08 Karenga-Kotido-24h'!M29,'11.08 Karenga-Kotido'!M29)</f>
        <v>3</v>
      </c>
      <c r="N29" s="49">
        <f>AVERAGE('05.08 Karenga-Kotido'!N29,'06.08 Karenga-Kotido'!N29,'07.08 Karenga-Kotido'!N29,'08.08 Karenga-Kotido'!N29,'09.08 Karenga-Kotido-24h'!N29,'10.08 Karenga-Kotido-24h'!N29,'11.08 Karenga-Kotido'!N29)</f>
        <v>0</v>
      </c>
      <c r="O29" s="15">
        <f t="shared" si="0"/>
        <v>0.71428571428571419</v>
      </c>
      <c r="P29" s="15">
        <f t="shared" si="1"/>
        <v>3.7142857142857144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23" t="s">
        <v>57</v>
      </c>
      <c r="C30" s="49">
        <f>AVERAGE('05.08 Karenga-Kotido'!C30,'06.08 Karenga-Kotido'!C30,'07.08 Karenga-Kotido'!C30,'08.08 Karenga-Kotido'!C30,'09.08 Karenga-Kotido-24h'!C30,'10.08 Karenga-Kotido-24h'!C30,'11.08 Karenga-Kotido'!C30)</f>
        <v>0</v>
      </c>
      <c r="D30" s="49">
        <f>AVERAGE('05.08 Karenga-Kotido'!D30,'06.08 Karenga-Kotido'!D30,'07.08 Karenga-Kotido'!D30,'08.08 Karenga-Kotido'!D30,'09.08 Karenga-Kotido-24h'!D30,'10.08 Karenga-Kotido-24h'!D30,'11.08 Karenga-Kotido'!D30)</f>
        <v>0.2857142857142857</v>
      </c>
      <c r="E30" s="49">
        <f>AVERAGE('05.08 Karenga-Kotido'!E30,'06.08 Karenga-Kotido'!E30,'07.08 Karenga-Kotido'!E30,'08.08 Karenga-Kotido'!E30,'09.08 Karenga-Kotido-24h'!E30,'10.08 Karenga-Kotido-24h'!E30,'11.08 Karenga-Kotido'!E30)</f>
        <v>0.2857142857142857</v>
      </c>
      <c r="F30" s="49">
        <f>AVERAGE('05.08 Karenga-Kotido'!F30,'06.08 Karenga-Kotido'!F30,'07.08 Karenga-Kotido'!F30,'08.08 Karenga-Kotido'!F30,'09.08 Karenga-Kotido-24h'!F30,'10.08 Karenga-Kotido-24h'!F30,'11.08 Karenga-Kotido'!F30)</f>
        <v>0</v>
      </c>
      <c r="G30" s="49">
        <f>AVERAGE('05.08 Karenga-Kotido'!G30,'06.08 Karenga-Kotido'!G30,'07.08 Karenga-Kotido'!G30,'08.08 Karenga-Kotido'!G30,'09.08 Karenga-Kotido-24h'!G30,'10.08 Karenga-Kotido-24h'!G30,'11.08 Karenga-Kotido'!G30)</f>
        <v>0</v>
      </c>
      <c r="H30" s="49">
        <f>AVERAGE('05.08 Karenga-Kotido'!H30,'06.08 Karenga-Kotido'!H30,'07.08 Karenga-Kotido'!H30,'08.08 Karenga-Kotido'!H30,'09.08 Karenga-Kotido-24h'!H30,'10.08 Karenga-Kotido-24h'!H30,'11.08 Karenga-Kotido'!H30)</f>
        <v>0</v>
      </c>
      <c r="I30" s="49">
        <f>AVERAGE('05.08 Karenga-Kotido'!I30,'06.08 Karenga-Kotido'!I30,'07.08 Karenga-Kotido'!I30,'08.08 Karenga-Kotido'!I30,'09.08 Karenga-Kotido-24h'!I30,'10.08 Karenga-Kotido-24h'!I30,'11.08 Karenga-Kotido'!I30)</f>
        <v>0</v>
      </c>
      <c r="J30" s="49">
        <f>AVERAGE('05.08 Karenga-Kotido'!J30,'06.08 Karenga-Kotido'!J30,'07.08 Karenga-Kotido'!J30,'08.08 Karenga-Kotido'!J30,'09.08 Karenga-Kotido-24h'!J30,'10.08 Karenga-Kotido-24h'!J30,'11.08 Karenga-Kotido'!J30)</f>
        <v>0</v>
      </c>
      <c r="K30" s="49">
        <f>AVERAGE('05.08 Karenga-Kotido'!K30,'06.08 Karenga-Kotido'!K30,'07.08 Karenga-Kotido'!K30,'08.08 Karenga-Kotido'!K30,'09.08 Karenga-Kotido-24h'!K30,'10.08 Karenga-Kotido-24h'!K30,'11.08 Karenga-Kotido'!K30)</f>
        <v>0</v>
      </c>
      <c r="L30" s="49">
        <f>AVERAGE('05.08 Karenga-Kotido'!L30,'06.08 Karenga-Kotido'!L30,'07.08 Karenga-Kotido'!L30,'08.08 Karenga-Kotido'!L30,'09.08 Karenga-Kotido-24h'!L30,'10.08 Karenga-Kotido-24h'!L30,'11.08 Karenga-Kotido'!L30)</f>
        <v>0</v>
      </c>
      <c r="M30" s="49">
        <f>AVERAGE('05.08 Karenga-Kotido'!M30,'06.08 Karenga-Kotido'!M30,'07.08 Karenga-Kotido'!M30,'08.08 Karenga-Kotido'!M30,'09.08 Karenga-Kotido-24h'!M30,'10.08 Karenga-Kotido-24h'!M30,'11.08 Karenga-Kotido'!M30)</f>
        <v>1.5714285714285714</v>
      </c>
      <c r="N30" s="49">
        <f>AVERAGE('05.08 Karenga-Kotido'!N30,'06.08 Karenga-Kotido'!N30,'07.08 Karenga-Kotido'!N30,'08.08 Karenga-Kotido'!N30,'09.08 Karenga-Kotido-24h'!N30,'10.08 Karenga-Kotido-24h'!N30,'11.08 Karenga-Kotido'!N30)</f>
        <v>0</v>
      </c>
      <c r="O30" s="15">
        <f t="shared" si="0"/>
        <v>0.5714285714285714</v>
      </c>
      <c r="P30" s="15">
        <f t="shared" si="1"/>
        <v>2.1428571428571428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49">
        <f>AVERAGE('05.08 Karenga-Kotido'!C31,'06.08 Karenga-Kotido'!C31,'07.08 Karenga-Kotido'!C31,'08.08 Karenga-Kotido'!C31,'09.08 Karenga-Kotido-24h'!C31,'10.08 Karenga-Kotido-24h'!C31,'11.08 Karenga-Kotido'!C31)</f>
        <v>0</v>
      </c>
      <c r="D31" s="49">
        <f>AVERAGE('05.08 Karenga-Kotido'!D31,'06.08 Karenga-Kotido'!D31,'07.08 Karenga-Kotido'!D31,'08.08 Karenga-Kotido'!D31,'09.08 Karenga-Kotido-24h'!D31,'10.08 Karenga-Kotido-24h'!D31,'11.08 Karenga-Kotido'!D31)</f>
        <v>0.2857142857142857</v>
      </c>
      <c r="E31" s="49">
        <f>AVERAGE('05.08 Karenga-Kotido'!E31,'06.08 Karenga-Kotido'!E31,'07.08 Karenga-Kotido'!E31,'08.08 Karenga-Kotido'!E31,'09.08 Karenga-Kotido-24h'!E31,'10.08 Karenga-Kotido-24h'!E31,'11.08 Karenga-Kotido'!E31)</f>
        <v>0.14285714285714285</v>
      </c>
      <c r="F31" s="49">
        <f>AVERAGE('05.08 Karenga-Kotido'!F31,'06.08 Karenga-Kotido'!F31,'07.08 Karenga-Kotido'!F31,'08.08 Karenga-Kotido'!F31,'09.08 Karenga-Kotido-24h'!F31,'10.08 Karenga-Kotido-24h'!F31,'11.08 Karenga-Kotido'!F31)</f>
        <v>0.14285714285714285</v>
      </c>
      <c r="G31" s="49">
        <f>AVERAGE('05.08 Karenga-Kotido'!G31,'06.08 Karenga-Kotido'!G31,'07.08 Karenga-Kotido'!G31,'08.08 Karenga-Kotido'!G31,'09.08 Karenga-Kotido-24h'!G31,'10.08 Karenga-Kotido-24h'!G31,'11.08 Karenga-Kotido'!G31)</f>
        <v>0</v>
      </c>
      <c r="H31" s="49">
        <f>AVERAGE('05.08 Karenga-Kotido'!H31,'06.08 Karenga-Kotido'!H31,'07.08 Karenga-Kotido'!H31,'08.08 Karenga-Kotido'!H31,'09.08 Karenga-Kotido-24h'!H31,'10.08 Karenga-Kotido-24h'!H31,'11.08 Karenga-Kotido'!H31)</f>
        <v>0</v>
      </c>
      <c r="I31" s="49">
        <f>AVERAGE('05.08 Karenga-Kotido'!I31,'06.08 Karenga-Kotido'!I31,'07.08 Karenga-Kotido'!I31,'08.08 Karenga-Kotido'!I31,'09.08 Karenga-Kotido-24h'!I31,'10.08 Karenga-Kotido-24h'!I31,'11.08 Karenga-Kotido'!I31)</f>
        <v>0.14285714285714285</v>
      </c>
      <c r="J31" s="49">
        <f>AVERAGE('05.08 Karenga-Kotido'!J31,'06.08 Karenga-Kotido'!J31,'07.08 Karenga-Kotido'!J31,'08.08 Karenga-Kotido'!J31,'09.08 Karenga-Kotido-24h'!J31,'10.08 Karenga-Kotido-24h'!J31,'11.08 Karenga-Kotido'!J31)</f>
        <v>0</v>
      </c>
      <c r="K31" s="49">
        <f>AVERAGE('05.08 Karenga-Kotido'!K31,'06.08 Karenga-Kotido'!K31,'07.08 Karenga-Kotido'!K31,'08.08 Karenga-Kotido'!K31,'09.08 Karenga-Kotido-24h'!K31,'10.08 Karenga-Kotido-24h'!K31,'11.08 Karenga-Kotido'!K31)</f>
        <v>0.14285714285714285</v>
      </c>
      <c r="L31" s="49">
        <f>AVERAGE('05.08 Karenga-Kotido'!L31,'06.08 Karenga-Kotido'!L31,'07.08 Karenga-Kotido'!L31,'08.08 Karenga-Kotido'!L31,'09.08 Karenga-Kotido-24h'!L31,'10.08 Karenga-Kotido-24h'!L31,'11.08 Karenga-Kotido'!L31)</f>
        <v>0</v>
      </c>
      <c r="M31" s="49">
        <f>AVERAGE('05.08 Karenga-Kotido'!M31,'06.08 Karenga-Kotido'!M31,'07.08 Karenga-Kotido'!M31,'08.08 Karenga-Kotido'!M31,'09.08 Karenga-Kotido-24h'!M31,'10.08 Karenga-Kotido-24h'!M31,'11.08 Karenga-Kotido'!M31)</f>
        <v>1.5714285714285714</v>
      </c>
      <c r="N31" s="49">
        <f>AVERAGE('05.08 Karenga-Kotido'!N31,'06.08 Karenga-Kotido'!N31,'07.08 Karenga-Kotido'!N31,'08.08 Karenga-Kotido'!N31,'09.08 Karenga-Kotido-24h'!N31,'10.08 Karenga-Kotido-24h'!N31,'11.08 Karenga-Kotido'!N31)</f>
        <v>0</v>
      </c>
      <c r="O31" s="15">
        <f t="shared" si="0"/>
        <v>0.85714285714285698</v>
      </c>
      <c r="P31" s="15">
        <f t="shared" si="1"/>
        <v>2.4285714285714284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24" t="s">
        <v>59</v>
      </c>
      <c r="C32" s="49">
        <f>AVERAGE('05.08 Karenga-Kotido'!C32,'06.08 Karenga-Kotido'!C32,'07.08 Karenga-Kotido'!C32,'08.08 Karenga-Kotido'!C32,'09.08 Karenga-Kotido-24h'!C32,'10.08 Karenga-Kotido-24h'!C32,'11.08 Karenga-Kotido'!C32)</f>
        <v>0.14285714285714285</v>
      </c>
      <c r="D32" s="49">
        <f>AVERAGE('05.08 Karenga-Kotido'!D32,'06.08 Karenga-Kotido'!D32,'07.08 Karenga-Kotido'!D32,'08.08 Karenga-Kotido'!D32,'09.08 Karenga-Kotido-24h'!D32,'10.08 Karenga-Kotido-24h'!D32,'11.08 Karenga-Kotido'!D32)</f>
        <v>0.14285714285714285</v>
      </c>
      <c r="E32" s="49">
        <f>AVERAGE('05.08 Karenga-Kotido'!E32,'06.08 Karenga-Kotido'!E32,'07.08 Karenga-Kotido'!E32,'08.08 Karenga-Kotido'!E32,'09.08 Karenga-Kotido-24h'!E32,'10.08 Karenga-Kotido-24h'!E32,'11.08 Karenga-Kotido'!E32)</f>
        <v>0.14285714285714285</v>
      </c>
      <c r="F32" s="49">
        <f>AVERAGE('05.08 Karenga-Kotido'!F32,'06.08 Karenga-Kotido'!F32,'07.08 Karenga-Kotido'!F32,'08.08 Karenga-Kotido'!F32,'09.08 Karenga-Kotido-24h'!F32,'10.08 Karenga-Kotido-24h'!F32,'11.08 Karenga-Kotido'!F32)</f>
        <v>0.2857142857142857</v>
      </c>
      <c r="G32" s="49">
        <f>AVERAGE('05.08 Karenga-Kotido'!G32,'06.08 Karenga-Kotido'!G32,'07.08 Karenga-Kotido'!G32,'08.08 Karenga-Kotido'!G32,'09.08 Karenga-Kotido-24h'!G32,'10.08 Karenga-Kotido-24h'!G32,'11.08 Karenga-Kotido'!G32)</f>
        <v>0</v>
      </c>
      <c r="H32" s="49">
        <f>AVERAGE('05.08 Karenga-Kotido'!H32,'06.08 Karenga-Kotido'!H32,'07.08 Karenga-Kotido'!H32,'08.08 Karenga-Kotido'!H32,'09.08 Karenga-Kotido-24h'!H32,'10.08 Karenga-Kotido-24h'!H32,'11.08 Karenga-Kotido'!H32)</f>
        <v>0</v>
      </c>
      <c r="I32" s="49">
        <f>AVERAGE('05.08 Karenga-Kotido'!I32,'06.08 Karenga-Kotido'!I32,'07.08 Karenga-Kotido'!I32,'08.08 Karenga-Kotido'!I32,'09.08 Karenga-Kotido-24h'!I32,'10.08 Karenga-Kotido-24h'!I32,'11.08 Karenga-Kotido'!I32)</f>
        <v>0</v>
      </c>
      <c r="J32" s="49">
        <f>AVERAGE('05.08 Karenga-Kotido'!J32,'06.08 Karenga-Kotido'!J32,'07.08 Karenga-Kotido'!J32,'08.08 Karenga-Kotido'!J32,'09.08 Karenga-Kotido-24h'!J32,'10.08 Karenga-Kotido-24h'!J32,'11.08 Karenga-Kotido'!J32)</f>
        <v>0</v>
      </c>
      <c r="K32" s="49">
        <f>AVERAGE('05.08 Karenga-Kotido'!K32,'06.08 Karenga-Kotido'!K32,'07.08 Karenga-Kotido'!K32,'08.08 Karenga-Kotido'!K32,'09.08 Karenga-Kotido-24h'!K32,'10.08 Karenga-Kotido-24h'!K32,'11.08 Karenga-Kotido'!K32)</f>
        <v>0</v>
      </c>
      <c r="L32" s="49">
        <f>AVERAGE('05.08 Karenga-Kotido'!L32,'06.08 Karenga-Kotido'!L32,'07.08 Karenga-Kotido'!L32,'08.08 Karenga-Kotido'!L32,'09.08 Karenga-Kotido-24h'!L32,'10.08 Karenga-Kotido-24h'!L32,'11.08 Karenga-Kotido'!L32)</f>
        <v>0</v>
      </c>
      <c r="M32" s="49">
        <f>AVERAGE('05.08 Karenga-Kotido'!M32,'06.08 Karenga-Kotido'!M32,'07.08 Karenga-Kotido'!M32,'08.08 Karenga-Kotido'!M32,'09.08 Karenga-Kotido-24h'!M32,'10.08 Karenga-Kotido-24h'!M32,'11.08 Karenga-Kotido'!M32)</f>
        <v>2.8571428571428572</v>
      </c>
      <c r="N32" s="49">
        <f>AVERAGE('05.08 Karenga-Kotido'!N32,'06.08 Karenga-Kotido'!N32,'07.08 Karenga-Kotido'!N32,'08.08 Karenga-Kotido'!N32,'09.08 Karenga-Kotido-24h'!N32,'10.08 Karenga-Kotido-24h'!N32,'11.08 Karenga-Kotido'!N32)</f>
        <v>0</v>
      </c>
      <c r="O32" s="15">
        <f t="shared" si="0"/>
        <v>0.71428571428571419</v>
      </c>
      <c r="P32" s="15">
        <f t="shared" si="1"/>
        <v>3.5714285714285712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23" t="s">
        <v>60</v>
      </c>
      <c r="C33" s="49">
        <f>AVERAGE('05.08 Karenga-Kotido'!C33,'06.08 Karenga-Kotido'!C33,'07.08 Karenga-Kotido'!C33,'08.08 Karenga-Kotido'!C33,'09.08 Karenga-Kotido-24h'!C33,'10.08 Karenga-Kotido-24h'!C33,'11.08 Karenga-Kotido'!C33)</f>
        <v>0.14285714285714285</v>
      </c>
      <c r="D33" s="49">
        <f>AVERAGE('05.08 Karenga-Kotido'!D33,'06.08 Karenga-Kotido'!D33,'07.08 Karenga-Kotido'!D33,'08.08 Karenga-Kotido'!D33,'09.08 Karenga-Kotido-24h'!D33,'10.08 Karenga-Kotido-24h'!D33,'11.08 Karenga-Kotido'!D33)</f>
        <v>0.2857142857142857</v>
      </c>
      <c r="E33" s="49">
        <f>AVERAGE('05.08 Karenga-Kotido'!E33,'06.08 Karenga-Kotido'!E33,'07.08 Karenga-Kotido'!E33,'08.08 Karenga-Kotido'!E33,'09.08 Karenga-Kotido-24h'!E33,'10.08 Karenga-Kotido-24h'!E33,'11.08 Karenga-Kotido'!E33)</f>
        <v>0.2857142857142857</v>
      </c>
      <c r="F33" s="49">
        <f>AVERAGE('05.08 Karenga-Kotido'!F33,'06.08 Karenga-Kotido'!F33,'07.08 Karenga-Kotido'!F33,'08.08 Karenga-Kotido'!F33,'09.08 Karenga-Kotido-24h'!F33,'10.08 Karenga-Kotido-24h'!F33,'11.08 Karenga-Kotido'!F33)</f>
        <v>0</v>
      </c>
      <c r="G33" s="49">
        <f>AVERAGE('05.08 Karenga-Kotido'!G33,'06.08 Karenga-Kotido'!G33,'07.08 Karenga-Kotido'!G33,'08.08 Karenga-Kotido'!G33,'09.08 Karenga-Kotido-24h'!G33,'10.08 Karenga-Kotido-24h'!G33,'11.08 Karenga-Kotido'!G33)</f>
        <v>0</v>
      </c>
      <c r="H33" s="49">
        <f>AVERAGE('05.08 Karenga-Kotido'!H33,'06.08 Karenga-Kotido'!H33,'07.08 Karenga-Kotido'!H33,'08.08 Karenga-Kotido'!H33,'09.08 Karenga-Kotido-24h'!H33,'10.08 Karenga-Kotido-24h'!H33,'11.08 Karenga-Kotido'!H33)</f>
        <v>0</v>
      </c>
      <c r="I33" s="49">
        <f>AVERAGE('05.08 Karenga-Kotido'!I33,'06.08 Karenga-Kotido'!I33,'07.08 Karenga-Kotido'!I33,'08.08 Karenga-Kotido'!I33,'09.08 Karenga-Kotido-24h'!I33,'10.08 Karenga-Kotido-24h'!I33,'11.08 Karenga-Kotido'!I33)</f>
        <v>0.14285714285714285</v>
      </c>
      <c r="J33" s="49">
        <f>AVERAGE('05.08 Karenga-Kotido'!J33,'06.08 Karenga-Kotido'!J33,'07.08 Karenga-Kotido'!J33,'08.08 Karenga-Kotido'!J33,'09.08 Karenga-Kotido-24h'!J33,'10.08 Karenga-Kotido-24h'!J33,'11.08 Karenga-Kotido'!J33)</f>
        <v>0</v>
      </c>
      <c r="K33" s="49">
        <f>AVERAGE('05.08 Karenga-Kotido'!K33,'06.08 Karenga-Kotido'!K33,'07.08 Karenga-Kotido'!K33,'08.08 Karenga-Kotido'!K33,'09.08 Karenga-Kotido-24h'!K33,'10.08 Karenga-Kotido-24h'!K33,'11.08 Karenga-Kotido'!K33)</f>
        <v>0</v>
      </c>
      <c r="L33" s="49">
        <f>AVERAGE('05.08 Karenga-Kotido'!L33,'06.08 Karenga-Kotido'!L33,'07.08 Karenga-Kotido'!L33,'08.08 Karenga-Kotido'!L33,'09.08 Karenga-Kotido-24h'!L33,'10.08 Karenga-Kotido-24h'!L33,'11.08 Karenga-Kotido'!L33)</f>
        <v>0</v>
      </c>
      <c r="M33" s="49">
        <f>AVERAGE('05.08 Karenga-Kotido'!M33,'06.08 Karenga-Kotido'!M33,'07.08 Karenga-Kotido'!M33,'08.08 Karenga-Kotido'!M33,'09.08 Karenga-Kotido-24h'!M33,'10.08 Karenga-Kotido-24h'!M33,'11.08 Karenga-Kotido'!M33)</f>
        <v>1.7142857142857142</v>
      </c>
      <c r="N33" s="49">
        <f>AVERAGE('05.08 Karenga-Kotido'!N33,'06.08 Karenga-Kotido'!N33,'07.08 Karenga-Kotido'!N33,'08.08 Karenga-Kotido'!N33,'09.08 Karenga-Kotido-24h'!N33,'10.08 Karenga-Kotido-24h'!N33,'11.08 Karenga-Kotido'!N33)</f>
        <v>0</v>
      </c>
      <c r="O33" s="15">
        <f t="shared" si="0"/>
        <v>0.85714285714285698</v>
      </c>
      <c r="P33" s="15">
        <f t="shared" si="1"/>
        <v>2.5714285714285712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24" t="s">
        <v>61</v>
      </c>
      <c r="C34" s="49">
        <f>AVERAGE('05.08 Karenga-Kotido'!C34,'06.08 Karenga-Kotido'!C34,'07.08 Karenga-Kotido'!C34,'08.08 Karenga-Kotido'!C34,'09.08 Karenga-Kotido-24h'!C34,'10.08 Karenga-Kotido-24h'!C34,'11.08 Karenga-Kotido'!C34)</f>
        <v>0.2857142857142857</v>
      </c>
      <c r="D34" s="49">
        <f>AVERAGE('05.08 Karenga-Kotido'!D34,'06.08 Karenga-Kotido'!D34,'07.08 Karenga-Kotido'!D34,'08.08 Karenga-Kotido'!D34,'09.08 Karenga-Kotido-24h'!D34,'10.08 Karenga-Kotido-24h'!D34,'11.08 Karenga-Kotido'!D34)</f>
        <v>0</v>
      </c>
      <c r="E34" s="49">
        <f>AVERAGE('05.08 Karenga-Kotido'!E34,'06.08 Karenga-Kotido'!E34,'07.08 Karenga-Kotido'!E34,'08.08 Karenga-Kotido'!E34,'09.08 Karenga-Kotido-24h'!E34,'10.08 Karenga-Kotido-24h'!E34,'11.08 Karenga-Kotido'!E34)</f>
        <v>0.42857142857142855</v>
      </c>
      <c r="F34" s="49">
        <f>AVERAGE('05.08 Karenga-Kotido'!F34,'06.08 Karenga-Kotido'!F34,'07.08 Karenga-Kotido'!F34,'08.08 Karenga-Kotido'!F34,'09.08 Karenga-Kotido-24h'!F34,'10.08 Karenga-Kotido-24h'!F34,'11.08 Karenga-Kotido'!F34)</f>
        <v>0.14285714285714285</v>
      </c>
      <c r="G34" s="49">
        <f>AVERAGE('05.08 Karenga-Kotido'!G34,'06.08 Karenga-Kotido'!G34,'07.08 Karenga-Kotido'!G34,'08.08 Karenga-Kotido'!G34,'09.08 Karenga-Kotido-24h'!G34,'10.08 Karenga-Kotido-24h'!G34,'11.08 Karenga-Kotido'!G34)</f>
        <v>0</v>
      </c>
      <c r="H34" s="49">
        <f>AVERAGE('05.08 Karenga-Kotido'!H34,'06.08 Karenga-Kotido'!H34,'07.08 Karenga-Kotido'!H34,'08.08 Karenga-Kotido'!H34,'09.08 Karenga-Kotido-24h'!H34,'10.08 Karenga-Kotido-24h'!H34,'11.08 Karenga-Kotido'!H34)</f>
        <v>0</v>
      </c>
      <c r="I34" s="49">
        <f>AVERAGE('05.08 Karenga-Kotido'!I34,'06.08 Karenga-Kotido'!I34,'07.08 Karenga-Kotido'!I34,'08.08 Karenga-Kotido'!I34,'09.08 Karenga-Kotido-24h'!I34,'10.08 Karenga-Kotido-24h'!I34,'11.08 Karenga-Kotido'!I34)</f>
        <v>0.5714285714285714</v>
      </c>
      <c r="J34" s="49">
        <f>AVERAGE('05.08 Karenga-Kotido'!J34,'06.08 Karenga-Kotido'!J34,'07.08 Karenga-Kotido'!J34,'08.08 Karenga-Kotido'!J34,'09.08 Karenga-Kotido-24h'!J34,'10.08 Karenga-Kotido-24h'!J34,'11.08 Karenga-Kotido'!J34)</f>
        <v>0</v>
      </c>
      <c r="K34" s="49">
        <f>AVERAGE('05.08 Karenga-Kotido'!K34,'06.08 Karenga-Kotido'!K34,'07.08 Karenga-Kotido'!K34,'08.08 Karenga-Kotido'!K34,'09.08 Karenga-Kotido-24h'!K34,'10.08 Karenga-Kotido-24h'!K34,'11.08 Karenga-Kotido'!K34)</f>
        <v>0</v>
      </c>
      <c r="L34" s="49">
        <f>AVERAGE('05.08 Karenga-Kotido'!L34,'06.08 Karenga-Kotido'!L34,'07.08 Karenga-Kotido'!L34,'08.08 Karenga-Kotido'!L34,'09.08 Karenga-Kotido-24h'!L34,'10.08 Karenga-Kotido-24h'!L34,'11.08 Karenga-Kotido'!L34)</f>
        <v>0</v>
      </c>
      <c r="M34" s="49">
        <f>AVERAGE('05.08 Karenga-Kotido'!M34,'06.08 Karenga-Kotido'!M34,'07.08 Karenga-Kotido'!M34,'08.08 Karenga-Kotido'!M34,'09.08 Karenga-Kotido-24h'!M34,'10.08 Karenga-Kotido-24h'!M34,'11.08 Karenga-Kotido'!M34)</f>
        <v>1.7142857142857142</v>
      </c>
      <c r="N34" s="49">
        <f>AVERAGE('05.08 Karenga-Kotido'!N34,'06.08 Karenga-Kotido'!N34,'07.08 Karenga-Kotido'!N34,'08.08 Karenga-Kotido'!N34,'09.08 Karenga-Kotido-24h'!N34,'10.08 Karenga-Kotido-24h'!N34,'11.08 Karenga-Kotido'!N34)</f>
        <v>0.2857142857142857</v>
      </c>
      <c r="O34" s="15">
        <f t="shared" si="0"/>
        <v>1.714285714285714</v>
      </c>
      <c r="P34" s="15">
        <f t="shared" si="1"/>
        <v>3.4285714285714279</v>
      </c>
      <c r="R34" s="51" t="s">
        <v>90</v>
      </c>
      <c r="S34" s="52">
        <f t="shared" ref="S34:AF34" si="26">MAX(S10:S12)</f>
        <v>0.2857142857142857</v>
      </c>
      <c r="T34" s="52">
        <f t="shared" si="26"/>
        <v>0.71428571428571419</v>
      </c>
      <c r="U34" s="52">
        <f t="shared" si="26"/>
        <v>0.5714285714285714</v>
      </c>
      <c r="V34" s="52">
        <f t="shared" si="26"/>
        <v>0.2857142857142857</v>
      </c>
      <c r="W34" s="52">
        <f t="shared" si="26"/>
        <v>0</v>
      </c>
      <c r="X34" s="52">
        <f t="shared" si="26"/>
        <v>0</v>
      </c>
      <c r="Y34" s="52">
        <f t="shared" si="26"/>
        <v>0.2857142857142857</v>
      </c>
      <c r="Z34" s="52">
        <f t="shared" si="26"/>
        <v>0.14285714285714285</v>
      </c>
      <c r="AA34" s="52">
        <f t="shared" si="26"/>
        <v>0</v>
      </c>
      <c r="AB34" s="52">
        <f t="shared" si="26"/>
        <v>0</v>
      </c>
      <c r="AC34" s="52">
        <f t="shared" si="26"/>
        <v>8</v>
      </c>
      <c r="AD34" s="52">
        <f t="shared" si="26"/>
        <v>0</v>
      </c>
      <c r="AE34" s="40">
        <f t="shared" si="26"/>
        <v>1.7142857142857142</v>
      </c>
      <c r="AF34" s="40">
        <f t="shared" si="26"/>
        <v>9.5714285714285712</v>
      </c>
    </row>
    <row r="35" spans="2:32" ht="23.1" customHeight="1" x14ac:dyDescent="0.25">
      <c r="B35" s="24" t="s">
        <v>62</v>
      </c>
      <c r="C35" s="49">
        <f>AVERAGE('05.08 Karenga-Kotido'!C35,'06.08 Karenga-Kotido'!C35,'07.08 Karenga-Kotido'!C35,'08.08 Karenga-Kotido'!C35,'09.08 Karenga-Kotido-24h'!C35,'10.08 Karenga-Kotido-24h'!C35,'11.08 Karenga-Kotido'!C35)</f>
        <v>0.14285714285714285</v>
      </c>
      <c r="D35" s="49">
        <f>AVERAGE('05.08 Karenga-Kotido'!D35,'06.08 Karenga-Kotido'!D35,'07.08 Karenga-Kotido'!D35,'08.08 Karenga-Kotido'!D35,'09.08 Karenga-Kotido-24h'!D35,'10.08 Karenga-Kotido-24h'!D35,'11.08 Karenga-Kotido'!D35)</f>
        <v>0.14285714285714285</v>
      </c>
      <c r="E35" s="49">
        <f>AVERAGE('05.08 Karenga-Kotido'!E35,'06.08 Karenga-Kotido'!E35,'07.08 Karenga-Kotido'!E35,'08.08 Karenga-Kotido'!E35,'09.08 Karenga-Kotido-24h'!E35,'10.08 Karenga-Kotido-24h'!E35,'11.08 Karenga-Kotido'!E35)</f>
        <v>0.14285714285714285</v>
      </c>
      <c r="F35" s="49">
        <f>AVERAGE('05.08 Karenga-Kotido'!F35,'06.08 Karenga-Kotido'!F35,'07.08 Karenga-Kotido'!F35,'08.08 Karenga-Kotido'!F35,'09.08 Karenga-Kotido-24h'!F35,'10.08 Karenga-Kotido-24h'!F35,'11.08 Karenga-Kotido'!F35)</f>
        <v>0.14285714285714285</v>
      </c>
      <c r="G35" s="49">
        <f>AVERAGE('05.08 Karenga-Kotido'!G35,'06.08 Karenga-Kotido'!G35,'07.08 Karenga-Kotido'!G35,'08.08 Karenga-Kotido'!G35,'09.08 Karenga-Kotido-24h'!G35,'10.08 Karenga-Kotido-24h'!G35,'11.08 Karenga-Kotido'!G35)</f>
        <v>0</v>
      </c>
      <c r="H35" s="49">
        <f>AVERAGE('05.08 Karenga-Kotido'!H35,'06.08 Karenga-Kotido'!H35,'07.08 Karenga-Kotido'!H35,'08.08 Karenga-Kotido'!H35,'09.08 Karenga-Kotido-24h'!H35,'10.08 Karenga-Kotido-24h'!H35,'11.08 Karenga-Kotido'!H35)</f>
        <v>0</v>
      </c>
      <c r="I35" s="49">
        <f>AVERAGE('05.08 Karenga-Kotido'!I35,'06.08 Karenga-Kotido'!I35,'07.08 Karenga-Kotido'!I35,'08.08 Karenga-Kotido'!I35,'09.08 Karenga-Kotido-24h'!I35,'10.08 Karenga-Kotido-24h'!I35,'11.08 Karenga-Kotido'!I35)</f>
        <v>0.14285714285714285</v>
      </c>
      <c r="J35" s="49">
        <f>AVERAGE('05.08 Karenga-Kotido'!J35,'06.08 Karenga-Kotido'!J35,'07.08 Karenga-Kotido'!J35,'08.08 Karenga-Kotido'!J35,'09.08 Karenga-Kotido-24h'!J35,'10.08 Karenga-Kotido-24h'!J35,'11.08 Karenga-Kotido'!J35)</f>
        <v>0</v>
      </c>
      <c r="K35" s="49">
        <f>AVERAGE('05.08 Karenga-Kotido'!K35,'06.08 Karenga-Kotido'!K35,'07.08 Karenga-Kotido'!K35,'08.08 Karenga-Kotido'!K35,'09.08 Karenga-Kotido-24h'!K35,'10.08 Karenga-Kotido-24h'!K35,'11.08 Karenga-Kotido'!K35)</f>
        <v>0</v>
      </c>
      <c r="L35" s="49">
        <f>AVERAGE('05.08 Karenga-Kotido'!L35,'06.08 Karenga-Kotido'!L35,'07.08 Karenga-Kotido'!L35,'08.08 Karenga-Kotido'!L35,'09.08 Karenga-Kotido-24h'!L35,'10.08 Karenga-Kotido-24h'!L35,'11.08 Karenga-Kotido'!L35)</f>
        <v>0</v>
      </c>
      <c r="M35" s="49">
        <f>AVERAGE('05.08 Karenga-Kotido'!M35,'06.08 Karenga-Kotido'!M35,'07.08 Karenga-Kotido'!M35,'08.08 Karenga-Kotido'!M35,'09.08 Karenga-Kotido-24h'!M35,'10.08 Karenga-Kotido-24h'!M35,'11.08 Karenga-Kotido'!M35)</f>
        <v>1.5714285714285714</v>
      </c>
      <c r="N35" s="49">
        <f>AVERAGE('05.08 Karenga-Kotido'!N35,'06.08 Karenga-Kotido'!N35,'07.08 Karenga-Kotido'!N35,'08.08 Karenga-Kotido'!N35,'09.08 Karenga-Kotido-24h'!N35,'10.08 Karenga-Kotido-24h'!N35,'11.08 Karenga-Kotido'!N35)</f>
        <v>0</v>
      </c>
      <c r="O35" s="15">
        <f t="shared" si="0"/>
        <v>0.71428571428571419</v>
      </c>
      <c r="P35" s="15">
        <f t="shared" si="1"/>
        <v>2.2857142857142856</v>
      </c>
      <c r="R35" s="51" t="s">
        <v>91</v>
      </c>
      <c r="S35" s="52">
        <f t="shared" ref="S35:AF35" si="27">MAX(S13:S18)</f>
        <v>0.42857142857142855</v>
      </c>
      <c r="T35" s="52">
        <f t="shared" si="27"/>
        <v>0.99999999999999989</v>
      </c>
      <c r="U35" s="52">
        <f t="shared" si="27"/>
        <v>0.8571428571428571</v>
      </c>
      <c r="V35" s="52">
        <f t="shared" si="27"/>
        <v>0.42857142857142855</v>
      </c>
      <c r="W35" s="52">
        <f t="shared" si="27"/>
        <v>0</v>
      </c>
      <c r="X35" s="52">
        <f t="shared" si="27"/>
        <v>0</v>
      </c>
      <c r="Y35" s="52">
        <f t="shared" si="27"/>
        <v>0.85714285714285698</v>
      </c>
      <c r="Z35" s="52">
        <f t="shared" si="27"/>
        <v>0.2857142857142857</v>
      </c>
      <c r="AA35" s="52">
        <f t="shared" si="27"/>
        <v>0.14285714285714285</v>
      </c>
      <c r="AB35" s="52">
        <f t="shared" si="27"/>
        <v>0</v>
      </c>
      <c r="AC35" s="52">
        <f t="shared" si="27"/>
        <v>9.1428571428571423</v>
      </c>
      <c r="AD35" s="52">
        <f t="shared" si="27"/>
        <v>0.2857142857142857</v>
      </c>
      <c r="AE35" s="40">
        <f t="shared" si="27"/>
        <v>3.1428571428571419</v>
      </c>
      <c r="AF35" s="40">
        <f t="shared" si="27"/>
        <v>11.571428571428569</v>
      </c>
    </row>
    <row r="36" spans="2:32" ht="23.1" customHeight="1" x14ac:dyDescent="0.25">
      <c r="B36" s="24" t="s">
        <v>63</v>
      </c>
      <c r="C36" s="49">
        <f>AVERAGE('05.08 Karenga-Kotido'!C36,'06.08 Karenga-Kotido'!C36,'07.08 Karenga-Kotido'!C36,'08.08 Karenga-Kotido'!C36,'09.08 Karenga-Kotido-24h'!C36,'10.08 Karenga-Kotido-24h'!C36,'11.08 Karenga-Kotido'!C36)</f>
        <v>0</v>
      </c>
      <c r="D36" s="49">
        <f>AVERAGE('05.08 Karenga-Kotido'!D36,'06.08 Karenga-Kotido'!D36,'07.08 Karenga-Kotido'!D36,'08.08 Karenga-Kotido'!D36,'09.08 Karenga-Kotido-24h'!D36,'10.08 Karenga-Kotido-24h'!D36,'11.08 Karenga-Kotido'!D36)</f>
        <v>0</v>
      </c>
      <c r="E36" s="49">
        <f>AVERAGE('05.08 Karenga-Kotido'!E36,'06.08 Karenga-Kotido'!E36,'07.08 Karenga-Kotido'!E36,'08.08 Karenga-Kotido'!E36,'09.08 Karenga-Kotido-24h'!E36,'10.08 Karenga-Kotido-24h'!E36,'11.08 Karenga-Kotido'!E36)</f>
        <v>0.14285714285714285</v>
      </c>
      <c r="F36" s="49">
        <f>AVERAGE('05.08 Karenga-Kotido'!F36,'06.08 Karenga-Kotido'!F36,'07.08 Karenga-Kotido'!F36,'08.08 Karenga-Kotido'!F36,'09.08 Karenga-Kotido-24h'!F36,'10.08 Karenga-Kotido-24h'!F36,'11.08 Karenga-Kotido'!F36)</f>
        <v>0</v>
      </c>
      <c r="G36" s="49">
        <f>AVERAGE('05.08 Karenga-Kotido'!G36,'06.08 Karenga-Kotido'!G36,'07.08 Karenga-Kotido'!G36,'08.08 Karenga-Kotido'!G36,'09.08 Karenga-Kotido-24h'!G36,'10.08 Karenga-Kotido-24h'!G36,'11.08 Karenga-Kotido'!G36)</f>
        <v>0</v>
      </c>
      <c r="H36" s="49">
        <f>AVERAGE('05.08 Karenga-Kotido'!H36,'06.08 Karenga-Kotido'!H36,'07.08 Karenga-Kotido'!H36,'08.08 Karenga-Kotido'!H36,'09.08 Karenga-Kotido-24h'!H36,'10.08 Karenga-Kotido-24h'!H36,'11.08 Karenga-Kotido'!H36)</f>
        <v>0</v>
      </c>
      <c r="I36" s="49">
        <f>AVERAGE('05.08 Karenga-Kotido'!I36,'06.08 Karenga-Kotido'!I36,'07.08 Karenga-Kotido'!I36,'08.08 Karenga-Kotido'!I36,'09.08 Karenga-Kotido-24h'!I36,'10.08 Karenga-Kotido-24h'!I36,'11.08 Karenga-Kotido'!I36)</f>
        <v>0</v>
      </c>
      <c r="J36" s="49">
        <f>AVERAGE('05.08 Karenga-Kotido'!J36,'06.08 Karenga-Kotido'!J36,'07.08 Karenga-Kotido'!J36,'08.08 Karenga-Kotido'!J36,'09.08 Karenga-Kotido-24h'!J36,'10.08 Karenga-Kotido-24h'!J36,'11.08 Karenga-Kotido'!J36)</f>
        <v>0.14285714285714285</v>
      </c>
      <c r="K36" s="49">
        <f>AVERAGE('05.08 Karenga-Kotido'!K36,'06.08 Karenga-Kotido'!K36,'07.08 Karenga-Kotido'!K36,'08.08 Karenga-Kotido'!K36,'09.08 Karenga-Kotido-24h'!K36,'10.08 Karenga-Kotido-24h'!K36,'11.08 Karenga-Kotido'!K36)</f>
        <v>0</v>
      </c>
      <c r="L36" s="49">
        <f>AVERAGE('05.08 Karenga-Kotido'!L36,'06.08 Karenga-Kotido'!L36,'07.08 Karenga-Kotido'!L36,'08.08 Karenga-Kotido'!L36,'09.08 Karenga-Kotido-24h'!L36,'10.08 Karenga-Kotido-24h'!L36,'11.08 Karenga-Kotido'!L36)</f>
        <v>0</v>
      </c>
      <c r="M36" s="49">
        <f>AVERAGE('05.08 Karenga-Kotido'!M36,'06.08 Karenga-Kotido'!M36,'07.08 Karenga-Kotido'!M36,'08.08 Karenga-Kotido'!M36,'09.08 Karenga-Kotido-24h'!M36,'10.08 Karenga-Kotido-24h'!M36,'11.08 Karenga-Kotido'!M36)</f>
        <v>1.5714285714285714</v>
      </c>
      <c r="N36" s="49">
        <f>AVERAGE('05.08 Karenga-Kotido'!N36,'06.08 Karenga-Kotido'!N36,'07.08 Karenga-Kotido'!N36,'08.08 Karenga-Kotido'!N36,'09.08 Karenga-Kotido-24h'!N36,'10.08 Karenga-Kotido-24h'!N36,'11.08 Karenga-Kotido'!N36)</f>
        <v>0</v>
      </c>
      <c r="O36" s="15">
        <f t="shared" si="0"/>
        <v>0.2857142857142857</v>
      </c>
      <c r="P36" s="15">
        <f t="shared" si="1"/>
        <v>1.8571428571428572</v>
      </c>
      <c r="R36" s="51" t="s">
        <v>92</v>
      </c>
      <c r="S36" s="52">
        <f t="shared" ref="S36:AF36" si="28">MAX(S19:S21)</f>
        <v>0.14285714285714285</v>
      </c>
      <c r="T36" s="52">
        <f t="shared" si="28"/>
        <v>0.5714285714285714</v>
      </c>
      <c r="U36" s="52">
        <f t="shared" si="28"/>
        <v>1</v>
      </c>
      <c r="V36" s="52">
        <f t="shared" si="28"/>
        <v>0.2857142857142857</v>
      </c>
      <c r="W36" s="52">
        <f t="shared" si="28"/>
        <v>0.14285714285714285</v>
      </c>
      <c r="X36" s="52">
        <f t="shared" si="28"/>
        <v>0</v>
      </c>
      <c r="Y36" s="52">
        <f t="shared" si="28"/>
        <v>0.5714285714285714</v>
      </c>
      <c r="Z36" s="52">
        <f t="shared" si="28"/>
        <v>0.2857142857142857</v>
      </c>
      <c r="AA36" s="52">
        <f t="shared" si="28"/>
        <v>0</v>
      </c>
      <c r="AB36" s="52">
        <f t="shared" si="28"/>
        <v>0</v>
      </c>
      <c r="AC36" s="52">
        <f t="shared" si="28"/>
        <v>6.5714285714285712</v>
      </c>
      <c r="AD36" s="52">
        <f t="shared" si="28"/>
        <v>0</v>
      </c>
      <c r="AE36" s="40">
        <f t="shared" si="28"/>
        <v>2.2857142857142851</v>
      </c>
      <c r="AF36" s="40">
        <f t="shared" si="28"/>
        <v>8.2857142857142865</v>
      </c>
    </row>
    <row r="37" spans="2:32" ht="23.1" customHeight="1" x14ac:dyDescent="0.25">
      <c r="B37" s="23" t="s">
        <v>64</v>
      </c>
      <c r="C37" s="49">
        <f>AVERAGE('05.08 Karenga-Kotido'!C37,'06.08 Karenga-Kotido'!C37,'07.08 Karenga-Kotido'!C37,'08.08 Karenga-Kotido'!C37,'09.08 Karenga-Kotido-24h'!C37,'10.08 Karenga-Kotido-24h'!C37,'11.08 Karenga-Kotido'!C37)</f>
        <v>0</v>
      </c>
      <c r="D37" s="49">
        <f>AVERAGE('05.08 Karenga-Kotido'!D37,'06.08 Karenga-Kotido'!D37,'07.08 Karenga-Kotido'!D37,'08.08 Karenga-Kotido'!D37,'09.08 Karenga-Kotido-24h'!D37,'10.08 Karenga-Kotido-24h'!D37,'11.08 Karenga-Kotido'!D37)</f>
        <v>0</v>
      </c>
      <c r="E37" s="49">
        <f>AVERAGE('05.08 Karenga-Kotido'!E37,'06.08 Karenga-Kotido'!E37,'07.08 Karenga-Kotido'!E37,'08.08 Karenga-Kotido'!E37,'09.08 Karenga-Kotido-24h'!E37,'10.08 Karenga-Kotido-24h'!E37,'11.08 Karenga-Kotido'!E37)</f>
        <v>0.14285714285714285</v>
      </c>
      <c r="F37" s="49">
        <f>AVERAGE('05.08 Karenga-Kotido'!F37,'06.08 Karenga-Kotido'!F37,'07.08 Karenga-Kotido'!F37,'08.08 Karenga-Kotido'!F37,'09.08 Karenga-Kotido-24h'!F37,'10.08 Karenga-Kotido-24h'!F37,'11.08 Karenga-Kotido'!F37)</f>
        <v>0.14285714285714285</v>
      </c>
      <c r="G37" s="49">
        <f>AVERAGE('05.08 Karenga-Kotido'!G37,'06.08 Karenga-Kotido'!G37,'07.08 Karenga-Kotido'!G37,'08.08 Karenga-Kotido'!G37,'09.08 Karenga-Kotido-24h'!G37,'10.08 Karenga-Kotido-24h'!G37,'11.08 Karenga-Kotido'!G37)</f>
        <v>0</v>
      </c>
      <c r="H37" s="49">
        <f>AVERAGE('05.08 Karenga-Kotido'!H37,'06.08 Karenga-Kotido'!H37,'07.08 Karenga-Kotido'!H37,'08.08 Karenga-Kotido'!H37,'09.08 Karenga-Kotido-24h'!H37,'10.08 Karenga-Kotido-24h'!H37,'11.08 Karenga-Kotido'!H37)</f>
        <v>0</v>
      </c>
      <c r="I37" s="49">
        <f>AVERAGE('05.08 Karenga-Kotido'!I37,'06.08 Karenga-Kotido'!I37,'07.08 Karenga-Kotido'!I37,'08.08 Karenga-Kotido'!I37,'09.08 Karenga-Kotido-24h'!I37,'10.08 Karenga-Kotido-24h'!I37,'11.08 Karenga-Kotido'!I37)</f>
        <v>0.14285714285714285</v>
      </c>
      <c r="J37" s="49">
        <f>AVERAGE('05.08 Karenga-Kotido'!J37,'06.08 Karenga-Kotido'!J37,'07.08 Karenga-Kotido'!J37,'08.08 Karenga-Kotido'!J37,'09.08 Karenga-Kotido-24h'!J37,'10.08 Karenga-Kotido-24h'!J37,'11.08 Karenga-Kotido'!J37)</f>
        <v>0</v>
      </c>
      <c r="K37" s="49">
        <f>AVERAGE('05.08 Karenga-Kotido'!K37,'06.08 Karenga-Kotido'!K37,'07.08 Karenga-Kotido'!K37,'08.08 Karenga-Kotido'!K37,'09.08 Karenga-Kotido-24h'!K37,'10.08 Karenga-Kotido-24h'!K37,'11.08 Karenga-Kotido'!K37)</f>
        <v>0</v>
      </c>
      <c r="L37" s="49">
        <f>AVERAGE('05.08 Karenga-Kotido'!L37,'06.08 Karenga-Kotido'!L37,'07.08 Karenga-Kotido'!L37,'08.08 Karenga-Kotido'!L37,'09.08 Karenga-Kotido-24h'!L37,'10.08 Karenga-Kotido-24h'!L37,'11.08 Karenga-Kotido'!L37)</f>
        <v>0</v>
      </c>
      <c r="M37" s="49">
        <f>AVERAGE('05.08 Karenga-Kotido'!M37,'06.08 Karenga-Kotido'!M37,'07.08 Karenga-Kotido'!M37,'08.08 Karenga-Kotido'!M37,'09.08 Karenga-Kotido-24h'!M37,'10.08 Karenga-Kotido-24h'!M37,'11.08 Karenga-Kotido'!M37)</f>
        <v>1.5714285714285714</v>
      </c>
      <c r="N37" s="49">
        <f>AVERAGE('05.08 Karenga-Kotido'!N37,'06.08 Karenga-Kotido'!N37,'07.08 Karenga-Kotido'!N37,'08.08 Karenga-Kotido'!N37,'09.08 Karenga-Kotido-24h'!N37,'10.08 Karenga-Kotido-24h'!N37,'11.08 Karenga-Kotido'!N37)</f>
        <v>0</v>
      </c>
      <c r="O37" s="15">
        <f t="shared" si="0"/>
        <v>0.42857142857142855</v>
      </c>
      <c r="P37" s="15">
        <f t="shared" si="1"/>
        <v>2</v>
      </c>
      <c r="R37" s="37" t="s">
        <v>85</v>
      </c>
      <c r="S37" s="35">
        <f t="shared" ref="S37:AF37" si="29">SUM(S10:S12)</f>
        <v>0.42857142857142855</v>
      </c>
      <c r="T37" s="16">
        <f t="shared" si="29"/>
        <v>1.857142857142857</v>
      </c>
      <c r="U37" s="16">
        <f t="shared" si="29"/>
        <v>1.1428571428571428</v>
      </c>
      <c r="V37" s="16">
        <f t="shared" si="29"/>
        <v>0.2857142857142857</v>
      </c>
      <c r="W37" s="16">
        <f t="shared" si="29"/>
        <v>0</v>
      </c>
      <c r="X37" s="16">
        <f t="shared" si="29"/>
        <v>0</v>
      </c>
      <c r="Y37" s="16">
        <f t="shared" si="29"/>
        <v>0.71428571428571419</v>
      </c>
      <c r="Z37" s="16">
        <f t="shared" si="29"/>
        <v>0.14285714285714285</v>
      </c>
      <c r="AA37" s="16">
        <f t="shared" si="29"/>
        <v>0</v>
      </c>
      <c r="AB37" s="16">
        <f t="shared" si="29"/>
        <v>0</v>
      </c>
      <c r="AC37" s="16">
        <f t="shared" si="29"/>
        <v>20.714285714285715</v>
      </c>
      <c r="AD37" s="16">
        <f t="shared" si="29"/>
        <v>0</v>
      </c>
      <c r="AE37" s="32">
        <f t="shared" si="29"/>
        <v>4.5714285714285712</v>
      </c>
      <c r="AF37" s="32">
        <f t="shared" si="29"/>
        <v>25.285714285714285</v>
      </c>
    </row>
    <row r="38" spans="2:32" ht="23.1" customHeight="1" x14ac:dyDescent="0.25">
      <c r="B38" s="24" t="s">
        <v>65</v>
      </c>
      <c r="C38" s="49">
        <f>AVERAGE('05.08 Karenga-Kotido'!C38,'06.08 Karenga-Kotido'!C38,'07.08 Karenga-Kotido'!C38,'08.08 Karenga-Kotido'!C38,'09.08 Karenga-Kotido-24h'!C38,'10.08 Karenga-Kotido-24h'!C38,'11.08 Karenga-Kotido'!C38)</f>
        <v>0.14285714285714285</v>
      </c>
      <c r="D38" s="49">
        <f>AVERAGE('05.08 Karenga-Kotido'!D38,'06.08 Karenga-Kotido'!D38,'07.08 Karenga-Kotido'!D38,'08.08 Karenga-Kotido'!D38,'09.08 Karenga-Kotido-24h'!D38,'10.08 Karenga-Kotido-24h'!D38,'11.08 Karenga-Kotido'!D38)</f>
        <v>0.14285714285714285</v>
      </c>
      <c r="E38" s="49">
        <f>AVERAGE('05.08 Karenga-Kotido'!E38,'06.08 Karenga-Kotido'!E38,'07.08 Karenga-Kotido'!E38,'08.08 Karenga-Kotido'!E38,'09.08 Karenga-Kotido-24h'!E38,'10.08 Karenga-Kotido-24h'!E38,'11.08 Karenga-Kotido'!E38)</f>
        <v>0.14285714285714285</v>
      </c>
      <c r="F38" s="49">
        <f>AVERAGE('05.08 Karenga-Kotido'!F38,'06.08 Karenga-Kotido'!F38,'07.08 Karenga-Kotido'!F38,'08.08 Karenga-Kotido'!F38,'09.08 Karenga-Kotido-24h'!F38,'10.08 Karenga-Kotido-24h'!F38,'11.08 Karenga-Kotido'!F38)</f>
        <v>0.14285714285714285</v>
      </c>
      <c r="G38" s="49">
        <f>AVERAGE('05.08 Karenga-Kotido'!G38,'06.08 Karenga-Kotido'!G38,'07.08 Karenga-Kotido'!G38,'08.08 Karenga-Kotido'!G38,'09.08 Karenga-Kotido-24h'!G38,'10.08 Karenga-Kotido-24h'!G38,'11.08 Karenga-Kotido'!G38)</f>
        <v>0</v>
      </c>
      <c r="H38" s="49">
        <f>AVERAGE('05.08 Karenga-Kotido'!H38,'06.08 Karenga-Kotido'!H38,'07.08 Karenga-Kotido'!H38,'08.08 Karenga-Kotido'!H38,'09.08 Karenga-Kotido-24h'!H38,'10.08 Karenga-Kotido-24h'!H38,'11.08 Karenga-Kotido'!H38)</f>
        <v>0</v>
      </c>
      <c r="I38" s="49">
        <f>AVERAGE('05.08 Karenga-Kotido'!I38,'06.08 Karenga-Kotido'!I38,'07.08 Karenga-Kotido'!I38,'08.08 Karenga-Kotido'!I38,'09.08 Karenga-Kotido-24h'!I38,'10.08 Karenga-Kotido-24h'!I38,'11.08 Karenga-Kotido'!I38)</f>
        <v>0.14285714285714285</v>
      </c>
      <c r="J38" s="49">
        <f>AVERAGE('05.08 Karenga-Kotido'!J38,'06.08 Karenga-Kotido'!J38,'07.08 Karenga-Kotido'!J38,'08.08 Karenga-Kotido'!J38,'09.08 Karenga-Kotido-24h'!J38,'10.08 Karenga-Kotido-24h'!J38,'11.08 Karenga-Kotido'!J38)</f>
        <v>0</v>
      </c>
      <c r="K38" s="49">
        <f>AVERAGE('05.08 Karenga-Kotido'!K38,'06.08 Karenga-Kotido'!K38,'07.08 Karenga-Kotido'!K38,'08.08 Karenga-Kotido'!K38,'09.08 Karenga-Kotido-24h'!K38,'10.08 Karenga-Kotido-24h'!K38,'11.08 Karenga-Kotido'!K38)</f>
        <v>0</v>
      </c>
      <c r="L38" s="49">
        <f>AVERAGE('05.08 Karenga-Kotido'!L38,'06.08 Karenga-Kotido'!L38,'07.08 Karenga-Kotido'!L38,'08.08 Karenga-Kotido'!L38,'09.08 Karenga-Kotido-24h'!L38,'10.08 Karenga-Kotido-24h'!L38,'11.08 Karenga-Kotido'!L38)</f>
        <v>0</v>
      </c>
      <c r="M38" s="49">
        <f>AVERAGE('05.08 Karenga-Kotido'!M38,'06.08 Karenga-Kotido'!M38,'07.08 Karenga-Kotido'!M38,'08.08 Karenga-Kotido'!M38,'09.08 Karenga-Kotido-24h'!M38,'10.08 Karenga-Kotido-24h'!M38,'11.08 Karenga-Kotido'!M38)</f>
        <v>3.1428571428571428</v>
      </c>
      <c r="N38" s="49">
        <f>AVERAGE('05.08 Karenga-Kotido'!N38,'06.08 Karenga-Kotido'!N38,'07.08 Karenga-Kotido'!N38,'08.08 Karenga-Kotido'!N38,'09.08 Karenga-Kotido-24h'!N38,'10.08 Karenga-Kotido-24h'!N38,'11.08 Karenga-Kotido'!N38)</f>
        <v>0</v>
      </c>
      <c r="O38" s="15">
        <f t="shared" si="0"/>
        <v>0.71428571428571419</v>
      </c>
      <c r="P38" s="15">
        <f t="shared" si="1"/>
        <v>3.8571428571428568</v>
      </c>
      <c r="R38" s="28" t="s">
        <v>86</v>
      </c>
      <c r="S38" s="16">
        <f t="shared" ref="S38:AF38" si="30">SUM(S13:S18)</f>
        <v>0.85714285714285698</v>
      </c>
      <c r="T38" s="16">
        <f t="shared" si="30"/>
        <v>3.2857142857142851</v>
      </c>
      <c r="U38" s="16">
        <f t="shared" si="30"/>
        <v>4.2857142857142856</v>
      </c>
      <c r="V38" s="16">
        <f t="shared" si="30"/>
        <v>1.714285714285714</v>
      </c>
      <c r="W38" s="16">
        <f t="shared" si="30"/>
        <v>0</v>
      </c>
      <c r="X38" s="16">
        <f t="shared" si="30"/>
        <v>0</v>
      </c>
      <c r="Y38" s="16">
        <f t="shared" si="30"/>
        <v>3.1428571428571419</v>
      </c>
      <c r="Z38" s="16">
        <f t="shared" si="30"/>
        <v>0.71428571428571419</v>
      </c>
      <c r="AA38" s="16">
        <f t="shared" si="30"/>
        <v>0.42857142857142855</v>
      </c>
      <c r="AB38" s="16">
        <f t="shared" si="30"/>
        <v>0</v>
      </c>
      <c r="AC38" s="16">
        <f t="shared" si="30"/>
        <v>44</v>
      </c>
      <c r="AD38" s="16">
        <f t="shared" si="30"/>
        <v>0.2857142857142857</v>
      </c>
      <c r="AE38" s="32">
        <f t="shared" si="30"/>
        <v>14.714285714285712</v>
      </c>
      <c r="AF38" s="32">
        <f t="shared" si="30"/>
        <v>58.714285714285708</v>
      </c>
    </row>
    <row r="39" spans="2:32" ht="23.1" customHeight="1" x14ac:dyDescent="0.25">
      <c r="B39" s="24" t="s">
        <v>66</v>
      </c>
      <c r="C39" s="49">
        <f>AVERAGE('05.08 Karenga-Kotido'!C39,'06.08 Karenga-Kotido'!C39,'07.08 Karenga-Kotido'!C39,'08.08 Karenga-Kotido'!C39,'09.08 Karenga-Kotido-24h'!C39,'10.08 Karenga-Kotido-24h'!C39,'11.08 Karenga-Kotido'!C39)</f>
        <v>0</v>
      </c>
      <c r="D39" s="49">
        <f>AVERAGE('05.08 Karenga-Kotido'!D39,'06.08 Karenga-Kotido'!D39,'07.08 Karenga-Kotido'!D39,'08.08 Karenga-Kotido'!D39,'09.08 Karenga-Kotido-24h'!D39,'10.08 Karenga-Kotido-24h'!D39,'11.08 Karenga-Kotido'!D39)</f>
        <v>0.14285714285714285</v>
      </c>
      <c r="E39" s="49">
        <f>AVERAGE('05.08 Karenga-Kotido'!E39,'06.08 Karenga-Kotido'!E39,'07.08 Karenga-Kotido'!E39,'08.08 Karenga-Kotido'!E39,'09.08 Karenga-Kotido-24h'!E39,'10.08 Karenga-Kotido-24h'!E39,'11.08 Karenga-Kotido'!E39)</f>
        <v>0.2857142857142857</v>
      </c>
      <c r="F39" s="49">
        <f>AVERAGE('05.08 Karenga-Kotido'!F39,'06.08 Karenga-Kotido'!F39,'07.08 Karenga-Kotido'!F39,'08.08 Karenga-Kotido'!F39,'09.08 Karenga-Kotido-24h'!F39,'10.08 Karenga-Kotido-24h'!F39,'11.08 Karenga-Kotido'!F39)</f>
        <v>0</v>
      </c>
      <c r="G39" s="49">
        <f>AVERAGE('05.08 Karenga-Kotido'!G39,'06.08 Karenga-Kotido'!G39,'07.08 Karenga-Kotido'!G39,'08.08 Karenga-Kotido'!G39,'09.08 Karenga-Kotido-24h'!G39,'10.08 Karenga-Kotido-24h'!G39,'11.08 Karenga-Kotido'!G39)</f>
        <v>0</v>
      </c>
      <c r="H39" s="49">
        <f>AVERAGE('05.08 Karenga-Kotido'!H39,'06.08 Karenga-Kotido'!H39,'07.08 Karenga-Kotido'!H39,'08.08 Karenga-Kotido'!H39,'09.08 Karenga-Kotido-24h'!H39,'10.08 Karenga-Kotido-24h'!H39,'11.08 Karenga-Kotido'!H39)</f>
        <v>0</v>
      </c>
      <c r="I39" s="49">
        <f>AVERAGE('05.08 Karenga-Kotido'!I39,'06.08 Karenga-Kotido'!I39,'07.08 Karenga-Kotido'!I39,'08.08 Karenga-Kotido'!I39,'09.08 Karenga-Kotido-24h'!I39,'10.08 Karenga-Kotido-24h'!I39,'11.08 Karenga-Kotido'!I39)</f>
        <v>0.14285714285714285</v>
      </c>
      <c r="J39" s="49">
        <f>AVERAGE('05.08 Karenga-Kotido'!J39,'06.08 Karenga-Kotido'!J39,'07.08 Karenga-Kotido'!J39,'08.08 Karenga-Kotido'!J39,'09.08 Karenga-Kotido-24h'!J39,'10.08 Karenga-Kotido-24h'!J39,'11.08 Karenga-Kotido'!J39)</f>
        <v>0</v>
      </c>
      <c r="K39" s="49">
        <f>AVERAGE('05.08 Karenga-Kotido'!K39,'06.08 Karenga-Kotido'!K39,'07.08 Karenga-Kotido'!K39,'08.08 Karenga-Kotido'!K39,'09.08 Karenga-Kotido-24h'!K39,'10.08 Karenga-Kotido-24h'!K39,'11.08 Karenga-Kotido'!K39)</f>
        <v>0</v>
      </c>
      <c r="L39" s="49">
        <f>AVERAGE('05.08 Karenga-Kotido'!L39,'06.08 Karenga-Kotido'!L39,'07.08 Karenga-Kotido'!L39,'08.08 Karenga-Kotido'!L39,'09.08 Karenga-Kotido-24h'!L39,'10.08 Karenga-Kotido-24h'!L39,'11.08 Karenga-Kotido'!L39)</f>
        <v>0</v>
      </c>
      <c r="M39" s="49">
        <f>AVERAGE('05.08 Karenga-Kotido'!M39,'06.08 Karenga-Kotido'!M39,'07.08 Karenga-Kotido'!M39,'08.08 Karenga-Kotido'!M39,'09.08 Karenga-Kotido-24h'!M39,'10.08 Karenga-Kotido-24h'!M39,'11.08 Karenga-Kotido'!M39)</f>
        <v>0.42857142857142855</v>
      </c>
      <c r="N39" s="49">
        <f>AVERAGE('05.08 Karenga-Kotido'!N39,'06.08 Karenga-Kotido'!N39,'07.08 Karenga-Kotido'!N39,'08.08 Karenga-Kotido'!N39,'09.08 Karenga-Kotido-24h'!N39,'10.08 Karenga-Kotido-24h'!N39,'11.08 Karenga-Kotido'!N39)</f>
        <v>0</v>
      </c>
      <c r="O39" s="15">
        <f t="shared" si="0"/>
        <v>0.5714285714285714</v>
      </c>
      <c r="P39" s="15">
        <f t="shared" si="1"/>
        <v>1</v>
      </c>
      <c r="R39" s="29" t="s">
        <v>87</v>
      </c>
      <c r="S39" s="16">
        <f t="shared" ref="S39:AF39" si="31">SUM(S19:S21)</f>
        <v>0.14285714285714285</v>
      </c>
      <c r="T39" s="16">
        <f t="shared" si="31"/>
        <v>0.99999999999999989</v>
      </c>
      <c r="U39" s="16">
        <f t="shared" si="31"/>
        <v>2.5714285714285712</v>
      </c>
      <c r="V39" s="16">
        <f t="shared" si="31"/>
        <v>0.5714285714285714</v>
      </c>
      <c r="W39" s="16">
        <f t="shared" si="31"/>
        <v>0.14285714285714285</v>
      </c>
      <c r="X39" s="16">
        <f t="shared" si="31"/>
        <v>0</v>
      </c>
      <c r="Y39" s="16">
        <f t="shared" si="31"/>
        <v>1.1428571428571428</v>
      </c>
      <c r="Z39" s="16">
        <f t="shared" si="31"/>
        <v>0.5714285714285714</v>
      </c>
      <c r="AA39" s="16">
        <f t="shared" si="31"/>
        <v>0</v>
      </c>
      <c r="AB39" s="16">
        <f t="shared" si="31"/>
        <v>0</v>
      </c>
      <c r="AC39" s="16">
        <f t="shared" si="31"/>
        <v>15.857142857142858</v>
      </c>
      <c r="AD39" s="16">
        <f t="shared" si="31"/>
        <v>0</v>
      </c>
      <c r="AE39" s="32">
        <f t="shared" si="31"/>
        <v>6.1428571428571415</v>
      </c>
      <c r="AF39" s="32">
        <f t="shared" si="31"/>
        <v>22</v>
      </c>
    </row>
    <row r="40" spans="2:32" ht="23.1" customHeight="1" x14ac:dyDescent="0.25">
      <c r="B40" s="24" t="s">
        <v>67</v>
      </c>
      <c r="C40" s="49">
        <f>AVERAGE('05.08 Karenga-Kotido'!C40,'06.08 Karenga-Kotido'!C40,'07.08 Karenga-Kotido'!C40,'08.08 Karenga-Kotido'!C40,'09.08 Karenga-Kotido-24h'!C40,'10.08 Karenga-Kotido-24h'!C40,'11.08 Karenga-Kotido'!C40)</f>
        <v>0</v>
      </c>
      <c r="D40" s="49">
        <f>AVERAGE('05.08 Karenga-Kotido'!D40,'06.08 Karenga-Kotido'!D40,'07.08 Karenga-Kotido'!D40,'08.08 Karenga-Kotido'!D40,'09.08 Karenga-Kotido-24h'!D40,'10.08 Karenga-Kotido-24h'!D40,'11.08 Karenga-Kotido'!D40)</f>
        <v>0.2857142857142857</v>
      </c>
      <c r="E40" s="49">
        <f>AVERAGE('05.08 Karenga-Kotido'!E40,'06.08 Karenga-Kotido'!E40,'07.08 Karenga-Kotido'!E40,'08.08 Karenga-Kotido'!E40,'09.08 Karenga-Kotido-24h'!E40,'10.08 Karenga-Kotido-24h'!E40,'11.08 Karenga-Kotido'!E40)</f>
        <v>0</v>
      </c>
      <c r="F40" s="49">
        <f>AVERAGE('05.08 Karenga-Kotido'!F40,'06.08 Karenga-Kotido'!F40,'07.08 Karenga-Kotido'!F40,'08.08 Karenga-Kotido'!F40,'09.08 Karenga-Kotido-24h'!F40,'10.08 Karenga-Kotido-24h'!F40,'11.08 Karenga-Kotido'!F40)</f>
        <v>0</v>
      </c>
      <c r="G40" s="49">
        <f>AVERAGE('05.08 Karenga-Kotido'!G40,'06.08 Karenga-Kotido'!G40,'07.08 Karenga-Kotido'!G40,'08.08 Karenga-Kotido'!G40,'09.08 Karenga-Kotido-24h'!G40,'10.08 Karenga-Kotido-24h'!G40,'11.08 Karenga-Kotido'!G40)</f>
        <v>0</v>
      </c>
      <c r="H40" s="49">
        <f>AVERAGE('05.08 Karenga-Kotido'!H40,'06.08 Karenga-Kotido'!H40,'07.08 Karenga-Kotido'!H40,'08.08 Karenga-Kotido'!H40,'09.08 Karenga-Kotido-24h'!H40,'10.08 Karenga-Kotido-24h'!H40,'11.08 Karenga-Kotido'!H40)</f>
        <v>0</v>
      </c>
      <c r="I40" s="49">
        <f>AVERAGE('05.08 Karenga-Kotido'!I40,'06.08 Karenga-Kotido'!I40,'07.08 Karenga-Kotido'!I40,'08.08 Karenga-Kotido'!I40,'09.08 Karenga-Kotido-24h'!I40,'10.08 Karenga-Kotido-24h'!I40,'11.08 Karenga-Kotido'!I40)</f>
        <v>0.14285714285714285</v>
      </c>
      <c r="J40" s="49">
        <f>AVERAGE('05.08 Karenga-Kotido'!J40,'06.08 Karenga-Kotido'!J40,'07.08 Karenga-Kotido'!J40,'08.08 Karenga-Kotido'!J40,'09.08 Karenga-Kotido-24h'!J40,'10.08 Karenga-Kotido-24h'!J40,'11.08 Karenga-Kotido'!J40)</f>
        <v>0</v>
      </c>
      <c r="K40" s="49">
        <f>AVERAGE('05.08 Karenga-Kotido'!K40,'06.08 Karenga-Kotido'!K40,'07.08 Karenga-Kotido'!K40,'08.08 Karenga-Kotido'!K40,'09.08 Karenga-Kotido-24h'!K40,'10.08 Karenga-Kotido-24h'!K40,'11.08 Karenga-Kotido'!K40)</f>
        <v>0</v>
      </c>
      <c r="L40" s="49">
        <f>AVERAGE('05.08 Karenga-Kotido'!L40,'06.08 Karenga-Kotido'!L40,'07.08 Karenga-Kotido'!L40,'08.08 Karenga-Kotido'!L40,'09.08 Karenga-Kotido-24h'!L40,'10.08 Karenga-Kotido-24h'!L40,'11.08 Karenga-Kotido'!L40)</f>
        <v>0</v>
      </c>
      <c r="M40" s="49">
        <f>AVERAGE('05.08 Karenga-Kotido'!M40,'06.08 Karenga-Kotido'!M40,'07.08 Karenga-Kotido'!M40,'08.08 Karenga-Kotido'!M40,'09.08 Karenga-Kotido-24h'!M40,'10.08 Karenga-Kotido-24h'!M40,'11.08 Karenga-Kotido'!M40)</f>
        <v>3.4285714285714284</v>
      </c>
      <c r="N40" s="49">
        <f>AVERAGE('05.08 Karenga-Kotido'!N40,'06.08 Karenga-Kotido'!N40,'07.08 Karenga-Kotido'!N40,'08.08 Karenga-Kotido'!N40,'09.08 Karenga-Kotido-24h'!N40,'10.08 Karenga-Kotido-24h'!N40,'11.08 Karenga-Kotido'!N40)</f>
        <v>0</v>
      </c>
      <c r="O40" s="15">
        <f t="shared" si="0"/>
        <v>0.42857142857142855</v>
      </c>
      <c r="P40" s="15">
        <f t="shared" si="1"/>
        <v>3.8571428571428568</v>
      </c>
      <c r="R40" s="5" t="s">
        <v>17</v>
      </c>
      <c r="S40" s="16">
        <f t="shared" ref="S40:AF40" si="32">SUM(S10:S21)</f>
        <v>1.4285714285714284</v>
      </c>
      <c r="T40" s="16">
        <f t="shared" si="32"/>
        <v>6.1428571428571432</v>
      </c>
      <c r="U40" s="16">
        <f t="shared" si="32"/>
        <v>8</v>
      </c>
      <c r="V40" s="16">
        <f t="shared" si="32"/>
        <v>2.5714285714285712</v>
      </c>
      <c r="W40" s="16">
        <f t="shared" si="32"/>
        <v>0.14285714285714285</v>
      </c>
      <c r="X40" s="16">
        <f t="shared" si="32"/>
        <v>0</v>
      </c>
      <c r="Y40" s="16">
        <f t="shared" si="32"/>
        <v>4.9999999999999991</v>
      </c>
      <c r="Z40" s="16">
        <f t="shared" si="32"/>
        <v>1.4285714285714284</v>
      </c>
      <c r="AA40" s="16">
        <f t="shared" si="32"/>
        <v>0.42857142857142855</v>
      </c>
      <c r="AB40" s="16">
        <f t="shared" si="32"/>
        <v>0</v>
      </c>
      <c r="AC40" s="16">
        <f t="shared" si="32"/>
        <v>80.571428571428569</v>
      </c>
      <c r="AD40" s="16">
        <f t="shared" si="32"/>
        <v>0.2857142857142857</v>
      </c>
      <c r="AE40" s="32">
        <f t="shared" si="32"/>
        <v>25.428571428571423</v>
      </c>
      <c r="AF40" s="32">
        <f t="shared" si="32"/>
        <v>106.00000000000001</v>
      </c>
    </row>
    <row r="41" spans="2:32" ht="23.1" customHeight="1" x14ac:dyDescent="0.25">
      <c r="B41" s="23" t="s">
        <v>68</v>
      </c>
      <c r="C41" s="49">
        <f>AVERAGE('05.08 Karenga-Kotido'!C41,'06.08 Karenga-Kotido'!C41,'07.08 Karenga-Kotido'!C41,'08.08 Karenga-Kotido'!C41,'09.08 Karenga-Kotido-24h'!C41,'10.08 Karenga-Kotido-24h'!C41,'11.08 Karenga-Kotido'!C41)</f>
        <v>0</v>
      </c>
      <c r="D41" s="49">
        <f>AVERAGE('05.08 Karenga-Kotido'!D41,'06.08 Karenga-Kotido'!D41,'07.08 Karenga-Kotido'!D41,'08.08 Karenga-Kotido'!D41,'09.08 Karenga-Kotido-24h'!D41,'10.08 Karenga-Kotido-24h'!D41,'11.08 Karenga-Kotido'!D41)</f>
        <v>0.2857142857142857</v>
      </c>
      <c r="E41" s="49">
        <f>AVERAGE('05.08 Karenga-Kotido'!E41,'06.08 Karenga-Kotido'!E41,'07.08 Karenga-Kotido'!E41,'08.08 Karenga-Kotido'!E41,'09.08 Karenga-Kotido-24h'!E41,'10.08 Karenga-Kotido-24h'!E41,'11.08 Karenga-Kotido'!E41)</f>
        <v>0.2857142857142857</v>
      </c>
      <c r="F41" s="49">
        <f>AVERAGE('05.08 Karenga-Kotido'!F41,'06.08 Karenga-Kotido'!F41,'07.08 Karenga-Kotido'!F41,'08.08 Karenga-Kotido'!F41,'09.08 Karenga-Kotido-24h'!F41,'10.08 Karenga-Kotido-24h'!F41,'11.08 Karenga-Kotido'!F41)</f>
        <v>0.14285714285714285</v>
      </c>
      <c r="G41" s="49">
        <f>AVERAGE('05.08 Karenga-Kotido'!G41,'06.08 Karenga-Kotido'!G41,'07.08 Karenga-Kotido'!G41,'08.08 Karenga-Kotido'!G41,'09.08 Karenga-Kotido-24h'!G41,'10.08 Karenga-Kotido-24h'!G41,'11.08 Karenga-Kotido'!G41)</f>
        <v>0</v>
      </c>
      <c r="H41" s="49">
        <f>AVERAGE('05.08 Karenga-Kotido'!H41,'06.08 Karenga-Kotido'!H41,'07.08 Karenga-Kotido'!H41,'08.08 Karenga-Kotido'!H41,'09.08 Karenga-Kotido-24h'!H41,'10.08 Karenga-Kotido-24h'!H41,'11.08 Karenga-Kotido'!H41)</f>
        <v>0</v>
      </c>
      <c r="I41" s="49">
        <f>AVERAGE('05.08 Karenga-Kotido'!I41,'06.08 Karenga-Kotido'!I41,'07.08 Karenga-Kotido'!I41,'08.08 Karenga-Kotido'!I41,'09.08 Karenga-Kotido-24h'!I41,'10.08 Karenga-Kotido-24h'!I41,'11.08 Karenga-Kotido'!I41)</f>
        <v>0</v>
      </c>
      <c r="J41" s="49">
        <f>AVERAGE('05.08 Karenga-Kotido'!J41,'06.08 Karenga-Kotido'!J41,'07.08 Karenga-Kotido'!J41,'08.08 Karenga-Kotido'!J41,'09.08 Karenga-Kotido-24h'!J41,'10.08 Karenga-Kotido-24h'!J41,'11.08 Karenga-Kotido'!J41)</f>
        <v>0</v>
      </c>
      <c r="K41" s="49">
        <f>AVERAGE('05.08 Karenga-Kotido'!K41,'06.08 Karenga-Kotido'!K41,'07.08 Karenga-Kotido'!K41,'08.08 Karenga-Kotido'!K41,'09.08 Karenga-Kotido-24h'!K41,'10.08 Karenga-Kotido-24h'!K41,'11.08 Karenga-Kotido'!K41)</f>
        <v>0</v>
      </c>
      <c r="L41" s="49">
        <f>AVERAGE('05.08 Karenga-Kotido'!L41,'06.08 Karenga-Kotido'!L41,'07.08 Karenga-Kotido'!L41,'08.08 Karenga-Kotido'!L41,'09.08 Karenga-Kotido-24h'!L41,'10.08 Karenga-Kotido-24h'!L41,'11.08 Karenga-Kotido'!L41)</f>
        <v>0</v>
      </c>
      <c r="M41" s="49">
        <f>AVERAGE('05.08 Karenga-Kotido'!M41,'06.08 Karenga-Kotido'!M41,'07.08 Karenga-Kotido'!M41,'08.08 Karenga-Kotido'!M41,'09.08 Karenga-Kotido-24h'!M41,'10.08 Karenga-Kotido-24h'!M41,'11.08 Karenga-Kotido'!M41)</f>
        <v>2.1428571428571428</v>
      </c>
      <c r="N41" s="49">
        <f>AVERAGE('05.08 Karenga-Kotido'!N41,'06.08 Karenga-Kotido'!N41,'07.08 Karenga-Kotido'!N41,'08.08 Karenga-Kotido'!N41,'09.08 Karenga-Kotido-24h'!N41,'10.08 Karenga-Kotido-24h'!N41,'11.08 Karenga-Kotido'!N41)</f>
        <v>0</v>
      </c>
      <c r="O41" s="15">
        <f t="shared" si="0"/>
        <v>0.71428571428571419</v>
      </c>
      <c r="P41" s="15">
        <f t="shared" si="1"/>
        <v>2.8571428571428568</v>
      </c>
      <c r="R41" s="5" t="s">
        <v>175</v>
      </c>
      <c r="S41" s="16">
        <f>SUM(S10:S33)</f>
        <v>2.4285714285714284</v>
      </c>
      <c r="T41" s="16">
        <f t="shared" ref="T41:AD41" si="33">SUM(T10:T33)</f>
        <v>6.6428571428571432</v>
      </c>
      <c r="U41" s="16">
        <f t="shared" si="33"/>
        <v>9</v>
      </c>
      <c r="V41" s="16">
        <f t="shared" si="33"/>
        <v>2.5714285714285712</v>
      </c>
      <c r="W41" s="16">
        <f t="shared" si="33"/>
        <v>0.14285714285714285</v>
      </c>
      <c r="X41" s="16">
        <f t="shared" si="33"/>
        <v>0</v>
      </c>
      <c r="Y41" s="16">
        <f t="shared" si="33"/>
        <v>4.9999999999999991</v>
      </c>
      <c r="Z41" s="16">
        <f t="shared" si="33"/>
        <v>1.4285714285714284</v>
      </c>
      <c r="AA41" s="16">
        <f t="shared" si="33"/>
        <v>0.42857142857142855</v>
      </c>
      <c r="AB41" s="16">
        <f t="shared" si="33"/>
        <v>0</v>
      </c>
      <c r="AC41" s="16">
        <f t="shared" si="33"/>
        <v>91.071428571428569</v>
      </c>
      <c r="AD41" s="16">
        <f t="shared" si="33"/>
        <v>0.2857142857142857</v>
      </c>
      <c r="AE41" s="32">
        <f>SUM(AE10:AE33)</f>
        <v>27.928571428571423</v>
      </c>
      <c r="AF41" s="32">
        <f>SUM(AF10:AF33)</f>
        <v>119.00000000000001</v>
      </c>
    </row>
    <row r="42" spans="2:32" ht="23.1" customHeight="1" x14ac:dyDescent="0.25">
      <c r="B42" s="24" t="s">
        <v>69</v>
      </c>
      <c r="C42" s="49">
        <f>AVERAGE('05.08 Karenga-Kotido'!C42,'06.08 Karenga-Kotido'!C42,'07.08 Karenga-Kotido'!C42,'08.08 Karenga-Kotido'!C42,'09.08 Karenga-Kotido-24h'!C42,'10.08 Karenga-Kotido-24h'!C42,'11.08 Karenga-Kotido'!C42)</f>
        <v>0</v>
      </c>
      <c r="D42" s="49">
        <f>AVERAGE('05.08 Karenga-Kotido'!D42,'06.08 Karenga-Kotido'!D42,'07.08 Karenga-Kotido'!D42,'08.08 Karenga-Kotido'!D42,'09.08 Karenga-Kotido-24h'!D42,'10.08 Karenga-Kotido-24h'!D42,'11.08 Karenga-Kotido'!D42)</f>
        <v>0.14285714285714285</v>
      </c>
      <c r="E42" s="49">
        <f>AVERAGE('05.08 Karenga-Kotido'!E42,'06.08 Karenga-Kotido'!E42,'07.08 Karenga-Kotido'!E42,'08.08 Karenga-Kotido'!E42,'09.08 Karenga-Kotido-24h'!E42,'10.08 Karenga-Kotido-24h'!E42,'11.08 Karenga-Kotido'!E42)</f>
        <v>0.2857142857142857</v>
      </c>
      <c r="F42" s="49">
        <f>AVERAGE('05.08 Karenga-Kotido'!F42,'06.08 Karenga-Kotido'!F42,'07.08 Karenga-Kotido'!F42,'08.08 Karenga-Kotido'!F42,'09.08 Karenga-Kotido-24h'!F42,'10.08 Karenga-Kotido-24h'!F42,'11.08 Karenga-Kotido'!F42)</f>
        <v>0.14285714285714285</v>
      </c>
      <c r="G42" s="49">
        <f>AVERAGE('05.08 Karenga-Kotido'!G42,'06.08 Karenga-Kotido'!G42,'07.08 Karenga-Kotido'!G42,'08.08 Karenga-Kotido'!G42,'09.08 Karenga-Kotido-24h'!G42,'10.08 Karenga-Kotido-24h'!G42,'11.08 Karenga-Kotido'!G42)</f>
        <v>0</v>
      </c>
      <c r="H42" s="49">
        <f>AVERAGE('05.08 Karenga-Kotido'!H42,'06.08 Karenga-Kotido'!H42,'07.08 Karenga-Kotido'!H42,'08.08 Karenga-Kotido'!H42,'09.08 Karenga-Kotido-24h'!H42,'10.08 Karenga-Kotido-24h'!H42,'11.08 Karenga-Kotido'!H42)</f>
        <v>0</v>
      </c>
      <c r="I42" s="49">
        <f>AVERAGE('05.08 Karenga-Kotido'!I42,'06.08 Karenga-Kotido'!I42,'07.08 Karenga-Kotido'!I42,'08.08 Karenga-Kotido'!I42,'09.08 Karenga-Kotido-24h'!I42,'10.08 Karenga-Kotido-24h'!I42,'11.08 Karenga-Kotido'!I42)</f>
        <v>0.14285714285714285</v>
      </c>
      <c r="J42" s="49">
        <f>AVERAGE('05.08 Karenga-Kotido'!J42,'06.08 Karenga-Kotido'!J42,'07.08 Karenga-Kotido'!J42,'08.08 Karenga-Kotido'!J42,'09.08 Karenga-Kotido-24h'!J42,'10.08 Karenga-Kotido-24h'!J42,'11.08 Karenga-Kotido'!J42)</f>
        <v>0</v>
      </c>
      <c r="K42" s="49">
        <f>AVERAGE('05.08 Karenga-Kotido'!K42,'06.08 Karenga-Kotido'!K42,'07.08 Karenga-Kotido'!K42,'08.08 Karenga-Kotido'!K42,'09.08 Karenga-Kotido-24h'!K42,'10.08 Karenga-Kotido-24h'!K42,'11.08 Karenga-Kotido'!K42)</f>
        <v>0</v>
      </c>
      <c r="L42" s="49">
        <f>AVERAGE('05.08 Karenga-Kotido'!L42,'06.08 Karenga-Kotido'!L42,'07.08 Karenga-Kotido'!L42,'08.08 Karenga-Kotido'!L42,'09.08 Karenga-Kotido-24h'!L42,'10.08 Karenga-Kotido-24h'!L42,'11.08 Karenga-Kotido'!L42)</f>
        <v>0</v>
      </c>
      <c r="M42" s="49">
        <f>AVERAGE('05.08 Karenga-Kotido'!M42,'06.08 Karenga-Kotido'!M42,'07.08 Karenga-Kotido'!M42,'08.08 Karenga-Kotido'!M42,'09.08 Karenga-Kotido-24h'!M42,'10.08 Karenga-Kotido-24h'!M42,'11.08 Karenga-Kotido'!M42)</f>
        <v>1.2857142857142858</v>
      </c>
      <c r="N42" s="49">
        <f>AVERAGE('05.08 Karenga-Kotido'!N42,'06.08 Karenga-Kotido'!N42,'07.08 Karenga-Kotido'!N42,'08.08 Karenga-Kotido'!N42,'09.08 Karenga-Kotido-24h'!N42,'10.08 Karenga-Kotido-24h'!N42,'11.08 Karenga-Kotido'!N42)</f>
        <v>0</v>
      </c>
      <c r="O42" s="15">
        <f t="shared" si="0"/>
        <v>0.71428571428571419</v>
      </c>
      <c r="P42" s="15">
        <f t="shared" si="1"/>
        <v>2</v>
      </c>
      <c r="R42" s="5" t="s">
        <v>160</v>
      </c>
      <c r="S42" s="48">
        <f>S41/S40</f>
        <v>1.7000000000000002</v>
      </c>
      <c r="T42" s="48">
        <f t="shared" ref="T42:AF42" si="34">T41/T40</f>
        <v>1.0813953488372092</v>
      </c>
      <c r="U42" s="48">
        <f t="shared" si="34"/>
        <v>1.125</v>
      </c>
      <c r="V42" s="48">
        <f t="shared" si="34"/>
        <v>1</v>
      </c>
      <c r="W42" s="48">
        <f t="shared" si="34"/>
        <v>1</v>
      </c>
      <c r="X42" s="48" t="e">
        <f t="shared" si="34"/>
        <v>#DIV/0!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 t="e">
        <f t="shared" si="34"/>
        <v>#DIV/0!</v>
      </c>
      <c r="AC42" s="48">
        <f t="shared" si="34"/>
        <v>1.1303191489361701</v>
      </c>
      <c r="AD42" s="48">
        <f t="shared" si="34"/>
        <v>1</v>
      </c>
      <c r="AE42" s="53">
        <f t="shared" si="34"/>
        <v>1.098314606741573</v>
      </c>
      <c r="AF42" s="53">
        <f t="shared" si="34"/>
        <v>1.1226415094339623</v>
      </c>
    </row>
    <row r="43" spans="2:32" ht="23.1" customHeight="1" x14ac:dyDescent="0.25">
      <c r="B43" s="23" t="s">
        <v>70</v>
      </c>
      <c r="C43" s="49">
        <f>AVERAGE('05.08 Karenga-Kotido'!C43,'06.08 Karenga-Kotido'!C43,'07.08 Karenga-Kotido'!C43,'08.08 Karenga-Kotido'!C43,'09.08 Karenga-Kotido-24h'!C43,'10.08 Karenga-Kotido-24h'!C43,'11.08 Karenga-Kotido'!C43)</f>
        <v>0</v>
      </c>
      <c r="D43" s="49">
        <f>AVERAGE('05.08 Karenga-Kotido'!D43,'06.08 Karenga-Kotido'!D43,'07.08 Karenga-Kotido'!D43,'08.08 Karenga-Kotido'!D43,'09.08 Karenga-Kotido-24h'!D43,'10.08 Karenga-Kotido-24h'!D43,'11.08 Karenga-Kotido'!D43)</f>
        <v>0.14285714285714285</v>
      </c>
      <c r="E43" s="49">
        <f>AVERAGE('05.08 Karenga-Kotido'!E43,'06.08 Karenga-Kotido'!E43,'07.08 Karenga-Kotido'!E43,'08.08 Karenga-Kotido'!E43,'09.08 Karenga-Kotido-24h'!E43,'10.08 Karenga-Kotido-24h'!E43,'11.08 Karenga-Kotido'!E43)</f>
        <v>0.14285714285714285</v>
      </c>
      <c r="F43" s="49">
        <f>AVERAGE('05.08 Karenga-Kotido'!F43,'06.08 Karenga-Kotido'!F43,'07.08 Karenga-Kotido'!F43,'08.08 Karenga-Kotido'!F43,'09.08 Karenga-Kotido-24h'!F43,'10.08 Karenga-Kotido-24h'!F43,'11.08 Karenga-Kotido'!F43)</f>
        <v>0</v>
      </c>
      <c r="G43" s="49">
        <f>AVERAGE('05.08 Karenga-Kotido'!G43,'06.08 Karenga-Kotido'!G43,'07.08 Karenga-Kotido'!G43,'08.08 Karenga-Kotido'!G43,'09.08 Karenga-Kotido-24h'!G43,'10.08 Karenga-Kotido-24h'!G43,'11.08 Karenga-Kotido'!G43)</f>
        <v>0</v>
      </c>
      <c r="H43" s="49">
        <f>AVERAGE('05.08 Karenga-Kotido'!H43,'06.08 Karenga-Kotido'!H43,'07.08 Karenga-Kotido'!H43,'08.08 Karenga-Kotido'!H43,'09.08 Karenga-Kotido-24h'!H43,'10.08 Karenga-Kotido-24h'!H43,'11.08 Karenga-Kotido'!H43)</f>
        <v>0</v>
      </c>
      <c r="I43" s="49">
        <f>AVERAGE('05.08 Karenga-Kotido'!I43,'06.08 Karenga-Kotido'!I43,'07.08 Karenga-Kotido'!I43,'08.08 Karenga-Kotido'!I43,'09.08 Karenga-Kotido-24h'!I43,'10.08 Karenga-Kotido-24h'!I43,'11.08 Karenga-Kotido'!I43)</f>
        <v>0</v>
      </c>
      <c r="J43" s="49">
        <f>AVERAGE('05.08 Karenga-Kotido'!J43,'06.08 Karenga-Kotido'!J43,'07.08 Karenga-Kotido'!J43,'08.08 Karenga-Kotido'!J43,'09.08 Karenga-Kotido-24h'!J43,'10.08 Karenga-Kotido-24h'!J43,'11.08 Karenga-Kotido'!J43)</f>
        <v>0.14285714285714285</v>
      </c>
      <c r="K43" s="49">
        <f>AVERAGE('05.08 Karenga-Kotido'!K43,'06.08 Karenga-Kotido'!K43,'07.08 Karenga-Kotido'!K43,'08.08 Karenga-Kotido'!K43,'09.08 Karenga-Kotido-24h'!K43,'10.08 Karenga-Kotido-24h'!K43,'11.08 Karenga-Kotido'!K43)</f>
        <v>0.14285714285714285</v>
      </c>
      <c r="L43" s="49">
        <f>AVERAGE('05.08 Karenga-Kotido'!L43,'06.08 Karenga-Kotido'!L43,'07.08 Karenga-Kotido'!L43,'08.08 Karenga-Kotido'!L43,'09.08 Karenga-Kotido-24h'!L43,'10.08 Karenga-Kotido-24h'!L43,'11.08 Karenga-Kotido'!L43)</f>
        <v>0</v>
      </c>
      <c r="M43" s="49">
        <f>AVERAGE('05.08 Karenga-Kotido'!M43,'06.08 Karenga-Kotido'!M43,'07.08 Karenga-Kotido'!M43,'08.08 Karenga-Kotido'!M43,'09.08 Karenga-Kotido-24h'!M43,'10.08 Karenga-Kotido-24h'!M43,'11.08 Karenga-Kotido'!M43)</f>
        <v>1</v>
      </c>
      <c r="N43" s="49">
        <f>AVERAGE('05.08 Karenga-Kotido'!N43,'06.08 Karenga-Kotido'!N43,'07.08 Karenga-Kotido'!N43,'08.08 Karenga-Kotido'!N43,'09.08 Karenga-Kotido-24h'!N43,'10.08 Karenga-Kotido-24h'!N43,'11.08 Karenga-Kotido'!N43)</f>
        <v>0</v>
      </c>
      <c r="O43" s="15">
        <f t="shared" si="0"/>
        <v>0.5714285714285714</v>
      </c>
      <c r="P43" s="15">
        <f t="shared" si="1"/>
        <v>1.5714285714285714</v>
      </c>
    </row>
    <row r="44" spans="2:32" ht="23.1" customHeight="1" x14ac:dyDescent="0.25">
      <c r="B44" s="25" t="s">
        <v>71</v>
      </c>
      <c r="C44" s="49">
        <f>AVERAGE('05.08 Karenga-Kotido'!C44,'06.08 Karenga-Kotido'!C44,'07.08 Karenga-Kotido'!C44,'08.08 Karenga-Kotido'!C44,'09.08 Karenga-Kotido-24h'!C44,'10.08 Karenga-Kotido-24h'!C44,'11.08 Karenga-Kotido'!C44)</f>
        <v>0</v>
      </c>
      <c r="D44" s="49">
        <f>AVERAGE('05.08 Karenga-Kotido'!D44,'06.08 Karenga-Kotido'!D44,'07.08 Karenga-Kotido'!D44,'08.08 Karenga-Kotido'!D44,'09.08 Karenga-Kotido-24h'!D44,'10.08 Karenga-Kotido-24h'!D44,'11.08 Karenga-Kotido'!D44)</f>
        <v>0.14285714285714285</v>
      </c>
      <c r="E44" s="49">
        <f>AVERAGE('05.08 Karenga-Kotido'!E44,'06.08 Karenga-Kotido'!E44,'07.08 Karenga-Kotido'!E44,'08.08 Karenga-Kotido'!E44,'09.08 Karenga-Kotido-24h'!E44,'10.08 Karenga-Kotido-24h'!E44,'11.08 Karenga-Kotido'!E44)</f>
        <v>0.2857142857142857</v>
      </c>
      <c r="F44" s="49">
        <f>AVERAGE('05.08 Karenga-Kotido'!F44,'06.08 Karenga-Kotido'!F44,'07.08 Karenga-Kotido'!F44,'08.08 Karenga-Kotido'!F44,'09.08 Karenga-Kotido-24h'!F44,'10.08 Karenga-Kotido-24h'!F44,'11.08 Karenga-Kotido'!F44)</f>
        <v>0.14285714285714285</v>
      </c>
      <c r="G44" s="49">
        <f>AVERAGE('05.08 Karenga-Kotido'!G44,'06.08 Karenga-Kotido'!G44,'07.08 Karenga-Kotido'!G44,'08.08 Karenga-Kotido'!G44,'09.08 Karenga-Kotido-24h'!G44,'10.08 Karenga-Kotido-24h'!G44,'11.08 Karenga-Kotido'!G44)</f>
        <v>0</v>
      </c>
      <c r="H44" s="49">
        <f>AVERAGE('05.08 Karenga-Kotido'!H44,'06.08 Karenga-Kotido'!H44,'07.08 Karenga-Kotido'!H44,'08.08 Karenga-Kotido'!H44,'09.08 Karenga-Kotido-24h'!H44,'10.08 Karenga-Kotido-24h'!H44,'11.08 Karenga-Kotido'!H44)</f>
        <v>0</v>
      </c>
      <c r="I44" s="49">
        <f>AVERAGE('05.08 Karenga-Kotido'!I44,'06.08 Karenga-Kotido'!I44,'07.08 Karenga-Kotido'!I44,'08.08 Karenga-Kotido'!I44,'09.08 Karenga-Kotido-24h'!I44,'10.08 Karenga-Kotido-24h'!I44,'11.08 Karenga-Kotido'!I44)</f>
        <v>0.14285714285714285</v>
      </c>
      <c r="J44" s="49">
        <f>AVERAGE('05.08 Karenga-Kotido'!J44,'06.08 Karenga-Kotido'!J44,'07.08 Karenga-Kotido'!J44,'08.08 Karenga-Kotido'!J44,'09.08 Karenga-Kotido-24h'!J44,'10.08 Karenga-Kotido-24h'!J44,'11.08 Karenga-Kotido'!J44)</f>
        <v>0.14285714285714285</v>
      </c>
      <c r="K44" s="49">
        <f>AVERAGE('05.08 Karenga-Kotido'!K44,'06.08 Karenga-Kotido'!K44,'07.08 Karenga-Kotido'!K44,'08.08 Karenga-Kotido'!K44,'09.08 Karenga-Kotido-24h'!K44,'10.08 Karenga-Kotido-24h'!K44,'11.08 Karenga-Kotido'!K44)</f>
        <v>0</v>
      </c>
      <c r="L44" s="49">
        <f>AVERAGE('05.08 Karenga-Kotido'!L44,'06.08 Karenga-Kotido'!L44,'07.08 Karenga-Kotido'!L44,'08.08 Karenga-Kotido'!L44,'09.08 Karenga-Kotido-24h'!L44,'10.08 Karenga-Kotido-24h'!L44,'11.08 Karenga-Kotido'!L44)</f>
        <v>0</v>
      </c>
      <c r="M44" s="49">
        <f>AVERAGE('05.08 Karenga-Kotido'!M44,'06.08 Karenga-Kotido'!M44,'07.08 Karenga-Kotido'!M44,'08.08 Karenga-Kotido'!M44,'09.08 Karenga-Kotido-24h'!M44,'10.08 Karenga-Kotido-24h'!M44,'11.08 Karenga-Kotido'!M44)</f>
        <v>1.5714285714285714</v>
      </c>
      <c r="N44" s="49">
        <f>AVERAGE('05.08 Karenga-Kotido'!N44,'06.08 Karenga-Kotido'!N44,'07.08 Karenga-Kotido'!N44,'08.08 Karenga-Kotido'!N44,'09.08 Karenga-Kotido-24h'!N44,'10.08 Karenga-Kotido-24h'!N44,'11.08 Karenga-Kotido'!N44)</f>
        <v>0</v>
      </c>
      <c r="O44" s="15">
        <f t="shared" si="0"/>
        <v>0.85714285714285698</v>
      </c>
      <c r="P44" s="15">
        <f t="shared" si="1"/>
        <v>2.4285714285714284</v>
      </c>
    </row>
    <row r="45" spans="2:32" ht="23.1" customHeight="1" x14ac:dyDescent="0.25">
      <c r="B45" s="23" t="s">
        <v>72</v>
      </c>
      <c r="C45" s="49">
        <f>AVERAGE('05.08 Karenga-Kotido'!C45,'06.08 Karenga-Kotido'!C45,'07.08 Karenga-Kotido'!C45,'08.08 Karenga-Kotido'!C45,'09.08 Karenga-Kotido-24h'!C45,'10.08 Karenga-Kotido-24h'!C45,'11.08 Karenga-Kotido'!C45)</f>
        <v>0</v>
      </c>
      <c r="D45" s="49">
        <f>AVERAGE('05.08 Karenga-Kotido'!D45,'06.08 Karenga-Kotido'!D45,'07.08 Karenga-Kotido'!D45,'08.08 Karenga-Kotido'!D45,'09.08 Karenga-Kotido-24h'!D45,'10.08 Karenga-Kotido-24h'!D45,'11.08 Karenga-Kotido'!D45)</f>
        <v>0</v>
      </c>
      <c r="E45" s="49">
        <f>AVERAGE('05.08 Karenga-Kotido'!E45,'06.08 Karenga-Kotido'!E45,'07.08 Karenga-Kotido'!E45,'08.08 Karenga-Kotido'!E45,'09.08 Karenga-Kotido-24h'!E45,'10.08 Karenga-Kotido-24h'!E45,'11.08 Karenga-Kotido'!E45)</f>
        <v>0</v>
      </c>
      <c r="F45" s="49">
        <f>AVERAGE('05.08 Karenga-Kotido'!F45,'06.08 Karenga-Kotido'!F45,'07.08 Karenga-Kotido'!F45,'08.08 Karenga-Kotido'!F45,'09.08 Karenga-Kotido-24h'!F45,'10.08 Karenga-Kotido-24h'!F45,'11.08 Karenga-Kotido'!F45)</f>
        <v>0</v>
      </c>
      <c r="G45" s="49">
        <f>AVERAGE('05.08 Karenga-Kotido'!G45,'06.08 Karenga-Kotido'!G45,'07.08 Karenga-Kotido'!G45,'08.08 Karenga-Kotido'!G45,'09.08 Karenga-Kotido-24h'!G45,'10.08 Karenga-Kotido-24h'!G45,'11.08 Karenga-Kotido'!G45)</f>
        <v>0</v>
      </c>
      <c r="H45" s="49">
        <f>AVERAGE('05.08 Karenga-Kotido'!H45,'06.08 Karenga-Kotido'!H45,'07.08 Karenga-Kotido'!H45,'08.08 Karenga-Kotido'!H45,'09.08 Karenga-Kotido-24h'!H45,'10.08 Karenga-Kotido-24h'!H45,'11.08 Karenga-Kotido'!H45)</f>
        <v>0</v>
      </c>
      <c r="I45" s="49">
        <f>AVERAGE('05.08 Karenga-Kotido'!I45,'06.08 Karenga-Kotido'!I45,'07.08 Karenga-Kotido'!I45,'08.08 Karenga-Kotido'!I45,'09.08 Karenga-Kotido-24h'!I45,'10.08 Karenga-Kotido-24h'!I45,'11.08 Karenga-Kotido'!I45)</f>
        <v>0</v>
      </c>
      <c r="J45" s="49">
        <f>AVERAGE('05.08 Karenga-Kotido'!J45,'06.08 Karenga-Kotido'!J45,'07.08 Karenga-Kotido'!J45,'08.08 Karenga-Kotido'!J45,'09.08 Karenga-Kotido-24h'!J45,'10.08 Karenga-Kotido-24h'!J45,'11.08 Karenga-Kotido'!J45)</f>
        <v>0</v>
      </c>
      <c r="K45" s="49">
        <f>AVERAGE('05.08 Karenga-Kotido'!K45,'06.08 Karenga-Kotido'!K45,'07.08 Karenga-Kotido'!K45,'08.08 Karenga-Kotido'!K45,'09.08 Karenga-Kotido-24h'!K45,'10.08 Karenga-Kotido-24h'!K45,'11.08 Karenga-Kotido'!K45)</f>
        <v>0</v>
      </c>
      <c r="L45" s="49">
        <f>AVERAGE('05.08 Karenga-Kotido'!L45,'06.08 Karenga-Kotido'!L45,'07.08 Karenga-Kotido'!L45,'08.08 Karenga-Kotido'!L45,'09.08 Karenga-Kotido-24h'!L45,'10.08 Karenga-Kotido-24h'!L45,'11.08 Karenga-Kotido'!L45)</f>
        <v>0</v>
      </c>
      <c r="M45" s="49">
        <f>AVERAGE('05.08 Karenga-Kotido'!M45,'06.08 Karenga-Kotido'!M45,'07.08 Karenga-Kotido'!M45,'08.08 Karenga-Kotido'!M45,'09.08 Karenga-Kotido-24h'!M45,'10.08 Karenga-Kotido-24h'!M45,'11.08 Karenga-Kotido'!M45)</f>
        <v>0.7142857142857143</v>
      </c>
      <c r="N45" s="49">
        <f>AVERAGE('05.08 Karenga-Kotido'!N45,'06.08 Karenga-Kotido'!N45,'07.08 Karenga-Kotido'!N45,'08.08 Karenga-Kotido'!N45,'09.08 Karenga-Kotido-24h'!N45,'10.08 Karenga-Kotido-24h'!N45,'11.08 Karenga-Kotido'!N45)</f>
        <v>0</v>
      </c>
      <c r="O45" s="15">
        <f t="shared" si="0"/>
        <v>0</v>
      </c>
      <c r="P45" s="15">
        <f t="shared" si="1"/>
        <v>0.7142857142857143</v>
      </c>
    </row>
    <row r="46" spans="2:32" ht="23.1" customHeight="1" x14ac:dyDescent="0.25">
      <c r="B46" s="24" t="s">
        <v>73</v>
      </c>
      <c r="C46" s="49">
        <f>AVERAGE('05.08 Karenga-Kotido'!C46,'06.08 Karenga-Kotido'!C46,'07.08 Karenga-Kotido'!C46,'08.08 Karenga-Kotido'!C46,'09.08 Karenga-Kotido-24h'!C46,'10.08 Karenga-Kotido-24h'!C46,'11.08 Karenga-Kotido'!C46)</f>
        <v>0</v>
      </c>
      <c r="D46" s="49">
        <f>AVERAGE('05.08 Karenga-Kotido'!D46,'06.08 Karenga-Kotido'!D46,'07.08 Karenga-Kotido'!D46,'08.08 Karenga-Kotido'!D46,'09.08 Karenga-Kotido-24h'!D46,'10.08 Karenga-Kotido-24h'!D46,'11.08 Karenga-Kotido'!D46)</f>
        <v>0.14285714285714285</v>
      </c>
      <c r="E46" s="49">
        <f>AVERAGE('05.08 Karenga-Kotido'!E46,'06.08 Karenga-Kotido'!E46,'07.08 Karenga-Kotido'!E46,'08.08 Karenga-Kotido'!E46,'09.08 Karenga-Kotido-24h'!E46,'10.08 Karenga-Kotido-24h'!E46,'11.08 Karenga-Kotido'!E46)</f>
        <v>0</v>
      </c>
      <c r="F46" s="49">
        <f>AVERAGE('05.08 Karenga-Kotido'!F46,'06.08 Karenga-Kotido'!F46,'07.08 Karenga-Kotido'!F46,'08.08 Karenga-Kotido'!F46,'09.08 Karenga-Kotido-24h'!F46,'10.08 Karenga-Kotido-24h'!F46,'11.08 Karenga-Kotido'!F46)</f>
        <v>0.2857142857142857</v>
      </c>
      <c r="G46" s="49">
        <f>AVERAGE('05.08 Karenga-Kotido'!G46,'06.08 Karenga-Kotido'!G46,'07.08 Karenga-Kotido'!G46,'08.08 Karenga-Kotido'!G46,'09.08 Karenga-Kotido-24h'!G46,'10.08 Karenga-Kotido-24h'!G46,'11.08 Karenga-Kotido'!G46)</f>
        <v>0</v>
      </c>
      <c r="H46" s="49">
        <f>AVERAGE('05.08 Karenga-Kotido'!H46,'06.08 Karenga-Kotido'!H46,'07.08 Karenga-Kotido'!H46,'08.08 Karenga-Kotido'!H46,'09.08 Karenga-Kotido-24h'!H46,'10.08 Karenga-Kotido-24h'!H46,'11.08 Karenga-Kotido'!H46)</f>
        <v>0</v>
      </c>
      <c r="I46" s="49">
        <f>AVERAGE('05.08 Karenga-Kotido'!I46,'06.08 Karenga-Kotido'!I46,'07.08 Karenga-Kotido'!I46,'08.08 Karenga-Kotido'!I46,'09.08 Karenga-Kotido-24h'!I46,'10.08 Karenga-Kotido-24h'!I46,'11.08 Karenga-Kotido'!I46)</f>
        <v>0</v>
      </c>
      <c r="J46" s="49">
        <f>AVERAGE('05.08 Karenga-Kotido'!J46,'06.08 Karenga-Kotido'!J46,'07.08 Karenga-Kotido'!J46,'08.08 Karenga-Kotido'!J46,'09.08 Karenga-Kotido-24h'!J46,'10.08 Karenga-Kotido-24h'!J46,'11.08 Karenga-Kotido'!J46)</f>
        <v>0</v>
      </c>
      <c r="K46" s="49">
        <f>AVERAGE('05.08 Karenga-Kotido'!K46,'06.08 Karenga-Kotido'!K46,'07.08 Karenga-Kotido'!K46,'08.08 Karenga-Kotido'!K46,'09.08 Karenga-Kotido-24h'!K46,'10.08 Karenga-Kotido-24h'!K46,'11.08 Karenga-Kotido'!K46)</f>
        <v>0</v>
      </c>
      <c r="L46" s="49">
        <f>AVERAGE('05.08 Karenga-Kotido'!L46,'06.08 Karenga-Kotido'!L46,'07.08 Karenga-Kotido'!L46,'08.08 Karenga-Kotido'!L46,'09.08 Karenga-Kotido-24h'!L46,'10.08 Karenga-Kotido-24h'!L46,'11.08 Karenga-Kotido'!L46)</f>
        <v>0</v>
      </c>
      <c r="M46" s="49">
        <f>AVERAGE('05.08 Karenga-Kotido'!M46,'06.08 Karenga-Kotido'!M46,'07.08 Karenga-Kotido'!M46,'08.08 Karenga-Kotido'!M46,'09.08 Karenga-Kotido-24h'!M46,'10.08 Karenga-Kotido-24h'!M46,'11.08 Karenga-Kotido'!M46)</f>
        <v>2.4285714285714284</v>
      </c>
      <c r="N46" s="49">
        <f>AVERAGE('05.08 Karenga-Kotido'!N46,'06.08 Karenga-Kotido'!N46,'07.08 Karenga-Kotido'!N46,'08.08 Karenga-Kotido'!N46,'09.08 Karenga-Kotido-24h'!N46,'10.08 Karenga-Kotido-24h'!N46,'11.08 Karenga-Kotido'!N46)</f>
        <v>0</v>
      </c>
      <c r="O46" s="15">
        <f t="shared" si="0"/>
        <v>0.42857142857142855</v>
      </c>
      <c r="P46" s="15">
        <f t="shared" si="1"/>
        <v>2.8571428571428568</v>
      </c>
      <c r="R46" s="8"/>
      <c r="T46"/>
    </row>
    <row r="47" spans="2:32" ht="23.1" customHeight="1" x14ac:dyDescent="0.25">
      <c r="B47" s="24" t="s">
        <v>74</v>
      </c>
      <c r="C47" s="49">
        <f>AVERAGE('05.08 Karenga-Kotido'!C47,'06.08 Karenga-Kotido'!C47,'07.08 Karenga-Kotido'!C47,'08.08 Karenga-Kotido'!C47,'09.08 Karenga-Kotido-24h'!C47,'10.08 Karenga-Kotido-24h'!C47,'11.08 Karenga-Kotido'!C47)</f>
        <v>0</v>
      </c>
      <c r="D47" s="49">
        <f>AVERAGE('05.08 Karenga-Kotido'!D47,'06.08 Karenga-Kotido'!D47,'07.08 Karenga-Kotido'!D47,'08.08 Karenga-Kotido'!D47,'09.08 Karenga-Kotido-24h'!D47,'10.08 Karenga-Kotido-24h'!D47,'11.08 Karenga-Kotido'!D47)</f>
        <v>0</v>
      </c>
      <c r="E47" s="49">
        <f>AVERAGE('05.08 Karenga-Kotido'!E47,'06.08 Karenga-Kotido'!E47,'07.08 Karenga-Kotido'!E47,'08.08 Karenga-Kotido'!E47,'09.08 Karenga-Kotido-24h'!E47,'10.08 Karenga-Kotido-24h'!E47,'11.08 Karenga-Kotido'!E47)</f>
        <v>0.14285714285714285</v>
      </c>
      <c r="F47" s="49">
        <f>AVERAGE('05.08 Karenga-Kotido'!F47,'06.08 Karenga-Kotido'!F47,'07.08 Karenga-Kotido'!F47,'08.08 Karenga-Kotido'!F47,'09.08 Karenga-Kotido-24h'!F47,'10.08 Karenga-Kotido-24h'!F47,'11.08 Karenga-Kotido'!F47)</f>
        <v>0</v>
      </c>
      <c r="G47" s="49">
        <f>AVERAGE('05.08 Karenga-Kotido'!G47,'06.08 Karenga-Kotido'!G47,'07.08 Karenga-Kotido'!G47,'08.08 Karenga-Kotido'!G47,'09.08 Karenga-Kotido-24h'!G47,'10.08 Karenga-Kotido-24h'!G47,'11.08 Karenga-Kotido'!G47)</f>
        <v>0</v>
      </c>
      <c r="H47" s="49">
        <f>AVERAGE('05.08 Karenga-Kotido'!H47,'06.08 Karenga-Kotido'!H47,'07.08 Karenga-Kotido'!H47,'08.08 Karenga-Kotido'!H47,'09.08 Karenga-Kotido-24h'!H47,'10.08 Karenga-Kotido-24h'!H47,'11.08 Karenga-Kotido'!H47)</f>
        <v>0</v>
      </c>
      <c r="I47" s="49">
        <f>AVERAGE('05.08 Karenga-Kotido'!I47,'06.08 Karenga-Kotido'!I47,'07.08 Karenga-Kotido'!I47,'08.08 Karenga-Kotido'!I47,'09.08 Karenga-Kotido-24h'!I47,'10.08 Karenga-Kotido-24h'!I47,'11.08 Karenga-Kotido'!I47)</f>
        <v>0.14285714285714285</v>
      </c>
      <c r="J47" s="49">
        <f>AVERAGE('05.08 Karenga-Kotido'!J47,'06.08 Karenga-Kotido'!J47,'07.08 Karenga-Kotido'!J47,'08.08 Karenga-Kotido'!J47,'09.08 Karenga-Kotido-24h'!J47,'10.08 Karenga-Kotido-24h'!J47,'11.08 Karenga-Kotido'!J47)</f>
        <v>0</v>
      </c>
      <c r="K47" s="49">
        <f>AVERAGE('05.08 Karenga-Kotido'!K47,'06.08 Karenga-Kotido'!K47,'07.08 Karenga-Kotido'!K47,'08.08 Karenga-Kotido'!K47,'09.08 Karenga-Kotido-24h'!K47,'10.08 Karenga-Kotido-24h'!K47,'11.08 Karenga-Kotido'!K47)</f>
        <v>0</v>
      </c>
      <c r="L47" s="49">
        <f>AVERAGE('05.08 Karenga-Kotido'!L47,'06.08 Karenga-Kotido'!L47,'07.08 Karenga-Kotido'!L47,'08.08 Karenga-Kotido'!L47,'09.08 Karenga-Kotido-24h'!L47,'10.08 Karenga-Kotido-24h'!L47,'11.08 Karenga-Kotido'!L47)</f>
        <v>0</v>
      </c>
      <c r="M47" s="49">
        <f>AVERAGE('05.08 Karenga-Kotido'!M47,'06.08 Karenga-Kotido'!M47,'07.08 Karenga-Kotido'!M47,'08.08 Karenga-Kotido'!M47,'09.08 Karenga-Kotido-24h'!M47,'10.08 Karenga-Kotido-24h'!M47,'11.08 Karenga-Kotido'!M47)</f>
        <v>1.2857142857142858</v>
      </c>
      <c r="N47" s="49">
        <f>AVERAGE('05.08 Karenga-Kotido'!N47,'06.08 Karenga-Kotido'!N47,'07.08 Karenga-Kotido'!N47,'08.08 Karenga-Kotido'!N47,'09.08 Karenga-Kotido-24h'!N47,'10.08 Karenga-Kotido-24h'!N47,'11.08 Karenga-Kotido'!N47)</f>
        <v>0</v>
      </c>
      <c r="O47" s="15">
        <f t="shared" si="0"/>
        <v>0.2857142857142857</v>
      </c>
      <c r="P47" s="15">
        <f t="shared" si="1"/>
        <v>1.5714285714285716</v>
      </c>
      <c r="R47" s="8"/>
      <c r="T47"/>
    </row>
    <row r="48" spans="2:32" ht="23.1" customHeight="1" x14ac:dyDescent="0.25">
      <c r="B48" s="24" t="s">
        <v>75</v>
      </c>
      <c r="C48" s="49">
        <f>AVERAGE('05.08 Karenga-Kotido'!C48,'06.08 Karenga-Kotido'!C48,'07.08 Karenga-Kotido'!C48,'08.08 Karenga-Kotido'!C48,'09.08 Karenga-Kotido-24h'!C48,'10.08 Karenga-Kotido-24h'!C48,'11.08 Karenga-Kotido'!C48)</f>
        <v>0</v>
      </c>
      <c r="D48" s="49">
        <f>AVERAGE('05.08 Karenga-Kotido'!D48,'06.08 Karenga-Kotido'!D48,'07.08 Karenga-Kotido'!D48,'08.08 Karenga-Kotido'!D48,'09.08 Karenga-Kotido-24h'!D48,'10.08 Karenga-Kotido-24h'!D48,'11.08 Karenga-Kotido'!D48)</f>
        <v>0</v>
      </c>
      <c r="E48" s="49">
        <f>AVERAGE('05.08 Karenga-Kotido'!E48,'06.08 Karenga-Kotido'!E48,'07.08 Karenga-Kotido'!E48,'08.08 Karenga-Kotido'!E48,'09.08 Karenga-Kotido-24h'!E48,'10.08 Karenga-Kotido-24h'!E48,'11.08 Karenga-Kotido'!E48)</f>
        <v>0.42857142857142855</v>
      </c>
      <c r="F48" s="49">
        <f>AVERAGE('05.08 Karenga-Kotido'!F48,'06.08 Karenga-Kotido'!F48,'07.08 Karenga-Kotido'!F48,'08.08 Karenga-Kotido'!F48,'09.08 Karenga-Kotido-24h'!F48,'10.08 Karenga-Kotido-24h'!F48,'11.08 Karenga-Kotido'!F48)</f>
        <v>0</v>
      </c>
      <c r="G48" s="49">
        <f>AVERAGE('05.08 Karenga-Kotido'!G48,'06.08 Karenga-Kotido'!G48,'07.08 Karenga-Kotido'!G48,'08.08 Karenga-Kotido'!G48,'09.08 Karenga-Kotido-24h'!G48,'10.08 Karenga-Kotido-24h'!G48,'11.08 Karenga-Kotido'!G48)</f>
        <v>0</v>
      </c>
      <c r="H48" s="49">
        <f>AVERAGE('05.08 Karenga-Kotido'!H48,'06.08 Karenga-Kotido'!H48,'07.08 Karenga-Kotido'!H48,'08.08 Karenga-Kotido'!H48,'09.08 Karenga-Kotido-24h'!H48,'10.08 Karenga-Kotido-24h'!H48,'11.08 Karenga-Kotido'!H48)</f>
        <v>0</v>
      </c>
      <c r="I48" s="49">
        <f>AVERAGE('05.08 Karenga-Kotido'!I48,'06.08 Karenga-Kotido'!I48,'07.08 Karenga-Kotido'!I48,'08.08 Karenga-Kotido'!I48,'09.08 Karenga-Kotido-24h'!I48,'10.08 Karenga-Kotido-24h'!I48,'11.08 Karenga-Kotido'!I48)</f>
        <v>0.14285714285714285</v>
      </c>
      <c r="J48" s="49">
        <f>AVERAGE('05.08 Karenga-Kotido'!J48,'06.08 Karenga-Kotido'!J48,'07.08 Karenga-Kotido'!J48,'08.08 Karenga-Kotido'!J48,'09.08 Karenga-Kotido-24h'!J48,'10.08 Karenga-Kotido-24h'!J48,'11.08 Karenga-Kotido'!J48)</f>
        <v>0</v>
      </c>
      <c r="K48" s="49">
        <f>AVERAGE('05.08 Karenga-Kotido'!K48,'06.08 Karenga-Kotido'!K48,'07.08 Karenga-Kotido'!K48,'08.08 Karenga-Kotido'!K48,'09.08 Karenga-Kotido-24h'!K48,'10.08 Karenga-Kotido-24h'!K48,'11.08 Karenga-Kotido'!K48)</f>
        <v>0</v>
      </c>
      <c r="L48" s="49">
        <f>AVERAGE('05.08 Karenga-Kotido'!L48,'06.08 Karenga-Kotido'!L48,'07.08 Karenga-Kotido'!L48,'08.08 Karenga-Kotido'!L48,'09.08 Karenga-Kotido-24h'!L48,'10.08 Karenga-Kotido-24h'!L48,'11.08 Karenga-Kotido'!L48)</f>
        <v>0</v>
      </c>
      <c r="M48" s="49">
        <f>AVERAGE('05.08 Karenga-Kotido'!M48,'06.08 Karenga-Kotido'!M48,'07.08 Karenga-Kotido'!M48,'08.08 Karenga-Kotido'!M48,'09.08 Karenga-Kotido-24h'!M48,'10.08 Karenga-Kotido-24h'!M48,'11.08 Karenga-Kotido'!M48)</f>
        <v>1.7142857142857142</v>
      </c>
      <c r="N48" s="49">
        <f>AVERAGE('05.08 Karenga-Kotido'!N48,'06.08 Karenga-Kotido'!N48,'07.08 Karenga-Kotido'!N48,'08.08 Karenga-Kotido'!N48,'09.08 Karenga-Kotido-24h'!N48,'10.08 Karenga-Kotido-24h'!N48,'11.08 Karenga-Kotido'!N48)</f>
        <v>0</v>
      </c>
      <c r="O48" s="15">
        <f t="shared" si="0"/>
        <v>0.5714285714285714</v>
      </c>
      <c r="P48" s="15">
        <f t="shared" si="1"/>
        <v>2.2857142857142856</v>
      </c>
      <c r="R48" s="8"/>
      <c r="T48"/>
    </row>
    <row r="49" spans="2:20" ht="23.1" customHeight="1" x14ac:dyDescent="0.25">
      <c r="B49" s="23" t="s">
        <v>76</v>
      </c>
      <c r="C49" s="49">
        <f>AVERAGE('05.08 Karenga-Kotido'!C49,'06.08 Karenga-Kotido'!C49,'07.08 Karenga-Kotido'!C49,'08.08 Karenga-Kotido'!C49,'09.08 Karenga-Kotido-24h'!C49,'10.08 Karenga-Kotido-24h'!C49,'11.08 Karenga-Kotido'!C49)</f>
        <v>0</v>
      </c>
      <c r="D49" s="49">
        <f>AVERAGE('05.08 Karenga-Kotido'!D49,'06.08 Karenga-Kotido'!D49,'07.08 Karenga-Kotido'!D49,'08.08 Karenga-Kotido'!D49,'09.08 Karenga-Kotido-24h'!D49,'10.08 Karenga-Kotido-24h'!D49,'11.08 Karenga-Kotido'!D49)</f>
        <v>0</v>
      </c>
      <c r="E49" s="49">
        <f>AVERAGE('05.08 Karenga-Kotido'!E49,'06.08 Karenga-Kotido'!E49,'07.08 Karenga-Kotido'!E49,'08.08 Karenga-Kotido'!E49,'09.08 Karenga-Kotido-24h'!E49,'10.08 Karenga-Kotido-24h'!E49,'11.08 Karenga-Kotido'!E49)</f>
        <v>0.42857142857142855</v>
      </c>
      <c r="F49" s="49">
        <f>AVERAGE('05.08 Karenga-Kotido'!F49,'06.08 Karenga-Kotido'!F49,'07.08 Karenga-Kotido'!F49,'08.08 Karenga-Kotido'!F49,'09.08 Karenga-Kotido-24h'!F49,'10.08 Karenga-Kotido-24h'!F49,'11.08 Karenga-Kotido'!F49)</f>
        <v>0</v>
      </c>
      <c r="G49" s="49">
        <f>AVERAGE('05.08 Karenga-Kotido'!G49,'06.08 Karenga-Kotido'!G49,'07.08 Karenga-Kotido'!G49,'08.08 Karenga-Kotido'!G49,'09.08 Karenga-Kotido-24h'!G49,'10.08 Karenga-Kotido-24h'!G49,'11.08 Karenga-Kotido'!G49)</f>
        <v>0</v>
      </c>
      <c r="H49" s="49">
        <f>AVERAGE('05.08 Karenga-Kotido'!H49,'06.08 Karenga-Kotido'!H49,'07.08 Karenga-Kotido'!H49,'08.08 Karenga-Kotido'!H49,'09.08 Karenga-Kotido-24h'!H49,'10.08 Karenga-Kotido-24h'!H49,'11.08 Karenga-Kotido'!H49)</f>
        <v>0</v>
      </c>
      <c r="I49" s="49">
        <f>AVERAGE('05.08 Karenga-Kotido'!I49,'06.08 Karenga-Kotido'!I49,'07.08 Karenga-Kotido'!I49,'08.08 Karenga-Kotido'!I49,'09.08 Karenga-Kotido-24h'!I49,'10.08 Karenga-Kotido-24h'!I49,'11.08 Karenga-Kotido'!I49)</f>
        <v>0</v>
      </c>
      <c r="J49" s="49">
        <f>AVERAGE('05.08 Karenga-Kotido'!J49,'06.08 Karenga-Kotido'!J49,'07.08 Karenga-Kotido'!J49,'08.08 Karenga-Kotido'!J49,'09.08 Karenga-Kotido-24h'!J49,'10.08 Karenga-Kotido-24h'!J49,'11.08 Karenga-Kotido'!J49)</f>
        <v>0</v>
      </c>
      <c r="K49" s="49">
        <f>AVERAGE('05.08 Karenga-Kotido'!K49,'06.08 Karenga-Kotido'!K49,'07.08 Karenga-Kotido'!K49,'08.08 Karenga-Kotido'!K49,'09.08 Karenga-Kotido-24h'!K49,'10.08 Karenga-Kotido-24h'!K49,'11.08 Karenga-Kotido'!K49)</f>
        <v>0</v>
      </c>
      <c r="L49" s="49">
        <f>AVERAGE('05.08 Karenga-Kotido'!L49,'06.08 Karenga-Kotido'!L49,'07.08 Karenga-Kotido'!L49,'08.08 Karenga-Kotido'!L49,'09.08 Karenga-Kotido-24h'!L49,'10.08 Karenga-Kotido-24h'!L49,'11.08 Karenga-Kotido'!L49)</f>
        <v>0</v>
      </c>
      <c r="M49" s="49">
        <f>AVERAGE('05.08 Karenga-Kotido'!M49,'06.08 Karenga-Kotido'!M49,'07.08 Karenga-Kotido'!M49,'08.08 Karenga-Kotido'!M49,'09.08 Karenga-Kotido-24h'!M49,'10.08 Karenga-Kotido-24h'!M49,'11.08 Karenga-Kotido'!M49)</f>
        <v>1.1428571428571428</v>
      </c>
      <c r="N49" s="49">
        <f>AVERAGE('05.08 Karenga-Kotido'!N49,'06.08 Karenga-Kotido'!N49,'07.08 Karenga-Kotido'!N49,'08.08 Karenga-Kotido'!N49,'09.08 Karenga-Kotido-24h'!N49,'10.08 Karenga-Kotido-24h'!N49,'11.08 Karenga-Kotido'!N49)</f>
        <v>0</v>
      </c>
      <c r="O49" s="15">
        <f t="shared" si="0"/>
        <v>0.42857142857142855</v>
      </c>
      <c r="P49" s="15">
        <f t="shared" si="1"/>
        <v>1.5714285714285714</v>
      </c>
      <c r="R49" s="8"/>
      <c r="T49"/>
    </row>
    <row r="50" spans="2:20" ht="23.1" customHeight="1" x14ac:dyDescent="0.25">
      <c r="B50" s="24" t="s">
        <v>77</v>
      </c>
      <c r="C50" s="49">
        <f>AVERAGE('05.08 Karenga-Kotido'!C50,'06.08 Karenga-Kotido'!C50,'07.08 Karenga-Kotido'!C50,'08.08 Karenga-Kotido'!C50,'09.08 Karenga-Kotido-24h'!C50,'10.08 Karenga-Kotido-24h'!C50,'11.08 Karenga-Kotido'!C50)</f>
        <v>0</v>
      </c>
      <c r="D50" s="49">
        <f>AVERAGE('05.08 Karenga-Kotido'!D50,'06.08 Karenga-Kotido'!D50,'07.08 Karenga-Kotido'!D50,'08.08 Karenga-Kotido'!D50,'09.08 Karenga-Kotido-24h'!D50,'10.08 Karenga-Kotido-24h'!D50,'11.08 Karenga-Kotido'!D50)</f>
        <v>0.42857142857142855</v>
      </c>
      <c r="E50" s="49">
        <f>AVERAGE('05.08 Karenga-Kotido'!E50,'06.08 Karenga-Kotido'!E50,'07.08 Karenga-Kotido'!E50,'08.08 Karenga-Kotido'!E50,'09.08 Karenga-Kotido-24h'!E50,'10.08 Karenga-Kotido-24h'!E50,'11.08 Karenga-Kotido'!E50)</f>
        <v>0.2857142857142857</v>
      </c>
      <c r="F50" s="49">
        <f>AVERAGE('05.08 Karenga-Kotido'!F50,'06.08 Karenga-Kotido'!F50,'07.08 Karenga-Kotido'!F50,'08.08 Karenga-Kotido'!F50,'09.08 Karenga-Kotido-24h'!F50,'10.08 Karenga-Kotido-24h'!F50,'11.08 Karenga-Kotido'!F50)</f>
        <v>0</v>
      </c>
      <c r="G50" s="49">
        <f>AVERAGE('05.08 Karenga-Kotido'!G50,'06.08 Karenga-Kotido'!G50,'07.08 Karenga-Kotido'!G50,'08.08 Karenga-Kotido'!G50,'09.08 Karenga-Kotido-24h'!G50,'10.08 Karenga-Kotido-24h'!G50,'11.08 Karenga-Kotido'!G50)</f>
        <v>0</v>
      </c>
      <c r="H50" s="49">
        <f>AVERAGE('05.08 Karenga-Kotido'!H50,'06.08 Karenga-Kotido'!H50,'07.08 Karenga-Kotido'!H50,'08.08 Karenga-Kotido'!H50,'09.08 Karenga-Kotido-24h'!H50,'10.08 Karenga-Kotido-24h'!H50,'11.08 Karenga-Kotido'!H50)</f>
        <v>0</v>
      </c>
      <c r="I50" s="49">
        <f>AVERAGE('05.08 Karenga-Kotido'!I50,'06.08 Karenga-Kotido'!I50,'07.08 Karenga-Kotido'!I50,'08.08 Karenga-Kotido'!I50,'09.08 Karenga-Kotido-24h'!I50,'10.08 Karenga-Kotido-24h'!I50,'11.08 Karenga-Kotido'!I50)</f>
        <v>0.42857142857142855</v>
      </c>
      <c r="J50" s="49">
        <f>AVERAGE('05.08 Karenga-Kotido'!J50,'06.08 Karenga-Kotido'!J50,'07.08 Karenga-Kotido'!J50,'08.08 Karenga-Kotido'!J50,'09.08 Karenga-Kotido-24h'!J50,'10.08 Karenga-Kotido-24h'!J50,'11.08 Karenga-Kotido'!J50)</f>
        <v>0.2857142857142857</v>
      </c>
      <c r="K50" s="49">
        <f>AVERAGE('05.08 Karenga-Kotido'!K50,'06.08 Karenga-Kotido'!K50,'07.08 Karenga-Kotido'!K50,'08.08 Karenga-Kotido'!K50,'09.08 Karenga-Kotido-24h'!K50,'10.08 Karenga-Kotido-24h'!K50,'11.08 Karenga-Kotido'!K50)</f>
        <v>0</v>
      </c>
      <c r="L50" s="49">
        <f>AVERAGE('05.08 Karenga-Kotido'!L50,'06.08 Karenga-Kotido'!L50,'07.08 Karenga-Kotido'!L50,'08.08 Karenga-Kotido'!L50,'09.08 Karenga-Kotido-24h'!L50,'10.08 Karenga-Kotido-24h'!L50,'11.08 Karenga-Kotido'!L50)</f>
        <v>0</v>
      </c>
      <c r="M50" s="49">
        <f>AVERAGE('05.08 Karenga-Kotido'!M50,'06.08 Karenga-Kotido'!M50,'07.08 Karenga-Kotido'!M50,'08.08 Karenga-Kotido'!M50,'09.08 Karenga-Kotido-24h'!M50,'10.08 Karenga-Kotido-24h'!M50,'11.08 Karenga-Kotido'!M50)</f>
        <v>1.4285714285714286</v>
      </c>
      <c r="N50" s="49">
        <f>AVERAGE('05.08 Karenga-Kotido'!N50,'06.08 Karenga-Kotido'!N50,'07.08 Karenga-Kotido'!N50,'08.08 Karenga-Kotido'!N50,'09.08 Karenga-Kotido-24h'!N50,'10.08 Karenga-Kotido-24h'!N50,'11.08 Karenga-Kotido'!N50)</f>
        <v>0</v>
      </c>
      <c r="O50" s="15">
        <f t="shared" si="0"/>
        <v>1.4285714285714284</v>
      </c>
      <c r="P50" s="15">
        <f t="shared" si="1"/>
        <v>2.8571428571428568</v>
      </c>
      <c r="R50" s="8"/>
      <c r="T50"/>
    </row>
    <row r="51" spans="2:20" ht="23.1" customHeight="1" x14ac:dyDescent="0.25">
      <c r="B51" s="24" t="s">
        <v>78</v>
      </c>
      <c r="C51" s="49">
        <f>AVERAGE('05.08 Karenga-Kotido'!C51,'06.08 Karenga-Kotido'!C51,'07.08 Karenga-Kotido'!C51,'08.08 Karenga-Kotido'!C51,'09.08 Karenga-Kotido-24h'!C51,'10.08 Karenga-Kotido-24h'!C51,'11.08 Karenga-Kotido'!C51)</f>
        <v>0</v>
      </c>
      <c r="D51" s="49">
        <f>AVERAGE('05.08 Karenga-Kotido'!D51,'06.08 Karenga-Kotido'!D51,'07.08 Karenga-Kotido'!D51,'08.08 Karenga-Kotido'!D51,'09.08 Karenga-Kotido-24h'!D51,'10.08 Karenga-Kotido-24h'!D51,'11.08 Karenga-Kotido'!D51)</f>
        <v>0</v>
      </c>
      <c r="E51" s="49">
        <f>AVERAGE('05.08 Karenga-Kotido'!E51,'06.08 Karenga-Kotido'!E51,'07.08 Karenga-Kotido'!E51,'08.08 Karenga-Kotido'!E51,'09.08 Karenga-Kotido-24h'!E51,'10.08 Karenga-Kotido-24h'!E51,'11.08 Karenga-Kotido'!E51)</f>
        <v>0.2857142857142857</v>
      </c>
      <c r="F51" s="49">
        <f>AVERAGE('05.08 Karenga-Kotido'!F51,'06.08 Karenga-Kotido'!F51,'07.08 Karenga-Kotido'!F51,'08.08 Karenga-Kotido'!F51,'09.08 Karenga-Kotido-24h'!F51,'10.08 Karenga-Kotido-24h'!F51,'11.08 Karenga-Kotido'!F51)</f>
        <v>0</v>
      </c>
      <c r="G51" s="49">
        <f>AVERAGE('05.08 Karenga-Kotido'!G51,'06.08 Karenga-Kotido'!G51,'07.08 Karenga-Kotido'!G51,'08.08 Karenga-Kotido'!G51,'09.08 Karenga-Kotido-24h'!G51,'10.08 Karenga-Kotido-24h'!G51,'11.08 Karenga-Kotido'!G51)</f>
        <v>0</v>
      </c>
      <c r="H51" s="49">
        <f>AVERAGE('05.08 Karenga-Kotido'!H51,'06.08 Karenga-Kotido'!H51,'07.08 Karenga-Kotido'!H51,'08.08 Karenga-Kotido'!H51,'09.08 Karenga-Kotido-24h'!H51,'10.08 Karenga-Kotido-24h'!H51,'11.08 Karenga-Kotido'!H51)</f>
        <v>0</v>
      </c>
      <c r="I51" s="49">
        <f>AVERAGE('05.08 Karenga-Kotido'!I51,'06.08 Karenga-Kotido'!I51,'07.08 Karenga-Kotido'!I51,'08.08 Karenga-Kotido'!I51,'09.08 Karenga-Kotido-24h'!I51,'10.08 Karenga-Kotido-24h'!I51,'11.08 Karenga-Kotido'!I51)</f>
        <v>0</v>
      </c>
      <c r="J51" s="49">
        <f>AVERAGE('05.08 Karenga-Kotido'!J51,'06.08 Karenga-Kotido'!J51,'07.08 Karenga-Kotido'!J51,'08.08 Karenga-Kotido'!J51,'09.08 Karenga-Kotido-24h'!J51,'10.08 Karenga-Kotido-24h'!J51,'11.08 Karenga-Kotido'!J51)</f>
        <v>0</v>
      </c>
      <c r="K51" s="49">
        <f>AVERAGE('05.08 Karenga-Kotido'!K51,'06.08 Karenga-Kotido'!K51,'07.08 Karenga-Kotido'!K51,'08.08 Karenga-Kotido'!K51,'09.08 Karenga-Kotido-24h'!K51,'10.08 Karenga-Kotido-24h'!K51,'11.08 Karenga-Kotido'!K51)</f>
        <v>0</v>
      </c>
      <c r="L51" s="49">
        <f>AVERAGE('05.08 Karenga-Kotido'!L51,'06.08 Karenga-Kotido'!L51,'07.08 Karenga-Kotido'!L51,'08.08 Karenga-Kotido'!L51,'09.08 Karenga-Kotido-24h'!L51,'10.08 Karenga-Kotido-24h'!L51,'11.08 Karenga-Kotido'!L51)</f>
        <v>0</v>
      </c>
      <c r="M51" s="49">
        <f>AVERAGE('05.08 Karenga-Kotido'!M51,'06.08 Karenga-Kotido'!M51,'07.08 Karenga-Kotido'!M51,'08.08 Karenga-Kotido'!M51,'09.08 Karenga-Kotido-24h'!M51,'10.08 Karenga-Kotido-24h'!M51,'11.08 Karenga-Kotido'!M51)</f>
        <v>1</v>
      </c>
      <c r="N51" s="49">
        <f>AVERAGE('05.08 Karenga-Kotido'!N51,'06.08 Karenga-Kotido'!N51,'07.08 Karenga-Kotido'!N51,'08.08 Karenga-Kotido'!N51,'09.08 Karenga-Kotido-24h'!N51,'10.08 Karenga-Kotido-24h'!N51,'11.08 Karenga-Kotido'!N51)</f>
        <v>0</v>
      </c>
      <c r="O51" s="15">
        <f t="shared" si="0"/>
        <v>0.2857142857142857</v>
      </c>
      <c r="P51" s="15">
        <f t="shared" si="1"/>
        <v>1.2857142857142856</v>
      </c>
      <c r="R51" s="8"/>
      <c r="T51"/>
    </row>
    <row r="52" spans="2:20" ht="23.1" customHeight="1" x14ac:dyDescent="0.25">
      <c r="B52" s="24" t="s">
        <v>79</v>
      </c>
      <c r="C52" s="49">
        <f>AVERAGE('05.08 Karenga-Kotido'!C52,'06.08 Karenga-Kotido'!C52,'07.08 Karenga-Kotido'!C52,'08.08 Karenga-Kotido'!C52,'09.08 Karenga-Kotido-24h'!C52,'10.08 Karenga-Kotido-24h'!C52,'11.08 Karenga-Kotido'!C52)</f>
        <v>0</v>
      </c>
      <c r="D52" s="49">
        <f>AVERAGE('05.08 Karenga-Kotido'!D52,'06.08 Karenga-Kotido'!D52,'07.08 Karenga-Kotido'!D52,'08.08 Karenga-Kotido'!D52,'09.08 Karenga-Kotido-24h'!D52,'10.08 Karenga-Kotido-24h'!D52,'11.08 Karenga-Kotido'!D52)</f>
        <v>0.14285714285714285</v>
      </c>
      <c r="E52" s="49">
        <f>AVERAGE('05.08 Karenga-Kotido'!E52,'06.08 Karenga-Kotido'!E52,'07.08 Karenga-Kotido'!E52,'08.08 Karenga-Kotido'!E52,'09.08 Karenga-Kotido-24h'!E52,'10.08 Karenga-Kotido-24h'!E52,'11.08 Karenga-Kotido'!E52)</f>
        <v>0.14285714285714285</v>
      </c>
      <c r="F52" s="49">
        <f>AVERAGE('05.08 Karenga-Kotido'!F52,'06.08 Karenga-Kotido'!F52,'07.08 Karenga-Kotido'!F52,'08.08 Karenga-Kotido'!F52,'09.08 Karenga-Kotido-24h'!F52,'10.08 Karenga-Kotido-24h'!F52,'11.08 Karenga-Kotido'!F52)</f>
        <v>0</v>
      </c>
      <c r="G52" s="49">
        <f>AVERAGE('05.08 Karenga-Kotido'!G52,'06.08 Karenga-Kotido'!G52,'07.08 Karenga-Kotido'!G52,'08.08 Karenga-Kotido'!G52,'09.08 Karenga-Kotido-24h'!G52,'10.08 Karenga-Kotido-24h'!G52,'11.08 Karenga-Kotido'!G52)</f>
        <v>0</v>
      </c>
      <c r="H52" s="49">
        <f>AVERAGE('05.08 Karenga-Kotido'!H52,'06.08 Karenga-Kotido'!H52,'07.08 Karenga-Kotido'!H52,'08.08 Karenga-Kotido'!H52,'09.08 Karenga-Kotido-24h'!H52,'10.08 Karenga-Kotido-24h'!H52,'11.08 Karenga-Kotido'!H52)</f>
        <v>0</v>
      </c>
      <c r="I52" s="49">
        <f>AVERAGE('05.08 Karenga-Kotido'!I52,'06.08 Karenga-Kotido'!I52,'07.08 Karenga-Kotido'!I52,'08.08 Karenga-Kotido'!I52,'09.08 Karenga-Kotido-24h'!I52,'10.08 Karenga-Kotido-24h'!I52,'11.08 Karenga-Kotido'!I52)</f>
        <v>0.14285714285714285</v>
      </c>
      <c r="J52" s="49">
        <f>AVERAGE('05.08 Karenga-Kotido'!J52,'06.08 Karenga-Kotido'!J52,'07.08 Karenga-Kotido'!J52,'08.08 Karenga-Kotido'!J52,'09.08 Karenga-Kotido-24h'!J52,'10.08 Karenga-Kotido-24h'!J52,'11.08 Karenga-Kotido'!J52)</f>
        <v>0</v>
      </c>
      <c r="K52" s="49">
        <f>AVERAGE('05.08 Karenga-Kotido'!K52,'06.08 Karenga-Kotido'!K52,'07.08 Karenga-Kotido'!K52,'08.08 Karenga-Kotido'!K52,'09.08 Karenga-Kotido-24h'!K52,'10.08 Karenga-Kotido-24h'!K52,'11.08 Karenga-Kotido'!K52)</f>
        <v>0</v>
      </c>
      <c r="L52" s="49">
        <f>AVERAGE('05.08 Karenga-Kotido'!L52,'06.08 Karenga-Kotido'!L52,'07.08 Karenga-Kotido'!L52,'08.08 Karenga-Kotido'!L52,'09.08 Karenga-Kotido-24h'!L52,'10.08 Karenga-Kotido-24h'!L52,'11.08 Karenga-Kotido'!L52)</f>
        <v>0</v>
      </c>
      <c r="M52" s="49">
        <f>AVERAGE('05.08 Karenga-Kotido'!M52,'06.08 Karenga-Kotido'!M52,'07.08 Karenga-Kotido'!M52,'08.08 Karenga-Kotido'!M52,'09.08 Karenga-Kotido-24h'!M52,'10.08 Karenga-Kotido-24h'!M52,'11.08 Karenga-Kotido'!M52)</f>
        <v>1.1428571428571428</v>
      </c>
      <c r="N52" s="49">
        <f>AVERAGE('05.08 Karenga-Kotido'!N52,'06.08 Karenga-Kotido'!N52,'07.08 Karenga-Kotido'!N52,'08.08 Karenga-Kotido'!N52,'09.08 Karenga-Kotido-24h'!N52,'10.08 Karenga-Kotido-24h'!N52,'11.08 Karenga-Kotido'!N52)</f>
        <v>0</v>
      </c>
      <c r="O52" s="15">
        <f t="shared" si="0"/>
        <v>0.42857142857142855</v>
      </c>
      <c r="P52" s="15">
        <f t="shared" si="1"/>
        <v>1.5714285714285714</v>
      </c>
      <c r="R52" s="8"/>
      <c r="T52"/>
    </row>
    <row r="53" spans="2:20" ht="23.1" customHeight="1" x14ac:dyDescent="0.25">
      <c r="B53" s="23" t="s">
        <v>80</v>
      </c>
      <c r="C53" s="49">
        <f>AVERAGE('05.08 Karenga-Kotido'!C53,'06.08 Karenga-Kotido'!C53,'07.08 Karenga-Kotido'!C53,'08.08 Karenga-Kotido'!C53,'09.08 Karenga-Kotido-24h'!C53,'10.08 Karenga-Kotido-24h'!C53,'11.08 Karenga-Kotido'!C53)</f>
        <v>0</v>
      </c>
      <c r="D53" s="49">
        <f>AVERAGE('05.08 Karenga-Kotido'!D53,'06.08 Karenga-Kotido'!D53,'07.08 Karenga-Kotido'!D53,'08.08 Karenga-Kotido'!D53,'09.08 Karenga-Kotido-24h'!D53,'10.08 Karenga-Kotido-24h'!D53,'11.08 Karenga-Kotido'!D53)</f>
        <v>0</v>
      </c>
      <c r="E53" s="49">
        <f>AVERAGE('05.08 Karenga-Kotido'!E53,'06.08 Karenga-Kotido'!E53,'07.08 Karenga-Kotido'!E53,'08.08 Karenga-Kotido'!E53,'09.08 Karenga-Kotido-24h'!E53,'10.08 Karenga-Kotido-24h'!E53,'11.08 Karenga-Kotido'!E53)</f>
        <v>0</v>
      </c>
      <c r="F53" s="49">
        <f>AVERAGE('05.08 Karenga-Kotido'!F53,'06.08 Karenga-Kotido'!F53,'07.08 Karenga-Kotido'!F53,'08.08 Karenga-Kotido'!F53,'09.08 Karenga-Kotido-24h'!F53,'10.08 Karenga-Kotido-24h'!F53,'11.08 Karenga-Kotido'!F53)</f>
        <v>0</v>
      </c>
      <c r="G53" s="49">
        <f>AVERAGE('05.08 Karenga-Kotido'!G53,'06.08 Karenga-Kotido'!G53,'07.08 Karenga-Kotido'!G53,'08.08 Karenga-Kotido'!G53,'09.08 Karenga-Kotido-24h'!G53,'10.08 Karenga-Kotido-24h'!G53,'11.08 Karenga-Kotido'!G53)</f>
        <v>0.14285714285714285</v>
      </c>
      <c r="H53" s="49">
        <f>AVERAGE('05.08 Karenga-Kotido'!H53,'06.08 Karenga-Kotido'!H53,'07.08 Karenga-Kotido'!H53,'08.08 Karenga-Kotido'!H53,'09.08 Karenga-Kotido-24h'!H53,'10.08 Karenga-Kotido-24h'!H53,'11.08 Karenga-Kotido'!H53)</f>
        <v>0</v>
      </c>
      <c r="I53" s="49">
        <f>AVERAGE('05.08 Karenga-Kotido'!I53,'06.08 Karenga-Kotido'!I53,'07.08 Karenga-Kotido'!I53,'08.08 Karenga-Kotido'!I53,'09.08 Karenga-Kotido-24h'!I53,'10.08 Karenga-Kotido-24h'!I53,'11.08 Karenga-Kotido'!I53)</f>
        <v>0</v>
      </c>
      <c r="J53" s="49">
        <f>AVERAGE('05.08 Karenga-Kotido'!J53,'06.08 Karenga-Kotido'!J53,'07.08 Karenga-Kotido'!J53,'08.08 Karenga-Kotido'!J53,'09.08 Karenga-Kotido-24h'!J53,'10.08 Karenga-Kotido-24h'!J53,'11.08 Karenga-Kotido'!J53)</f>
        <v>0</v>
      </c>
      <c r="K53" s="49">
        <f>AVERAGE('05.08 Karenga-Kotido'!K53,'06.08 Karenga-Kotido'!K53,'07.08 Karenga-Kotido'!K53,'08.08 Karenga-Kotido'!K53,'09.08 Karenga-Kotido-24h'!K53,'10.08 Karenga-Kotido-24h'!K53,'11.08 Karenga-Kotido'!K53)</f>
        <v>0</v>
      </c>
      <c r="L53" s="49">
        <f>AVERAGE('05.08 Karenga-Kotido'!L53,'06.08 Karenga-Kotido'!L53,'07.08 Karenga-Kotido'!L53,'08.08 Karenga-Kotido'!L53,'09.08 Karenga-Kotido-24h'!L53,'10.08 Karenga-Kotido-24h'!L53,'11.08 Karenga-Kotido'!L53)</f>
        <v>0</v>
      </c>
      <c r="M53" s="49">
        <f>AVERAGE('05.08 Karenga-Kotido'!M53,'06.08 Karenga-Kotido'!M53,'07.08 Karenga-Kotido'!M53,'08.08 Karenga-Kotido'!M53,'09.08 Karenga-Kotido-24h'!M53,'10.08 Karenga-Kotido-24h'!M53,'11.08 Karenga-Kotido'!M53)</f>
        <v>1</v>
      </c>
      <c r="N53" s="49">
        <f>AVERAGE('05.08 Karenga-Kotido'!N53,'06.08 Karenga-Kotido'!N53,'07.08 Karenga-Kotido'!N53,'08.08 Karenga-Kotido'!N53,'09.08 Karenga-Kotido-24h'!N53,'10.08 Karenga-Kotido-24h'!N53,'11.08 Karenga-Kotido'!N53)</f>
        <v>0</v>
      </c>
      <c r="O53" s="15">
        <f t="shared" si="0"/>
        <v>0.14285714285714285</v>
      </c>
      <c r="P53" s="15">
        <f t="shared" si="1"/>
        <v>1.1428571428571428</v>
      </c>
      <c r="R53" s="8"/>
      <c r="T53"/>
    </row>
    <row r="54" spans="2:20" ht="23.1" customHeight="1" x14ac:dyDescent="0.25">
      <c r="B54" s="23" t="s">
        <v>81</v>
      </c>
      <c r="C54" s="49">
        <f>AVERAGE('05.08 Karenga-Kotido'!C54,'06.08 Karenga-Kotido'!C54,'07.08 Karenga-Kotido'!C54,'08.08 Karenga-Kotido'!C54,'09.08 Karenga-Kotido-24h'!C54,'10.08 Karenga-Kotido-24h'!C54,'11.08 Karenga-Kotido'!C54)</f>
        <v>0</v>
      </c>
      <c r="D54" s="49">
        <f>AVERAGE('05.08 Karenga-Kotido'!D54,'06.08 Karenga-Kotido'!D54,'07.08 Karenga-Kotido'!D54,'08.08 Karenga-Kotido'!D54,'09.08 Karenga-Kotido-24h'!D54,'10.08 Karenga-Kotido-24h'!D54,'11.08 Karenga-Kotido'!D54)</f>
        <v>0</v>
      </c>
      <c r="E54" s="49">
        <f>AVERAGE('05.08 Karenga-Kotido'!E54,'06.08 Karenga-Kotido'!E54,'07.08 Karenga-Kotido'!E54,'08.08 Karenga-Kotido'!E54,'09.08 Karenga-Kotido-24h'!E54,'10.08 Karenga-Kotido-24h'!E54,'11.08 Karenga-Kotido'!E54)</f>
        <v>0</v>
      </c>
      <c r="F54" s="49">
        <f>AVERAGE('05.08 Karenga-Kotido'!F54,'06.08 Karenga-Kotido'!F54,'07.08 Karenga-Kotido'!F54,'08.08 Karenga-Kotido'!F54,'09.08 Karenga-Kotido-24h'!F54,'10.08 Karenga-Kotido-24h'!F54,'11.08 Karenga-Kotido'!F54)</f>
        <v>0</v>
      </c>
      <c r="G54" s="49">
        <f>AVERAGE('05.08 Karenga-Kotido'!G54,'06.08 Karenga-Kotido'!G54,'07.08 Karenga-Kotido'!G54,'08.08 Karenga-Kotido'!G54,'09.08 Karenga-Kotido-24h'!G54,'10.08 Karenga-Kotido-24h'!G54,'11.08 Karenga-Kotido'!G54)</f>
        <v>0</v>
      </c>
      <c r="H54" s="49">
        <f>AVERAGE('05.08 Karenga-Kotido'!H54,'06.08 Karenga-Kotido'!H54,'07.08 Karenga-Kotido'!H54,'08.08 Karenga-Kotido'!H54,'09.08 Karenga-Kotido-24h'!H54,'10.08 Karenga-Kotido-24h'!H54,'11.08 Karenga-Kotido'!H54)</f>
        <v>0</v>
      </c>
      <c r="I54" s="49">
        <f>AVERAGE('05.08 Karenga-Kotido'!I54,'06.08 Karenga-Kotido'!I54,'07.08 Karenga-Kotido'!I54,'08.08 Karenga-Kotido'!I54,'09.08 Karenga-Kotido-24h'!I54,'10.08 Karenga-Kotido-24h'!I54,'11.08 Karenga-Kotido'!I54)</f>
        <v>0</v>
      </c>
      <c r="J54" s="49">
        <f>AVERAGE('05.08 Karenga-Kotido'!J54,'06.08 Karenga-Kotido'!J54,'07.08 Karenga-Kotido'!J54,'08.08 Karenga-Kotido'!J54,'09.08 Karenga-Kotido-24h'!J54,'10.08 Karenga-Kotido-24h'!J54,'11.08 Karenga-Kotido'!J54)</f>
        <v>0</v>
      </c>
      <c r="K54" s="49">
        <f>AVERAGE('05.08 Karenga-Kotido'!K54,'06.08 Karenga-Kotido'!K54,'07.08 Karenga-Kotido'!K54,'08.08 Karenga-Kotido'!K54,'09.08 Karenga-Kotido-24h'!K54,'10.08 Karenga-Kotido-24h'!K54,'11.08 Karenga-Kotido'!K54)</f>
        <v>0</v>
      </c>
      <c r="L54" s="49">
        <f>AVERAGE('05.08 Karenga-Kotido'!L54,'06.08 Karenga-Kotido'!L54,'07.08 Karenga-Kotido'!L54,'08.08 Karenga-Kotido'!L54,'09.08 Karenga-Kotido-24h'!L54,'10.08 Karenga-Kotido-24h'!L54,'11.08 Karenga-Kotido'!L54)</f>
        <v>0</v>
      </c>
      <c r="M54" s="49">
        <f>AVERAGE('05.08 Karenga-Kotido'!M54,'06.08 Karenga-Kotido'!M54,'07.08 Karenga-Kotido'!M54,'08.08 Karenga-Kotido'!M54,'09.08 Karenga-Kotido-24h'!M54,'10.08 Karenga-Kotido-24h'!M54,'11.08 Karenga-Kotido'!M54)</f>
        <v>0.8571428571428571</v>
      </c>
      <c r="N54" s="49">
        <f>AVERAGE('05.08 Karenga-Kotido'!N54,'06.08 Karenga-Kotido'!N54,'07.08 Karenga-Kotido'!N54,'08.08 Karenga-Kotido'!N54,'09.08 Karenga-Kotido-24h'!N54,'10.08 Karenga-Kotido-24h'!N54,'11.08 Karenga-Kotido'!N54)</f>
        <v>0</v>
      </c>
      <c r="O54" s="15">
        <f t="shared" si="0"/>
        <v>0</v>
      </c>
      <c r="P54" s="15">
        <f t="shared" si="1"/>
        <v>0.8571428571428571</v>
      </c>
      <c r="R54" s="8"/>
      <c r="T54"/>
    </row>
    <row r="55" spans="2:20" ht="23.1" customHeight="1" x14ac:dyDescent="0.25">
      <c r="B55" s="23" t="s">
        <v>82</v>
      </c>
      <c r="C55" s="49">
        <f>AVERAGE('05.08 Karenga-Kotido'!C55,'06.08 Karenga-Kotido'!C55,'07.08 Karenga-Kotido'!C55,'08.08 Karenga-Kotido'!C55,'09.08 Karenga-Kotido-24h'!C55,'10.08 Karenga-Kotido-24h'!C55,'11.08 Karenga-Kotido'!C55)</f>
        <v>0</v>
      </c>
      <c r="D55" s="49">
        <f>AVERAGE('05.08 Karenga-Kotido'!D55,'06.08 Karenga-Kotido'!D55,'07.08 Karenga-Kotido'!D55,'08.08 Karenga-Kotido'!D55,'09.08 Karenga-Kotido-24h'!D55,'10.08 Karenga-Kotido-24h'!D55,'11.08 Karenga-Kotido'!D55)</f>
        <v>0</v>
      </c>
      <c r="E55" s="49">
        <f>AVERAGE('05.08 Karenga-Kotido'!E55,'06.08 Karenga-Kotido'!E55,'07.08 Karenga-Kotido'!E55,'08.08 Karenga-Kotido'!E55,'09.08 Karenga-Kotido-24h'!E55,'10.08 Karenga-Kotido-24h'!E55,'11.08 Karenga-Kotido'!E55)</f>
        <v>0.5714285714285714</v>
      </c>
      <c r="F55" s="49">
        <f>AVERAGE('05.08 Karenga-Kotido'!F55,'06.08 Karenga-Kotido'!F55,'07.08 Karenga-Kotido'!F55,'08.08 Karenga-Kotido'!F55,'09.08 Karenga-Kotido-24h'!F55,'10.08 Karenga-Kotido-24h'!F55,'11.08 Karenga-Kotido'!F55)</f>
        <v>0.14285714285714285</v>
      </c>
      <c r="G55" s="49">
        <f>AVERAGE('05.08 Karenga-Kotido'!G55,'06.08 Karenga-Kotido'!G55,'07.08 Karenga-Kotido'!G55,'08.08 Karenga-Kotido'!G55,'09.08 Karenga-Kotido-24h'!G55,'10.08 Karenga-Kotido-24h'!G55,'11.08 Karenga-Kotido'!G55)</f>
        <v>0</v>
      </c>
      <c r="H55" s="49">
        <f>AVERAGE('05.08 Karenga-Kotido'!H55,'06.08 Karenga-Kotido'!H55,'07.08 Karenga-Kotido'!H55,'08.08 Karenga-Kotido'!H55,'09.08 Karenga-Kotido-24h'!H55,'10.08 Karenga-Kotido-24h'!H55,'11.08 Karenga-Kotido'!H55)</f>
        <v>0</v>
      </c>
      <c r="I55" s="49">
        <f>AVERAGE('05.08 Karenga-Kotido'!I55,'06.08 Karenga-Kotido'!I55,'07.08 Karenga-Kotido'!I55,'08.08 Karenga-Kotido'!I55,'09.08 Karenga-Kotido-24h'!I55,'10.08 Karenga-Kotido-24h'!I55,'11.08 Karenga-Kotido'!I55)</f>
        <v>0</v>
      </c>
      <c r="J55" s="49">
        <f>AVERAGE('05.08 Karenga-Kotido'!J55,'06.08 Karenga-Kotido'!J55,'07.08 Karenga-Kotido'!J55,'08.08 Karenga-Kotido'!J55,'09.08 Karenga-Kotido-24h'!J55,'10.08 Karenga-Kotido-24h'!J55,'11.08 Karenga-Kotido'!J55)</f>
        <v>0</v>
      </c>
      <c r="K55" s="49">
        <f>AVERAGE('05.08 Karenga-Kotido'!K55,'06.08 Karenga-Kotido'!K55,'07.08 Karenga-Kotido'!K55,'08.08 Karenga-Kotido'!K55,'09.08 Karenga-Kotido-24h'!K55,'10.08 Karenga-Kotido-24h'!K55,'11.08 Karenga-Kotido'!K55)</f>
        <v>0</v>
      </c>
      <c r="L55" s="49">
        <f>AVERAGE('05.08 Karenga-Kotido'!L55,'06.08 Karenga-Kotido'!L55,'07.08 Karenga-Kotido'!L55,'08.08 Karenga-Kotido'!L55,'09.08 Karenga-Kotido-24h'!L55,'10.08 Karenga-Kotido-24h'!L55,'11.08 Karenga-Kotido'!L55)</f>
        <v>0</v>
      </c>
      <c r="M55" s="49">
        <f>AVERAGE('05.08 Karenga-Kotido'!M55,'06.08 Karenga-Kotido'!M55,'07.08 Karenga-Kotido'!M55,'08.08 Karenga-Kotido'!M55,'09.08 Karenga-Kotido-24h'!M55,'10.08 Karenga-Kotido-24h'!M55,'11.08 Karenga-Kotido'!M55)</f>
        <v>0.5714285714285714</v>
      </c>
      <c r="N55" s="49">
        <f>AVERAGE('05.08 Karenga-Kotido'!N55,'06.08 Karenga-Kotido'!N55,'07.08 Karenga-Kotido'!N55,'08.08 Karenga-Kotido'!N55,'09.08 Karenga-Kotido-24h'!N55,'10.08 Karenga-Kotido-24h'!N55,'11.08 Karenga-Kotido'!N55)</f>
        <v>0</v>
      </c>
      <c r="O55" s="15">
        <f t="shared" si="0"/>
        <v>0.71428571428571419</v>
      </c>
      <c r="P55" s="15">
        <f t="shared" si="1"/>
        <v>1.2857142857142856</v>
      </c>
      <c r="R55" s="8"/>
      <c r="T55"/>
    </row>
    <row r="56" spans="2:20" ht="23.1" customHeight="1" x14ac:dyDescent="0.25">
      <c r="B56" s="23" t="s">
        <v>83</v>
      </c>
      <c r="C56" s="49">
        <f>AVERAGE('05.08 Karenga-Kotido'!C56,'06.08 Karenga-Kotido'!C56,'07.08 Karenga-Kotido'!C56,'08.08 Karenga-Kotido'!C56,'09.08 Karenga-Kotido-24h'!C56,'10.08 Karenga-Kotido-24h'!C56,'11.08 Karenga-Kotido'!C56)</f>
        <v>0</v>
      </c>
      <c r="D56" s="49">
        <f>AVERAGE('05.08 Karenga-Kotido'!D56,'06.08 Karenga-Kotido'!D56,'07.08 Karenga-Kotido'!D56,'08.08 Karenga-Kotido'!D56,'09.08 Karenga-Kotido-24h'!D56,'10.08 Karenga-Kotido-24h'!D56,'11.08 Karenga-Kotido'!D56)</f>
        <v>0.2857142857142857</v>
      </c>
      <c r="E56" s="49">
        <f>AVERAGE('05.08 Karenga-Kotido'!E56,'06.08 Karenga-Kotido'!E56,'07.08 Karenga-Kotido'!E56,'08.08 Karenga-Kotido'!E56,'09.08 Karenga-Kotido-24h'!E56,'10.08 Karenga-Kotido-24h'!E56,'11.08 Karenga-Kotido'!E56)</f>
        <v>0.14285714285714285</v>
      </c>
      <c r="F56" s="49">
        <f>AVERAGE('05.08 Karenga-Kotido'!F56,'06.08 Karenga-Kotido'!F56,'07.08 Karenga-Kotido'!F56,'08.08 Karenga-Kotido'!F56,'09.08 Karenga-Kotido-24h'!F56,'10.08 Karenga-Kotido-24h'!F56,'11.08 Karenga-Kotido'!F56)</f>
        <v>0.14285714285714285</v>
      </c>
      <c r="G56" s="49">
        <f>AVERAGE('05.08 Karenga-Kotido'!G56,'06.08 Karenga-Kotido'!G56,'07.08 Karenga-Kotido'!G56,'08.08 Karenga-Kotido'!G56,'09.08 Karenga-Kotido-24h'!G56,'10.08 Karenga-Kotido-24h'!G56,'11.08 Karenga-Kotido'!G56)</f>
        <v>0</v>
      </c>
      <c r="H56" s="49">
        <f>AVERAGE('05.08 Karenga-Kotido'!H56,'06.08 Karenga-Kotido'!H56,'07.08 Karenga-Kotido'!H56,'08.08 Karenga-Kotido'!H56,'09.08 Karenga-Kotido-24h'!H56,'10.08 Karenga-Kotido-24h'!H56,'11.08 Karenga-Kotido'!H56)</f>
        <v>0</v>
      </c>
      <c r="I56" s="49">
        <f>AVERAGE('05.08 Karenga-Kotido'!I56,'06.08 Karenga-Kotido'!I56,'07.08 Karenga-Kotido'!I56,'08.08 Karenga-Kotido'!I56,'09.08 Karenga-Kotido-24h'!I56,'10.08 Karenga-Kotido-24h'!I56,'11.08 Karenga-Kotido'!I56)</f>
        <v>0</v>
      </c>
      <c r="J56" s="49">
        <f>AVERAGE('05.08 Karenga-Kotido'!J56,'06.08 Karenga-Kotido'!J56,'07.08 Karenga-Kotido'!J56,'08.08 Karenga-Kotido'!J56,'09.08 Karenga-Kotido-24h'!J56,'10.08 Karenga-Kotido-24h'!J56,'11.08 Karenga-Kotido'!J56)</f>
        <v>0.14285714285714285</v>
      </c>
      <c r="K56" s="49">
        <f>AVERAGE('05.08 Karenga-Kotido'!K56,'06.08 Karenga-Kotido'!K56,'07.08 Karenga-Kotido'!K56,'08.08 Karenga-Kotido'!K56,'09.08 Karenga-Kotido-24h'!K56,'10.08 Karenga-Kotido-24h'!K56,'11.08 Karenga-Kotido'!K56)</f>
        <v>0</v>
      </c>
      <c r="L56" s="49">
        <f>AVERAGE('05.08 Karenga-Kotido'!L56,'06.08 Karenga-Kotido'!L56,'07.08 Karenga-Kotido'!L56,'08.08 Karenga-Kotido'!L56,'09.08 Karenga-Kotido-24h'!L56,'10.08 Karenga-Kotido-24h'!L56,'11.08 Karenga-Kotido'!L56)</f>
        <v>0</v>
      </c>
      <c r="M56" s="49">
        <f>AVERAGE('05.08 Karenga-Kotido'!M56,'06.08 Karenga-Kotido'!M56,'07.08 Karenga-Kotido'!M56,'08.08 Karenga-Kotido'!M56,'09.08 Karenga-Kotido-24h'!M56,'10.08 Karenga-Kotido-24h'!M56,'11.08 Karenga-Kotido'!M56)</f>
        <v>1.8571428571428572</v>
      </c>
      <c r="N56" s="49">
        <f>AVERAGE('05.08 Karenga-Kotido'!N56,'06.08 Karenga-Kotido'!N56,'07.08 Karenga-Kotido'!N56,'08.08 Karenga-Kotido'!N56,'09.08 Karenga-Kotido-24h'!N56,'10.08 Karenga-Kotido-24h'!N56,'11.08 Karenga-Kotido'!N56)</f>
        <v>0</v>
      </c>
      <c r="O56" s="15">
        <f t="shared" si="0"/>
        <v>0.71428571428571419</v>
      </c>
      <c r="P56" s="15">
        <f t="shared" si="1"/>
        <v>2.5714285714285712</v>
      </c>
      <c r="R56" s="8"/>
      <c r="T56"/>
    </row>
    <row r="57" spans="2:20" ht="23.1" customHeight="1" x14ac:dyDescent="0.25">
      <c r="B57" s="23" t="s">
        <v>84</v>
      </c>
      <c r="C57" s="49">
        <f>AVERAGE('05.08 Karenga-Kotido'!C57,'06.08 Karenga-Kotido'!C57,'07.08 Karenga-Kotido'!C57,'08.08 Karenga-Kotido'!C57,'09.08 Karenga-Kotido-24h'!C57,'10.08 Karenga-Kotido-24h'!C57,'11.08 Karenga-Kotido'!C57)</f>
        <v>0.14285714285714285</v>
      </c>
      <c r="D57" s="49">
        <f>AVERAGE('05.08 Karenga-Kotido'!D57,'06.08 Karenga-Kotido'!D57,'07.08 Karenga-Kotido'!D57,'08.08 Karenga-Kotido'!D57,'09.08 Karenga-Kotido-24h'!D57,'10.08 Karenga-Kotido-24h'!D57,'11.08 Karenga-Kotido'!D57)</f>
        <v>0</v>
      </c>
      <c r="E57" s="49">
        <f>AVERAGE('05.08 Karenga-Kotido'!E57,'06.08 Karenga-Kotido'!E57,'07.08 Karenga-Kotido'!E57,'08.08 Karenga-Kotido'!E57,'09.08 Karenga-Kotido-24h'!E57,'10.08 Karenga-Kotido-24h'!E57,'11.08 Karenga-Kotido'!E57)</f>
        <v>0.14285714285714285</v>
      </c>
      <c r="F57" s="49">
        <f>AVERAGE('05.08 Karenga-Kotido'!F57,'06.08 Karenga-Kotido'!F57,'07.08 Karenga-Kotido'!F57,'08.08 Karenga-Kotido'!F57,'09.08 Karenga-Kotido-24h'!F57,'10.08 Karenga-Kotido-24h'!F57,'11.08 Karenga-Kotido'!F57)</f>
        <v>0</v>
      </c>
      <c r="G57" s="49">
        <f>AVERAGE('05.08 Karenga-Kotido'!G57,'06.08 Karenga-Kotido'!G57,'07.08 Karenga-Kotido'!G57,'08.08 Karenga-Kotido'!G57,'09.08 Karenga-Kotido-24h'!G57,'10.08 Karenga-Kotido-24h'!G57,'11.08 Karenga-Kotido'!G57)</f>
        <v>0</v>
      </c>
      <c r="H57" s="49">
        <f>AVERAGE('05.08 Karenga-Kotido'!H57,'06.08 Karenga-Kotido'!H57,'07.08 Karenga-Kotido'!H57,'08.08 Karenga-Kotido'!H57,'09.08 Karenga-Kotido-24h'!H57,'10.08 Karenga-Kotido-24h'!H57,'11.08 Karenga-Kotido'!H57)</f>
        <v>0</v>
      </c>
      <c r="I57" s="49">
        <f>AVERAGE('05.08 Karenga-Kotido'!I57,'06.08 Karenga-Kotido'!I57,'07.08 Karenga-Kotido'!I57,'08.08 Karenga-Kotido'!I57,'09.08 Karenga-Kotido-24h'!I57,'10.08 Karenga-Kotido-24h'!I57,'11.08 Karenga-Kotido'!I57)</f>
        <v>0.2857142857142857</v>
      </c>
      <c r="J57" s="49">
        <f>AVERAGE('05.08 Karenga-Kotido'!J57,'06.08 Karenga-Kotido'!J57,'07.08 Karenga-Kotido'!J57,'08.08 Karenga-Kotido'!J57,'09.08 Karenga-Kotido-24h'!J57,'10.08 Karenga-Kotido-24h'!J57,'11.08 Karenga-Kotido'!J57)</f>
        <v>0.14285714285714285</v>
      </c>
      <c r="K57" s="49">
        <f>AVERAGE('05.08 Karenga-Kotido'!K57,'06.08 Karenga-Kotido'!K57,'07.08 Karenga-Kotido'!K57,'08.08 Karenga-Kotido'!K57,'09.08 Karenga-Kotido-24h'!K57,'10.08 Karenga-Kotido-24h'!K57,'11.08 Karenga-Kotido'!K57)</f>
        <v>0</v>
      </c>
      <c r="L57" s="49">
        <f>AVERAGE('05.08 Karenga-Kotido'!L57,'06.08 Karenga-Kotido'!L57,'07.08 Karenga-Kotido'!L57,'08.08 Karenga-Kotido'!L57,'09.08 Karenga-Kotido-24h'!L57,'10.08 Karenga-Kotido-24h'!L57,'11.08 Karenga-Kotido'!L57)</f>
        <v>0</v>
      </c>
      <c r="M57" s="49">
        <f>AVERAGE('05.08 Karenga-Kotido'!M57,'06.08 Karenga-Kotido'!M57,'07.08 Karenga-Kotido'!M57,'08.08 Karenga-Kotido'!M57,'09.08 Karenga-Kotido-24h'!M57,'10.08 Karenga-Kotido-24h'!M57,'11.08 Karenga-Kotido'!M57)</f>
        <v>1.4285714285714286</v>
      </c>
      <c r="N57" s="49">
        <f>AVERAGE('05.08 Karenga-Kotido'!N57,'06.08 Karenga-Kotido'!N57,'07.08 Karenga-Kotido'!N57,'08.08 Karenga-Kotido'!N57,'09.08 Karenga-Kotido-24h'!N57,'10.08 Karenga-Kotido-24h'!N57,'11.08 Karenga-Kotido'!N57)</f>
        <v>0</v>
      </c>
      <c r="O57" s="15">
        <f t="shared" si="0"/>
        <v>0.71428571428571419</v>
      </c>
      <c r="P57" s="15">
        <f t="shared" si="1"/>
        <v>2.1428571428571428</v>
      </c>
      <c r="R57" s="8"/>
      <c r="T57"/>
    </row>
    <row r="58" spans="2:20" ht="23.1" customHeight="1" x14ac:dyDescent="0.25">
      <c r="B58" s="23" t="s">
        <v>99</v>
      </c>
      <c r="C58" s="49">
        <f>AVERAGE('09.08 Karenga-Kotido-24h'!C58,'10.08 Karenga-Kotido-24h'!C58)</f>
        <v>0.5</v>
      </c>
      <c r="D58" s="49">
        <f>AVERAGE('09.08 Karenga-Kotido-24h'!D58,'10.08 Karenga-Kotido-24h'!D58)</f>
        <v>0</v>
      </c>
      <c r="E58" s="49">
        <f>AVERAGE('09.08 Karenga-Kotido-24h'!E58,'10.08 Karenga-Kotido-24h'!E58)</f>
        <v>0.5</v>
      </c>
      <c r="F58" s="49">
        <f>AVERAGE('09.08 Karenga-Kotido-24h'!F58,'10.08 Karenga-Kotido-24h'!F58)</f>
        <v>0</v>
      </c>
      <c r="G58" s="49">
        <f>AVERAGE('09.08 Karenga-Kotido-24h'!G58,'10.08 Karenga-Kotido-24h'!G58)</f>
        <v>0</v>
      </c>
      <c r="H58" s="49">
        <f>AVERAGE('09.08 Karenga-Kotido-24h'!H58,'10.08 Karenga-Kotido-24h'!H58)</f>
        <v>0</v>
      </c>
      <c r="I58" s="49">
        <f>AVERAGE('09.08 Karenga-Kotido-24h'!I58,'10.08 Karenga-Kotido-24h'!I58)</f>
        <v>0</v>
      </c>
      <c r="J58" s="49">
        <f>AVERAGE('09.08 Karenga-Kotido-24h'!J58,'10.08 Karenga-Kotido-24h'!J58)</f>
        <v>0</v>
      </c>
      <c r="K58" s="49">
        <f>AVERAGE('09.08 Karenga-Kotido-24h'!K58,'10.08 Karenga-Kotido-24h'!K58)</f>
        <v>0</v>
      </c>
      <c r="L58" s="49">
        <f>AVERAGE('09.08 Karenga-Kotido-24h'!L58,'10.08 Karenga-Kotido-24h'!L58)</f>
        <v>0</v>
      </c>
      <c r="M58" s="49">
        <f>AVERAGE('09.08 Karenga-Kotido-24h'!M58,'10.08 Karenga-Kotido-24h'!M58)</f>
        <v>1.5</v>
      </c>
      <c r="N58" s="49">
        <f>AVERAGE('09.08 Karenga-Kotido-24h'!N58,'10.08 Karenga-Kotido-24h'!N58)</f>
        <v>0</v>
      </c>
      <c r="O58" s="15">
        <f t="shared" si="0"/>
        <v>1</v>
      </c>
      <c r="P58" s="15">
        <f t="shared" si="1"/>
        <v>2.5</v>
      </c>
      <c r="R58" s="8"/>
      <c r="T58"/>
    </row>
    <row r="59" spans="2:20" ht="23.1" customHeight="1" x14ac:dyDescent="0.25">
      <c r="B59" s="23" t="s">
        <v>100</v>
      </c>
      <c r="C59" s="49">
        <f>AVERAGE('09.08 Karenga-Kotido-24h'!C59,'10.08 Karenga-Kotido-24h'!C59)</f>
        <v>0</v>
      </c>
      <c r="D59" s="49">
        <f>AVERAGE('09.08 Karenga-Kotido-24h'!D59,'10.08 Karenga-Kotido-24h'!D59)</f>
        <v>0</v>
      </c>
      <c r="E59" s="49">
        <f>AVERAGE('09.08 Karenga-Kotido-24h'!E59,'10.08 Karenga-Kotido-24h'!E59)</f>
        <v>0</v>
      </c>
      <c r="F59" s="49">
        <f>AVERAGE('09.08 Karenga-Kotido-24h'!F59,'10.08 Karenga-Kotido-24h'!F59)</f>
        <v>0</v>
      </c>
      <c r="G59" s="49">
        <f>AVERAGE('09.08 Karenga-Kotido-24h'!G59,'10.08 Karenga-Kotido-24h'!G59)</f>
        <v>0</v>
      </c>
      <c r="H59" s="49">
        <f>AVERAGE('09.08 Karenga-Kotido-24h'!H59,'10.08 Karenga-Kotido-24h'!H59)</f>
        <v>0</v>
      </c>
      <c r="I59" s="49">
        <f>AVERAGE('09.08 Karenga-Kotido-24h'!I59,'10.08 Karenga-Kotido-24h'!I59)</f>
        <v>0</v>
      </c>
      <c r="J59" s="49">
        <f>AVERAGE('09.08 Karenga-Kotido-24h'!J59,'10.08 Karenga-Kotido-24h'!J59)</f>
        <v>0</v>
      </c>
      <c r="K59" s="49">
        <f>AVERAGE('09.08 Karenga-Kotido-24h'!K59,'10.08 Karenga-Kotido-24h'!K59)</f>
        <v>0</v>
      </c>
      <c r="L59" s="49">
        <f>AVERAGE('09.08 Karenga-Kotido-24h'!L59,'10.08 Karenga-Kotido-24h'!L59)</f>
        <v>0</v>
      </c>
      <c r="M59" s="49">
        <f>AVERAGE('09.08 Karenga-Kotido-24h'!M59,'10.08 Karenga-Kotido-24h'!M59)</f>
        <v>0</v>
      </c>
      <c r="N59" s="49">
        <f>AVERAGE('09.08 Karenga-Kotido-24h'!N59,'10.08 Karenga-Kotido-24h'!N59)</f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23" t="s">
        <v>101</v>
      </c>
      <c r="C60" s="49">
        <f>AVERAGE('09.08 Karenga-Kotido-24h'!C60,'10.08 Karenga-Kotido-24h'!C60)</f>
        <v>0</v>
      </c>
      <c r="D60" s="49">
        <f>AVERAGE('09.08 Karenga-Kotido-24h'!D60,'10.08 Karenga-Kotido-24h'!D60)</f>
        <v>0</v>
      </c>
      <c r="E60" s="49">
        <f>AVERAGE('09.08 Karenga-Kotido-24h'!E60,'10.08 Karenga-Kotido-24h'!E60)</f>
        <v>0.5</v>
      </c>
      <c r="F60" s="49">
        <f>AVERAGE('09.08 Karenga-Kotido-24h'!F60,'10.08 Karenga-Kotido-24h'!F60)</f>
        <v>0</v>
      </c>
      <c r="G60" s="49">
        <f>AVERAGE('09.08 Karenga-Kotido-24h'!G60,'10.08 Karenga-Kotido-24h'!G60)</f>
        <v>0</v>
      </c>
      <c r="H60" s="49">
        <f>AVERAGE('09.08 Karenga-Kotido-24h'!H60,'10.08 Karenga-Kotido-24h'!H60)</f>
        <v>0</v>
      </c>
      <c r="I60" s="49">
        <f>AVERAGE('09.08 Karenga-Kotido-24h'!I60,'10.08 Karenga-Kotido-24h'!I60)</f>
        <v>0</v>
      </c>
      <c r="J60" s="49">
        <f>AVERAGE('09.08 Karenga-Kotido-24h'!J60,'10.08 Karenga-Kotido-24h'!J60)</f>
        <v>0</v>
      </c>
      <c r="K60" s="49">
        <f>AVERAGE('09.08 Karenga-Kotido-24h'!K60,'10.08 Karenga-Kotido-24h'!K60)</f>
        <v>0</v>
      </c>
      <c r="L60" s="49">
        <f>AVERAGE('09.08 Karenga-Kotido-24h'!L60,'10.08 Karenga-Kotido-24h'!L60)</f>
        <v>0</v>
      </c>
      <c r="M60" s="49">
        <f>AVERAGE('09.08 Karenga-Kotido-24h'!M60,'10.08 Karenga-Kotido-24h'!M60)</f>
        <v>0.5</v>
      </c>
      <c r="N60" s="49">
        <f>AVERAGE('09.08 Karenga-Kotido-24h'!N60,'10.08 Karenga-Kotido-24h'!N60)</f>
        <v>0</v>
      </c>
      <c r="O60" s="15">
        <f t="shared" si="0"/>
        <v>0.5</v>
      </c>
      <c r="P60" s="15">
        <f t="shared" si="1"/>
        <v>1</v>
      </c>
      <c r="R60" s="8"/>
      <c r="T60"/>
    </row>
    <row r="61" spans="2:20" ht="23.1" customHeight="1" x14ac:dyDescent="0.25">
      <c r="B61" s="23" t="s">
        <v>102</v>
      </c>
      <c r="C61" s="49">
        <f>AVERAGE('09.08 Karenga-Kotido-24h'!C61,'10.08 Karenga-Kotido-24h'!C61)</f>
        <v>0</v>
      </c>
      <c r="D61" s="49">
        <f>AVERAGE('09.08 Karenga-Kotido-24h'!D61,'10.08 Karenga-Kotido-24h'!D61)</f>
        <v>0</v>
      </c>
      <c r="E61" s="49">
        <f>AVERAGE('09.08 Karenga-Kotido-24h'!E61,'10.08 Karenga-Kotido-24h'!E61)</f>
        <v>0</v>
      </c>
      <c r="F61" s="49">
        <f>AVERAGE('09.08 Karenga-Kotido-24h'!F61,'10.08 Karenga-Kotido-24h'!F61)</f>
        <v>0</v>
      </c>
      <c r="G61" s="49">
        <f>AVERAGE('09.08 Karenga-Kotido-24h'!G61,'10.08 Karenga-Kotido-24h'!G61)</f>
        <v>0</v>
      </c>
      <c r="H61" s="49">
        <f>AVERAGE('09.08 Karenga-Kotido-24h'!H61,'10.08 Karenga-Kotido-24h'!H61)</f>
        <v>0</v>
      </c>
      <c r="I61" s="49">
        <f>AVERAGE('09.08 Karenga-Kotido-24h'!I61,'10.08 Karenga-Kotido-24h'!I61)</f>
        <v>0</v>
      </c>
      <c r="J61" s="49">
        <f>AVERAGE('09.08 Karenga-Kotido-24h'!J61,'10.08 Karenga-Kotido-24h'!J61)</f>
        <v>0</v>
      </c>
      <c r="K61" s="49">
        <f>AVERAGE('09.08 Karenga-Kotido-24h'!K61,'10.08 Karenga-Kotido-24h'!K61)</f>
        <v>0</v>
      </c>
      <c r="L61" s="49">
        <f>AVERAGE('09.08 Karenga-Kotido-24h'!L61,'10.08 Karenga-Kotido-24h'!L61)</f>
        <v>0</v>
      </c>
      <c r="M61" s="49">
        <f>AVERAGE('09.08 Karenga-Kotido-24h'!M61,'10.08 Karenga-Kotido-24h'!M61)</f>
        <v>2.5</v>
      </c>
      <c r="N61" s="49">
        <f>AVERAGE('09.08 Karenga-Kotido-24h'!N61,'10.08 Karenga-Kotido-24h'!N61)</f>
        <v>0</v>
      </c>
      <c r="O61" s="15">
        <f t="shared" si="0"/>
        <v>0</v>
      </c>
      <c r="P61" s="15">
        <f t="shared" si="1"/>
        <v>2.5</v>
      </c>
      <c r="R61" s="8"/>
      <c r="T61"/>
    </row>
    <row r="62" spans="2:20" ht="23.1" customHeight="1" x14ac:dyDescent="0.25">
      <c r="B62" s="23" t="s">
        <v>107</v>
      </c>
      <c r="C62" s="49">
        <f>AVERAGE('09.08 Karenga-Kotido-24h'!C62,'10.08 Karenga-Kotido-24h'!C62)</f>
        <v>0</v>
      </c>
      <c r="D62" s="49">
        <f>AVERAGE('09.08 Karenga-Kotido-24h'!D62,'10.08 Karenga-Kotido-24h'!D62)</f>
        <v>0</v>
      </c>
      <c r="E62" s="49">
        <f>AVERAGE('09.08 Karenga-Kotido-24h'!E62,'10.08 Karenga-Kotido-24h'!E62)</f>
        <v>0</v>
      </c>
      <c r="F62" s="49">
        <f>AVERAGE('09.08 Karenga-Kotido-24h'!F62,'10.08 Karenga-Kotido-24h'!F62)</f>
        <v>0</v>
      </c>
      <c r="G62" s="49">
        <f>AVERAGE('09.08 Karenga-Kotido-24h'!G62,'10.08 Karenga-Kotido-24h'!G62)</f>
        <v>0</v>
      </c>
      <c r="H62" s="49">
        <f>AVERAGE('09.08 Karenga-Kotido-24h'!H62,'10.08 Karenga-Kotido-24h'!H62)</f>
        <v>0</v>
      </c>
      <c r="I62" s="49">
        <f>AVERAGE('09.08 Karenga-Kotido-24h'!I62,'10.08 Karenga-Kotido-24h'!I62)</f>
        <v>0</v>
      </c>
      <c r="J62" s="49">
        <f>AVERAGE('09.08 Karenga-Kotido-24h'!J62,'10.08 Karenga-Kotido-24h'!J62)</f>
        <v>0</v>
      </c>
      <c r="K62" s="49">
        <f>AVERAGE('09.08 Karenga-Kotido-24h'!K62,'10.08 Karenga-Kotido-24h'!K62)</f>
        <v>0</v>
      </c>
      <c r="L62" s="49">
        <f>AVERAGE('09.08 Karenga-Kotido-24h'!L62,'10.08 Karenga-Kotido-24h'!L62)</f>
        <v>0</v>
      </c>
      <c r="M62" s="49">
        <f>AVERAGE('09.08 Karenga-Kotido-24h'!M62,'10.08 Karenga-Kotido-24h'!M62)</f>
        <v>0.5</v>
      </c>
      <c r="N62" s="49">
        <f>AVERAGE('09.08 Karenga-Kotido-24h'!N62,'10.08 Karenga-Kotido-24h'!N62)</f>
        <v>0</v>
      </c>
      <c r="O62" s="15">
        <f t="shared" si="0"/>
        <v>0</v>
      </c>
      <c r="P62" s="15">
        <f t="shared" si="1"/>
        <v>0.5</v>
      </c>
      <c r="R62" s="8"/>
      <c r="T62"/>
    </row>
    <row r="63" spans="2:20" ht="23.1" customHeight="1" x14ac:dyDescent="0.25">
      <c r="B63" s="23" t="s">
        <v>108</v>
      </c>
      <c r="C63" s="49">
        <f>AVERAGE('09.08 Karenga-Kotido-24h'!C63,'10.08 Karenga-Kotido-24h'!C63)</f>
        <v>0</v>
      </c>
      <c r="D63" s="49">
        <f>AVERAGE('09.08 Karenga-Kotido-24h'!D63,'10.08 Karenga-Kotido-24h'!D63)</f>
        <v>0</v>
      </c>
      <c r="E63" s="49">
        <f>AVERAGE('09.08 Karenga-Kotido-24h'!E63,'10.08 Karenga-Kotido-24h'!E63)</f>
        <v>0</v>
      </c>
      <c r="F63" s="49">
        <f>AVERAGE('09.08 Karenga-Kotido-24h'!F63,'10.08 Karenga-Kotido-24h'!F63)</f>
        <v>0</v>
      </c>
      <c r="G63" s="49">
        <f>AVERAGE('09.08 Karenga-Kotido-24h'!G63,'10.08 Karenga-Kotido-24h'!G63)</f>
        <v>0</v>
      </c>
      <c r="H63" s="49">
        <f>AVERAGE('09.08 Karenga-Kotido-24h'!H63,'10.08 Karenga-Kotido-24h'!H63)</f>
        <v>0</v>
      </c>
      <c r="I63" s="49">
        <f>AVERAGE('09.08 Karenga-Kotido-24h'!I63,'10.08 Karenga-Kotido-24h'!I63)</f>
        <v>0</v>
      </c>
      <c r="J63" s="49">
        <f>AVERAGE('09.08 Karenga-Kotido-24h'!J63,'10.08 Karenga-Kotido-24h'!J63)</f>
        <v>0</v>
      </c>
      <c r="K63" s="49">
        <f>AVERAGE('09.08 Karenga-Kotido-24h'!K63,'10.08 Karenga-Kotido-24h'!K63)</f>
        <v>0</v>
      </c>
      <c r="L63" s="49">
        <f>AVERAGE('09.08 Karenga-Kotido-24h'!L63,'10.08 Karenga-Kotido-24h'!L63)</f>
        <v>0</v>
      </c>
      <c r="M63" s="49">
        <f>AVERAGE('09.08 Karenga-Kotido-24h'!M63,'10.08 Karenga-Kotido-24h'!M63)</f>
        <v>1</v>
      </c>
      <c r="N63" s="49">
        <f>AVERAGE('09.08 Karenga-Kotido-24h'!N63,'10.08 Karenga-Kotido-24h'!N63)</f>
        <v>0</v>
      </c>
      <c r="O63" s="15">
        <f t="shared" si="0"/>
        <v>0</v>
      </c>
      <c r="P63" s="15">
        <f t="shared" si="1"/>
        <v>1</v>
      </c>
      <c r="R63" s="8"/>
      <c r="T63"/>
    </row>
    <row r="64" spans="2:20" ht="23.1" customHeight="1" x14ac:dyDescent="0.25">
      <c r="B64" s="23" t="s">
        <v>109</v>
      </c>
      <c r="C64" s="49">
        <f>AVERAGE('09.08 Karenga-Kotido-24h'!C64,'10.08 Karenga-Kotido-24h'!C64)</f>
        <v>0</v>
      </c>
      <c r="D64" s="49">
        <f>AVERAGE('09.08 Karenga-Kotido-24h'!D64,'10.08 Karenga-Kotido-24h'!D64)</f>
        <v>0</v>
      </c>
      <c r="E64" s="49">
        <f>AVERAGE('09.08 Karenga-Kotido-24h'!E64,'10.08 Karenga-Kotido-24h'!E64)</f>
        <v>0</v>
      </c>
      <c r="F64" s="49">
        <f>AVERAGE('09.08 Karenga-Kotido-24h'!F64,'10.08 Karenga-Kotido-24h'!F64)</f>
        <v>0</v>
      </c>
      <c r="G64" s="49">
        <f>AVERAGE('09.08 Karenga-Kotido-24h'!G64,'10.08 Karenga-Kotido-24h'!G64)</f>
        <v>0</v>
      </c>
      <c r="H64" s="49">
        <f>AVERAGE('09.08 Karenga-Kotido-24h'!H64,'10.08 Karenga-Kotido-24h'!H64)</f>
        <v>0</v>
      </c>
      <c r="I64" s="49">
        <f>AVERAGE('09.08 Karenga-Kotido-24h'!I64,'10.08 Karenga-Kotido-24h'!I64)</f>
        <v>0</v>
      </c>
      <c r="J64" s="49">
        <f>AVERAGE('09.08 Karenga-Kotido-24h'!J64,'10.08 Karenga-Kotido-24h'!J64)</f>
        <v>0</v>
      </c>
      <c r="K64" s="49">
        <f>AVERAGE('09.08 Karenga-Kotido-24h'!K64,'10.08 Karenga-Kotido-24h'!K64)</f>
        <v>0</v>
      </c>
      <c r="L64" s="49">
        <f>AVERAGE('09.08 Karenga-Kotido-24h'!L64,'10.08 Karenga-Kotido-24h'!L64)</f>
        <v>0</v>
      </c>
      <c r="M64" s="49">
        <f>AVERAGE('09.08 Karenga-Kotido-24h'!M64,'10.08 Karenga-Kotido-24h'!M64)</f>
        <v>0.5</v>
      </c>
      <c r="N64" s="49">
        <f>AVERAGE('09.08 Karenga-Kotido-24h'!N64,'10.08 Karenga-Kotido-24h'!N64)</f>
        <v>0</v>
      </c>
      <c r="O64" s="15">
        <f t="shared" si="0"/>
        <v>0</v>
      </c>
      <c r="P64" s="15">
        <f t="shared" si="1"/>
        <v>0.5</v>
      </c>
      <c r="R64" s="8"/>
      <c r="T64"/>
    </row>
    <row r="65" spans="2:20" ht="23.1" customHeight="1" x14ac:dyDescent="0.25">
      <c r="B65" s="23" t="s">
        <v>158</v>
      </c>
      <c r="C65" s="49">
        <f>AVERAGE('09.08 Karenga-Kotido-24h'!C65,'10.08 Karenga-Kotido-24h'!C65)</f>
        <v>0</v>
      </c>
      <c r="D65" s="49">
        <f>AVERAGE('09.08 Karenga-Kotido-24h'!D65,'10.08 Karenga-Kotido-24h'!D65)</f>
        <v>0</v>
      </c>
      <c r="E65" s="49">
        <f>AVERAGE('09.08 Karenga-Kotido-24h'!E65,'10.08 Karenga-Kotido-24h'!E65)</f>
        <v>0</v>
      </c>
      <c r="F65" s="49">
        <f>AVERAGE('09.08 Karenga-Kotido-24h'!F65,'10.08 Karenga-Kotido-24h'!F65)</f>
        <v>0</v>
      </c>
      <c r="G65" s="49">
        <f>AVERAGE('09.08 Karenga-Kotido-24h'!G65,'10.08 Karenga-Kotido-24h'!G65)</f>
        <v>0</v>
      </c>
      <c r="H65" s="49">
        <f>AVERAGE('09.08 Karenga-Kotido-24h'!H65,'10.08 Karenga-Kotido-24h'!H65)</f>
        <v>0</v>
      </c>
      <c r="I65" s="49">
        <f>AVERAGE('09.08 Karenga-Kotido-24h'!I65,'10.08 Karenga-Kotido-24h'!I65)</f>
        <v>0</v>
      </c>
      <c r="J65" s="49">
        <f>AVERAGE('09.08 Karenga-Kotido-24h'!J65,'10.08 Karenga-Kotido-24h'!J65)</f>
        <v>0</v>
      </c>
      <c r="K65" s="49">
        <f>AVERAGE('09.08 Karenga-Kotido-24h'!K65,'10.08 Karenga-Kotido-24h'!K65)</f>
        <v>0</v>
      </c>
      <c r="L65" s="49">
        <f>AVERAGE('09.08 Karenga-Kotido-24h'!L65,'10.08 Karenga-Kotido-24h'!L65)</f>
        <v>0</v>
      </c>
      <c r="M65" s="49">
        <f>AVERAGE('09.08 Karenga-Kotido-24h'!M65,'10.08 Karenga-Kotido-24h'!M65)</f>
        <v>0.5</v>
      </c>
      <c r="N65" s="49">
        <f>AVERAGE('09.08 Karenga-Kotido-24h'!N65,'10.08 Karenga-Kotido-24h'!N65)</f>
        <v>0</v>
      </c>
      <c r="O65" s="15">
        <f t="shared" si="0"/>
        <v>0</v>
      </c>
      <c r="P65" s="15">
        <f t="shared" si="1"/>
        <v>0.5</v>
      </c>
      <c r="R65" s="8"/>
      <c r="T65"/>
    </row>
    <row r="66" spans="2:20" ht="23.1" customHeight="1" x14ac:dyDescent="0.25">
      <c r="B66" s="23" t="s">
        <v>103</v>
      </c>
      <c r="C66" s="49">
        <f>AVERAGE('09.08 Karenga-Kotido-24h'!C66,'10.08 Karenga-Kotido-24h'!C66)</f>
        <v>0</v>
      </c>
      <c r="D66" s="49">
        <f>AVERAGE('09.08 Karenga-Kotido-24h'!D66,'10.08 Karenga-Kotido-24h'!D66)</f>
        <v>0</v>
      </c>
      <c r="E66" s="49">
        <f>AVERAGE('09.08 Karenga-Kotido-24h'!E66,'10.08 Karenga-Kotido-24h'!E66)</f>
        <v>0</v>
      </c>
      <c r="F66" s="49">
        <f>AVERAGE('09.08 Karenga-Kotido-24h'!F66,'10.08 Karenga-Kotido-24h'!F66)</f>
        <v>0</v>
      </c>
      <c r="G66" s="49">
        <f>AVERAGE('09.08 Karenga-Kotido-24h'!G66,'10.08 Karenga-Kotido-24h'!G66)</f>
        <v>0</v>
      </c>
      <c r="H66" s="49">
        <f>AVERAGE('09.08 Karenga-Kotido-24h'!H66,'10.08 Karenga-Kotido-24h'!H66)</f>
        <v>0</v>
      </c>
      <c r="I66" s="49">
        <f>AVERAGE('09.08 Karenga-Kotido-24h'!I66,'10.08 Karenga-Kotido-24h'!I66)</f>
        <v>0</v>
      </c>
      <c r="J66" s="49">
        <f>AVERAGE('09.08 Karenga-Kotido-24h'!J66,'10.08 Karenga-Kotido-24h'!J66)</f>
        <v>0</v>
      </c>
      <c r="K66" s="49">
        <f>AVERAGE('09.08 Karenga-Kotido-24h'!K66,'10.08 Karenga-Kotido-24h'!K66)</f>
        <v>0</v>
      </c>
      <c r="L66" s="49">
        <f>AVERAGE('09.08 Karenga-Kotido-24h'!L66,'10.08 Karenga-Kotido-24h'!L66)</f>
        <v>0</v>
      </c>
      <c r="M66" s="49">
        <f>AVERAGE('09.08 Karenga-Kotido-24h'!M66,'10.08 Karenga-Kotido-24h'!M66)</f>
        <v>0.5</v>
      </c>
      <c r="N66" s="49">
        <f>AVERAGE('09.08 Karenga-Kotido-24h'!N66,'10.08 Karenga-Kotido-24h'!N66)</f>
        <v>0</v>
      </c>
      <c r="O66" s="15">
        <f t="shared" si="0"/>
        <v>0</v>
      </c>
      <c r="P66" s="15">
        <f t="shared" si="1"/>
        <v>0.5</v>
      </c>
      <c r="R66" s="8"/>
      <c r="T66"/>
    </row>
    <row r="67" spans="2:20" ht="23.1" customHeight="1" x14ac:dyDescent="0.25">
      <c r="B67" s="23" t="s">
        <v>104</v>
      </c>
      <c r="C67" s="49">
        <f>AVERAGE('09.08 Karenga-Kotido-24h'!C67,'10.08 Karenga-Kotido-24h'!C67)</f>
        <v>0</v>
      </c>
      <c r="D67" s="49">
        <f>AVERAGE('09.08 Karenga-Kotido-24h'!D67,'10.08 Karenga-Kotido-24h'!D67)</f>
        <v>0.5</v>
      </c>
      <c r="E67" s="49">
        <f>AVERAGE('09.08 Karenga-Kotido-24h'!E67,'10.08 Karenga-Kotido-24h'!E67)</f>
        <v>0</v>
      </c>
      <c r="F67" s="49">
        <f>AVERAGE('09.08 Karenga-Kotido-24h'!F67,'10.08 Karenga-Kotido-24h'!F67)</f>
        <v>0</v>
      </c>
      <c r="G67" s="49">
        <f>AVERAGE('09.08 Karenga-Kotido-24h'!G67,'10.08 Karenga-Kotido-24h'!G67)</f>
        <v>0</v>
      </c>
      <c r="H67" s="49">
        <f>AVERAGE('09.08 Karenga-Kotido-24h'!H67,'10.08 Karenga-Kotido-24h'!H67)</f>
        <v>0</v>
      </c>
      <c r="I67" s="49">
        <f>AVERAGE('09.08 Karenga-Kotido-24h'!I67,'10.08 Karenga-Kotido-24h'!I67)</f>
        <v>0</v>
      </c>
      <c r="J67" s="49">
        <f>AVERAGE('09.08 Karenga-Kotido-24h'!J67,'10.08 Karenga-Kotido-24h'!J67)</f>
        <v>0</v>
      </c>
      <c r="K67" s="49">
        <f>AVERAGE('09.08 Karenga-Kotido-24h'!K67,'10.08 Karenga-Kotido-24h'!K67)</f>
        <v>0</v>
      </c>
      <c r="L67" s="49">
        <f>AVERAGE('09.08 Karenga-Kotido-24h'!L67,'10.08 Karenga-Kotido-24h'!L67)</f>
        <v>0</v>
      </c>
      <c r="M67" s="49">
        <f>AVERAGE('09.08 Karenga-Kotido-24h'!M67,'10.08 Karenga-Kotido-24h'!M67)</f>
        <v>0</v>
      </c>
      <c r="N67" s="49">
        <f>AVERAGE('09.08 Karenga-Kotido-24h'!N67,'10.08 Karenga-Kotido-24h'!N67)</f>
        <v>0</v>
      </c>
      <c r="O67" s="15">
        <f t="shared" si="0"/>
        <v>0.5</v>
      </c>
      <c r="P67" s="15">
        <f t="shared" si="1"/>
        <v>0.5</v>
      </c>
      <c r="R67" s="8"/>
      <c r="T67"/>
    </row>
    <row r="68" spans="2:20" ht="23.1" customHeight="1" x14ac:dyDescent="0.25">
      <c r="B68" s="23" t="s">
        <v>105</v>
      </c>
      <c r="C68" s="49">
        <f>AVERAGE('09.08 Karenga-Kotido-24h'!C68,'10.08 Karenga-Kotido-24h'!C68)</f>
        <v>0</v>
      </c>
      <c r="D68" s="49">
        <f>AVERAGE('09.08 Karenga-Kotido-24h'!D68,'10.08 Karenga-Kotido-24h'!D68)</f>
        <v>0</v>
      </c>
      <c r="E68" s="49">
        <f>AVERAGE('09.08 Karenga-Kotido-24h'!E68,'10.08 Karenga-Kotido-24h'!E68)</f>
        <v>0</v>
      </c>
      <c r="F68" s="49">
        <f>AVERAGE('09.08 Karenga-Kotido-24h'!F68,'10.08 Karenga-Kotido-24h'!F68)</f>
        <v>0</v>
      </c>
      <c r="G68" s="49">
        <f>AVERAGE('09.08 Karenga-Kotido-24h'!G68,'10.08 Karenga-Kotido-24h'!G68)</f>
        <v>0</v>
      </c>
      <c r="H68" s="49">
        <f>AVERAGE('09.08 Karenga-Kotido-24h'!H68,'10.08 Karenga-Kotido-24h'!H68)</f>
        <v>0</v>
      </c>
      <c r="I68" s="49">
        <f>AVERAGE('09.08 Karenga-Kotido-24h'!I68,'10.08 Karenga-Kotido-24h'!I68)</f>
        <v>0</v>
      </c>
      <c r="J68" s="49">
        <f>AVERAGE('09.08 Karenga-Kotido-24h'!J68,'10.08 Karenga-Kotido-24h'!J68)</f>
        <v>0</v>
      </c>
      <c r="K68" s="49">
        <f>AVERAGE('09.08 Karenga-Kotido-24h'!K68,'10.08 Karenga-Kotido-24h'!K68)</f>
        <v>0</v>
      </c>
      <c r="L68" s="49">
        <f>AVERAGE('09.08 Karenga-Kotido-24h'!L68,'10.08 Karenga-Kotido-24h'!L68)</f>
        <v>0</v>
      </c>
      <c r="M68" s="49">
        <f>AVERAGE('09.08 Karenga-Kotido-24h'!M68,'10.08 Karenga-Kotido-24h'!M68)</f>
        <v>1.5</v>
      </c>
      <c r="N68" s="49">
        <f>AVERAGE('09.08 Karenga-Kotido-24h'!N68,'10.08 Karenga-Kotido-24h'!N68)</f>
        <v>0</v>
      </c>
      <c r="O68" s="15">
        <f t="shared" si="0"/>
        <v>0</v>
      </c>
      <c r="P68" s="15">
        <f t="shared" si="1"/>
        <v>1.5</v>
      </c>
      <c r="R68" s="8"/>
      <c r="T68"/>
    </row>
    <row r="69" spans="2:20" ht="23.1" customHeight="1" x14ac:dyDescent="0.25">
      <c r="B69" s="23" t="s">
        <v>106</v>
      </c>
      <c r="C69" s="49">
        <f>AVERAGE('09.08 Karenga-Kotido-24h'!C69,'10.08 Karenga-Kotido-24h'!C69)</f>
        <v>0</v>
      </c>
      <c r="D69" s="49">
        <f>AVERAGE('09.08 Karenga-Kotido-24h'!D69,'10.08 Karenga-Kotido-24h'!D69)</f>
        <v>0</v>
      </c>
      <c r="E69" s="49">
        <f>AVERAGE('09.08 Karenga-Kotido-24h'!E69,'10.08 Karenga-Kotido-24h'!E69)</f>
        <v>0</v>
      </c>
      <c r="F69" s="49">
        <f>AVERAGE('09.08 Karenga-Kotido-24h'!F69,'10.08 Karenga-Kotido-24h'!F69)</f>
        <v>0</v>
      </c>
      <c r="G69" s="49">
        <f>AVERAGE('09.08 Karenga-Kotido-24h'!G69,'10.08 Karenga-Kotido-24h'!G69)</f>
        <v>0</v>
      </c>
      <c r="H69" s="49">
        <f>AVERAGE('09.08 Karenga-Kotido-24h'!H69,'10.08 Karenga-Kotido-24h'!H69)</f>
        <v>0</v>
      </c>
      <c r="I69" s="49">
        <f>AVERAGE('09.08 Karenga-Kotido-24h'!I69,'10.08 Karenga-Kotido-24h'!I69)</f>
        <v>0</v>
      </c>
      <c r="J69" s="49">
        <f>AVERAGE('09.08 Karenga-Kotido-24h'!J69,'10.08 Karenga-Kotido-24h'!J69)</f>
        <v>0</v>
      </c>
      <c r="K69" s="49">
        <f>AVERAGE('09.08 Karenga-Kotido-24h'!K69,'10.08 Karenga-Kotido-24h'!K69)</f>
        <v>0</v>
      </c>
      <c r="L69" s="49">
        <f>AVERAGE('09.08 Karenga-Kotido-24h'!L69,'10.08 Karenga-Kotido-24h'!L69)</f>
        <v>0</v>
      </c>
      <c r="M69" s="49">
        <f>AVERAGE('09.08 Karenga-Kotido-24h'!M69,'10.08 Karenga-Kotido-24h'!M69)</f>
        <v>0.5</v>
      </c>
      <c r="N69" s="49">
        <f>AVERAGE('09.08 Karenga-Kotido-24h'!N69,'10.08 Karenga-Kotido-24h'!N69)</f>
        <v>0</v>
      </c>
      <c r="O69" s="15">
        <f t="shared" si="0"/>
        <v>0</v>
      </c>
      <c r="P69" s="15">
        <f t="shared" si="1"/>
        <v>0.5</v>
      </c>
      <c r="R69" s="8"/>
      <c r="T69"/>
    </row>
    <row r="70" spans="2:20" ht="23.1" customHeight="1" x14ac:dyDescent="0.25">
      <c r="B70" s="23" t="s">
        <v>110</v>
      </c>
      <c r="C70" s="49">
        <f>AVERAGE('09.08 Karenga-Kotido-24h'!C70,'10.08 Karenga-Kotido-24h'!C70)</f>
        <v>0</v>
      </c>
      <c r="D70" s="49">
        <f>AVERAGE('09.08 Karenga-Kotido-24h'!D70,'10.08 Karenga-Kotido-24h'!D70)</f>
        <v>0</v>
      </c>
      <c r="E70" s="49">
        <f>AVERAGE('09.08 Karenga-Kotido-24h'!E70,'10.08 Karenga-Kotido-24h'!E70)</f>
        <v>0</v>
      </c>
      <c r="F70" s="49">
        <f>AVERAGE('09.08 Karenga-Kotido-24h'!F70,'10.08 Karenga-Kotido-24h'!F70)</f>
        <v>0</v>
      </c>
      <c r="G70" s="49">
        <f>AVERAGE('09.08 Karenga-Kotido-24h'!G70,'10.08 Karenga-Kotido-24h'!G70)</f>
        <v>0</v>
      </c>
      <c r="H70" s="49">
        <f>AVERAGE('09.08 Karenga-Kotido-24h'!H70,'10.08 Karenga-Kotido-24h'!H70)</f>
        <v>0</v>
      </c>
      <c r="I70" s="49">
        <f>AVERAGE('09.08 Karenga-Kotido-24h'!I70,'10.08 Karenga-Kotido-24h'!I70)</f>
        <v>0</v>
      </c>
      <c r="J70" s="49">
        <f>AVERAGE('09.08 Karenga-Kotido-24h'!J70,'10.08 Karenga-Kotido-24h'!J70)</f>
        <v>0</v>
      </c>
      <c r="K70" s="49">
        <f>AVERAGE('09.08 Karenga-Kotido-24h'!K70,'10.08 Karenga-Kotido-24h'!K70)</f>
        <v>0</v>
      </c>
      <c r="L70" s="49">
        <f>AVERAGE('09.08 Karenga-Kotido-24h'!L70,'10.08 Karenga-Kotido-24h'!L70)</f>
        <v>0</v>
      </c>
      <c r="M70" s="49">
        <f>AVERAGE('09.08 Karenga-Kotido-24h'!M70,'10.08 Karenga-Kotido-24h'!M70)</f>
        <v>0</v>
      </c>
      <c r="N70" s="49">
        <f>AVERAGE('09.08 Karenga-Kotido-24h'!N70,'10.08 Karenga-Kotido-24h'!N70)</f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23" t="s">
        <v>111</v>
      </c>
      <c r="C71" s="49">
        <f>AVERAGE('09.08 Karenga-Kotido-24h'!C71,'10.08 Karenga-Kotido-24h'!C71)</f>
        <v>0</v>
      </c>
      <c r="D71" s="49">
        <f>AVERAGE('09.08 Karenga-Kotido-24h'!D71,'10.08 Karenga-Kotido-24h'!D71)</f>
        <v>0</v>
      </c>
      <c r="E71" s="49">
        <f>AVERAGE('09.08 Karenga-Kotido-24h'!E71,'10.08 Karenga-Kotido-24h'!E71)</f>
        <v>0</v>
      </c>
      <c r="F71" s="49">
        <f>AVERAGE('09.08 Karenga-Kotido-24h'!F71,'10.08 Karenga-Kotido-24h'!F71)</f>
        <v>0</v>
      </c>
      <c r="G71" s="49">
        <f>AVERAGE('09.08 Karenga-Kotido-24h'!G71,'10.08 Karenga-Kotido-24h'!G71)</f>
        <v>0</v>
      </c>
      <c r="H71" s="49">
        <f>AVERAGE('09.08 Karenga-Kotido-24h'!H71,'10.08 Karenga-Kotido-24h'!H71)</f>
        <v>0</v>
      </c>
      <c r="I71" s="49">
        <f>AVERAGE('09.08 Karenga-Kotido-24h'!I71,'10.08 Karenga-Kotido-24h'!I71)</f>
        <v>0</v>
      </c>
      <c r="J71" s="49">
        <f>AVERAGE('09.08 Karenga-Kotido-24h'!J71,'10.08 Karenga-Kotido-24h'!J71)</f>
        <v>0</v>
      </c>
      <c r="K71" s="49">
        <f>AVERAGE('09.08 Karenga-Kotido-24h'!K71,'10.08 Karenga-Kotido-24h'!K71)</f>
        <v>0</v>
      </c>
      <c r="L71" s="49">
        <f>AVERAGE('09.08 Karenga-Kotido-24h'!L71,'10.08 Karenga-Kotido-24h'!L71)</f>
        <v>0</v>
      </c>
      <c r="M71" s="49">
        <f>AVERAGE('09.08 Karenga-Kotido-24h'!M71,'10.08 Karenga-Kotido-24h'!M71)</f>
        <v>0</v>
      </c>
      <c r="N71" s="49">
        <f>AVERAGE('09.08 Karenga-Kotido-24h'!N71,'10.08 Karenga-Kotido-24h'!N71)</f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23" t="s">
        <v>112</v>
      </c>
      <c r="C72" s="49">
        <f>AVERAGE('09.08 Karenga-Kotido-24h'!C72,'10.08 Karenga-Kotido-24h'!C72)</f>
        <v>0</v>
      </c>
      <c r="D72" s="49">
        <f>AVERAGE('09.08 Karenga-Kotido-24h'!D72,'10.08 Karenga-Kotido-24h'!D72)</f>
        <v>0</v>
      </c>
      <c r="E72" s="49">
        <f>AVERAGE('09.08 Karenga-Kotido-24h'!E72,'10.08 Karenga-Kotido-24h'!E72)</f>
        <v>0</v>
      </c>
      <c r="F72" s="49">
        <f>AVERAGE('09.08 Karenga-Kotido-24h'!F72,'10.08 Karenga-Kotido-24h'!F72)</f>
        <v>0</v>
      </c>
      <c r="G72" s="49">
        <f>AVERAGE('09.08 Karenga-Kotido-24h'!G72,'10.08 Karenga-Kotido-24h'!G72)</f>
        <v>0</v>
      </c>
      <c r="H72" s="49">
        <f>AVERAGE('09.08 Karenga-Kotido-24h'!H72,'10.08 Karenga-Kotido-24h'!H72)</f>
        <v>0</v>
      </c>
      <c r="I72" s="49">
        <f>AVERAGE('09.08 Karenga-Kotido-24h'!I72,'10.08 Karenga-Kotido-24h'!I72)</f>
        <v>0</v>
      </c>
      <c r="J72" s="49">
        <f>AVERAGE('09.08 Karenga-Kotido-24h'!J72,'10.08 Karenga-Kotido-24h'!J72)</f>
        <v>0</v>
      </c>
      <c r="K72" s="49">
        <f>AVERAGE('09.08 Karenga-Kotido-24h'!K72,'10.08 Karenga-Kotido-24h'!K72)</f>
        <v>0</v>
      </c>
      <c r="L72" s="49">
        <f>AVERAGE('09.08 Karenga-Kotido-24h'!L72,'10.08 Karenga-Kotido-24h'!L72)</f>
        <v>0</v>
      </c>
      <c r="M72" s="49">
        <f>AVERAGE('09.08 Karenga-Kotido-24h'!M72,'10.08 Karenga-Kotido-24h'!M72)</f>
        <v>0.5</v>
      </c>
      <c r="N72" s="49">
        <f>AVERAGE('09.08 Karenga-Kotido-24h'!N72,'10.08 Karenga-Kotido-24h'!N72)</f>
        <v>0</v>
      </c>
      <c r="O72" s="15">
        <f t="shared" si="0"/>
        <v>0</v>
      </c>
      <c r="P72" s="15">
        <f t="shared" si="1"/>
        <v>0.5</v>
      </c>
      <c r="R72" s="8"/>
      <c r="T72"/>
    </row>
    <row r="73" spans="2:20" ht="23.1" customHeight="1" x14ac:dyDescent="0.25">
      <c r="B73" s="23" t="s">
        <v>113</v>
      </c>
      <c r="C73" s="49">
        <f>AVERAGE('09.08 Karenga-Kotido-24h'!C73,'10.08 Karenga-Kotido-24h'!C73)</f>
        <v>0.5</v>
      </c>
      <c r="D73" s="49">
        <f>AVERAGE('09.08 Karenga-Kotido-24h'!D73,'10.08 Karenga-Kotido-24h'!D73)</f>
        <v>0</v>
      </c>
      <c r="E73" s="49">
        <f>AVERAGE('09.08 Karenga-Kotido-24h'!E73,'10.08 Karenga-Kotido-24h'!E73)</f>
        <v>0</v>
      </c>
      <c r="F73" s="49">
        <f>AVERAGE('09.08 Karenga-Kotido-24h'!F73,'10.08 Karenga-Kotido-24h'!F73)</f>
        <v>0</v>
      </c>
      <c r="G73" s="49">
        <f>AVERAGE('09.08 Karenga-Kotido-24h'!G73,'10.08 Karenga-Kotido-24h'!G73)</f>
        <v>0</v>
      </c>
      <c r="H73" s="49">
        <f>AVERAGE('09.08 Karenga-Kotido-24h'!H73,'10.08 Karenga-Kotido-24h'!H73)</f>
        <v>0</v>
      </c>
      <c r="I73" s="49">
        <f>AVERAGE('09.08 Karenga-Kotido-24h'!I73,'10.08 Karenga-Kotido-24h'!I73)</f>
        <v>0</v>
      </c>
      <c r="J73" s="49">
        <f>AVERAGE('09.08 Karenga-Kotido-24h'!J73,'10.08 Karenga-Kotido-24h'!J73)</f>
        <v>0</v>
      </c>
      <c r="K73" s="49">
        <f>AVERAGE('09.08 Karenga-Kotido-24h'!K73,'10.08 Karenga-Kotido-24h'!K73)</f>
        <v>0</v>
      </c>
      <c r="L73" s="49">
        <f>AVERAGE('09.08 Karenga-Kotido-24h'!L73,'10.08 Karenga-Kotido-24h'!L73)</f>
        <v>0</v>
      </c>
      <c r="M73" s="49">
        <f>AVERAGE('09.08 Karenga-Kotido-24h'!M73,'10.08 Karenga-Kotido-24h'!M73)</f>
        <v>0</v>
      </c>
      <c r="N73" s="49">
        <f>AVERAGE('09.08 Karenga-Kotido-24h'!N73,'10.08 Karenga-Kotido-24h'!N73)</f>
        <v>0</v>
      </c>
      <c r="O73" s="15">
        <f t="shared" si="0"/>
        <v>0.5</v>
      </c>
      <c r="P73" s="15">
        <f t="shared" si="1"/>
        <v>0.5</v>
      </c>
      <c r="R73" s="8"/>
      <c r="T73"/>
    </row>
    <row r="74" spans="2:20" ht="23.1" customHeight="1" x14ac:dyDescent="0.25">
      <c r="B74" s="23" t="s">
        <v>114</v>
      </c>
      <c r="C74" s="49">
        <f>AVERAGE('09.08 Karenga-Kotido-24h'!C74,'10.08 Karenga-Kotido-24h'!C74)</f>
        <v>0</v>
      </c>
      <c r="D74" s="49">
        <f>AVERAGE('09.08 Karenga-Kotido-24h'!D74,'10.08 Karenga-Kotido-24h'!D74)</f>
        <v>0</v>
      </c>
      <c r="E74" s="49">
        <f>AVERAGE('09.08 Karenga-Kotido-24h'!E74,'10.08 Karenga-Kotido-24h'!E74)</f>
        <v>0</v>
      </c>
      <c r="F74" s="49">
        <f>AVERAGE('09.08 Karenga-Kotido-24h'!F74,'10.08 Karenga-Kotido-24h'!F74)</f>
        <v>0</v>
      </c>
      <c r="G74" s="49">
        <f>AVERAGE('09.08 Karenga-Kotido-24h'!G74,'10.08 Karenga-Kotido-24h'!G74)</f>
        <v>0</v>
      </c>
      <c r="H74" s="49">
        <f>AVERAGE('09.08 Karenga-Kotido-24h'!H74,'10.08 Karenga-Kotido-24h'!H74)</f>
        <v>0</v>
      </c>
      <c r="I74" s="49">
        <f>AVERAGE('09.08 Karenga-Kotido-24h'!I74,'10.08 Karenga-Kotido-24h'!I74)</f>
        <v>0</v>
      </c>
      <c r="J74" s="49">
        <f>AVERAGE('09.08 Karenga-Kotido-24h'!J74,'10.08 Karenga-Kotido-24h'!J74)</f>
        <v>0</v>
      </c>
      <c r="K74" s="49">
        <f>AVERAGE('09.08 Karenga-Kotido-24h'!K74,'10.08 Karenga-Kotido-24h'!K74)</f>
        <v>0</v>
      </c>
      <c r="L74" s="49">
        <f>AVERAGE('09.08 Karenga-Kotido-24h'!L74,'10.08 Karenga-Kotido-24h'!L74)</f>
        <v>0</v>
      </c>
      <c r="M74" s="49">
        <f>AVERAGE('09.08 Karenga-Kotido-24h'!M74,'10.08 Karenga-Kotido-24h'!M74)</f>
        <v>0.5</v>
      </c>
      <c r="N74" s="49">
        <f>AVERAGE('09.08 Karenga-Kotido-24h'!N74,'10.08 Karenga-Kotido-24h'!N74)</f>
        <v>0</v>
      </c>
      <c r="O74" s="15">
        <f t="shared" ref="O74:O105" si="35">SUM(C74:L74,N74)</f>
        <v>0</v>
      </c>
      <c r="P74" s="15">
        <f t="shared" ref="P74:P105" si="36">SUM(C74:N74)</f>
        <v>0.5</v>
      </c>
      <c r="R74" s="8"/>
      <c r="T74"/>
    </row>
    <row r="75" spans="2:20" ht="23.1" customHeight="1" x14ac:dyDescent="0.25">
      <c r="B75" s="23" t="s">
        <v>115</v>
      </c>
      <c r="C75" s="49">
        <f>AVERAGE('09.08 Karenga-Kotido-24h'!C75,'10.08 Karenga-Kotido-24h'!C75)</f>
        <v>0</v>
      </c>
      <c r="D75" s="49">
        <f>AVERAGE('09.08 Karenga-Kotido-24h'!D75,'10.08 Karenga-Kotido-24h'!D75)</f>
        <v>0</v>
      </c>
      <c r="E75" s="49">
        <f>AVERAGE('09.08 Karenga-Kotido-24h'!E75,'10.08 Karenga-Kotido-24h'!E75)</f>
        <v>0</v>
      </c>
      <c r="F75" s="49">
        <f>AVERAGE('09.08 Karenga-Kotido-24h'!F75,'10.08 Karenga-Kotido-24h'!F75)</f>
        <v>0</v>
      </c>
      <c r="G75" s="49">
        <f>AVERAGE('09.08 Karenga-Kotido-24h'!G75,'10.08 Karenga-Kotido-24h'!G75)</f>
        <v>0</v>
      </c>
      <c r="H75" s="49">
        <f>AVERAGE('09.08 Karenga-Kotido-24h'!H75,'10.08 Karenga-Kotido-24h'!H75)</f>
        <v>0</v>
      </c>
      <c r="I75" s="49">
        <f>AVERAGE('09.08 Karenga-Kotido-24h'!I75,'10.08 Karenga-Kotido-24h'!I75)</f>
        <v>0</v>
      </c>
      <c r="J75" s="49">
        <f>AVERAGE('09.08 Karenga-Kotido-24h'!J75,'10.08 Karenga-Kotido-24h'!J75)</f>
        <v>0</v>
      </c>
      <c r="K75" s="49">
        <f>AVERAGE('09.08 Karenga-Kotido-24h'!K75,'10.08 Karenga-Kotido-24h'!K75)</f>
        <v>0</v>
      </c>
      <c r="L75" s="49">
        <f>AVERAGE('09.08 Karenga-Kotido-24h'!L75,'10.08 Karenga-Kotido-24h'!L75)</f>
        <v>0</v>
      </c>
      <c r="M75" s="49">
        <f>AVERAGE('09.08 Karenga-Kotido-24h'!M75,'10.08 Karenga-Kotido-24h'!M75)</f>
        <v>0</v>
      </c>
      <c r="N75" s="49">
        <f>AVERAGE('09.08 Karenga-Kotido-24h'!N75,'10.08 Karenga-Kotido-24h'!N75)</f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23" t="s">
        <v>116</v>
      </c>
      <c r="C76" s="49">
        <f>AVERAGE('09.08 Karenga-Kotido-24h'!C76,'10.08 Karenga-Kotido-24h'!C76)</f>
        <v>0</v>
      </c>
      <c r="D76" s="49">
        <f>AVERAGE('09.08 Karenga-Kotido-24h'!D76,'10.08 Karenga-Kotido-24h'!D76)</f>
        <v>0</v>
      </c>
      <c r="E76" s="49">
        <f>AVERAGE('09.08 Karenga-Kotido-24h'!E76,'10.08 Karenga-Kotido-24h'!E76)</f>
        <v>0</v>
      </c>
      <c r="F76" s="49">
        <f>AVERAGE('09.08 Karenga-Kotido-24h'!F76,'10.08 Karenga-Kotido-24h'!F76)</f>
        <v>0</v>
      </c>
      <c r="G76" s="49">
        <f>AVERAGE('09.08 Karenga-Kotido-24h'!G76,'10.08 Karenga-Kotido-24h'!G76)</f>
        <v>0</v>
      </c>
      <c r="H76" s="49">
        <f>AVERAGE('09.08 Karenga-Kotido-24h'!H76,'10.08 Karenga-Kotido-24h'!H76)</f>
        <v>0</v>
      </c>
      <c r="I76" s="49">
        <f>AVERAGE('09.08 Karenga-Kotido-24h'!I76,'10.08 Karenga-Kotido-24h'!I76)</f>
        <v>0</v>
      </c>
      <c r="J76" s="49">
        <f>AVERAGE('09.08 Karenga-Kotido-24h'!J76,'10.08 Karenga-Kotido-24h'!J76)</f>
        <v>0</v>
      </c>
      <c r="K76" s="49">
        <f>AVERAGE('09.08 Karenga-Kotido-24h'!K76,'10.08 Karenga-Kotido-24h'!K76)</f>
        <v>0</v>
      </c>
      <c r="L76" s="49">
        <f>AVERAGE('09.08 Karenga-Kotido-24h'!L76,'10.08 Karenga-Kotido-24h'!L76)</f>
        <v>0</v>
      </c>
      <c r="M76" s="49">
        <f>AVERAGE('09.08 Karenga-Kotido-24h'!M76,'10.08 Karenga-Kotido-24h'!M76)</f>
        <v>0</v>
      </c>
      <c r="N76" s="49">
        <f>AVERAGE('09.08 Karenga-Kotido-24h'!N76,'10.08 Karenga-Kotido-24h'!N76)</f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23" t="s">
        <v>117</v>
      </c>
      <c r="C77" s="49">
        <f>AVERAGE('09.08 Karenga-Kotido-24h'!C77,'10.08 Karenga-Kotido-24h'!C77)</f>
        <v>0</v>
      </c>
      <c r="D77" s="49">
        <f>AVERAGE('09.08 Karenga-Kotido-24h'!D77,'10.08 Karenga-Kotido-24h'!D77)</f>
        <v>0</v>
      </c>
      <c r="E77" s="49">
        <f>AVERAGE('09.08 Karenga-Kotido-24h'!E77,'10.08 Karenga-Kotido-24h'!E77)</f>
        <v>0</v>
      </c>
      <c r="F77" s="49">
        <f>AVERAGE('09.08 Karenga-Kotido-24h'!F77,'10.08 Karenga-Kotido-24h'!F77)</f>
        <v>0</v>
      </c>
      <c r="G77" s="49">
        <f>AVERAGE('09.08 Karenga-Kotido-24h'!G77,'10.08 Karenga-Kotido-24h'!G77)</f>
        <v>0</v>
      </c>
      <c r="H77" s="49">
        <f>AVERAGE('09.08 Karenga-Kotido-24h'!H77,'10.08 Karenga-Kotido-24h'!H77)</f>
        <v>0</v>
      </c>
      <c r="I77" s="49">
        <f>AVERAGE('09.08 Karenga-Kotido-24h'!I77,'10.08 Karenga-Kotido-24h'!I77)</f>
        <v>0</v>
      </c>
      <c r="J77" s="49">
        <f>AVERAGE('09.08 Karenga-Kotido-24h'!J77,'10.08 Karenga-Kotido-24h'!J77)</f>
        <v>0</v>
      </c>
      <c r="K77" s="49">
        <f>AVERAGE('09.08 Karenga-Kotido-24h'!K77,'10.08 Karenga-Kotido-24h'!K77)</f>
        <v>0</v>
      </c>
      <c r="L77" s="49">
        <f>AVERAGE('09.08 Karenga-Kotido-24h'!L77,'10.08 Karenga-Kotido-24h'!L77)</f>
        <v>0</v>
      </c>
      <c r="M77" s="49">
        <f>AVERAGE('09.08 Karenga-Kotido-24h'!M77,'10.08 Karenga-Kotido-24h'!M77)</f>
        <v>0</v>
      </c>
      <c r="N77" s="49">
        <f>AVERAGE('09.08 Karenga-Kotido-24h'!N77,'10.08 Karenga-Kotido-24h'!N77)</f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24" t="s">
        <v>118</v>
      </c>
      <c r="C78" s="49">
        <f>AVERAGE('09.08 Karenga-Kotido-24h'!C78,'10.08 Karenga-Kotido-24h'!C78)</f>
        <v>0</v>
      </c>
      <c r="D78" s="49">
        <f>AVERAGE('09.08 Karenga-Kotido-24h'!D78,'10.08 Karenga-Kotido-24h'!D78)</f>
        <v>0</v>
      </c>
      <c r="E78" s="49">
        <f>AVERAGE('09.08 Karenga-Kotido-24h'!E78,'10.08 Karenga-Kotido-24h'!E78)</f>
        <v>0</v>
      </c>
      <c r="F78" s="49">
        <f>AVERAGE('09.08 Karenga-Kotido-24h'!F78,'10.08 Karenga-Kotido-24h'!F78)</f>
        <v>0</v>
      </c>
      <c r="G78" s="49">
        <f>AVERAGE('09.08 Karenga-Kotido-24h'!G78,'10.08 Karenga-Kotido-24h'!G78)</f>
        <v>0</v>
      </c>
      <c r="H78" s="49">
        <f>AVERAGE('09.08 Karenga-Kotido-24h'!H78,'10.08 Karenga-Kotido-24h'!H78)</f>
        <v>0</v>
      </c>
      <c r="I78" s="49">
        <f>AVERAGE('09.08 Karenga-Kotido-24h'!I78,'10.08 Karenga-Kotido-24h'!I78)</f>
        <v>0</v>
      </c>
      <c r="J78" s="49">
        <f>AVERAGE('09.08 Karenga-Kotido-24h'!J78,'10.08 Karenga-Kotido-24h'!J78)</f>
        <v>0</v>
      </c>
      <c r="K78" s="49">
        <f>AVERAGE('09.08 Karenga-Kotido-24h'!K78,'10.08 Karenga-Kotido-24h'!K78)</f>
        <v>0</v>
      </c>
      <c r="L78" s="49">
        <f>AVERAGE('09.08 Karenga-Kotido-24h'!L78,'10.08 Karenga-Kotido-24h'!L78)</f>
        <v>0</v>
      </c>
      <c r="M78" s="49">
        <f>AVERAGE('09.08 Karenga-Kotido-24h'!M78,'10.08 Karenga-Kotido-24h'!M78)</f>
        <v>0</v>
      </c>
      <c r="N78" s="49">
        <f>AVERAGE('09.08 Karenga-Kotido-24h'!N78,'10.08 Karenga-Kotido-24h'!N78)</f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23" t="s">
        <v>119</v>
      </c>
      <c r="C79" s="49">
        <f>AVERAGE('09.08 Karenga-Kotido-24h'!C79,'10.08 Karenga-Kotido-24h'!C79)</f>
        <v>0</v>
      </c>
      <c r="D79" s="49">
        <f>AVERAGE('09.08 Karenga-Kotido-24h'!D79,'10.08 Karenga-Kotido-24h'!D79)</f>
        <v>0</v>
      </c>
      <c r="E79" s="49">
        <f>AVERAGE('09.08 Karenga-Kotido-24h'!E79,'10.08 Karenga-Kotido-24h'!E79)</f>
        <v>0</v>
      </c>
      <c r="F79" s="49">
        <f>AVERAGE('09.08 Karenga-Kotido-24h'!F79,'10.08 Karenga-Kotido-24h'!F79)</f>
        <v>0</v>
      </c>
      <c r="G79" s="49">
        <f>AVERAGE('09.08 Karenga-Kotido-24h'!G79,'10.08 Karenga-Kotido-24h'!G79)</f>
        <v>0</v>
      </c>
      <c r="H79" s="49">
        <f>AVERAGE('09.08 Karenga-Kotido-24h'!H79,'10.08 Karenga-Kotido-24h'!H79)</f>
        <v>0</v>
      </c>
      <c r="I79" s="49">
        <f>AVERAGE('09.08 Karenga-Kotido-24h'!I79,'10.08 Karenga-Kotido-24h'!I79)</f>
        <v>0</v>
      </c>
      <c r="J79" s="49">
        <f>AVERAGE('09.08 Karenga-Kotido-24h'!J79,'10.08 Karenga-Kotido-24h'!J79)</f>
        <v>0</v>
      </c>
      <c r="K79" s="49">
        <f>AVERAGE('09.08 Karenga-Kotido-24h'!K79,'10.08 Karenga-Kotido-24h'!K79)</f>
        <v>0</v>
      </c>
      <c r="L79" s="49">
        <f>AVERAGE('09.08 Karenga-Kotido-24h'!L79,'10.08 Karenga-Kotido-24h'!L79)</f>
        <v>0</v>
      </c>
      <c r="M79" s="49">
        <f>AVERAGE('09.08 Karenga-Kotido-24h'!M79,'10.08 Karenga-Kotido-24h'!M79)</f>
        <v>0</v>
      </c>
      <c r="N79" s="49">
        <f>AVERAGE('09.08 Karenga-Kotido-24h'!N79,'10.08 Karenga-Kotido-24h'!N79)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AVERAGE('09.08 Karenga-Kotido-24h'!C80,'10.08 Karenga-Kotido-24h'!C80)</f>
        <v>0</v>
      </c>
      <c r="D80" s="49">
        <f>AVERAGE('09.08 Karenga-Kotido-24h'!D80,'10.08 Karenga-Kotido-24h'!D80)</f>
        <v>0</v>
      </c>
      <c r="E80" s="49">
        <f>AVERAGE('09.08 Karenga-Kotido-24h'!E80,'10.08 Karenga-Kotido-24h'!E80)</f>
        <v>0</v>
      </c>
      <c r="F80" s="49">
        <f>AVERAGE('09.08 Karenga-Kotido-24h'!F80,'10.08 Karenga-Kotido-24h'!F80)</f>
        <v>0</v>
      </c>
      <c r="G80" s="49">
        <f>AVERAGE('09.08 Karenga-Kotido-24h'!G80,'10.08 Karenga-Kotido-24h'!G80)</f>
        <v>0</v>
      </c>
      <c r="H80" s="49">
        <f>AVERAGE('09.08 Karenga-Kotido-24h'!H80,'10.08 Karenga-Kotido-24h'!H80)</f>
        <v>0</v>
      </c>
      <c r="I80" s="49">
        <f>AVERAGE('09.08 Karenga-Kotido-24h'!I80,'10.08 Karenga-Kotido-24h'!I80)</f>
        <v>0</v>
      </c>
      <c r="J80" s="49">
        <f>AVERAGE('09.08 Karenga-Kotido-24h'!J80,'10.08 Karenga-Kotido-24h'!J80)</f>
        <v>0</v>
      </c>
      <c r="K80" s="49">
        <f>AVERAGE('09.08 Karenga-Kotido-24h'!K80,'10.08 Karenga-Kotido-24h'!K80)</f>
        <v>0</v>
      </c>
      <c r="L80" s="49">
        <f>AVERAGE('09.08 Karenga-Kotido-24h'!L80,'10.08 Karenga-Kotido-24h'!L80)</f>
        <v>0</v>
      </c>
      <c r="M80" s="49">
        <f>AVERAGE('09.08 Karenga-Kotido-24h'!M80,'10.08 Karenga-Kotido-24h'!M80)</f>
        <v>0</v>
      </c>
      <c r="N80" s="49">
        <f>AVERAGE('09.08 Karenga-Kotido-24h'!N80,'10.08 Karenga-Kotido-24h'!N80)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AVERAGE('09.08 Karenga-Kotido-24h'!C81,'10.08 Karenga-Kotido-24h'!C81)</f>
        <v>0</v>
      </c>
      <c r="D81" s="49">
        <f>AVERAGE('09.08 Karenga-Kotido-24h'!D81,'10.08 Karenga-Kotido-24h'!D81)</f>
        <v>0</v>
      </c>
      <c r="E81" s="49">
        <f>AVERAGE('09.08 Karenga-Kotido-24h'!E81,'10.08 Karenga-Kotido-24h'!E81)</f>
        <v>0</v>
      </c>
      <c r="F81" s="49">
        <f>AVERAGE('09.08 Karenga-Kotido-24h'!F81,'10.08 Karenga-Kotido-24h'!F81)</f>
        <v>0</v>
      </c>
      <c r="G81" s="49">
        <f>AVERAGE('09.08 Karenga-Kotido-24h'!G81,'10.08 Karenga-Kotido-24h'!G81)</f>
        <v>0</v>
      </c>
      <c r="H81" s="49">
        <f>AVERAGE('09.08 Karenga-Kotido-24h'!H81,'10.08 Karenga-Kotido-24h'!H81)</f>
        <v>0</v>
      </c>
      <c r="I81" s="49">
        <f>AVERAGE('09.08 Karenga-Kotido-24h'!I81,'10.08 Karenga-Kotido-24h'!I81)</f>
        <v>0</v>
      </c>
      <c r="J81" s="49">
        <f>AVERAGE('09.08 Karenga-Kotido-24h'!J81,'10.08 Karenga-Kotido-24h'!J81)</f>
        <v>0</v>
      </c>
      <c r="K81" s="49">
        <f>AVERAGE('09.08 Karenga-Kotido-24h'!K81,'10.08 Karenga-Kotido-24h'!K81)</f>
        <v>0</v>
      </c>
      <c r="L81" s="49">
        <f>AVERAGE('09.08 Karenga-Kotido-24h'!L81,'10.08 Karenga-Kotido-24h'!L81)</f>
        <v>0</v>
      </c>
      <c r="M81" s="49">
        <f>AVERAGE('09.08 Karenga-Kotido-24h'!M81,'10.08 Karenga-Kotido-24h'!M81)</f>
        <v>0</v>
      </c>
      <c r="N81" s="49">
        <f>AVERAGE('09.08 Karenga-Kotido-24h'!N81,'10.08 Karenga-Kotido-24h'!N81)</f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24" t="s">
        <v>122</v>
      </c>
      <c r="C82" s="49">
        <f>AVERAGE('09.08 Karenga-Kotido-24h'!C82,'10.08 Karenga-Kotido-24h'!C82)</f>
        <v>0</v>
      </c>
      <c r="D82" s="49">
        <f>AVERAGE('09.08 Karenga-Kotido-24h'!D82,'10.08 Karenga-Kotido-24h'!D82)</f>
        <v>0</v>
      </c>
      <c r="E82" s="49">
        <f>AVERAGE('09.08 Karenga-Kotido-24h'!E82,'10.08 Karenga-Kotido-24h'!E82)</f>
        <v>0</v>
      </c>
      <c r="F82" s="49">
        <f>AVERAGE('09.08 Karenga-Kotido-24h'!F82,'10.08 Karenga-Kotido-24h'!F82)</f>
        <v>0</v>
      </c>
      <c r="G82" s="49">
        <f>AVERAGE('09.08 Karenga-Kotido-24h'!G82,'10.08 Karenga-Kotido-24h'!G82)</f>
        <v>0</v>
      </c>
      <c r="H82" s="49">
        <f>AVERAGE('09.08 Karenga-Kotido-24h'!H82,'10.08 Karenga-Kotido-24h'!H82)</f>
        <v>0</v>
      </c>
      <c r="I82" s="49">
        <f>AVERAGE('09.08 Karenga-Kotido-24h'!I82,'10.08 Karenga-Kotido-24h'!I82)</f>
        <v>0</v>
      </c>
      <c r="J82" s="49">
        <f>AVERAGE('09.08 Karenga-Kotido-24h'!J82,'10.08 Karenga-Kotido-24h'!J82)</f>
        <v>0</v>
      </c>
      <c r="K82" s="49">
        <f>AVERAGE('09.08 Karenga-Kotido-24h'!K82,'10.08 Karenga-Kotido-24h'!K82)</f>
        <v>0</v>
      </c>
      <c r="L82" s="49">
        <f>AVERAGE('09.08 Karenga-Kotido-24h'!L82,'10.08 Karenga-Kotido-24h'!L82)</f>
        <v>0</v>
      </c>
      <c r="M82" s="49">
        <f>AVERAGE('09.08 Karenga-Kotido-24h'!M82,'10.08 Karenga-Kotido-24h'!M82)</f>
        <v>0</v>
      </c>
      <c r="N82" s="49">
        <f>AVERAGE('09.08 Karenga-Kotido-24h'!N82,'10.08 Karenga-Kotido-24h'!N82)</f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23" t="s">
        <v>123</v>
      </c>
      <c r="C83" s="49">
        <f>AVERAGE('09.08 Karenga-Kotido-24h'!C83,'10.08 Karenga-Kotido-24h'!C83)</f>
        <v>0</v>
      </c>
      <c r="D83" s="49">
        <f>AVERAGE('09.08 Karenga-Kotido-24h'!D83,'10.08 Karenga-Kotido-24h'!D83)</f>
        <v>0</v>
      </c>
      <c r="E83" s="49">
        <f>AVERAGE('09.08 Karenga-Kotido-24h'!E83,'10.08 Karenga-Kotido-24h'!E83)</f>
        <v>0</v>
      </c>
      <c r="F83" s="49">
        <f>AVERAGE('09.08 Karenga-Kotido-24h'!F83,'10.08 Karenga-Kotido-24h'!F83)</f>
        <v>0</v>
      </c>
      <c r="G83" s="49">
        <f>AVERAGE('09.08 Karenga-Kotido-24h'!G83,'10.08 Karenga-Kotido-24h'!G83)</f>
        <v>0</v>
      </c>
      <c r="H83" s="49">
        <f>AVERAGE('09.08 Karenga-Kotido-24h'!H83,'10.08 Karenga-Kotido-24h'!H83)</f>
        <v>0</v>
      </c>
      <c r="I83" s="49">
        <f>AVERAGE('09.08 Karenga-Kotido-24h'!I83,'10.08 Karenga-Kotido-24h'!I83)</f>
        <v>0</v>
      </c>
      <c r="J83" s="49">
        <f>AVERAGE('09.08 Karenga-Kotido-24h'!J83,'10.08 Karenga-Kotido-24h'!J83)</f>
        <v>0</v>
      </c>
      <c r="K83" s="49">
        <f>AVERAGE('09.08 Karenga-Kotido-24h'!K83,'10.08 Karenga-Kotido-24h'!K83)</f>
        <v>0</v>
      </c>
      <c r="L83" s="49">
        <f>AVERAGE('09.08 Karenga-Kotido-24h'!L83,'10.08 Karenga-Kotido-24h'!L83)</f>
        <v>0</v>
      </c>
      <c r="M83" s="49">
        <f>AVERAGE('09.08 Karenga-Kotido-24h'!M83,'10.08 Karenga-Kotido-24h'!M83)</f>
        <v>0</v>
      </c>
      <c r="N83" s="49">
        <f>AVERAGE('09.08 Karenga-Kotido-24h'!N83,'10.08 Karenga-Kotido-24h'!N83)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AVERAGE('09.08 Karenga-Kotido-24h'!C84,'10.08 Karenga-Kotido-24h'!C84)</f>
        <v>0</v>
      </c>
      <c r="D84" s="49">
        <f>AVERAGE('09.08 Karenga-Kotido-24h'!D84,'10.08 Karenga-Kotido-24h'!D84)</f>
        <v>0</v>
      </c>
      <c r="E84" s="49">
        <f>AVERAGE('09.08 Karenga-Kotido-24h'!E84,'10.08 Karenga-Kotido-24h'!E84)</f>
        <v>0</v>
      </c>
      <c r="F84" s="49">
        <f>AVERAGE('09.08 Karenga-Kotido-24h'!F84,'10.08 Karenga-Kotido-24h'!F84)</f>
        <v>0</v>
      </c>
      <c r="G84" s="49">
        <f>AVERAGE('09.08 Karenga-Kotido-24h'!G84,'10.08 Karenga-Kotido-24h'!G84)</f>
        <v>0</v>
      </c>
      <c r="H84" s="49">
        <f>AVERAGE('09.08 Karenga-Kotido-24h'!H84,'10.08 Karenga-Kotido-24h'!H84)</f>
        <v>0</v>
      </c>
      <c r="I84" s="49">
        <f>AVERAGE('09.08 Karenga-Kotido-24h'!I84,'10.08 Karenga-Kotido-24h'!I84)</f>
        <v>0</v>
      </c>
      <c r="J84" s="49">
        <f>AVERAGE('09.08 Karenga-Kotido-24h'!J84,'10.08 Karenga-Kotido-24h'!J84)</f>
        <v>0</v>
      </c>
      <c r="K84" s="49">
        <f>AVERAGE('09.08 Karenga-Kotido-24h'!K84,'10.08 Karenga-Kotido-24h'!K84)</f>
        <v>0</v>
      </c>
      <c r="L84" s="49">
        <f>AVERAGE('09.08 Karenga-Kotido-24h'!L84,'10.08 Karenga-Kotido-24h'!L84)</f>
        <v>0</v>
      </c>
      <c r="M84" s="49">
        <f>AVERAGE('09.08 Karenga-Kotido-24h'!M84,'10.08 Karenga-Kotido-24h'!M84)</f>
        <v>0</v>
      </c>
      <c r="N84" s="49">
        <f>AVERAGE('09.08 Karenga-Kotido-24h'!N84,'10.08 Karenga-Kotido-24h'!N84)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AVERAGE('09.08 Karenga-Kotido-24h'!C85,'10.08 Karenga-Kotido-24h'!C85)</f>
        <v>0</v>
      </c>
      <c r="D85" s="49">
        <f>AVERAGE('09.08 Karenga-Kotido-24h'!D85,'10.08 Karenga-Kotido-24h'!D85)</f>
        <v>0</v>
      </c>
      <c r="E85" s="49">
        <f>AVERAGE('09.08 Karenga-Kotido-24h'!E85,'10.08 Karenga-Kotido-24h'!E85)</f>
        <v>0</v>
      </c>
      <c r="F85" s="49">
        <f>AVERAGE('09.08 Karenga-Kotido-24h'!F85,'10.08 Karenga-Kotido-24h'!F85)</f>
        <v>0</v>
      </c>
      <c r="G85" s="49">
        <f>AVERAGE('09.08 Karenga-Kotido-24h'!G85,'10.08 Karenga-Kotido-24h'!G85)</f>
        <v>0</v>
      </c>
      <c r="H85" s="49">
        <f>AVERAGE('09.08 Karenga-Kotido-24h'!H85,'10.08 Karenga-Kotido-24h'!H85)</f>
        <v>0</v>
      </c>
      <c r="I85" s="49">
        <f>AVERAGE('09.08 Karenga-Kotido-24h'!I85,'10.08 Karenga-Kotido-24h'!I85)</f>
        <v>0</v>
      </c>
      <c r="J85" s="49">
        <f>AVERAGE('09.08 Karenga-Kotido-24h'!J85,'10.08 Karenga-Kotido-24h'!J85)</f>
        <v>0</v>
      </c>
      <c r="K85" s="49">
        <f>AVERAGE('09.08 Karenga-Kotido-24h'!K85,'10.08 Karenga-Kotido-24h'!K85)</f>
        <v>0</v>
      </c>
      <c r="L85" s="49">
        <f>AVERAGE('09.08 Karenga-Kotido-24h'!L85,'10.08 Karenga-Kotido-24h'!L85)</f>
        <v>0</v>
      </c>
      <c r="M85" s="49">
        <f>AVERAGE('09.08 Karenga-Kotido-24h'!M85,'10.08 Karenga-Kotido-24h'!M85)</f>
        <v>0</v>
      </c>
      <c r="N85" s="49">
        <f>AVERAGE('09.08 Karenga-Kotido-24h'!N85,'10.08 Karenga-Kotido-24h'!N85)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AVERAGE('09.08 Karenga-Kotido-24h'!C86,'10.08 Karenga-Kotido-24h'!C86)</f>
        <v>0</v>
      </c>
      <c r="D86" s="49">
        <f>AVERAGE('09.08 Karenga-Kotido-24h'!D86,'10.08 Karenga-Kotido-24h'!D86)</f>
        <v>0</v>
      </c>
      <c r="E86" s="49">
        <f>AVERAGE('09.08 Karenga-Kotido-24h'!E86,'10.08 Karenga-Kotido-24h'!E86)</f>
        <v>0</v>
      </c>
      <c r="F86" s="49">
        <f>AVERAGE('09.08 Karenga-Kotido-24h'!F86,'10.08 Karenga-Kotido-24h'!F86)</f>
        <v>0</v>
      </c>
      <c r="G86" s="49">
        <f>AVERAGE('09.08 Karenga-Kotido-24h'!G86,'10.08 Karenga-Kotido-24h'!G86)</f>
        <v>0</v>
      </c>
      <c r="H86" s="49">
        <f>AVERAGE('09.08 Karenga-Kotido-24h'!H86,'10.08 Karenga-Kotido-24h'!H86)</f>
        <v>0</v>
      </c>
      <c r="I86" s="49">
        <f>AVERAGE('09.08 Karenga-Kotido-24h'!I86,'10.08 Karenga-Kotido-24h'!I86)</f>
        <v>0</v>
      </c>
      <c r="J86" s="49">
        <f>AVERAGE('09.08 Karenga-Kotido-24h'!J86,'10.08 Karenga-Kotido-24h'!J86)</f>
        <v>0</v>
      </c>
      <c r="K86" s="49">
        <f>AVERAGE('09.08 Karenga-Kotido-24h'!K86,'10.08 Karenga-Kotido-24h'!K86)</f>
        <v>0</v>
      </c>
      <c r="L86" s="49">
        <f>AVERAGE('09.08 Karenga-Kotido-24h'!L86,'10.08 Karenga-Kotido-24h'!L86)</f>
        <v>0</v>
      </c>
      <c r="M86" s="49">
        <f>AVERAGE('09.08 Karenga-Kotido-24h'!M86,'10.08 Karenga-Kotido-24h'!M86)</f>
        <v>0</v>
      </c>
      <c r="N86" s="49">
        <f>AVERAGE('09.08 Karenga-Kotido-24h'!N86,'10.08 Karenga-Kotido-24h'!N86)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AVERAGE('09.08 Karenga-Kotido-24h'!C87,'10.08 Karenga-Kotido-24h'!C87)</f>
        <v>0</v>
      </c>
      <c r="D87" s="49">
        <f>AVERAGE('09.08 Karenga-Kotido-24h'!D87,'10.08 Karenga-Kotido-24h'!D87)</f>
        <v>0</v>
      </c>
      <c r="E87" s="49">
        <f>AVERAGE('09.08 Karenga-Kotido-24h'!E87,'10.08 Karenga-Kotido-24h'!E87)</f>
        <v>0</v>
      </c>
      <c r="F87" s="49">
        <f>AVERAGE('09.08 Karenga-Kotido-24h'!F87,'10.08 Karenga-Kotido-24h'!F87)</f>
        <v>0</v>
      </c>
      <c r="G87" s="49">
        <f>AVERAGE('09.08 Karenga-Kotido-24h'!G87,'10.08 Karenga-Kotido-24h'!G87)</f>
        <v>0</v>
      </c>
      <c r="H87" s="49">
        <f>AVERAGE('09.08 Karenga-Kotido-24h'!H87,'10.08 Karenga-Kotido-24h'!H87)</f>
        <v>0</v>
      </c>
      <c r="I87" s="49">
        <f>AVERAGE('09.08 Karenga-Kotido-24h'!I87,'10.08 Karenga-Kotido-24h'!I87)</f>
        <v>0</v>
      </c>
      <c r="J87" s="49">
        <f>AVERAGE('09.08 Karenga-Kotido-24h'!J87,'10.08 Karenga-Kotido-24h'!J87)</f>
        <v>0</v>
      </c>
      <c r="K87" s="49">
        <f>AVERAGE('09.08 Karenga-Kotido-24h'!K87,'10.08 Karenga-Kotido-24h'!K87)</f>
        <v>0</v>
      </c>
      <c r="L87" s="49">
        <f>AVERAGE('09.08 Karenga-Kotido-24h'!L87,'10.08 Karenga-Kotido-24h'!L87)</f>
        <v>0</v>
      </c>
      <c r="M87" s="49">
        <f>AVERAGE('09.08 Karenga-Kotido-24h'!M87,'10.08 Karenga-Kotido-24h'!M87)</f>
        <v>0</v>
      </c>
      <c r="N87" s="49">
        <f>AVERAGE('09.08 Karenga-Kotido-24h'!N87,'10.08 Karenga-Kotido-24h'!N87)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AVERAGE('09.08 Karenga-Kotido-24h'!C88,'10.08 Karenga-Kotido-24h'!C88)</f>
        <v>0</v>
      </c>
      <c r="D88" s="49">
        <f>AVERAGE('09.08 Karenga-Kotido-24h'!D88,'10.08 Karenga-Kotido-24h'!D88)</f>
        <v>0</v>
      </c>
      <c r="E88" s="49">
        <f>AVERAGE('09.08 Karenga-Kotido-24h'!E88,'10.08 Karenga-Kotido-24h'!E88)</f>
        <v>0</v>
      </c>
      <c r="F88" s="49">
        <f>AVERAGE('09.08 Karenga-Kotido-24h'!F88,'10.08 Karenga-Kotido-24h'!F88)</f>
        <v>0</v>
      </c>
      <c r="G88" s="49">
        <f>AVERAGE('09.08 Karenga-Kotido-24h'!G88,'10.08 Karenga-Kotido-24h'!G88)</f>
        <v>0</v>
      </c>
      <c r="H88" s="49">
        <f>AVERAGE('09.08 Karenga-Kotido-24h'!H88,'10.08 Karenga-Kotido-24h'!H88)</f>
        <v>0</v>
      </c>
      <c r="I88" s="49">
        <f>AVERAGE('09.08 Karenga-Kotido-24h'!I88,'10.08 Karenga-Kotido-24h'!I88)</f>
        <v>0</v>
      </c>
      <c r="J88" s="49">
        <f>AVERAGE('09.08 Karenga-Kotido-24h'!J88,'10.08 Karenga-Kotido-24h'!J88)</f>
        <v>0</v>
      </c>
      <c r="K88" s="49">
        <f>AVERAGE('09.08 Karenga-Kotido-24h'!K88,'10.08 Karenga-Kotido-24h'!K88)</f>
        <v>0</v>
      </c>
      <c r="L88" s="49">
        <f>AVERAGE('09.08 Karenga-Kotido-24h'!L88,'10.08 Karenga-Kotido-24h'!L88)</f>
        <v>0</v>
      </c>
      <c r="M88" s="49">
        <f>AVERAGE('09.08 Karenga-Kotido-24h'!M88,'10.08 Karenga-Kotido-24h'!M88)</f>
        <v>0</v>
      </c>
      <c r="N88" s="49">
        <f>AVERAGE('09.08 Karenga-Kotido-24h'!N88,'10.08 Karenga-Kotido-24h'!N88)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AVERAGE('09.08 Karenga-Kotido-24h'!C89,'10.08 Karenga-Kotido-24h'!C89)</f>
        <v>0</v>
      </c>
      <c r="D89" s="49">
        <f>AVERAGE('09.08 Karenga-Kotido-24h'!D89,'10.08 Karenga-Kotido-24h'!D89)</f>
        <v>0</v>
      </c>
      <c r="E89" s="49">
        <f>AVERAGE('09.08 Karenga-Kotido-24h'!E89,'10.08 Karenga-Kotido-24h'!E89)</f>
        <v>0</v>
      </c>
      <c r="F89" s="49">
        <f>AVERAGE('09.08 Karenga-Kotido-24h'!F89,'10.08 Karenga-Kotido-24h'!F89)</f>
        <v>0</v>
      </c>
      <c r="G89" s="49">
        <f>AVERAGE('09.08 Karenga-Kotido-24h'!G89,'10.08 Karenga-Kotido-24h'!G89)</f>
        <v>0</v>
      </c>
      <c r="H89" s="49">
        <f>AVERAGE('09.08 Karenga-Kotido-24h'!H89,'10.08 Karenga-Kotido-24h'!H89)</f>
        <v>0</v>
      </c>
      <c r="I89" s="49">
        <f>AVERAGE('09.08 Karenga-Kotido-24h'!I89,'10.08 Karenga-Kotido-24h'!I89)</f>
        <v>0</v>
      </c>
      <c r="J89" s="49">
        <f>AVERAGE('09.08 Karenga-Kotido-24h'!J89,'10.08 Karenga-Kotido-24h'!J89)</f>
        <v>0</v>
      </c>
      <c r="K89" s="49">
        <f>AVERAGE('09.08 Karenga-Kotido-24h'!K89,'10.08 Karenga-Kotido-24h'!K89)</f>
        <v>0</v>
      </c>
      <c r="L89" s="49">
        <f>AVERAGE('09.08 Karenga-Kotido-24h'!L89,'10.08 Karenga-Kotido-24h'!L89)</f>
        <v>0</v>
      </c>
      <c r="M89" s="49">
        <f>AVERAGE('09.08 Karenga-Kotido-24h'!M89,'10.08 Karenga-Kotido-24h'!M89)</f>
        <v>0</v>
      </c>
      <c r="N89" s="49">
        <f>AVERAGE('09.08 Karenga-Kotido-24h'!N89,'10.08 Karenga-Kotido-24h'!N89)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AVERAGE('09.08 Karenga-Kotido-24h'!C90,'10.08 Karenga-Kotido-24h'!C90)</f>
        <v>0</v>
      </c>
      <c r="D90" s="49">
        <f>AVERAGE('09.08 Karenga-Kotido-24h'!D90,'10.08 Karenga-Kotido-24h'!D90)</f>
        <v>0</v>
      </c>
      <c r="E90" s="49">
        <f>AVERAGE('09.08 Karenga-Kotido-24h'!E90,'10.08 Karenga-Kotido-24h'!E90)</f>
        <v>0</v>
      </c>
      <c r="F90" s="49">
        <f>AVERAGE('09.08 Karenga-Kotido-24h'!F90,'10.08 Karenga-Kotido-24h'!F90)</f>
        <v>0</v>
      </c>
      <c r="G90" s="49">
        <f>AVERAGE('09.08 Karenga-Kotido-24h'!G90,'10.08 Karenga-Kotido-24h'!G90)</f>
        <v>0</v>
      </c>
      <c r="H90" s="49">
        <f>AVERAGE('09.08 Karenga-Kotido-24h'!H90,'10.08 Karenga-Kotido-24h'!H90)</f>
        <v>0</v>
      </c>
      <c r="I90" s="49">
        <f>AVERAGE('09.08 Karenga-Kotido-24h'!I90,'10.08 Karenga-Kotido-24h'!I90)</f>
        <v>0</v>
      </c>
      <c r="J90" s="49">
        <f>AVERAGE('09.08 Karenga-Kotido-24h'!J90,'10.08 Karenga-Kotido-24h'!J90)</f>
        <v>0</v>
      </c>
      <c r="K90" s="49">
        <f>AVERAGE('09.08 Karenga-Kotido-24h'!K90,'10.08 Karenga-Kotido-24h'!K90)</f>
        <v>0</v>
      </c>
      <c r="L90" s="49">
        <f>AVERAGE('09.08 Karenga-Kotido-24h'!L90,'10.08 Karenga-Kotido-24h'!L90)</f>
        <v>0</v>
      </c>
      <c r="M90" s="49">
        <f>AVERAGE('09.08 Karenga-Kotido-24h'!M90,'10.08 Karenga-Kotido-24h'!M90)</f>
        <v>0</v>
      </c>
      <c r="N90" s="49">
        <f>AVERAGE('09.08 Karenga-Kotido-24h'!N90,'10.08 Karenga-Kotido-24h'!N90)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AVERAGE('09.08 Karenga-Kotido-24h'!C91,'10.08 Karenga-Kotido-24h'!C91)</f>
        <v>0</v>
      </c>
      <c r="D91" s="49">
        <f>AVERAGE('09.08 Karenga-Kotido-24h'!D91,'10.08 Karenga-Kotido-24h'!D91)</f>
        <v>0</v>
      </c>
      <c r="E91" s="49">
        <f>AVERAGE('09.08 Karenga-Kotido-24h'!E91,'10.08 Karenga-Kotido-24h'!E91)</f>
        <v>0</v>
      </c>
      <c r="F91" s="49">
        <f>AVERAGE('09.08 Karenga-Kotido-24h'!F91,'10.08 Karenga-Kotido-24h'!F91)</f>
        <v>0</v>
      </c>
      <c r="G91" s="49">
        <f>AVERAGE('09.08 Karenga-Kotido-24h'!G91,'10.08 Karenga-Kotido-24h'!G91)</f>
        <v>0</v>
      </c>
      <c r="H91" s="49">
        <f>AVERAGE('09.08 Karenga-Kotido-24h'!H91,'10.08 Karenga-Kotido-24h'!H91)</f>
        <v>0</v>
      </c>
      <c r="I91" s="49">
        <f>AVERAGE('09.08 Karenga-Kotido-24h'!I91,'10.08 Karenga-Kotido-24h'!I91)</f>
        <v>0</v>
      </c>
      <c r="J91" s="49">
        <f>AVERAGE('09.08 Karenga-Kotido-24h'!J91,'10.08 Karenga-Kotido-24h'!J91)</f>
        <v>0</v>
      </c>
      <c r="K91" s="49">
        <f>AVERAGE('09.08 Karenga-Kotido-24h'!K91,'10.08 Karenga-Kotido-24h'!K91)</f>
        <v>0</v>
      </c>
      <c r="L91" s="49">
        <f>AVERAGE('09.08 Karenga-Kotido-24h'!L91,'10.08 Karenga-Kotido-24h'!L91)</f>
        <v>0</v>
      </c>
      <c r="M91" s="49">
        <f>AVERAGE('09.08 Karenga-Kotido-24h'!M91,'10.08 Karenga-Kotido-24h'!M91)</f>
        <v>0</v>
      </c>
      <c r="N91" s="49">
        <f>AVERAGE('09.08 Karenga-Kotido-24h'!N91,'10.08 Karenga-Kotido-24h'!N91)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AVERAGE('09.08 Karenga-Kotido-24h'!C92,'10.08 Karenga-Kotido-24h'!C92)</f>
        <v>0</v>
      </c>
      <c r="D92" s="49">
        <f>AVERAGE('09.08 Karenga-Kotido-24h'!D92,'10.08 Karenga-Kotido-24h'!D92)</f>
        <v>0</v>
      </c>
      <c r="E92" s="49">
        <f>AVERAGE('09.08 Karenga-Kotido-24h'!E92,'10.08 Karenga-Kotido-24h'!E92)</f>
        <v>0</v>
      </c>
      <c r="F92" s="49">
        <f>AVERAGE('09.08 Karenga-Kotido-24h'!F92,'10.08 Karenga-Kotido-24h'!F92)</f>
        <v>0</v>
      </c>
      <c r="G92" s="49">
        <f>AVERAGE('09.08 Karenga-Kotido-24h'!G92,'10.08 Karenga-Kotido-24h'!G92)</f>
        <v>0</v>
      </c>
      <c r="H92" s="49">
        <f>AVERAGE('09.08 Karenga-Kotido-24h'!H92,'10.08 Karenga-Kotido-24h'!H92)</f>
        <v>0</v>
      </c>
      <c r="I92" s="49">
        <f>AVERAGE('09.08 Karenga-Kotido-24h'!I92,'10.08 Karenga-Kotido-24h'!I92)</f>
        <v>0</v>
      </c>
      <c r="J92" s="49">
        <f>AVERAGE('09.08 Karenga-Kotido-24h'!J92,'10.08 Karenga-Kotido-24h'!J92)</f>
        <v>0</v>
      </c>
      <c r="K92" s="49">
        <f>AVERAGE('09.08 Karenga-Kotido-24h'!K92,'10.08 Karenga-Kotido-24h'!K92)</f>
        <v>0</v>
      </c>
      <c r="L92" s="49">
        <f>AVERAGE('09.08 Karenga-Kotido-24h'!L92,'10.08 Karenga-Kotido-24h'!L92)</f>
        <v>0</v>
      </c>
      <c r="M92" s="49">
        <f>AVERAGE('09.08 Karenga-Kotido-24h'!M92,'10.08 Karenga-Kotido-24h'!M92)</f>
        <v>0</v>
      </c>
      <c r="N92" s="49">
        <f>AVERAGE('09.08 Karenga-Kotido-24h'!N92,'10.08 Karenga-Kotido-24h'!N92)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AVERAGE('09.08 Karenga-Kotido-24h'!C93,'10.08 Karenga-Kotido-24h'!C93)</f>
        <v>0</v>
      </c>
      <c r="D93" s="49">
        <f>AVERAGE('09.08 Karenga-Kotido-24h'!D93,'10.08 Karenga-Kotido-24h'!D93)</f>
        <v>0</v>
      </c>
      <c r="E93" s="49">
        <f>AVERAGE('09.08 Karenga-Kotido-24h'!E93,'10.08 Karenga-Kotido-24h'!E93)</f>
        <v>0</v>
      </c>
      <c r="F93" s="49">
        <f>AVERAGE('09.08 Karenga-Kotido-24h'!F93,'10.08 Karenga-Kotido-24h'!F93)</f>
        <v>0</v>
      </c>
      <c r="G93" s="49">
        <f>AVERAGE('09.08 Karenga-Kotido-24h'!G93,'10.08 Karenga-Kotido-24h'!G93)</f>
        <v>0</v>
      </c>
      <c r="H93" s="49">
        <f>AVERAGE('09.08 Karenga-Kotido-24h'!H93,'10.08 Karenga-Kotido-24h'!H93)</f>
        <v>0</v>
      </c>
      <c r="I93" s="49">
        <f>AVERAGE('09.08 Karenga-Kotido-24h'!I93,'10.08 Karenga-Kotido-24h'!I93)</f>
        <v>0</v>
      </c>
      <c r="J93" s="49">
        <f>AVERAGE('09.08 Karenga-Kotido-24h'!J93,'10.08 Karenga-Kotido-24h'!J93)</f>
        <v>0</v>
      </c>
      <c r="K93" s="49">
        <f>AVERAGE('09.08 Karenga-Kotido-24h'!K93,'10.08 Karenga-Kotido-24h'!K93)</f>
        <v>0</v>
      </c>
      <c r="L93" s="49">
        <f>AVERAGE('09.08 Karenga-Kotido-24h'!L93,'10.08 Karenga-Kotido-24h'!L93)</f>
        <v>0</v>
      </c>
      <c r="M93" s="49">
        <f>AVERAGE('09.08 Karenga-Kotido-24h'!M93,'10.08 Karenga-Kotido-24h'!M93)</f>
        <v>0</v>
      </c>
      <c r="N93" s="49">
        <f>AVERAGE('09.08 Karenga-Kotido-24h'!N93,'10.08 Karenga-Kotido-24h'!N93)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AVERAGE('09.08 Karenga-Kotido-24h'!C94,'10.08 Karenga-Kotido-24h'!C94)</f>
        <v>0</v>
      </c>
      <c r="D94" s="49">
        <f>AVERAGE('09.08 Karenga-Kotido-24h'!D94,'10.08 Karenga-Kotido-24h'!D94)</f>
        <v>0</v>
      </c>
      <c r="E94" s="49">
        <f>AVERAGE('09.08 Karenga-Kotido-24h'!E94,'10.08 Karenga-Kotido-24h'!E94)</f>
        <v>0</v>
      </c>
      <c r="F94" s="49">
        <f>AVERAGE('09.08 Karenga-Kotido-24h'!F94,'10.08 Karenga-Kotido-24h'!F94)</f>
        <v>0</v>
      </c>
      <c r="G94" s="49">
        <f>AVERAGE('09.08 Karenga-Kotido-24h'!G94,'10.08 Karenga-Kotido-24h'!G94)</f>
        <v>0</v>
      </c>
      <c r="H94" s="49">
        <f>AVERAGE('09.08 Karenga-Kotido-24h'!H94,'10.08 Karenga-Kotido-24h'!H94)</f>
        <v>0</v>
      </c>
      <c r="I94" s="49">
        <f>AVERAGE('09.08 Karenga-Kotido-24h'!I94,'10.08 Karenga-Kotido-24h'!I94)</f>
        <v>0</v>
      </c>
      <c r="J94" s="49">
        <f>AVERAGE('09.08 Karenga-Kotido-24h'!J94,'10.08 Karenga-Kotido-24h'!J94)</f>
        <v>0</v>
      </c>
      <c r="K94" s="49">
        <f>AVERAGE('09.08 Karenga-Kotido-24h'!K94,'10.08 Karenga-Kotido-24h'!K94)</f>
        <v>0</v>
      </c>
      <c r="L94" s="49">
        <f>AVERAGE('09.08 Karenga-Kotido-24h'!L94,'10.08 Karenga-Kotido-24h'!L94)</f>
        <v>0</v>
      </c>
      <c r="M94" s="49">
        <f>AVERAGE('09.08 Karenga-Kotido-24h'!M94,'10.08 Karenga-Kotido-24h'!M94)</f>
        <v>0</v>
      </c>
      <c r="N94" s="49">
        <f>AVERAGE('09.08 Karenga-Kotido-24h'!N94,'10.08 Karenga-Kotido-24h'!N94)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AVERAGE('09.08 Karenga-Kotido-24h'!C95,'10.08 Karenga-Kotido-24h'!C95)</f>
        <v>0</v>
      </c>
      <c r="D95" s="49">
        <f>AVERAGE('09.08 Karenga-Kotido-24h'!D95,'10.08 Karenga-Kotido-24h'!D95)</f>
        <v>0</v>
      </c>
      <c r="E95" s="49">
        <f>AVERAGE('09.08 Karenga-Kotido-24h'!E95,'10.08 Karenga-Kotido-24h'!E95)</f>
        <v>0</v>
      </c>
      <c r="F95" s="49">
        <f>AVERAGE('09.08 Karenga-Kotido-24h'!F95,'10.08 Karenga-Kotido-24h'!F95)</f>
        <v>0</v>
      </c>
      <c r="G95" s="49">
        <f>AVERAGE('09.08 Karenga-Kotido-24h'!G95,'10.08 Karenga-Kotido-24h'!G95)</f>
        <v>0</v>
      </c>
      <c r="H95" s="49">
        <f>AVERAGE('09.08 Karenga-Kotido-24h'!H95,'10.08 Karenga-Kotido-24h'!H95)</f>
        <v>0</v>
      </c>
      <c r="I95" s="49">
        <f>AVERAGE('09.08 Karenga-Kotido-24h'!I95,'10.08 Karenga-Kotido-24h'!I95)</f>
        <v>0</v>
      </c>
      <c r="J95" s="49">
        <f>AVERAGE('09.08 Karenga-Kotido-24h'!J95,'10.08 Karenga-Kotido-24h'!J95)</f>
        <v>0</v>
      </c>
      <c r="K95" s="49">
        <f>AVERAGE('09.08 Karenga-Kotido-24h'!K95,'10.08 Karenga-Kotido-24h'!K95)</f>
        <v>0</v>
      </c>
      <c r="L95" s="49">
        <f>AVERAGE('09.08 Karenga-Kotido-24h'!L95,'10.08 Karenga-Kotido-24h'!L95)</f>
        <v>0</v>
      </c>
      <c r="M95" s="49">
        <f>AVERAGE('09.08 Karenga-Kotido-24h'!M95,'10.08 Karenga-Kotido-24h'!M95)</f>
        <v>0</v>
      </c>
      <c r="N95" s="49">
        <f>AVERAGE('09.08 Karenga-Kotido-24h'!N95,'10.08 Karenga-Kotido-24h'!N95)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AVERAGE('09.08 Karenga-Kotido-24h'!C96,'10.08 Karenga-Kotido-24h'!C96)</f>
        <v>0</v>
      </c>
      <c r="D96" s="49">
        <f>AVERAGE('09.08 Karenga-Kotido-24h'!D96,'10.08 Karenga-Kotido-24h'!D96)</f>
        <v>0</v>
      </c>
      <c r="E96" s="49">
        <f>AVERAGE('09.08 Karenga-Kotido-24h'!E96,'10.08 Karenga-Kotido-24h'!E96)</f>
        <v>0</v>
      </c>
      <c r="F96" s="49">
        <f>AVERAGE('09.08 Karenga-Kotido-24h'!F96,'10.08 Karenga-Kotido-24h'!F96)</f>
        <v>0</v>
      </c>
      <c r="G96" s="49">
        <f>AVERAGE('09.08 Karenga-Kotido-24h'!G96,'10.08 Karenga-Kotido-24h'!G96)</f>
        <v>0</v>
      </c>
      <c r="H96" s="49">
        <f>AVERAGE('09.08 Karenga-Kotido-24h'!H96,'10.08 Karenga-Kotido-24h'!H96)</f>
        <v>0</v>
      </c>
      <c r="I96" s="49">
        <f>AVERAGE('09.08 Karenga-Kotido-24h'!I96,'10.08 Karenga-Kotido-24h'!I96)</f>
        <v>0</v>
      </c>
      <c r="J96" s="49">
        <f>AVERAGE('09.08 Karenga-Kotido-24h'!J96,'10.08 Karenga-Kotido-24h'!J96)</f>
        <v>0</v>
      </c>
      <c r="K96" s="49">
        <f>AVERAGE('09.08 Karenga-Kotido-24h'!K96,'10.08 Karenga-Kotido-24h'!K96)</f>
        <v>0</v>
      </c>
      <c r="L96" s="49">
        <f>AVERAGE('09.08 Karenga-Kotido-24h'!L96,'10.08 Karenga-Kotido-24h'!L96)</f>
        <v>0</v>
      </c>
      <c r="M96" s="49">
        <f>AVERAGE('09.08 Karenga-Kotido-24h'!M96,'10.08 Karenga-Kotido-24h'!M96)</f>
        <v>0</v>
      </c>
      <c r="N96" s="49">
        <f>AVERAGE('09.08 Karenga-Kotido-24h'!N96,'10.08 Karenga-Kotido-24h'!N96)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AVERAGE('09.08 Karenga-Kotido-24h'!C97,'10.08 Karenga-Kotido-24h'!C97)</f>
        <v>0</v>
      </c>
      <c r="D97" s="49">
        <f>AVERAGE('09.08 Karenga-Kotido-24h'!D97,'10.08 Karenga-Kotido-24h'!D97)</f>
        <v>0</v>
      </c>
      <c r="E97" s="49">
        <f>AVERAGE('09.08 Karenga-Kotido-24h'!E97,'10.08 Karenga-Kotido-24h'!E97)</f>
        <v>0</v>
      </c>
      <c r="F97" s="49">
        <f>AVERAGE('09.08 Karenga-Kotido-24h'!F97,'10.08 Karenga-Kotido-24h'!F97)</f>
        <v>0</v>
      </c>
      <c r="G97" s="49">
        <f>AVERAGE('09.08 Karenga-Kotido-24h'!G97,'10.08 Karenga-Kotido-24h'!G97)</f>
        <v>0</v>
      </c>
      <c r="H97" s="49">
        <f>AVERAGE('09.08 Karenga-Kotido-24h'!H97,'10.08 Karenga-Kotido-24h'!H97)</f>
        <v>0</v>
      </c>
      <c r="I97" s="49">
        <f>AVERAGE('09.08 Karenga-Kotido-24h'!I97,'10.08 Karenga-Kotido-24h'!I97)</f>
        <v>0</v>
      </c>
      <c r="J97" s="49">
        <f>AVERAGE('09.08 Karenga-Kotido-24h'!J97,'10.08 Karenga-Kotido-24h'!J97)</f>
        <v>0</v>
      </c>
      <c r="K97" s="49">
        <f>AVERAGE('09.08 Karenga-Kotido-24h'!K97,'10.08 Karenga-Kotido-24h'!K97)</f>
        <v>0</v>
      </c>
      <c r="L97" s="49">
        <f>AVERAGE('09.08 Karenga-Kotido-24h'!L97,'10.08 Karenga-Kotido-24h'!L97)</f>
        <v>0</v>
      </c>
      <c r="M97" s="49">
        <f>AVERAGE('09.08 Karenga-Kotido-24h'!M97,'10.08 Karenga-Kotido-24h'!M97)</f>
        <v>0</v>
      </c>
      <c r="N97" s="49">
        <f>AVERAGE('09.08 Karenga-Kotido-24h'!N97,'10.08 Karenga-Kotido-24h'!N97)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AVERAGE('09.08 Karenga-Kotido-24h'!C98,'10.08 Karenga-Kotido-24h'!C98)</f>
        <v>0</v>
      </c>
      <c r="D98" s="49">
        <f>AVERAGE('09.08 Karenga-Kotido-24h'!D98,'10.08 Karenga-Kotido-24h'!D98)</f>
        <v>0</v>
      </c>
      <c r="E98" s="49">
        <f>AVERAGE('09.08 Karenga-Kotido-24h'!E98,'10.08 Karenga-Kotido-24h'!E98)</f>
        <v>0</v>
      </c>
      <c r="F98" s="49">
        <f>AVERAGE('09.08 Karenga-Kotido-24h'!F98,'10.08 Karenga-Kotido-24h'!F98)</f>
        <v>0</v>
      </c>
      <c r="G98" s="49">
        <f>AVERAGE('09.08 Karenga-Kotido-24h'!G98,'10.08 Karenga-Kotido-24h'!G98)</f>
        <v>0</v>
      </c>
      <c r="H98" s="49">
        <f>AVERAGE('09.08 Karenga-Kotido-24h'!H98,'10.08 Karenga-Kotido-24h'!H98)</f>
        <v>0</v>
      </c>
      <c r="I98" s="49">
        <f>AVERAGE('09.08 Karenga-Kotido-24h'!I98,'10.08 Karenga-Kotido-24h'!I98)</f>
        <v>0</v>
      </c>
      <c r="J98" s="49">
        <f>AVERAGE('09.08 Karenga-Kotido-24h'!J98,'10.08 Karenga-Kotido-24h'!J98)</f>
        <v>0</v>
      </c>
      <c r="K98" s="49">
        <f>AVERAGE('09.08 Karenga-Kotido-24h'!K98,'10.08 Karenga-Kotido-24h'!K98)</f>
        <v>0</v>
      </c>
      <c r="L98" s="49">
        <f>AVERAGE('09.08 Karenga-Kotido-24h'!L98,'10.08 Karenga-Kotido-24h'!L98)</f>
        <v>0</v>
      </c>
      <c r="M98" s="49">
        <f>AVERAGE('09.08 Karenga-Kotido-24h'!M98,'10.08 Karenga-Kotido-24h'!M98)</f>
        <v>0</v>
      </c>
      <c r="N98" s="49">
        <f>AVERAGE('09.08 Karenga-Kotido-24h'!N98,'10.08 Karenga-Kotido-24h'!N98)</f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23" t="s">
        <v>139</v>
      </c>
      <c r="C99" s="49">
        <f>AVERAGE('09.08 Karenga-Kotido-24h'!C99,'10.08 Karenga-Kotido-24h'!C99)</f>
        <v>0</v>
      </c>
      <c r="D99" s="49">
        <f>AVERAGE('09.08 Karenga-Kotido-24h'!D99,'10.08 Karenga-Kotido-24h'!D99)</f>
        <v>0</v>
      </c>
      <c r="E99" s="49">
        <f>AVERAGE('09.08 Karenga-Kotido-24h'!E99,'10.08 Karenga-Kotido-24h'!E99)</f>
        <v>0</v>
      </c>
      <c r="F99" s="49">
        <f>AVERAGE('09.08 Karenga-Kotido-24h'!F99,'10.08 Karenga-Kotido-24h'!F99)</f>
        <v>0</v>
      </c>
      <c r="G99" s="49">
        <f>AVERAGE('09.08 Karenga-Kotido-24h'!G99,'10.08 Karenga-Kotido-24h'!G99)</f>
        <v>0</v>
      </c>
      <c r="H99" s="49">
        <f>AVERAGE('09.08 Karenga-Kotido-24h'!H99,'10.08 Karenga-Kotido-24h'!H99)</f>
        <v>0</v>
      </c>
      <c r="I99" s="49">
        <f>AVERAGE('09.08 Karenga-Kotido-24h'!I99,'10.08 Karenga-Kotido-24h'!I99)</f>
        <v>0</v>
      </c>
      <c r="J99" s="49">
        <f>AVERAGE('09.08 Karenga-Kotido-24h'!J99,'10.08 Karenga-Kotido-24h'!J99)</f>
        <v>0</v>
      </c>
      <c r="K99" s="49">
        <f>AVERAGE('09.08 Karenga-Kotido-24h'!K99,'10.08 Karenga-Kotido-24h'!K99)</f>
        <v>0</v>
      </c>
      <c r="L99" s="49">
        <f>AVERAGE('09.08 Karenga-Kotido-24h'!L99,'10.08 Karenga-Kotido-24h'!L99)</f>
        <v>0</v>
      </c>
      <c r="M99" s="49">
        <f>AVERAGE('09.08 Karenga-Kotido-24h'!M99,'10.08 Karenga-Kotido-24h'!M99)</f>
        <v>0</v>
      </c>
      <c r="N99" s="49">
        <f>AVERAGE('09.08 Karenga-Kotido-24h'!N99,'10.08 Karenga-Kotido-24h'!N99)</f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25" t="s">
        <v>140</v>
      </c>
      <c r="C100" s="49">
        <f>AVERAGE('09.08 Karenga-Kotido-24h'!C100,'10.08 Karenga-Kotido-24h'!C100)</f>
        <v>0</v>
      </c>
      <c r="D100" s="49">
        <f>AVERAGE('09.08 Karenga-Kotido-24h'!D100,'10.08 Karenga-Kotido-24h'!D100)</f>
        <v>0</v>
      </c>
      <c r="E100" s="49">
        <f>AVERAGE('09.08 Karenga-Kotido-24h'!E100,'10.08 Karenga-Kotido-24h'!E100)</f>
        <v>0</v>
      </c>
      <c r="F100" s="49">
        <f>AVERAGE('09.08 Karenga-Kotido-24h'!F100,'10.08 Karenga-Kotido-24h'!F100)</f>
        <v>0</v>
      </c>
      <c r="G100" s="49">
        <f>AVERAGE('09.08 Karenga-Kotido-24h'!G100,'10.08 Karenga-Kotido-24h'!G100)</f>
        <v>0</v>
      </c>
      <c r="H100" s="49">
        <f>AVERAGE('09.08 Karenga-Kotido-24h'!H100,'10.08 Karenga-Kotido-24h'!H100)</f>
        <v>0</v>
      </c>
      <c r="I100" s="49">
        <f>AVERAGE('09.08 Karenga-Kotido-24h'!I100,'10.08 Karenga-Kotido-24h'!I100)</f>
        <v>0</v>
      </c>
      <c r="J100" s="49">
        <f>AVERAGE('09.08 Karenga-Kotido-24h'!J100,'10.08 Karenga-Kotido-24h'!J100)</f>
        <v>0</v>
      </c>
      <c r="K100" s="49">
        <f>AVERAGE('09.08 Karenga-Kotido-24h'!K100,'10.08 Karenga-Kotido-24h'!K100)</f>
        <v>0</v>
      </c>
      <c r="L100" s="49">
        <f>AVERAGE('09.08 Karenga-Kotido-24h'!L100,'10.08 Karenga-Kotido-24h'!L100)</f>
        <v>0</v>
      </c>
      <c r="M100" s="49">
        <f>AVERAGE('09.08 Karenga-Kotido-24h'!M100,'10.08 Karenga-Kotido-24h'!M100)</f>
        <v>0</v>
      </c>
      <c r="N100" s="49">
        <f>AVERAGE('09.08 Karenga-Kotido-24h'!N100,'10.08 Karenga-Kotido-24h'!N100)</f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23" t="s">
        <v>141</v>
      </c>
      <c r="C101" s="49">
        <f>AVERAGE('09.08 Karenga-Kotido-24h'!C101,'10.08 Karenga-Kotido-24h'!C101)</f>
        <v>0</v>
      </c>
      <c r="D101" s="49">
        <f>AVERAGE('09.08 Karenga-Kotido-24h'!D101,'10.08 Karenga-Kotido-24h'!D101)</f>
        <v>0</v>
      </c>
      <c r="E101" s="49">
        <f>AVERAGE('09.08 Karenga-Kotido-24h'!E101,'10.08 Karenga-Kotido-24h'!E101)</f>
        <v>0</v>
      </c>
      <c r="F101" s="49">
        <f>AVERAGE('09.08 Karenga-Kotido-24h'!F101,'10.08 Karenga-Kotido-24h'!F101)</f>
        <v>0</v>
      </c>
      <c r="G101" s="49">
        <f>AVERAGE('09.08 Karenga-Kotido-24h'!G101,'10.08 Karenga-Kotido-24h'!G101)</f>
        <v>0</v>
      </c>
      <c r="H101" s="49">
        <f>AVERAGE('09.08 Karenga-Kotido-24h'!H101,'10.08 Karenga-Kotido-24h'!H101)</f>
        <v>0</v>
      </c>
      <c r="I101" s="49">
        <f>AVERAGE('09.08 Karenga-Kotido-24h'!I101,'10.08 Karenga-Kotido-24h'!I101)</f>
        <v>0</v>
      </c>
      <c r="J101" s="49">
        <f>AVERAGE('09.08 Karenga-Kotido-24h'!J101,'10.08 Karenga-Kotido-24h'!J101)</f>
        <v>0</v>
      </c>
      <c r="K101" s="49">
        <f>AVERAGE('09.08 Karenga-Kotido-24h'!K101,'10.08 Karenga-Kotido-24h'!K101)</f>
        <v>0</v>
      </c>
      <c r="L101" s="49">
        <f>AVERAGE('09.08 Karenga-Kotido-24h'!L101,'10.08 Karenga-Kotido-24h'!L101)</f>
        <v>0</v>
      </c>
      <c r="M101" s="49">
        <f>AVERAGE('09.08 Karenga-Kotido-24h'!M101,'10.08 Karenga-Kotido-24h'!M101)</f>
        <v>0</v>
      </c>
      <c r="N101" s="49">
        <f>AVERAGE('09.08 Karenga-Kotido-24h'!N101,'10.08 Karenga-Kotido-24h'!N101)</f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24" t="s">
        <v>142</v>
      </c>
      <c r="C102" s="49">
        <f>AVERAGE('09.08 Karenga-Kotido-24h'!C102,'10.08 Karenga-Kotido-24h'!C102)</f>
        <v>0</v>
      </c>
      <c r="D102" s="49">
        <f>AVERAGE('09.08 Karenga-Kotido-24h'!D102,'10.08 Karenga-Kotido-24h'!D102)</f>
        <v>0</v>
      </c>
      <c r="E102" s="49">
        <f>AVERAGE('09.08 Karenga-Kotido-24h'!E102,'10.08 Karenga-Kotido-24h'!E102)</f>
        <v>0</v>
      </c>
      <c r="F102" s="49">
        <f>AVERAGE('09.08 Karenga-Kotido-24h'!F102,'10.08 Karenga-Kotido-24h'!F102)</f>
        <v>0</v>
      </c>
      <c r="G102" s="49">
        <f>AVERAGE('09.08 Karenga-Kotido-24h'!G102,'10.08 Karenga-Kotido-24h'!G102)</f>
        <v>0</v>
      </c>
      <c r="H102" s="49">
        <f>AVERAGE('09.08 Karenga-Kotido-24h'!H102,'10.08 Karenga-Kotido-24h'!H102)</f>
        <v>0</v>
      </c>
      <c r="I102" s="49">
        <f>AVERAGE('09.08 Karenga-Kotido-24h'!I102,'10.08 Karenga-Kotido-24h'!I102)</f>
        <v>0</v>
      </c>
      <c r="J102" s="49">
        <f>AVERAGE('09.08 Karenga-Kotido-24h'!J102,'10.08 Karenga-Kotido-24h'!J102)</f>
        <v>0</v>
      </c>
      <c r="K102" s="49">
        <f>AVERAGE('09.08 Karenga-Kotido-24h'!K102,'10.08 Karenga-Kotido-24h'!K102)</f>
        <v>0</v>
      </c>
      <c r="L102" s="49">
        <f>AVERAGE('09.08 Karenga-Kotido-24h'!L102,'10.08 Karenga-Kotido-24h'!L102)</f>
        <v>0</v>
      </c>
      <c r="M102" s="49">
        <f>AVERAGE('09.08 Karenga-Kotido-24h'!M102,'10.08 Karenga-Kotido-24h'!M102)</f>
        <v>0</v>
      </c>
      <c r="N102" s="49">
        <f>AVERAGE('09.08 Karenga-Kotido-24h'!N102,'10.08 Karenga-Kotido-24h'!N102)</f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23" t="s">
        <v>143</v>
      </c>
      <c r="C103" s="49">
        <f>AVERAGE('09.08 Karenga-Kotido-24h'!C103,'10.08 Karenga-Kotido-24h'!C103)</f>
        <v>0</v>
      </c>
      <c r="D103" s="49">
        <f>AVERAGE('09.08 Karenga-Kotido-24h'!D103,'10.08 Karenga-Kotido-24h'!D103)</f>
        <v>0</v>
      </c>
      <c r="E103" s="49">
        <f>AVERAGE('09.08 Karenga-Kotido-24h'!E103,'10.08 Karenga-Kotido-24h'!E103)</f>
        <v>0</v>
      </c>
      <c r="F103" s="49">
        <f>AVERAGE('09.08 Karenga-Kotido-24h'!F103,'10.08 Karenga-Kotido-24h'!F103)</f>
        <v>0</v>
      </c>
      <c r="G103" s="49">
        <f>AVERAGE('09.08 Karenga-Kotido-24h'!G103,'10.08 Karenga-Kotido-24h'!G103)</f>
        <v>0</v>
      </c>
      <c r="H103" s="49">
        <f>AVERAGE('09.08 Karenga-Kotido-24h'!H103,'10.08 Karenga-Kotido-24h'!H103)</f>
        <v>0</v>
      </c>
      <c r="I103" s="49">
        <f>AVERAGE('09.08 Karenga-Kotido-24h'!I103,'10.08 Karenga-Kotido-24h'!I103)</f>
        <v>0</v>
      </c>
      <c r="J103" s="49">
        <f>AVERAGE('09.08 Karenga-Kotido-24h'!J103,'10.08 Karenga-Kotido-24h'!J103)</f>
        <v>0</v>
      </c>
      <c r="K103" s="49">
        <f>AVERAGE('09.08 Karenga-Kotido-24h'!K103,'10.08 Karenga-Kotido-24h'!K103)</f>
        <v>0</v>
      </c>
      <c r="L103" s="49">
        <f>AVERAGE('09.08 Karenga-Kotido-24h'!L103,'10.08 Karenga-Kotido-24h'!L103)</f>
        <v>0</v>
      </c>
      <c r="M103" s="49">
        <f>AVERAGE('09.08 Karenga-Kotido-24h'!M103,'10.08 Karenga-Kotido-24h'!M103)</f>
        <v>0</v>
      </c>
      <c r="N103" s="49">
        <f>AVERAGE('09.08 Karenga-Kotido-24h'!N103,'10.08 Karenga-Kotido-24h'!N103)</f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25" t="s">
        <v>144</v>
      </c>
      <c r="C104" s="49">
        <f>AVERAGE('09.08 Karenga-Kotido-24h'!C104,'10.08 Karenga-Kotido-24h'!C104)</f>
        <v>0</v>
      </c>
      <c r="D104" s="49">
        <f>AVERAGE('09.08 Karenga-Kotido-24h'!D104,'10.08 Karenga-Kotido-24h'!D104)</f>
        <v>0</v>
      </c>
      <c r="E104" s="49">
        <f>AVERAGE('09.08 Karenga-Kotido-24h'!E104,'10.08 Karenga-Kotido-24h'!E104)</f>
        <v>0</v>
      </c>
      <c r="F104" s="49">
        <f>AVERAGE('09.08 Karenga-Kotido-24h'!F104,'10.08 Karenga-Kotido-24h'!F104)</f>
        <v>0</v>
      </c>
      <c r="G104" s="49">
        <f>AVERAGE('09.08 Karenga-Kotido-24h'!G104,'10.08 Karenga-Kotido-24h'!G104)</f>
        <v>0</v>
      </c>
      <c r="H104" s="49">
        <f>AVERAGE('09.08 Karenga-Kotido-24h'!H104,'10.08 Karenga-Kotido-24h'!H104)</f>
        <v>0</v>
      </c>
      <c r="I104" s="49">
        <f>AVERAGE('09.08 Karenga-Kotido-24h'!I104,'10.08 Karenga-Kotido-24h'!I104)</f>
        <v>0</v>
      </c>
      <c r="J104" s="49">
        <f>AVERAGE('09.08 Karenga-Kotido-24h'!J104,'10.08 Karenga-Kotido-24h'!J104)</f>
        <v>0</v>
      </c>
      <c r="K104" s="49">
        <f>AVERAGE('09.08 Karenga-Kotido-24h'!K104,'10.08 Karenga-Kotido-24h'!K104)</f>
        <v>0</v>
      </c>
      <c r="L104" s="49">
        <f>AVERAGE('09.08 Karenga-Kotido-24h'!L104,'10.08 Karenga-Kotido-24h'!L104)</f>
        <v>0</v>
      </c>
      <c r="M104" s="49">
        <f>AVERAGE('09.08 Karenga-Kotido-24h'!M104,'10.08 Karenga-Kotido-24h'!M104)</f>
        <v>0</v>
      </c>
      <c r="N104" s="49">
        <f>AVERAGE('09.08 Karenga-Kotido-24h'!N104,'10.08 Karenga-Kotido-24h'!N104)</f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23" t="s">
        <v>145</v>
      </c>
      <c r="C105" s="49">
        <f>AVERAGE('09.08 Karenga-Kotido-24h'!C105,'10.08 Karenga-Kotido-24h'!C105)</f>
        <v>0</v>
      </c>
      <c r="D105" s="49">
        <f>AVERAGE('09.08 Karenga-Kotido-24h'!D105,'10.08 Karenga-Kotido-24h'!D105)</f>
        <v>0</v>
      </c>
      <c r="E105" s="49">
        <f>AVERAGE('09.08 Karenga-Kotido-24h'!E105,'10.08 Karenga-Kotido-24h'!E105)</f>
        <v>0</v>
      </c>
      <c r="F105" s="49">
        <f>AVERAGE('09.08 Karenga-Kotido-24h'!F105,'10.08 Karenga-Kotido-24h'!F105)</f>
        <v>0</v>
      </c>
      <c r="G105" s="49">
        <f>AVERAGE('09.08 Karenga-Kotido-24h'!G105,'10.08 Karenga-Kotido-24h'!G105)</f>
        <v>0</v>
      </c>
      <c r="H105" s="49">
        <f>AVERAGE('09.08 Karenga-Kotido-24h'!H105,'10.08 Karenga-Kotido-24h'!H105)</f>
        <v>0</v>
      </c>
      <c r="I105" s="49">
        <f>AVERAGE('09.08 Karenga-Kotido-24h'!I105,'10.08 Karenga-Kotido-24h'!I105)</f>
        <v>0</v>
      </c>
      <c r="J105" s="49">
        <f>AVERAGE('09.08 Karenga-Kotido-24h'!J105,'10.08 Karenga-Kotido-24h'!J105)</f>
        <v>0</v>
      </c>
      <c r="K105" s="49">
        <f>AVERAGE('09.08 Karenga-Kotido-24h'!K105,'10.08 Karenga-Kotido-24h'!K105)</f>
        <v>0</v>
      </c>
      <c r="L105" s="49">
        <f>AVERAGE('09.08 Karenga-Kotido-24h'!L105,'10.08 Karenga-Kotido-24h'!L105)</f>
        <v>0</v>
      </c>
      <c r="M105" s="49">
        <f>AVERAGE('09.08 Karenga-Kotido-24h'!M105,'10.08 Karenga-Kotido-24h'!M105)</f>
        <v>0</v>
      </c>
      <c r="N105" s="49">
        <f>AVERAGE('09.08 Karenga-Kotido-24h'!N105,'10.08 Karenga-Kotido-24h'!N105)</f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2.4285714285714284</v>
      </c>
      <c r="D106" s="16">
        <f t="shared" ref="D106:N106" si="37">SUM(D10:D105)</f>
        <v>6.6428571428571441</v>
      </c>
      <c r="E106" s="16">
        <f t="shared" si="37"/>
        <v>9</v>
      </c>
      <c r="F106" s="16">
        <f t="shared" si="37"/>
        <v>2.5714285714285707</v>
      </c>
      <c r="G106" s="16">
        <f t="shared" si="37"/>
        <v>0.14285714285714285</v>
      </c>
      <c r="H106" s="16">
        <f t="shared" si="37"/>
        <v>0</v>
      </c>
      <c r="I106" s="16">
        <f t="shared" si="37"/>
        <v>5</v>
      </c>
      <c r="J106" s="16">
        <f t="shared" si="37"/>
        <v>1.4285714285714284</v>
      </c>
      <c r="K106" s="16">
        <f t="shared" si="37"/>
        <v>0.42857142857142855</v>
      </c>
      <c r="L106" s="16">
        <f t="shared" si="37"/>
        <v>0</v>
      </c>
      <c r="M106" s="16">
        <f t="shared" si="37"/>
        <v>91.071428571428569</v>
      </c>
      <c r="N106" s="16">
        <f t="shared" si="37"/>
        <v>0.2857142857142857</v>
      </c>
      <c r="O106" s="16">
        <f>SUM(O10:O105)</f>
        <v>27.928571428571423</v>
      </c>
      <c r="P106" s="16">
        <f t="shared" ref="P106" si="38">SUM(P10:P105)</f>
        <v>119.00000000000003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9">C106/$P$106</f>
        <v>2.0408163265306117E-2</v>
      </c>
      <c r="D107" s="43">
        <f t="shared" si="39"/>
        <v>5.5822328931572629E-2</v>
      </c>
      <c r="E107" s="43">
        <f t="shared" si="39"/>
        <v>7.5630252100840317E-2</v>
      </c>
      <c r="F107" s="43">
        <f t="shared" si="39"/>
        <v>2.1608643457382941E-2</v>
      </c>
      <c r="G107" s="43">
        <f t="shared" si="39"/>
        <v>1.2004801920768304E-3</v>
      </c>
      <c r="H107" s="43">
        <f t="shared" si="39"/>
        <v>0</v>
      </c>
      <c r="I107" s="43">
        <f t="shared" si="39"/>
        <v>4.2016806722689065E-2</v>
      </c>
      <c r="J107" s="43">
        <f t="shared" si="39"/>
        <v>1.2004801920768303E-2</v>
      </c>
      <c r="K107" s="43">
        <f t="shared" si="39"/>
        <v>3.6014405762304913E-3</v>
      </c>
      <c r="L107" s="43">
        <f t="shared" si="39"/>
        <v>0</v>
      </c>
      <c r="M107" s="43">
        <f t="shared" si="39"/>
        <v>0.76530612244897944</v>
      </c>
      <c r="N107" s="43">
        <f t="shared" si="39"/>
        <v>2.4009603841536609E-3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8.6956521739130446E-2</v>
      </c>
      <c r="D108" s="44">
        <f t="shared" ref="D108:N108" si="40">D106/$O$106</f>
        <v>0.23785166240409217</v>
      </c>
      <c r="E108" s="44">
        <f t="shared" si="40"/>
        <v>0.32225063938618931</v>
      </c>
      <c r="F108" s="44">
        <f t="shared" si="40"/>
        <v>9.2071611253196919E-2</v>
      </c>
      <c r="G108" s="44">
        <f t="shared" si="40"/>
        <v>5.1150895140664966E-3</v>
      </c>
      <c r="H108" s="44">
        <f t="shared" si="40"/>
        <v>0</v>
      </c>
      <c r="I108" s="44">
        <f t="shared" si="40"/>
        <v>0.17902813299232739</v>
      </c>
      <c r="J108" s="44">
        <f t="shared" si="40"/>
        <v>5.1150895140664968E-2</v>
      </c>
      <c r="K108" s="44">
        <f t="shared" si="40"/>
        <v>1.5345268542199491E-2</v>
      </c>
      <c r="L108" s="44">
        <f t="shared" si="40"/>
        <v>0</v>
      </c>
      <c r="M108" s="44"/>
      <c r="N108" s="44">
        <f t="shared" si="40"/>
        <v>1.0230179028132993E-2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K85" zoomScale="60" workbookViewId="0">
      <selection activeCell="AC92" sqref="AC9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Karenga-Kotido'!C3:G3</f>
        <v>MCC - C5- STN-132 - KOTIDO-KARENGA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'Avg Week Karenga-Kotido'!G5:H5</f>
        <v>Kabong</v>
      </c>
      <c r="H5" s="64"/>
      <c r="I5" s="14"/>
      <c r="J5" s="2" t="s">
        <v>5</v>
      </c>
      <c r="K5" s="63" t="str">
        <f>'Avg Week Karenga-Kotido'!K5:L5</f>
        <v>Lomongin Deborah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>
        <f>'Avg Week Karenga-Kotido'!K6:L6</f>
        <v>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Kotido-Karenga'!C10+'Avg Week Karenga-Kotido'!C10</f>
        <v>0</v>
      </c>
      <c r="D10" s="49">
        <f>'Avg Week Kotido-Karenga'!D10+'Avg Week Karenga-Kotido'!D10</f>
        <v>0.14285714285714285</v>
      </c>
      <c r="E10" s="49">
        <f>'Avg Week Kotido-Karenga'!E10+'Avg Week Karenga-Kotido'!E10</f>
        <v>0</v>
      </c>
      <c r="F10" s="49">
        <f>'Avg Week Kotido-Karenga'!F10+'Avg Week Karenga-Kotido'!F10</f>
        <v>0</v>
      </c>
      <c r="G10" s="49">
        <f>'Avg Week Kotido-Karenga'!G10+'Avg Week Karenga-Kotido'!G10</f>
        <v>0</v>
      </c>
      <c r="H10" s="49">
        <f>'Avg Week Kotido-Karenga'!H10+'Avg Week Karenga-Kotido'!H10</f>
        <v>0</v>
      </c>
      <c r="I10" s="49">
        <f>'Avg Week Kotido-Karenga'!I10+'Avg Week Karenga-Kotido'!I10</f>
        <v>0</v>
      </c>
      <c r="J10" s="49">
        <f>'Avg Week Kotido-Karenga'!J10+'Avg Week Karenga-Kotido'!J10</f>
        <v>0</v>
      </c>
      <c r="K10" s="49">
        <f>'Avg Week Kotido-Karenga'!K10+'Avg Week Karenga-Kotido'!K10</f>
        <v>0</v>
      </c>
      <c r="L10" s="49">
        <f>'Avg Week Kotido-Karenga'!L10+'Avg Week Karenga-Kotido'!L10</f>
        <v>0</v>
      </c>
      <c r="M10" s="49">
        <f>'Avg Week Kotido-Karenga'!M10+'Avg Week Karenga-Kotido'!M10</f>
        <v>1.8571428571428572</v>
      </c>
      <c r="N10" s="49">
        <f>'Avg Week Kotido-Karenga'!N10+'Avg Week Karenga-Kotido'!N10</f>
        <v>0</v>
      </c>
      <c r="O10" s="15">
        <f t="shared" ref="O10:O73" si="0">SUM(C10:L10,N10)</f>
        <v>0.14285714285714285</v>
      </c>
      <c r="P10" s="15">
        <f t="shared" ref="P10:P73" si="1">SUM(C10:N10)</f>
        <v>2</v>
      </c>
      <c r="R10" s="1" t="s">
        <v>6</v>
      </c>
      <c r="S10" s="17">
        <f t="shared" ref="S10:AF10" si="2">SUM(C10:C13)</f>
        <v>0.2857142857142857</v>
      </c>
      <c r="T10" s="17">
        <f t="shared" si="2"/>
        <v>1.1428571428571428</v>
      </c>
      <c r="U10" s="17">
        <f t="shared" si="2"/>
        <v>0.99999999999999989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0.71428571428571419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11.428571428571429</v>
      </c>
      <c r="AD10" s="17">
        <f t="shared" si="2"/>
        <v>0</v>
      </c>
      <c r="AE10" s="31">
        <f t="shared" si="2"/>
        <v>3.1428571428571423</v>
      </c>
      <c r="AF10" s="31">
        <f t="shared" si="2"/>
        <v>14.571428571428571</v>
      </c>
    </row>
    <row r="11" spans="2:32" s="6" customFormat="1" ht="23.1" customHeight="1" x14ac:dyDescent="0.25">
      <c r="B11" s="23" t="s">
        <v>38</v>
      </c>
      <c r="C11" s="49">
        <f>'Avg Week Kotido-Karenga'!C11+'Avg Week Karenga-Kotido'!C11</f>
        <v>0.14285714285714285</v>
      </c>
      <c r="D11" s="49">
        <f>'Avg Week Kotido-Karenga'!D11+'Avg Week Karenga-Kotido'!D11</f>
        <v>0.2857142857142857</v>
      </c>
      <c r="E11" s="49">
        <f>'Avg Week Kotido-Karenga'!E11+'Avg Week Karenga-Kotido'!E11</f>
        <v>0.2857142857142857</v>
      </c>
      <c r="F11" s="49">
        <f>'Avg Week Kotido-Karenga'!F11+'Avg Week Karenga-Kotido'!F11</f>
        <v>0</v>
      </c>
      <c r="G11" s="49">
        <f>'Avg Week Kotido-Karenga'!G11+'Avg Week Karenga-Kotido'!G11</f>
        <v>0</v>
      </c>
      <c r="H11" s="49">
        <f>'Avg Week Kotido-Karenga'!H11+'Avg Week Karenga-Kotido'!H11</f>
        <v>0</v>
      </c>
      <c r="I11" s="49">
        <f>'Avg Week Kotido-Karenga'!I11+'Avg Week Karenga-Kotido'!I11</f>
        <v>0</v>
      </c>
      <c r="J11" s="49">
        <f>'Avg Week Kotido-Karenga'!J11+'Avg Week Karenga-Kotido'!J11</f>
        <v>0</v>
      </c>
      <c r="K11" s="49">
        <f>'Avg Week Kotido-Karenga'!K11+'Avg Week Karenga-Kotido'!K11</f>
        <v>0</v>
      </c>
      <c r="L11" s="49">
        <f>'Avg Week Kotido-Karenga'!L11+'Avg Week Karenga-Kotido'!L11</f>
        <v>0</v>
      </c>
      <c r="M11" s="49">
        <f>'Avg Week Kotido-Karenga'!M11+'Avg Week Karenga-Kotido'!M11</f>
        <v>1.7142857142857144</v>
      </c>
      <c r="N11" s="49">
        <f>'Avg Week Kotido-Karenga'!N11+'Avg Week Karenga-Kotido'!N11</f>
        <v>0</v>
      </c>
      <c r="O11" s="15">
        <f t="shared" si="0"/>
        <v>0.71428571428571419</v>
      </c>
      <c r="P11" s="15">
        <f t="shared" si="1"/>
        <v>2.4285714285714288</v>
      </c>
      <c r="R11" s="1" t="s">
        <v>7</v>
      </c>
      <c r="S11" s="17">
        <f t="shared" ref="S11:AF11" si="3">SUM(C14:C17)</f>
        <v>0.2857142857142857</v>
      </c>
      <c r="T11" s="17">
        <f t="shared" si="3"/>
        <v>0.5714285714285714</v>
      </c>
      <c r="U11" s="17">
        <f t="shared" si="3"/>
        <v>1.2857142857142856</v>
      </c>
      <c r="V11" s="17">
        <f t="shared" si="3"/>
        <v>0.2857142857142857</v>
      </c>
      <c r="W11" s="17">
        <f t="shared" si="3"/>
        <v>0</v>
      </c>
      <c r="X11" s="17">
        <f t="shared" si="3"/>
        <v>0</v>
      </c>
      <c r="Y11" s="17">
        <f t="shared" si="3"/>
        <v>1.1428571428571428</v>
      </c>
      <c r="Z11" s="17">
        <f t="shared" si="3"/>
        <v>0.14285714285714285</v>
      </c>
      <c r="AA11" s="17">
        <f t="shared" si="3"/>
        <v>0</v>
      </c>
      <c r="AB11" s="17">
        <f t="shared" si="3"/>
        <v>0</v>
      </c>
      <c r="AC11" s="17">
        <f t="shared" si="3"/>
        <v>17.142857142857142</v>
      </c>
      <c r="AD11" s="17">
        <f t="shared" si="3"/>
        <v>0</v>
      </c>
      <c r="AE11" s="31">
        <f t="shared" si="3"/>
        <v>3.714285714285714</v>
      </c>
      <c r="AF11" s="31">
        <f t="shared" si="3"/>
        <v>20.857142857142854</v>
      </c>
    </row>
    <row r="12" spans="2:32" ht="23.1" customHeight="1" x14ac:dyDescent="0.25">
      <c r="B12" s="23" t="s">
        <v>39</v>
      </c>
      <c r="C12" s="49">
        <f>'Avg Week Kotido-Karenga'!C12+'Avg Week Karenga-Kotido'!C12</f>
        <v>0</v>
      </c>
      <c r="D12" s="49">
        <f>'Avg Week Kotido-Karenga'!D12+'Avg Week Karenga-Kotido'!D12</f>
        <v>0.2857142857142857</v>
      </c>
      <c r="E12" s="49">
        <f>'Avg Week Kotido-Karenga'!E12+'Avg Week Karenga-Kotido'!E12</f>
        <v>0.42857142857142855</v>
      </c>
      <c r="F12" s="49">
        <f>'Avg Week Kotido-Karenga'!F12+'Avg Week Karenga-Kotido'!F12</f>
        <v>0</v>
      </c>
      <c r="G12" s="49">
        <f>'Avg Week Kotido-Karenga'!G12+'Avg Week Karenga-Kotido'!G12</f>
        <v>0</v>
      </c>
      <c r="H12" s="49">
        <f>'Avg Week Kotido-Karenga'!H12+'Avg Week Karenga-Kotido'!H12</f>
        <v>0</v>
      </c>
      <c r="I12" s="49">
        <f>'Avg Week Kotido-Karenga'!I12+'Avg Week Karenga-Kotido'!I12</f>
        <v>0</v>
      </c>
      <c r="J12" s="49">
        <f>'Avg Week Kotido-Karenga'!J12+'Avg Week Karenga-Kotido'!J12</f>
        <v>0</v>
      </c>
      <c r="K12" s="49">
        <f>'Avg Week Kotido-Karenga'!K12+'Avg Week Karenga-Kotido'!K12</f>
        <v>0</v>
      </c>
      <c r="L12" s="49">
        <f>'Avg Week Kotido-Karenga'!L12+'Avg Week Karenga-Kotido'!L12</f>
        <v>0</v>
      </c>
      <c r="M12" s="49">
        <f>'Avg Week Kotido-Karenga'!M12+'Avg Week Karenga-Kotido'!M12</f>
        <v>3.7142857142857144</v>
      </c>
      <c r="N12" s="49">
        <f>'Avg Week Kotido-Karenga'!N12+'Avg Week Karenga-Kotido'!N12</f>
        <v>0</v>
      </c>
      <c r="O12" s="15">
        <f t="shared" si="0"/>
        <v>0.71428571428571419</v>
      </c>
      <c r="P12" s="15">
        <f t="shared" si="1"/>
        <v>4.4285714285714288</v>
      </c>
      <c r="R12" s="1" t="s">
        <v>8</v>
      </c>
      <c r="S12" s="17">
        <f t="shared" ref="S12:AF12" si="4">SUM(C18:C21)</f>
        <v>0.5714285714285714</v>
      </c>
      <c r="T12" s="17">
        <f t="shared" si="4"/>
        <v>1.5714285714285714</v>
      </c>
      <c r="U12" s="17">
        <f t="shared" si="4"/>
        <v>2.4285714285714284</v>
      </c>
      <c r="V12" s="17">
        <f t="shared" si="4"/>
        <v>0</v>
      </c>
      <c r="W12" s="17">
        <f t="shared" si="4"/>
        <v>0</v>
      </c>
      <c r="X12" s="17">
        <f t="shared" si="4"/>
        <v>0.14285714285714285</v>
      </c>
      <c r="Y12" s="17">
        <f t="shared" si="4"/>
        <v>1.1428571428571428</v>
      </c>
      <c r="Z12" s="17">
        <f t="shared" si="4"/>
        <v>0</v>
      </c>
      <c r="AA12" s="17">
        <f t="shared" si="4"/>
        <v>0</v>
      </c>
      <c r="AB12" s="17">
        <f t="shared" si="4"/>
        <v>0.2857142857142857</v>
      </c>
      <c r="AC12" s="17">
        <f t="shared" si="4"/>
        <v>18.142857142857142</v>
      </c>
      <c r="AD12" s="17">
        <f t="shared" si="4"/>
        <v>0</v>
      </c>
      <c r="AE12" s="31">
        <f t="shared" si="4"/>
        <v>6.1428571428571423</v>
      </c>
      <c r="AF12" s="31">
        <f t="shared" si="4"/>
        <v>24.285714285714285</v>
      </c>
    </row>
    <row r="13" spans="2:32" ht="23.1" customHeight="1" x14ac:dyDescent="0.25">
      <c r="B13" s="23" t="s">
        <v>40</v>
      </c>
      <c r="C13" s="49">
        <f>'Avg Week Kotido-Karenga'!C13+'Avg Week Karenga-Kotido'!C13</f>
        <v>0.14285714285714285</v>
      </c>
      <c r="D13" s="49">
        <f>'Avg Week Kotido-Karenga'!D13+'Avg Week Karenga-Kotido'!D13</f>
        <v>0.42857142857142855</v>
      </c>
      <c r="E13" s="49">
        <f>'Avg Week Kotido-Karenga'!E13+'Avg Week Karenga-Kotido'!E13</f>
        <v>0.2857142857142857</v>
      </c>
      <c r="F13" s="49">
        <f>'Avg Week Kotido-Karenga'!F13+'Avg Week Karenga-Kotido'!F13</f>
        <v>0</v>
      </c>
      <c r="G13" s="49">
        <f>'Avg Week Kotido-Karenga'!G13+'Avg Week Karenga-Kotido'!G13</f>
        <v>0</v>
      </c>
      <c r="H13" s="49">
        <f>'Avg Week Kotido-Karenga'!H13+'Avg Week Karenga-Kotido'!H13</f>
        <v>0</v>
      </c>
      <c r="I13" s="49">
        <f>'Avg Week Kotido-Karenga'!I13+'Avg Week Karenga-Kotido'!I13</f>
        <v>0.71428571428571419</v>
      </c>
      <c r="J13" s="49">
        <f>'Avg Week Kotido-Karenga'!J13+'Avg Week Karenga-Kotido'!J13</f>
        <v>0</v>
      </c>
      <c r="K13" s="49">
        <f>'Avg Week Kotido-Karenga'!K13+'Avg Week Karenga-Kotido'!K13</f>
        <v>0</v>
      </c>
      <c r="L13" s="49">
        <f>'Avg Week Kotido-Karenga'!L13+'Avg Week Karenga-Kotido'!L13</f>
        <v>0</v>
      </c>
      <c r="M13" s="49">
        <f>'Avg Week Kotido-Karenga'!M13+'Avg Week Karenga-Kotido'!M13</f>
        <v>4.1428571428571423</v>
      </c>
      <c r="N13" s="49">
        <f>'Avg Week Kotido-Karenga'!N13+'Avg Week Karenga-Kotido'!N13</f>
        <v>0</v>
      </c>
      <c r="O13" s="15">
        <f t="shared" si="0"/>
        <v>1.5714285714285712</v>
      </c>
      <c r="P13" s="15">
        <f t="shared" si="1"/>
        <v>5.7142857142857135</v>
      </c>
      <c r="R13" s="1" t="s">
        <v>9</v>
      </c>
      <c r="S13" s="17">
        <f t="shared" ref="S13:AF13" si="5">SUM(C22:C25)</f>
        <v>0.14285714285714285</v>
      </c>
      <c r="T13" s="17">
        <f t="shared" si="5"/>
        <v>0.85714285714285698</v>
      </c>
      <c r="U13" s="17">
        <f t="shared" si="5"/>
        <v>2.1428571428571428</v>
      </c>
      <c r="V13" s="17">
        <f t="shared" si="5"/>
        <v>0.5714285714285714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0.2857142857142857</v>
      </c>
      <c r="AA13" s="17">
        <f t="shared" si="5"/>
        <v>0</v>
      </c>
      <c r="AB13" s="17">
        <f t="shared" si="5"/>
        <v>0</v>
      </c>
      <c r="AC13" s="17">
        <f t="shared" si="5"/>
        <v>15.000000000000002</v>
      </c>
      <c r="AD13" s="17">
        <f t="shared" si="5"/>
        <v>0</v>
      </c>
      <c r="AE13" s="31">
        <f t="shared" si="5"/>
        <v>4.9999999999999991</v>
      </c>
      <c r="AF13" s="31">
        <f t="shared" si="5"/>
        <v>20</v>
      </c>
    </row>
    <row r="14" spans="2:32" ht="23.1" customHeight="1" x14ac:dyDescent="0.25">
      <c r="B14" s="23" t="s">
        <v>41</v>
      </c>
      <c r="C14" s="49">
        <f>'Avg Week Kotido-Karenga'!C14+'Avg Week Karenga-Kotido'!C14</f>
        <v>0.14285714285714285</v>
      </c>
      <c r="D14" s="49">
        <f>'Avg Week Kotido-Karenga'!D14+'Avg Week Karenga-Kotido'!D14</f>
        <v>0</v>
      </c>
      <c r="E14" s="49">
        <f>'Avg Week Kotido-Karenga'!E14+'Avg Week Karenga-Kotido'!E14</f>
        <v>0.2857142857142857</v>
      </c>
      <c r="F14" s="49">
        <f>'Avg Week Kotido-Karenga'!F14+'Avg Week Karenga-Kotido'!F14</f>
        <v>0.14285714285714285</v>
      </c>
      <c r="G14" s="49">
        <f>'Avg Week Kotido-Karenga'!G14+'Avg Week Karenga-Kotido'!G14</f>
        <v>0</v>
      </c>
      <c r="H14" s="49">
        <f>'Avg Week Kotido-Karenga'!H14+'Avg Week Karenga-Kotido'!H14</f>
        <v>0</v>
      </c>
      <c r="I14" s="49">
        <f>'Avg Week Kotido-Karenga'!I14+'Avg Week Karenga-Kotido'!I14</f>
        <v>0.2857142857142857</v>
      </c>
      <c r="J14" s="49">
        <f>'Avg Week Kotido-Karenga'!J14+'Avg Week Karenga-Kotido'!J14</f>
        <v>0</v>
      </c>
      <c r="K14" s="49">
        <f>'Avg Week Kotido-Karenga'!K14+'Avg Week Karenga-Kotido'!K14</f>
        <v>0</v>
      </c>
      <c r="L14" s="49">
        <f>'Avg Week Kotido-Karenga'!L14+'Avg Week Karenga-Kotido'!L14</f>
        <v>0</v>
      </c>
      <c r="M14" s="49">
        <f>'Avg Week Kotido-Karenga'!M14+'Avg Week Karenga-Kotido'!M14</f>
        <v>3</v>
      </c>
      <c r="N14" s="49">
        <f>'Avg Week Kotido-Karenga'!N14+'Avg Week Karenga-Kotido'!N14</f>
        <v>0</v>
      </c>
      <c r="O14" s="15">
        <f t="shared" si="0"/>
        <v>0.8571428571428571</v>
      </c>
      <c r="P14" s="15">
        <f t="shared" si="1"/>
        <v>3.8571428571428572</v>
      </c>
      <c r="R14" s="1" t="s">
        <v>10</v>
      </c>
      <c r="S14" s="17">
        <f t="shared" ref="S14:AF14" si="6">SUM(C26:C29)</f>
        <v>0</v>
      </c>
      <c r="T14" s="17">
        <f t="shared" si="6"/>
        <v>1.5714285714285712</v>
      </c>
      <c r="U14" s="17">
        <f t="shared" si="6"/>
        <v>1.7142857142857142</v>
      </c>
      <c r="V14" s="17">
        <f t="shared" si="6"/>
        <v>0.71428571428571419</v>
      </c>
      <c r="W14" s="17">
        <f t="shared" si="6"/>
        <v>0</v>
      </c>
      <c r="X14" s="17">
        <f t="shared" si="6"/>
        <v>0</v>
      </c>
      <c r="Y14" s="17">
        <f t="shared" si="6"/>
        <v>0.85714285714285698</v>
      </c>
      <c r="Z14" s="17">
        <f t="shared" si="6"/>
        <v>0.42857142857142855</v>
      </c>
      <c r="AA14" s="17">
        <f t="shared" si="6"/>
        <v>0.14285714285714285</v>
      </c>
      <c r="AB14" s="17">
        <f t="shared" si="6"/>
        <v>0</v>
      </c>
      <c r="AC14" s="17">
        <f t="shared" si="6"/>
        <v>17.571428571428569</v>
      </c>
      <c r="AD14" s="17">
        <f t="shared" si="6"/>
        <v>0</v>
      </c>
      <c r="AE14" s="31">
        <f t="shared" si="6"/>
        <v>5.428571428571427</v>
      </c>
      <c r="AF14" s="31">
        <f t="shared" si="6"/>
        <v>23</v>
      </c>
    </row>
    <row r="15" spans="2:32" ht="23.1" customHeight="1" x14ac:dyDescent="0.25">
      <c r="B15" s="23" t="s">
        <v>42</v>
      </c>
      <c r="C15" s="49">
        <f>'Avg Week Kotido-Karenga'!C15+'Avg Week Karenga-Kotido'!C15</f>
        <v>0</v>
      </c>
      <c r="D15" s="49">
        <f>'Avg Week Kotido-Karenga'!D15+'Avg Week Karenga-Kotido'!D15</f>
        <v>0</v>
      </c>
      <c r="E15" s="49">
        <f>'Avg Week Kotido-Karenga'!E15+'Avg Week Karenga-Kotido'!E15</f>
        <v>0.2857142857142857</v>
      </c>
      <c r="F15" s="49">
        <f>'Avg Week Kotido-Karenga'!F15+'Avg Week Karenga-Kotido'!F15</f>
        <v>0.14285714285714285</v>
      </c>
      <c r="G15" s="49">
        <f>'Avg Week Kotido-Karenga'!G15+'Avg Week Karenga-Kotido'!G15</f>
        <v>0</v>
      </c>
      <c r="H15" s="49">
        <f>'Avg Week Kotido-Karenga'!H15+'Avg Week Karenga-Kotido'!H15</f>
        <v>0</v>
      </c>
      <c r="I15" s="49">
        <f>'Avg Week Kotido-Karenga'!I15+'Avg Week Karenga-Kotido'!I15</f>
        <v>0.42857142857142855</v>
      </c>
      <c r="J15" s="49">
        <f>'Avg Week Kotido-Karenga'!J15+'Avg Week Karenga-Kotido'!J15</f>
        <v>0</v>
      </c>
      <c r="K15" s="49">
        <f>'Avg Week Kotido-Karenga'!K15+'Avg Week Karenga-Kotido'!K15</f>
        <v>0</v>
      </c>
      <c r="L15" s="49">
        <f>'Avg Week Kotido-Karenga'!L15+'Avg Week Karenga-Kotido'!L15</f>
        <v>0</v>
      </c>
      <c r="M15" s="49">
        <f>'Avg Week Kotido-Karenga'!M15+'Avg Week Karenga-Kotido'!M15</f>
        <v>5.5714285714285712</v>
      </c>
      <c r="N15" s="49">
        <f>'Avg Week Kotido-Karenga'!N15+'Avg Week Karenga-Kotido'!N15</f>
        <v>0</v>
      </c>
      <c r="O15" s="15">
        <f t="shared" si="0"/>
        <v>0.8571428571428571</v>
      </c>
      <c r="P15" s="15">
        <f t="shared" si="1"/>
        <v>6.4285714285714279</v>
      </c>
      <c r="R15" s="1" t="s">
        <v>11</v>
      </c>
      <c r="S15" s="17">
        <f t="shared" ref="S15:AF15" si="7">SUM(C30:C33)</f>
        <v>0.42857142857142855</v>
      </c>
      <c r="T15" s="17">
        <f t="shared" si="7"/>
        <v>1.7142857142857142</v>
      </c>
      <c r="U15" s="17">
        <f t="shared" si="7"/>
        <v>1.7142857142857142</v>
      </c>
      <c r="V15" s="17">
        <f t="shared" si="7"/>
        <v>0.42857142857142855</v>
      </c>
      <c r="W15" s="17">
        <f t="shared" si="7"/>
        <v>0</v>
      </c>
      <c r="X15" s="17">
        <f t="shared" si="7"/>
        <v>0</v>
      </c>
      <c r="Y15" s="17">
        <f t="shared" si="7"/>
        <v>0.5714285714285714</v>
      </c>
      <c r="Z15" s="17">
        <f t="shared" si="7"/>
        <v>0.14285714285714285</v>
      </c>
      <c r="AA15" s="17">
        <f t="shared" si="7"/>
        <v>0.14285714285714285</v>
      </c>
      <c r="AB15" s="17">
        <f t="shared" si="7"/>
        <v>0</v>
      </c>
      <c r="AC15" s="17">
        <f t="shared" si="7"/>
        <v>15.142857142857142</v>
      </c>
      <c r="AD15" s="17">
        <f t="shared" si="7"/>
        <v>0</v>
      </c>
      <c r="AE15" s="31">
        <f t="shared" si="7"/>
        <v>5.1428571428571423</v>
      </c>
      <c r="AF15" s="31">
        <f t="shared" si="7"/>
        <v>20.285714285714285</v>
      </c>
    </row>
    <row r="16" spans="2:32" ht="23.1" customHeight="1" x14ac:dyDescent="0.25">
      <c r="B16" s="23" t="s">
        <v>43</v>
      </c>
      <c r="C16" s="49">
        <f>'Avg Week Kotido-Karenga'!C16+'Avg Week Karenga-Kotido'!C16</f>
        <v>0</v>
      </c>
      <c r="D16" s="49">
        <f>'Avg Week Kotido-Karenga'!D16+'Avg Week Karenga-Kotido'!D16</f>
        <v>0.14285714285714285</v>
      </c>
      <c r="E16" s="49">
        <f>'Avg Week Kotido-Karenga'!E16+'Avg Week Karenga-Kotido'!E16</f>
        <v>0.42857142857142855</v>
      </c>
      <c r="F16" s="49">
        <f>'Avg Week Kotido-Karenga'!F16+'Avg Week Karenga-Kotido'!F16</f>
        <v>0</v>
      </c>
      <c r="G16" s="49">
        <f>'Avg Week Kotido-Karenga'!G16+'Avg Week Karenga-Kotido'!G16</f>
        <v>0</v>
      </c>
      <c r="H16" s="49">
        <f>'Avg Week Kotido-Karenga'!H16+'Avg Week Karenga-Kotido'!H16</f>
        <v>0</v>
      </c>
      <c r="I16" s="49">
        <f>'Avg Week Kotido-Karenga'!I16+'Avg Week Karenga-Kotido'!I16</f>
        <v>0.14285714285714285</v>
      </c>
      <c r="J16" s="49">
        <f>'Avg Week Kotido-Karenga'!J16+'Avg Week Karenga-Kotido'!J16</f>
        <v>0</v>
      </c>
      <c r="K16" s="49">
        <f>'Avg Week Kotido-Karenga'!K16+'Avg Week Karenga-Kotido'!K16</f>
        <v>0</v>
      </c>
      <c r="L16" s="49">
        <f>'Avg Week Kotido-Karenga'!L16+'Avg Week Karenga-Kotido'!L16</f>
        <v>0</v>
      </c>
      <c r="M16" s="49">
        <f>'Avg Week Kotido-Karenga'!M16+'Avg Week Karenga-Kotido'!M16</f>
        <v>3.2857142857142856</v>
      </c>
      <c r="N16" s="49">
        <f>'Avg Week Kotido-Karenga'!N16+'Avg Week Karenga-Kotido'!N16</f>
        <v>0</v>
      </c>
      <c r="O16" s="15">
        <f t="shared" si="0"/>
        <v>0.71428571428571419</v>
      </c>
      <c r="P16" s="15">
        <f t="shared" si="1"/>
        <v>4</v>
      </c>
      <c r="R16" s="1" t="s">
        <v>12</v>
      </c>
      <c r="S16" s="17">
        <f t="shared" ref="S16:AF16" si="8">SUM(C34:C37)</f>
        <v>0.5714285714285714</v>
      </c>
      <c r="T16" s="17">
        <f t="shared" si="8"/>
        <v>1.2857142857142856</v>
      </c>
      <c r="U16" s="17">
        <f t="shared" si="8"/>
        <v>1.7142857142857142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1.1428571428571428</v>
      </c>
      <c r="Z16" s="17">
        <f t="shared" si="8"/>
        <v>0.42857142857142855</v>
      </c>
      <c r="AA16" s="17">
        <f t="shared" si="8"/>
        <v>0</v>
      </c>
      <c r="AB16" s="17">
        <f t="shared" si="8"/>
        <v>0</v>
      </c>
      <c r="AC16" s="17">
        <f t="shared" si="8"/>
        <v>14</v>
      </c>
      <c r="AD16" s="17">
        <f t="shared" si="8"/>
        <v>0.42857142857142855</v>
      </c>
      <c r="AE16" s="31">
        <f t="shared" si="8"/>
        <v>6.5714285714285712</v>
      </c>
      <c r="AF16" s="31">
        <f t="shared" si="8"/>
        <v>20.571428571428569</v>
      </c>
    </row>
    <row r="17" spans="2:32" ht="23.1" customHeight="1" x14ac:dyDescent="0.25">
      <c r="B17" s="23" t="s">
        <v>44</v>
      </c>
      <c r="C17" s="49">
        <f>'Avg Week Kotido-Karenga'!C17+'Avg Week Karenga-Kotido'!C17</f>
        <v>0.14285714285714285</v>
      </c>
      <c r="D17" s="49">
        <f>'Avg Week Kotido-Karenga'!D17+'Avg Week Karenga-Kotido'!D17</f>
        <v>0.42857142857142855</v>
      </c>
      <c r="E17" s="49">
        <f>'Avg Week Kotido-Karenga'!E17+'Avg Week Karenga-Kotido'!E17</f>
        <v>0.2857142857142857</v>
      </c>
      <c r="F17" s="49">
        <f>'Avg Week Kotido-Karenga'!F17+'Avg Week Karenga-Kotido'!F17</f>
        <v>0</v>
      </c>
      <c r="G17" s="49">
        <f>'Avg Week Kotido-Karenga'!G17+'Avg Week Karenga-Kotido'!G17</f>
        <v>0</v>
      </c>
      <c r="H17" s="49">
        <f>'Avg Week Kotido-Karenga'!H17+'Avg Week Karenga-Kotido'!H17</f>
        <v>0</v>
      </c>
      <c r="I17" s="49">
        <f>'Avg Week Kotido-Karenga'!I17+'Avg Week Karenga-Kotido'!I17</f>
        <v>0.2857142857142857</v>
      </c>
      <c r="J17" s="49">
        <f>'Avg Week Kotido-Karenga'!J17+'Avg Week Karenga-Kotido'!J17</f>
        <v>0.14285714285714285</v>
      </c>
      <c r="K17" s="49">
        <f>'Avg Week Kotido-Karenga'!K17+'Avg Week Karenga-Kotido'!K17</f>
        <v>0</v>
      </c>
      <c r="L17" s="49">
        <f>'Avg Week Kotido-Karenga'!L17+'Avg Week Karenga-Kotido'!L17</f>
        <v>0</v>
      </c>
      <c r="M17" s="49">
        <f>'Avg Week Kotido-Karenga'!M17+'Avg Week Karenga-Kotido'!M17</f>
        <v>5.2857142857142856</v>
      </c>
      <c r="N17" s="49">
        <f>'Avg Week Kotido-Karenga'!N17+'Avg Week Karenga-Kotido'!N17</f>
        <v>0</v>
      </c>
      <c r="O17" s="15">
        <f t="shared" si="0"/>
        <v>1.2857142857142856</v>
      </c>
      <c r="P17" s="15">
        <f t="shared" si="1"/>
        <v>6.5714285714285712</v>
      </c>
      <c r="R17" s="1" t="s">
        <v>13</v>
      </c>
      <c r="S17" s="17">
        <f t="shared" ref="S17:AF17" si="9">SUM(C38:C41)</f>
        <v>0.2857142857142857</v>
      </c>
      <c r="T17" s="17">
        <f t="shared" si="9"/>
        <v>1.1428571428571428</v>
      </c>
      <c r="U17" s="17">
        <f t="shared" si="9"/>
        <v>1.4285714285714284</v>
      </c>
      <c r="V17" s="17">
        <f t="shared" si="9"/>
        <v>0.71428571428571419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0.2857142857142857</v>
      </c>
      <c r="AA17" s="17">
        <f t="shared" si="9"/>
        <v>0</v>
      </c>
      <c r="AB17" s="17">
        <f t="shared" si="9"/>
        <v>0</v>
      </c>
      <c r="AC17" s="17">
        <f t="shared" si="9"/>
        <v>14.285714285714285</v>
      </c>
      <c r="AD17" s="17">
        <f t="shared" si="9"/>
        <v>0</v>
      </c>
      <c r="AE17" s="31">
        <f t="shared" si="9"/>
        <v>4.8571428571428568</v>
      </c>
      <c r="AF17" s="31">
        <f t="shared" si="9"/>
        <v>19.142857142857142</v>
      </c>
    </row>
    <row r="18" spans="2:32" ht="23.1" customHeight="1" x14ac:dyDescent="0.25">
      <c r="B18" s="23" t="s">
        <v>45</v>
      </c>
      <c r="C18" s="49">
        <f>'Avg Week Kotido-Karenga'!C18+'Avg Week Karenga-Kotido'!C18</f>
        <v>0.42857142857142855</v>
      </c>
      <c r="D18" s="49">
        <f>'Avg Week Kotido-Karenga'!D18+'Avg Week Karenga-Kotido'!D18</f>
        <v>0.14285714285714285</v>
      </c>
      <c r="E18" s="49">
        <f>'Avg Week Kotido-Karenga'!E18+'Avg Week Karenga-Kotido'!E18</f>
        <v>0.2857142857142857</v>
      </c>
      <c r="F18" s="49">
        <f>'Avg Week Kotido-Karenga'!F18+'Avg Week Karenga-Kotido'!F18</f>
        <v>0</v>
      </c>
      <c r="G18" s="49">
        <f>'Avg Week Kotido-Karenga'!G18+'Avg Week Karenga-Kotido'!G18</f>
        <v>0</v>
      </c>
      <c r="H18" s="49">
        <f>'Avg Week Kotido-Karenga'!H18+'Avg Week Karenga-Kotido'!H18</f>
        <v>0</v>
      </c>
      <c r="I18" s="49">
        <f>'Avg Week Kotido-Karenga'!I18+'Avg Week Karenga-Kotido'!I18</f>
        <v>0.14285714285714285</v>
      </c>
      <c r="J18" s="49">
        <f>'Avg Week Kotido-Karenga'!J18+'Avg Week Karenga-Kotido'!J18</f>
        <v>0</v>
      </c>
      <c r="K18" s="49">
        <f>'Avg Week Kotido-Karenga'!K18+'Avg Week Karenga-Kotido'!K18</f>
        <v>0</v>
      </c>
      <c r="L18" s="49">
        <f>'Avg Week Kotido-Karenga'!L18+'Avg Week Karenga-Kotido'!L18</f>
        <v>0.2857142857142857</v>
      </c>
      <c r="M18" s="49">
        <f>'Avg Week Kotido-Karenga'!M18+'Avg Week Karenga-Kotido'!M18</f>
        <v>5.1428571428571423</v>
      </c>
      <c r="N18" s="49">
        <f>'Avg Week Kotido-Karenga'!N18+'Avg Week Karenga-Kotido'!N18</f>
        <v>0</v>
      </c>
      <c r="O18" s="15">
        <f t="shared" si="0"/>
        <v>1.2857142857142856</v>
      </c>
      <c r="P18" s="15">
        <f t="shared" si="1"/>
        <v>6.4285714285714279</v>
      </c>
      <c r="R18" s="1" t="s">
        <v>14</v>
      </c>
      <c r="S18" s="17">
        <f t="shared" ref="S18:AF18" si="10">SUM(C42:C45)</f>
        <v>0</v>
      </c>
      <c r="T18" s="17">
        <f t="shared" si="10"/>
        <v>1.2857142857142856</v>
      </c>
      <c r="U18" s="17">
        <f t="shared" si="10"/>
        <v>1.2857142857142856</v>
      </c>
      <c r="V18" s="17">
        <f t="shared" si="10"/>
        <v>0.5714285714285714</v>
      </c>
      <c r="W18" s="17">
        <f t="shared" si="10"/>
        <v>0</v>
      </c>
      <c r="X18" s="17">
        <f t="shared" si="10"/>
        <v>0</v>
      </c>
      <c r="Y18" s="17">
        <f t="shared" si="10"/>
        <v>0.8571428571428571</v>
      </c>
      <c r="Z18" s="17">
        <f t="shared" si="10"/>
        <v>0.8571428571428571</v>
      </c>
      <c r="AA18" s="17">
        <f t="shared" si="10"/>
        <v>0.14285714285714285</v>
      </c>
      <c r="AB18" s="17">
        <f t="shared" si="10"/>
        <v>0</v>
      </c>
      <c r="AC18" s="17">
        <f t="shared" si="10"/>
        <v>10.285714285714285</v>
      </c>
      <c r="AD18" s="17">
        <f t="shared" si="10"/>
        <v>0</v>
      </c>
      <c r="AE18" s="31">
        <f t="shared" si="10"/>
        <v>5</v>
      </c>
      <c r="AF18" s="31">
        <f t="shared" si="10"/>
        <v>15.285714285714285</v>
      </c>
    </row>
    <row r="19" spans="2:32" ht="23.1" customHeight="1" x14ac:dyDescent="0.25">
      <c r="B19" s="23" t="s">
        <v>46</v>
      </c>
      <c r="C19" s="49">
        <f>'Avg Week Kotido-Karenga'!C19+'Avg Week Karenga-Kotido'!C19</f>
        <v>0</v>
      </c>
      <c r="D19" s="49">
        <f>'Avg Week Kotido-Karenga'!D19+'Avg Week Karenga-Kotido'!D19</f>
        <v>0.42857142857142855</v>
      </c>
      <c r="E19" s="49">
        <f>'Avg Week Kotido-Karenga'!E19+'Avg Week Karenga-Kotido'!E19</f>
        <v>0.7142857142857143</v>
      </c>
      <c r="F19" s="49">
        <f>'Avg Week Kotido-Karenga'!F19+'Avg Week Karenga-Kotido'!F19</f>
        <v>0</v>
      </c>
      <c r="G19" s="49">
        <f>'Avg Week Kotido-Karenga'!G19+'Avg Week Karenga-Kotido'!G19</f>
        <v>0</v>
      </c>
      <c r="H19" s="49">
        <f>'Avg Week Kotido-Karenga'!H19+'Avg Week Karenga-Kotido'!H19</f>
        <v>0</v>
      </c>
      <c r="I19" s="49">
        <f>'Avg Week Kotido-Karenga'!I19+'Avg Week Karenga-Kotido'!I19</f>
        <v>0.2857142857142857</v>
      </c>
      <c r="J19" s="49">
        <f>'Avg Week Kotido-Karenga'!J19+'Avg Week Karenga-Kotido'!J19</f>
        <v>0</v>
      </c>
      <c r="K19" s="49">
        <f>'Avg Week Kotido-Karenga'!K19+'Avg Week Karenga-Kotido'!K19</f>
        <v>0</v>
      </c>
      <c r="L19" s="49">
        <f>'Avg Week Kotido-Karenga'!L19+'Avg Week Karenga-Kotido'!L19</f>
        <v>0</v>
      </c>
      <c r="M19" s="49">
        <f>'Avg Week Kotido-Karenga'!M19+'Avg Week Karenga-Kotido'!M19</f>
        <v>4.1428571428571423</v>
      </c>
      <c r="N19" s="49">
        <f>'Avg Week Kotido-Karenga'!N19+'Avg Week Karenga-Kotido'!N19</f>
        <v>0</v>
      </c>
      <c r="O19" s="15">
        <f t="shared" si="0"/>
        <v>1.4285714285714284</v>
      </c>
      <c r="P19" s="15">
        <f t="shared" si="1"/>
        <v>5.5714285714285712</v>
      </c>
      <c r="R19" s="1" t="s">
        <v>15</v>
      </c>
      <c r="S19" s="17">
        <f t="shared" ref="S19:AF19" si="11">SUM(C46:C49)</f>
        <v>0.14285714285714285</v>
      </c>
      <c r="T19" s="17">
        <f t="shared" si="11"/>
        <v>0.71428571428571419</v>
      </c>
      <c r="U19" s="17">
        <f t="shared" si="11"/>
        <v>1.5714285714285712</v>
      </c>
      <c r="V19" s="17">
        <f t="shared" si="11"/>
        <v>0.8571428571428571</v>
      </c>
      <c r="W19" s="17">
        <f t="shared" si="11"/>
        <v>0</v>
      </c>
      <c r="X19" s="17">
        <f t="shared" si="11"/>
        <v>0</v>
      </c>
      <c r="Y19" s="17">
        <f t="shared" si="11"/>
        <v>0.5714285714285714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14</v>
      </c>
      <c r="AD19" s="17">
        <f t="shared" si="11"/>
        <v>0</v>
      </c>
      <c r="AE19" s="31">
        <f t="shared" si="11"/>
        <v>3.8571428571428568</v>
      </c>
      <c r="AF19" s="31">
        <f t="shared" si="11"/>
        <v>17.857142857142858</v>
      </c>
    </row>
    <row r="20" spans="2:32" ht="23.1" customHeight="1" x14ac:dyDescent="0.25">
      <c r="B20" s="23" t="s">
        <v>47</v>
      </c>
      <c r="C20" s="49">
        <f>'Avg Week Kotido-Karenga'!C20+'Avg Week Karenga-Kotido'!C20</f>
        <v>0.14285714285714285</v>
      </c>
      <c r="D20" s="49">
        <f>'Avg Week Kotido-Karenga'!D20+'Avg Week Karenga-Kotido'!D20</f>
        <v>0.5714285714285714</v>
      </c>
      <c r="E20" s="49">
        <f>'Avg Week Kotido-Karenga'!E20+'Avg Week Karenga-Kotido'!E20</f>
        <v>0.71428571428571419</v>
      </c>
      <c r="F20" s="49">
        <f>'Avg Week Kotido-Karenga'!F20+'Avg Week Karenga-Kotido'!F20</f>
        <v>0</v>
      </c>
      <c r="G20" s="49">
        <f>'Avg Week Kotido-Karenga'!G20+'Avg Week Karenga-Kotido'!G20</f>
        <v>0</v>
      </c>
      <c r="H20" s="49">
        <f>'Avg Week Kotido-Karenga'!H20+'Avg Week Karenga-Kotido'!H20</f>
        <v>0.14285714285714285</v>
      </c>
      <c r="I20" s="49">
        <f>'Avg Week Kotido-Karenga'!I20+'Avg Week Karenga-Kotido'!I20</f>
        <v>0.42857142857142855</v>
      </c>
      <c r="J20" s="49">
        <f>'Avg Week Kotido-Karenga'!J20+'Avg Week Karenga-Kotido'!J20</f>
        <v>0</v>
      </c>
      <c r="K20" s="49">
        <f>'Avg Week Kotido-Karenga'!K20+'Avg Week Karenga-Kotido'!K20</f>
        <v>0</v>
      </c>
      <c r="L20" s="49">
        <f>'Avg Week Kotido-Karenga'!L20+'Avg Week Karenga-Kotido'!L20</f>
        <v>0</v>
      </c>
      <c r="M20" s="49">
        <f>'Avg Week Kotido-Karenga'!M20+'Avg Week Karenga-Kotido'!M20</f>
        <v>4.7142857142857144</v>
      </c>
      <c r="N20" s="49">
        <f>'Avg Week Kotido-Karenga'!N20+'Avg Week Karenga-Kotido'!N20</f>
        <v>0</v>
      </c>
      <c r="O20" s="15">
        <f t="shared" si="0"/>
        <v>1.9999999999999998</v>
      </c>
      <c r="P20" s="15">
        <f t="shared" si="1"/>
        <v>6.7142857142857144</v>
      </c>
      <c r="R20" s="1" t="s">
        <v>16</v>
      </c>
      <c r="S20" s="17">
        <f t="shared" ref="S20:AF20" si="12">SUM(C50:C53)</f>
        <v>0</v>
      </c>
      <c r="T20" s="17">
        <f t="shared" si="12"/>
        <v>1.1428571428571426</v>
      </c>
      <c r="U20" s="17">
        <f t="shared" si="12"/>
        <v>0.85714285714285698</v>
      </c>
      <c r="V20" s="17">
        <f t="shared" si="12"/>
        <v>0.5714285714285714</v>
      </c>
      <c r="W20" s="17">
        <f t="shared" si="12"/>
        <v>0.14285714285714285</v>
      </c>
      <c r="X20" s="17">
        <f t="shared" si="12"/>
        <v>0</v>
      </c>
      <c r="Y20" s="17">
        <f t="shared" si="12"/>
        <v>0.71428571428571419</v>
      </c>
      <c r="Z20" s="17">
        <f t="shared" si="12"/>
        <v>0.42857142857142855</v>
      </c>
      <c r="AA20" s="17">
        <f t="shared" si="12"/>
        <v>0</v>
      </c>
      <c r="AB20" s="17">
        <f t="shared" si="12"/>
        <v>0</v>
      </c>
      <c r="AC20" s="17">
        <f t="shared" si="12"/>
        <v>12</v>
      </c>
      <c r="AD20" s="17">
        <f t="shared" si="12"/>
        <v>0</v>
      </c>
      <c r="AE20" s="31">
        <f t="shared" si="12"/>
        <v>3.8571428571428577</v>
      </c>
      <c r="AF20" s="31">
        <f t="shared" si="12"/>
        <v>15.857142857142858</v>
      </c>
    </row>
    <row r="21" spans="2:32" ht="23.1" customHeight="1" x14ac:dyDescent="0.25">
      <c r="B21" s="23" t="s">
        <v>48</v>
      </c>
      <c r="C21" s="49">
        <f>'Avg Week Kotido-Karenga'!C21+'Avg Week Karenga-Kotido'!C21</f>
        <v>0</v>
      </c>
      <c r="D21" s="49">
        <f>'Avg Week Kotido-Karenga'!D21+'Avg Week Karenga-Kotido'!D21</f>
        <v>0.42857142857142855</v>
      </c>
      <c r="E21" s="49">
        <f>'Avg Week Kotido-Karenga'!E21+'Avg Week Karenga-Kotido'!E21</f>
        <v>0.71428571428571419</v>
      </c>
      <c r="F21" s="49">
        <f>'Avg Week Kotido-Karenga'!F21+'Avg Week Karenga-Kotido'!F21</f>
        <v>0</v>
      </c>
      <c r="G21" s="49">
        <f>'Avg Week Kotido-Karenga'!G21+'Avg Week Karenga-Kotido'!G21</f>
        <v>0</v>
      </c>
      <c r="H21" s="49">
        <f>'Avg Week Kotido-Karenga'!H21+'Avg Week Karenga-Kotido'!H21</f>
        <v>0</v>
      </c>
      <c r="I21" s="49">
        <f>'Avg Week Kotido-Karenga'!I21+'Avg Week Karenga-Kotido'!I21</f>
        <v>0.2857142857142857</v>
      </c>
      <c r="J21" s="49">
        <f>'Avg Week Kotido-Karenga'!J21+'Avg Week Karenga-Kotido'!J21</f>
        <v>0</v>
      </c>
      <c r="K21" s="49">
        <f>'Avg Week Kotido-Karenga'!K21+'Avg Week Karenga-Kotido'!K21</f>
        <v>0</v>
      </c>
      <c r="L21" s="49">
        <f>'Avg Week Kotido-Karenga'!L21+'Avg Week Karenga-Kotido'!L21</f>
        <v>0</v>
      </c>
      <c r="M21" s="49">
        <f>'Avg Week Kotido-Karenga'!M21+'Avg Week Karenga-Kotido'!M21</f>
        <v>4.1428571428571423</v>
      </c>
      <c r="N21" s="49">
        <f>'Avg Week Kotido-Karenga'!N21+'Avg Week Karenga-Kotido'!N21</f>
        <v>0</v>
      </c>
      <c r="O21" s="15">
        <f t="shared" si="0"/>
        <v>1.4285714285714284</v>
      </c>
      <c r="P21" s="15">
        <f t="shared" si="1"/>
        <v>5.5714285714285712</v>
      </c>
      <c r="R21" s="1" t="s">
        <v>20</v>
      </c>
      <c r="S21" s="34">
        <f t="shared" ref="S21:AF21" si="13">SUM(C54:C57)</f>
        <v>0.42857142857142855</v>
      </c>
      <c r="T21" s="17">
        <f t="shared" si="13"/>
        <v>0.85714285714285698</v>
      </c>
      <c r="U21" s="17">
        <f t="shared" si="13"/>
        <v>1.1428571428571428</v>
      </c>
      <c r="V21" s="17">
        <f t="shared" si="13"/>
        <v>0.99999999999999989</v>
      </c>
      <c r="W21" s="17">
        <f t="shared" si="13"/>
        <v>0</v>
      </c>
      <c r="X21" s="17">
        <f t="shared" si="13"/>
        <v>0</v>
      </c>
      <c r="Y21" s="17">
        <f t="shared" si="13"/>
        <v>0.42857142857142855</v>
      </c>
      <c r="Z21" s="17">
        <f t="shared" si="13"/>
        <v>0.2857142857142857</v>
      </c>
      <c r="AA21" s="17">
        <f t="shared" si="13"/>
        <v>0.14285714285714285</v>
      </c>
      <c r="AB21" s="17">
        <f t="shared" si="13"/>
        <v>0</v>
      </c>
      <c r="AC21" s="17">
        <f t="shared" si="13"/>
        <v>10</v>
      </c>
      <c r="AD21" s="17">
        <f t="shared" si="13"/>
        <v>0</v>
      </c>
      <c r="AE21" s="31">
        <f t="shared" si="13"/>
        <v>4.2857142857142856</v>
      </c>
      <c r="AF21" s="31">
        <f t="shared" si="13"/>
        <v>14.285714285714285</v>
      </c>
    </row>
    <row r="22" spans="2:32" ht="23.1" customHeight="1" x14ac:dyDescent="0.25">
      <c r="B22" s="23" t="s">
        <v>49</v>
      </c>
      <c r="C22" s="49">
        <f>'Avg Week Kotido-Karenga'!C22+'Avg Week Karenga-Kotido'!C22</f>
        <v>0</v>
      </c>
      <c r="D22" s="49">
        <f>'Avg Week Kotido-Karenga'!D22+'Avg Week Karenga-Kotido'!D22</f>
        <v>0.14285714285714285</v>
      </c>
      <c r="E22" s="49">
        <f>'Avg Week Kotido-Karenga'!E22+'Avg Week Karenga-Kotido'!E22</f>
        <v>0.5714285714285714</v>
      </c>
      <c r="F22" s="49">
        <f>'Avg Week Kotido-Karenga'!F22+'Avg Week Karenga-Kotido'!F22</f>
        <v>0.14285714285714285</v>
      </c>
      <c r="G22" s="49">
        <f>'Avg Week Kotido-Karenga'!G22+'Avg Week Karenga-Kotido'!G22</f>
        <v>0</v>
      </c>
      <c r="H22" s="49">
        <f>'Avg Week Kotido-Karenga'!H22+'Avg Week Karenga-Kotido'!H22</f>
        <v>0</v>
      </c>
      <c r="I22" s="49">
        <f>'Avg Week Kotido-Karenga'!I22+'Avg Week Karenga-Kotido'!I22</f>
        <v>0.14285714285714285</v>
      </c>
      <c r="J22" s="49">
        <f>'Avg Week Kotido-Karenga'!J22+'Avg Week Karenga-Kotido'!J22</f>
        <v>0</v>
      </c>
      <c r="K22" s="49">
        <f>'Avg Week Kotido-Karenga'!K22+'Avg Week Karenga-Kotido'!K22</f>
        <v>0</v>
      </c>
      <c r="L22" s="49">
        <f>'Avg Week Kotido-Karenga'!L22+'Avg Week Karenga-Kotido'!L22</f>
        <v>0</v>
      </c>
      <c r="M22" s="49">
        <f>'Avg Week Kotido-Karenga'!M22+'Avg Week Karenga-Kotido'!M22</f>
        <v>3.7142857142857144</v>
      </c>
      <c r="N22" s="49">
        <f>'Avg Week Kotido-Karenga'!N22+'Avg Week Karenga-Kotido'!N22</f>
        <v>0</v>
      </c>
      <c r="O22" s="15">
        <f t="shared" si="0"/>
        <v>0.99999999999999978</v>
      </c>
      <c r="P22" s="15">
        <f t="shared" si="1"/>
        <v>4.7142857142857144</v>
      </c>
      <c r="R22" s="1" t="s">
        <v>146</v>
      </c>
      <c r="S22" s="34">
        <f>SUM(C58:C61)</f>
        <v>0.5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0.5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9</v>
      </c>
      <c r="AD22" s="34">
        <f t="shared" si="14"/>
        <v>0</v>
      </c>
      <c r="AE22" s="31">
        <f t="shared" si="14"/>
        <v>2</v>
      </c>
      <c r="AF22" s="31">
        <f t="shared" si="14"/>
        <v>11</v>
      </c>
    </row>
    <row r="23" spans="2:32" ht="23.1" customHeight="1" x14ac:dyDescent="0.25">
      <c r="B23" s="23" t="s">
        <v>50</v>
      </c>
      <c r="C23" s="49">
        <f>'Avg Week Kotido-Karenga'!C23+'Avg Week Karenga-Kotido'!C23</f>
        <v>0.14285714285714285</v>
      </c>
      <c r="D23" s="49">
        <f>'Avg Week Kotido-Karenga'!D23+'Avg Week Karenga-Kotido'!D23</f>
        <v>0.2857142857142857</v>
      </c>
      <c r="E23" s="49">
        <f>'Avg Week Kotido-Karenga'!E23+'Avg Week Karenga-Kotido'!E23</f>
        <v>0.85714285714285721</v>
      </c>
      <c r="F23" s="49">
        <f>'Avg Week Kotido-Karenga'!F23+'Avg Week Karenga-Kotido'!F23</f>
        <v>0.2857142857142857</v>
      </c>
      <c r="G23" s="49">
        <f>'Avg Week Kotido-Karenga'!G23+'Avg Week Karenga-Kotido'!G23</f>
        <v>0</v>
      </c>
      <c r="H23" s="49">
        <f>'Avg Week Kotido-Karenga'!H23+'Avg Week Karenga-Kotido'!H23</f>
        <v>0</v>
      </c>
      <c r="I23" s="49">
        <f>'Avg Week Kotido-Karenga'!I23+'Avg Week Karenga-Kotido'!I23</f>
        <v>0.2857142857142857</v>
      </c>
      <c r="J23" s="49">
        <f>'Avg Week Kotido-Karenga'!J23+'Avg Week Karenga-Kotido'!J23</f>
        <v>0</v>
      </c>
      <c r="K23" s="49">
        <f>'Avg Week Kotido-Karenga'!K23+'Avg Week Karenga-Kotido'!K23</f>
        <v>0</v>
      </c>
      <c r="L23" s="49">
        <f>'Avg Week Kotido-Karenga'!L23+'Avg Week Karenga-Kotido'!L23</f>
        <v>0</v>
      </c>
      <c r="M23" s="49">
        <f>'Avg Week Kotido-Karenga'!M23+'Avg Week Karenga-Kotido'!M23</f>
        <v>3.4285714285714288</v>
      </c>
      <c r="N23" s="49">
        <f>'Avg Week Kotido-Karenga'!N23+'Avg Week Karenga-Kotido'!N23</f>
        <v>0</v>
      </c>
      <c r="O23" s="15">
        <f t="shared" si="0"/>
        <v>1.8571428571428572</v>
      </c>
      <c r="P23" s="15">
        <f t="shared" si="1"/>
        <v>5.2857142857142865</v>
      </c>
      <c r="R23" s="1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5.5</v>
      </c>
      <c r="AD23" s="34">
        <f t="shared" si="15"/>
        <v>0</v>
      </c>
      <c r="AE23" s="31">
        <f t="shared" si="15"/>
        <v>1</v>
      </c>
      <c r="AF23" s="31">
        <f t="shared" si="15"/>
        <v>6.5</v>
      </c>
    </row>
    <row r="24" spans="2:32" ht="23.1" customHeight="1" x14ac:dyDescent="0.25">
      <c r="B24" s="23" t="s">
        <v>51</v>
      </c>
      <c r="C24" s="49">
        <f>'Avg Week Kotido-Karenga'!C24+'Avg Week Karenga-Kotido'!C24</f>
        <v>0</v>
      </c>
      <c r="D24" s="49">
        <f>'Avg Week Kotido-Karenga'!D24+'Avg Week Karenga-Kotido'!D24</f>
        <v>0.2857142857142857</v>
      </c>
      <c r="E24" s="49">
        <f>'Avg Week Kotido-Karenga'!E24+'Avg Week Karenga-Kotido'!E24</f>
        <v>0.2857142857142857</v>
      </c>
      <c r="F24" s="49">
        <f>'Avg Week Kotido-Karenga'!F24+'Avg Week Karenga-Kotido'!F24</f>
        <v>0</v>
      </c>
      <c r="G24" s="49">
        <f>'Avg Week Kotido-Karenga'!G24+'Avg Week Karenga-Kotido'!G24</f>
        <v>0</v>
      </c>
      <c r="H24" s="49">
        <f>'Avg Week Kotido-Karenga'!H24+'Avg Week Karenga-Kotido'!H24</f>
        <v>0</v>
      </c>
      <c r="I24" s="49">
        <f>'Avg Week Kotido-Karenga'!I24+'Avg Week Karenga-Kotido'!I24</f>
        <v>0.14285714285714285</v>
      </c>
      <c r="J24" s="49">
        <f>'Avg Week Kotido-Karenga'!J24+'Avg Week Karenga-Kotido'!J24</f>
        <v>0.14285714285714285</v>
      </c>
      <c r="K24" s="49">
        <f>'Avg Week Kotido-Karenga'!K24+'Avg Week Karenga-Kotido'!K24</f>
        <v>0</v>
      </c>
      <c r="L24" s="49">
        <f>'Avg Week Kotido-Karenga'!L24+'Avg Week Karenga-Kotido'!L24</f>
        <v>0</v>
      </c>
      <c r="M24" s="49">
        <f>'Avg Week Kotido-Karenga'!M24+'Avg Week Karenga-Kotido'!M24</f>
        <v>5.2857142857142865</v>
      </c>
      <c r="N24" s="49">
        <f>'Avg Week Kotido-Karenga'!N24+'Avg Week Karenga-Kotido'!N24</f>
        <v>0</v>
      </c>
      <c r="O24" s="15">
        <f t="shared" si="0"/>
        <v>0.85714285714285698</v>
      </c>
      <c r="P24" s="15">
        <f t="shared" si="1"/>
        <v>6.1428571428571432</v>
      </c>
      <c r="R24" s="1" t="s">
        <v>148</v>
      </c>
      <c r="S24" s="34">
        <f>SUM(C66:C69)</f>
        <v>0.5</v>
      </c>
      <c r="T24" s="34">
        <f t="shared" ref="T24:AF24" si="16">SUM(D66:D69)</f>
        <v>0.5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</v>
      </c>
      <c r="AD24" s="34">
        <f t="shared" si="16"/>
        <v>0</v>
      </c>
      <c r="AE24" s="31">
        <f t="shared" si="16"/>
        <v>1</v>
      </c>
      <c r="AF24" s="31">
        <f t="shared" si="16"/>
        <v>6</v>
      </c>
    </row>
    <row r="25" spans="2:32" ht="23.1" customHeight="1" x14ac:dyDescent="0.25">
      <c r="B25" s="23" t="s">
        <v>52</v>
      </c>
      <c r="C25" s="49">
        <f>'Avg Week Kotido-Karenga'!C25+'Avg Week Karenga-Kotido'!C25</f>
        <v>0</v>
      </c>
      <c r="D25" s="49">
        <f>'Avg Week Kotido-Karenga'!D25+'Avg Week Karenga-Kotido'!D25</f>
        <v>0.14285714285714285</v>
      </c>
      <c r="E25" s="49">
        <f>'Avg Week Kotido-Karenga'!E25+'Avg Week Karenga-Kotido'!E25</f>
        <v>0.42857142857142855</v>
      </c>
      <c r="F25" s="49">
        <f>'Avg Week Kotido-Karenga'!F25+'Avg Week Karenga-Kotido'!F25</f>
        <v>0.14285714285714285</v>
      </c>
      <c r="G25" s="49">
        <f>'Avg Week Kotido-Karenga'!G25+'Avg Week Karenga-Kotido'!G25</f>
        <v>0</v>
      </c>
      <c r="H25" s="49">
        <f>'Avg Week Kotido-Karenga'!H25+'Avg Week Karenga-Kotido'!H25</f>
        <v>0</v>
      </c>
      <c r="I25" s="49">
        <f>'Avg Week Kotido-Karenga'!I25+'Avg Week Karenga-Kotido'!I25</f>
        <v>0.42857142857142855</v>
      </c>
      <c r="J25" s="49">
        <f>'Avg Week Kotido-Karenga'!J25+'Avg Week Karenga-Kotido'!J25</f>
        <v>0.14285714285714285</v>
      </c>
      <c r="K25" s="49">
        <f>'Avg Week Kotido-Karenga'!K25+'Avg Week Karenga-Kotido'!K25</f>
        <v>0</v>
      </c>
      <c r="L25" s="49">
        <f>'Avg Week Kotido-Karenga'!L25+'Avg Week Karenga-Kotido'!L25</f>
        <v>0</v>
      </c>
      <c r="M25" s="49">
        <f>'Avg Week Kotido-Karenga'!M25+'Avg Week Karenga-Kotido'!M25</f>
        <v>2.5714285714285716</v>
      </c>
      <c r="N25" s="49">
        <f>'Avg Week Kotido-Karenga'!N25+'Avg Week Karenga-Kotido'!N25</f>
        <v>0</v>
      </c>
      <c r="O25" s="15">
        <f t="shared" si="0"/>
        <v>1.2857142857142856</v>
      </c>
      <c r="P25" s="15">
        <f t="shared" si="1"/>
        <v>3.8571428571428572</v>
      </c>
      <c r="R25" s="1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3.5</v>
      </c>
      <c r="AD25" s="34">
        <f t="shared" si="17"/>
        <v>0</v>
      </c>
      <c r="AE25" s="31">
        <f t="shared" si="17"/>
        <v>1</v>
      </c>
      <c r="AF25" s="31">
        <f t="shared" si="17"/>
        <v>4.5</v>
      </c>
    </row>
    <row r="26" spans="2:32" ht="23.1" customHeight="1" x14ac:dyDescent="0.25">
      <c r="B26" s="23" t="s">
        <v>53</v>
      </c>
      <c r="C26" s="49">
        <f>'Avg Week Kotido-Karenga'!C26+'Avg Week Karenga-Kotido'!C26</f>
        <v>0</v>
      </c>
      <c r="D26" s="49">
        <f>'Avg Week Kotido-Karenga'!D26+'Avg Week Karenga-Kotido'!D26</f>
        <v>0.5714285714285714</v>
      </c>
      <c r="E26" s="49">
        <f>'Avg Week Kotido-Karenga'!E26+'Avg Week Karenga-Kotido'!E26</f>
        <v>0.2857142857142857</v>
      </c>
      <c r="F26" s="49">
        <f>'Avg Week Kotido-Karenga'!F26+'Avg Week Karenga-Kotido'!F26</f>
        <v>0.2857142857142857</v>
      </c>
      <c r="G26" s="49">
        <f>'Avg Week Kotido-Karenga'!G26+'Avg Week Karenga-Kotido'!G26</f>
        <v>0</v>
      </c>
      <c r="H26" s="49">
        <f>'Avg Week Kotido-Karenga'!H26+'Avg Week Karenga-Kotido'!H26</f>
        <v>0</v>
      </c>
      <c r="I26" s="49">
        <f>'Avg Week Kotido-Karenga'!I26+'Avg Week Karenga-Kotido'!I26</f>
        <v>0.2857142857142857</v>
      </c>
      <c r="J26" s="49">
        <f>'Avg Week Kotido-Karenga'!J26+'Avg Week Karenga-Kotido'!J26</f>
        <v>0</v>
      </c>
      <c r="K26" s="49">
        <f>'Avg Week Kotido-Karenga'!K26+'Avg Week Karenga-Kotido'!K26</f>
        <v>0</v>
      </c>
      <c r="L26" s="49">
        <f>'Avg Week Kotido-Karenga'!L26+'Avg Week Karenga-Kotido'!L26</f>
        <v>0</v>
      </c>
      <c r="M26" s="49">
        <f>'Avg Week Kotido-Karenga'!M26+'Avg Week Karenga-Kotido'!M26</f>
        <v>3.7142857142857144</v>
      </c>
      <c r="N26" s="49">
        <f>'Avg Week Kotido-Karenga'!N26+'Avg Week Karenga-Kotido'!N26</f>
        <v>0</v>
      </c>
      <c r="O26" s="15">
        <f t="shared" si="0"/>
        <v>1.4285714285714284</v>
      </c>
      <c r="P26" s="15">
        <f t="shared" si="1"/>
        <v>5.1428571428571423</v>
      </c>
      <c r="R26" s="1" t="s">
        <v>150</v>
      </c>
      <c r="S26" s="34">
        <f>SUM(C74:C77)</f>
        <v>0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</v>
      </c>
      <c r="AD26" s="34">
        <f t="shared" si="18"/>
        <v>0</v>
      </c>
      <c r="AE26" s="31">
        <f t="shared" si="18"/>
        <v>0.5</v>
      </c>
      <c r="AF26" s="31">
        <f t="shared" si="18"/>
        <v>2.5</v>
      </c>
    </row>
    <row r="27" spans="2:32" ht="23.1" customHeight="1" x14ac:dyDescent="0.25">
      <c r="B27" s="23" t="s">
        <v>54</v>
      </c>
      <c r="C27" s="49">
        <f>'Avg Week Kotido-Karenga'!C27+'Avg Week Karenga-Kotido'!C27</f>
        <v>0</v>
      </c>
      <c r="D27" s="49">
        <f>'Avg Week Kotido-Karenga'!D27+'Avg Week Karenga-Kotido'!D27</f>
        <v>0.5714285714285714</v>
      </c>
      <c r="E27" s="49">
        <f>'Avg Week Kotido-Karenga'!E27+'Avg Week Karenga-Kotido'!E27</f>
        <v>0.5714285714285714</v>
      </c>
      <c r="F27" s="49">
        <f>'Avg Week Kotido-Karenga'!F27+'Avg Week Karenga-Kotido'!F27</f>
        <v>0.14285714285714285</v>
      </c>
      <c r="G27" s="49">
        <f>'Avg Week Kotido-Karenga'!G27+'Avg Week Karenga-Kotido'!G27</f>
        <v>0</v>
      </c>
      <c r="H27" s="49">
        <f>'Avg Week Kotido-Karenga'!H27+'Avg Week Karenga-Kotido'!H27</f>
        <v>0</v>
      </c>
      <c r="I27" s="49">
        <f>'Avg Week Kotido-Karenga'!I27+'Avg Week Karenga-Kotido'!I27</f>
        <v>0.2857142857142857</v>
      </c>
      <c r="J27" s="49">
        <f>'Avg Week Kotido-Karenga'!J27+'Avg Week Karenga-Kotido'!J27</f>
        <v>0.42857142857142855</v>
      </c>
      <c r="K27" s="49">
        <f>'Avg Week Kotido-Karenga'!K27+'Avg Week Karenga-Kotido'!K27</f>
        <v>0</v>
      </c>
      <c r="L27" s="49">
        <f>'Avg Week Kotido-Karenga'!L27+'Avg Week Karenga-Kotido'!L27</f>
        <v>0</v>
      </c>
      <c r="M27" s="49">
        <f>'Avg Week Kotido-Karenga'!M27+'Avg Week Karenga-Kotido'!M27</f>
        <v>5.2857142857142856</v>
      </c>
      <c r="N27" s="49">
        <f>'Avg Week Kotido-Karenga'!N27+'Avg Week Karenga-Kotido'!N27</f>
        <v>0</v>
      </c>
      <c r="O27" s="15">
        <f t="shared" si="0"/>
        <v>1.9999999999999998</v>
      </c>
      <c r="P27" s="15">
        <f t="shared" si="1"/>
        <v>7.2857142857142856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23" t="s">
        <v>55</v>
      </c>
      <c r="C28" s="49">
        <f>'Avg Week Kotido-Karenga'!C28+'Avg Week Karenga-Kotido'!C28</f>
        <v>0</v>
      </c>
      <c r="D28" s="49">
        <f>'Avg Week Kotido-Karenga'!D28+'Avg Week Karenga-Kotido'!D28</f>
        <v>0.14285714285714285</v>
      </c>
      <c r="E28" s="49">
        <f>'Avg Week Kotido-Karenga'!E28+'Avg Week Karenga-Kotido'!E28</f>
        <v>0.2857142857142857</v>
      </c>
      <c r="F28" s="49">
        <f>'Avg Week Kotido-Karenga'!F28+'Avg Week Karenga-Kotido'!F28</f>
        <v>0.14285714285714285</v>
      </c>
      <c r="G28" s="49">
        <f>'Avg Week Kotido-Karenga'!G28+'Avg Week Karenga-Kotido'!G28</f>
        <v>0</v>
      </c>
      <c r="H28" s="49">
        <f>'Avg Week Kotido-Karenga'!H28+'Avg Week Karenga-Kotido'!H28</f>
        <v>0</v>
      </c>
      <c r="I28" s="49">
        <f>'Avg Week Kotido-Karenga'!I28+'Avg Week Karenga-Kotido'!I28</f>
        <v>0.14285714285714285</v>
      </c>
      <c r="J28" s="49">
        <f>'Avg Week Kotido-Karenga'!J28+'Avg Week Karenga-Kotido'!J28</f>
        <v>0</v>
      </c>
      <c r="K28" s="49">
        <f>'Avg Week Kotido-Karenga'!K28+'Avg Week Karenga-Kotido'!K28</f>
        <v>0.14285714285714285</v>
      </c>
      <c r="L28" s="49">
        <f>'Avg Week Kotido-Karenga'!L28+'Avg Week Karenga-Kotido'!L28</f>
        <v>0</v>
      </c>
      <c r="M28" s="49">
        <f>'Avg Week Kotido-Karenga'!M28+'Avg Week Karenga-Kotido'!M28</f>
        <v>4</v>
      </c>
      <c r="N28" s="49">
        <f>'Avg Week Kotido-Karenga'!N28+'Avg Week Karenga-Kotido'!N28</f>
        <v>0</v>
      </c>
      <c r="O28" s="15">
        <f t="shared" si="0"/>
        <v>0.85714285714285698</v>
      </c>
      <c r="P28" s="15">
        <f t="shared" si="1"/>
        <v>4.8571428571428568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23" t="s">
        <v>56</v>
      </c>
      <c r="C29" s="49">
        <f>'Avg Week Kotido-Karenga'!C29+'Avg Week Karenga-Kotido'!C29</f>
        <v>0</v>
      </c>
      <c r="D29" s="49">
        <f>'Avg Week Kotido-Karenga'!D29+'Avg Week Karenga-Kotido'!D29</f>
        <v>0.2857142857142857</v>
      </c>
      <c r="E29" s="49">
        <f>'Avg Week Kotido-Karenga'!E29+'Avg Week Karenga-Kotido'!E29</f>
        <v>0.5714285714285714</v>
      </c>
      <c r="F29" s="49">
        <f>'Avg Week Kotido-Karenga'!F29+'Avg Week Karenga-Kotido'!F29</f>
        <v>0.14285714285714285</v>
      </c>
      <c r="G29" s="49">
        <f>'Avg Week Kotido-Karenga'!G29+'Avg Week Karenga-Kotido'!G29</f>
        <v>0</v>
      </c>
      <c r="H29" s="49">
        <f>'Avg Week Kotido-Karenga'!H29+'Avg Week Karenga-Kotido'!H29</f>
        <v>0</v>
      </c>
      <c r="I29" s="49">
        <f>'Avg Week Kotido-Karenga'!I29+'Avg Week Karenga-Kotido'!I29</f>
        <v>0.14285714285714285</v>
      </c>
      <c r="J29" s="49">
        <f>'Avg Week Kotido-Karenga'!J29+'Avg Week Karenga-Kotido'!J29</f>
        <v>0</v>
      </c>
      <c r="K29" s="49">
        <f>'Avg Week Kotido-Karenga'!K29+'Avg Week Karenga-Kotido'!K29</f>
        <v>0</v>
      </c>
      <c r="L29" s="49">
        <f>'Avg Week Kotido-Karenga'!L29+'Avg Week Karenga-Kotido'!L29</f>
        <v>0</v>
      </c>
      <c r="M29" s="49">
        <f>'Avg Week Kotido-Karenga'!M29+'Avg Week Karenga-Kotido'!M29</f>
        <v>4.5714285714285712</v>
      </c>
      <c r="N29" s="49">
        <f>'Avg Week Kotido-Karenga'!N29+'Avg Week Karenga-Kotido'!N29</f>
        <v>0</v>
      </c>
      <c r="O29" s="15">
        <f t="shared" si="0"/>
        <v>1.1428571428571428</v>
      </c>
      <c r="P29" s="15">
        <f t="shared" si="1"/>
        <v>5.7142857142857135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23" t="s">
        <v>57</v>
      </c>
      <c r="C30" s="49">
        <f>'Avg Week Kotido-Karenga'!C30+'Avg Week Karenga-Kotido'!C30</f>
        <v>0</v>
      </c>
      <c r="D30" s="49">
        <f>'Avg Week Kotido-Karenga'!D30+'Avg Week Karenga-Kotido'!D30</f>
        <v>0.42857142857142855</v>
      </c>
      <c r="E30" s="49">
        <f>'Avg Week Kotido-Karenga'!E30+'Avg Week Karenga-Kotido'!E30</f>
        <v>0.2857142857142857</v>
      </c>
      <c r="F30" s="49">
        <f>'Avg Week Kotido-Karenga'!F30+'Avg Week Karenga-Kotido'!F30</f>
        <v>0</v>
      </c>
      <c r="G30" s="49">
        <f>'Avg Week Kotido-Karenga'!G30+'Avg Week Karenga-Kotido'!G30</f>
        <v>0</v>
      </c>
      <c r="H30" s="49">
        <f>'Avg Week Kotido-Karenga'!H30+'Avg Week Karenga-Kotido'!H30</f>
        <v>0</v>
      </c>
      <c r="I30" s="49">
        <f>'Avg Week Kotido-Karenga'!I30+'Avg Week Karenga-Kotido'!I30</f>
        <v>0</v>
      </c>
      <c r="J30" s="49">
        <f>'Avg Week Kotido-Karenga'!J30+'Avg Week Karenga-Kotido'!J30</f>
        <v>0</v>
      </c>
      <c r="K30" s="49">
        <f>'Avg Week Kotido-Karenga'!K30+'Avg Week Karenga-Kotido'!K30</f>
        <v>0</v>
      </c>
      <c r="L30" s="49">
        <f>'Avg Week Kotido-Karenga'!L30+'Avg Week Karenga-Kotido'!L30</f>
        <v>0</v>
      </c>
      <c r="M30" s="49">
        <f>'Avg Week Kotido-Karenga'!M30+'Avg Week Karenga-Kotido'!M30</f>
        <v>3</v>
      </c>
      <c r="N30" s="49">
        <f>'Avg Week Kotido-Karenga'!N30+'Avg Week Karenga-Kotido'!N30</f>
        <v>0</v>
      </c>
      <c r="O30" s="15">
        <f t="shared" si="0"/>
        <v>0.71428571428571419</v>
      </c>
      <c r="P30" s="15">
        <f t="shared" si="1"/>
        <v>3.7142857142857144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49">
        <f>'Avg Week Kotido-Karenga'!C31+'Avg Week Karenga-Kotido'!C31</f>
        <v>0.14285714285714285</v>
      </c>
      <c r="D31" s="49">
        <f>'Avg Week Kotido-Karenga'!D31+'Avg Week Karenga-Kotido'!D31</f>
        <v>0.42857142857142855</v>
      </c>
      <c r="E31" s="49">
        <f>'Avg Week Kotido-Karenga'!E31+'Avg Week Karenga-Kotido'!E31</f>
        <v>0.42857142857142855</v>
      </c>
      <c r="F31" s="49">
        <f>'Avg Week Kotido-Karenga'!F31+'Avg Week Karenga-Kotido'!F31</f>
        <v>0.14285714285714285</v>
      </c>
      <c r="G31" s="49">
        <f>'Avg Week Kotido-Karenga'!G31+'Avg Week Karenga-Kotido'!G31</f>
        <v>0</v>
      </c>
      <c r="H31" s="49">
        <f>'Avg Week Kotido-Karenga'!H31+'Avg Week Karenga-Kotido'!H31</f>
        <v>0</v>
      </c>
      <c r="I31" s="49">
        <f>'Avg Week Kotido-Karenga'!I31+'Avg Week Karenga-Kotido'!I31</f>
        <v>0.14285714285714285</v>
      </c>
      <c r="J31" s="49">
        <f>'Avg Week Kotido-Karenga'!J31+'Avg Week Karenga-Kotido'!J31</f>
        <v>0</v>
      </c>
      <c r="K31" s="49">
        <f>'Avg Week Kotido-Karenga'!K31+'Avg Week Karenga-Kotido'!K31</f>
        <v>0.14285714285714285</v>
      </c>
      <c r="L31" s="49">
        <f>'Avg Week Kotido-Karenga'!L31+'Avg Week Karenga-Kotido'!L31</f>
        <v>0</v>
      </c>
      <c r="M31" s="49">
        <f>'Avg Week Kotido-Karenga'!M31+'Avg Week Karenga-Kotido'!M31</f>
        <v>4.5714285714285712</v>
      </c>
      <c r="N31" s="49">
        <f>'Avg Week Kotido-Karenga'!N31+'Avg Week Karenga-Kotido'!N31</f>
        <v>0</v>
      </c>
      <c r="O31" s="15">
        <f t="shared" si="0"/>
        <v>1.4285714285714284</v>
      </c>
      <c r="P31" s="15">
        <f t="shared" si="1"/>
        <v>6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24" t="s">
        <v>59</v>
      </c>
      <c r="C32" s="49">
        <f>'Avg Week Kotido-Karenga'!C32+'Avg Week Karenga-Kotido'!C32</f>
        <v>0.14285714285714285</v>
      </c>
      <c r="D32" s="49">
        <f>'Avg Week Kotido-Karenga'!D32+'Avg Week Karenga-Kotido'!D32</f>
        <v>0.42857142857142855</v>
      </c>
      <c r="E32" s="49">
        <f>'Avg Week Kotido-Karenga'!E32+'Avg Week Karenga-Kotido'!E32</f>
        <v>0.5714285714285714</v>
      </c>
      <c r="F32" s="49">
        <f>'Avg Week Kotido-Karenga'!F32+'Avg Week Karenga-Kotido'!F32</f>
        <v>0.2857142857142857</v>
      </c>
      <c r="G32" s="49">
        <f>'Avg Week Kotido-Karenga'!G32+'Avg Week Karenga-Kotido'!G32</f>
        <v>0</v>
      </c>
      <c r="H32" s="49">
        <f>'Avg Week Kotido-Karenga'!H32+'Avg Week Karenga-Kotido'!H32</f>
        <v>0</v>
      </c>
      <c r="I32" s="49">
        <f>'Avg Week Kotido-Karenga'!I32+'Avg Week Karenga-Kotido'!I32</f>
        <v>0.14285714285714285</v>
      </c>
      <c r="J32" s="49">
        <f>'Avg Week Kotido-Karenga'!J32+'Avg Week Karenga-Kotido'!J32</f>
        <v>0</v>
      </c>
      <c r="K32" s="49">
        <f>'Avg Week Kotido-Karenga'!K32+'Avg Week Karenga-Kotido'!K32</f>
        <v>0</v>
      </c>
      <c r="L32" s="49">
        <f>'Avg Week Kotido-Karenga'!L32+'Avg Week Karenga-Kotido'!L32</f>
        <v>0</v>
      </c>
      <c r="M32" s="49">
        <f>'Avg Week Kotido-Karenga'!M32+'Avg Week Karenga-Kotido'!M32</f>
        <v>4.7142857142857144</v>
      </c>
      <c r="N32" s="49">
        <f>'Avg Week Kotido-Karenga'!N32+'Avg Week Karenga-Kotido'!N32</f>
        <v>0</v>
      </c>
      <c r="O32" s="15">
        <f t="shared" si="0"/>
        <v>1.5714285714285712</v>
      </c>
      <c r="P32" s="15">
        <f t="shared" si="1"/>
        <v>6.2857142857142856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23" t="s">
        <v>60</v>
      </c>
      <c r="C33" s="49">
        <f>'Avg Week Kotido-Karenga'!C33+'Avg Week Karenga-Kotido'!C33</f>
        <v>0.14285714285714285</v>
      </c>
      <c r="D33" s="49">
        <f>'Avg Week Kotido-Karenga'!D33+'Avg Week Karenga-Kotido'!D33</f>
        <v>0.42857142857142855</v>
      </c>
      <c r="E33" s="49">
        <f>'Avg Week Kotido-Karenga'!E33+'Avg Week Karenga-Kotido'!E33</f>
        <v>0.42857142857142855</v>
      </c>
      <c r="F33" s="49">
        <f>'Avg Week Kotido-Karenga'!F33+'Avg Week Karenga-Kotido'!F33</f>
        <v>0</v>
      </c>
      <c r="G33" s="49">
        <f>'Avg Week Kotido-Karenga'!G33+'Avg Week Karenga-Kotido'!G33</f>
        <v>0</v>
      </c>
      <c r="H33" s="49">
        <f>'Avg Week Kotido-Karenga'!H33+'Avg Week Karenga-Kotido'!H33</f>
        <v>0</v>
      </c>
      <c r="I33" s="49">
        <f>'Avg Week Kotido-Karenga'!I33+'Avg Week Karenga-Kotido'!I33</f>
        <v>0.2857142857142857</v>
      </c>
      <c r="J33" s="49">
        <f>'Avg Week Kotido-Karenga'!J33+'Avg Week Karenga-Kotido'!J33</f>
        <v>0.14285714285714285</v>
      </c>
      <c r="K33" s="49">
        <f>'Avg Week Kotido-Karenga'!K33+'Avg Week Karenga-Kotido'!K33</f>
        <v>0</v>
      </c>
      <c r="L33" s="49">
        <f>'Avg Week Kotido-Karenga'!L33+'Avg Week Karenga-Kotido'!L33</f>
        <v>0</v>
      </c>
      <c r="M33" s="49">
        <f>'Avg Week Kotido-Karenga'!M33+'Avg Week Karenga-Kotido'!M33</f>
        <v>2.8571428571428568</v>
      </c>
      <c r="N33" s="49">
        <f>'Avg Week Kotido-Karenga'!N33+'Avg Week Karenga-Kotido'!N33</f>
        <v>0</v>
      </c>
      <c r="O33" s="15">
        <f t="shared" si="0"/>
        <v>1.4285714285714284</v>
      </c>
      <c r="P33" s="15">
        <f t="shared" si="1"/>
        <v>4.2857142857142847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24" t="s">
        <v>61</v>
      </c>
      <c r="C34" s="49">
        <f>'Avg Week Kotido-Karenga'!C34+'Avg Week Karenga-Kotido'!C34</f>
        <v>0.2857142857142857</v>
      </c>
      <c r="D34" s="49">
        <f>'Avg Week Kotido-Karenga'!D34+'Avg Week Karenga-Kotido'!D34</f>
        <v>0.7142857142857143</v>
      </c>
      <c r="E34" s="49">
        <f>'Avg Week Kotido-Karenga'!E34+'Avg Week Karenga-Kotido'!E34</f>
        <v>0.42857142857142855</v>
      </c>
      <c r="F34" s="49">
        <f>'Avg Week Kotido-Karenga'!F34+'Avg Week Karenga-Kotido'!F34</f>
        <v>0.2857142857142857</v>
      </c>
      <c r="G34" s="49">
        <f>'Avg Week Kotido-Karenga'!G34+'Avg Week Karenga-Kotido'!G34</f>
        <v>0</v>
      </c>
      <c r="H34" s="49">
        <f>'Avg Week Kotido-Karenga'!H34+'Avg Week Karenga-Kotido'!H34</f>
        <v>0</v>
      </c>
      <c r="I34" s="49">
        <f>'Avg Week Kotido-Karenga'!I34+'Avg Week Karenga-Kotido'!I34</f>
        <v>0.71428571428571419</v>
      </c>
      <c r="J34" s="49">
        <f>'Avg Week Kotido-Karenga'!J34+'Avg Week Karenga-Kotido'!J34</f>
        <v>0.14285714285714285</v>
      </c>
      <c r="K34" s="49">
        <f>'Avg Week Kotido-Karenga'!K34+'Avg Week Karenga-Kotido'!K34</f>
        <v>0</v>
      </c>
      <c r="L34" s="49">
        <f>'Avg Week Kotido-Karenga'!L34+'Avg Week Karenga-Kotido'!L34</f>
        <v>0</v>
      </c>
      <c r="M34" s="49">
        <f>'Avg Week Kotido-Karenga'!M34+'Avg Week Karenga-Kotido'!M34</f>
        <v>4.5714285714285712</v>
      </c>
      <c r="N34" s="49">
        <f>'Avg Week Kotido-Karenga'!N34+'Avg Week Karenga-Kotido'!N34</f>
        <v>0.42857142857142855</v>
      </c>
      <c r="O34" s="15">
        <f t="shared" si="0"/>
        <v>3</v>
      </c>
      <c r="P34" s="15">
        <f t="shared" si="1"/>
        <v>7.5714285714285712</v>
      </c>
      <c r="R34" s="51" t="s">
        <v>90</v>
      </c>
      <c r="S34" s="52">
        <f t="shared" ref="S34:AF34" si="26">MAX(S10:S12)</f>
        <v>0.5714285714285714</v>
      </c>
      <c r="T34" s="52">
        <f t="shared" si="26"/>
        <v>1.5714285714285714</v>
      </c>
      <c r="U34" s="52">
        <f t="shared" si="26"/>
        <v>2.4285714285714284</v>
      </c>
      <c r="V34" s="52">
        <f t="shared" si="26"/>
        <v>0.2857142857142857</v>
      </c>
      <c r="W34" s="52">
        <f t="shared" si="26"/>
        <v>0</v>
      </c>
      <c r="X34" s="52">
        <f t="shared" si="26"/>
        <v>0.14285714285714285</v>
      </c>
      <c r="Y34" s="52">
        <f t="shared" si="26"/>
        <v>1.1428571428571428</v>
      </c>
      <c r="Z34" s="52">
        <f t="shared" si="26"/>
        <v>0.14285714285714285</v>
      </c>
      <c r="AA34" s="52">
        <f t="shared" si="26"/>
        <v>0</v>
      </c>
      <c r="AB34" s="52">
        <f t="shared" si="26"/>
        <v>0.2857142857142857</v>
      </c>
      <c r="AC34" s="52">
        <f t="shared" si="26"/>
        <v>18.142857142857142</v>
      </c>
      <c r="AD34" s="52">
        <f t="shared" si="26"/>
        <v>0</v>
      </c>
      <c r="AE34" s="40">
        <f t="shared" si="26"/>
        <v>6.1428571428571423</v>
      </c>
      <c r="AF34" s="40">
        <f t="shared" si="26"/>
        <v>24.285714285714285</v>
      </c>
    </row>
    <row r="35" spans="2:32" ht="23.1" customHeight="1" x14ac:dyDescent="0.25">
      <c r="B35" s="24" t="s">
        <v>62</v>
      </c>
      <c r="C35" s="49">
        <f>'Avg Week Kotido-Karenga'!C35+'Avg Week Karenga-Kotido'!C35</f>
        <v>0.14285714285714285</v>
      </c>
      <c r="D35" s="49">
        <f>'Avg Week Kotido-Karenga'!D35+'Avg Week Karenga-Kotido'!D35</f>
        <v>0.14285714285714285</v>
      </c>
      <c r="E35" s="49">
        <f>'Avg Week Kotido-Karenga'!E35+'Avg Week Karenga-Kotido'!E35</f>
        <v>0.42857142857142855</v>
      </c>
      <c r="F35" s="49">
        <f>'Avg Week Kotido-Karenga'!F35+'Avg Week Karenga-Kotido'!F35</f>
        <v>0.14285714285714285</v>
      </c>
      <c r="G35" s="49">
        <f>'Avg Week Kotido-Karenga'!G35+'Avg Week Karenga-Kotido'!G35</f>
        <v>0</v>
      </c>
      <c r="H35" s="49">
        <f>'Avg Week Kotido-Karenga'!H35+'Avg Week Karenga-Kotido'!H35</f>
        <v>0</v>
      </c>
      <c r="I35" s="49">
        <f>'Avg Week Kotido-Karenga'!I35+'Avg Week Karenga-Kotido'!I35</f>
        <v>0.2857142857142857</v>
      </c>
      <c r="J35" s="49">
        <f>'Avg Week Kotido-Karenga'!J35+'Avg Week Karenga-Kotido'!J35</f>
        <v>0</v>
      </c>
      <c r="K35" s="49">
        <f>'Avg Week Kotido-Karenga'!K35+'Avg Week Karenga-Kotido'!K35</f>
        <v>0</v>
      </c>
      <c r="L35" s="49">
        <f>'Avg Week Kotido-Karenga'!L35+'Avg Week Karenga-Kotido'!L35</f>
        <v>0</v>
      </c>
      <c r="M35" s="49">
        <f>'Avg Week Kotido-Karenga'!M35+'Avg Week Karenga-Kotido'!M35</f>
        <v>3.2857142857142856</v>
      </c>
      <c r="N35" s="49">
        <f>'Avg Week Kotido-Karenga'!N35+'Avg Week Karenga-Kotido'!N35</f>
        <v>0</v>
      </c>
      <c r="O35" s="15">
        <f t="shared" si="0"/>
        <v>1.1428571428571428</v>
      </c>
      <c r="P35" s="15">
        <f t="shared" si="1"/>
        <v>4.4285714285714288</v>
      </c>
      <c r="R35" s="51" t="s">
        <v>91</v>
      </c>
      <c r="S35" s="52">
        <f t="shared" ref="S35:AF35" si="27">MAX(S13:S18)</f>
        <v>0.5714285714285714</v>
      </c>
      <c r="T35" s="52">
        <f t="shared" si="27"/>
        <v>1.7142857142857142</v>
      </c>
      <c r="U35" s="52">
        <f t="shared" si="27"/>
        <v>2.1428571428571428</v>
      </c>
      <c r="V35" s="52">
        <f t="shared" si="27"/>
        <v>1</v>
      </c>
      <c r="W35" s="52">
        <f t="shared" si="27"/>
        <v>0</v>
      </c>
      <c r="X35" s="52">
        <f t="shared" si="27"/>
        <v>0</v>
      </c>
      <c r="Y35" s="52">
        <f t="shared" si="27"/>
        <v>1.1428571428571428</v>
      </c>
      <c r="Z35" s="52">
        <f t="shared" si="27"/>
        <v>0.8571428571428571</v>
      </c>
      <c r="AA35" s="52">
        <f t="shared" si="27"/>
        <v>0.14285714285714285</v>
      </c>
      <c r="AB35" s="52">
        <f t="shared" si="27"/>
        <v>0</v>
      </c>
      <c r="AC35" s="52">
        <f t="shared" si="27"/>
        <v>17.571428571428569</v>
      </c>
      <c r="AD35" s="52">
        <f t="shared" si="27"/>
        <v>0.42857142857142855</v>
      </c>
      <c r="AE35" s="40">
        <f t="shared" si="27"/>
        <v>6.5714285714285712</v>
      </c>
      <c r="AF35" s="40">
        <f t="shared" si="27"/>
        <v>23</v>
      </c>
    </row>
    <row r="36" spans="2:32" ht="23.1" customHeight="1" x14ac:dyDescent="0.25">
      <c r="B36" s="24" t="s">
        <v>63</v>
      </c>
      <c r="C36" s="49">
        <f>'Avg Week Kotido-Karenga'!C36+'Avg Week Karenga-Kotido'!C36</f>
        <v>0</v>
      </c>
      <c r="D36" s="49">
        <f>'Avg Week Kotido-Karenga'!D36+'Avg Week Karenga-Kotido'!D36</f>
        <v>0.2857142857142857</v>
      </c>
      <c r="E36" s="49">
        <f>'Avg Week Kotido-Karenga'!E36+'Avg Week Karenga-Kotido'!E36</f>
        <v>0.42857142857142855</v>
      </c>
      <c r="F36" s="49">
        <f>'Avg Week Kotido-Karenga'!F36+'Avg Week Karenga-Kotido'!F36</f>
        <v>0</v>
      </c>
      <c r="G36" s="49">
        <f>'Avg Week Kotido-Karenga'!G36+'Avg Week Karenga-Kotido'!G36</f>
        <v>0</v>
      </c>
      <c r="H36" s="49">
        <f>'Avg Week Kotido-Karenga'!H36+'Avg Week Karenga-Kotido'!H36</f>
        <v>0</v>
      </c>
      <c r="I36" s="49">
        <f>'Avg Week Kotido-Karenga'!I36+'Avg Week Karenga-Kotido'!I36</f>
        <v>0</v>
      </c>
      <c r="J36" s="49">
        <f>'Avg Week Kotido-Karenga'!J36+'Avg Week Karenga-Kotido'!J36</f>
        <v>0.2857142857142857</v>
      </c>
      <c r="K36" s="49">
        <f>'Avg Week Kotido-Karenga'!K36+'Avg Week Karenga-Kotido'!K36</f>
        <v>0</v>
      </c>
      <c r="L36" s="49">
        <f>'Avg Week Kotido-Karenga'!L36+'Avg Week Karenga-Kotido'!L36</f>
        <v>0</v>
      </c>
      <c r="M36" s="49">
        <f>'Avg Week Kotido-Karenga'!M36+'Avg Week Karenga-Kotido'!M36</f>
        <v>3</v>
      </c>
      <c r="N36" s="49">
        <f>'Avg Week Kotido-Karenga'!N36+'Avg Week Karenga-Kotido'!N36</f>
        <v>0</v>
      </c>
      <c r="O36" s="15">
        <f t="shared" si="0"/>
        <v>0.99999999999999989</v>
      </c>
      <c r="P36" s="15">
        <f t="shared" si="1"/>
        <v>4</v>
      </c>
      <c r="R36" s="51" t="s">
        <v>92</v>
      </c>
      <c r="S36" s="52">
        <f t="shared" ref="S36:AF36" si="28">MAX(S19:S21)</f>
        <v>0.42857142857142855</v>
      </c>
      <c r="T36" s="52">
        <f t="shared" si="28"/>
        <v>1.1428571428571426</v>
      </c>
      <c r="U36" s="52">
        <f t="shared" si="28"/>
        <v>1.5714285714285712</v>
      </c>
      <c r="V36" s="52">
        <f t="shared" si="28"/>
        <v>0.99999999999999989</v>
      </c>
      <c r="W36" s="52">
        <f t="shared" si="28"/>
        <v>0.14285714285714285</v>
      </c>
      <c r="X36" s="52">
        <f t="shared" si="28"/>
        <v>0</v>
      </c>
      <c r="Y36" s="52">
        <f t="shared" si="28"/>
        <v>0.71428571428571419</v>
      </c>
      <c r="Z36" s="52">
        <f t="shared" si="28"/>
        <v>0.42857142857142855</v>
      </c>
      <c r="AA36" s="52">
        <f t="shared" si="28"/>
        <v>0.14285714285714285</v>
      </c>
      <c r="AB36" s="52">
        <f t="shared" si="28"/>
        <v>0</v>
      </c>
      <c r="AC36" s="52">
        <f t="shared" si="28"/>
        <v>14</v>
      </c>
      <c r="AD36" s="52">
        <f t="shared" si="28"/>
        <v>0</v>
      </c>
      <c r="AE36" s="40">
        <f t="shared" si="28"/>
        <v>4.2857142857142856</v>
      </c>
      <c r="AF36" s="40">
        <f t="shared" si="28"/>
        <v>17.857142857142858</v>
      </c>
    </row>
    <row r="37" spans="2:32" ht="23.1" customHeight="1" x14ac:dyDescent="0.25">
      <c r="B37" s="23" t="s">
        <v>64</v>
      </c>
      <c r="C37" s="49">
        <f>'Avg Week Kotido-Karenga'!C37+'Avg Week Karenga-Kotido'!C37</f>
        <v>0.14285714285714285</v>
      </c>
      <c r="D37" s="49">
        <f>'Avg Week Kotido-Karenga'!D37+'Avg Week Karenga-Kotido'!D37</f>
        <v>0.14285714285714285</v>
      </c>
      <c r="E37" s="49">
        <f>'Avg Week Kotido-Karenga'!E37+'Avg Week Karenga-Kotido'!E37</f>
        <v>0.42857142857142855</v>
      </c>
      <c r="F37" s="49">
        <f>'Avg Week Kotido-Karenga'!F37+'Avg Week Karenga-Kotido'!F37</f>
        <v>0.5714285714285714</v>
      </c>
      <c r="G37" s="49">
        <f>'Avg Week Kotido-Karenga'!G37+'Avg Week Karenga-Kotido'!G37</f>
        <v>0</v>
      </c>
      <c r="H37" s="49">
        <f>'Avg Week Kotido-Karenga'!H37+'Avg Week Karenga-Kotido'!H37</f>
        <v>0</v>
      </c>
      <c r="I37" s="49">
        <f>'Avg Week Kotido-Karenga'!I37+'Avg Week Karenga-Kotido'!I37</f>
        <v>0.14285714285714285</v>
      </c>
      <c r="J37" s="49">
        <f>'Avg Week Kotido-Karenga'!J37+'Avg Week Karenga-Kotido'!J37</f>
        <v>0</v>
      </c>
      <c r="K37" s="49">
        <f>'Avg Week Kotido-Karenga'!K37+'Avg Week Karenga-Kotido'!K37</f>
        <v>0</v>
      </c>
      <c r="L37" s="49">
        <f>'Avg Week Kotido-Karenga'!L37+'Avg Week Karenga-Kotido'!L37</f>
        <v>0</v>
      </c>
      <c r="M37" s="49">
        <f>'Avg Week Kotido-Karenga'!M37+'Avg Week Karenga-Kotido'!M37</f>
        <v>3.1428571428571428</v>
      </c>
      <c r="N37" s="49">
        <f>'Avg Week Kotido-Karenga'!N37+'Avg Week Karenga-Kotido'!N37</f>
        <v>0</v>
      </c>
      <c r="O37" s="15">
        <f t="shared" si="0"/>
        <v>1.4285714285714284</v>
      </c>
      <c r="P37" s="15">
        <f t="shared" si="1"/>
        <v>4.5714285714285712</v>
      </c>
      <c r="R37" s="37" t="s">
        <v>85</v>
      </c>
      <c r="S37" s="35">
        <f t="shared" ref="S37:AF37" si="29">SUM(S10:S12)</f>
        <v>1.1428571428571428</v>
      </c>
      <c r="T37" s="16">
        <f t="shared" si="29"/>
        <v>3.2857142857142856</v>
      </c>
      <c r="U37" s="16">
        <f t="shared" si="29"/>
        <v>4.7142857142857135</v>
      </c>
      <c r="V37" s="16">
        <f t="shared" si="29"/>
        <v>0.2857142857142857</v>
      </c>
      <c r="W37" s="16">
        <f t="shared" si="29"/>
        <v>0</v>
      </c>
      <c r="X37" s="16">
        <f t="shared" si="29"/>
        <v>0.14285714285714285</v>
      </c>
      <c r="Y37" s="16">
        <f t="shared" si="29"/>
        <v>3</v>
      </c>
      <c r="Z37" s="16">
        <f t="shared" si="29"/>
        <v>0.14285714285714285</v>
      </c>
      <c r="AA37" s="16">
        <f t="shared" si="29"/>
        <v>0</v>
      </c>
      <c r="AB37" s="16">
        <f t="shared" si="29"/>
        <v>0.2857142857142857</v>
      </c>
      <c r="AC37" s="16">
        <f t="shared" si="29"/>
        <v>46.714285714285708</v>
      </c>
      <c r="AD37" s="16">
        <f t="shared" si="29"/>
        <v>0</v>
      </c>
      <c r="AE37" s="32">
        <f t="shared" si="29"/>
        <v>12.999999999999998</v>
      </c>
      <c r="AF37" s="32">
        <f t="shared" si="29"/>
        <v>59.714285714285708</v>
      </c>
    </row>
    <row r="38" spans="2:32" ht="23.1" customHeight="1" x14ac:dyDescent="0.25">
      <c r="B38" s="24" t="s">
        <v>65</v>
      </c>
      <c r="C38" s="49">
        <f>'Avg Week Kotido-Karenga'!C38+'Avg Week Karenga-Kotido'!C38</f>
        <v>0.14285714285714285</v>
      </c>
      <c r="D38" s="49">
        <f>'Avg Week Kotido-Karenga'!D38+'Avg Week Karenga-Kotido'!D38</f>
        <v>0.2857142857142857</v>
      </c>
      <c r="E38" s="49">
        <f>'Avg Week Kotido-Karenga'!E38+'Avg Week Karenga-Kotido'!E38</f>
        <v>0.42857142857142855</v>
      </c>
      <c r="F38" s="49">
        <f>'Avg Week Kotido-Karenga'!F38+'Avg Week Karenga-Kotido'!F38</f>
        <v>0.42857142857142855</v>
      </c>
      <c r="G38" s="49">
        <f>'Avg Week Kotido-Karenga'!G38+'Avg Week Karenga-Kotido'!G38</f>
        <v>0</v>
      </c>
      <c r="H38" s="49">
        <f>'Avg Week Kotido-Karenga'!H38+'Avg Week Karenga-Kotido'!H38</f>
        <v>0</v>
      </c>
      <c r="I38" s="49">
        <f>'Avg Week Kotido-Karenga'!I38+'Avg Week Karenga-Kotido'!I38</f>
        <v>0.14285714285714285</v>
      </c>
      <c r="J38" s="49">
        <f>'Avg Week Kotido-Karenga'!J38+'Avg Week Karenga-Kotido'!J38</f>
        <v>0</v>
      </c>
      <c r="K38" s="49">
        <f>'Avg Week Kotido-Karenga'!K38+'Avg Week Karenga-Kotido'!K38</f>
        <v>0</v>
      </c>
      <c r="L38" s="49">
        <f>'Avg Week Kotido-Karenga'!L38+'Avg Week Karenga-Kotido'!L38</f>
        <v>0</v>
      </c>
      <c r="M38" s="49">
        <f>'Avg Week Kotido-Karenga'!M38+'Avg Week Karenga-Kotido'!M38</f>
        <v>4.8571428571428568</v>
      </c>
      <c r="N38" s="49">
        <f>'Avg Week Kotido-Karenga'!N38+'Avg Week Karenga-Kotido'!N38</f>
        <v>0</v>
      </c>
      <c r="O38" s="15">
        <f t="shared" si="0"/>
        <v>1.4285714285714284</v>
      </c>
      <c r="P38" s="15">
        <f t="shared" si="1"/>
        <v>6.2857142857142847</v>
      </c>
      <c r="R38" s="28" t="s">
        <v>86</v>
      </c>
      <c r="S38" s="16">
        <f t="shared" ref="S38:AF38" si="30">SUM(S13:S18)</f>
        <v>1.4285714285714284</v>
      </c>
      <c r="T38" s="16">
        <f t="shared" si="30"/>
        <v>7.8571428571428568</v>
      </c>
      <c r="U38" s="16">
        <f t="shared" si="30"/>
        <v>10</v>
      </c>
      <c r="V38" s="16">
        <f t="shared" si="30"/>
        <v>4</v>
      </c>
      <c r="W38" s="16">
        <f t="shared" si="30"/>
        <v>0</v>
      </c>
      <c r="X38" s="16">
        <f t="shared" si="30"/>
        <v>0</v>
      </c>
      <c r="Y38" s="16">
        <f t="shared" si="30"/>
        <v>5.4285714285714279</v>
      </c>
      <c r="Z38" s="16">
        <f t="shared" si="30"/>
        <v>2.4285714285714284</v>
      </c>
      <c r="AA38" s="16">
        <f t="shared" si="30"/>
        <v>0.42857142857142855</v>
      </c>
      <c r="AB38" s="16">
        <f t="shared" si="30"/>
        <v>0</v>
      </c>
      <c r="AC38" s="16">
        <f t="shared" si="30"/>
        <v>86.285714285714278</v>
      </c>
      <c r="AD38" s="16">
        <f t="shared" si="30"/>
        <v>0.42857142857142855</v>
      </c>
      <c r="AE38" s="32">
        <f t="shared" si="30"/>
        <v>31.999999999999996</v>
      </c>
      <c r="AF38" s="32">
        <f t="shared" si="30"/>
        <v>118.28571428571428</v>
      </c>
    </row>
    <row r="39" spans="2:32" ht="23.1" customHeight="1" x14ac:dyDescent="0.25">
      <c r="B39" s="24" t="s">
        <v>66</v>
      </c>
      <c r="C39" s="49">
        <f>'Avg Week Kotido-Karenga'!C39+'Avg Week Karenga-Kotido'!C39</f>
        <v>0.14285714285714285</v>
      </c>
      <c r="D39" s="49">
        <f>'Avg Week Kotido-Karenga'!D39+'Avg Week Karenga-Kotido'!D39</f>
        <v>0.14285714285714285</v>
      </c>
      <c r="E39" s="49">
        <f>'Avg Week Kotido-Karenga'!E39+'Avg Week Karenga-Kotido'!E39</f>
        <v>0.42857142857142855</v>
      </c>
      <c r="F39" s="49">
        <f>'Avg Week Kotido-Karenga'!F39+'Avg Week Karenga-Kotido'!F39</f>
        <v>0</v>
      </c>
      <c r="G39" s="49">
        <f>'Avg Week Kotido-Karenga'!G39+'Avg Week Karenga-Kotido'!G39</f>
        <v>0</v>
      </c>
      <c r="H39" s="49">
        <f>'Avg Week Kotido-Karenga'!H39+'Avg Week Karenga-Kotido'!H39</f>
        <v>0</v>
      </c>
      <c r="I39" s="49">
        <f>'Avg Week Kotido-Karenga'!I39+'Avg Week Karenga-Kotido'!I39</f>
        <v>0.2857142857142857</v>
      </c>
      <c r="J39" s="49">
        <f>'Avg Week Kotido-Karenga'!J39+'Avg Week Karenga-Kotido'!J39</f>
        <v>0.14285714285714285</v>
      </c>
      <c r="K39" s="49">
        <f>'Avg Week Kotido-Karenga'!K39+'Avg Week Karenga-Kotido'!K39</f>
        <v>0</v>
      </c>
      <c r="L39" s="49">
        <f>'Avg Week Kotido-Karenga'!L39+'Avg Week Karenga-Kotido'!L39</f>
        <v>0</v>
      </c>
      <c r="M39" s="49">
        <f>'Avg Week Kotido-Karenga'!M39+'Avg Week Karenga-Kotido'!M39</f>
        <v>1.5714285714285714</v>
      </c>
      <c r="N39" s="49">
        <f>'Avg Week Kotido-Karenga'!N39+'Avg Week Karenga-Kotido'!N39</f>
        <v>0</v>
      </c>
      <c r="O39" s="15">
        <f t="shared" si="0"/>
        <v>1.1428571428571428</v>
      </c>
      <c r="P39" s="15">
        <f t="shared" si="1"/>
        <v>2.7142857142857144</v>
      </c>
      <c r="R39" s="29" t="s">
        <v>87</v>
      </c>
      <c r="S39" s="16">
        <f t="shared" ref="S39:AF39" si="31">SUM(S19:S21)</f>
        <v>0.5714285714285714</v>
      </c>
      <c r="T39" s="16">
        <f t="shared" si="31"/>
        <v>2.7142857142857135</v>
      </c>
      <c r="U39" s="16">
        <f t="shared" si="31"/>
        <v>3.5714285714285707</v>
      </c>
      <c r="V39" s="16">
        <f t="shared" si="31"/>
        <v>2.4285714285714284</v>
      </c>
      <c r="W39" s="16">
        <f t="shared" si="31"/>
        <v>0.14285714285714285</v>
      </c>
      <c r="X39" s="16">
        <f t="shared" si="31"/>
        <v>0</v>
      </c>
      <c r="Y39" s="16">
        <f t="shared" si="31"/>
        <v>1.7142857142857142</v>
      </c>
      <c r="Z39" s="16">
        <f t="shared" si="31"/>
        <v>0.71428571428571419</v>
      </c>
      <c r="AA39" s="16">
        <f t="shared" si="31"/>
        <v>0.14285714285714285</v>
      </c>
      <c r="AB39" s="16">
        <f t="shared" si="31"/>
        <v>0</v>
      </c>
      <c r="AC39" s="16">
        <f t="shared" si="31"/>
        <v>36</v>
      </c>
      <c r="AD39" s="16">
        <f t="shared" si="31"/>
        <v>0</v>
      </c>
      <c r="AE39" s="32">
        <f t="shared" si="31"/>
        <v>12</v>
      </c>
      <c r="AF39" s="32">
        <f t="shared" si="31"/>
        <v>48</v>
      </c>
    </row>
    <row r="40" spans="2:32" ht="23.1" customHeight="1" x14ac:dyDescent="0.25">
      <c r="B40" s="24" t="s">
        <v>67</v>
      </c>
      <c r="C40" s="49">
        <f>'Avg Week Kotido-Karenga'!C40+'Avg Week Karenga-Kotido'!C40</f>
        <v>0</v>
      </c>
      <c r="D40" s="49">
        <f>'Avg Week Kotido-Karenga'!D40+'Avg Week Karenga-Kotido'!D40</f>
        <v>0.2857142857142857</v>
      </c>
      <c r="E40" s="49">
        <f>'Avg Week Kotido-Karenga'!E40+'Avg Week Karenga-Kotido'!E40</f>
        <v>0.2857142857142857</v>
      </c>
      <c r="F40" s="49">
        <f>'Avg Week Kotido-Karenga'!F40+'Avg Week Karenga-Kotido'!F40</f>
        <v>0.14285714285714285</v>
      </c>
      <c r="G40" s="49">
        <f>'Avg Week Kotido-Karenga'!G40+'Avg Week Karenga-Kotido'!G40</f>
        <v>0</v>
      </c>
      <c r="H40" s="49">
        <f>'Avg Week Kotido-Karenga'!H40+'Avg Week Karenga-Kotido'!H40</f>
        <v>0</v>
      </c>
      <c r="I40" s="49">
        <f>'Avg Week Kotido-Karenga'!I40+'Avg Week Karenga-Kotido'!I40</f>
        <v>0.42857142857142855</v>
      </c>
      <c r="J40" s="49">
        <f>'Avg Week Kotido-Karenga'!J40+'Avg Week Karenga-Kotido'!J40</f>
        <v>0</v>
      </c>
      <c r="K40" s="49">
        <f>'Avg Week Kotido-Karenga'!K40+'Avg Week Karenga-Kotido'!K40</f>
        <v>0</v>
      </c>
      <c r="L40" s="49">
        <f>'Avg Week Kotido-Karenga'!L40+'Avg Week Karenga-Kotido'!L40</f>
        <v>0</v>
      </c>
      <c r="M40" s="49">
        <f>'Avg Week Kotido-Karenga'!M40+'Avg Week Karenga-Kotido'!M40</f>
        <v>4.5714285714285712</v>
      </c>
      <c r="N40" s="49">
        <f>'Avg Week Kotido-Karenga'!N40+'Avg Week Karenga-Kotido'!N40</f>
        <v>0</v>
      </c>
      <c r="O40" s="15">
        <f t="shared" si="0"/>
        <v>1.1428571428571428</v>
      </c>
      <c r="P40" s="15">
        <f t="shared" si="1"/>
        <v>5.7142857142857135</v>
      </c>
      <c r="R40" s="5" t="s">
        <v>17</v>
      </c>
      <c r="S40" s="16">
        <f t="shared" ref="S40:AF40" si="32">SUM(S10:S21)</f>
        <v>3.1428571428571423</v>
      </c>
      <c r="T40" s="16">
        <f t="shared" si="32"/>
        <v>13.857142857142856</v>
      </c>
      <c r="U40" s="16">
        <f t="shared" si="32"/>
        <v>18.285714285714285</v>
      </c>
      <c r="V40" s="16">
        <f t="shared" si="32"/>
        <v>6.7142857142857135</v>
      </c>
      <c r="W40" s="16">
        <f t="shared" si="32"/>
        <v>0.14285714285714285</v>
      </c>
      <c r="X40" s="16">
        <f t="shared" si="32"/>
        <v>0.14285714285714285</v>
      </c>
      <c r="Y40" s="16">
        <f t="shared" si="32"/>
        <v>10.142857142857142</v>
      </c>
      <c r="Z40" s="16">
        <f t="shared" si="32"/>
        <v>3.2857142857142856</v>
      </c>
      <c r="AA40" s="16">
        <f t="shared" si="32"/>
        <v>0.5714285714285714</v>
      </c>
      <c r="AB40" s="16">
        <f t="shared" si="32"/>
        <v>0.2857142857142857</v>
      </c>
      <c r="AC40" s="16">
        <f t="shared" si="32"/>
        <v>168.99999999999997</v>
      </c>
      <c r="AD40" s="16">
        <f t="shared" si="32"/>
        <v>0.42857142857142855</v>
      </c>
      <c r="AE40" s="32">
        <f t="shared" si="32"/>
        <v>56.999999999999993</v>
      </c>
      <c r="AF40" s="32">
        <f t="shared" si="32"/>
        <v>225.99999999999997</v>
      </c>
    </row>
    <row r="41" spans="2:32" ht="23.1" customHeight="1" x14ac:dyDescent="0.25">
      <c r="B41" s="23" t="s">
        <v>68</v>
      </c>
      <c r="C41" s="49">
        <f>'Avg Week Kotido-Karenga'!C41+'Avg Week Karenga-Kotido'!C41</f>
        <v>0</v>
      </c>
      <c r="D41" s="49">
        <f>'Avg Week Kotido-Karenga'!D41+'Avg Week Karenga-Kotido'!D41</f>
        <v>0.42857142857142855</v>
      </c>
      <c r="E41" s="49">
        <f>'Avg Week Kotido-Karenga'!E41+'Avg Week Karenga-Kotido'!E41</f>
        <v>0.2857142857142857</v>
      </c>
      <c r="F41" s="49">
        <f>'Avg Week Kotido-Karenga'!F41+'Avg Week Karenga-Kotido'!F41</f>
        <v>0.14285714285714285</v>
      </c>
      <c r="G41" s="49">
        <f>'Avg Week Kotido-Karenga'!G41+'Avg Week Karenga-Kotido'!G41</f>
        <v>0</v>
      </c>
      <c r="H41" s="49">
        <f>'Avg Week Kotido-Karenga'!H41+'Avg Week Karenga-Kotido'!H41</f>
        <v>0</v>
      </c>
      <c r="I41" s="49">
        <f>'Avg Week Kotido-Karenga'!I41+'Avg Week Karenga-Kotido'!I41</f>
        <v>0.14285714285714285</v>
      </c>
      <c r="J41" s="49">
        <f>'Avg Week Kotido-Karenga'!J41+'Avg Week Karenga-Kotido'!J41</f>
        <v>0.14285714285714285</v>
      </c>
      <c r="K41" s="49">
        <f>'Avg Week Kotido-Karenga'!K41+'Avg Week Karenga-Kotido'!K41</f>
        <v>0</v>
      </c>
      <c r="L41" s="49">
        <f>'Avg Week Kotido-Karenga'!L41+'Avg Week Karenga-Kotido'!L41</f>
        <v>0</v>
      </c>
      <c r="M41" s="49">
        <f>'Avg Week Kotido-Karenga'!M41+'Avg Week Karenga-Kotido'!M41</f>
        <v>3.2857142857142856</v>
      </c>
      <c r="N41" s="49">
        <f>'Avg Week Kotido-Karenga'!N41+'Avg Week Karenga-Kotido'!N41</f>
        <v>0</v>
      </c>
      <c r="O41" s="15">
        <f t="shared" si="0"/>
        <v>1.1428571428571426</v>
      </c>
      <c r="P41" s="15">
        <f t="shared" si="1"/>
        <v>4.4285714285714279</v>
      </c>
      <c r="R41" s="5" t="s">
        <v>175</v>
      </c>
      <c r="S41" s="16">
        <f>SUM(S10:S33)</f>
        <v>5.1428571428571423</v>
      </c>
      <c r="T41" s="16">
        <f t="shared" ref="T41:AD41" si="33">SUM(T10:T33)</f>
        <v>15.857142857142856</v>
      </c>
      <c r="U41" s="16">
        <f t="shared" si="33"/>
        <v>19.285714285714285</v>
      </c>
      <c r="V41" s="16">
        <f t="shared" si="33"/>
        <v>7.2142857142857135</v>
      </c>
      <c r="W41" s="16">
        <f t="shared" si="33"/>
        <v>0.14285714285714285</v>
      </c>
      <c r="X41" s="16">
        <f t="shared" si="33"/>
        <v>0.14285714285714285</v>
      </c>
      <c r="Y41" s="16">
        <f t="shared" si="33"/>
        <v>10.142857142857142</v>
      </c>
      <c r="Z41" s="16">
        <f t="shared" si="33"/>
        <v>3.2857142857142856</v>
      </c>
      <c r="AA41" s="16">
        <f t="shared" si="33"/>
        <v>0.5714285714285714</v>
      </c>
      <c r="AB41" s="16">
        <f t="shared" si="33"/>
        <v>0.2857142857142857</v>
      </c>
      <c r="AC41" s="16">
        <f t="shared" si="33"/>
        <v>193.99999999999997</v>
      </c>
      <c r="AD41" s="16">
        <f t="shared" si="33"/>
        <v>0.42857142857142855</v>
      </c>
      <c r="AE41" s="32">
        <f>SUM(AE10:AE33)</f>
        <v>62.499999999999993</v>
      </c>
      <c r="AF41" s="32">
        <f>SUM(AF10:AF33)</f>
        <v>256.5</v>
      </c>
    </row>
    <row r="42" spans="2:32" ht="23.1" customHeight="1" x14ac:dyDescent="0.25">
      <c r="B42" s="24" t="s">
        <v>69</v>
      </c>
      <c r="C42" s="49">
        <f>'Avg Week Kotido-Karenga'!C42+'Avg Week Karenga-Kotido'!C42</f>
        <v>0</v>
      </c>
      <c r="D42" s="49">
        <f>'Avg Week Kotido-Karenga'!D42+'Avg Week Karenga-Kotido'!D42</f>
        <v>0.2857142857142857</v>
      </c>
      <c r="E42" s="49">
        <f>'Avg Week Kotido-Karenga'!E42+'Avg Week Karenga-Kotido'!E42</f>
        <v>0.42857142857142855</v>
      </c>
      <c r="F42" s="49">
        <f>'Avg Week Kotido-Karenga'!F42+'Avg Week Karenga-Kotido'!F42</f>
        <v>0.14285714285714285</v>
      </c>
      <c r="G42" s="49">
        <f>'Avg Week Kotido-Karenga'!G42+'Avg Week Karenga-Kotido'!G42</f>
        <v>0</v>
      </c>
      <c r="H42" s="49">
        <f>'Avg Week Kotido-Karenga'!H42+'Avg Week Karenga-Kotido'!H42</f>
        <v>0</v>
      </c>
      <c r="I42" s="49">
        <f>'Avg Week Kotido-Karenga'!I42+'Avg Week Karenga-Kotido'!I42</f>
        <v>0.14285714285714285</v>
      </c>
      <c r="J42" s="49">
        <f>'Avg Week Kotido-Karenga'!J42+'Avg Week Karenga-Kotido'!J42</f>
        <v>0</v>
      </c>
      <c r="K42" s="49">
        <f>'Avg Week Kotido-Karenga'!K42+'Avg Week Karenga-Kotido'!K42</f>
        <v>0</v>
      </c>
      <c r="L42" s="49">
        <f>'Avg Week Kotido-Karenga'!L42+'Avg Week Karenga-Kotido'!L42</f>
        <v>0</v>
      </c>
      <c r="M42" s="49">
        <f>'Avg Week Kotido-Karenga'!M42+'Avg Week Karenga-Kotido'!M42</f>
        <v>3.2857142857142856</v>
      </c>
      <c r="N42" s="49">
        <f>'Avg Week Kotido-Karenga'!N42+'Avg Week Karenga-Kotido'!N42</f>
        <v>0</v>
      </c>
      <c r="O42" s="15">
        <f t="shared" si="0"/>
        <v>0.99999999999999978</v>
      </c>
      <c r="P42" s="15">
        <f t="shared" si="1"/>
        <v>4.2857142857142856</v>
      </c>
      <c r="R42" s="5" t="s">
        <v>160</v>
      </c>
      <c r="S42" s="48">
        <f>S41/S40</f>
        <v>1.6363636363636365</v>
      </c>
      <c r="T42" s="48">
        <f t="shared" ref="T42:AF42" si="34">T41/T40</f>
        <v>1.1443298969072164</v>
      </c>
      <c r="U42" s="48">
        <f t="shared" si="34"/>
        <v>1.0546875</v>
      </c>
      <c r="V42" s="48">
        <f t="shared" si="34"/>
        <v>1.074468085106383</v>
      </c>
      <c r="W42" s="48">
        <f t="shared" si="34"/>
        <v>1</v>
      </c>
      <c r="X42" s="48">
        <f t="shared" si="34"/>
        <v>1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>
        <f t="shared" si="34"/>
        <v>1</v>
      </c>
      <c r="AC42" s="48">
        <f t="shared" si="34"/>
        <v>1.1479289940828403</v>
      </c>
      <c r="AD42" s="48">
        <f t="shared" si="34"/>
        <v>1</v>
      </c>
      <c r="AE42" s="53">
        <f t="shared" si="34"/>
        <v>1.0964912280701755</v>
      </c>
      <c r="AF42" s="53">
        <f t="shared" si="34"/>
        <v>1.1349557522123894</v>
      </c>
    </row>
    <row r="43" spans="2:32" ht="23.1" customHeight="1" x14ac:dyDescent="0.25">
      <c r="B43" s="23" t="s">
        <v>70</v>
      </c>
      <c r="C43" s="49">
        <f>'Avg Week Kotido-Karenga'!C43+'Avg Week Karenga-Kotido'!C43</f>
        <v>0</v>
      </c>
      <c r="D43" s="49">
        <f>'Avg Week Kotido-Karenga'!D43+'Avg Week Karenga-Kotido'!D43</f>
        <v>0.2857142857142857</v>
      </c>
      <c r="E43" s="49">
        <f>'Avg Week Kotido-Karenga'!E43+'Avg Week Karenga-Kotido'!E43</f>
        <v>0.14285714285714285</v>
      </c>
      <c r="F43" s="49">
        <f>'Avg Week Kotido-Karenga'!F43+'Avg Week Karenga-Kotido'!F43</f>
        <v>0.2857142857142857</v>
      </c>
      <c r="G43" s="49">
        <f>'Avg Week Kotido-Karenga'!G43+'Avg Week Karenga-Kotido'!G43</f>
        <v>0</v>
      </c>
      <c r="H43" s="49">
        <f>'Avg Week Kotido-Karenga'!H43+'Avg Week Karenga-Kotido'!H43</f>
        <v>0</v>
      </c>
      <c r="I43" s="49">
        <f>'Avg Week Kotido-Karenga'!I43+'Avg Week Karenga-Kotido'!I43</f>
        <v>0.42857142857142855</v>
      </c>
      <c r="J43" s="49">
        <f>'Avg Week Kotido-Karenga'!J43+'Avg Week Karenga-Kotido'!J43</f>
        <v>0.2857142857142857</v>
      </c>
      <c r="K43" s="49">
        <f>'Avg Week Kotido-Karenga'!K43+'Avg Week Karenga-Kotido'!K43</f>
        <v>0.14285714285714285</v>
      </c>
      <c r="L43" s="49">
        <f>'Avg Week Kotido-Karenga'!L43+'Avg Week Karenga-Kotido'!L43</f>
        <v>0</v>
      </c>
      <c r="M43" s="49">
        <f>'Avg Week Kotido-Karenga'!M43+'Avg Week Karenga-Kotido'!M43</f>
        <v>1.8571428571428572</v>
      </c>
      <c r="N43" s="49">
        <f>'Avg Week Kotido-Karenga'!N43+'Avg Week Karenga-Kotido'!N43</f>
        <v>0</v>
      </c>
      <c r="O43" s="15">
        <f t="shared" si="0"/>
        <v>1.5714285714285712</v>
      </c>
      <c r="P43" s="15">
        <f t="shared" si="1"/>
        <v>3.4285714285714284</v>
      </c>
    </row>
    <row r="44" spans="2:32" ht="23.1" customHeight="1" x14ac:dyDescent="0.25">
      <c r="B44" s="25" t="s">
        <v>71</v>
      </c>
      <c r="C44" s="49">
        <f>'Avg Week Kotido-Karenga'!C44+'Avg Week Karenga-Kotido'!C44</f>
        <v>0</v>
      </c>
      <c r="D44" s="49">
        <f>'Avg Week Kotido-Karenga'!D44+'Avg Week Karenga-Kotido'!D44</f>
        <v>0.42857142857142855</v>
      </c>
      <c r="E44" s="49">
        <f>'Avg Week Kotido-Karenga'!E44+'Avg Week Karenga-Kotido'!E44</f>
        <v>0.2857142857142857</v>
      </c>
      <c r="F44" s="49">
        <f>'Avg Week Kotido-Karenga'!F44+'Avg Week Karenga-Kotido'!F44</f>
        <v>0.14285714285714285</v>
      </c>
      <c r="G44" s="49">
        <f>'Avg Week Kotido-Karenga'!G44+'Avg Week Karenga-Kotido'!G44</f>
        <v>0</v>
      </c>
      <c r="H44" s="49">
        <f>'Avg Week Kotido-Karenga'!H44+'Avg Week Karenga-Kotido'!H44</f>
        <v>0</v>
      </c>
      <c r="I44" s="49">
        <f>'Avg Week Kotido-Karenga'!I44+'Avg Week Karenga-Kotido'!I44</f>
        <v>0.2857142857142857</v>
      </c>
      <c r="J44" s="49">
        <f>'Avg Week Kotido-Karenga'!J44+'Avg Week Karenga-Kotido'!J44</f>
        <v>0.14285714285714285</v>
      </c>
      <c r="K44" s="49">
        <f>'Avg Week Kotido-Karenga'!K44+'Avg Week Karenga-Kotido'!K44</f>
        <v>0</v>
      </c>
      <c r="L44" s="49">
        <f>'Avg Week Kotido-Karenga'!L44+'Avg Week Karenga-Kotido'!L44</f>
        <v>0</v>
      </c>
      <c r="M44" s="49">
        <f>'Avg Week Kotido-Karenga'!M44+'Avg Week Karenga-Kotido'!M44</f>
        <v>2.7142857142857144</v>
      </c>
      <c r="N44" s="49">
        <f>'Avg Week Kotido-Karenga'!N44+'Avg Week Karenga-Kotido'!N44</f>
        <v>0</v>
      </c>
      <c r="O44" s="15">
        <f t="shared" si="0"/>
        <v>1.2857142857142856</v>
      </c>
      <c r="P44" s="15">
        <f t="shared" si="1"/>
        <v>4</v>
      </c>
    </row>
    <row r="45" spans="2:32" ht="23.1" customHeight="1" x14ac:dyDescent="0.25">
      <c r="B45" s="23" t="s">
        <v>72</v>
      </c>
      <c r="C45" s="49">
        <f>'Avg Week Kotido-Karenga'!C45+'Avg Week Karenga-Kotido'!C45</f>
        <v>0</v>
      </c>
      <c r="D45" s="49">
        <f>'Avg Week Kotido-Karenga'!D45+'Avg Week Karenga-Kotido'!D45</f>
        <v>0.2857142857142857</v>
      </c>
      <c r="E45" s="49">
        <f>'Avg Week Kotido-Karenga'!E45+'Avg Week Karenga-Kotido'!E45</f>
        <v>0.42857142857142855</v>
      </c>
      <c r="F45" s="49">
        <f>'Avg Week Kotido-Karenga'!F45+'Avg Week Karenga-Kotido'!F45</f>
        <v>0</v>
      </c>
      <c r="G45" s="49">
        <f>'Avg Week Kotido-Karenga'!G45+'Avg Week Karenga-Kotido'!G45</f>
        <v>0</v>
      </c>
      <c r="H45" s="49">
        <f>'Avg Week Kotido-Karenga'!H45+'Avg Week Karenga-Kotido'!H45</f>
        <v>0</v>
      </c>
      <c r="I45" s="49">
        <f>'Avg Week Kotido-Karenga'!I45+'Avg Week Karenga-Kotido'!I45</f>
        <v>0</v>
      </c>
      <c r="J45" s="49">
        <f>'Avg Week Kotido-Karenga'!J45+'Avg Week Karenga-Kotido'!J45</f>
        <v>0.42857142857142855</v>
      </c>
      <c r="K45" s="49">
        <f>'Avg Week Kotido-Karenga'!K45+'Avg Week Karenga-Kotido'!K45</f>
        <v>0</v>
      </c>
      <c r="L45" s="49">
        <f>'Avg Week Kotido-Karenga'!L45+'Avg Week Karenga-Kotido'!L45</f>
        <v>0</v>
      </c>
      <c r="M45" s="49">
        <f>'Avg Week Kotido-Karenga'!M45+'Avg Week Karenga-Kotido'!M45</f>
        <v>2.4285714285714284</v>
      </c>
      <c r="N45" s="49">
        <f>'Avg Week Kotido-Karenga'!N45+'Avg Week Karenga-Kotido'!N45</f>
        <v>0</v>
      </c>
      <c r="O45" s="15">
        <f t="shared" si="0"/>
        <v>1.1428571428571428</v>
      </c>
      <c r="P45" s="15">
        <f t="shared" si="1"/>
        <v>3.5714285714285712</v>
      </c>
    </row>
    <row r="46" spans="2:32" ht="23.1" customHeight="1" x14ac:dyDescent="0.25">
      <c r="B46" s="24" t="s">
        <v>73</v>
      </c>
      <c r="C46" s="49">
        <f>'Avg Week Kotido-Karenga'!C46+'Avg Week Karenga-Kotido'!C46</f>
        <v>0.14285714285714285</v>
      </c>
      <c r="D46" s="49">
        <f>'Avg Week Kotido-Karenga'!D46+'Avg Week Karenga-Kotido'!D46</f>
        <v>0.2857142857142857</v>
      </c>
      <c r="E46" s="49">
        <f>'Avg Week Kotido-Karenga'!E46+'Avg Week Karenga-Kotido'!E46</f>
        <v>0.2857142857142857</v>
      </c>
      <c r="F46" s="49">
        <f>'Avg Week Kotido-Karenga'!F46+'Avg Week Karenga-Kotido'!F46</f>
        <v>0.42857142857142855</v>
      </c>
      <c r="G46" s="49">
        <f>'Avg Week Kotido-Karenga'!G46+'Avg Week Karenga-Kotido'!G46</f>
        <v>0</v>
      </c>
      <c r="H46" s="49">
        <f>'Avg Week Kotido-Karenga'!H46+'Avg Week Karenga-Kotido'!H46</f>
        <v>0</v>
      </c>
      <c r="I46" s="49">
        <f>'Avg Week Kotido-Karenga'!I46+'Avg Week Karenga-Kotido'!I46</f>
        <v>0.14285714285714285</v>
      </c>
      <c r="J46" s="49">
        <f>'Avg Week Kotido-Karenga'!J46+'Avg Week Karenga-Kotido'!J46</f>
        <v>0</v>
      </c>
      <c r="K46" s="49">
        <f>'Avg Week Kotido-Karenga'!K46+'Avg Week Karenga-Kotido'!K46</f>
        <v>0</v>
      </c>
      <c r="L46" s="49">
        <f>'Avg Week Kotido-Karenga'!L46+'Avg Week Karenga-Kotido'!L46</f>
        <v>0</v>
      </c>
      <c r="M46" s="49">
        <f>'Avg Week Kotido-Karenga'!M46+'Avg Week Karenga-Kotido'!M46</f>
        <v>3.2857142857142856</v>
      </c>
      <c r="N46" s="49">
        <f>'Avg Week Kotido-Karenga'!N46+'Avg Week Karenga-Kotido'!N46</f>
        <v>0</v>
      </c>
      <c r="O46" s="15">
        <f t="shared" si="0"/>
        <v>1.2857142857142856</v>
      </c>
      <c r="P46" s="15">
        <f t="shared" si="1"/>
        <v>4.5714285714285712</v>
      </c>
      <c r="R46" s="8"/>
      <c r="T46"/>
    </row>
    <row r="47" spans="2:32" ht="23.1" customHeight="1" x14ac:dyDescent="0.25">
      <c r="B47" s="24" t="s">
        <v>74</v>
      </c>
      <c r="C47" s="49">
        <f>'Avg Week Kotido-Karenga'!C47+'Avg Week Karenga-Kotido'!C47</f>
        <v>0</v>
      </c>
      <c r="D47" s="49">
        <f>'Avg Week Kotido-Karenga'!D47+'Avg Week Karenga-Kotido'!D47</f>
        <v>0.14285714285714285</v>
      </c>
      <c r="E47" s="49">
        <f>'Avg Week Kotido-Karenga'!E47+'Avg Week Karenga-Kotido'!E47</f>
        <v>0.14285714285714285</v>
      </c>
      <c r="F47" s="49">
        <f>'Avg Week Kotido-Karenga'!F47+'Avg Week Karenga-Kotido'!F47</f>
        <v>0</v>
      </c>
      <c r="G47" s="49">
        <f>'Avg Week Kotido-Karenga'!G47+'Avg Week Karenga-Kotido'!G47</f>
        <v>0</v>
      </c>
      <c r="H47" s="49">
        <f>'Avg Week Kotido-Karenga'!H47+'Avg Week Karenga-Kotido'!H47</f>
        <v>0</v>
      </c>
      <c r="I47" s="49">
        <f>'Avg Week Kotido-Karenga'!I47+'Avg Week Karenga-Kotido'!I47</f>
        <v>0.14285714285714285</v>
      </c>
      <c r="J47" s="49">
        <f>'Avg Week Kotido-Karenga'!J47+'Avg Week Karenga-Kotido'!J47</f>
        <v>0</v>
      </c>
      <c r="K47" s="49">
        <f>'Avg Week Kotido-Karenga'!K47+'Avg Week Karenga-Kotido'!K47</f>
        <v>0</v>
      </c>
      <c r="L47" s="49">
        <f>'Avg Week Kotido-Karenga'!L47+'Avg Week Karenga-Kotido'!L47</f>
        <v>0</v>
      </c>
      <c r="M47" s="49">
        <f>'Avg Week Kotido-Karenga'!M47+'Avg Week Karenga-Kotido'!M47</f>
        <v>3.5714285714285712</v>
      </c>
      <c r="N47" s="49">
        <f>'Avg Week Kotido-Karenga'!N47+'Avg Week Karenga-Kotido'!N47</f>
        <v>0</v>
      </c>
      <c r="O47" s="15">
        <f t="shared" si="0"/>
        <v>0.42857142857142855</v>
      </c>
      <c r="P47" s="15">
        <f t="shared" si="1"/>
        <v>3.9999999999999996</v>
      </c>
      <c r="R47" s="8"/>
      <c r="T47"/>
    </row>
    <row r="48" spans="2:32" ht="23.1" customHeight="1" x14ac:dyDescent="0.25">
      <c r="B48" s="24" t="s">
        <v>75</v>
      </c>
      <c r="C48" s="49">
        <f>'Avg Week Kotido-Karenga'!C48+'Avg Week Karenga-Kotido'!C48</f>
        <v>0</v>
      </c>
      <c r="D48" s="49">
        <f>'Avg Week Kotido-Karenga'!D48+'Avg Week Karenga-Kotido'!D48</f>
        <v>0.14285714285714285</v>
      </c>
      <c r="E48" s="49">
        <f>'Avg Week Kotido-Karenga'!E48+'Avg Week Karenga-Kotido'!E48</f>
        <v>0.42857142857142855</v>
      </c>
      <c r="F48" s="49">
        <f>'Avg Week Kotido-Karenga'!F48+'Avg Week Karenga-Kotido'!F48</f>
        <v>0.42857142857142855</v>
      </c>
      <c r="G48" s="49">
        <f>'Avg Week Kotido-Karenga'!G48+'Avg Week Karenga-Kotido'!G48</f>
        <v>0</v>
      </c>
      <c r="H48" s="49">
        <f>'Avg Week Kotido-Karenga'!H48+'Avg Week Karenga-Kotido'!H48</f>
        <v>0</v>
      </c>
      <c r="I48" s="49">
        <f>'Avg Week Kotido-Karenga'!I48+'Avg Week Karenga-Kotido'!I48</f>
        <v>0.2857142857142857</v>
      </c>
      <c r="J48" s="49">
        <f>'Avg Week Kotido-Karenga'!J48+'Avg Week Karenga-Kotido'!J48</f>
        <v>0</v>
      </c>
      <c r="K48" s="49">
        <f>'Avg Week Kotido-Karenga'!K48+'Avg Week Karenga-Kotido'!K48</f>
        <v>0</v>
      </c>
      <c r="L48" s="49">
        <f>'Avg Week Kotido-Karenga'!L48+'Avg Week Karenga-Kotido'!L48</f>
        <v>0</v>
      </c>
      <c r="M48" s="49">
        <f>'Avg Week Kotido-Karenga'!M48+'Avg Week Karenga-Kotido'!M48</f>
        <v>3.7142857142857144</v>
      </c>
      <c r="N48" s="49">
        <f>'Avg Week Kotido-Karenga'!N48+'Avg Week Karenga-Kotido'!N48</f>
        <v>0</v>
      </c>
      <c r="O48" s="15">
        <f t="shared" si="0"/>
        <v>1.2857142857142856</v>
      </c>
      <c r="P48" s="15">
        <f t="shared" si="1"/>
        <v>5</v>
      </c>
      <c r="R48" s="8"/>
      <c r="T48"/>
    </row>
    <row r="49" spans="2:20" ht="23.1" customHeight="1" x14ac:dyDescent="0.25">
      <c r="B49" s="23" t="s">
        <v>76</v>
      </c>
      <c r="C49" s="49">
        <f>'Avg Week Kotido-Karenga'!C49+'Avg Week Karenga-Kotido'!C49</f>
        <v>0</v>
      </c>
      <c r="D49" s="49">
        <f>'Avg Week Kotido-Karenga'!D49+'Avg Week Karenga-Kotido'!D49</f>
        <v>0.14285714285714285</v>
      </c>
      <c r="E49" s="49">
        <f>'Avg Week Kotido-Karenga'!E49+'Avg Week Karenga-Kotido'!E49</f>
        <v>0.71428571428571419</v>
      </c>
      <c r="F49" s="49">
        <f>'Avg Week Kotido-Karenga'!F49+'Avg Week Karenga-Kotido'!F49</f>
        <v>0</v>
      </c>
      <c r="G49" s="49">
        <f>'Avg Week Kotido-Karenga'!G49+'Avg Week Karenga-Kotido'!G49</f>
        <v>0</v>
      </c>
      <c r="H49" s="49">
        <f>'Avg Week Kotido-Karenga'!H49+'Avg Week Karenga-Kotido'!H49</f>
        <v>0</v>
      </c>
      <c r="I49" s="49">
        <f>'Avg Week Kotido-Karenga'!I49+'Avg Week Karenga-Kotido'!I49</f>
        <v>0</v>
      </c>
      <c r="J49" s="49">
        <f>'Avg Week Kotido-Karenga'!J49+'Avg Week Karenga-Kotido'!J49</f>
        <v>0</v>
      </c>
      <c r="K49" s="49">
        <f>'Avg Week Kotido-Karenga'!K49+'Avg Week Karenga-Kotido'!K49</f>
        <v>0</v>
      </c>
      <c r="L49" s="49">
        <f>'Avg Week Kotido-Karenga'!L49+'Avg Week Karenga-Kotido'!L49</f>
        <v>0</v>
      </c>
      <c r="M49" s="49">
        <f>'Avg Week Kotido-Karenga'!M49+'Avg Week Karenga-Kotido'!M49</f>
        <v>3.4285714285714284</v>
      </c>
      <c r="N49" s="49">
        <f>'Avg Week Kotido-Karenga'!N49+'Avg Week Karenga-Kotido'!N49</f>
        <v>0</v>
      </c>
      <c r="O49" s="15">
        <f t="shared" si="0"/>
        <v>0.85714285714285698</v>
      </c>
      <c r="P49" s="15">
        <f t="shared" si="1"/>
        <v>4.2857142857142856</v>
      </c>
      <c r="R49" s="8"/>
      <c r="T49"/>
    </row>
    <row r="50" spans="2:20" ht="23.1" customHeight="1" x14ac:dyDescent="0.25">
      <c r="B50" s="24" t="s">
        <v>77</v>
      </c>
      <c r="C50" s="49">
        <f>'Avg Week Kotido-Karenga'!C50+'Avg Week Karenga-Kotido'!C50</f>
        <v>0</v>
      </c>
      <c r="D50" s="49">
        <f>'Avg Week Kotido-Karenga'!D50+'Avg Week Karenga-Kotido'!D50</f>
        <v>0.71428571428571419</v>
      </c>
      <c r="E50" s="49">
        <f>'Avg Week Kotido-Karenga'!E50+'Avg Week Karenga-Kotido'!E50</f>
        <v>0.42857142857142855</v>
      </c>
      <c r="F50" s="49">
        <f>'Avg Week Kotido-Karenga'!F50+'Avg Week Karenga-Kotido'!F50</f>
        <v>0</v>
      </c>
      <c r="G50" s="49">
        <f>'Avg Week Kotido-Karenga'!G50+'Avg Week Karenga-Kotido'!G50</f>
        <v>0</v>
      </c>
      <c r="H50" s="49">
        <f>'Avg Week Kotido-Karenga'!H50+'Avg Week Karenga-Kotido'!H50</f>
        <v>0</v>
      </c>
      <c r="I50" s="49">
        <f>'Avg Week Kotido-Karenga'!I50+'Avg Week Karenga-Kotido'!I50</f>
        <v>0.42857142857142855</v>
      </c>
      <c r="J50" s="49">
        <f>'Avg Week Kotido-Karenga'!J50+'Avg Week Karenga-Kotido'!J50</f>
        <v>0.2857142857142857</v>
      </c>
      <c r="K50" s="49">
        <f>'Avg Week Kotido-Karenga'!K50+'Avg Week Karenga-Kotido'!K50</f>
        <v>0</v>
      </c>
      <c r="L50" s="49">
        <f>'Avg Week Kotido-Karenga'!L50+'Avg Week Karenga-Kotido'!L50</f>
        <v>0</v>
      </c>
      <c r="M50" s="49">
        <f>'Avg Week Kotido-Karenga'!M50+'Avg Week Karenga-Kotido'!M50</f>
        <v>4</v>
      </c>
      <c r="N50" s="49">
        <f>'Avg Week Kotido-Karenga'!N50+'Avg Week Karenga-Kotido'!N50</f>
        <v>0</v>
      </c>
      <c r="O50" s="15">
        <f t="shared" si="0"/>
        <v>1.8571428571428572</v>
      </c>
      <c r="P50" s="15">
        <f t="shared" si="1"/>
        <v>5.8571428571428577</v>
      </c>
      <c r="R50" s="8"/>
      <c r="T50"/>
    </row>
    <row r="51" spans="2:20" ht="23.1" customHeight="1" x14ac:dyDescent="0.25">
      <c r="B51" s="24" t="s">
        <v>78</v>
      </c>
      <c r="C51" s="49">
        <f>'Avg Week Kotido-Karenga'!C51+'Avg Week Karenga-Kotido'!C51</f>
        <v>0</v>
      </c>
      <c r="D51" s="49">
        <f>'Avg Week Kotido-Karenga'!D51+'Avg Week Karenga-Kotido'!D51</f>
        <v>0.14285714285714285</v>
      </c>
      <c r="E51" s="49">
        <f>'Avg Week Kotido-Karenga'!E51+'Avg Week Karenga-Kotido'!E51</f>
        <v>0.2857142857142857</v>
      </c>
      <c r="F51" s="49">
        <f>'Avg Week Kotido-Karenga'!F51+'Avg Week Karenga-Kotido'!F51</f>
        <v>0.14285714285714285</v>
      </c>
      <c r="G51" s="49">
        <f>'Avg Week Kotido-Karenga'!G51+'Avg Week Karenga-Kotido'!G51</f>
        <v>0</v>
      </c>
      <c r="H51" s="49">
        <f>'Avg Week Kotido-Karenga'!H51+'Avg Week Karenga-Kotido'!H51</f>
        <v>0</v>
      </c>
      <c r="I51" s="49">
        <f>'Avg Week Kotido-Karenga'!I51+'Avg Week Karenga-Kotido'!I51</f>
        <v>0</v>
      </c>
      <c r="J51" s="49">
        <f>'Avg Week Kotido-Karenga'!J51+'Avg Week Karenga-Kotido'!J51</f>
        <v>0</v>
      </c>
      <c r="K51" s="49">
        <f>'Avg Week Kotido-Karenga'!K51+'Avg Week Karenga-Kotido'!K51</f>
        <v>0</v>
      </c>
      <c r="L51" s="49">
        <f>'Avg Week Kotido-Karenga'!L51+'Avg Week Karenga-Kotido'!L51</f>
        <v>0</v>
      </c>
      <c r="M51" s="49">
        <f>'Avg Week Kotido-Karenga'!M51+'Avg Week Karenga-Kotido'!M51</f>
        <v>2.5714285714285712</v>
      </c>
      <c r="N51" s="49">
        <f>'Avg Week Kotido-Karenga'!N51+'Avg Week Karenga-Kotido'!N51</f>
        <v>0</v>
      </c>
      <c r="O51" s="15">
        <f t="shared" si="0"/>
        <v>0.5714285714285714</v>
      </c>
      <c r="P51" s="15">
        <f t="shared" si="1"/>
        <v>3.1428571428571423</v>
      </c>
      <c r="R51" s="8"/>
      <c r="T51"/>
    </row>
    <row r="52" spans="2:20" ht="23.1" customHeight="1" x14ac:dyDescent="0.25">
      <c r="B52" s="24" t="s">
        <v>79</v>
      </c>
      <c r="C52" s="49">
        <f>'Avg Week Kotido-Karenga'!C52+'Avg Week Karenga-Kotido'!C52</f>
        <v>0</v>
      </c>
      <c r="D52" s="49">
        <f>'Avg Week Kotido-Karenga'!D52+'Avg Week Karenga-Kotido'!D52</f>
        <v>0.14285714285714285</v>
      </c>
      <c r="E52" s="49">
        <f>'Avg Week Kotido-Karenga'!E52+'Avg Week Karenga-Kotido'!E52</f>
        <v>0.14285714285714285</v>
      </c>
      <c r="F52" s="49">
        <f>'Avg Week Kotido-Karenga'!F52+'Avg Week Karenga-Kotido'!F52</f>
        <v>0.14285714285714285</v>
      </c>
      <c r="G52" s="49">
        <f>'Avg Week Kotido-Karenga'!G52+'Avg Week Karenga-Kotido'!G52</f>
        <v>0</v>
      </c>
      <c r="H52" s="49">
        <f>'Avg Week Kotido-Karenga'!H52+'Avg Week Karenga-Kotido'!H52</f>
        <v>0</v>
      </c>
      <c r="I52" s="49">
        <f>'Avg Week Kotido-Karenga'!I52+'Avg Week Karenga-Kotido'!I52</f>
        <v>0.2857142857142857</v>
      </c>
      <c r="J52" s="49">
        <f>'Avg Week Kotido-Karenga'!J52+'Avg Week Karenga-Kotido'!J52</f>
        <v>0</v>
      </c>
      <c r="K52" s="49">
        <f>'Avg Week Kotido-Karenga'!K52+'Avg Week Karenga-Kotido'!K52</f>
        <v>0</v>
      </c>
      <c r="L52" s="49">
        <f>'Avg Week Kotido-Karenga'!L52+'Avg Week Karenga-Kotido'!L52</f>
        <v>0</v>
      </c>
      <c r="M52" s="49">
        <f>'Avg Week Kotido-Karenga'!M52+'Avg Week Karenga-Kotido'!M52</f>
        <v>1.4285714285714284</v>
      </c>
      <c r="N52" s="49">
        <f>'Avg Week Kotido-Karenga'!N52+'Avg Week Karenga-Kotido'!N52</f>
        <v>0</v>
      </c>
      <c r="O52" s="15">
        <f t="shared" si="0"/>
        <v>0.71428571428571419</v>
      </c>
      <c r="P52" s="15">
        <f t="shared" si="1"/>
        <v>2.1428571428571423</v>
      </c>
      <c r="R52" s="8"/>
      <c r="T52"/>
    </row>
    <row r="53" spans="2:20" ht="23.1" customHeight="1" x14ac:dyDescent="0.25">
      <c r="B53" s="23" t="s">
        <v>80</v>
      </c>
      <c r="C53" s="49">
        <f>'Avg Week Kotido-Karenga'!C53+'Avg Week Karenga-Kotido'!C53</f>
        <v>0</v>
      </c>
      <c r="D53" s="49">
        <f>'Avg Week Kotido-Karenga'!D53+'Avg Week Karenga-Kotido'!D53</f>
        <v>0.14285714285714285</v>
      </c>
      <c r="E53" s="49">
        <f>'Avg Week Kotido-Karenga'!E53+'Avg Week Karenga-Kotido'!E53</f>
        <v>0</v>
      </c>
      <c r="F53" s="49">
        <f>'Avg Week Kotido-Karenga'!F53+'Avg Week Karenga-Kotido'!F53</f>
        <v>0.2857142857142857</v>
      </c>
      <c r="G53" s="49">
        <f>'Avg Week Kotido-Karenga'!G53+'Avg Week Karenga-Kotido'!G53</f>
        <v>0.14285714285714285</v>
      </c>
      <c r="H53" s="49">
        <f>'Avg Week Kotido-Karenga'!H53+'Avg Week Karenga-Kotido'!H53</f>
        <v>0</v>
      </c>
      <c r="I53" s="49">
        <f>'Avg Week Kotido-Karenga'!I53+'Avg Week Karenga-Kotido'!I53</f>
        <v>0</v>
      </c>
      <c r="J53" s="49">
        <f>'Avg Week Kotido-Karenga'!J53+'Avg Week Karenga-Kotido'!J53</f>
        <v>0.14285714285714285</v>
      </c>
      <c r="K53" s="49">
        <f>'Avg Week Kotido-Karenga'!K53+'Avg Week Karenga-Kotido'!K53</f>
        <v>0</v>
      </c>
      <c r="L53" s="49">
        <f>'Avg Week Kotido-Karenga'!L53+'Avg Week Karenga-Kotido'!L53</f>
        <v>0</v>
      </c>
      <c r="M53" s="49">
        <f>'Avg Week Kotido-Karenga'!M53+'Avg Week Karenga-Kotido'!M53</f>
        <v>4</v>
      </c>
      <c r="N53" s="49">
        <f>'Avg Week Kotido-Karenga'!N53+'Avg Week Karenga-Kotido'!N53</f>
        <v>0</v>
      </c>
      <c r="O53" s="15">
        <f t="shared" si="0"/>
        <v>0.71428571428571419</v>
      </c>
      <c r="P53" s="15">
        <f t="shared" si="1"/>
        <v>4.7142857142857144</v>
      </c>
      <c r="R53" s="8"/>
      <c r="T53"/>
    </row>
    <row r="54" spans="2:20" ht="23.1" customHeight="1" x14ac:dyDescent="0.25">
      <c r="B54" s="23" t="s">
        <v>81</v>
      </c>
      <c r="C54" s="49">
        <f>'Avg Week Kotido-Karenga'!C54+'Avg Week Karenga-Kotido'!C54</f>
        <v>0.14285714285714285</v>
      </c>
      <c r="D54" s="49">
        <f>'Avg Week Kotido-Karenga'!D54+'Avg Week Karenga-Kotido'!D54</f>
        <v>0</v>
      </c>
      <c r="E54" s="49">
        <f>'Avg Week Kotido-Karenga'!E54+'Avg Week Karenga-Kotido'!E54</f>
        <v>0</v>
      </c>
      <c r="F54" s="49">
        <f>'Avg Week Kotido-Karenga'!F54+'Avg Week Karenga-Kotido'!F54</f>
        <v>0.14285714285714285</v>
      </c>
      <c r="G54" s="49">
        <f>'Avg Week Kotido-Karenga'!G54+'Avg Week Karenga-Kotido'!G54</f>
        <v>0</v>
      </c>
      <c r="H54" s="49">
        <f>'Avg Week Kotido-Karenga'!H54+'Avg Week Karenga-Kotido'!H54</f>
        <v>0</v>
      </c>
      <c r="I54" s="49">
        <f>'Avg Week Kotido-Karenga'!I54+'Avg Week Karenga-Kotido'!I54</f>
        <v>0</v>
      </c>
      <c r="J54" s="49">
        <f>'Avg Week Kotido-Karenga'!J54+'Avg Week Karenga-Kotido'!J54</f>
        <v>0</v>
      </c>
      <c r="K54" s="49">
        <f>'Avg Week Kotido-Karenga'!K54+'Avg Week Karenga-Kotido'!K54</f>
        <v>0</v>
      </c>
      <c r="L54" s="49">
        <f>'Avg Week Kotido-Karenga'!L54+'Avg Week Karenga-Kotido'!L54</f>
        <v>0</v>
      </c>
      <c r="M54" s="49">
        <f>'Avg Week Kotido-Karenga'!M54+'Avg Week Karenga-Kotido'!M54</f>
        <v>2.4285714285714284</v>
      </c>
      <c r="N54" s="49">
        <f>'Avg Week Kotido-Karenga'!N54+'Avg Week Karenga-Kotido'!N54</f>
        <v>0</v>
      </c>
      <c r="O54" s="15">
        <f t="shared" si="0"/>
        <v>0.2857142857142857</v>
      </c>
      <c r="P54" s="15">
        <f t="shared" si="1"/>
        <v>2.714285714285714</v>
      </c>
      <c r="R54" s="8"/>
      <c r="T54"/>
    </row>
    <row r="55" spans="2:20" ht="23.1" customHeight="1" x14ac:dyDescent="0.25">
      <c r="B55" s="23" t="s">
        <v>82</v>
      </c>
      <c r="C55" s="49">
        <f>'Avg Week Kotido-Karenga'!C55+'Avg Week Karenga-Kotido'!C55</f>
        <v>0</v>
      </c>
      <c r="D55" s="49">
        <f>'Avg Week Kotido-Karenga'!D55+'Avg Week Karenga-Kotido'!D55</f>
        <v>0.14285714285714285</v>
      </c>
      <c r="E55" s="49">
        <f>'Avg Week Kotido-Karenga'!E55+'Avg Week Karenga-Kotido'!E55</f>
        <v>0.5714285714285714</v>
      </c>
      <c r="F55" s="49">
        <f>'Avg Week Kotido-Karenga'!F55+'Avg Week Karenga-Kotido'!F55</f>
        <v>0.14285714285714285</v>
      </c>
      <c r="G55" s="49">
        <f>'Avg Week Kotido-Karenga'!G55+'Avg Week Karenga-Kotido'!G55</f>
        <v>0</v>
      </c>
      <c r="H55" s="49">
        <f>'Avg Week Kotido-Karenga'!H55+'Avg Week Karenga-Kotido'!H55</f>
        <v>0</v>
      </c>
      <c r="I55" s="49">
        <f>'Avg Week Kotido-Karenga'!I55+'Avg Week Karenga-Kotido'!I55</f>
        <v>0</v>
      </c>
      <c r="J55" s="49">
        <f>'Avg Week Kotido-Karenga'!J55+'Avg Week Karenga-Kotido'!J55</f>
        <v>0</v>
      </c>
      <c r="K55" s="49">
        <f>'Avg Week Kotido-Karenga'!K55+'Avg Week Karenga-Kotido'!K55</f>
        <v>0</v>
      </c>
      <c r="L55" s="49">
        <f>'Avg Week Kotido-Karenga'!L55+'Avg Week Karenga-Kotido'!L55</f>
        <v>0</v>
      </c>
      <c r="M55" s="49">
        <f>'Avg Week Kotido-Karenga'!M55+'Avg Week Karenga-Kotido'!M55</f>
        <v>1.1428571428571428</v>
      </c>
      <c r="N55" s="49">
        <f>'Avg Week Kotido-Karenga'!N55+'Avg Week Karenga-Kotido'!N55</f>
        <v>0</v>
      </c>
      <c r="O55" s="15">
        <f t="shared" si="0"/>
        <v>0.85714285714285698</v>
      </c>
      <c r="P55" s="15">
        <f t="shared" si="1"/>
        <v>1.9999999999999998</v>
      </c>
      <c r="R55" s="8"/>
      <c r="T55"/>
    </row>
    <row r="56" spans="2:20" ht="23.1" customHeight="1" x14ac:dyDescent="0.25">
      <c r="B56" s="23" t="s">
        <v>83</v>
      </c>
      <c r="C56" s="49">
        <f>'Avg Week Kotido-Karenga'!C56+'Avg Week Karenga-Kotido'!C56</f>
        <v>0</v>
      </c>
      <c r="D56" s="49">
        <f>'Avg Week Kotido-Karenga'!D56+'Avg Week Karenga-Kotido'!D56</f>
        <v>0.5714285714285714</v>
      </c>
      <c r="E56" s="49">
        <f>'Avg Week Kotido-Karenga'!E56+'Avg Week Karenga-Kotido'!E56</f>
        <v>0.14285714285714285</v>
      </c>
      <c r="F56" s="49">
        <f>'Avg Week Kotido-Karenga'!F56+'Avg Week Karenga-Kotido'!F56</f>
        <v>0.42857142857142855</v>
      </c>
      <c r="G56" s="49">
        <f>'Avg Week Kotido-Karenga'!G56+'Avg Week Karenga-Kotido'!G56</f>
        <v>0</v>
      </c>
      <c r="H56" s="49">
        <f>'Avg Week Kotido-Karenga'!H56+'Avg Week Karenga-Kotido'!H56</f>
        <v>0</v>
      </c>
      <c r="I56" s="49">
        <f>'Avg Week Kotido-Karenga'!I56+'Avg Week Karenga-Kotido'!I56</f>
        <v>0</v>
      </c>
      <c r="J56" s="49">
        <f>'Avg Week Kotido-Karenga'!J56+'Avg Week Karenga-Kotido'!J56</f>
        <v>0.14285714285714285</v>
      </c>
      <c r="K56" s="49">
        <f>'Avg Week Kotido-Karenga'!K56+'Avg Week Karenga-Kotido'!K56</f>
        <v>0.14285714285714285</v>
      </c>
      <c r="L56" s="49">
        <f>'Avg Week Kotido-Karenga'!L56+'Avg Week Karenga-Kotido'!L56</f>
        <v>0</v>
      </c>
      <c r="M56" s="49">
        <f>'Avg Week Kotido-Karenga'!M56+'Avg Week Karenga-Kotido'!M56</f>
        <v>3.1428571428571432</v>
      </c>
      <c r="N56" s="49">
        <f>'Avg Week Kotido-Karenga'!N56+'Avg Week Karenga-Kotido'!N56</f>
        <v>0</v>
      </c>
      <c r="O56" s="15">
        <f t="shared" si="0"/>
        <v>1.4285714285714284</v>
      </c>
      <c r="P56" s="15">
        <f t="shared" si="1"/>
        <v>4.5714285714285712</v>
      </c>
      <c r="R56" s="8"/>
      <c r="T56"/>
    </row>
    <row r="57" spans="2:20" ht="23.1" customHeight="1" x14ac:dyDescent="0.25">
      <c r="B57" s="23" t="s">
        <v>84</v>
      </c>
      <c r="C57" s="49">
        <f>'Avg Week Kotido-Karenga'!C57+'Avg Week Karenga-Kotido'!C57</f>
        <v>0.2857142857142857</v>
      </c>
      <c r="D57" s="49">
        <f>'Avg Week Kotido-Karenga'!D57+'Avg Week Karenga-Kotido'!D57</f>
        <v>0.14285714285714285</v>
      </c>
      <c r="E57" s="49">
        <f>'Avg Week Kotido-Karenga'!E57+'Avg Week Karenga-Kotido'!E57</f>
        <v>0.42857142857142855</v>
      </c>
      <c r="F57" s="49">
        <f>'Avg Week Kotido-Karenga'!F57+'Avg Week Karenga-Kotido'!F57</f>
        <v>0.2857142857142857</v>
      </c>
      <c r="G57" s="49">
        <f>'Avg Week Kotido-Karenga'!G57+'Avg Week Karenga-Kotido'!G57</f>
        <v>0</v>
      </c>
      <c r="H57" s="49">
        <f>'Avg Week Kotido-Karenga'!H57+'Avg Week Karenga-Kotido'!H57</f>
        <v>0</v>
      </c>
      <c r="I57" s="49">
        <f>'Avg Week Kotido-Karenga'!I57+'Avg Week Karenga-Kotido'!I57</f>
        <v>0.42857142857142855</v>
      </c>
      <c r="J57" s="49">
        <f>'Avg Week Kotido-Karenga'!J57+'Avg Week Karenga-Kotido'!J57</f>
        <v>0.14285714285714285</v>
      </c>
      <c r="K57" s="49">
        <f>'Avg Week Kotido-Karenga'!K57+'Avg Week Karenga-Kotido'!K57</f>
        <v>0</v>
      </c>
      <c r="L57" s="49">
        <f>'Avg Week Kotido-Karenga'!L57+'Avg Week Karenga-Kotido'!L57</f>
        <v>0</v>
      </c>
      <c r="M57" s="49">
        <f>'Avg Week Kotido-Karenga'!M57+'Avg Week Karenga-Kotido'!M57</f>
        <v>3.2857142857142856</v>
      </c>
      <c r="N57" s="49">
        <f>'Avg Week Kotido-Karenga'!N57+'Avg Week Karenga-Kotido'!N57</f>
        <v>0</v>
      </c>
      <c r="O57" s="15">
        <f t="shared" si="0"/>
        <v>1.7142857142857142</v>
      </c>
      <c r="P57" s="15">
        <f t="shared" si="1"/>
        <v>5</v>
      </c>
      <c r="R57" s="8"/>
      <c r="T57"/>
    </row>
    <row r="58" spans="2:20" ht="23.1" customHeight="1" x14ac:dyDescent="0.25">
      <c r="B58" s="23" t="s">
        <v>99</v>
      </c>
      <c r="C58" s="49">
        <f>'Avg Week Kotido-Karenga'!C58+'Avg Week Karenga-Kotido'!C58</f>
        <v>0.5</v>
      </c>
      <c r="D58" s="49">
        <f>'Avg Week Kotido-Karenga'!D58+'Avg Week Karenga-Kotido'!D58</f>
        <v>0</v>
      </c>
      <c r="E58" s="49">
        <f>'Avg Week Kotido-Karenga'!E58+'Avg Week Karenga-Kotido'!E58</f>
        <v>0.5</v>
      </c>
      <c r="F58" s="49">
        <f>'Avg Week Kotido-Karenga'!F58+'Avg Week Karenga-Kotido'!F58</f>
        <v>0.5</v>
      </c>
      <c r="G58" s="49">
        <f>'Avg Week Kotido-Karenga'!G58+'Avg Week Karenga-Kotido'!G58</f>
        <v>0</v>
      </c>
      <c r="H58" s="49">
        <f>'Avg Week Kotido-Karenga'!H58+'Avg Week Karenga-Kotido'!H58</f>
        <v>0</v>
      </c>
      <c r="I58" s="49">
        <f>'Avg Week Kotido-Karenga'!I58+'Avg Week Karenga-Kotido'!I58</f>
        <v>0</v>
      </c>
      <c r="J58" s="49">
        <f>'Avg Week Kotido-Karenga'!J58+'Avg Week Karenga-Kotido'!J58</f>
        <v>0</v>
      </c>
      <c r="K58" s="49">
        <f>'Avg Week Kotido-Karenga'!K58+'Avg Week Karenga-Kotido'!K58</f>
        <v>0</v>
      </c>
      <c r="L58" s="49">
        <f>'Avg Week Kotido-Karenga'!L58+'Avg Week Karenga-Kotido'!L58</f>
        <v>0</v>
      </c>
      <c r="M58" s="49">
        <f>'Avg Week Kotido-Karenga'!M58+'Avg Week Karenga-Kotido'!M58</f>
        <v>4</v>
      </c>
      <c r="N58" s="49">
        <f>'Avg Week Kotido-Karenga'!N58+'Avg Week Karenga-Kotido'!N58</f>
        <v>0</v>
      </c>
      <c r="O58" s="15">
        <f t="shared" si="0"/>
        <v>1.5</v>
      </c>
      <c r="P58" s="15">
        <f t="shared" si="1"/>
        <v>5.5</v>
      </c>
      <c r="R58" s="8"/>
      <c r="T58"/>
    </row>
    <row r="59" spans="2:20" ht="23.1" customHeight="1" x14ac:dyDescent="0.25">
      <c r="B59" s="23" t="s">
        <v>100</v>
      </c>
      <c r="C59" s="49">
        <f>'Avg Week Kotido-Karenga'!C59+'Avg Week Karenga-Kotido'!C59</f>
        <v>0</v>
      </c>
      <c r="D59" s="49">
        <f>'Avg Week Kotido-Karenga'!D59+'Avg Week Karenga-Kotido'!D59</f>
        <v>0</v>
      </c>
      <c r="E59" s="49">
        <f>'Avg Week Kotido-Karenga'!E59+'Avg Week Karenga-Kotido'!E59</f>
        <v>0</v>
      </c>
      <c r="F59" s="49">
        <f>'Avg Week Kotido-Karenga'!F59+'Avg Week Karenga-Kotido'!F59</f>
        <v>0</v>
      </c>
      <c r="G59" s="49">
        <f>'Avg Week Kotido-Karenga'!G59+'Avg Week Karenga-Kotido'!G59</f>
        <v>0</v>
      </c>
      <c r="H59" s="49">
        <f>'Avg Week Kotido-Karenga'!H59+'Avg Week Karenga-Kotido'!H59</f>
        <v>0</v>
      </c>
      <c r="I59" s="49">
        <f>'Avg Week Kotido-Karenga'!I59+'Avg Week Karenga-Kotido'!I59</f>
        <v>0</v>
      </c>
      <c r="J59" s="49">
        <f>'Avg Week Kotido-Karenga'!J59+'Avg Week Karenga-Kotido'!J59</f>
        <v>0</v>
      </c>
      <c r="K59" s="49">
        <f>'Avg Week Kotido-Karenga'!K59+'Avg Week Karenga-Kotido'!K59</f>
        <v>0</v>
      </c>
      <c r="L59" s="49">
        <f>'Avg Week Kotido-Karenga'!L59+'Avg Week Karenga-Kotido'!L59</f>
        <v>0</v>
      </c>
      <c r="M59" s="49">
        <f>'Avg Week Kotido-Karenga'!M59+'Avg Week Karenga-Kotido'!M59</f>
        <v>0.5</v>
      </c>
      <c r="N59" s="49">
        <f>'Avg Week Kotido-Karenga'!N59+'Avg Week Karenga-Kotido'!N59</f>
        <v>0</v>
      </c>
      <c r="O59" s="15">
        <f t="shared" si="0"/>
        <v>0</v>
      </c>
      <c r="P59" s="15">
        <f t="shared" si="1"/>
        <v>0.5</v>
      </c>
      <c r="R59" s="8"/>
      <c r="T59"/>
    </row>
    <row r="60" spans="2:20" ht="23.1" customHeight="1" x14ac:dyDescent="0.25">
      <c r="B60" s="23" t="s">
        <v>101</v>
      </c>
      <c r="C60" s="49">
        <f>'Avg Week Kotido-Karenga'!C60+'Avg Week Karenga-Kotido'!C60</f>
        <v>0</v>
      </c>
      <c r="D60" s="49">
        <f>'Avg Week Kotido-Karenga'!D60+'Avg Week Karenga-Kotido'!D60</f>
        <v>0</v>
      </c>
      <c r="E60" s="49">
        <f>'Avg Week Kotido-Karenga'!E60+'Avg Week Karenga-Kotido'!E60</f>
        <v>0.5</v>
      </c>
      <c r="F60" s="49">
        <f>'Avg Week Kotido-Karenga'!F60+'Avg Week Karenga-Kotido'!F60</f>
        <v>0</v>
      </c>
      <c r="G60" s="49">
        <f>'Avg Week Kotido-Karenga'!G60+'Avg Week Karenga-Kotido'!G60</f>
        <v>0</v>
      </c>
      <c r="H60" s="49">
        <f>'Avg Week Kotido-Karenga'!H60+'Avg Week Karenga-Kotido'!H60</f>
        <v>0</v>
      </c>
      <c r="I60" s="49">
        <f>'Avg Week Kotido-Karenga'!I60+'Avg Week Karenga-Kotido'!I60</f>
        <v>0</v>
      </c>
      <c r="J60" s="49">
        <f>'Avg Week Kotido-Karenga'!J60+'Avg Week Karenga-Kotido'!J60</f>
        <v>0</v>
      </c>
      <c r="K60" s="49">
        <f>'Avg Week Kotido-Karenga'!K60+'Avg Week Karenga-Kotido'!K60</f>
        <v>0</v>
      </c>
      <c r="L60" s="49">
        <f>'Avg Week Kotido-Karenga'!L60+'Avg Week Karenga-Kotido'!L60</f>
        <v>0</v>
      </c>
      <c r="M60" s="49">
        <f>'Avg Week Kotido-Karenga'!M60+'Avg Week Karenga-Kotido'!M60</f>
        <v>1</v>
      </c>
      <c r="N60" s="49">
        <f>'Avg Week Kotido-Karenga'!N60+'Avg Week Karenga-Kotido'!N60</f>
        <v>0</v>
      </c>
      <c r="O60" s="15">
        <f t="shared" si="0"/>
        <v>0.5</v>
      </c>
      <c r="P60" s="15">
        <f t="shared" si="1"/>
        <v>1.5</v>
      </c>
      <c r="R60" s="8"/>
      <c r="T60"/>
    </row>
    <row r="61" spans="2:20" ht="23.1" customHeight="1" x14ac:dyDescent="0.25">
      <c r="B61" s="23" t="s">
        <v>102</v>
      </c>
      <c r="C61" s="49">
        <f>'Avg Week Kotido-Karenga'!C61+'Avg Week Karenga-Kotido'!C61</f>
        <v>0</v>
      </c>
      <c r="D61" s="49">
        <f>'Avg Week Kotido-Karenga'!D61+'Avg Week Karenga-Kotido'!D61</f>
        <v>0</v>
      </c>
      <c r="E61" s="49">
        <f>'Avg Week Kotido-Karenga'!E61+'Avg Week Karenga-Kotido'!E61</f>
        <v>0</v>
      </c>
      <c r="F61" s="49">
        <f>'Avg Week Kotido-Karenga'!F61+'Avg Week Karenga-Kotido'!F61</f>
        <v>0</v>
      </c>
      <c r="G61" s="49">
        <f>'Avg Week Kotido-Karenga'!G61+'Avg Week Karenga-Kotido'!G61</f>
        <v>0</v>
      </c>
      <c r="H61" s="49">
        <f>'Avg Week Kotido-Karenga'!H61+'Avg Week Karenga-Kotido'!H61</f>
        <v>0</v>
      </c>
      <c r="I61" s="49">
        <f>'Avg Week Kotido-Karenga'!I61+'Avg Week Karenga-Kotido'!I61</f>
        <v>0</v>
      </c>
      <c r="J61" s="49">
        <f>'Avg Week Kotido-Karenga'!J61+'Avg Week Karenga-Kotido'!J61</f>
        <v>0</v>
      </c>
      <c r="K61" s="49">
        <f>'Avg Week Kotido-Karenga'!K61+'Avg Week Karenga-Kotido'!K61</f>
        <v>0</v>
      </c>
      <c r="L61" s="49">
        <f>'Avg Week Kotido-Karenga'!L61+'Avg Week Karenga-Kotido'!L61</f>
        <v>0</v>
      </c>
      <c r="M61" s="49">
        <f>'Avg Week Kotido-Karenga'!M61+'Avg Week Karenga-Kotido'!M61</f>
        <v>3.5</v>
      </c>
      <c r="N61" s="49">
        <f>'Avg Week Kotido-Karenga'!N61+'Avg Week Karenga-Kotido'!N61</f>
        <v>0</v>
      </c>
      <c r="O61" s="15">
        <f t="shared" si="0"/>
        <v>0</v>
      </c>
      <c r="P61" s="15">
        <f t="shared" si="1"/>
        <v>3.5</v>
      </c>
      <c r="R61" s="8"/>
      <c r="T61"/>
    </row>
    <row r="62" spans="2:20" ht="23.1" customHeight="1" x14ac:dyDescent="0.25">
      <c r="B62" s="23" t="s">
        <v>107</v>
      </c>
      <c r="C62" s="49">
        <f>'Avg Week Kotido-Karenga'!C62+'Avg Week Karenga-Kotido'!C62</f>
        <v>0</v>
      </c>
      <c r="D62" s="49">
        <f>'Avg Week Kotido-Karenga'!D62+'Avg Week Karenga-Kotido'!D62</f>
        <v>0</v>
      </c>
      <c r="E62" s="49">
        <f>'Avg Week Kotido-Karenga'!E62+'Avg Week Karenga-Kotido'!E62</f>
        <v>0</v>
      </c>
      <c r="F62" s="49">
        <f>'Avg Week Kotido-Karenga'!F62+'Avg Week Karenga-Kotido'!F62</f>
        <v>0</v>
      </c>
      <c r="G62" s="49">
        <f>'Avg Week Kotido-Karenga'!G62+'Avg Week Karenga-Kotido'!G62</f>
        <v>0</v>
      </c>
      <c r="H62" s="49">
        <f>'Avg Week Kotido-Karenga'!H62+'Avg Week Karenga-Kotido'!H62</f>
        <v>0</v>
      </c>
      <c r="I62" s="49">
        <f>'Avg Week Kotido-Karenga'!I62+'Avg Week Karenga-Kotido'!I62</f>
        <v>0</v>
      </c>
      <c r="J62" s="49">
        <f>'Avg Week Kotido-Karenga'!J62+'Avg Week Karenga-Kotido'!J62</f>
        <v>0</v>
      </c>
      <c r="K62" s="49">
        <f>'Avg Week Kotido-Karenga'!K62+'Avg Week Karenga-Kotido'!K62</f>
        <v>0</v>
      </c>
      <c r="L62" s="49">
        <f>'Avg Week Kotido-Karenga'!L62+'Avg Week Karenga-Kotido'!L62</f>
        <v>0</v>
      </c>
      <c r="M62" s="49">
        <f>'Avg Week Kotido-Karenga'!M62+'Avg Week Karenga-Kotido'!M62</f>
        <v>1</v>
      </c>
      <c r="N62" s="49">
        <f>'Avg Week Kotido-Karenga'!N62+'Avg Week Karenga-Kotido'!N62</f>
        <v>0</v>
      </c>
      <c r="O62" s="15">
        <f t="shared" si="0"/>
        <v>0</v>
      </c>
      <c r="P62" s="15">
        <f t="shared" si="1"/>
        <v>1</v>
      </c>
      <c r="R62" s="8"/>
      <c r="T62"/>
    </row>
    <row r="63" spans="2:20" ht="23.1" customHeight="1" x14ac:dyDescent="0.25">
      <c r="B63" s="23" t="s">
        <v>108</v>
      </c>
      <c r="C63" s="49">
        <f>'Avg Week Kotido-Karenga'!C63+'Avg Week Karenga-Kotido'!C63</f>
        <v>0</v>
      </c>
      <c r="D63" s="49">
        <f>'Avg Week Kotido-Karenga'!D63+'Avg Week Karenga-Kotido'!D63</f>
        <v>0.5</v>
      </c>
      <c r="E63" s="49">
        <f>'Avg Week Kotido-Karenga'!E63+'Avg Week Karenga-Kotido'!E63</f>
        <v>0</v>
      </c>
      <c r="F63" s="49">
        <f>'Avg Week Kotido-Karenga'!F63+'Avg Week Karenga-Kotido'!F63</f>
        <v>0</v>
      </c>
      <c r="G63" s="49">
        <f>'Avg Week Kotido-Karenga'!G63+'Avg Week Karenga-Kotido'!G63</f>
        <v>0</v>
      </c>
      <c r="H63" s="49">
        <f>'Avg Week Kotido-Karenga'!H63+'Avg Week Karenga-Kotido'!H63</f>
        <v>0</v>
      </c>
      <c r="I63" s="49">
        <f>'Avg Week Kotido-Karenga'!I63+'Avg Week Karenga-Kotido'!I63</f>
        <v>0</v>
      </c>
      <c r="J63" s="49">
        <f>'Avg Week Kotido-Karenga'!J63+'Avg Week Karenga-Kotido'!J63</f>
        <v>0</v>
      </c>
      <c r="K63" s="49">
        <f>'Avg Week Kotido-Karenga'!K63+'Avg Week Karenga-Kotido'!K63</f>
        <v>0</v>
      </c>
      <c r="L63" s="49">
        <f>'Avg Week Kotido-Karenga'!L63+'Avg Week Karenga-Kotido'!L63</f>
        <v>0</v>
      </c>
      <c r="M63" s="49">
        <f>'Avg Week Kotido-Karenga'!M63+'Avg Week Karenga-Kotido'!M63</f>
        <v>2</v>
      </c>
      <c r="N63" s="49">
        <f>'Avg Week Kotido-Karenga'!N63+'Avg Week Karenga-Kotido'!N63</f>
        <v>0</v>
      </c>
      <c r="O63" s="15">
        <f t="shared" si="0"/>
        <v>0.5</v>
      </c>
      <c r="P63" s="15">
        <f t="shared" si="1"/>
        <v>2.5</v>
      </c>
      <c r="R63" s="8"/>
      <c r="T63"/>
    </row>
    <row r="64" spans="2:20" ht="23.1" customHeight="1" x14ac:dyDescent="0.25">
      <c r="B64" s="23" t="s">
        <v>109</v>
      </c>
      <c r="C64" s="49">
        <f>'Avg Week Kotido-Karenga'!C64+'Avg Week Karenga-Kotido'!C64</f>
        <v>0</v>
      </c>
      <c r="D64" s="49">
        <f>'Avg Week Kotido-Karenga'!D64+'Avg Week Karenga-Kotido'!D64</f>
        <v>0.5</v>
      </c>
      <c r="E64" s="49">
        <f>'Avg Week Kotido-Karenga'!E64+'Avg Week Karenga-Kotido'!E64</f>
        <v>0</v>
      </c>
      <c r="F64" s="49">
        <f>'Avg Week Kotido-Karenga'!F64+'Avg Week Karenga-Kotido'!F64</f>
        <v>0</v>
      </c>
      <c r="G64" s="49">
        <f>'Avg Week Kotido-Karenga'!G64+'Avg Week Karenga-Kotido'!G64</f>
        <v>0</v>
      </c>
      <c r="H64" s="49">
        <f>'Avg Week Kotido-Karenga'!H64+'Avg Week Karenga-Kotido'!H64</f>
        <v>0</v>
      </c>
      <c r="I64" s="49">
        <f>'Avg Week Kotido-Karenga'!I64+'Avg Week Karenga-Kotido'!I64</f>
        <v>0</v>
      </c>
      <c r="J64" s="49">
        <f>'Avg Week Kotido-Karenga'!J64+'Avg Week Karenga-Kotido'!J64</f>
        <v>0</v>
      </c>
      <c r="K64" s="49">
        <f>'Avg Week Kotido-Karenga'!K64+'Avg Week Karenga-Kotido'!K64</f>
        <v>0</v>
      </c>
      <c r="L64" s="49">
        <f>'Avg Week Kotido-Karenga'!L64+'Avg Week Karenga-Kotido'!L64</f>
        <v>0</v>
      </c>
      <c r="M64" s="49">
        <f>'Avg Week Kotido-Karenga'!M64+'Avg Week Karenga-Kotido'!M64</f>
        <v>0.5</v>
      </c>
      <c r="N64" s="49">
        <f>'Avg Week Kotido-Karenga'!N64+'Avg Week Karenga-Kotido'!N64</f>
        <v>0</v>
      </c>
      <c r="O64" s="15">
        <f t="shared" si="0"/>
        <v>0.5</v>
      </c>
      <c r="P64" s="15">
        <f t="shared" si="1"/>
        <v>1</v>
      </c>
      <c r="R64" s="8"/>
      <c r="T64"/>
    </row>
    <row r="65" spans="2:20" ht="23.1" customHeight="1" x14ac:dyDescent="0.25">
      <c r="B65" s="23" t="s">
        <v>158</v>
      </c>
      <c r="C65" s="49">
        <f>'Avg Week Kotido-Karenga'!C65+'Avg Week Karenga-Kotido'!C65</f>
        <v>0</v>
      </c>
      <c r="D65" s="49">
        <f>'Avg Week Kotido-Karenga'!D65+'Avg Week Karenga-Kotido'!D65</f>
        <v>0</v>
      </c>
      <c r="E65" s="49">
        <f>'Avg Week Kotido-Karenga'!E65+'Avg Week Karenga-Kotido'!E65</f>
        <v>0</v>
      </c>
      <c r="F65" s="49">
        <f>'Avg Week Kotido-Karenga'!F65+'Avg Week Karenga-Kotido'!F65</f>
        <v>0</v>
      </c>
      <c r="G65" s="49">
        <f>'Avg Week Kotido-Karenga'!G65+'Avg Week Karenga-Kotido'!G65</f>
        <v>0</v>
      </c>
      <c r="H65" s="49">
        <f>'Avg Week Kotido-Karenga'!H65+'Avg Week Karenga-Kotido'!H65</f>
        <v>0</v>
      </c>
      <c r="I65" s="49">
        <f>'Avg Week Kotido-Karenga'!I65+'Avg Week Karenga-Kotido'!I65</f>
        <v>0</v>
      </c>
      <c r="J65" s="49">
        <f>'Avg Week Kotido-Karenga'!J65+'Avg Week Karenga-Kotido'!J65</f>
        <v>0</v>
      </c>
      <c r="K65" s="49">
        <f>'Avg Week Kotido-Karenga'!K65+'Avg Week Karenga-Kotido'!K65</f>
        <v>0</v>
      </c>
      <c r="L65" s="49">
        <f>'Avg Week Kotido-Karenga'!L65+'Avg Week Karenga-Kotido'!L65</f>
        <v>0</v>
      </c>
      <c r="M65" s="49">
        <f>'Avg Week Kotido-Karenga'!M65+'Avg Week Karenga-Kotido'!M65</f>
        <v>2</v>
      </c>
      <c r="N65" s="49">
        <f>'Avg Week Kotido-Karenga'!N65+'Avg Week Karenga-Kotido'!N65</f>
        <v>0</v>
      </c>
      <c r="O65" s="15">
        <f t="shared" si="0"/>
        <v>0</v>
      </c>
      <c r="P65" s="15">
        <f t="shared" si="1"/>
        <v>2</v>
      </c>
      <c r="R65" s="8"/>
      <c r="T65"/>
    </row>
    <row r="66" spans="2:20" ht="23.1" customHeight="1" x14ac:dyDescent="0.25">
      <c r="B66" s="23" t="s">
        <v>103</v>
      </c>
      <c r="C66" s="49">
        <f>'Avg Week Kotido-Karenga'!C66+'Avg Week Karenga-Kotido'!C66</f>
        <v>0</v>
      </c>
      <c r="D66" s="49">
        <f>'Avg Week Kotido-Karenga'!D66+'Avg Week Karenga-Kotido'!D66</f>
        <v>0</v>
      </c>
      <c r="E66" s="49">
        <f>'Avg Week Kotido-Karenga'!E66+'Avg Week Karenga-Kotido'!E66</f>
        <v>0</v>
      </c>
      <c r="F66" s="49">
        <f>'Avg Week Kotido-Karenga'!F66+'Avg Week Karenga-Kotido'!F66</f>
        <v>0</v>
      </c>
      <c r="G66" s="49">
        <f>'Avg Week Kotido-Karenga'!G66+'Avg Week Karenga-Kotido'!G66</f>
        <v>0</v>
      </c>
      <c r="H66" s="49">
        <f>'Avg Week Kotido-Karenga'!H66+'Avg Week Karenga-Kotido'!H66</f>
        <v>0</v>
      </c>
      <c r="I66" s="49">
        <f>'Avg Week Kotido-Karenga'!I66+'Avg Week Karenga-Kotido'!I66</f>
        <v>0</v>
      </c>
      <c r="J66" s="49">
        <f>'Avg Week Kotido-Karenga'!J66+'Avg Week Karenga-Kotido'!J66</f>
        <v>0</v>
      </c>
      <c r="K66" s="49">
        <f>'Avg Week Kotido-Karenga'!K66+'Avg Week Karenga-Kotido'!K66</f>
        <v>0</v>
      </c>
      <c r="L66" s="49">
        <f>'Avg Week Kotido-Karenga'!L66+'Avg Week Karenga-Kotido'!L66</f>
        <v>0</v>
      </c>
      <c r="M66" s="49">
        <f>'Avg Week Kotido-Karenga'!M66+'Avg Week Karenga-Kotido'!M66</f>
        <v>1.5</v>
      </c>
      <c r="N66" s="49">
        <f>'Avg Week Kotido-Karenga'!N66+'Avg Week Karenga-Kotido'!N66</f>
        <v>0</v>
      </c>
      <c r="O66" s="15">
        <f t="shared" si="0"/>
        <v>0</v>
      </c>
      <c r="P66" s="15">
        <f t="shared" si="1"/>
        <v>1.5</v>
      </c>
      <c r="R66" s="8"/>
      <c r="T66"/>
    </row>
    <row r="67" spans="2:20" ht="23.1" customHeight="1" x14ac:dyDescent="0.25">
      <c r="B67" s="23" t="s">
        <v>104</v>
      </c>
      <c r="C67" s="49">
        <f>'Avg Week Kotido-Karenga'!C67+'Avg Week Karenga-Kotido'!C67</f>
        <v>0.5</v>
      </c>
      <c r="D67" s="49">
        <f>'Avg Week Kotido-Karenga'!D67+'Avg Week Karenga-Kotido'!D67</f>
        <v>0.5</v>
      </c>
      <c r="E67" s="49">
        <f>'Avg Week Kotido-Karenga'!E67+'Avg Week Karenga-Kotido'!E67</f>
        <v>0</v>
      </c>
      <c r="F67" s="49">
        <f>'Avg Week Kotido-Karenga'!F67+'Avg Week Karenga-Kotido'!F67</f>
        <v>0</v>
      </c>
      <c r="G67" s="49">
        <f>'Avg Week Kotido-Karenga'!G67+'Avg Week Karenga-Kotido'!G67</f>
        <v>0</v>
      </c>
      <c r="H67" s="49">
        <f>'Avg Week Kotido-Karenga'!H67+'Avg Week Karenga-Kotido'!H67</f>
        <v>0</v>
      </c>
      <c r="I67" s="49">
        <f>'Avg Week Kotido-Karenga'!I67+'Avg Week Karenga-Kotido'!I67</f>
        <v>0</v>
      </c>
      <c r="J67" s="49">
        <f>'Avg Week Kotido-Karenga'!J67+'Avg Week Karenga-Kotido'!J67</f>
        <v>0</v>
      </c>
      <c r="K67" s="49">
        <f>'Avg Week Kotido-Karenga'!K67+'Avg Week Karenga-Kotido'!K67</f>
        <v>0</v>
      </c>
      <c r="L67" s="49">
        <f>'Avg Week Kotido-Karenga'!L67+'Avg Week Karenga-Kotido'!L67</f>
        <v>0</v>
      </c>
      <c r="M67" s="49">
        <f>'Avg Week Kotido-Karenga'!M67+'Avg Week Karenga-Kotido'!M67</f>
        <v>1</v>
      </c>
      <c r="N67" s="49">
        <f>'Avg Week Kotido-Karenga'!N67+'Avg Week Karenga-Kotido'!N67</f>
        <v>0</v>
      </c>
      <c r="O67" s="15">
        <f t="shared" si="0"/>
        <v>1</v>
      </c>
      <c r="P67" s="15">
        <f t="shared" si="1"/>
        <v>2</v>
      </c>
      <c r="R67" s="8"/>
      <c r="T67"/>
    </row>
    <row r="68" spans="2:20" ht="23.1" customHeight="1" x14ac:dyDescent="0.25">
      <c r="B68" s="23" t="s">
        <v>105</v>
      </c>
      <c r="C68" s="49">
        <f>'Avg Week Kotido-Karenga'!C68+'Avg Week Karenga-Kotido'!C68</f>
        <v>0</v>
      </c>
      <c r="D68" s="49">
        <f>'Avg Week Kotido-Karenga'!D68+'Avg Week Karenga-Kotido'!D68</f>
        <v>0</v>
      </c>
      <c r="E68" s="49">
        <f>'Avg Week Kotido-Karenga'!E68+'Avg Week Karenga-Kotido'!E68</f>
        <v>0</v>
      </c>
      <c r="F68" s="49">
        <f>'Avg Week Kotido-Karenga'!F68+'Avg Week Karenga-Kotido'!F68</f>
        <v>0</v>
      </c>
      <c r="G68" s="49">
        <f>'Avg Week Kotido-Karenga'!G68+'Avg Week Karenga-Kotido'!G68</f>
        <v>0</v>
      </c>
      <c r="H68" s="49">
        <f>'Avg Week Kotido-Karenga'!H68+'Avg Week Karenga-Kotido'!H68</f>
        <v>0</v>
      </c>
      <c r="I68" s="49">
        <f>'Avg Week Kotido-Karenga'!I68+'Avg Week Karenga-Kotido'!I68</f>
        <v>0</v>
      </c>
      <c r="J68" s="49">
        <f>'Avg Week Kotido-Karenga'!J68+'Avg Week Karenga-Kotido'!J68</f>
        <v>0</v>
      </c>
      <c r="K68" s="49">
        <f>'Avg Week Kotido-Karenga'!K68+'Avg Week Karenga-Kotido'!K68</f>
        <v>0</v>
      </c>
      <c r="L68" s="49">
        <f>'Avg Week Kotido-Karenga'!L68+'Avg Week Karenga-Kotido'!L68</f>
        <v>0</v>
      </c>
      <c r="M68" s="49">
        <f>'Avg Week Kotido-Karenga'!M68+'Avg Week Karenga-Kotido'!M68</f>
        <v>1.5</v>
      </c>
      <c r="N68" s="49">
        <f>'Avg Week Kotido-Karenga'!N68+'Avg Week Karenga-Kotido'!N68</f>
        <v>0</v>
      </c>
      <c r="O68" s="15">
        <f t="shared" si="0"/>
        <v>0</v>
      </c>
      <c r="P68" s="15">
        <f t="shared" si="1"/>
        <v>1.5</v>
      </c>
      <c r="R68" s="8"/>
      <c r="T68"/>
    </row>
    <row r="69" spans="2:20" ht="23.1" customHeight="1" x14ac:dyDescent="0.25">
      <c r="B69" s="23" t="s">
        <v>106</v>
      </c>
      <c r="C69" s="49">
        <f>'Avg Week Kotido-Karenga'!C69+'Avg Week Karenga-Kotido'!C69</f>
        <v>0</v>
      </c>
      <c r="D69" s="49">
        <f>'Avg Week Kotido-Karenga'!D69+'Avg Week Karenga-Kotido'!D69</f>
        <v>0</v>
      </c>
      <c r="E69" s="49">
        <f>'Avg Week Kotido-Karenga'!E69+'Avg Week Karenga-Kotido'!E69</f>
        <v>0</v>
      </c>
      <c r="F69" s="49">
        <f>'Avg Week Kotido-Karenga'!F69+'Avg Week Karenga-Kotido'!F69</f>
        <v>0</v>
      </c>
      <c r="G69" s="49">
        <f>'Avg Week Kotido-Karenga'!G69+'Avg Week Karenga-Kotido'!G69</f>
        <v>0</v>
      </c>
      <c r="H69" s="49">
        <f>'Avg Week Kotido-Karenga'!H69+'Avg Week Karenga-Kotido'!H69</f>
        <v>0</v>
      </c>
      <c r="I69" s="49">
        <f>'Avg Week Kotido-Karenga'!I69+'Avg Week Karenga-Kotido'!I69</f>
        <v>0</v>
      </c>
      <c r="J69" s="49">
        <f>'Avg Week Kotido-Karenga'!J69+'Avg Week Karenga-Kotido'!J69</f>
        <v>0</v>
      </c>
      <c r="K69" s="49">
        <f>'Avg Week Kotido-Karenga'!K69+'Avg Week Karenga-Kotido'!K69</f>
        <v>0</v>
      </c>
      <c r="L69" s="49">
        <f>'Avg Week Kotido-Karenga'!L69+'Avg Week Karenga-Kotido'!L69</f>
        <v>0</v>
      </c>
      <c r="M69" s="49">
        <f>'Avg Week Kotido-Karenga'!M69+'Avg Week Karenga-Kotido'!M69</f>
        <v>1</v>
      </c>
      <c r="N69" s="49">
        <f>'Avg Week Kotido-Karenga'!N69+'Avg Week Karenga-Kotido'!N69</f>
        <v>0</v>
      </c>
      <c r="O69" s="15">
        <f t="shared" si="0"/>
        <v>0</v>
      </c>
      <c r="P69" s="15">
        <f t="shared" si="1"/>
        <v>1</v>
      </c>
      <c r="R69" s="8"/>
      <c r="T69"/>
    </row>
    <row r="70" spans="2:20" ht="23.1" customHeight="1" x14ac:dyDescent="0.25">
      <c r="B70" s="23" t="s">
        <v>110</v>
      </c>
      <c r="C70" s="49">
        <f>'Avg Week Kotido-Karenga'!C70+'Avg Week Karenga-Kotido'!C70</f>
        <v>0.5</v>
      </c>
      <c r="D70" s="49">
        <f>'Avg Week Kotido-Karenga'!D70+'Avg Week Karenga-Kotido'!D70</f>
        <v>0</v>
      </c>
      <c r="E70" s="49">
        <f>'Avg Week Kotido-Karenga'!E70+'Avg Week Karenga-Kotido'!E70</f>
        <v>0</v>
      </c>
      <c r="F70" s="49">
        <f>'Avg Week Kotido-Karenga'!F70+'Avg Week Karenga-Kotido'!F70</f>
        <v>0</v>
      </c>
      <c r="G70" s="49">
        <f>'Avg Week Kotido-Karenga'!G70+'Avg Week Karenga-Kotido'!G70</f>
        <v>0</v>
      </c>
      <c r="H70" s="49">
        <f>'Avg Week Kotido-Karenga'!H70+'Avg Week Karenga-Kotido'!H70</f>
        <v>0</v>
      </c>
      <c r="I70" s="49">
        <f>'Avg Week Kotido-Karenga'!I70+'Avg Week Karenga-Kotido'!I70</f>
        <v>0</v>
      </c>
      <c r="J70" s="49">
        <f>'Avg Week Kotido-Karenga'!J70+'Avg Week Karenga-Kotido'!J70</f>
        <v>0</v>
      </c>
      <c r="K70" s="49">
        <f>'Avg Week Kotido-Karenga'!K70+'Avg Week Karenga-Kotido'!K70</f>
        <v>0</v>
      </c>
      <c r="L70" s="49">
        <f>'Avg Week Kotido-Karenga'!L70+'Avg Week Karenga-Kotido'!L70</f>
        <v>0</v>
      </c>
      <c r="M70" s="49">
        <f>'Avg Week Kotido-Karenga'!M70+'Avg Week Karenga-Kotido'!M70</f>
        <v>1.5</v>
      </c>
      <c r="N70" s="49">
        <f>'Avg Week Kotido-Karenga'!N70+'Avg Week Karenga-Kotido'!N70</f>
        <v>0</v>
      </c>
      <c r="O70" s="15">
        <f t="shared" si="0"/>
        <v>0.5</v>
      </c>
      <c r="P70" s="15">
        <f t="shared" si="1"/>
        <v>2</v>
      </c>
      <c r="R70" s="8"/>
      <c r="T70"/>
    </row>
    <row r="71" spans="2:20" ht="23.1" customHeight="1" x14ac:dyDescent="0.25">
      <c r="B71" s="23" t="s">
        <v>111</v>
      </c>
      <c r="C71" s="49">
        <f>'Avg Week Kotido-Karenga'!C71+'Avg Week Karenga-Kotido'!C71</f>
        <v>0</v>
      </c>
      <c r="D71" s="49">
        <f>'Avg Week Kotido-Karenga'!D71+'Avg Week Karenga-Kotido'!D71</f>
        <v>0</v>
      </c>
      <c r="E71" s="49">
        <f>'Avg Week Kotido-Karenga'!E71+'Avg Week Karenga-Kotido'!E71</f>
        <v>0</v>
      </c>
      <c r="F71" s="49">
        <f>'Avg Week Kotido-Karenga'!F71+'Avg Week Karenga-Kotido'!F71</f>
        <v>0</v>
      </c>
      <c r="G71" s="49">
        <f>'Avg Week Kotido-Karenga'!G71+'Avg Week Karenga-Kotido'!G71</f>
        <v>0</v>
      </c>
      <c r="H71" s="49">
        <f>'Avg Week Kotido-Karenga'!H71+'Avg Week Karenga-Kotido'!H71</f>
        <v>0</v>
      </c>
      <c r="I71" s="49">
        <f>'Avg Week Kotido-Karenga'!I71+'Avg Week Karenga-Kotido'!I71</f>
        <v>0</v>
      </c>
      <c r="J71" s="49">
        <f>'Avg Week Kotido-Karenga'!J71+'Avg Week Karenga-Kotido'!J71</f>
        <v>0</v>
      </c>
      <c r="K71" s="49">
        <f>'Avg Week Kotido-Karenga'!K71+'Avg Week Karenga-Kotido'!K71</f>
        <v>0</v>
      </c>
      <c r="L71" s="49">
        <f>'Avg Week Kotido-Karenga'!L71+'Avg Week Karenga-Kotido'!L71</f>
        <v>0</v>
      </c>
      <c r="M71" s="49">
        <f>'Avg Week Kotido-Karenga'!M71+'Avg Week Karenga-Kotido'!M71</f>
        <v>0</v>
      </c>
      <c r="N71" s="49">
        <f>'Avg Week Kotido-Karenga'!N71+'Avg Week Karenga-Kotido'!N71</f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23" t="s">
        <v>112</v>
      </c>
      <c r="C72" s="49">
        <f>'Avg Week Kotido-Karenga'!C72+'Avg Week Karenga-Kotido'!C72</f>
        <v>0</v>
      </c>
      <c r="D72" s="49">
        <f>'Avg Week Kotido-Karenga'!D72+'Avg Week Karenga-Kotido'!D72</f>
        <v>0</v>
      </c>
      <c r="E72" s="49">
        <f>'Avg Week Kotido-Karenga'!E72+'Avg Week Karenga-Kotido'!E72</f>
        <v>0</v>
      </c>
      <c r="F72" s="49">
        <f>'Avg Week Kotido-Karenga'!F72+'Avg Week Karenga-Kotido'!F72</f>
        <v>0</v>
      </c>
      <c r="G72" s="49">
        <f>'Avg Week Kotido-Karenga'!G72+'Avg Week Karenga-Kotido'!G72</f>
        <v>0</v>
      </c>
      <c r="H72" s="49">
        <f>'Avg Week Kotido-Karenga'!H72+'Avg Week Karenga-Kotido'!H72</f>
        <v>0</v>
      </c>
      <c r="I72" s="49">
        <f>'Avg Week Kotido-Karenga'!I72+'Avg Week Karenga-Kotido'!I72</f>
        <v>0</v>
      </c>
      <c r="J72" s="49">
        <f>'Avg Week Kotido-Karenga'!J72+'Avg Week Karenga-Kotido'!J72</f>
        <v>0</v>
      </c>
      <c r="K72" s="49">
        <f>'Avg Week Kotido-Karenga'!K72+'Avg Week Karenga-Kotido'!K72</f>
        <v>0</v>
      </c>
      <c r="L72" s="49">
        <f>'Avg Week Kotido-Karenga'!L72+'Avg Week Karenga-Kotido'!L72</f>
        <v>0</v>
      </c>
      <c r="M72" s="49">
        <f>'Avg Week Kotido-Karenga'!M72+'Avg Week Karenga-Kotido'!M72</f>
        <v>1</v>
      </c>
      <c r="N72" s="49">
        <f>'Avg Week Kotido-Karenga'!N72+'Avg Week Karenga-Kotido'!N72</f>
        <v>0</v>
      </c>
      <c r="O72" s="15">
        <f t="shared" si="0"/>
        <v>0</v>
      </c>
      <c r="P72" s="15">
        <f t="shared" si="1"/>
        <v>1</v>
      </c>
      <c r="R72" s="8"/>
      <c r="T72"/>
    </row>
    <row r="73" spans="2:20" ht="23.1" customHeight="1" x14ac:dyDescent="0.25">
      <c r="B73" s="23" t="s">
        <v>113</v>
      </c>
      <c r="C73" s="49">
        <f>'Avg Week Kotido-Karenga'!C73+'Avg Week Karenga-Kotido'!C73</f>
        <v>0.5</v>
      </c>
      <c r="D73" s="49">
        <f>'Avg Week Kotido-Karenga'!D73+'Avg Week Karenga-Kotido'!D73</f>
        <v>0</v>
      </c>
      <c r="E73" s="49">
        <f>'Avg Week Kotido-Karenga'!E73+'Avg Week Karenga-Kotido'!E73</f>
        <v>0</v>
      </c>
      <c r="F73" s="49">
        <f>'Avg Week Kotido-Karenga'!F73+'Avg Week Karenga-Kotido'!F73</f>
        <v>0</v>
      </c>
      <c r="G73" s="49">
        <f>'Avg Week Kotido-Karenga'!G73+'Avg Week Karenga-Kotido'!G73</f>
        <v>0</v>
      </c>
      <c r="H73" s="49">
        <f>'Avg Week Kotido-Karenga'!H73+'Avg Week Karenga-Kotido'!H73</f>
        <v>0</v>
      </c>
      <c r="I73" s="49">
        <f>'Avg Week Kotido-Karenga'!I73+'Avg Week Karenga-Kotido'!I73</f>
        <v>0</v>
      </c>
      <c r="J73" s="49">
        <f>'Avg Week Kotido-Karenga'!J73+'Avg Week Karenga-Kotido'!J73</f>
        <v>0</v>
      </c>
      <c r="K73" s="49">
        <f>'Avg Week Kotido-Karenga'!K73+'Avg Week Karenga-Kotido'!K73</f>
        <v>0</v>
      </c>
      <c r="L73" s="49">
        <f>'Avg Week Kotido-Karenga'!L73+'Avg Week Karenga-Kotido'!L73</f>
        <v>0</v>
      </c>
      <c r="M73" s="49">
        <f>'Avg Week Kotido-Karenga'!M73+'Avg Week Karenga-Kotido'!M73</f>
        <v>1</v>
      </c>
      <c r="N73" s="49">
        <f>'Avg Week Kotido-Karenga'!N73+'Avg Week Karenga-Kotido'!N73</f>
        <v>0</v>
      </c>
      <c r="O73" s="15">
        <f t="shared" si="0"/>
        <v>0.5</v>
      </c>
      <c r="P73" s="15">
        <f t="shared" si="1"/>
        <v>1.5</v>
      </c>
      <c r="R73" s="8"/>
      <c r="T73"/>
    </row>
    <row r="74" spans="2:20" ht="23.1" customHeight="1" x14ac:dyDescent="0.25">
      <c r="B74" s="23" t="s">
        <v>114</v>
      </c>
      <c r="C74" s="49">
        <f>'Avg Week Kotido-Karenga'!C74+'Avg Week Karenga-Kotido'!C74</f>
        <v>0</v>
      </c>
      <c r="D74" s="49">
        <f>'Avg Week Kotido-Karenga'!D74+'Avg Week Karenga-Kotido'!D74</f>
        <v>0</v>
      </c>
      <c r="E74" s="49">
        <f>'Avg Week Kotido-Karenga'!E74+'Avg Week Karenga-Kotido'!E74</f>
        <v>0</v>
      </c>
      <c r="F74" s="49">
        <f>'Avg Week Kotido-Karenga'!F74+'Avg Week Karenga-Kotido'!F74</f>
        <v>0</v>
      </c>
      <c r="G74" s="49">
        <f>'Avg Week Kotido-Karenga'!G74+'Avg Week Karenga-Kotido'!G74</f>
        <v>0</v>
      </c>
      <c r="H74" s="49">
        <f>'Avg Week Kotido-Karenga'!H74+'Avg Week Karenga-Kotido'!H74</f>
        <v>0</v>
      </c>
      <c r="I74" s="49">
        <f>'Avg Week Kotido-Karenga'!I74+'Avg Week Karenga-Kotido'!I74</f>
        <v>0</v>
      </c>
      <c r="J74" s="49">
        <f>'Avg Week Kotido-Karenga'!J74+'Avg Week Karenga-Kotido'!J74</f>
        <v>0</v>
      </c>
      <c r="K74" s="49">
        <f>'Avg Week Kotido-Karenga'!K74+'Avg Week Karenga-Kotido'!K74</f>
        <v>0</v>
      </c>
      <c r="L74" s="49">
        <f>'Avg Week Kotido-Karenga'!L74+'Avg Week Karenga-Kotido'!L74</f>
        <v>0</v>
      </c>
      <c r="M74" s="49">
        <f>'Avg Week Kotido-Karenga'!M74+'Avg Week Karenga-Kotido'!M74</f>
        <v>1</v>
      </c>
      <c r="N74" s="49">
        <f>'Avg Week Kotido-Karenga'!N74+'Avg Week Karenga-Kotido'!N74</f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23" t="s">
        <v>115</v>
      </c>
      <c r="C75" s="49">
        <f>'Avg Week Kotido-Karenga'!C75+'Avg Week Karenga-Kotido'!C75</f>
        <v>0</v>
      </c>
      <c r="D75" s="49">
        <f>'Avg Week Kotido-Karenga'!D75+'Avg Week Karenga-Kotido'!D75</f>
        <v>0</v>
      </c>
      <c r="E75" s="49">
        <f>'Avg Week Kotido-Karenga'!E75+'Avg Week Karenga-Kotido'!E75</f>
        <v>0</v>
      </c>
      <c r="F75" s="49">
        <f>'Avg Week Kotido-Karenga'!F75+'Avg Week Karenga-Kotido'!F75</f>
        <v>0</v>
      </c>
      <c r="G75" s="49">
        <f>'Avg Week Kotido-Karenga'!G75+'Avg Week Karenga-Kotido'!G75</f>
        <v>0</v>
      </c>
      <c r="H75" s="49">
        <f>'Avg Week Kotido-Karenga'!H75+'Avg Week Karenga-Kotido'!H75</f>
        <v>0</v>
      </c>
      <c r="I75" s="49">
        <f>'Avg Week Kotido-Karenga'!I75+'Avg Week Karenga-Kotido'!I75</f>
        <v>0</v>
      </c>
      <c r="J75" s="49">
        <f>'Avg Week Kotido-Karenga'!J75+'Avg Week Karenga-Kotido'!J75</f>
        <v>0</v>
      </c>
      <c r="K75" s="49">
        <f>'Avg Week Kotido-Karenga'!K75+'Avg Week Karenga-Kotido'!K75</f>
        <v>0</v>
      </c>
      <c r="L75" s="49">
        <f>'Avg Week Kotido-Karenga'!L75+'Avg Week Karenga-Kotido'!L75</f>
        <v>0</v>
      </c>
      <c r="M75" s="49">
        <f>'Avg Week Kotido-Karenga'!M75+'Avg Week Karenga-Kotido'!M75</f>
        <v>1</v>
      </c>
      <c r="N75" s="49">
        <f>'Avg Week Kotido-Karenga'!N75+'Avg Week Karenga-Kotido'!N75</f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23" t="s">
        <v>116</v>
      </c>
      <c r="C76" s="49">
        <f>'Avg Week Kotido-Karenga'!C76+'Avg Week Karenga-Kotido'!C76</f>
        <v>0</v>
      </c>
      <c r="D76" s="49">
        <f>'Avg Week Kotido-Karenga'!D76+'Avg Week Karenga-Kotido'!D76</f>
        <v>0</v>
      </c>
      <c r="E76" s="49">
        <f>'Avg Week Kotido-Karenga'!E76+'Avg Week Karenga-Kotido'!E76</f>
        <v>0</v>
      </c>
      <c r="F76" s="49">
        <f>'Avg Week Kotido-Karenga'!F76+'Avg Week Karenga-Kotido'!F76</f>
        <v>0</v>
      </c>
      <c r="G76" s="49">
        <f>'Avg Week Kotido-Karenga'!G76+'Avg Week Karenga-Kotido'!G76</f>
        <v>0</v>
      </c>
      <c r="H76" s="49">
        <f>'Avg Week Kotido-Karenga'!H76+'Avg Week Karenga-Kotido'!H76</f>
        <v>0</v>
      </c>
      <c r="I76" s="49">
        <f>'Avg Week Kotido-Karenga'!I76+'Avg Week Karenga-Kotido'!I76</f>
        <v>0</v>
      </c>
      <c r="J76" s="49">
        <f>'Avg Week Kotido-Karenga'!J76+'Avg Week Karenga-Kotido'!J76</f>
        <v>0</v>
      </c>
      <c r="K76" s="49">
        <f>'Avg Week Kotido-Karenga'!K76+'Avg Week Karenga-Kotido'!K76</f>
        <v>0</v>
      </c>
      <c r="L76" s="49">
        <f>'Avg Week Kotido-Karenga'!L76+'Avg Week Karenga-Kotido'!L76</f>
        <v>0</v>
      </c>
      <c r="M76" s="49">
        <f>'Avg Week Kotido-Karenga'!M76+'Avg Week Karenga-Kotido'!M76</f>
        <v>0</v>
      </c>
      <c r="N76" s="49">
        <f>'Avg Week Kotido-Karenga'!N76+'Avg Week Karenga-Kotido'!N76</f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23" t="s">
        <v>117</v>
      </c>
      <c r="C77" s="49">
        <f>'Avg Week Kotido-Karenga'!C77+'Avg Week Karenga-Kotido'!C77</f>
        <v>0</v>
      </c>
      <c r="D77" s="49">
        <f>'Avg Week Kotido-Karenga'!D77+'Avg Week Karenga-Kotido'!D77</f>
        <v>0.5</v>
      </c>
      <c r="E77" s="49">
        <f>'Avg Week Kotido-Karenga'!E77+'Avg Week Karenga-Kotido'!E77</f>
        <v>0</v>
      </c>
      <c r="F77" s="49">
        <f>'Avg Week Kotido-Karenga'!F77+'Avg Week Karenga-Kotido'!F77</f>
        <v>0</v>
      </c>
      <c r="G77" s="49">
        <f>'Avg Week Kotido-Karenga'!G77+'Avg Week Karenga-Kotido'!G77</f>
        <v>0</v>
      </c>
      <c r="H77" s="49">
        <f>'Avg Week Kotido-Karenga'!H77+'Avg Week Karenga-Kotido'!H77</f>
        <v>0</v>
      </c>
      <c r="I77" s="49">
        <f>'Avg Week Kotido-Karenga'!I77+'Avg Week Karenga-Kotido'!I77</f>
        <v>0</v>
      </c>
      <c r="J77" s="49">
        <f>'Avg Week Kotido-Karenga'!J77+'Avg Week Karenga-Kotido'!J77</f>
        <v>0</v>
      </c>
      <c r="K77" s="49">
        <f>'Avg Week Kotido-Karenga'!K77+'Avg Week Karenga-Kotido'!K77</f>
        <v>0</v>
      </c>
      <c r="L77" s="49">
        <f>'Avg Week Kotido-Karenga'!L77+'Avg Week Karenga-Kotido'!L77</f>
        <v>0</v>
      </c>
      <c r="M77" s="49">
        <f>'Avg Week Kotido-Karenga'!M77+'Avg Week Karenga-Kotido'!M77</f>
        <v>0</v>
      </c>
      <c r="N77" s="49">
        <f>'Avg Week Kotido-Karenga'!N77+'Avg Week Karenga-Kotido'!N77</f>
        <v>0</v>
      </c>
      <c r="O77" s="15">
        <f t="shared" si="35"/>
        <v>0.5</v>
      </c>
      <c r="P77" s="15">
        <f t="shared" si="36"/>
        <v>0.5</v>
      </c>
      <c r="R77" s="8"/>
      <c r="T77"/>
    </row>
    <row r="78" spans="2:20" ht="23.1" customHeight="1" x14ac:dyDescent="0.25">
      <c r="B78" s="24" t="s">
        <v>118</v>
      </c>
      <c r="C78" s="49">
        <f>'Avg Week Kotido-Karenga'!C78+'Avg Week Karenga-Kotido'!C78</f>
        <v>0</v>
      </c>
      <c r="D78" s="49">
        <f>'Avg Week Kotido-Karenga'!D78+'Avg Week Karenga-Kotido'!D78</f>
        <v>0</v>
      </c>
      <c r="E78" s="49">
        <f>'Avg Week Kotido-Karenga'!E78+'Avg Week Karenga-Kotido'!E78</f>
        <v>0</v>
      </c>
      <c r="F78" s="49">
        <f>'Avg Week Kotido-Karenga'!F78+'Avg Week Karenga-Kotido'!F78</f>
        <v>0</v>
      </c>
      <c r="G78" s="49">
        <f>'Avg Week Kotido-Karenga'!G78+'Avg Week Karenga-Kotido'!G78</f>
        <v>0</v>
      </c>
      <c r="H78" s="49">
        <f>'Avg Week Kotido-Karenga'!H78+'Avg Week Karenga-Kotido'!H78</f>
        <v>0</v>
      </c>
      <c r="I78" s="49">
        <f>'Avg Week Kotido-Karenga'!I78+'Avg Week Karenga-Kotido'!I78</f>
        <v>0</v>
      </c>
      <c r="J78" s="49">
        <f>'Avg Week Kotido-Karenga'!J78+'Avg Week Karenga-Kotido'!J78</f>
        <v>0</v>
      </c>
      <c r="K78" s="49">
        <f>'Avg Week Kotido-Karenga'!K78+'Avg Week Karenga-Kotido'!K78</f>
        <v>0</v>
      </c>
      <c r="L78" s="49">
        <f>'Avg Week Kotido-Karenga'!L78+'Avg Week Karenga-Kotido'!L78</f>
        <v>0</v>
      </c>
      <c r="M78" s="49">
        <f>'Avg Week Kotido-Karenga'!M78+'Avg Week Karenga-Kotido'!M78</f>
        <v>0</v>
      </c>
      <c r="N78" s="49">
        <f>'Avg Week Kotido-Karenga'!N78+'Avg Week Karenga-Kotido'!N78</f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23" t="s">
        <v>119</v>
      </c>
      <c r="C79" s="49">
        <f>'Avg Week Kotido-Karenga'!C79+'Avg Week Karenga-Kotido'!C79</f>
        <v>0</v>
      </c>
      <c r="D79" s="49">
        <f>'Avg Week Kotido-Karenga'!D79+'Avg Week Karenga-Kotido'!D79</f>
        <v>0</v>
      </c>
      <c r="E79" s="49">
        <f>'Avg Week Kotido-Karenga'!E79+'Avg Week Karenga-Kotido'!E79</f>
        <v>0</v>
      </c>
      <c r="F79" s="49">
        <f>'Avg Week Kotido-Karenga'!F79+'Avg Week Karenga-Kotido'!F79</f>
        <v>0</v>
      </c>
      <c r="G79" s="49">
        <f>'Avg Week Kotido-Karenga'!G79+'Avg Week Karenga-Kotido'!G79</f>
        <v>0</v>
      </c>
      <c r="H79" s="49">
        <f>'Avg Week Kotido-Karenga'!H79+'Avg Week Karenga-Kotido'!H79</f>
        <v>0</v>
      </c>
      <c r="I79" s="49">
        <f>'Avg Week Kotido-Karenga'!I79+'Avg Week Karenga-Kotido'!I79</f>
        <v>0</v>
      </c>
      <c r="J79" s="49">
        <f>'Avg Week Kotido-Karenga'!J79+'Avg Week Karenga-Kotido'!J79</f>
        <v>0</v>
      </c>
      <c r="K79" s="49">
        <f>'Avg Week Kotido-Karenga'!K79+'Avg Week Karenga-Kotido'!K79</f>
        <v>0</v>
      </c>
      <c r="L79" s="49">
        <f>'Avg Week Kotido-Karenga'!L79+'Avg Week Karenga-Kotido'!L79</f>
        <v>0</v>
      </c>
      <c r="M79" s="49">
        <f>'Avg Week Kotido-Karenga'!M79+'Avg Week Karenga-Kotido'!M79</f>
        <v>0</v>
      </c>
      <c r="N79" s="49">
        <f>'Avg Week Kotido-Karenga'!N79+'Avg Week Karenga-Kotido'!N79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'Avg Week Kotido-Karenga'!C80+'Avg Week Karenga-Kotido'!C80</f>
        <v>0</v>
      </c>
      <c r="D80" s="49">
        <f>'Avg Week Kotido-Karenga'!D80+'Avg Week Karenga-Kotido'!D80</f>
        <v>0</v>
      </c>
      <c r="E80" s="49">
        <f>'Avg Week Kotido-Karenga'!E80+'Avg Week Karenga-Kotido'!E80</f>
        <v>0</v>
      </c>
      <c r="F80" s="49">
        <f>'Avg Week Kotido-Karenga'!F80+'Avg Week Karenga-Kotido'!F80</f>
        <v>0</v>
      </c>
      <c r="G80" s="49">
        <f>'Avg Week Kotido-Karenga'!G80+'Avg Week Karenga-Kotido'!G80</f>
        <v>0</v>
      </c>
      <c r="H80" s="49">
        <f>'Avg Week Kotido-Karenga'!H80+'Avg Week Karenga-Kotido'!H80</f>
        <v>0</v>
      </c>
      <c r="I80" s="49">
        <f>'Avg Week Kotido-Karenga'!I80+'Avg Week Karenga-Kotido'!I80</f>
        <v>0</v>
      </c>
      <c r="J80" s="49">
        <f>'Avg Week Kotido-Karenga'!J80+'Avg Week Karenga-Kotido'!J80</f>
        <v>0</v>
      </c>
      <c r="K80" s="49">
        <f>'Avg Week Kotido-Karenga'!K80+'Avg Week Karenga-Kotido'!K80</f>
        <v>0</v>
      </c>
      <c r="L80" s="49">
        <f>'Avg Week Kotido-Karenga'!L80+'Avg Week Karenga-Kotido'!L80</f>
        <v>0</v>
      </c>
      <c r="M80" s="49">
        <f>'Avg Week Kotido-Karenga'!M80+'Avg Week Karenga-Kotido'!M80</f>
        <v>0</v>
      </c>
      <c r="N80" s="49">
        <f>'Avg Week Kotido-Karenga'!N80+'Avg Week Karenga-Kotido'!N80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'Avg Week Kotido-Karenga'!C81+'Avg Week Karenga-Kotido'!C81</f>
        <v>0</v>
      </c>
      <c r="D81" s="49">
        <f>'Avg Week Kotido-Karenga'!D81+'Avg Week Karenga-Kotido'!D81</f>
        <v>0</v>
      </c>
      <c r="E81" s="49">
        <f>'Avg Week Kotido-Karenga'!E81+'Avg Week Karenga-Kotido'!E81</f>
        <v>0</v>
      </c>
      <c r="F81" s="49">
        <f>'Avg Week Kotido-Karenga'!F81+'Avg Week Karenga-Kotido'!F81</f>
        <v>0</v>
      </c>
      <c r="G81" s="49">
        <f>'Avg Week Kotido-Karenga'!G81+'Avg Week Karenga-Kotido'!G81</f>
        <v>0</v>
      </c>
      <c r="H81" s="49">
        <f>'Avg Week Kotido-Karenga'!H81+'Avg Week Karenga-Kotido'!H81</f>
        <v>0</v>
      </c>
      <c r="I81" s="49">
        <f>'Avg Week Kotido-Karenga'!I81+'Avg Week Karenga-Kotido'!I81</f>
        <v>0</v>
      </c>
      <c r="J81" s="49">
        <f>'Avg Week Kotido-Karenga'!J81+'Avg Week Karenga-Kotido'!J81</f>
        <v>0</v>
      </c>
      <c r="K81" s="49">
        <f>'Avg Week Kotido-Karenga'!K81+'Avg Week Karenga-Kotido'!K81</f>
        <v>0</v>
      </c>
      <c r="L81" s="49">
        <f>'Avg Week Kotido-Karenga'!L81+'Avg Week Karenga-Kotido'!L81</f>
        <v>0</v>
      </c>
      <c r="M81" s="49">
        <f>'Avg Week Kotido-Karenga'!M81+'Avg Week Karenga-Kotido'!M81</f>
        <v>0</v>
      </c>
      <c r="N81" s="49">
        <f>'Avg Week Kotido-Karenga'!N81+'Avg Week Karenga-Kotido'!N81</f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24" t="s">
        <v>122</v>
      </c>
      <c r="C82" s="49">
        <f>'Avg Week Kotido-Karenga'!C82+'Avg Week Karenga-Kotido'!C82</f>
        <v>0</v>
      </c>
      <c r="D82" s="49">
        <f>'Avg Week Kotido-Karenga'!D82+'Avg Week Karenga-Kotido'!D82</f>
        <v>0</v>
      </c>
      <c r="E82" s="49">
        <f>'Avg Week Kotido-Karenga'!E82+'Avg Week Karenga-Kotido'!E82</f>
        <v>0</v>
      </c>
      <c r="F82" s="49">
        <f>'Avg Week Kotido-Karenga'!F82+'Avg Week Karenga-Kotido'!F82</f>
        <v>0</v>
      </c>
      <c r="G82" s="49">
        <f>'Avg Week Kotido-Karenga'!G82+'Avg Week Karenga-Kotido'!G82</f>
        <v>0</v>
      </c>
      <c r="H82" s="49">
        <f>'Avg Week Kotido-Karenga'!H82+'Avg Week Karenga-Kotido'!H82</f>
        <v>0</v>
      </c>
      <c r="I82" s="49">
        <f>'Avg Week Kotido-Karenga'!I82+'Avg Week Karenga-Kotido'!I82</f>
        <v>0</v>
      </c>
      <c r="J82" s="49">
        <f>'Avg Week Kotido-Karenga'!J82+'Avg Week Karenga-Kotido'!J82</f>
        <v>0</v>
      </c>
      <c r="K82" s="49">
        <f>'Avg Week Kotido-Karenga'!K82+'Avg Week Karenga-Kotido'!K82</f>
        <v>0</v>
      </c>
      <c r="L82" s="49">
        <f>'Avg Week Kotido-Karenga'!L82+'Avg Week Karenga-Kotido'!L82</f>
        <v>0</v>
      </c>
      <c r="M82" s="49">
        <f>'Avg Week Kotido-Karenga'!M82+'Avg Week Karenga-Kotido'!M82</f>
        <v>0</v>
      </c>
      <c r="N82" s="49">
        <f>'Avg Week Kotido-Karenga'!N82+'Avg Week Karenga-Kotido'!N82</f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23" t="s">
        <v>123</v>
      </c>
      <c r="C83" s="49">
        <f>'Avg Week Kotido-Karenga'!C83+'Avg Week Karenga-Kotido'!C83</f>
        <v>0</v>
      </c>
      <c r="D83" s="49">
        <f>'Avg Week Kotido-Karenga'!D83+'Avg Week Karenga-Kotido'!D83</f>
        <v>0</v>
      </c>
      <c r="E83" s="49">
        <f>'Avg Week Kotido-Karenga'!E83+'Avg Week Karenga-Kotido'!E83</f>
        <v>0</v>
      </c>
      <c r="F83" s="49">
        <f>'Avg Week Kotido-Karenga'!F83+'Avg Week Karenga-Kotido'!F83</f>
        <v>0</v>
      </c>
      <c r="G83" s="49">
        <f>'Avg Week Kotido-Karenga'!G83+'Avg Week Karenga-Kotido'!G83</f>
        <v>0</v>
      </c>
      <c r="H83" s="49">
        <f>'Avg Week Kotido-Karenga'!H83+'Avg Week Karenga-Kotido'!H83</f>
        <v>0</v>
      </c>
      <c r="I83" s="49">
        <f>'Avg Week Kotido-Karenga'!I83+'Avg Week Karenga-Kotido'!I83</f>
        <v>0</v>
      </c>
      <c r="J83" s="49">
        <f>'Avg Week Kotido-Karenga'!J83+'Avg Week Karenga-Kotido'!J83</f>
        <v>0</v>
      </c>
      <c r="K83" s="49">
        <f>'Avg Week Kotido-Karenga'!K83+'Avg Week Karenga-Kotido'!K83</f>
        <v>0</v>
      </c>
      <c r="L83" s="49">
        <f>'Avg Week Kotido-Karenga'!L83+'Avg Week Karenga-Kotido'!L83</f>
        <v>0</v>
      </c>
      <c r="M83" s="49">
        <f>'Avg Week Kotido-Karenga'!M83+'Avg Week Karenga-Kotido'!M83</f>
        <v>0</v>
      </c>
      <c r="N83" s="49">
        <f>'Avg Week Kotido-Karenga'!N83+'Avg Week Karenga-Kotido'!N83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'Avg Week Kotido-Karenga'!C84+'Avg Week Karenga-Kotido'!C84</f>
        <v>0</v>
      </c>
      <c r="D84" s="49">
        <f>'Avg Week Kotido-Karenga'!D84+'Avg Week Karenga-Kotido'!D84</f>
        <v>0</v>
      </c>
      <c r="E84" s="49">
        <f>'Avg Week Kotido-Karenga'!E84+'Avg Week Karenga-Kotido'!E84</f>
        <v>0</v>
      </c>
      <c r="F84" s="49">
        <f>'Avg Week Kotido-Karenga'!F84+'Avg Week Karenga-Kotido'!F84</f>
        <v>0</v>
      </c>
      <c r="G84" s="49">
        <f>'Avg Week Kotido-Karenga'!G84+'Avg Week Karenga-Kotido'!G84</f>
        <v>0</v>
      </c>
      <c r="H84" s="49">
        <f>'Avg Week Kotido-Karenga'!H84+'Avg Week Karenga-Kotido'!H84</f>
        <v>0</v>
      </c>
      <c r="I84" s="49">
        <f>'Avg Week Kotido-Karenga'!I84+'Avg Week Karenga-Kotido'!I84</f>
        <v>0</v>
      </c>
      <c r="J84" s="49">
        <f>'Avg Week Kotido-Karenga'!J84+'Avg Week Karenga-Kotido'!J84</f>
        <v>0</v>
      </c>
      <c r="K84" s="49">
        <f>'Avg Week Kotido-Karenga'!K84+'Avg Week Karenga-Kotido'!K84</f>
        <v>0</v>
      </c>
      <c r="L84" s="49">
        <f>'Avg Week Kotido-Karenga'!L84+'Avg Week Karenga-Kotido'!L84</f>
        <v>0</v>
      </c>
      <c r="M84" s="49">
        <f>'Avg Week Kotido-Karenga'!M84+'Avg Week Karenga-Kotido'!M84</f>
        <v>0</v>
      </c>
      <c r="N84" s="49">
        <f>'Avg Week Kotido-Karenga'!N84+'Avg Week Karenga-Kotido'!N84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'Avg Week Kotido-Karenga'!C85+'Avg Week Karenga-Kotido'!C85</f>
        <v>0</v>
      </c>
      <c r="D85" s="49">
        <f>'Avg Week Kotido-Karenga'!D85+'Avg Week Karenga-Kotido'!D85</f>
        <v>0</v>
      </c>
      <c r="E85" s="49">
        <f>'Avg Week Kotido-Karenga'!E85+'Avg Week Karenga-Kotido'!E85</f>
        <v>0</v>
      </c>
      <c r="F85" s="49">
        <f>'Avg Week Kotido-Karenga'!F85+'Avg Week Karenga-Kotido'!F85</f>
        <v>0</v>
      </c>
      <c r="G85" s="49">
        <f>'Avg Week Kotido-Karenga'!G85+'Avg Week Karenga-Kotido'!G85</f>
        <v>0</v>
      </c>
      <c r="H85" s="49">
        <f>'Avg Week Kotido-Karenga'!H85+'Avg Week Karenga-Kotido'!H85</f>
        <v>0</v>
      </c>
      <c r="I85" s="49">
        <f>'Avg Week Kotido-Karenga'!I85+'Avg Week Karenga-Kotido'!I85</f>
        <v>0</v>
      </c>
      <c r="J85" s="49">
        <f>'Avg Week Kotido-Karenga'!J85+'Avg Week Karenga-Kotido'!J85</f>
        <v>0</v>
      </c>
      <c r="K85" s="49">
        <f>'Avg Week Kotido-Karenga'!K85+'Avg Week Karenga-Kotido'!K85</f>
        <v>0</v>
      </c>
      <c r="L85" s="49">
        <f>'Avg Week Kotido-Karenga'!L85+'Avg Week Karenga-Kotido'!L85</f>
        <v>0</v>
      </c>
      <c r="M85" s="49">
        <f>'Avg Week Kotido-Karenga'!M85+'Avg Week Karenga-Kotido'!M85</f>
        <v>0</v>
      </c>
      <c r="N85" s="49">
        <f>'Avg Week Kotido-Karenga'!N85+'Avg Week Karenga-Kotido'!N85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'Avg Week Kotido-Karenga'!C86+'Avg Week Karenga-Kotido'!C86</f>
        <v>0</v>
      </c>
      <c r="D86" s="49">
        <f>'Avg Week Kotido-Karenga'!D86+'Avg Week Karenga-Kotido'!D86</f>
        <v>0</v>
      </c>
      <c r="E86" s="49">
        <f>'Avg Week Kotido-Karenga'!E86+'Avg Week Karenga-Kotido'!E86</f>
        <v>0</v>
      </c>
      <c r="F86" s="49">
        <f>'Avg Week Kotido-Karenga'!F86+'Avg Week Karenga-Kotido'!F86</f>
        <v>0</v>
      </c>
      <c r="G86" s="49">
        <f>'Avg Week Kotido-Karenga'!G86+'Avg Week Karenga-Kotido'!G86</f>
        <v>0</v>
      </c>
      <c r="H86" s="49">
        <f>'Avg Week Kotido-Karenga'!H86+'Avg Week Karenga-Kotido'!H86</f>
        <v>0</v>
      </c>
      <c r="I86" s="49">
        <f>'Avg Week Kotido-Karenga'!I86+'Avg Week Karenga-Kotido'!I86</f>
        <v>0</v>
      </c>
      <c r="J86" s="49">
        <f>'Avg Week Kotido-Karenga'!J86+'Avg Week Karenga-Kotido'!J86</f>
        <v>0</v>
      </c>
      <c r="K86" s="49">
        <f>'Avg Week Kotido-Karenga'!K86+'Avg Week Karenga-Kotido'!K86</f>
        <v>0</v>
      </c>
      <c r="L86" s="49">
        <f>'Avg Week Kotido-Karenga'!L86+'Avg Week Karenga-Kotido'!L86</f>
        <v>0</v>
      </c>
      <c r="M86" s="49">
        <f>'Avg Week Kotido-Karenga'!M86+'Avg Week Karenga-Kotido'!M86</f>
        <v>0</v>
      </c>
      <c r="N86" s="49">
        <f>'Avg Week Kotido-Karenga'!N86+'Avg Week Karenga-Kotido'!N86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'Avg Week Kotido-Karenga'!C87+'Avg Week Karenga-Kotido'!C87</f>
        <v>0</v>
      </c>
      <c r="D87" s="49">
        <f>'Avg Week Kotido-Karenga'!D87+'Avg Week Karenga-Kotido'!D87</f>
        <v>0</v>
      </c>
      <c r="E87" s="49">
        <f>'Avg Week Kotido-Karenga'!E87+'Avg Week Karenga-Kotido'!E87</f>
        <v>0</v>
      </c>
      <c r="F87" s="49">
        <f>'Avg Week Kotido-Karenga'!F87+'Avg Week Karenga-Kotido'!F87</f>
        <v>0</v>
      </c>
      <c r="G87" s="49">
        <f>'Avg Week Kotido-Karenga'!G87+'Avg Week Karenga-Kotido'!G87</f>
        <v>0</v>
      </c>
      <c r="H87" s="49">
        <f>'Avg Week Kotido-Karenga'!H87+'Avg Week Karenga-Kotido'!H87</f>
        <v>0</v>
      </c>
      <c r="I87" s="49">
        <f>'Avg Week Kotido-Karenga'!I87+'Avg Week Karenga-Kotido'!I87</f>
        <v>0</v>
      </c>
      <c r="J87" s="49">
        <f>'Avg Week Kotido-Karenga'!J87+'Avg Week Karenga-Kotido'!J87</f>
        <v>0</v>
      </c>
      <c r="K87" s="49">
        <f>'Avg Week Kotido-Karenga'!K87+'Avg Week Karenga-Kotido'!K87</f>
        <v>0</v>
      </c>
      <c r="L87" s="49">
        <f>'Avg Week Kotido-Karenga'!L87+'Avg Week Karenga-Kotido'!L87</f>
        <v>0</v>
      </c>
      <c r="M87" s="49">
        <f>'Avg Week Kotido-Karenga'!M87+'Avg Week Karenga-Kotido'!M87</f>
        <v>0</v>
      </c>
      <c r="N87" s="49">
        <f>'Avg Week Kotido-Karenga'!N87+'Avg Week Karenga-Kotido'!N87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'Avg Week Kotido-Karenga'!C88+'Avg Week Karenga-Kotido'!C88</f>
        <v>0</v>
      </c>
      <c r="D88" s="49">
        <f>'Avg Week Kotido-Karenga'!D88+'Avg Week Karenga-Kotido'!D88</f>
        <v>0</v>
      </c>
      <c r="E88" s="49">
        <f>'Avg Week Kotido-Karenga'!E88+'Avg Week Karenga-Kotido'!E88</f>
        <v>0</v>
      </c>
      <c r="F88" s="49">
        <f>'Avg Week Kotido-Karenga'!F88+'Avg Week Karenga-Kotido'!F88</f>
        <v>0</v>
      </c>
      <c r="G88" s="49">
        <f>'Avg Week Kotido-Karenga'!G88+'Avg Week Karenga-Kotido'!G88</f>
        <v>0</v>
      </c>
      <c r="H88" s="49">
        <f>'Avg Week Kotido-Karenga'!H88+'Avg Week Karenga-Kotido'!H88</f>
        <v>0</v>
      </c>
      <c r="I88" s="49">
        <f>'Avg Week Kotido-Karenga'!I88+'Avg Week Karenga-Kotido'!I88</f>
        <v>0</v>
      </c>
      <c r="J88" s="49">
        <f>'Avg Week Kotido-Karenga'!J88+'Avg Week Karenga-Kotido'!J88</f>
        <v>0</v>
      </c>
      <c r="K88" s="49">
        <f>'Avg Week Kotido-Karenga'!K88+'Avg Week Karenga-Kotido'!K88</f>
        <v>0</v>
      </c>
      <c r="L88" s="49">
        <f>'Avg Week Kotido-Karenga'!L88+'Avg Week Karenga-Kotido'!L88</f>
        <v>0</v>
      </c>
      <c r="M88" s="49">
        <f>'Avg Week Kotido-Karenga'!M88+'Avg Week Karenga-Kotido'!M88</f>
        <v>0</v>
      </c>
      <c r="N88" s="49">
        <f>'Avg Week Kotido-Karenga'!N88+'Avg Week Karenga-Kotido'!N88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'Avg Week Kotido-Karenga'!C89+'Avg Week Karenga-Kotido'!C89</f>
        <v>0</v>
      </c>
      <c r="D89" s="49">
        <f>'Avg Week Kotido-Karenga'!D89+'Avg Week Karenga-Kotido'!D89</f>
        <v>0</v>
      </c>
      <c r="E89" s="49">
        <f>'Avg Week Kotido-Karenga'!E89+'Avg Week Karenga-Kotido'!E89</f>
        <v>0</v>
      </c>
      <c r="F89" s="49">
        <f>'Avg Week Kotido-Karenga'!F89+'Avg Week Karenga-Kotido'!F89</f>
        <v>0</v>
      </c>
      <c r="G89" s="49">
        <f>'Avg Week Kotido-Karenga'!G89+'Avg Week Karenga-Kotido'!G89</f>
        <v>0</v>
      </c>
      <c r="H89" s="49">
        <f>'Avg Week Kotido-Karenga'!H89+'Avg Week Karenga-Kotido'!H89</f>
        <v>0</v>
      </c>
      <c r="I89" s="49">
        <f>'Avg Week Kotido-Karenga'!I89+'Avg Week Karenga-Kotido'!I89</f>
        <v>0</v>
      </c>
      <c r="J89" s="49">
        <f>'Avg Week Kotido-Karenga'!J89+'Avg Week Karenga-Kotido'!J89</f>
        <v>0</v>
      </c>
      <c r="K89" s="49">
        <f>'Avg Week Kotido-Karenga'!K89+'Avg Week Karenga-Kotido'!K89</f>
        <v>0</v>
      </c>
      <c r="L89" s="49">
        <f>'Avg Week Kotido-Karenga'!L89+'Avg Week Karenga-Kotido'!L89</f>
        <v>0</v>
      </c>
      <c r="M89" s="49">
        <f>'Avg Week Kotido-Karenga'!M89+'Avg Week Karenga-Kotido'!M89</f>
        <v>0</v>
      </c>
      <c r="N89" s="49">
        <f>'Avg Week Kotido-Karenga'!N89+'Avg Week Karenga-Kotido'!N89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'Avg Week Kotido-Karenga'!C90+'Avg Week Karenga-Kotido'!C90</f>
        <v>0</v>
      </c>
      <c r="D90" s="49">
        <f>'Avg Week Kotido-Karenga'!D90+'Avg Week Karenga-Kotido'!D90</f>
        <v>0</v>
      </c>
      <c r="E90" s="49">
        <f>'Avg Week Kotido-Karenga'!E90+'Avg Week Karenga-Kotido'!E90</f>
        <v>0</v>
      </c>
      <c r="F90" s="49">
        <f>'Avg Week Kotido-Karenga'!F90+'Avg Week Karenga-Kotido'!F90</f>
        <v>0</v>
      </c>
      <c r="G90" s="49">
        <f>'Avg Week Kotido-Karenga'!G90+'Avg Week Karenga-Kotido'!G90</f>
        <v>0</v>
      </c>
      <c r="H90" s="49">
        <f>'Avg Week Kotido-Karenga'!H90+'Avg Week Karenga-Kotido'!H90</f>
        <v>0</v>
      </c>
      <c r="I90" s="49">
        <f>'Avg Week Kotido-Karenga'!I90+'Avg Week Karenga-Kotido'!I90</f>
        <v>0</v>
      </c>
      <c r="J90" s="49">
        <f>'Avg Week Kotido-Karenga'!J90+'Avg Week Karenga-Kotido'!J90</f>
        <v>0</v>
      </c>
      <c r="K90" s="49">
        <f>'Avg Week Kotido-Karenga'!K90+'Avg Week Karenga-Kotido'!K90</f>
        <v>0</v>
      </c>
      <c r="L90" s="49">
        <f>'Avg Week Kotido-Karenga'!L90+'Avg Week Karenga-Kotido'!L90</f>
        <v>0</v>
      </c>
      <c r="M90" s="49">
        <f>'Avg Week Kotido-Karenga'!M90+'Avg Week Karenga-Kotido'!M90</f>
        <v>0</v>
      </c>
      <c r="N90" s="49">
        <f>'Avg Week Kotido-Karenga'!N90+'Avg Week Karenga-Kotido'!N90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'Avg Week Kotido-Karenga'!C91+'Avg Week Karenga-Kotido'!C91</f>
        <v>0</v>
      </c>
      <c r="D91" s="49">
        <f>'Avg Week Kotido-Karenga'!D91+'Avg Week Karenga-Kotido'!D91</f>
        <v>0</v>
      </c>
      <c r="E91" s="49">
        <f>'Avg Week Kotido-Karenga'!E91+'Avg Week Karenga-Kotido'!E91</f>
        <v>0</v>
      </c>
      <c r="F91" s="49">
        <f>'Avg Week Kotido-Karenga'!F91+'Avg Week Karenga-Kotido'!F91</f>
        <v>0</v>
      </c>
      <c r="G91" s="49">
        <f>'Avg Week Kotido-Karenga'!G91+'Avg Week Karenga-Kotido'!G91</f>
        <v>0</v>
      </c>
      <c r="H91" s="49">
        <f>'Avg Week Kotido-Karenga'!H91+'Avg Week Karenga-Kotido'!H91</f>
        <v>0</v>
      </c>
      <c r="I91" s="49">
        <f>'Avg Week Kotido-Karenga'!I91+'Avg Week Karenga-Kotido'!I91</f>
        <v>0</v>
      </c>
      <c r="J91" s="49">
        <f>'Avg Week Kotido-Karenga'!J91+'Avg Week Karenga-Kotido'!J91</f>
        <v>0</v>
      </c>
      <c r="K91" s="49">
        <f>'Avg Week Kotido-Karenga'!K91+'Avg Week Karenga-Kotido'!K91</f>
        <v>0</v>
      </c>
      <c r="L91" s="49">
        <f>'Avg Week Kotido-Karenga'!L91+'Avg Week Karenga-Kotido'!L91</f>
        <v>0</v>
      </c>
      <c r="M91" s="49">
        <f>'Avg Week Kotido-Karenga'!M91+'Avg Week Karenga-Kotido'!M91</f>
        <v>0</v>
      </c>
      <c r="N91" s="49">
        <f>'Avg Week Kotido-Karenga'!N91+'Avg Week Karenga-Kotido'!N91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'Avg Week Kotido-Karenga'!C92+'Avg Week Karenga-Kotido'!C92</f>
        <v>0</v>
      </c>
      <c r="D92" s="49">
        <f>'Avg Week Kotido-Karenga'!D92+'Avg Week Karenga-Kotido'!D92</f>
        <v>0</v>
      </c>
      <c r="E92" s="49">
        <f>'Avg Week Kotido-Karenga'!E92+'Avg Week Karenga-Kotido'!E92</f>
        <v>0</v>
      </c>
      <c r="F92" s="49">
        <f>'Avg Week Kotido-Karenga'!F92+'Avg Week Karenga-Kotido'!F92</f>
        <v>0</v>
      </c>
      <c r="G92" s="49">
        <f>'Avg Week Kotido-Karenga'!G92+'Avg Week Karenga-Kotido'!G92</f>
        <v>0</v>
      </c>
      <c r="H92" s="49">
        <f>'Avg Week Kotido-Karenga'!H92+'Avg Week Karenga-Kotido'!H92</f>
        <v>0</v>
      </c>
      <c r="I92" s="49">
        <f>'Avg Week Kotido-Karenga'!I92+'Avg Week Karenga-Kotido'!I92</f>
        <v>0</v>
      </c>
      <c r="J92" s="49">
        <f>'Avg Week Kotido-Karenga'!J92+'Avg Week Karenga-Kotido'!J92</f>
        <v>0</v>
      </c>
      <c r="K92" s="49">
        <f>'Avg Week Kotido-Karenga'!K92+'Avg Week Karenga-Kotido'!K92</f>
        <v>0</v>
      </c>
      <c r="L92" s="49">
        <f>'Avg Week Kotido-Karenga'!L92+'Avg Week Karenga-Kotido'!L92</f>
        <v>0</v>
      </c>
      <c r="M92" s="49">
        <f>'Avg Week Kotido-Karenga'!M92+'Avg Week Karenga-Kotido'!M92</f>
        <v>0</v>
      </c>
      <c r="N92" s="49">
        <f>'Avg Week Kotido-Karenga'!N92+'Avg Week Karenga-Kotido'!N92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'Avg Week Kotido-Karenga'!C93+'Avg Week Karenga-Kotido'!C93</f>
        <v>0</v>
      </c>
      <c r="D93" s="49">
        <f>'Avg Week Kotido-Karenga'!D93+'Avg Week Karenga-Kotido'!D93</f>
        <v>0</v>
      </c>
      <c r="E93" s="49">
        <f>'Avg Week Kotido-Karenga'!E93+'Avg Week Karenga-Kotido'!E93</f>
        <v>0</v>
      </c>
      <c r="F93" s="49">
        <f>'Avg Week Kotido-Karenga'!F93+'Avg Week Karenga-Kotido'!F93</f>
        <v>0</v>
      </c>
      <c r="G93" s="49">
        <f>'Avg Week Kotido-Karenga'!G93+'Avg Week Karenga-Kotido'!G93</f>
        <v>0</v>
      </c>
      <c r="H93" s="49">
        <f>'Avg Week Kotido-Karenga'!H93+'Avg Week Karenga-Kotido'!H93</f>
        <v>0</v>
      </c>
      <c r="I93" s="49">
        <f>'Avg Week Kotido-Karenga'!I93+'Avg Week Karenga-Kotido'!I93</f>
        <v>0</v>
      </c>
      <c r="J93" s="49">
        <f>'Avg Week Kotido-Karenga'!J93+'Avg Week Karenga-Kotido'!J93</f>
        <v>0</v>
      </c>
      <c r="K93" s="49">
        <f>'Avg Week Kotido-Karenga'!K93+'Avg Week Karenga-Kotido'!K93</f>
        <v>0</v>
      </c>
      <c r="L93" s="49">
        <f>'Avg Week Kotido-Karenga'!L93+'Avg Week Karenga-Kotido'!L93</f>
        <v>0</v>
      </c>
      <c r="M93" s="49">
        <f>'Avg Week Kotido-Karenga'!M93+'Avg Week Karenga-Kotido'!M93</f>
        <v>0</v>
      </c>
      <c r="N93" s="49">
        <f>'Avg Week Kotido-Karenga'!N93+'Avg Week Karenga-Kotido'!N93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'Avg Week Kotido-Karenga'!C94+'Avg Week Karenga-Kotido'!C94</f>
        <v>0</v>
      </c>
      <c r="D94" s="49">
        <f>'Avg Week Kotido-Karenga'!D94+'Avg Week Karenga-Kotido'!D94</f>
        <v>0</v>
      </c>
      <c r="E94" s="49">
        <f>'Avg Week Kotido-Karenga'!E94+'Avg Week Karenga-Kotido'!E94</f>
        <v>0</v>
      </c>
      <c r="F94" s="49">
        <f>'Avg Week Kotido-Karenga'!F94+'Avg Week Karenga-Kotido'!F94</f>
        <v>0</v>
      </c>
      <c r="G94" s="49">
        <f>'Avg Week Kotido-Karenga'!G94+'Avg Week Karenga-Kotido'!G94</f>
        <v>0</v>
      </c>
      <c r="H94" s="49">
        <f>'Avg Week Kotido-Karenga'!H94+'Avg Week Karenga-Kotido'!H94</f>
        <v>0</v>
      </c>
      <c r="I94" s="49">
        <f>'Avg Week Kotido-Karenga'!I94+'Avg Week Karenga-Kotido'!I94</f>
        <v>0</v>
      </c>
      <c r="J94" s="49">
        <f>'Avg Week Kotido-Karenga'!J94+'Avg Week Karenga-Kotido'!J94</f>
        <v>0</v>
      </c>
      <c r="K94" s="49">
        <f>'Avg Week Kotido-Karenga'!K94+'Avg Week Karenga-Kotido'!K94</f>
        <v>0</v>
      </c>
      <c r="L94" s="49">
        <f>'Avg Week Kotido-Karenga'!L94+'Avg Week Karenga-Kotido'!L94</f>
        <v>0</v>
      </c>
      <c r="M94" s="49">
        <f>'Avg Week Kotido-Karenga'!M94+'Avg Week Karenga-Kotido'!M94</f>
        <v>0</v>
      </c>
      <c r="N94" s="49">
        <f>'Avg Week Kotido-Karenga'!N94+'Avg Week Karenga-Kotido'!N94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'Avg Week Kotido-Karenga'!C95+'Avg Week Karenga-Kotido'!C95</f>
        <v>0</v>
      </c>
      <c r="D95" s="49">
        <f>'Avg Week Kotido-Karenga'!D95+'Avg Week Karenga-Kotido'!D95</f>
        <v>0</v>
      </c>
      <c r="E95" s="49">
        <f>'Avg Week Kotido-Karenga'!E95+'Avg Week Karenga-Kotido'!E95</f>
        <v>0</v>
      </c>
      <c r="F95" s="49">
        <f>'Avg Week Kotido-Karenga'!F95+'Avg Week Karenga-Kotido'!F95</f>
        <v>0</v>
      </c>
      <c r="G95" s="49">
        <f>'Avg Week Kotido-Karenga'!G95+'Avg Week Karenga-Kotido'!G95</f>
        <v>0</v>
      </c>
      <c r="H95" s="49">
        <f>'Avg Week Kotido-Karenga'!H95+'Avg Week Karenga-Kotido'!H95</f>
        <v>0</v>
      </c>
      <c r="I95" s="49">
        <f>'Avg Week Kotido-Karenga'!I95+'Avg Week Karenga-Kotido'!I95</f>
        <v>0</v>
      </c>
      <c r="J95" s="49">
        <f>'Avg Week Kotido-Karenga'!J95+'Avg Week Karenga-Kotido'!J95</f>
        <v>0</v>
      </c>
      <c r="K95" s="49">
        <f>'Avg Week Kotido-Karenga'!K95+'Avg Week Karenga-Kotido'!K95</f>
        <v>0</v>
      </c>
      <c r="L95" s="49">
        <f>'Avg Week Kotido-Karenga'!L95+'Avg Week Karenga-Kotido'!L95</f>
        <v>0</v>
      </c>
      <c r="M95" s="49">
        <f>'Avg Week Kotido-Karenga'!M95+'Avg Week Karenga-Kotido'!M95</f>
        <v>0</v>
      </c>
      <c r="N95" s="49">
        <f>'Avg Week Kotido-Karenga'!N95+'Avg Week Karenga-Kotido'!N95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'Avg Week Kotido-Karenga'!C96+'Avg Week Karenga-Kotido'!C96</f>
        <v>0</v>
      </c>
      <c r="D96" s="49">
        <f>'Avg Week Kotido-Karenga'!D96+'Avg Week Karenga-Kotido'!D96</f>
        <v>0</v>
      </c>
      <c r="E96" s="49">
        <f>'Avg Week Kotido-Karenga'!E96+'Avg Week Karenga-Kotido'!E96</f>
        <v>0</v>
      </c>
      <c r="F96" s="49">
        <f>'Avg Week Kotido-Karenga'!F96+'Avg Week Karenga-Kotido'!F96</f>
        <v>0</v>
      </c>
      <c r="G96" s="49">
        <f>'Avg Week Kotido-Karenga'!G96+'Avg Week Karenga-Kotido'!G96</f>
        <v>0</v>
      </c>
      <c r="H96" s="49">
        <f>'Avg Week Kotido-Karenga'!H96+'Avg Week Karenga-Kotido'!H96</f>
        <v>0</v>
      </c>
      <c r="I96" s="49">
        <f>'Avg Week Kotido-Karenga'!I96+'Avg Week Karenga-Kotido'!I96</f>
        <v>0</v>
      </c>
      <c r="J96" s="49">
        <f>'Avg Week Kotido-Karenga'!J96+'Avg Week Karenga-Kotido'!J96</f>
        <v>0</v>
      </c>
      <c r="K96" s="49">
        <f>'Avg Week Kotido-Karenga'!K96+'Avg Week Karenga-Kotido'!K96</f>
        <v>0</v>
      </c>
      <c r="L96" s="49">
        <f>'Avg Week Kotido-Karenga'!L96+'Avg Week Karenga-Kotido'!L96</f>
        <v>0</v>
      </c>
      <c r="M96" s="49">
        <f>'Avg Week Kotido-Karenga'!M96+'Avg Week Karenga-Kotido'!M96</f>
        <v>0</v>
      </c>
      <c r="N96" s="49">
        <f>'Avg Week Kotido-Karenga'!N96+'Avg Week Karenga-Kotido'!N96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'Avg Week Kotido-Karenga'!C97+'Avg Week Karenga-Kotido'!C97</f>
        <v>0</v>
      </c>
      <c r="D97" s="49">
        <f>'Avg Week Kotido-Karenga'!D97+'Avg Week Karenga-Kotido'!D97</f>
        <v>0</v>
      </c>
      <c r="E97" s="49">
        <f>'Avg Week Kotido-Karenga'!E97+'Avg Week Karenga-Kotido'!E97</f>
        <v>0</v>
      </c>
      <c r="F97" s="49">
        <f>'Avg Week Kotido-Karenga'!F97+'Avg Week Karenga-Kotido'!F97</f>
        <v>0</v>
      </c>
      <c r="G97" s="49">
        <f>'Avg Week Kotido-Karenga'!G97+'Avg Week Karenga-Kotido'!G97</f>
        <v>0</v>
      </c>
      <c r="H97" s="49">
        <f>'Avg Week Kotido-Karenga'!H97+'Avg Week Karenga-Kotido'!H97</f>
        <v>0</v>
      </c>
      <c r="I97" s="49">
        <f>'Avg Week Kotido-Karenga'!I97+'Avg Week Karenga-Kotido'!I97</f>
        <v>0</v>
      </c>
      <c r="J97" s="49">
        <f>'Avg Week Kotido-Karenga'!J97+'Avg Week Karenga-Kotido'!J97</f>
        <v>0</v>
      </c>
      <c r="K97" s="49">
        <f>'Avg Week Kotido-Karenga'!K97+'Avg Week Karenga-Kotido'!K97</f>
        <v>0</v>
      </c>
      <c r="L97" s="49">
        <f>'Avg Week Kotido-Karenga'!L97+'Avg Week Karenga-Kotido'!L97</f>
        <v>0</v>
      </c>
      <c r="M97" s="49">
        <f>'Avg Week Kotido-Karenga'!M97+'Avg Week Karenga-Kotido'!M97</f>
        <v>0</v>
      </c>
      <c r="N97" s="49">
        <f>'Avg Week Kotido-Karenga'!N97+'Avg Week Karenga-Kotido'!N97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'Avg Week Kotido-Karenga'!C98+'Avg Week Karenga-Kotido'!C98</f>
        <v>0</v>
      </c>
      <c r="D98" s="49">
        <f>'Avg Week Kotido-Karenga'!D98+'Avg Week Karenga-Kotido'!D98</f>
        <v>0</v>
      </c>
      <c r="E98" s="49">
        <f>'Avg Week Kotido-Karenga'!E98+'Avg Week Karenga-Kotido'!E98</f>
        <v>0</v>
      </c>
      <c r="F98" s="49">
        <f>'Avg Week Kotido-Karenga'!F98+'Avg Week Karenga-Kotido'!F98</f>
        <v>0</v>
      </c>
      <c r="G98" s="49">
        <f>'Avg Week Kotido-Karenga'!G98+'Avg Week Karenga-Kotido'!G98</f>
        <v>0</v>
      </c>
      <c r="H98" s="49">
        <f>'Avg Week Kotido-Karenga'!H98+'Avg Week Karenga-Kotido'!H98</f>
        <v>0</v>
      </c>
      <c r="I98" s="49">
        <f>'Avg Week Kotido-Karenga'!I98+'Avg Week Karenga-Kotido'!I98</f>
        <v>0</v>
      </c>
      <c r="J98" s="49">
        <f>'Avg Week Kotido-Karenga'!J98+'Avg Week Karenga-Kotido'!J98</f>
        <v>0</v>
      </c>
      <c r="K98" s="49">
        <f>'Avg Week Kotido-Karenga'!K98+'Avg Week Karenga-Kotido'!K98</f>
        <v>0</v>
      </c>
      <c r="L98" s="49">
        <f>'Avg Week Kotido-Karenga'!L98+'Avg Week Karenga-Kotido'!L98</f>
        <v>0</v>
      </c>
      <c r="M98" s="49">
        <f>'Avg Week Kotido-Karenga'!M98+'Avg Week Karenga-Kotido'!M98</f>
        <v>0</v>
      </c>
      <c r="N98" s="49">
        <f>'Avg Week Kotido-Karenga'!N98+'Avg Week Karenga-Kotido'!N98</f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23" t="s">
        <v>139</v>
      </c>
      <c r="C99" s="49">
        <f>'Avg Week Kotido-Karenga'!C99+'Avg Week Karenga-Kotido'!C99</f>
        <v>0</v>
      </c>
      <c r="D99" s="49">
        <f>'Avg Week Kotido-Karenga'!D99+'Avg Week Karenga-Kotido'!D99</f>
        <v>0</v>
      </c>
      <c r="E99" s="49">
        <f>'Avg Week Kotido-Karenga'!E99+'Avg Week Karenga-Kotido'!E99</f>
        <v>0</v>
      </c>
      <c r="F99" s="49">
        <f>'Avg Week Kotido-Karenga'!F99+'Avg Week Karenga-Kotido'!F99</f>
        <v>0</v>
      </c>
      <c r="G99" s="49">
        <f>'Avg Week Kotido-Karenga'!G99+'Avg Week Karenga-Kotido'!G99</f>
        <v>0</v>
      </c>
      <c r="H99" s="49">
        <f>'Avg Week Kotido-Karenga'!H99+'Avg Week Karenga-Kotido'!H99</f>
        <v>0</v>
      </c>
      <c r="I99" s="49">
        <f>'Avg Week Kotido-Karenga'!I99+'Avg Week Karenga-Kotido'!I99</f>
        <v>0</v>
      </c>
      <c r="J99" s="49">
        <f>'Avg Week Kotido-Karenga'!J99+'Avg Week Karenga-Kotido'!J99</f>
        <v>0</v>
      </c>
      <c r="K99" s="49">
        <f>'Avg Week Kotido-Karenga'!K99+'Avg Week Karenga-Kotido'!K99</f>
        <v>0</v>
      </c>
      <c r="L99" s="49">
        <f>'Avg Week Kotido-Karenga'!L99+'Avg Week Karenga-Kotido'!L99</f>
        <v>0</v>
      </c>
      <c r="M99" s="49">
        <f>'Avg Week Kotido-Karenga'!M99+'Avg Week Karenga-Kotido'!M99</f>
        <v>0</v>
      </c>
      <c r="N99" s="49">
        <f>'Avg Week Kotido-Karenga'!N99+'Avg Week Karenga-Kotido'!N99</f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25" t="s">
        <v>140</v>
      </c>
      <c r="C100" s="49">
        <f>'Avg Week Kotido-Karenga'!C100+'Avg Week Karenga-Kotido'!C100</f>
        <v>0</v>
      </c>
      <c r="D100" s="49">
        <f>'Avg Week Kotido-Karenga'!D100+'Avg Week Karenga-Kotido'!D100</f>
        <v>0</v>
      </c>
      <c r="E100" s="49">
        <f>'Avg Week Kotido-Karenga'!E100+'Avg Week Karenga-Kotido'!E100</f>
        <v>0</v>
      </c>
      <c r="F100" s="49">
        <f>'Avg Week Kotido-Karenga'!F100+'Avg Week Karenga-Kotido'!F100</f>
        <v>0</v>
      </c>
      <c r="G100" s="49">
        <f>'Avg Week Kotido-Karenga'!G100+'Avg Week Karenga-Kotido'!G100</f>
        <v>0</v>
      </c>
      <c r="H100" s="49">
        <f>'Avg Week Kotido-Karenga'!H100+'Avg Week Karenga-Kotido'!H100</f>
        <v>0</v>
      </c>
      <c r="I100" s="49">
        <f>'Avg Week Kotido-Karenga'!I100+'Avg Week Karenga-Kotido'!I100</f>
        <v>0</v>
      </c>
      <c r="J100" s="49">
        <f>'Avg Week Kotido-Karenga'!J100+'Avg Week Karenga-Kotido'!J100</f>
        <v>0</v>
      </c>
      <c r="K100" s="49">
        <f>'Avg Week Kotido-Karenga'!K100+'Avg Week Karenga-Kotido'!K100</f>
        <v>0</v>
      </c>
      <c r="L100" s="49">
        <f>'Avg Week Kotido-Karenga'!L100+'Avg Week Karenga-Kotido'!L100</f>
        <v>0</v>
      </c>
      <c r="M100" s="49">
        <f>'Avg Week Kotido-Karenga'!M100+'Avg Week Karenga-Kotido'!M100</f>
        <v>0</v>
      </c>
      <c r="N100" s="49">
        <f>'Avg Week Kotido-Karenga'!N100+'Avg Week Karenga-Kotido'!N100</f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23" t="s">
        <v>141</v>
      </c>
      <c r="C101" s="49">
        <f>'Avg Week Kotido-Karenga'!C101+'Avg Week Karenga-Kotido'!C101</f>
        <v>0</v>
      </c>
      <c r="D101" s="49">
        <f>'Avg Week Kotido-Karenga'!D101+'Avg Week Karenga-Kotido'!D101</f>
        <v>0</v>
      </c>
      <c r="E101" s="49">
        <f>'Avg Week Kotido-Karenga'!E101+'Avg Week Karenga-Kotido'!E101</f>
        <v>0</v>
      </c>
      <c r="F101" s="49">
        <f>'Avg Week Kotido-Karenga'!F101+'Avg Week Karenga-Kotido'!F101</f>
        <v>0</v>
      </c>
      <c r="G101" s="49">
        <f>'Avg Week Kotido-Karenga'!G101+'Avg Week Karenga-Kotido'!G101</f>
        <v>0</v>
      </c>
      <c r="H101" s="49">
        <f>'Avg Week Kotido-Karenga'!H101+'Avg Week Karenga-Kotido'!H101</f>
        <v>0</v>
      </c>
      <c r="I101" s="49">
        <f>'Avg Week Kotido-Karenga'!I101+'Avg Week Karenga-Kotido'!I101</f>
        <v>0</v>
      </c>
      <c r="J101" s="49">
        <f>'Avg Week Kotido-Karenga'!J101+'Avg Week Karenga-Kotido'!J101</f>
        <v>0</v>
      </c>
      <c r="K101" s="49">
        <f>'Avg Week Kotido-Karenga'!K101+'Avg Week Karenga-Kotido'!K101</f>
        <v>0</v>
      </c>
      <c r="L101" s="49">
        <f>'Avg Week Kotido-Karenga'!L101+'Avg Week Karenga-Kotido'!L101</f>
        <v>0</v>
      </c>
      <c r="M101" s="49">
        <f>'Avg Week Kotido-Karenga'!M101+'Avg Week Karenga-Kotido'!M101</f>
        <v>0</v>
      </c>
      <c r="N101" s="49">
        <f>'Avg Week Kotido-Karenga'!N101+'Avg Week Karenga-Kotido'!N101</f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24" t="s">
        <v>142</v>
      </c>
      <c r="C102" s="49">
        <f>'Avg Week Kotido-Karenga'!C102+'Avg Week Karenga-Kotido'!C102</f>
        <v>0</v>
      </c>
      <c r="D102" s="49">
        <f>'Avg Week Kotido-Karenga'!D102+'Avg Week Karenga-Kotido'!D102</f>
        <v>0</v>
      </c>
      <c r="E102" s="49">
        <f>'Avg Week Kotido-Karenga'!E102+'Avg Week Karenga-Kotido'!E102</f>
        <v>0</v>
      </c>
      <c r="F102" s="49">
        <f>'Avg Week Kotido-Karenga'!F102+'Avg Week Karenga-Kotido'!F102</f>
        <v>0</v>
      </c>
      <c r="G102" s="49">
        <f>'Avg Week Kotido-Karenga'!G102+'Avg Week Karenga-Kotido'!G102</f>
        <v>0</v>
      </c>
      <c r="H102" s="49">
        <f>'Avg Week Kotido-Karenga'!H102+'Avg Week Karenga-Kotido'!H102</f>
        <v>0</v>
      </c>
      <c r="I102" s="49">
        <f>'Avg Week Kotido-Karenga'!I102+'Avg Week Karenga-Kotido'!I102</f>
        <v>0</v>
      </c>
      <c r="J102" s="49">
        <f>'Avg Week Kotido-Karenga'!J102+'Avg Week Karenga-Kotido'!J102</f>
        <v>0</v>
      </c>
      <c r="K102" s="49">
        <f>'Avg Week Kotido-Karenga'!K102+'Avg Week Karenga-Kotido'!K102</f>
        <v>0</v>
      </c>
      <c r="L102" s="49">
        <f>'Avg Week Kotido-Karenga'!L102+'Avg Week Karenga-Kotido'!L102</f>
        <v>0</v>
      </c>
      <c r="M102" s="49">
        <f>'Avg Week Kotido-Karenga'!M102+'Avg Week Karenga-Kotido'!M102</f>
        <v>0</v>
      </c>
      <c r="N102" s="49">
        <f>'Avg Week Kotido-Karenga'!N102+'Avg Week Karenga-Kotido'!N102</f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23" t="s">
        <v>143</v>
      </c>
      <c r="C103" s="49">
        <f>'Avg Week Kotido-Karenga'!C103+'Avg Week Karenga-Kotido'!C103</f>
        <v>0</v>
      </c>
      <c r="D103" s="49">
        <f>'Avg Week Kotido-Karenga'!D103+'Avg Week Karenga-Kotido'!D103</f>
        <v>0</v>
      </c>
      <c r="E103" s="49">
        <f>'Avg Week Kotido-Karenga'!E103+'Avg Week Karenga-Kotido'!E103</f>
        <v>0</v>
      </c>
      <c r="F103" s="49">
        <f>'Avg Week Kotido-Karenga'!F103+'Avg Week Karenga-Kotido'!F103</f>
        <v>0</v>
      </c>
      <c r="G103" s="49">
        <f>'Avg Week Kotido-Karenga'!G103+'Avg Week Karenga-Kotido'!G103</f>
        <v>0</v>
      </c>
      <c r="H103" s="49">
        <f>'Avg Week Kotido-Karenga'!H103+'Avg Week Karenga-Kotido'!H103</f>
        <v>0</v>
      </c>
      <c r="I103" s="49">
        <f>'Avg Week Kotido-Karenga'!I103+'Avg Week Karenga-Kotido'!I103</f>
        <v>0</v>
      </c>
      <c r="J103" s="49">
        <f>'Avg Week Kotido-Karenga'!J103+'Avg Week Karenga-Kotido'!J103</f>
        <v>0</v>
      </c>
      <c r="K103" s="49">
        <f>'Avg Week Kotido-Karenga'!K103+'Avg Week Karenga-Kotido'!K103</f>
        <v>0</v>
      </c>
      <c r="L103" s="49">
        <f>'Avg Week Kotido-Karenga'!L103+'Avg Week Karenga-Kotido'!L103</f>
        <v>0</v>
      </c>
      <c r="M103" s="49">
        <f>'Avg Week Kotido-Karenga'!M103+'Avg Week Karenga-Kotido'!M103</f>
        <v>0</v>
      </c>
      <c r="N103" s="49">
        <f>'Avg Week Kotido-Karenga'!N103+'Avg Week Karenga-Kotido'!N103</f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25" t="s">
        <v>144</v>
      </c>
      <c r="C104" s="49">
        <f>'Avg Week Kotido-Karenga'!C104+'Avg Week Karenga-Kotido'!C104</f>
        <v>0</v>
      </c>
      <c r="D104" s="49">
        <f>'Avg Week Kotido-Karenga'!D104+'Avg Week Karenga-Kotido'!D104</f>
        <v>0</v>
      </c>
      <c r="E104" s="49">
        <f>'Avg Week Kotido-Karenga'!E104+'Avg Week Karenga-Kotido'!E104</f>
        <v>0</v>
      </c>
      <c r="F104" s="49">
        <f>'Avg Week Kotido-Karenga'!F104+'Avg Week Karenga-Kotido'!F104</f>
        <v>0</v>
      </c>
      <c r="G104" s="49">
        <f>'Avg Week Kotido-Karenga'!G104+'Avg Week Karenga-Kotido'!G104</f>
        <v>0</v>
      </c>
      <c r="H104" s="49">
        <f>'Avg Week Kotido-Karenga'!H104+'Avg Week Karenga-Kotido'!H104</f>
        <v>0</v>
      </c>
      <c r="I104" s="49">
        <f>'Avg Week Kotido-Karenga'!I104+'Avg Week Karenga-Kotido'!I104</f>
        <v>0</v>
      </c>
      <c r="J104" s="49">
        <f>'Avg Week Kotido-Karenga'!J104+'Avg Week Karenga-Kotido'!J104</f>
        <v>0</v>
      </c>
      <c r="K104" s="49">
        <f>'Avg Week Kotido-Karenga'!K104+'Avg Week Karenga-Kotido'!K104</f>
        <v>0</v>
      </c>
      <c r="L104" s="49">
        <f>'Avg Week Kotido-Karenga'!L104+'Avg Week Karenga-Kotido'!L104</f>
        <v>0</v>
      </c>
      <c r="M104" s="49">
        <f>'Avg Week Kotido-Karenga'!M104+'Avg Week Karenga-Kotido'!M104</f>
        <v>0</v>
      </c>
      <c r="N104" s="49">
        <f>'Avg Week Kotido-Karenga'!N104+'Avg Week Karenga-Kotido'!N104</f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23" t="s">
        <v>145</v>
      </c>
      <c r="C105" s="49">
        <f>'Avg Week Kotido-Karenga'!C105+'Avg Week Karenga-Kotido'!C105</f>
        <v>0</v>
      </c>
      <c r="D105" s="49">
        <f>'Avg Week Kotido-Karenga'!D105+'Avg Week Karenga-Kotido'!D105</f>
        <v>0</v>
      </c>
      <c r="E105" s="49">
        <f>'Avg Week Kotido-Karenga'!E105+'Avg Week Karenga-Kotido'!E105</f>
        <v>0</v>
      </c>
      <c r="F105" s="49">
        <f>'Avg Week Kotido-Karenga'!F105+'Avg Week Karenga-Kotido'!F105</f>
        <v>0</v>
      </c>
      <c r="G105" s="49">
        <f>'Avg Week Kotido-Karenga'!G105+'Avg Week Karenga-Kotido'!G105</f>
        <v>0</v>
      </c>
      <c r="H105" s="49">
        <f>'Avg Week Kotido-Karenga'!H105+'Avg Week Karenga-Kotido'!H105</f>
        <v>0</v>
      </c>
      <c r="I105" s="49">
        <f>'Avg Week Kotido-Karenga'!I105+'Avg Week Karenga-Kotido'!I105</f>
        <v>0</v>
      </c>
      <c r="J105" s="49">
        <f>'Avg Week Kotido-Karenga'!J105+'Avg Week Karenga-Kotido'!J105</f>
        <v>0</v>
      </c>
      <c r="K105" s="49">
        <f>'Avg Week Kotido-Karenga'!K105+'Avg Week Karenga-Kotido'!K105</f>
        <v>0</v>
      </c>
      <c r="L105" s="49">
        <f>'Avg Week Kotido-Karenga'!L105+'Avg Week Karenga-Kotido'!L105</f>
        <v>0</v>
      </c>
      <c r="M105" s="49">
        <f>'Avg Week Kotido-Karenga'!M105+'Avg Week Karenga-Kotido'!M105</f>
        <v>0</v>
      </c>
      <c r="N105" s="49">
        <f>'Avg Week Kotido-Karenga'!N105+'Avg Week Karenga-Kotido'!N105</f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5.1428571428571423</v>
      </c>
      <c r="D106" s="16">
        <f t="shared" ref="D106:P106" si="37">SUM(D10:D105)</f>
        <v>15.857142857142856</v>
      </c>
      <c r="E106" s="16">
        <f t="shared" si="37"/>
        <v>19.285714285714288</v>
      </c>
      <c r="F106" s="16">
        <f t="shared" si="37"/>
        <v>7.2142857142857153</v>
      </c>
      <c r="G106" s="16">
        <f t="shared" si="37"/>
        <v>0.14285714285714285</v>
      </c>
      <c r="H106" s="16">
        <f t="shared" si="37"/>
        <v>0.14285714285714285</v>
      </c>
      <c r="I106" s="16">
        <f t="shared" si="37"/>
        <v>10.142857142857146</v>
      </c>
      <c r="J106" s="16">
        <f t="shared" si="37"/>
        <v>3.2857142857142847</v>
      </c>
      <c r="K106" s="16">
        <f t="shared" si="37"/>
        <v>0.5714285714285714</v>
      </c>
      <c r="L106" s="16">
        <f t="shared" si="37"/>
        <v>0.2857142857142857</v>
      </c>
      <c r="M106" s="16">
        <f t="shared" si="37"/>
        <v>193.99999999999997</v>
      </c>
      <c r="N106" s="16">
        <f t="shared" si="37"/>
        <v>0.42857142857142855</v>
      </c>
      <c r="O106" s="16">
        <f t="shared" si="37"/>
        <v>62.5</v>
      </c>
      <c r="P106" s="16">
        <f t="shared" si="37"/>
        <v>256.5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2.0050125313283207E-2</v>
      </c>
      <c r="D107" s="43">
        <f t="shared" si="38"/>
        <v>6.1821219715956555E-2</v>
      </c>
      <c r="E107" s="43">
        <f t="shared" si="38"/>
        <v>7.518796992481204E-2</v>
      </c>
      <c r="F107" s="43">
        <f t="shared" si="38"/>
        <v>2.8125870231133394E-2</v>
      </c>
      <c r="G107" s="43">
        <f t="shared" si="38"/>
        <v>5.5694792536897797E-4</v>
      </c>
      <c r="H107" s="43">
        <f t="shared" si="38"/>
        <v>5.5694792536897797E-4</v>
      </c>
      <c r="I107" s="43">
        <f t="shared" si="38"/>
        <v>3.954330270119745E-2</v>
      </c>
      <c r="J107" s="43">
        <f t="shared" si="38"/>
        <v>1.280980228348649E-2</v>
      </c>
      <c r="K107" s="43">
        <f t="shared" si="38"/>
        <v>2.2277917014759119E-3</v>
      </c>
      <c r="L107" s="43">
        <f t="shared" si="38"/>
        <v>1.1138958507379559E-3</v>
      </c>
      <c r="M107" s="43">
        <f t="shared" si="38"/>
        <v>0.75633528265107197</v>
      </c>
      <c r="N107" s="43">
        <f t="shared" si="38"/>
        <v>1.6708437761069339E-3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8.2285714285714281E-2</v>
      </c>
      <c r="D108" s="44">
        <f t="shared" ref="D108:N108" si="39">D106/$O$106</f>
        <v>0.25371428571428567</v>
      </c>
      <c r="E108" s="44">
        <f t="shared" si="39"/>
        <v>0.30857142857142861</v>
      </c>
      <c r="F108" s="44">
        <f t="shared" si="39"/>
        <v>0.11542857142857145</v>
      </c>
      <c r="G108" s="44">
        <f t="shared" si="39"/>
        <v>2.2857142857142855E-3</v>
      </c>
      <c r="H108" s="44">
        <f t="shared" si="39"/>
        <v>2.2857142857142855E-3</v>
      </c>
      <c r="I108" s="44">
        <f t="shared" si="39"/>
        <v>0.16228571428571434</v>
      </c>
      <c r="J108" s="44">
        <f t="shared" si="39"/>
        <v>5.2571428571428554E-2</v>
      </c>
      <c r="K108" s="44">
        <f t="shared" si="39"/>
        <v>9.1428571428571418E-3</v>
      </c>
      <c r="L108" s="44">
        <f t="shared" si="39"/>
        <v>4.5714285714285709E-3</v>
      </c>
      <c r="M108" s="44"/>
      <c r="N108" s="44">
        <f t="shared" si="39"/>
        <v>6.8571428571428568E-3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05.08 Kotido-Karenga</vt:lpstr>
      <vt:lpstr>05.08 Karenga-Kotido</vt:lpstr>
      <vt:lpstr>06.08 Kotido-Karenga</vt:lpstr>
      <vt:lpstr>06.08 Karenga-Kotido</vt:lpstr>
      <vt:lpstr>07.08 Kotido-Karenga</vt:lpstr>
      <vt:lpstr>07.08 Karenga-Kotido</vt:lpstr>
      <vt:lpstr>08.08 Kotido-Karenga</vt:lpstr>
      <vt:lpstr>08.08 Karenga-Kotido</vt:lpstr>
      <vt:lpstr>09.08 Kotido-Karenga-24h</vt:lpstr>
      <vt:lpstr>09.08 Karenga-Kotido-24h</vt:lpstr>
      <vt:lpstr>10.08 Kotido-Karenga-24h</vt:lpstr>
      <vt:lpstr>10.08 Karenga-Kotido-24h</vt:lpstr>
      <vt:lpstr>11.08 Kotido-Karenga</vt:lpstr>
      <vt:lpstr>11.08 Karenga-Kotido</vt:lpstr>
      <vt:lpstr>Avg Week Kotido-Karenga</vt:lpstr>
      <vt:lpstr>Avg Week Karenga-Kotido</vt:lpstr>
      <vt:lpstr>Avg Week Kotido-Karenga-2Dir</vt:lpstr>
      <vt:lpstr>'05.08 Karenga-Kotido'!Print_Area</vt:lpstr>
      <vt:lpstr>'05.08 Kotido-Karenga'!Print_Area</vt:lpstr>
      <vt:lpstr>'06.08 Karenga-Kotido'!Print_Area</vt:lpstr>
      <vt:lpstr>'06.08 Kotido-Karenga'!Print_Area</vt:lpstr>
      <vt:lpstr>'07.08 Karenga-Kotido'!Print_Area</vt:lpstr>
      <vt:lpstr>'07.08 Kotido-Karenga'!Print_Area</vt:lpstr>
      <vt:lpstr>'08.08 Karenga-Kotido'!Print_Area</vt:lpstr>
      <vt:lpstr>'08.08 Kotido-Karenga'!Print_Area</vt:lpstr>
      <vt:lpstr>'09.08 Karenga-Kotido-24h'!Print_Area</vt:lpstr>
      <vt:lpstr>'09.08 Kotido-Karenga-24h'!Print_Area</vt:lpstr>
      <vt:lpstr>'10.08 Karenga-Kotido-24h'!Print_Area</vt:lpstr>
      <vt:lpstr>'10.08 Kotido-Karenga-24h'!Print_Area</vt:lpstr>
      <vt:lpstr>'11.08 Karenga-Kotido'!Print_Area</vt:lpstr>
      <vt:lpstr>'11.08 Kotido-Karenga'!Print_Area</vt:lpstr>
      <vt:lpstr>'Avg Week Karenga-Kotido'!Print_Area</vt:lpstr>
      <vt:lpstr>'Avg Week Kotido-Karenga'!Print_Area</vt:lpstr>
      <vt:lpstr>'Avg Week Kotido-Karenga-2Dir'!Print_Area</vt:lpstr>
      <vt:lpstr>'05.08 Karenga-Kotido'!Print_Titles</vt:lpstr>
      <vt:lpstr>'05.08 Kotido-Karenga'!Print_Titles</vt:lpstr>
      <vt:lpstr>'06.08 Karenga-Kotido'!Print_Titles</vt:lpstr>
      <vt:lpstr>'06.08 Kotido-Karenga'!Print_Titles</vt:lpstr>
      <vt:lpstr>'07.08 Karenga-Kotido'!Print_Titles</vt:lpstr>
      <vt:lpstr>'07.08 Kotido-Karenga'!Print_Titles</vt:lpstr>
      <vt:lpstr>'08.08 Karenga-Kotido'!Print_Titles</vt:lpstr>
      <vt:lpstr>'08.08 Kotido-Karenga'!Print_Titles</vt:lpstr>
      <vt:lpstr>'09.08 Karenga-Kotido-24h'!Print_Titles</vt:lpstr>
      <vt:lpstr>'09.08 Kotido-Karenga-24h'!Print_Titles</vt:lpstr>
      <vt:lpstr>'10.08 Karenga-Kotido-24h'!Print_Titles</vt:lpstr>
      <vt:lpstr>'10.08 Kotido-Karenga-24h'!Print_Titles</vt:lpstr>
      <vt:lpstr>'11.08 Karenga-Kotido'!Print_Titles</vt:lpstr>
      <vt:lpstr>'11.08 Kotido-Karenga'!Print_Titles</vt:lpstr>
      <vt:lpstr>'Avg Week Karenga-Kotido'!Print_Titles</vt:lpstr>
      <vt:lpstr>'Avg Week Kotido-Karenga'!Print_Titles</vt:lpstr>
      <vt:lpstr>'Avg Week Kotido-Karenga-2Dir'!Print_Titles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M.R O</cp:lastModifiedBy>
  <cp:lastPrinted>2019-07-25T18:18:41Z</cp:lastPrinted>
  <dcterms:created xsi:type="dcterms:W3CDTF">2010-07-06T07:39:49Z</dcterms:created>
  <dcterms:modified xsi:type="dcterms:W3CDTF">2020-01-15T12:49:29Z</dcterms:modified>
</cp:coreProperties>
</file>